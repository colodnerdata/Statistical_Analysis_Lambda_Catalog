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7D69F8A5-6A23-4F85-A930-C21D0F58ED0D}"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60" r:id="rId5"/>
    <sheet name="Regression" sheetId="7" r:id="rId6"/>
    <sheet name="Diagnostic Guide" sheetId="61"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D101" i="7" l="1"/>
  <c r="BC101" i="7"/>
  <c r="BD100" i="7"/>
  <c r="BC100" i="7"/>
  <c r="BD99" i="7"/>
  <c r="BC99" i="7"/>
  <c r="BD98" i="7"/>
  <c r="BC98" i="7"/>
  <c r="BB98" i="7"/>
  <c r="BD96" i="7"/>
  <c r="BC96" i="7"/>
  <c r="BD95" i="7"/>
  <c r="BC95" i="7"/>
  <c r="AB21" i="7" a="1"/>
  <c r="AA21" i="7" a="1"/>
  <c r="AL19" i="7" a="1"/>
  <c r="AJ19" i="7" a="1"/>
  <c r="AC16" i="7" a="1"/>
  <c r="O15" i="7"/>
  <c r="L15" i="7"/>
  <c r="K15" i="7"/>
  <c r="J15" i="7"/>
  <c r="O14" i="7"/>
  <c r="L14" i="7"/>
  <c r="K14" i="7"/>
  <c r="J14" i="7"/>
  <c r="O13" i="7"/>
  <c r="L13" i="7"/>
  <c r="K13" i="7"/>
  <c r="J13" i="7"/>
  <c r="AK12" i="7"/>
  <c r="AE12" i="7" a="1"/>
  <c r="O12" i="7"/>
  <c r="L12" i="7"/>
  <c r="K12" i="7"/>
  <c r="J12" i="7"/>
  <c r="AE11" i="7" a="1"/>
  <c r="O11" i="7"/>
  <c r="L11" i="7"/>
  <c r="K11" i="7"/>
  <c r="J11" i="7"/>
  <c r="AE10" i="7" a="1"/>
  <c r="BB96" i="7" s="1"/>
  <c r="O10" i="7"/>
  <c r="L10" i="7"/>
  <c r="K10" i="7"/>
  <c r="J10" i="7"/>
  <c r="AE9" i="7" a="1"/>
  <c r="O9" i="7"/>
  <c r="L9" i="7"/>
  <c r="K9" i="7"/>
  <c r="J9" i="7"/>
  <c r="AE8" i="7" a="1"/>
  <c r="AB8" i="7" a="1"/>
  <c r="BB99" i="7" s="1"/>
  <c r="O8" i="7"/>
  <c r="L8" i="7"/>
  <c r="K8" i="7"/>
  <c r="J8" i="7"/>
  <c r="AE7" i="7" a="1"/>
  <c r="AB7" i="7" a="1"/>
  <c r="O7" i="7"/>
  <c r="L7" i="7"/>
  <c r="K7" i="7"/>
  <c r="J7" i="7"/>
  <c r="AE6" i="7" a="1"/>
  <c r="BB100" i="7" s="1"/>
  <c r="O6" i="7"/>
  <c r="L6" i="7"/>
  <c r="K6" i="7"/>
  <c r="J6" i="7"/>
  <c r="BS5" i="7" a="1"/>
  <c r="O5" i="7"/>
  <c r="L5" i="7"/>
  <c r="K5" i="7"/>
  <c r="J5" i="7"/>
  <c r="BS4" i="7" a="1"/>
  <c r="AE4" i="7" a="1"/>
  <c r="BB101" i="7" s="1"/>
  <c r="O4" i="7"/>
  <c r="L4" i="7"/>
  <c r="K4" i="7"/>
  <c r="J4" i="7"/>
  <c r="A4" i="7" a="1"/>
  <c r="BS3" i="7" a="1"/>
  <c r="AX3" i="7" a="1"/>
  <c r="AW3" i="7" a="1"/>
  <c r="AV3" i="7" a="1"/>
  <c r="AU3" i="7" a="1"/>
  <c r="AT3" i="7" a="1"/>
  <c r="AY3" i="7" s="1" a="1"/>
  <c r="AS3" i="7" a="1"/>
  <c r="AR3" i="7" a="1"/>
  <c r="AQ3" i="7" a="1"/>
  <c r="AP3" i="7" a="1"/>
  <c r="AO3" i="7" a="1"/>
  <c r="AN3" i="7" a="1"/>
  <c r="Y3" i="7" a="1"/>
  <c r="X3" i="7" a="1"/>
  <c r="W3" i="7" a="1"/>
  <c r="V3" i="7" a="1"/>
  <c r="U3" i="7" a="1"/>
  <c r="T3" i="7" a="1"/>
  <c r="S3" i="7" a="1"/>
  <c r="BS2" i="7"/>
  <c r="AY2" i="7" a="1"/>
  <c r="AX2" i="7" a="1"/>
  <c r="AW2" i="7" a="1"/>
  <c r="AV2" i="7" a="1"/>
  <c r="AU2" i="7" a="1"/>
  <c r="AT2" i="7" a="1"/>
  <c r="AS2" i="7" a="1"/>
  <c r="AR2" i="7" a="1"/>
  <c r="AQ2" i="7" a="1"/>
  <c r="AP2" i="7" a="1"/>
  <c r="AO2" i="7" a="1"/>
  <c r="AF2" i="7" a="1"/>
  <c r="P2" i="7" a="1"/>
  <c r="L2" i="7" a="1"/>
  <c r="K2" i="7" a="1"/>
  <c r="J2" i="7" a="1"/>
  <c r="I2"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1" i="7" l="1" a="1"/>
  <c r="AK26" i="7" a="1"/>
  <c r="AK25" i="7" a="1"/>
  <c r="AK24" i="7" a="1"/>
  <c r="AK23" i="7" a="1"/>
  <c r="AK22" i="7" a="1"/>
  <c r="AK21" i="7" a="1"/>
  <c r="AK20" i="7" a="1"/>
  <c r="AK62" i="7" a="1"/>
  <c r="AK52" i="7" a="1"/>
  <c r="AK60" i="7" a="1"/>
  <c r="AK59" i="7" a="1"/>
  <c r="AK58" i="7" a="1"/>
  <c r="AK57" i="7" a="1"/>
  <c r="AK56" i="7" a="1"/>
  <c r="AK55" i="7" a="1"/>
  <c r="AK54" i="7" a="1"/>
  <c r="AK53" i="7" a="1"/>
  <c r="AK19" i="7" a="1"/>
  <c r="AK3" i="7" s="1" a="1"/>
  <c r="AK51" i="7" a="1"/>
  <c r="AK50" i="7"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14" i="7" a="1"/>
  <c r="AK13" i="7" a="1"/>
  <c r="AD16" i="7" a="1"/>
  <c r="AG21" i="7" a="1"/>
  <c r="AF21" i="7" a="1"/>
  <c r="AB16" i="7" a="1"/>
  <c r="AD21" i="7" a="1"/>
  <c r="AE21" i="7" a="1"/>
  <c r="AC21" i="7" a="1"/>
  <c r="AC17" i="7" a="1"/>
  <c r="AE15" i="7" a="1"/>
  <c r="AB15" i="7" a="1"/>
  <c r="AH21" i="7" a="1"/>
  <c r="AB17" i="7" a="1"/>
  <c r="AF15" i="7" a="1"/>
  <c r="AC15" i="7" a="1"/>
  <c r="AB5" i="7" a="1"/>
  <c r="AD15" i="7" a="1"/>
  <c r="AB6" i="7" a="1"/>
  <c r="BB97" i="7" s="1"/>
  <c r="BS6" i="7" a="1"/>
  <c r="AB4" i="7" a="1"/>
  <c r="AE5" i="7" a="1"/>
  <c r="BD97" i="7"/>
  <c r="BC97" i="7"/>
  <c r="BB9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BA0B5221-EB24-4FDD-989F-E9C08B7B8FFC}">
      <text>
        <r>
          <rPr>
            <b/>
            <sz val="9"/>
            <color indexed="81"/>
            <rFont val="Tahoma"/>
            <family val="2"/>
          </rPr>
          <t>Reserved §4b position. Sample_Include() is materialized here as a thunk over a spill in a follow-up (Excel-verified), not blind; the live closure remains the row mask until then.</t>
        </r>
      </text>
    </comment>
    <comment ref="BW1" authorId="0" shapeId="0" xr:uid="{4F32288C-8E08-43DF-834B-437BE4A240B4}">
      <text>
        <r>
          <rPr>
            <b/>
            <sz val="9"/>
            <color indexed="81"/>
            <rFont val="Tahoma"/>
            <family val="2"/>
          </rPr>
          <t>Reserved §4b terminal position. Nothing may ever be placed to the right of this zone: the design matrix's width is unbounded and one dropdown away, so any zone after it would be displaced by an ordinary modelling choice. Design_Columns() is materialized here in a follow-up release; until then the constructor is evaluated per call site, and the pre-flight width guard in the spec block already reports what this zone would occupy.</t>
        </r>
      </text>
    </comment>
    <comment ref="T2" authorId="0" shapeId="0" xr:uid="{B336B818-5F29-489F-95E1-F05BDF2323A6}">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07D42162-FE48-4500-9BD7-E014C0C4C2F6}">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F63B0805-6927-49E3-9988-ED8AAE1A113D}">
      <text>
        <r>
          <rPr>
            <b/>
            <sz val="9"/>
            <color indexed="81"/>
            <rFont val="Tahoma"/>
            <family val="2"/>
          </rPr>
          <t>Shows whether the data have a longer tail on one side. Positive means a longer right tail; negative means a longer left tail.</t>
        </r>
      </text>
    </comment>
    <comment ref="W2" authorId="0" shapeId="0" xr:uid="{FFE3E5EB-48B8-4488-B3F2-71B6904D896C}">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97003BA7-E31C-4569-B779-657211B6BCA7}">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2D4ED13D-BCCD-4FAA-B722-9B72454A5798}">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86A2871D-7876-42D2-AEE5-FD85CE1B8BDD}">
      <text>
        <r>
          <rPr>
            <b/>
            <sz val="9"/>
            <color indexed="81"/>
            <rFont val="Tahoma"/>
            <family val="2"/>
          </rPr>
          <t>The actual observed outcome values.</t>
        </r>
      </text>
    </comment>
    <comment ref="AP2" authorId="0" shapeId="0" xr:uid="{002C6247-077D-429F-B169-2379ECD70E86}">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F9D1E661-5194-4490-A685-7C507D3701FD}">
      <text>
        <r>
          <rPr>
            <b/>
            <sz val="9"/>
            <color indexed="81"/>
            <rFont val="Tahoma"/>
            <family val="2"/>
          </rPr>
          <t>Actual Y minus predicted Y. Positive means the row came in above the model's prediction; negative means below.</t>
        </r>
      </text>
    </comment>
    <comment ref="AR2" authorId="0" shapeId="0" xr:uid="{0048C5A5-92D5-4CCC-9FBD-AE9D7824A5D4}">
      <text>
        <r>
          <rPr>
            <b/>
            <sz val="9"/>
            <color indexed="81"/>
            <rFont val="Tahoma"/>
            <family val="2"/>
          </rPr>
          <t>Leverage. It shows how unusual a row's predictor values are relative to the rest of the data.</t>
        </r>
      </text>
    </comment>
    <comment ref="AS2" authorId="0" shapeId="0" xr:uid="{2DC6853A-1A0B-4D5B-808D-34C51B30C72F}">
      <text>
        <r>
          <rPr>
            <b/>
            <sz val="9"/>
            <color indexed="81"/>
            <rFont val="Tahoma"/>
            <family val="2"/>
          </rPr>
          <t>Residuals scaled to account for overall error size and leverage, making outliers easier to compare fairly.</t>
        </r>
      </text>
    </comment>
    <comment ref="AT2" authorId="0" shapeId="0" xr:uid="{310C613E-B7BE-41E3-AC5F-2EFDA9B8EBE9}">
      <text>
        <r>
          <rPr>
            <b/>
            <sz val="9"/>
            <color indexed="81"/>
            <rFont val="Tahoma"/>
            <family val="2"/>
          </rPr>
          <t>How much a single row can pull the fitted coefficients and predictions around.</t>
        </r>
      </text>
    </comment>
    <comment ref="AU2" authorId="0" shapeId="0" xr:uid="{2823DC43-45F1-4601-921E-1B20FD4A0D79}">
      <text>
        <r>
          <rPr>
            <b/>
            <sz val="9"/>
            <color indexed="81"/>
            <rFont val="Tahoma"/>
            <family val="2"/>
          </rPr>
          <t>Expected bell-curve quantiles used for the Q-Q comparison.</t>
        </r>
      </text>
    </comment>
    <comment ref="AV2" authorId="0" shapeId="0" xr:uid="{6E92599F-B1CD-45CC-A4FB-0BD468BB9803}">
      <text>
        <r>
          <rPr>
            <b/>
            <sz val="9"/>
            <color indexed="81"/>
            <rFont val="Tahoma"/>
            <family val="2"/>
          </rPr>
          <t>Studentized residuals sorted from smallest to largest for the Q-Q plot.</t>
        </r>
      </text>
    </comment>
    <comment ref="AW2" authorId="0" shapeId="0" xr:uid="{91453395-D6C9-411C-AE0E-941ED3D6FAF7}">
      <text>
        <r>
          <rPr>
            <b/>
            <sz val="9"/>
            <color indexed="81"/>
            <rFont val="Tahoma"/>
            <family val="2"/>
          </rPr>
          <t>The square root of the absolute studentized residual. A flat pattern suggests stable error spread.</t>
        </r>
      </text>
    </comment>
    <comment ref="AX2" authorId="0" shapeId="0" xr:uid="{0278AAD9-E14A-4FFA-A15C-89E40A819318}">
      <text>
        <r>
          <rPr>
            <b/>
            <sz val="9"/>
            <color indexed="81"/>
            <rFont val="Tahoma"/>
            <family val="2"/>
          </rPr>
          <t>The prediction error for a row when that row is left out of the fitting step (the leave-one-out / LOOCV residual). Summing its squares gives PRESS.</t>
        </r>
      </text>
    </comment>
    <comment ref="AY2" authorId="0" shapeId="0" xr:uid="{4172203B-8995-42B8-9AEC-D62B61FB5B94}">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0C25C0BA-A299-44DD-BFCA-331FA261145B}">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33F5FDD7-24EC-4053-8C2E-FDC2AC99610E}">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3BAF46CB-F783-499E-92C5-D4EDF1DCCC9D}">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B86BB137-EE60-4890-BEE6-039F61B9BEF3}">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88ABC12B-7D24-4FC9-B506-54B49075DBF3}">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F51C0655-C3D7-47FD-95E5-4D673CD95486}">
      <text>
        <r>
          <rPr>
            <b/>
            <sz val="9"/>
            <color indexed="81"/>
            <rFont val="Tahoma"/>
            <family val="2"/>
          </rPr>
          <t>Reserved for a future release — not yet used by any formula.</t>
        </r>
      </text>
    </comment>
    <comment ref="G3" authorId="0" shapeId="0" xr:uid="{E240502A-31E5-435C-8647-9EA0FC65B39F}">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E5EFA5A7-8212-4665-8437-76CCCDE651CE}">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A4B364EA-CC5A-4F6B-BA1A-CDD703F2F5F5}">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6CC08D34-6262-4EE3-B18B-4E0918789485}">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D1D3CF13-5A3F-46D2-9E00-C0122934DD51}">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CDA86ED3-4AA1-4DD2-ADFE-5345ECF042A0}">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2A97739A-87BE-4F11-A3F0-7A000459AB61}">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858E96C5-9594-4AAA-A67A-8235F9B7CC28}">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21C280CA-F614-403B-AEAA-EBF2CA2FA447}">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F8B01FBC-D0BA-4B1C-8E53-46FE730529F3}">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D372C862-5B30-4BCE-8651-7E821C706DC7}">
      <text>
        <r>
          <rPr>
            <b/>
            <sz val="9"/>
            <color indexed="81"/>
            <rFont val="Tahoma"/>
            <family val="2"/>
          </rPr>
          <t>How closely the model's predicted Y values track the actual Y values overall.</t>
        </r>
      </text>
    </comment>
    <comment ref="AD4" authorId="0" shapeId="0" xr:uid="{0BF004F0-80ED-4578-B2FA-4419F4E004E6}">
      <text>
        <r>
          <rPr>
            <b/>
            <sz val="9"/>
            <color indexed="81"/>
            <rFont val="Tahoma"/>
            <family val="2"/>
          </rPr>
          <t>A leave-one-out prediction error score. Lower is better because it means the model predicts unseen rows more accurately.</t>
        </r>
      </text>
    </comment>
    <comment ref="AJ4" authorId="0" shapeId="0" xr:uid="{969E3B52-C8CD-467F-8176-E052B44EA4A4}">
      <text>
        <r>
          <rPr>
            <b/>
            <sz val="9"/>
            <color indexed="81"/>
            <rFont val="Tahoma"/>
            <family val="2"/>
          </rPr>
          <t>Standard error for the MEAN of Y at the chosen X values. Builds the confidence interval — the narrower band — for where the average response sits.</t>
        </r>
      </text>
    </comment>
    <comment ref="AA5" authorId="0" shapeId="0" xr:uid="{047A8387-D1C2-4BA8-BFE2-9A209E7B5AAF}">
      <text>
        <r>
          <rPr>
            <b/>
            <sz val="9"/>
            <color indexed="81"/>
            <rFont val="Tahoma"/>
            <family val="2"/>
          </rPr>
          <t>The share of the outcome's variation explained by the model.</t>
        </r>
      </text>
    </comment>
    <comment ref="AD5" authorId="0" shapeId="0" xr:uid="{28536F9C-0CC5-48D1-94B8-8D4C029B2E17}">
      <text>
        <r>
          <rPr>
            <b/>
            <sz val="9"/>
            <color indexed="81"/>
            <rFont val="Tahoma"/>
            <family val="2"/>
          </rPr>
          <t>An out-of-sample version of R Square based on leave-one-out prediction. Negative values mean the model predicts worse than just using the average Y.</t>
        </r>
      </text>
    </comment>
    <comment ref="AJ5" authorId="0" shapeId="0" xr:uid="{A8A4F76A-88DF-4D08-96A0-A6075CE7F538}">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F634EBBE-3911-49F8-94C8-C30D6D6644DD}">
      <text>
        <r>
          <rPr>
            <b/>
            <sz val="9"/>
            <color indexed="81"/>
            <rFont val="Tahoma"/>
            <family val="2"/>
          </rPr>
          <t>R Square with a penalty for adding predictors that do not help enough.</t>
        </r>
      </text>
    </comment>
    <comment ref="AD6" authorId="0" shapeId="0" xr:uid="{59240629-5928-4A7D-89BA-9AF9CB5B3E1D}">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3BC790B9-679E-4234-B793-63DA15A6B9F9}">
      <text>
        <r>
          <rPr>
            <b/>
            <sz val="9"/>
            <color indexed="81"/>
            <rFont val="Tahoma"/>
            <family val="2"/>
          </rPr>
          <t>The t-distribution cutoff at the chosen confidence level. Multiply by SE (Mean) to get the CI half-width and by SE (New Obs) to get the PI half-width.</t>
        </r>
      </text>
    </comment>
    <comment ref="AA7" authorId="0" shapeId="0" xr:uid="{68B42921-98E9-4FEF-BA1E-F26C14121945}">
      <text>
        <r>
          <rPr>
            <b/>
            <sz val="9"/>
            <color indexed="81"/>
            <rFont val="Tahoma"/>
            <family val="2"/>
          </rPr>
          <t>The typical size of the model's prediction errors, measured in the same units as Y.</t>
        </r>
      </text>
    </comment>
    <comment ref="AD7" authorId="0" shapeId="0" xr:uid="{2BDE3849-AFCD-44C6-B799-CE6F4A9C1310}">
      <text>
        <r>
          <rPr>
            <b/>
            <sz val="9"/>
            <color indexed="81"/>
            <rFont val="Tahoma"/>
            <family val="2"/>
          </rPr>
          <t>A model-comparison score that balances fit against complexity. Lower is better when comparing models on the same data.</t>
        </r>
      </text>
    </comment>
    <comment ref="AJ7" authorId="0" shapeId="0" xr:uid="{4B294F70-2B63-4C57-A6AF-17E088F6C18D}">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38744343-9269-4B85-BE87-A330C445EA2C}">
      <text>
        <r>
          <rPr>
            <b/>
            <sz val="9"/>
            <color indexed="81"/>
            <rFont val="Tahoma"/>
            <family val="2"/>
          </rPr>
          <t>The number of rows actually used in the regression after filtering.</t>
        </r>
      </text>
    </comment>
    <comment ref="AD8" authorId="0" shapeId="0" xr:uid="{F0269E81-66A8-4B28-A0EB-E6CF1039FF10}">
      <text>
        <r>
          <rPr>
            <b/>
            <sz val="9"/>
            <color indexed="81"/>
            <rFont val="Tahoma"/>
            <family val="2"/>
          </rPr>
          <t>Another model-comparison score like AIC, but it penalizes extra predictors more strongly.</t>
        </r>
      </text>
    </comment>
    <comment ref="AJ8" authorId="0" shapeId="0" xr:uid="{15CFBB75-FFA7-4C3E-AA00-20EB294A727E}">
      <text>
        <r>
          <rPr>
            <b/>
            <sz val="9"/>
            <color indexed="81"/>
            <rFont val="Tahoma"/>
            <family val="2"/>
          </rPr>
          <t>Upper bound of the confidence interval for the MEAN response at the chosen X values.</t>
        </r>
      </text>
    </comment>
    <comment ref="AD9" authorId="0" shapeId="0" xr:uid="{47A88D94-48F2-4837-BE30-56A6D9C78569}">
      <text>
        <r>
          <rPr>
            <b/>
            <sz val="9"/>
            <color indexed="81"/>
            <rFont val="Tahoma"/>
            <family val="2"/>
          </rPr>
          <t>AIC with an extra correction for small samples.</t>
        </r>
      </text>
    </comment>
    <comment ref="AJ9" authorId="0" shapeId="0" xr:uid="{25183145-DA21-4145-ACBF-2546D7398E5C}">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CC261ED3-3645-425F-97E0-F2504CAAD3C0}">
      <text>
        <r>
          <rPr>
            <b/>
            <sz val="9"/>
            <color indexed="81"/>
            <rFont val="Tahoma"/>
            <family val="2"/>
          </rPr>
          <t>A numeric check of how close the residuals are to a normal bell shape. Values closer to 1 are better.</t>
        </r>
      </text>
    </comment>
    <comment ref="AJ10" authorId="0" shapeId="0" xr:uid="{0AEA2573-3384-426F-B155-93904EFABE8B}">
      <text>
        <r>
          <rPr>
            <b/>
            <sz val="9"/>
            <color indexed="81"/>
            <rFont val="Tahoma"/>
            <family val="2"/>
          </rPr>
          <t>Upper bound of the prediction interval for a SINGLE new observation at the chosen X values.</t>
        </r>
      </text>
    </comment>
    <comment ref="AD11" authorId="0" shapeId="0" xr:uid="{58BFE51F-C00D-4447-9802-426DDFB014D8}">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4857C492-5DD9-4ED4-AC09-4D192A6C5A1E}">
      <text>
        <r>
          <rPr>
            <b/>
            <sz val="9"/>
            <color indexed="81"/>
            <rFont val="Tahoma"/>
            <family val="2"/>
          </rPr>
          <t>The probability level associated with the interval. With alpha 0.05, this is 95%.</t>
        </r>
      </text>
    </comment>
    <comment ref="AA12" authorId="0" shapeId="0" xr:uid="{3B8F01C5-8A84-4643-B63D-D6B1C3760914}">
      <text>
        <r>
          <rPr>
            <b/>
            <sz val="9"/>
            <color indexed="81"/>
            <rFont val="Tahoma"/>
            <family val="2"/>
          </rPr>
          <t>The cutoff for statistical significance. At 0.05, results with p-values below 0.05 are treated as statistically significant.</t>
        </r>
      </text>
    </comment>
    <comment ref="AD12" authorId="0" shapeId="0" xr:uid="{DD03441B-0EEA-4711-85EF-2C2E52FBABA9}">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658807B9-80A9-465F-BF10-C0F167E2E27D}">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A9B987B3-D167-4420-8F9B-BDA66F79EAF0}">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660DD9A6-0387-4F18-80CC-0F73744C4133}">
      <text>
        <r>
          <rPr>
            <b/>
            <sz val="9"/>
            <color indexed="81"/>
            <rFont val="Tahoma"/>
            <family val="2"/>
          </rPr>
          <t>The number of independent data points available to estimate each part of the model — total rows minus one for each estimated parameter.</t>
        </r>
      </text>
    </comment>
    <comment ref="AC14" authorId="0" shapeId="0" xr:uid="{CA0D038B-F130-4FCC-88D3-7A66B72C0A3C}">
      <text>
        <r>
          <rPr>
            <b/>
            <sz val="9"/>
            <color indexed="81"/>
            <rFont val="Tahoma"/>
            <family val="2"/>
          </rPr>
          <t>The total variation attributed to that source — regression, residual, or total. The raw material from which MS and F are calculated.</t>
        </r>
      </text>
    </comment>
    <comment ref="AD14" authorId="0" shapeId="0" xr:uid="{5BFDD3EB-FEC3-4164-9D56-F4C40A6E71DF}">
      <text>
        <r>
          <rPr>
            <b/>
            <sz val="9"/>
            <color indexed="81"/>
            <rFont val="Tahoma"/>
            <family val="2"/>
          </rPr>
          <t>Sum of squares averaged over its degrees of freedom — a per-unit measure of variation for that source.</t>
        </r>
      </text>
    </comment>
    <comment ref="AE14" authorId="0" shapeId="0" xr:uid="{68A9BD87-CCBE-4BAC-8A0E-E18328AC6AB3}">
      <text>
        <r>
          <rPr>
            <b/>
            <sz val="9"/>
            <color indexed="81"/>
            <rFont val="Tahoma"/>
            <family val="2"/>
          </rPr>
          <t>The model-vs-noise ratio used in the overall regression significance test.</t>
        </r>
      </text>
    </comment>
    <comment ref="AF14" authorId="0" shapeId="0" xr:uid="{90B8773B-FFE6-4BB0-8DD7-DD62C7C127DF}">
      <text>
        <r>
          <rPr>
            <b/>
            <sz val="9"/>
            <color indexed="81"/>
            <rFont val="Tahoma"/>
            <family val="2"/>
          </rPr>
          <t>The p-value for the overall F test. Small values mean the model as a whole is unlikely to be pure noise.</t>
        </r>
      </text>
    </comment>
    <comment ref="AJ14" authorId="0" shapeId="0" xr:uid="{0B64AABB-171A-4FBD-8AA3-AB09AE9969B8}">
      <text>
        <r>
          <rPr>
            <b/>
            <sz val="9"/>
            <color indexed="81"/>
            <rFont val="Tahoma"/>
            <family val="2"/>
          </rPr>
          <t>Number of analysis-sample observations in the selected FE group. The Tᵢ used to scale the within-group mean's standard error.</t>
        </r>
      </text>
    </comment>
    <comment ref="AA15" authorId="0" shapeId="0" xr:uid="{C15F776B-9CFF-480F-9E94-2792A2CFA2D1}">
      <text>
        <r>
          <rPr>
            <b/>
            <sz val="9"/>
            <color indexed="81"/>
            <rFont val="Tahoma"/>
            <family val="2"/>
          </rPr>
          <t>The variation explained by the predictors taken together.</t>
        </r>
      </text>
    </comment>
    <comment ref="AA16" authorId="0" shapeId="0" xr:uid="{2A94C8E4-B20F-42E2-B787-24B7B50434C9}">
      <text>
        <r>
          <rPr>
            <b/>
            <sz val="9"/>
            <color indexed="81"/>
            <rFont val="Tahoma"/>
            <family val="2"/>
          </rPr>
          <t>The variation the model does not explain.</t>
        </r>
      </text>
    </comment>
    <comment ref="AA17" authorId="0" shapeId="0" xr:uid="{A09A1FBA-E31F-45D3-9AAF-D26F5044AF67}">
      <text>
        <r>
          <rPr>
            <b/>
            <sz val="9"/>
            <color indexed="81"/>
            <rFont val="Tahoma"/>
            <family val="2"/>
          </rPr>
          <t>All variation in the outcome before splitting it into explained and unexplained parts.</t>
        </r>
      </text>
    </comment>
    <comment ref="AJ17" authorId="0" shapeId="0" xr:uid="{16ED4BC0-7DB0-48E2-A450-DEB3CA0D6CDE}">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503BBEF6-6DAA-4B71-BBB3-609D84E55099}">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75993B28-B7DE-4D80-A64C-32A5C903D680}">
      <text>
        <r>
          <rPr>
            <b/>
            <sz val="9"/>
            <color indexed="81"/>
            <rFont val="Tahoma"/>
            <family val="2"/>
          </rPr>
          <t>The fitted weights used to turn predictor values into predictions.</t>
        </r>
      </text>
    </comment>
    <comment ref="AC20" authorId="0" shapeId="0" xr:uid="{AAF3BCDB-D94E-4473-A3D3-EA51FDC4B4C5}">
      <text>
        <r>
          <rPr>
            <b/>
            <sz val="9"/>
            <color indexed="81"/>
            <rFont val="Tahoma"/>
            <family val="2"/>
          </rPr>
          <t>How uncertain each coefficient estimate is.</t>
        </r>
      </text>
    </comment>
    <comment ref="AD20" authorId="0" shapeId="0" xr:uid="{90F2EF3A-D923-4286-874E-8FEBC1A61C1A}">
      <text>
        <r>
          <rPr>
            <b/>
            <sz val="9"/>
            <color indexed="81"/>
            <rFont val="Tahoma"/>
            <family val="2"/>
          </rPr>
          <t>How many standard errors the coefficient is away from zero.</t>
        </r>
      </text>
    </comment>
    <comment ref="AE20" authorId="0" shapeId="0" xr:uid="{2C3B2E6A-552A-42FF-A153-788B35F2D931}">
      <text>
        <r>
          <rPr>
            <b/>
            <sz val="9"/>
            <color indexed="81"/>
            <rFont val="Tahoma"/>
            <family val="2"/>
          </rPr>
          <t>How surprising this coefficient would be if its true effect were zero. Smaller values mean stronger evidence of a real effect.</t>
        </r>
      </text>
    </comment>
    <comment ref="AF20" authorId="0" shapeId="0" xr:uid="{E6C6CEDA-556B-4FF0-B1E0-549494C50D85}">
      <text>
        <r>
          <rPr>
            <b/>
            <sz val="9"/>
            <color indexed="81"/>
            <rFont val="Tahoma"/>
            <family val="2"/>
          </rPr>
          <t>The lower bound of the 95% confidence interval.</t>
        </r>
      </text>
    </comment>
    <comment ref="AG20" authorId="0" shapeId="0" xr:uid="{DDC11B04-5E65-4552-8ADD-D4101B329C18}">
      <text>
        <r>
          <rPr>
            <b/>
            <sz val="9"/>
            <color indexed="81"/>
            <rFont val="Tahoma"/>
            <family val="2"/>
          </rPr>
          <t>The upper bound of the 95% confidence interval.</t>
        </r>
      </text>
    </comment>
    <comment ref="AH20" authorId="0" shapeId="0" xr:uid="{E4A1FFC5-669F-4ED2-82AC-A140CC0417DA}">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<sst xmlns="http://schemas.openxmlformats.org/spreadsheetml/2006/main" count="8818" uniqueCount="1877">
  <si>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</si>
  <si>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</si>
  <si>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</si>
  <si>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</si>
  <si>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</si>
  <si>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</si>
  <si>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</si>
  <si>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</si>
  <si>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</si>
  <si>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</si>
  <si>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</si>
  <si>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</si>
  <si>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</si>
  <si>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</si>
  <si>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</si>
  <si>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</si>
  <si>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</si>
  <si>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</si>
  <si>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</si>
  <si>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</si>
  <si>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</si>
  <si>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</si>
  <si>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</si>
  <si>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</si>
  <si>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</si>
  <si>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</si>
  <si>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</si>
  <si>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</si>
  <si>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</si>
  <si>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</si>
  <si>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</si>
  <si>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</si>
  <si>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</si>
  <si>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</si>
  <si>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</si>
  <si>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</si>
  <si>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</si>
  <si>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</si>
  <si>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</si>
  <si>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</si>
  <si>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</si>
  <si>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</si>
  <si>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</si>
  <si>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</si>
  <si>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</si>
  <si>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</si>
  <si>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</si>
  <si>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</si>
  <si>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</si>
  <si>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</si>
  <si>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</si>
  <si>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</si>
  <si>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</si>
  <si>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</si>
  <si>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</si>
  <si>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</si>
  <si>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</si>
  <si>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</si>
  <si>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</si>
  <si>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</si>
  <si>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</si>
  <si>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</si>
  <si>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</si>
  <si>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</si>
  <si>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</si>
  <si>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</si>
  <si>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</si>
  <si>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</si>
  <si>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</si>
  <si>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</si>
  <si>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</si>
  <si>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</si>
  <si>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</si>
  <si>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</si>
  <si>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</si>
  <si>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</si>
  <si>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</si>
  <si>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</si>
  <si>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</si>
  <si>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</si>
  <si>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</si>
  <si>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</si>
  <si>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</si>
  <si>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</si>
  <si>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</si>
  <si>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</si>
  <si>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</si>
  <si>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</si>
  <si>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</si>
  <si>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</si>
  <si>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</si>
  <si>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</si>
  <si>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</si>
  <si>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</si>
  <si>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</si>
  <si>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</si>
  <si>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</si>
  <si>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</si>
  <si>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</si>
  <si>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</si>
  <si>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</si>
  <si>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</si>
  <si>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</si>
  <si>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</si>
  <si>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</si>
  <si>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</si>
  <si>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</si>
  <si>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</si>
  <si>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</si>
  <si>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</si>
  <si>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</si>
  <si>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</si>
  <si>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</si>
  <si>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</si>
  <si>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</si>
  <si>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</si>
  <si>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</si>
  <si>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</si>
  <si>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</si>
  <si>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</si>
  <si>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</si>
  <si>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</si>
  <si>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</si>
  <si>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</si>
  <si>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</si>
  <si>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</si>
  <si>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</si>
  <si>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</si>
  <si>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</si>
  <si>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</si>
  <si>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</si>
  <si>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</si>
  <si>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</si>
  <si>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</si>
  <si>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</si>
  <si>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</si>
  <si>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</si>
  <si>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</si>
  <si>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</si>
  <si>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</si>
  <si>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</si>
  <si>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</si>
  <si>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</si>
  <si>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</si>
  <si>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</si>
  <si>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</si>
  <si>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</si>
  <si>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</si>
  <si>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</si>
  <si>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</si>
  <si>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</si>
  <si>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</si>
  <si>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</si>
  <si>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</si>
  <si>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</si>
  <si>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</si>
  <si>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</si>
  <si>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</si>
  <si>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</si>
  <si>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</si>
  <si>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</si>
  <si>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</si>
  <si>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</si>
  <si>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</si>
  <si>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</si>
  <si>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</si>
  <si>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</si>
  <si>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</si>
  <si>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</si>
  <si>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</si>
  <si>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</si>
  <si>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</si>
  <si>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</si>
  <si>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</si>
  <si>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</si>
  <si>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</si>
  <si>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</si>
  <si>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</si>
  <si>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</si>
  <si>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</si>
  <si>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</si>
  <si>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</si>
  <si>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</si>
  <si>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</si>
  <si>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</si>
  <si>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</si>
  <si>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</si>
  <si>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</si>
  <si>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</si>
  <si>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</si>
  <si>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</si>
  <si>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</si>
  <si>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</si>
  <si>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</si>
  <si>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</si>
  <si>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</si>
  <si>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</si>
  <si>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</si>
  <si>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</si>
  <si>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</si>
  <si>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</si>
  <si>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</si>
  <si>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</si>
  <si>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</si>
  <si>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</si>
  <si>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</si>
  <si>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</si>
  <si>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</si>
  <si>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</si>
  <si>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</si>
  <si>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</si>
  <si>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</si>
  <si>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</si>
  <si>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</si>
  <si>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</si>
  <si>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</si>
  <si>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</si>
  <si>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</si>
  <si>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</si>
  <si>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</si>
  <si>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</si>
  <si>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</si>
  <si>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</si>
  <si>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</si>
  <si>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</si>
  <si>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</si>
  <si>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</si>
  <si>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</si>
  <si>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</si>
  <si>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</si>
  <si>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</si>
  <si>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</si>
  <si>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</si>
  <si>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</si>
  <si>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</si>
  <si>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</si>
  <si>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</si>
  <si>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</si>
  <si>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</si>
  <si>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</si>
  <si>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</si>
  <si>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</si>
  <si>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</si>
  <si>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</si>
  <si>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</si>
  <si>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</si>
  <si>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</si>
  <si>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</si>
  <si>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</si>
  <si>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</si>
  <si>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</si>
  <si>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</si>
  <si>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</si>
  <si>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</si>
  <si>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</si>
  <si>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</si>
  <si>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</si>
  <si>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</si>
  <si>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</si>
  <si>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</si>
  <si>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</si>
  <si>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</si>
  <si>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</si>
  <si>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</si>
  <si>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</si>
  <si>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</si>
  <si>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</si>
  <si>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</si>
  <si>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</si>
  <si>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</si>
  <si>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</si>
  <si>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</si>
  <si>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</si>
  <si>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</si>
  <si>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</si>
  <si>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</si>
  <si>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</si>
  <si>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</si>
  <si>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</si>
  <si>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</si>
  <si>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</si>
  <si>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</si>
  <si>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</si>
  <si>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</si>
  <si>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</si>
  <si>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</si>
  <si>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</si>
  <si>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</si>
  <si>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</si>
  <si>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</si>
  <si>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</si>
  <si>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</si>
  <si>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</si>
  <si>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</si>
  <si>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</si>
  <si>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</si>
  <si>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</si>
  <si>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</si>
  <si>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</si>
  <si>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</si>
  <si>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</si>
  <si>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</si>
  <si>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</si>
  <si>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</si>
  <si>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</si>
  <si>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</si>
  <si>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</si>
  <si>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</si>
  <si>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</si>
  <si>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</si>
  <si>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</si>
  <si>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</si>
  <si>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</si>
  <si>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</si>
  <si>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</si>
  <si>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</si>
  <si>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</si>
  <si>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</si>
  <si>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</si>
  <si>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</si>
  <si>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</si>
  <si>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</si>
  <si>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</si>
  <si>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</si>
  <si>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</si>
  <si>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</si>
  <si>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</si>
  <si>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</si>
  <si>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</si>
  <si>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</si>
  <si>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</si>
  <si>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</si>
  <si>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</si>
  <si>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</si>
  <si>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</si>
  <si>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</si>
  <si>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</si>
  <si>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</si>
  <si>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</si>
  <si>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</si>
  <si>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</si>
  <si>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</si>
  <si>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</si>
  <si>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</si>
  <si>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</si>
  <si>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</si>
  <si>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</si>
  <si>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</si>
  <si>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</si>
  <si>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</si>
  <si>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</si>
  <si>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</si>
  <si>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</si>
  <si>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</si>
  <si>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</si>
  <si>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</si>
  <si>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</si>
  <si>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</si>
  <si>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</si>
  <si>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</si>
  <si>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</si>
  <si>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</si>
  <si>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</si>
  <si>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</si>
  <si>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</si>
  <si>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</si>
  <si>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</si>
  <si>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</si>
  <si>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</si>
  <si>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</si>
  <si>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</si>
  <si>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</si>
  <si>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</si>
  <si>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</si>
  <si>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</si>
  <si>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</si>
  <si>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</si>
  <si>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</si>
  <si>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</si>
  <si>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</si>
  <si>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</si>
  <si>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</si>
  <si>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</si>
  <si>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</si>
  <si>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</si>
  <si>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</si>
  <si>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</si>
  <si>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</si>
  <si>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</si>
  <si>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</si>
  <si>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</si>
  <si>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</si>
  <si>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</si>
  <si>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</si>
  <si>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</si>
  <si>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</si>
  <si>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</si>
  <si>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</si>
  <si>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</si>
  <si>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</si>
  <si>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</si>
  <si>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</si>
  <si>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</si>
  <si>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</si>
  <si>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</si>
  <si>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</si>
  <si>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</si>
  <si>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</si>
  <si>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</si>
  <si>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</si>
  <si>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</si>
  <si>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</si>
  <si>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</si>
  <si>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</si>
  <si>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</si>
  <si>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</si>
  <si>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</si>
  <si>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</si>
  <si>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</si>
  <si>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</si>
  <si>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</si>
  <si>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</si>
  <si>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</si>
  <si>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</si>
  <si>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</si>
  <si>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</si>
  <si>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</si>
  <si>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</si>
  <si>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</si>
  <si>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</si>
  <si>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</si>
  <si>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</si>
  <si>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</si>
  <si>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</si>
  <si>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</si>
  <si>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</si>
  <si>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</si>
  <si>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</si>
  <si>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</si>
  <si>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</si>
  <si>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</si>
  <si>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</si>
  <si>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</si>
  <si>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</si>
  <si>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</si>
  <si>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</si>
  <si>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</si>
  <si>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</si>
  <si>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</si>
  <si>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</si>
  <si>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</si>
  <si>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</si>
  <si>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</si>
  <si>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</si>
  <si>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</si>
  <si>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</si>
  <si>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</si>
  <si>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</si>
  <si>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</si>
  <si>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</si>
  <si>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</si>
  <si>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</si>
  <si>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</si>
  <si>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</si>
  <si>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</si>
  <si>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</si>
  <si>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</si>
  <si>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</si>
  <si>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</si>
  <si>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</si>
  <si>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</si>
  <si>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</si>
  <si>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</si>
  <si>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</si>
  <si>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</si>
  <si>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</si>
  <si>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</si>
  <si>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</si>
  <si>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</si>
  <si>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</si>
  <si>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</si>
  <si>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</si>
  <si>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</si>
  <si>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</si>
  <si>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</si>
  <si>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</si>
  <si>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</si>
  <si>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</si>
  <si>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</si>
  <si>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</si>
  <si>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</si>
  <si>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</si>
  <si>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</si>
  <si>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</si>
  <si>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</si>
  <si>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</si>
  <si>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</si>
  <si>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</si>
  <si>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</si>
  <si>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</si>
  <si>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</si>
  <si>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</si>
  <si>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</si>
  <si>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</si>
  <si>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</si>
  <si>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</si>
  <si>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</si>
  <si>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</si>
  <si>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</si>
  <si>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</si>
  <si>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</si>
  <si>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</si>
  <si>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</si>
  <si>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</si>
  <si>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</si>
  <si>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</si>
  <si>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</si>
  <si>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</si>
  <si>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</si>
  <si>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</si>
  <si>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</si>
  <si>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</si>
  <si>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</si>
  <si>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</si>
  <si>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</si>
  <si>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</si>
  <si>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</si>
  <si>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</si>
  <si>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</si>
  <si>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</si>
  <si>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</si>
  <si>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</si>
  <si>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</si>
  <si>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</si>
  <si>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</si>
  <si>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</si>
  <si>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</si>
  <si>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</si>
  <si>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</si>
  <si>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</si>
  <si>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</si>
  <si>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</si>
  <si>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</si>
  <si>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</si>
  <si>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</si>
  <si>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</si>
  <si>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</si>
  <si>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</si>
  <si>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</si>
  <si>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</si>
  <si>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</si>
  <si>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</si>
  <si>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</si>
  <si>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</si>
  <si>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</si>
  <si>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</si>
  <si>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</si>
  <si>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</si>
  <si>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</si>
  <si>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</si>
  <si>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</si>
  <si>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</si>
  <si>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</si>
  <si>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</si>
  <si>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</si>
  <si>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</si>
  <si>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</si>
  <si>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</si>
  <si>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</si>
  <si>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</si>
  <si>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</si>
  <si>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</si>
  <si>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</si>
  <si>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</si>
  <si>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</si>
  <si>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</si>
  <si>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</si>
  <si>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</si>
  <si>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</si>
  <si>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</si>
  <si>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</si>
  <si>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</si>
  <si>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</si>
  <si>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</si>
  <si>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</si>
  <si>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</si>
  <si>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</si>
  <si>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</si>
  <si>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</si>
  <si>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</si>
  <si>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</si>
  <si>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</si>
  <si>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</si>
  <si>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</si>
  <si>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</si>
  <si>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</si>
  <si>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</si>
  <si>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</si>
  <si>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</si>
  <si>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</si>
  <si>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</si>
  <si>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</si>
  <si>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</si>
  <si>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</si>
  <si>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</si>
  <si>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</si>
  <si>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</si>
  <si>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</si>
  <si>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</si>
  <si>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</si>
  <si>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</si>
  <si>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</si>
  <si>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</si>
  <si>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</si>
  <si>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</si>
  <si>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</si>
  <si>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</si>
  <si>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</si>
  <si>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</si>
  <si>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</si>
  <si>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</si>
  <si>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</si>
  <si>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</si>
  <si>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</si>
  <si>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</si>
  <si>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</si>
  <si>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</si>
  <si>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</si>
  <si>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</si>
  <si>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</si>
  <si>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</si>
  <si>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</si>
  <si>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</si>
  <si>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</si>
  <si>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</si>
  <si>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</si>
  <si>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</si>
  <si>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</si>
  <si>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</si>
  <si>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</si>
  <si>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</si>
  <si>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</si>
  <si>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</si>
  <si>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</si>
  <si>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</si>
  <si>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</si>
  <si>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</si>
  <si>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</si>
  <si>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</si>
  <si>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</si>
  <si>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</si>
  <si>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</si>
  <si>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</si>
  <si>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</si>
  <si>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</si>
  <si>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</si>
  <si>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</si>
  <si>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</si>
  <si>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</si>
  <si>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</si>
  <si>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</si>
  <si>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</si>
  <si>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</si>
  <si>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</si>
  <si>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</si>
  <si>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</si>
  <si>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</si>
  <si>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</si>
  <si>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</si>
  <si>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</si>
  <si>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</si>
  <si>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</si>
  <si>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</si>
  <si>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</si>
  <si>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</si>
  <si>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</si>
  <si>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</si>
  <si>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</si>
  <si>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</si>
  <si>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</si>
  <si>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</si>
  <si>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</si>
  <si>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</si>
  <si>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</si>
  <si>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</si>
  <si>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</si>
  <si>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</si>
  <si>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</si>
  <si>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</si>
  <si>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</si>
  <si>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</si>
  <si>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</si>
  <si>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</si>
  <si>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</si>
  <si>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</si>
  <si>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</si>
  <si>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</si>
  <si>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</si>
  <si>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</si>
  <si>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</si>
  <si>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</si>
  <si>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</si>
  <si>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</si>
  <si>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</si>
  <si>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</si>
  <si>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</si>
  <si>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</si>
  <si>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</si>
  <si>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</si>
  <si>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</si>
  <si>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</si>
  <si>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</si>
  <si>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</si>
  <si>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</si>
  <si>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</si>
  <si>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</si>
  <si>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</si>
  <si>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</si>
  <si>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</si>
  <si>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</si>
  <si>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</si>
  <si>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</si>
  <si>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</si>
  <si>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</si>
  <si>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</si>
  <si>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</si>
  <si>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</si>
  <si>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</si>
  <si>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</si>
  <si>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</si>
  <si>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</si>
  <si>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</si>
  <si>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</si>
  <si>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</si>
  <si>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</si>
  <si>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</si>
  <si>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</si>
  <si>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</si>
  <si>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</si>
  <si>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</si>
  <si>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</si>
  <si>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</si>
  <si>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</si>
  <si>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</si>
  <si>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</si>
  <si>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</si>
  <si>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</si>
  <si>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</si>
  <si>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</si>
  <si>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</si>
  <si>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</si>
  <si>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</si>
  <si>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</si>
  <si>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</si>
  <si>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</si>
  <si>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</si>
  <si>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</si>
  <si>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</si>
  <si>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</si>
  <si>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</si>
  <si>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</si>
  <si>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</si>
  <si>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</si>
  <si>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</si>
  <si>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</si>
  <si>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</si>
  <si>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</si>
  <si>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</si>
  <si>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</si>
  <si>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</si>
  <si>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</si>
  <si>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</si>
  <si>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</si>
  <si>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</si>
  <si>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</si>
  <si>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</si>
  <si>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</si>
  <si>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</si>
  <si>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</si>
  <si>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</si>
  <si>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</si>
  <si>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</si>
  <si>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</si>
  <si>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</si>
  <si>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</si>
  <si>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</si>
  <si>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</si>
  <si>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</si>
  <si>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</si>
  <si>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</si>
  <si>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</si>
  <si>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</si>
  <si>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</si>
  <si>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</si>
  <si>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</si>
  <si>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</si>
  <si>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</si>
  <si>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</si>
  <si>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</si>
  <si>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</si>
  <si>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</si>
  <si>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</si>
  <si>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</si>
  <si>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</si>
  <si>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</si>
  <si>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</si>
  <si>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</si>
  <si>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</si>
  <si>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</si>
  <si>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</si>
  <si>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</si>
  <si>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</si>
  <si>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</si>
  <si>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</si>
  <si>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</si>
  <si>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</si>
  <si>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</si>
  <si>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</si>
  <si>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</si>
  <si>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</si>
  <si>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</si>
  <si>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</si>
  <si>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</si>
  <si>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</si>
  <si>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</si>
  <si>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</si>
  <si>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</si>
  <si>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</si>
  <si>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</si>
  <si>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</si>
  <si>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</si>
  <si>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</si>
  <si>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</si>
  <si>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</si>
  <si>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</si>
  <si>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</si>
  <si>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</si>
  <si>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</si>
  <si>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</si>
  <si>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</si>
  <si>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</si>
  <si>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</si>
  <si>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</si>
  <si>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</si>
  <si>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</si>
  <si>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</si>
  <si>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</si>
  <si>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</si>
  <si>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</si>
  <si>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</si>
  <si>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</si>
  <si>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</si>
  <si>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</si>
  <si>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</si>
  <si>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</si>
  <si>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</si>
  <si>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</si>
  <si>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</si>
  <si>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</si>
  <si>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</si>
  <si>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</si>
  <si>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</si>
  <si>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</si>
  <si>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</si>
  <si>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</si>
  <si>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</si>
  <si>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</si>
  <si>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</si>
  <si>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</si>
  <si>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</si>
  <si>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</si>
  <si>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</si>
  <si>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</si>
  <si>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</si>
  <si>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</si>
  <si>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</si>
  <si>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</si>
  <si>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</si>
  <si>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</si>
  <si>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</si>
  <si>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</si>
  <si>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</si>
  <si>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</si>
  <si>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</si>
  <si>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</si>
  <si>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</si>
  <si>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</si>
  <si>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</si>
  <si>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</si>
  <si>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</si>
  <si>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</si>
  <si>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</si>
  <si>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</si>
  <si>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</si>
  <si>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</si>
  <si>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</si>
  <si>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</si>
  <si>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</si>
  <si>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</si>
  <si>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</si>
  <si>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</si>
  <si>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</si>
  <si>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</si>
  <si>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</si>
  <si>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</si>
  <si>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</si>
  <si>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</si>
  <si>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</si>
  <si>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</si>
  <si>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</si>
  <si>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</si>
  <si>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</si>
  <si>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</si>
  <si>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</si>
  <si>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</si>
  <si>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</si>
  <si>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</si>
  <si>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</si>
  <si>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</si>
  <si>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</si>
  <si>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</si>
  <si>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</si>
  <si>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</si>
  <si>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</si>
  <si>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</si>
  <si>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</si>
  <si>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</si>
  <si>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</si>
  <si>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</si>
  <si>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</si>
  <si>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</si>
  <si>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</si>
  <si>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</si>
  <si>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</si>
  <si>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</si>
  <si>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</si>
  <si>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</si>
  <si>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</si>
  <si>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</si>
  <si>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</si>
  <si>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</si>
  <si>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</si>
  <si>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</si>
  <si>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</si>
  <si>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</si>
  <si>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</si>
  <si>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</si>
  <si>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</si>
  <si>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</si>
  <si>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</si>
  <si>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</si>
  <si>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</si>
  <si>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</si>
  <si>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</si>
  <si>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</si>
  <si>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</si>
  <si>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</si>
  <si>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</si>
  <si>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</si>
  <si>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</si>
  <si>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</si>
  <si>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</si>
  <si>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</si>
  <si>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</si>
  <si>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</si>
  <si>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</si>
  <si>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</si>
  <si>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</si>
  <si>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</si>
  <si>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</si>
  <si>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</si>
  <si>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</si>
  <si>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</si>
  <si>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</si>
  <si>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</si>
  <si>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</si>
  <si>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</si>
  <si>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</si>
  <si>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</si>
  <si>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</si>
  <si>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</si>
  <si>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</si>
  <si>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</si>
  <si>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</si>
  <si>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</si>
  <si>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</si>
  <si>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</si>
  <si>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</si>
  <si>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</si>
  <si>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</si>
  <si>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</si>
  <si>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</si>
  <si>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</si>
  <si>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</si>
  <si>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</si>
  <si>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</si>
  <si>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</si>
  <si>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</si>
  <si>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</si>
  <si>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</si>
  <si>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</si>
  <si>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</si>
  <si>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</si>
  <si>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</si>
  <si>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</si>
  <si>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</si>
  <si>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</si>
  <si>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</si>
  <si>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</si>
  <si>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</si>
  <si>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</si>
  <si>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</si>
  <si>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</si>
  <si>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</si>
  <si>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</si>
  <si>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</si>
  <si>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</si>
  <si>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</si>
  <si>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</si>
  <si>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</si>
  <si>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</si>
  <si>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</si>
  <si>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</si>
  <si>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</si>
  <si>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</si>
  <si>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</si>
  <si>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</si>
  <si>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</si>
  <si>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</si>
  <si>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</si>
  <si>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</si>
  <si>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</si>
  <si>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</si>
  <si>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</si>
  <si>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</si>
  <si>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</si>
  <si>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</si>
  <si>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</si>
  <si>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</si>
  <si>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</si>
  <si>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</si>
  <si>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</si>
  <si>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</si>
  <si>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</si>
  <si>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</si>
  <si>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</si>
  <si>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</si>
  <si>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</si>
  <si>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</si>
  <si>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</si>
  <si>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</si>
  <si>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</si>
  <si>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</si>
  <si>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</si>
  <si>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</si>
  <si>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</si>
  <si>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</si>
  <si>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</si>
  <si>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</si>
  <si>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</si>
  <si>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</si>
  <si>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</si>
  <si>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</si>
  <si>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</si>
  <si>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</si>
  <si>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</si>
  <si>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</si>
  <si>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</si>
  <si>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</si>
  <si>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</si>
  <si>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</si>
  <si>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</si>
  <si>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</si>
  <si>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</si>
  <si>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</si>
  <si>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</si>
  <si>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</si>
  <si>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</si>
  <si>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</si>
  <si>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</si>
  <si>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</si>
  <si>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</si>
  <si>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</si>
  <si>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</si>
  <si>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</si>
  <si>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</si>
  <si>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</si>
  <si>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</si>
  <si>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</si>
  <si>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</si>
  <si>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</si>
  <si>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</si>
  <si>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</si>
  <si>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</si>
  <si>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</si>
  <si>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</si>
  <si>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</si>
  <si>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</si>
  <si>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</si>
  <si>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</si>
  <si>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</si>
  <si>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</si>
  <si>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</si>
  <si>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</si>
  <si>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</si>
  <si>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</si>
  <si>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</si>
  <si>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</si>
  <si>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</si>
  <si>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</si>
  <si>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</si>
  <si>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</si>
  <si>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</si>
  <si>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</si>
  <si>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</si>
  <si>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</si>
  <si>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</si>
  <si>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</si>
  <si>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</si>
  <si>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</si>
  <si>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</si>
  <si>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</si>
  <si>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</si>
  <si>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</si>
  <si>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</si>
  <si>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</si>
  <si>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</si>
  <si>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</si>
  <si>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</si>
  <si>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</si>
  <si>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</si>
  <si>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</si>
  <si>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</si>
  <si>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</si>
  <si>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</si>
  <si>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</si>
  <si>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</si>
  <si>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</si>
  <si>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</si>
  <si>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</si>
  <si>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</si>
  <si>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</si>
  <si>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</si>
  <si>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</si>
  <si>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</si>
  <si>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</si>
  <si>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</si>
  <si>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</si>
  <si>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</si>
  <si>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</si>
  <si>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</si>
  <si>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</si>
  <si>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</si>
  <si>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</si>
  <si>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</si>
  <si>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</si>
  <si>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</si>
  <si>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</si>
  <si>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</si>
  <si>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</si>
  <si>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</si>
  <si>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</si>
  <si>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</si>
  <si>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</si>
  <si>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</si>
  <si>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</si>
  <si>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</si>
  <si>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</si>
  <si>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</si>
  <si>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</si>
  <si>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</si>
  <si>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</si>
  <si>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</si>
  <si>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</si>
  <si>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</si>
  <si>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</si>
  <si>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</si>
  <si>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</si>
  <si>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</si>
  <si>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</si>
  <si>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</si>
  <si>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</si>
  <si>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</si>
  <si>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</si>
  <si>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</si>
  <si>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</si>
  <si>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</si>
  <si>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</si>
  <si>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</si>
  <si>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</si>
  <si>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</si>
  <si>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</si>
  <si>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</si>
  <si>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</si>
  <si>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</si>
  <si>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</si>
  <si>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</si>
  <si>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</si>
  <si>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</si>
  <si>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</si>
  <si>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</si>
  <si>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</si>
  <si>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</si>
  <si>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</si>
  <si>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</si>
  <si>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</si>
  <si>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</si>
  <si>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</si>
  <si>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</si>
  <si>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</si>
  <si>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</si>
  <si>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</si>
  <si>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</si>
  <si>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</si>
  <si>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</si>
  <si>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</si>
  <si>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</si>
  <si>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</si>
  <si>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</si>
  <si>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</si>
  <si>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</si>
  <si>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</si>
  <si>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</si>
  <si>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</si>
  <si>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</si>
  <si>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</si>
  <si>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</si>
  <si>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</si>
  <si>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</si>
  <si>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</si>
  <si>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</si>
  <si>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</si>
  <si>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</si>
  <si>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</si>
  <si>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</si>
  <si>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</si>
  <si>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</si>
  <si>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</si>
  <si>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</si>
  <si>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</si>
  <si>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</si>
  <si>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</si>
  <si>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</si>
  <si>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</si>
  <si>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</si>
  <si>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</si>
  <si>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</si>
  <si>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</si>
  <si>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</si>
  <si>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</si>
  <si>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</si>
  <si>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</si>
  <si>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</si>
  <si>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</si>
  <si>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</si>
  <si>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</si>
  <si>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</si>
  <si>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</si>
  <si>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</si>
  <si>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</si>
  <si>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</si>
  <si>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</si>
  <si>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</si>
  <si>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</si>
  <si>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</si>
  <si>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</si>
  <si>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</si>
  <si>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</si>
  <si>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</si>
  <si>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</si>
  <si>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</si>
  <si>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</si>
  <si>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</si>
  <si>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</si>
  <si>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</si>
  <si>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</si>
  <si>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</si>
  <si>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</si>
  <si>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</si>
  <si>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</si>
  <si>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</si>
  <si>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</si>
  <si>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</si>
  <si>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</si>
  <si>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</si>
  <si>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</si>
  <si>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</si>
  <si>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</si>
  <si>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</si>
  <si>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</si>
  <si>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</si>
  <si>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</si>
  <si>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</si>
  <si>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</si>
  <si>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</si>
  <si>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</si>
  <si>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</si>
  <si>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</si>
  <si>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</si>
  <si>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</si>
  <si>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</si>
  <si>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</si>
  <si>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</si>
  <si>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</si>
  <si>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</si>
  <si>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</si>
  <si>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</si>
  <si>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</si>
  <si>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</si>
  <si>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</si>
  <si>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</si>
  <si>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</si>
  <si>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</si>
  <si>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</si>
  <si>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</si>
  <si>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</si>
  <si>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</si>
  <si>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</si>
  <si>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</si>
  <si>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</si>
  <si>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</si>
  <si>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</si>
  <si>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</si>
  <si>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</si>
  <si>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</si>
  <si>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</si>
  <si>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</si>
  <si>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</si>
  <si>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</si>
  <si>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</si>
  <si>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</si>
  <si>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</si>
  <si>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</si>
  <si>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</si>
  <si>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</si>
  <si>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</si>
  <si>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</si>
  <si>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</si>
  <si>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</si>
  <si>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</si>
  <si>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</si>
  <si>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</si>
  <si>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</si>
  <si>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</si>
  <si>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</si>
  <si>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</si>
  <si>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</si>
  <si>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</si>
  <si>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</si>
  <si>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</si>
  <si>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</si>
  <si>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</si>
  <si>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</si>
  <si>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</si>
  <si>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</si>
  <si>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</si>
  <si>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</si>
  <si>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</si>
  <si>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</si>
  <si>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</si>
  <si>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</si>
  <si>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</si>
  <si>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</si>
  <si>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</si>
  <si>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</si>
  <si>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</si>
  <si>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</si>
  <si>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</si>
  <si>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</si>
  <si>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</si>
  <si>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</si>
  <si>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</si>
  <si>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</si>
  <si>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</si>
  <si>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</si>
  <si>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</si>
  <si>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</si>
  <si>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</si>
  <si>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</si>
  <si>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</si>
  <si>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</si>
  <si>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</si>
  <si>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</si>
  <si>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</si>
  <si>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</si>
  <si>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</si>
  <si>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</si>
  <si>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</si>
  <si>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</si>
  <si>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</si>
  <si>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</si>
  <si>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</si>
  <si>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</si>
  <si>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</si>
  <si>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</si>
  <si>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</si>
  <si>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</si>
  <si>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</si>
  <si>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</si>
  <si>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</si>
  <si>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</si>
  <si>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</si>
  <si>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</si>
  <si>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</si>
  <si>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</si>
  <si>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</si>
  <si>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</si>
  <si>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</si>
  <si>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</si>
  <si>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</si>
  <si>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</si>
  <si>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</si>
  <si>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</si>
  <si>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</si>
  <si>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</si>
  <si>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</si>
  <si>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</si>
  <si>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</si>
  <si>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</si>
  <si>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</si>
  <si>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</si>
  <si>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</si>
  <si>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</si>
  <si>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</si>
  <si>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</si>
  <si>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</si>
  <si>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</si>
  <si>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</si>
  <si>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</si>
  <si>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</si>
  <si>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</si>
  <si>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</si>
  <si>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</si>
  <si>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</si>
  <si>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</si>
  <si>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</si>
  <si>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</si>
  <si>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</si>
  <si>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</si>
  <si>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</si>
  <si>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</si>
  <si>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</si>
  <si>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</si>
  <si>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</si>
  <si>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</si>
  <si>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</si>
  <si>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</si>
  <si>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</si>
  <si>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</si>
  <si>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</si>
  <si>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</si>
  <si>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</si>
  <si>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</si>
  <si>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</si>
  <si>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</si>
  <si>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</si>
  <si>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</si>
  <si>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</si>
  <si>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</si>
  <si>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</si>
  <si>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</si>
  <si>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</si>
  <si>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</si>
  <si>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</si>
  <si>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</si>
  <si>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</si>
  <si>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</si>
  <si>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</si>
  <si>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</si>
  <si>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</si>
  <si>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</si>
  <si>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</si>
  <si>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</si>
  <si>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</si>
  <si>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</si>
  <si>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</si>
  <si>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</si>
  <si>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</si>
  <si>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</si>
  <si>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</si>
  <si>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</si>
  <si>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</si>
  <si>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</si>
  <si>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</si>
  <si>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</si>
  <si>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</si>
  <si>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</si>
  <si>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</si>
  <si>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</si>
  <si>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</si>
  <si>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</si>
  <si>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</si>
  <si>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</si>
  <si>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</si>
  <si>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</si>
  <si>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</si>
  <si>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</si>
  <si>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</si>
  <si>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</si>
  <si>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</si>
  <si>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</si>
  <si>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</si>
  <si>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</si>
  <si>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</si>
  <si>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</si>
  <si>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</si>
  <si>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</si>
  <si>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</si>
  <si>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</si>
  <si>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</si>
  <si>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</si>
  <si>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</si>
  <si>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</si>
  <si>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</si>
  <si>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</si>
  <si>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</si>
  <si>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</si>
  <si>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</si>
  <si>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</si>
  <si>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</si>
  <si>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</si>
  <si>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</si>
  <si>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</si>
  <si>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</si>
  <si>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</si>
  <si>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</si>
  <si>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</si>
  <si>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</si>
  <si>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</si>
  <si>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</si>
  <si>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</si>
  <si>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</si>
  <si>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</si>
  <si>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</si>
  <si>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</si>
  <si>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</si>
  <si>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</si>
  <si>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</si>
  <si>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</si>
  <si>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</si>
  <si>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</si>
  <si>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</si>
  <si>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</si>
  <si>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</si>
  <si>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</si>
  <si>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</si>
  <si>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</si>
  <si>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</si>
  <si>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</si>
  <si>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</si>
  <si>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</si>
  <si>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</si>
  <si>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</si>
  <si>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</si>
  <si>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</si>
  <si>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</si>
  <si>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</si>
  <si>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</si>
  <si>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</si>
  <si>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</si>
  <si>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</si>
  <si>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</si>
  <si>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</si>
  <si>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</si>
  <si>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</si>
  <si>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</si>
  <si>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</si>
  <si>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</si>
  <si>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</si>
  <si>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</si>
  <si>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</si>
  <si>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</si>
  <si>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</si>
  <si>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</si>
  <si>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</si>
  <si>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</si>
  <si>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</si>
  <si>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</si>
  <si>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</si>
  <si>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</si>
  <si>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</si>
  <si>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</si>
  <si>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</si>
  <si>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</si>
  <si>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</si>
  <si>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</si>
  <si>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</si>
  <si>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</si>
  <si>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</si>
  <si>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</si>
  <si>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</si>
  <si>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</si>
  <si>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</si>
  <si>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</si>
  <si>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</si>
  <si>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</si>
  <si>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</si>
  <si>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</si>
  <si>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</si>
  <si>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</si>
  <si>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</si>
  <si>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</si>
  <si>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</si>
  <si>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</si>
  <si>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</si>
  <si>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</si>
  <si>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</si>
  <si>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</si>
  <si>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</si>
  <si>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</si>
  <si>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</si>
  <si>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</si>
  <si>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</si>
  <si>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</si>
  <si>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</si>
  <si>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</si>
  <si>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</si>
  <si>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</si>
  <si>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</si>
  <si>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</si>
  <si>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</si>
  <si>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</si>
  <si>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</si>
  <si>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</si>
  <si>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</si>
  <si>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</si>
  <si>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</si>
  <si>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</si>
  <si>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</si>
  <si>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</si>
  <si>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</si>
  <si>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</si>
  <si>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</si>
  <si>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</si>
  <si>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</si>
  <si>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</si>
  <si>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</si>
  <si>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</si>
  <si>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</si>
  <si>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</si>
  <si>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</si>
  <si>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</si>
  <si>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</si>
  <si>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</si>
  <si>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</si>
  <si>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</si>
  <si>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</si>
  <si>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</si>
  <si>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</si>
  <si>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</si>
  <si>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</si>
  <si>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</si>
  <si>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</si>
  <si>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</si>
  <si>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</si>
  <si>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</si>
  <si>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</si>
  <si>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</si>
  <si>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</si>
  <si>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</si>
  <si>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</si>
  <si>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</si>
  <si>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</si>
  <si>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</si>
  <si>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</si>
  <si>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</si>
  <si>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</si>
  <si>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</si>
  <si>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</si>
  <si>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</si>
  <si>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</si>
  <si>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</si>
  <si>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</si>
  <si>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</si>
  <si>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</si>
  <si>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</si>
  <si>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</si>
  <si>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</si>
  <si>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</si>
  <si>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</si>
  <si>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</si>
  <si>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</si>
  <si>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</si>
  <si>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</si>
  <si>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</si>
  <si>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</si>
  <si>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</si>
  <si>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</si>
  <si>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</si>
  <si>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</si>
  <si>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</si>
  <si>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</si>
  <si>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</si>
  <si>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</si>
  <si>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</si>
  <si>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</si>
  <si>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</si>
  <si>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</si>
  <si>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</si>
  <si>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</si>
  <si>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</si>
  <si>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</si>
  <si>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</si>
  <si>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</si>
  <si>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</si>
  <si>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</si>
  <si>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</si>
  <si>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</si>
  <si>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</si>
  <si>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</si>
  <si>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</si>
  <si>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</si>
  <si>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</si>
  <si>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</si>
  <si>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</si>
  <si>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</si>
  <si>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</si>
  <si>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</si>
  <si>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</si>
  <si>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</si>
  <si>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</si>
  <si>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</si>
  <si>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</si>
  <si>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</si>
  <si>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</si>
  <si>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</si>
  <si>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</si>
  <si>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</si>
  <si>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</si>
  <si>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</si>
  <si>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</si>
  <si>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</si>
  <si>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</si>
  <si>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</si>
  <si>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</si>
  <si>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</si>
  <si>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</si>
  <si>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</si>
  <si>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</si>
  <si>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</si>
  <si>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</si>
  <si>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</si>
  <si>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</si>
  <si>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</si>
  <si>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</si>
  <si>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</si>
  <si>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</si>
  <si>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</si>
  <si>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</si>
  <si>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</si>
  <si>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</si>
  <si>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</si>
  <si>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</si>
  <si>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</si>
  <si>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</si>
  <si>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</si>
  <si>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</si>
  <si>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</si>
  <si>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</si>
  <si>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</si>
  <si>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</si>
  <si>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</si>
  <si>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</si>
  <si>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</si>
  <si>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</si>
  <si>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</si>
  <si>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</si>
  <si>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</si>
  <si>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</si>
  <si>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</si>
  <si>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</si>
  <si>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</si>
  <si>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</si>
  <si>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</si>
  <si>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</si>
  <si>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</si>
  <si>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</si>
  <si>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</si>
  <si>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</si>
  <si>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</si>
  <si>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</si>
  <si>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</si>
  <si>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</si>
  <si>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</si>
  <si>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</si>
  <si>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</si>
  <si>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</si>
  <si>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</si>
  <si>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</si>
  <si>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</si>
  <si>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</si>
  <si>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</si>
  <si>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</si>
  <si>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</si>
  <si>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</si>
  <si>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</si>
  <si>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</si>
  <si>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</si>
  <si>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</si>
  <si>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</si>
  <si>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</si>
  <si>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</si>
  <si>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</si>
  <si>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</si>
  <si>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</si>
  <si>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</si>
  <si>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</si>
  <si>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</si>
  <si>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</si>
  <si>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</si>
  <si>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</si>
  <si>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</si>
  <si>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</si>
  <si>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</si>
  <si>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</si>
  <si>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</si>
  <si>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</si>
  <si>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</si>
  <si>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</si>
  <si>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</si>
  <si>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</si>
  <si>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</si>
  <si>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</si>
  <si>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</si>
  <si>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</si>
  <si>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</si>
  <si>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</si>
  <si>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</si>
  <si>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</si>
  <si>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</si>
  <si>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</si>
  <si>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</si>
  <si>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</si>
  <si>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</si>
  <si>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</si>
  <si>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</si>
  <si>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</si>
  <si>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</si>
  <si>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</si>
  <si>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</si>
  <si>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</si>
  <si>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</si>
  <si>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</si>
  <si>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</si>
  <si>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</si>
  <si>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</si>
  <si>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</si>
  <si>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</si>
  <si>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</si>
  <si>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</si>
  <si>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</si>
  <si>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</si>
  <si>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</si>
  <si>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</si>
  <si>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</si>
  <si>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results are not converted back to raw units.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</si>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</sst>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5">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xf numFmtId="0" fontId="1" fillId="2" borderId="7" xfId="0" applyFont="1" applyFill="1"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DF87-4A8E-BA82-CCAFB383AF65}"/>
            </c:ext>
          </c:extLst>
        </c:ser>
        <c:dLbls>
          <c:showLegendKey val="0"/>
          <c:showVal val="0"/>
          <c:showCatName val="0"/>
          <c:showSerName val="0"/>
          <c:showPercent val="0"/>
          <c:showBubbleSize val="0"/>
        </c:dLbls>
        <c:axId val="2083519360"/>
        <c:axId val="1950129776"/>
      </c:scatterChart>
      <c:valAx>
        <c:axId val="2083519360"/>
        <c:scaling>
          <c:orientation val="minMax"/>
        </c:scaling>
        <c:delete val="0"/>
        <c:axPos val="b"/>
        <c:title>
          <c:tx>
            <c:strRef>
              <c:f>Regression!$BC$95</c:f>
              <c:strCache>
                <c:ptCount val="1"/>
                <c:pt idx="0">
                  <c:v>Fitted Values</c:v>
                </c:pt>
              </c:strCache>
            </c:strRef>
          </c:tx>
          <c:overlay val="0"/>
        </c:title>
        <c:numFmt formatCode="0" sourceLinked="0"/>
        <c:majorTickMark val="out"/>
        <c:minorTickMark val="none"/>
        <c:tickLblPos val="nextTo"/>
        <c:crossAx val="1950129776"/>
        <c:crosses val="autoZero"/>
        <c:crossBetween val="midCat"/>
      </c:valAx>
      <c:valAx>
        <c:axId val="1950129776"/>
        <c:scaling>
          <c:orientation val="minMax"/>
        </c:scaling>
        <c:delete val="0"/>
        <c:axPos val="l"/>
        <c:title>
          <c:tx>
            <c:strRef>
              <c:f>Regression!$BD$95</c:f>
              <c:strCache>
                <c:ptCount val="1"/>
                <c:pt idx="0">
                  <c:v>Residuals</c:v>
                </c:pt>
              </c:strCache>
            </c:strRef>
          </c:tx>
          <c:overlay val="0"/>
        </c:title>
        <c:numFmt formatCode="0" sourceLinked="0"/>
        <c:majorTickMark val="out"/>
        <c:minorTickMark val="none"/>
        <c:tickLblPos val="nextTo"/>
        <c:crossAx val="2083519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A1AC-47ED-80D4-4FECDF323E92}"/>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A1AC-47ED-80D4-4FECDF323E92}"/>
            </c:ext>
          </c:extLst>
        </c:ser>
        <c:dLbls>
          <c:showLegendKey val="0"/>
          <c:showVal val="0"/>
          <c:showCatName val="0"/>
          <c:showSerName val="0"/>
          <c:showPercent val="0"/>
          <c:showBubbleSize val="0"/>
        </c:dLbls>
        <c:axId val="2083517968"/>
        <c:axId val="1950132176"/>
      </c:scatterChart>
      <c:valAx>
        <c:axId val="2083517968"/>
        <c:scaling>
          <c:orientation val="minMax"/>
          <c:max val="4.2007262122566909"/>
          <c:min val="-3.4516826175693711"/>
        </c:scaling>
        <c:delete val="0"/>
        <c:axPos val="b"/>
        <c:majorGridlines/>
        <c:title>
          <c:tx>
            <c:strRef>
              <c:f>Regression!$BC$96</c:f>
              <c:strCache>
                <c:ptCount val="1"/>
                <c:pt idx="0">
                  <c:v>Theoretical Quantiles</c:v>
                </c:pt>
              </c:strCache>
            </c:strRef>
          </c:tx>
          <c:overlay val="0"/>
        </c:title>
        <c:numFmt formatCode="0" sourceLinked="0"/>
        <c:majorTickMark val="out"/>
        <c:minorTickMark val="none"/>
        <c:tickLblPos val="nextTo"/>
        <c:crossAx val="1950132176"/>
        <c:crosses val="autoZero"/>
        <c:crossBetween val="midCat"/>
      </c:valAx>
      <c:valAx>
        <c:axId val="1950132176"/>
        <c:scaling>
          <c:orientation val="minMax"/>
          <c:max val="4.2007262122566909"/>
          <c:min val="-3.4516826175693711"/>
        </c:scaling>
        <c:delete val="0"/>
        <c:axPos val="l"/>
        <c:majorGridlines/>
        <c:title>
          <c:tx>
            <c:strRef>
              <c:f>Regression!$BD$96</c:f>
              <c:strCache>
                <c:ptCount val="1"/>
                <c:pt idx="0">
                  <c:v>Studentized Residuals</c:v>
                </c:pt>
              </c:strCache>
            </c:strRef>
          </c:tx>
          <c:overlay val="0"/>
        </c:title>
        <c:numFmt formatCode="0" sourceLinked="0"/>
        <c:majorTickMark val="out"/>
        <c:minorTickMark val="none"/>
        <c:tickLblPos val="nextTo"/>
        <c:crossAx val="208351796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62DB-4A79-A530-8684E5C140CA}"/>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62DB-4A79-A530-8684E5C140CA}"/>
            </c:ext>
          </c:extLst>
        </c:ser>
        <c:dLbls>
          <c:showLegendKey val="0"/>
          <c:showVal val="0"/>
          <c:showCatName val="0"/>
          <c:showSerName val="0"/>
          <c:showPercent val="0"/>
          <c:showBubbleSize val="0"/>
        </c:dLbls>
        <c:axId val="2083517968"/>
        <c:axId val="1950136016"/>
      </c:scatterChart>
      <c:valAx>
        <c:axId val="2083517968"/>
        <c:scaling>
          <c:orientation val="minMax"/>
        </c:scaling>
        <c:delete val="0"/>
        <c:axPos val="b"/>
        <c:majorGridlines/>
        <c:title>
          <c:tx>
            <c:strRef>
              <c:f>Regression!$BC$97</c:f>
              <c:strCache>
                <c:ptCount val="1"/>
                <c:pt idx="0">
                  <c:v>Predicted MPG</c:v>
                </c:pt>
              </c:strCache>
            </c:strRef>
          </c:tx>
          <c:overlay val="0"/>
        </c:title>
        <c:numFmt formatCode="0" sourceLinked="0"/>
        <c:majorTickMark val="out"/>
        <c:minorTickMark val="none"/>
        <c:tickLblPos val="nextTo"/>
        <c:crossAx val="1950136016"/>
        <c:crosses val="autoZero"/>
        <c:crossBetween val="midCat"/>
      </c:valAx>
      <c:valAx>
        <c:axId val="1950136016"/>
        <c:scaling>
          <c:orientation val="minMax"/>
        </c:scaling>
        <c:delete val="0"/>
        <c:axPos val="l"/>
        <c:majorGridlines/>
        <c:title>
          <c:tx>
            <c:strRef>
              <c:f>Regression!$BD$97</c:f>
              <c:strCache>
                <c:ptCount val="1"/>
                <c:pt idx="0">
                  <c:v>Actual MPG</c:v>
                </c:pt>
              </c:strCache>
            </c:strRef>
          </c:tx>
          <c:overlay val="0"/>
        </c:title>
        <c:numFmt formatCode="0" sourceLinked="0"/>
        <c:majorTickMark val="out"/>
        <c:minorTickMark val="none"/>
        <c:tickLblPos val="nextTo"/>
        <c:crossAx val="208351796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EEAD-43A3-A123-3650F81FF353}"/>
            </c:ext>
          </c:extLst>
        </c:ser>
        <c:dLbls>
          <c:showLegendKey val="0"/>
          <c:showVal val="0"/>
          <c:showCatName val="0"/>
          <c:showSerName val="0"/>
          <c:showPercent val="0"/>
          <c:showBubbleSize val="0"/>
        </c:dLbls>
        <c:axId val="466298384"/>
        <c:axId val="1950144656"/>
      </c:scatterChart>
      <c:valAx>
        <c:axId val="466298384"/>
        <c:scaling>
          <c:orientation val="minMax"/>
        </c:scaling>
        <c:delete val="0"/>
        <c:axPos val="b"/>
        <c:title>
          <c:tx>
            <c:strRef>
              <c:f>Regression!$BC$98</c:f>
              <c:strCache>
                <c:ptCount val="1"/>
                <c:pt idx="0">
                  <c:v>Fitted Values</c:v>
                </c:pt>
              </c:strCache>
            </c:strRef>
          </c:tx>
          <c:overlay val="0"/>
        </c:title>
        <c:numFmt formatCode="0" sourceLinked="0"/>
        <c:majorTickMark val="out"/>
        <c:minorTickMark val="none"/>
        <c:tickLblPos val="nextTo"/>
        <c:crossAx val="1950144656"/>
        <c:crosses val="autoZero"/>
        <c:crossBetween val="midCat"/>
      </c:valAx>
      <c:valAx>
        <c:axId val="1950144656"/>
        <c:scaling>
          <c:orientation val="minMax"/>
        </c:scaling>
        <c:delete val="0"/>
        <c:axPos val="l"/>
        <c:majorGridlines/>
        <c:title>
          <c:tx>
            <c:strRef>
              <c:f>Regression!$BD$98</c:f>
              <c:strCache>
                <c:ptCount val="1"/>
                <c:pt idx="0">
                  <c:v>√|Studentized Residual|</c:v>
                </c:pt>
              </c:strCache>
            </c:strRef>
          </c:tx>
          <c:overlay val="0"/>
        </c:title>
        <c:numFmt formatCode="0" sourceLinked="0"/>
        <c:majorTickMark val="out"/>
        <c:minorTickMark val="none"/>
        <c:tickLblPos val="nextTo"/>
        <c:crossAx val="4662983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7239-4E3C-814B-058D5558714B}"/>
            </c:ext>
          </c:extLst>
        </c:ser>
        <c:dLbls>
          <c:showLegendKey val="0"/>
          <c:showVal val="0"/>
          <c:showCatName val="0"/>
          <c:showSerName val="0"/>
          <c:showPercent val="0"/>
          <c:showBubbleSize val="0"/>
        </c:dLbls>
        <c:gapWidth val="150"/>
        <c:axId val="2088525136"/>
        <c:axId val="1950183536"/>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7239-4E3C-814B-058D5558714B}"/>
            </c:ext>
          </c:extLst>
        </c:ser>
        <c:dLbls>
          <c:showLegendKey val="0"/>
          <c:showVal val="0"/>
          <c:showCatName val="0"/>
          <c:showSerName val="0"/>
          <c:showPercent val="0"/>
          <c:showBubbleSize val="0"/>
        </c:dLbls>
        <c:marker val="1"/>
        <c:smooth val="0"/>
        <c:axId val="2088525136"/>
        <c:axId val="1950183536"/>
      </c:lineChart>
      <c:catAx>
        <c:axId val="2088525136"/>
        <c:scaling>
          <c:orientation val="minMax"/>
        </c:scaling>
        <c:delete val="0"/>
        <c:axPos val="b"/>
        <c:title>
          <c:tx>
            <c:strRef>
              <c:f>Regression!$BC$99</c:f>
              <c:strCache>
                <c:ptCount val="1"/>
                <c:pt idx="0">
                  <c:v>Observation</c:v>
                </c:pt>
              </c:strCache>
            </c:strRef>
          </c:tx>
          <c:overlay val="0"/>
        </c:title>
        <c:numFmt formatCode="0" sourceLinked="0"/>
        <c:majorTickMark val="out"/>
        <c:minorTickMark val="none"/>
        <c:tickLblPos val="none"/>
        <c:crossAx val="1950183536"/>
        <c:crosses val="autoZero"/>
        <c:auto val="1"/>
        <c:lblAlgn val="ctr"/>
        <c:lblOffset val="100"/>
        <c:noMultiLvlLbl val="0"/>
      </c:catAx>
      <c:valAx>
        <c:axId val="1950183536"/>
        <c:scaling>
          <c:orientation val="minMax"/>
        </c:scaling>
        <c:delete val="0"/>
        <c:axPos val="l"/>
        <c:majorGridlines/>
        <c:title>
          <c:tx>
            <c:strRef>
              <c:f>Regression!$BD$99</c:f>
              <c:strCache>
                <c:ptCount val="1"/>
                <c:pt idx="0">
                  <c:v>Cook's Distance</c:v>
                </c:pt>
              </c:strCache>
            </c:strRef>
          </c:tx>
          <c:overlay val="0"/>
        </c:title>
        <c:numFmt formatCode="0.0E+00" sourceLinked="0"/>
        <c:majorTickMark val="out"/>
        <c:minorTickMark val="none"/>
        <c:tickLblPos val="nextTo"/>
        <c:crossAx val="20885251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ABFF-4EC2-A653-035379CC56E3}"/>
            </c:ext>
          </c:extLst>
        </c:ser>
        <c:dLbls>
          <c:showLegendKey val="0"/>
          <c:showVal val="0"/>
          <c:showCatName val="0"/>
          <c:showSerName val="0"/>
          <c:showPercent val="0"/>
          <c:showBubbleSize val="0"/>
        </c:dLbls>
        <c:axId val="2088522816"/>
        <c:axId val="1950187376"/>
      </c:scatterChart>
      <c:valAx>
        <c:axId val="2088522816"/>
        <c:scaling>
          <c:orientation val="minMax"/>
        </c:scaling>
        <c:delete val="0"/>
        <c:axPos val="b"/>
        <c:majorGridlines/>
        <c:title>
          <c:tx>
            <c:strRef>
              <c:f>Regression!$BC$100</c:f>
              <c:strCache>
                <c:ptCount val="1"/>
                <c:pt idx="0">
                  <c:v>Leverage (Hat Diagonal)</c:v>
                </c:pt>
              </c:strCache>
            </c:strRef>
          </c:tx>
          <c:overlay val="0"/>
        </c:title>
        <c:numFmt formatCode="0.00" sourceLinked="0"/>
        <c:majorTickMark val="out"/>
        <c:minorTickMark val="none"/>
        <c:tickLblPos val="nextTo"/>
        <c:crossAx val="1950187376"/>
        <c:crosses val="autoZero"/>
        <c:crossBetween val="midCat"/>
      </c:valAx>
      <c:valAx>
        <c:axId val="1950187376"/>
        <c:scaling>
          <c:orientation val="minMax"/>
        </c:scaling>
        <c:delete val="0"/>
        <c:axPos val="l"/>
        <c:majorGridlines/>
        <c:title>
          <c:tx>
            <c:strRef>
              <c:f>Regression!$BD$100</c:f>
              <c:strCache>
                <c:ptCount val="1"/>
                <c:pt idx="0">
                  <c:v>Studentized Residuals</c:v>
                </c:pt>
              </c:strCache>
            </c:strRef>
          </c:tx>
          <c:overlay val="0"/>
        </c:title>
        <c:numFmt formatCode="0" sourceLinked="0"/>
        <c:majorTickMark val="out"/>
        <c:minorTickMark val="none"/>
        <c:tickLblPos val="nextTo"/>
        <c:crossAx val="20885228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3B33-483C-93D9-5A95C1854671}"/>
            </c:ext>
          </c:extLst>
        </c:ser>
        <c:dLbls>
          <c:showLegendKey val="0"/>
          <c:showVal val="0"/>
          <c:showCatName val="0"/>
          <c:showSerName val="0"/>
          <c:showPercent val="0"/>
          <c:showBubbleSize val="0"/>
        </c:dLbls>
        <c:gapWidth val="150"/>
        <c:axId val="2088522816"/>
        <c:axId val="1950188816"/>
      </c:barChart>
      <c:catAx>
        <c:axId val="2088522816"/>
        <c:scaling>
          <c:orientation val="minMax"/>
        </c:scaling>
        <c:delete val="0"/>
        <c:axPos val="b"/>
        <c:title>
          <c:tx>
            <c:strRef>
              <c:f>Regression!$BC$101</c:f>
              <c:strCache>
                <c:ptCount val="1"/>
                <c:pt idx="0">
                  <c:v>Observation</c:v>
                </c:pt>
              </c:strCache>
            </c:strRef>
          </c:tx>
          <c:overlay val="0"/>
        </c:title>
        <c:numFmt formatCode="0" sourceLinked="0"/>
        <c:majorTickMark val="out"/>
        <c:minorTickMark val="none"/>
        <c:tickLblPos val="none"/>
        <c:crossAx val="1950188816"/>
        <c:crosses val="autoZero"/>
        <c:auto val="1"/>
        <c:lblAlgn val="ctr"/>
        <c:lblOffset val="100"/>
        <c:noMultiLvlLbl val="0"/>
      </c:catAx>
      <c:valAx>
        <c:axId val="1950188816"/>
        <c:scaling>
          <c:orientation val="minMax"/>
        </c:scaling>
        <c:delete val="0"/>
        <c:axPos val="l"/>
        <c:majorGridlines/>
        <c:title>
          <c:tx>
            <c:strRef>
              <c:f>Regression!$BD$101</c:f>
              <c:strCache>
                <c:ptCount val="1"/>
                <c:pt idx="0">
                  <c:v>PRESS Residual</c:v>
                </c:pt>
              </c:strCache>
            </c:strRef>
          </c:tx>
          <c:overlay val="0"/>
        </c:title>
        <c:numFmt formatCode="0" sourceLinked="0"/>
        <c:majorTickMark val="out"/>
        <c:minorTickMark val="none"/>
        <c:tickLblPos val="nextTo"/>
        <c:crossAx val="208852281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51</xdr:col>
      <xdr:colOff>0</xdr:colOff>
      <xdr:row>2</xdr:row>
      <xdr:rowOff>0</xdr:rowOff>
    </xdr:from>
    <xdr:to>
      <xdr:col>57</xdr:col>
      <xdr:colOff>279400</xdr:colOff>
      <xdr:row>22</xdr:row>
      <xdr:rowOff>127000</xdr:rowOff>
    </xdr:to>
    <xdr:graphicFrame macro="">
      <xdr:nvGraphicFramePr>
        <xdr:cNvPr id="9" name="Chart 8">
          <a:extLst>
            <a:ext uri="{FF2B5EF4-FFF2-40B4-BE49-F238E27FC236}">
              <a16:creationId xmlns:a16="http://schemas.microsoft.com/office/drawing/2014/main" id="{9DB581F3-44D2-0458-FA29-9BAF41592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57</xdr:col>
      <xdr:colOff>406400</xdr:colOff>
      <xdr:row>2</xdr:row>
      <xdr:rowOff>0</xdr:rowOff>
    </xdr:from>
    <xdr:to>
      <xdr:col>64</xdr:col>
      <xdr:colOff>76200</xdr:colOff>
      <xdr:row>22</xdr:row>
      <xdr:rowOff>127000</xdr:rowOff>
    </xdr:to>
    <xdr:graphicFrame macro="">
      <xdr:nvGraphicFramePr>
        <xdr:cNvPr id="10" name="Chart 9">
          <a:extLst>
            <a:ext uri="{FF2B5EF4-FFF2-40B4-BE49-F238E27FC236}">
              <a16:creationId xmlns:a16="http://schemas.microsoft.com/office/drawing/2014/main" id="{21F25F34-F96E-7364-E84F-8616CD8717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51</xdr:col>
      <xdr:colOff>0</xdr:colOff>
      <xdr:row>23</xdr:row>
      <xdr:rowOff>63500</xdr:rowOff>
    </xdr:from>
    <xdr:to>
      <xdr:col>57</xdr:col>
      <xdr:colOff>279400</xdr:colOff>
      <xdr:row>44</xdr:row>
      <xdr:rowOff>0</xdr:rowOff>
    </xdr:to>
    <xdr:graphicFrame macro="">
      <xdr:nvGraphicFramePr>
        <xdr:cNvPr id="11" name="Chart 10">
          <a:extLst>
            <a:ext uri="{FF2B5EF4-FFF2-40B4-BE49-F238E27FC236}">
              <a16:creationId xmlns:a16="http://schemas.microsoft.com/office/drawing/2014/main" id="{D433DCF0-0B4E-F763-DE41-A7158AF294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57</xdr:col>
      <xdr:colOff>406400</xdr:colOff>
      <xdr:row>23</xdr:row>
      <xdr:rowOff>63500</xdr:rowOff>
    </xdr:from>
    <xdr:to>
      <xdr:col>64</xdr:col>
      <xdr:colOff>76200</xdr:colOff>
      <xdr:row>44</xdr:row>
      <xdr:rowOff>0</xdr:rowOff>
    </xdr:to>
    <xdr:graphicFrame macro="">
      <xdr:nvGraphicFramePr>
        <xdr:cNvPr id="12" name="Chart 11">
          <a:extLst>
            <a:ext uri="{FF2B5EF4-FFF2-40B4-BE49-F238E27FC236}">
              <a16:creationId xmlns:a16="http://schemas.microsoft.com/office/drawing/2014/main" id="{0B427F2A-E9F0-4548-0DA8-A9DF2AEDF0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51</xdr:col>
      <xdr:colOff>0</xdr:colOff>
      <xdr:row>44</xdr:row>
      <xdr:rowOff>127000</xdr:rowOff>
    </xdr:from>
    <xdr:to>
      <xdr:col>57</xdr:col>
      <xdr:colOff>279400</xdr:colOff>
      <xdr:row>65</xdr:row>
      <xdr:rowOff>63500</xdr:rowOff>
    </xdr:to>
    <xdr:graphicFrame macro="">
      <xdr:nvGraphicFramePr>
        <xdr:cNvPr id="13" name="Chart 12">
          <a:extLst>
            <a:ext uri="{FF2B5EF4-FFF2-40B4-BE49-F238E27FC236}">
              <a16:creationId xmlns:a16="http://schemas.microsoft.com/office/drawing/2014/main" id="{6E674355-F840-9E5F-AC88-7B4B4BF1B2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57</xdr:col>
      <xdr:colOff>406400</xdr:colOff>
      <xdr:row>44</xdr:row>
      <xdr:rowOff>127000</xdr:rowOff>
    </xdr:from>
    <xdr:to>
      <xdr:col>64</xdr:col>
      <xdr:colOff>76200</xdr:colOff>
      <xdr:row>65</xdr:row>
      <xdr:rowOff>63500</xdr:rowOff>
    </xdr:to>
    <xdr:graphicFrame macro="">
      <xdr:nvGraphicFramePr>
        <xdr:cNvPr id="16" name="Chart 15">
          <a:extLst>
            <a:ext uri="{FF2B5EF4-FFF2-40B4-BE49-F238E27FC236}">
              <a16:creationId xmlns:a16="http://schemas.microsoft.com/office/drawing/2014/main" id="{8D5CFA93-07BB-E275-C5F4-6642BF9D7A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0</xdr:colOff>
      <xdr:row>66</xdr:row>
      <xdr:rowOff>0</xdr:rowOff>
    </xdr:from>
    <xdr:to>
      <xdr:col>57</xdr:col>
      <xdr:colOff>279400</xdr:colOff>
      <xdr:row>86</xdr:row>
      <xdr:rowOff>127000</xdr:rowOff>
    </xdr:to>
    <xdr:graphicFrame macro="">
      <xdr:nvGraphicFramePr>
        <xdr:cNvPr id="17" name="Chart 16">
          <a:extLst>
            <a:ext uri="{FF2B5EF4-FFF2-40B4-BE49-F238E27FC236}">
              <a16:creationId xmlns:a16="http://schemas.microsoft.com/office/drawing/2014/main" id="{067CEB39-1DF7-BF1D-2892-64D2E63886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3ECC89C-7211-4C2F-A361-A77D5B52C954}" name="MileageData" displayName="MileageData" ref="A1:L407" totalsRowShown="0">
  <autoFilter ref="A1:L407" xr:uid="{43ECC89C-7211-4C2F-A361-A77D5B52C954}"/>
  <tableColumns count="12">
    <tableColumn id="1" xr3:uid="{3E49CEE1-EE13-4E01-ADD8-1F4294EECE1F}" name="MPG"/>
    <tableColumn id="2" xr3:uid="{F3FDB2C7-4B6B-479C-9A75-2B69FC30B4FD}" name="Cylinders"/>
    <tableColumn id="3" xr3:uid="{C18A6359-AB98-4ED8-9242-3B58F93E0987}" name="Displacement"/>
    <tableColumn id="4" xr3:uid="{FD3E7F4E-B71E-4E3E-8252-55FA53E9EF27}" name="Horsepower"/>
    <tableColumn id="5" xr3:uid="{6C00D37C-0A91-4297-B2B4-80AA27807A24}" name="Weight"/>
    <tableColumn id="6" xr3:uid="{BED8F71B-5449-437A-8B39-46665E383349}" name="Acceleration"/>
    <tableColumn id="7" xr3:uid="{6319A661-5314-434B-BAEF-08D04E3F6235}" name="Model Year"/>
    <tableColumn id="8" xr3:uid="{2CF885A1-79D9-455D-B38C-3B07A35A3766}" name="Origin"/>
    <tableColumn id="9" xr3:uid="{5BD1563F-BDDB-4435-BEA9-E96AB6A80A22}" name="Car Name"/>
    <tableColumn id="10" xr3:uid="{10996097-672F-44D7-A69A-D3F60740FF65}" name="Make"/>
    <tableColumn id="11" xr3:uid="{514BB369-BFC4-495B-A245-85432BBCAE79}" name="Model?"/>
    <tableColumn id="12" xr3:uid="{500E05F1-003F-46DD-9CC7-72D1FD4C8793}"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81DF31-9144-4196-A960-F0CECF7A144B}" name="LifeExpectancyData" displayName="LifeExpectancyData" ref="A1:W2939" totalsRowShown="0">
  <autoFilter ref="A1:W2939" xr:uid="{C081DF31-9144-4196-A960-F0CECF7A144B}"/>
  <tableColumns count="23">
    <tableColumn id="1" xr3:uid="{78A5D9AA-31D8-46FF-9419-CC9F1B516A42}" name="Country"/>
    <tableColumn id="2" xr3:uid="{482E8913-A040-4ADB-A619-D1549C981802}" name="Year"/>
    <tableColumn id="3" xr3:uid="{3D0CBD7D-ECED-45BC-A328-68461E6C8CEA}" name="Status"/>
    <tableColumn id="4" xr3:uid="{2E8857BA-F91A-4ED8-BC51-34C210FB8CFB}" name="Life expectancy"/>
    <tableColumn id="5" xr3:uid="{A7AD047D-CFFE-4006-B37C-E07D2123FD78}" name="Adult Mortality"/>
    <tableColumn id="6" xr3:uid="{E6590066-C18C-4F98-A782-9BE1B36E6DDD}" name="infant deaths"/>
    <tableColumn id="7" xr3:uid="{E12FF6EA-EAB5-4F12-895D-D795E9E777C6}" name="Alcohol"/>
    <tableColumn id="8" xr3:uid="{B988FFD3-DF5B-4342-8A85-7774CCFA8480}" name="percentage expenditure"/>
    <tableColumn id="9" xr3:uid="{52AAE5C9-A6DB-4886-9CD7-505EF42B5670}" name="Hepatitis B"/>
    <tableColumn id="10" xr3:uid="{E8306824-3F06-4D9B-A94F-DEA42F309EA4}" name="Measles"/>
    <tableColumn id="11" xr3:uid="{C8DFA9FA-0B54-4B18-8BE4-A099FE1EF7D8}" name="BMI"/>
    <tableColumn id="12" xr3:uid="{C7F8CC14-6AA2-47D7-AB29-69BE3DC0E3C8}" name="under-five deaths"/>
    <tableColumn id="13" xr3:uid="{02FC54AF-47F5-424D-9C49-712F08300B9D}" name="Polio"/>
    <tableColumn id="14" xr3:uid="{DEAE81D5-5F4B-49E2-8981-550127BE6BA4}" name="Total expenditure"/>
    <tableColumn id="15" xr3:uid="{323EEEF3-1D8C-40C8-A869-12BF6B1D1B93}" name="Diphtheria"/>
    <tableColumn id="16" xr3:uid="{4988888D-D1E7-420E-AA51-AC81F41AF439}" name="HIV/AIDS"/>
    <tableColumn id="17" xr3:uid="{1C1DFCB6-03A2-47DD-A789-FD97EEB176ED}" name="GDP"/>
    <tableColumn id="18" xr3:uid="{6B18E450-97A9-413C-B8FB-79C826FF169D}" name="Population"/>
    <tableColumn id="19" xr3:uid="{F5B6C519-A717-4A21-8E5B-227F78ABB0CF}" name="thinness 1-19 years"/>
    <tableColumn id="20" xr3:uid="{583A3C80-1FA0-4232-9209-EF5C7001519C}" name="thinness 5-9 years"/>
    <tableColumn id="21" xr3:uid="{B3A7003B-8253-4222-966A-8FAC3768CA5E}" name="Income composition of resources"/>
    <tableColumn id="22" xr3:uid="{63F2D52A-B9B8-4BB7-A576-63B5FCB461F1}" name="Schooling"/>
    <tableColumn id="23" xr3:uid="{C6E376F3-8392-481E-A439-A4A14B1D912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EDC292-8A1E-45DF-8231-DDFCD74FEC0E}" name="ProductionLotsData" displayName="ProductionLotsData" ref="A1:K52" totalsRowShown="0">
  <autoFilter ref="A1:K52" xr:uid="{1EEDC292-8A1E-45DF-8231-DDFCD74FEC0E}"/>
  <tableColumns count="11">
    <tableColumn id="1" xr3:uid="{555A89CC-3E69-4387-A0A4-5D037D973591}" name="Lot_ID"/>
    <tableColumn id="2" xr3:uid="{0B0E3DFB-853E-456D-99A6-EE0FC19E4F3B}" name="Facility"/>
    <tableColumn id="3" xr3:uid="{37566D26-0AD8-425F-BC7C-73CF4F2E2E93}" name="Fiscal_Year"/>
    <tableColumn id="4" xr3:uid="{94AC90B5-24B1-4EE8-A76F-6706A7BB4B70}" name="Lot_Quantity"/>
    <tableColumn id="5" xr3:uid="{F9488641-F3A5-49DD-94C6-2041D0E4B6C8}" name="Cumulative_Units"/>
    <tableColumn id="6" xr3:uid="{C91B81DA-5E6C-4C1E-BA96-C837A92CD179}" name="Experience_Stock"/>
    <tableColumn id="7" xr3:uid="{0BA006F1-D8F7-47CB-9B48-CEFF5C3573BC}" name="Unit_Cost_BY"/>
    <tableColumn id="8" xr3:uid="{B8718109-3764-48F8-A399-4DDDE36E044F}" name="log Cum Units"/>
    <tableColumn id="9" xr3:uid="{D41BB282-9475-4D8D-AF5C-5F07F674A6C9}" name="log experience"/>
    <tableColumn id="10" xr3:uid="{2BD014B9-2CDE-4CDF-A8AF-B84E247CF057}" name="log Unit Cost"/>
    <tableColumn id="11" xr3:uid="{89228956-D902-421C-A403-94B91F0FE2B7}"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3BB6662-7D20-4F46-9A56-EF8517C643CB}" name="SpecTable" displayName="SpecTable" ref="B3:O15" totalsRowShown="0" headerRowDxfId="60">
  <autoFilter ref="B3:O15" xr:uid="{E3BB6662-7D20-4F46-9A56-EF8517C643CB}"/>
  <tableColumns count="14">
    <tableColumn id="1" xr3:uid="{29FC0ECD-0D8D-436B-9ACE-4CDDC55899C6}" name="Role"/>
    <tableColumn id="2" xr3:uid="{6DA72663-5242-4726-BE1F-87F063131F0C}" name="Include"/>
    <tableColumn id="3" xr3:uid="{77D76245-32A4-42E1-93F6-188DA2C8E955}" name="Type"/>
    <tableColumn id="4" xr3:uid="{A51C757A-E77A-4719-9269-6A86DF9B76E2}" name="Reference Level"/>
    <tableColumn id="5" xr3:uid="{547D5AE3-C6EC-4B50-A711-FAC118AC4771}" name="Order"/>
    <tableColumn id="6" xr3:uid="{75AC6A0D-47D3-4C47-930D-07553F4AAA12}" name="Transform"/>
    <tableColumn id="7" xr3:uid="{3F483293-5311-4CC5-84D1-9395656107E1}" name="Sequence"/>
    <tableColumn id="8" xr3:uid="{B97C1BD9-6A42-43D3-B684-9983980234DA}" name="Sequence Period"/>
    <tableColumn id="9" xr3:uid="{9003AC73-84B1-45B9-A05F-3828BDDD9777}" name="Period In Use" dataDxfId="59">
      <calculatedColumnFormula>IF(SpecTable[[#This Row],[Sequence]]&lt;&gt;TRUE,"",IF(N(SpecTable[[#This Row],[Sequence Period]])&lt;&gt;0,SpecTable[[#This Row],[Sequence Period]],IFERROR(Base_Period_Delta_Candidate(),"")))</calculatedColumnFormula>
    </tableColumn>
    <tableColumn id="10" xr3:uid="{0DBF53EC-620B-40B2-93DC-226707A68E36}"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5BFC6020-72C0-419E-B378-35A2E3105C86}"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D95B2649-66DA-473A-A855-8F3C14917ECC}" name="Interaction Term"/>
    <tableColumn id="13" xr3:uid="{3AEE3F8C-0A8B-4565-8904-4301BF88049E}" name="Interaction Operation"/>
    <tableColumn id="14" xr3:uid="{F5239B8F-E9F8-43F3-ABBA-F67BE6E1CE9B}"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7198B6-01E7-43BB-B33E-76C964DBF2F4}" name="LAMBDAFunctionsCatalog" displayName="LAMBDAFunctionsCatalog" ref="A1:G132" totalsRowShown="0" headerRowDxfId="55" dataDxfId="54">
  <autoFilter ref="A1:G132" xr:uid="{047198B6-01E7-43BB-B33E-76C964DBF2F4}"/>
  <tableColumns count="7">
    <tableColumn id="1" xr3:uid="{37407104-AD09-4288-A017-F6B9CAF95557}" name="Function Name" dataDxfId="53"/>
    <tableColumn id="2" xr3:uid="{D6587564-2A82-46C4-A309-6FDA23F17F89}" name="Scope" dataDxfId="52"/>
    <tableColumn id="3" xr3:uid="{53B03EA3-606E-4944-B15E-35B1CEB37A8A}" name="Definition" dataDxfId="51"/>
    <tableColumn id="4" xr3:uid="{7DD082AE-9D93-4989-B821-66E26109E623}" name="Arguments" dataDxfId="50"/>
    <tableColumn id="5" xr3:uid="{8707CD07-EE39-42A6-A950-F69BD46D976A}" name="Yields" dataDxfId="49"/>
    <tableColumn id="6" xr3:uid="{0C5D6279-5B8A-4FDE-9629-857606A5FC89}" name="Plain-Language Summary" dataDxfId="48"/>
    <tableColumn id="7" xr3:uid="{DE169977-3836-4423-B8FF-A3D48A38FBAF}"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4"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0"/>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1871</v>
      </c>
      <c r="B7" s="18">
        <v>46236</v>
      </c>
      <c r="C7" t="s">
        <v>812</v>
      </c>
      <c r="D7" s="2" t="s">
        <v>1872</v>
      </c>
    </row>
    <row r="8" spans="1:4" ht="150" x14ac:dyDescent="0.25">
      <c r="A8" t="s">
        <v>1873</v>
      </c>
      <c r="B8" s="18">
        <v>46236</v>
      </c>
      <c r="C8" t="s">
        <v>812</v>
      </c>
      <c r="D8" s="2" t="s">
        <v>1874</v>
      </c>
    </row>
    <row r="9" spans="1:4" ht="300" x14ac:dyDescent="0.25">
      <c r="A9" t="s">
        <v>1848</v>
      </c>
      <c r="B9" s="18">
        <v>46236</v>
      </c>
      <c r="C9" t="s">
        <v>815</v>
      </c>
      <c r="D9" s="2" t="s">
        <v>1857</v>
      </c>
    </row>
    <row r="10" spans="1:4" ht="225" x14ac:dyDescent="0.25">
      <c r="A10" t="s">
        <v>1875</v>
      </c>
      <c r="B10" s="18">
        <v>46237</v>
      </c>
      <c r="C10" t="s">
        <v>812</v>
      </c>
      <c r="D10" s="2" t="s">
        <v>1876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7CAB7-44B8-40E6-9D19-69DA7D171617}">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1854</v>
      </c>
    </row>
    <row r="9" spans="1:1" ht="180" x14ac:dyDescent="0.25">
      <c r="A9" s="2" t="s">
        <v>1696</v>
      </c>
    </row>
    <row r="10" spans="1:1" ht="90" x14ac:dyDescent="0.25">
      <c r="A10" s="2" t="s">
        <v>805</v>
      </c>
    </row>
    <row r="11" spans="1:1" ht="300" x14ac:dyDescent="0.25">
      <c r="A11" s="2" t="s">
        <v>1855</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394"/>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7109375" customWidth="1" outlineLevel="1"/>
    <col min="37" max="37" width="16.7109375" customWidth="1" outlineLevel="1"/>
    <col min="38" max="38" width="10.7109375" style="7" customWidth="1" outlineLevel="1"/>
    <col min="39" max="39" width="2.7109375" customWidth="1"/>
    <col min="40" max="40" width="9.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style="7" customWidth="1" outlineLevel="1"/>
    <col min="51" max="51" width="9.140625" style="7" outlineLevel="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75"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1852</v>
      </c>
      <c r="O1" s="3">
        <f>SUM(_xlfn.TAKE(Spec_Design_Columns,COLUMNS(Source_Data)))+N(Allow_Intercept)</f>
        <v>17</v>
      </c>
      <c r="P1" s="3" t="s">
        <v>878</v>
      </c>
      <c r="Q1" s="3" t="s">
        <v>879</v>
      </c>
      <c r="S1" s="4" t="s">
        <v>607</v>
      </c>
      <c r="AA1" s="4" t="s">
        <v>610</v>
      </c>
      <c r="AJ1" s="37" t="s">
        <v>634</v>
      </c>
      <c r="AK1" s="38"/>
      <c r="AN1" s="4" t="s">
        <v>643</v>
      </c>
      <c r="BR1" s="37" t="s">
        <v>1858</v>
      </c>
      <c r="BS1" s="44"/>
      <c r="BU1" s="4" t="s">
        <v>1845</v>
      </c>
      <c r="BW1" s="4" t="s">
        <v>1853</v>
      </c>
    </row>
    <row r="2" spans="1:75" ht="27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
      <c r="AB2" s="2"/>
      <c r="AC2" s="2"/>
      <c r="AD2" s="2"/>
      <c r="AE2" s="30" t="s">
        <v>721</v>
      </c>
      <c r="AF2" s="30"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8"/>
      <c r="AL2" s="32"/>
      <c r="AM2" s="2"/>
      <c r="AN2" s="26" t="s">
        <v>801</v>
      </c>
      <c r="AO2" s="29"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9"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9"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9" t="str" cm="1">
        <f t="array" ref="AR2">IF(SUMPRODUCT(N(_xlfn.TAKE(Spec_Role,COLUMNS(Source_Data))="Fixed Effects"))&gt;0,"Hat Diagonal"&amp;" (Within "&amp;IFERROR(INDEX(_xlfn.TOROW(Header_Names),_xlfn.XMATCH("Fixed Effects",_xlfn.TAKE(Spec_Role,COLUMNS(Source_Data)))),"FE")&amp;")","Hat Diagonal")</f>
        <v>Hat Diagonal</v>
      </c>
      <c r="AS2" s="29"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9" t="str" cm="1">
        <f t="array" ref="AT2">IF(SUMPRODUCT(N(_xlfn.TAKE(Spec_Role,COLUMNS(Source_Data))="Fixed Effects"))&gt;0,"Cook's Distance"&amp;" (Within "&amp;IFERROR(INDEX(_xlfn.TOROW(Header_Names),_xlfn.XMATCH("Fixed Effects",_xlfn.TAKE(Spec_Role,COLUMNS(Source_Data)))),"FE")&amp;")","Cook's Distance")</f>
        <v>Cook's Distance</v>
      </c>
      <c r="AU2" s="29" t="str" cm="1">
        <f t="array" ref="AU2">IF(SUMPRODUCT(N(_xlfn.TAKE(Spec_Role,COLUMNS(Source_Data))="Fixed Effects"))&gt;0,"Normal Scores Ranked"&amp;" (Within "&amp;IFERROR(INDEX(_xlfn.TOROW(Header_Names),_xlfn.XMATCH("Fixed Effects",_xlfn.TAKE(Spec_Role,COLUMNS(Source_Data)))),"FE")&amp;")","Normal Scores Ranked")</f>
        <v>Normal Scores Ranked</v>
      </c>
      <c r="AV2" s="29"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9" t="str" cm="1">
        <f t="array" ref="AW2">IF(SUMPRODUCT(N(_xlfn.TAKE(Spec_Role,COLUMNS(Source_Data))="Fixed Effects"))&gt;0,"Scale-Location"&amp;" (Within "&amp;IFERROR(INDEX(_xlfn.TOROW(Header_Names),_xlfn.XMATCH("Fixed Effects",_xlfn.TAKE(Spec_Role,COLUMNS(Source_Data)))),"FE")&amp;")","Scale-Location")</f>
        <v>Scale-Location</v>
      </c>
      <c r="AX2" s="29"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9"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
      <c r="BR2" s="8" t="s">
        <v>1859</v>
      </c>
      <c r="BS2" s="24" t="b">
        <f>Allow_Intercept</f>
        <v>1</v>
      </c>
      <c r="BU2" t="s">
        <v>1846</v>
      </c>
      <c r="BW2" t="s">
        <v>1846</v>
      </c>
    </row>
    <row r="3" spans="1:75" x14ac:dyDescent="0.25">
      <c r="A3" s="36" t="s">
        <v>867</v>
      </c>
      <c r="B3" s="36" t="s">
        <v>775</v>
      </c>
      <c r="C3" s="36" t="s">
        <v>772</v>
      </c>
      <c r="D3" s="36" t="s">
        <v>776</v>
      </c>
      <c r="E3" s="36" t="s">
        <v>777</v>
      </c>
      <c r="F3" s="36" t="s">
        <v>778</v>
      </c>
      <c r="G3" s="36" t="s">
        <v>779</v>
      </c>
      <c r="H3" s="36" t="s">
        <v>818</v>
      </c>
      <c r="I3" s="36" t="s">
        <v>876</v>
      </c>
      <c r="J3" s="36" t="s">
        <v>877</v>
      </c>
      <c r="K3" s="36" t="s">
        <v>780</v>
      </c>
      <c r="L3" s="36" t="s">
        <v>799</v>
      </c>
      <c r="M3" s="36" t="s">
        <v>1849</v>
      </c>
      <c r="N3" s="36" t="s">
        <v>1850</v>
      </c>
      <c r="O3" s="36" t="s">
        <v>1851</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7" t="s">
        <v>611</v>
      </c>
      <c r="AB3" s="38"/>
      <c r="AD3" s="37" t="s">
        <v>616</v>
      </c>
      <c r="AE3" s="38"/>
      <c r="AJ3" s="8" t="s">
        <v>636</v>
      </c>
      <c r="AK3" s="11"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BR3" s="8" t="s">
        <v>1860</v>
      </c>
      <c r="BS3" s="24" cm="1">
        <f t="array" ref="BS3">Absorbed_Degrees_Of_Freedom()</f>
        <v>0</v>
      </c>
    </row>
    <row r="4" spans="1:75"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J4" s="8" t="s">
        <v>1609</v>
      </c>
      <c r="AK4" s="11">
        <v>0.15492024062955487</v>
      </c>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BR4" s="8" t="s">
        <v>1861</v>
      </c>
      <c r="BS4" s="24" t="str" cm="1">
        <f t="array" ref="BS4">IFERROR(INDEX(_xlfn.TAKE(Spec_Transform,COLUMNS(Source_Data)),_xlfn.XMATCH("Response (y)",_xlfn.TAKE(Spec_Role,COLUMNS(Source_Data)))),"None")</f>
        <v>None</v>
      </c>
    </row>
    <row r="5" spans="1:75"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J5" s="8" t="s">
        <v>1610</v>
      </c>
      <c r="AK5" s="11">
        <v>3.0711741103347818</v>
      </c>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BR5" s="8" t="s">
        <v>1862</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row>
    <row r="6" spans="1:75"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J6" s="8" t="s">
        <v>637</v>
      </c>
      <c r="AK6" s="11">
        <v>1.9663101608024118</v>
      </c>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BR6" s="9" t="s">
        <v>1863</v>
      </c>
      <c r="BS6" s="25" t="b" cm="1">
        <f t="array" ref="BS6">AND(ROWS(Fit_Context())=4,SUMPRODUCT(--ISERROR(Fit_Context()))=0)</f>
        <v>1</v>
      </c>
    </row>
    <row r="7" spans="1:75"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J7" s="8" t="s">
        <v>1611</v>
      </c>
      <c r="AK7" s="11">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row>
    <row r="8" spans="1:75"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J8" s="8" t="s">
        <v>1612</v>
      </c>
      <c r="AK8" s="11">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row>
    <row r="9" spans="1:75"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J9" s="8" t="s">
        <v>1613</v>
      </c>
      <c r="AK9" s="11">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row>
    <row r="10" spans="1:75"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11">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row>
    <row r="11" spans="1:75"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3"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11">
        <v>0.95</v>
      </c>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row>
    <row r="12" spans="1:75"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3"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35" t="str">
        <f>INDEX(_xlfn._xlws.SORT(_xlfn.UNIQUE(_xlfn._xlws.FILTER(Prediction_Group_Column(),Sample_Include()))),1,1)</f>
        <v>(all)</v>
      </c>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row>
    <row r="13" spans="1:75"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1615</v>
      </c>
      <c r="AK13" s="11" cm="1">
        <f t="array" ref="AK13">Group_Mean_At(Response_Column(),Prediction_Group_Column(),$AK$12,Sample_Include())</f>
        <v>23.445918367346941</v>
      </c>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row>
    <row r="14" spans="1:75"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1616</v>
      </c>
      <c r="AK14" s="12" cm="1">
        <f t="array" ref="AK14">Group_Count_At(Prediction_Group_Column(),$AK$12,Sample_Include())</f>
        <v>392</v>
      </c>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row>
    <row r="15" spans="1:75"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row>
    <row r="16" spans="1:75"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row>
    <row r="17" spans="19:5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1"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row>
    <row r="18" spans="19:5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row>
    <row r="19" spans="19:5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row>
    <row r="20" spans="19:5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row>
    <row r="21" spans="19:5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row>
    <row r="22" spans="19:5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row>
    <row r="23" spans="19:5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row>
    <row r="24" spans="19:5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row>
    <row r="25" spans="19:5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row>
    <row r="26" spans="19:5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row>
    <row r="27" spans="19:5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row>
    <row r="28" spans="19:5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row>
    <row r="29" spans="19:5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row>
    <row r="30" spans="19:5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row>
    <row r="31" spans="19:5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row>
    <row r="32" spans="19:5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row>
    <row r="33" spans="20:5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row>
    <row r="34" spans="20:5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row>
    <row r="35" spans="20:5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row>
    <row r="36" spans="20:5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row>
    <row r="37" spans="20:5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row>
    <row r="38" spans="20:5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row>
    <row r="39" spans="20:5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row>
    <row r="40" spans="20:5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row>
    <row r="41" spans="20:5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row>
    <row r="42" spans="20:5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row>
    <row r="43" spans="20:5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row>
    <row r="44" spans="20:5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row>
    <row r="45" spans="20:5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row>
    <row r="46" spans="20:5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row>
    <row r="47" spans="20:5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row>
    <row r="48" spans="20:5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row>
    <row r="49" spans="20:5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row>
    <row r="50" spans="20:5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row>
    <row r="51" spans="20:5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row>
    <row r="52" spans="20:5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row>
    <row r="53" spans="20:5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row>
    <row r="54" spans="20:5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row>
    <row r="55" spans="20:5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row>
    <row r="56" spans="20:5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row>
    <row r="57" spans="20:5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row>
    <row r="58" spans="20:5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row>
    <row r="59" spans="20:5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row>
    <row r="60" spans="20:5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row>
    <row r="61" spans="20:5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row>
    <row r="62" spans="20:5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row>
    <row r="63" spans="20:5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row>
    <row r="64" spans="20:5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row>
    <row r="65" spans="40:5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row>
    <row r="66" spans="40:5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row>
    <row r="67" spans="40:5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row>
    <row r="68" spans="40:5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row>
    <row r="69" spans="40:5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row>
    <row r="70" spans="40:5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row>
    <row r="71" spans="40:5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row>
    <row r="72" spans="40:5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row>
    <row r="73" spans="40:5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row>
    <row r="74" spans="40:5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row>
    <row r="75" spans="40:5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row>
    <row r="76" spans="40:5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row>
    <row r="77" spans="40:5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row>
    <row r="78" spans="40:5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row>
    <row r="79" spans="40:5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row>
    <row r="80" spans="40:5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row>
    <row r="81" spans="40:56"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row>
    <row r="82" spans="40:56"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row>
    <row r="83" spans="40:56"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row>
    <row r="84" spans="40:56"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row>
    <row r="85" spans="40:56"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row>
    <row r="86" spans="40:56"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row>
    <row r="87" spans="40:56"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row>
    <row r="88" spans="40:56"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row>
    <row r="89" spans="40:56"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row>
    <row r="90" spans="40:56"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row>
    <row r="91" spans="40:56"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row>
    <row r="92" spans="40:56"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row>
    <row r="93" spans="40:56"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row>
    <row r="94" spans="40:56"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row>
    <row r="95" spans="40:56"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BA95" t="s">
        <v>524</v>
      </c>
      <c r="BB95" t="str">
        <f>"Residuals vs. Fitted — "&amp;$AF$2</f>
        <v>Residuals vs. Fitted — MPG</v>
      </c>
      <c r="BC95" t="str">
        <f>"Fitted Values"</f>
        <v>Fitted Values</v>
      </c>
      <c r="BD95" t="str">
        <f>"Residuals"</f>
        <v>Residuals</v>
      </c>
    </row>
    <row r="96" spans="40:56"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BA96" t="s">
        <v>527</v>
      </c>
      <c r="BB96" t="str">
        <f>"Normal Q-Q  (r = "&amp;TEXT($AE$10,"0.000")&amp;")"&amp;IF($AE$10&lt;0.95,"  — check normality","")</f>
        <v>Normal Q-Q  (r = 0.991)</v>
      </c>
      <c r="BC96" t="str">
        <f>"Theoretical Quantiles"</f>
        <v>Theoretical Quantiles</v>
      </c>
      <c r="BD96" t="str">
        <f>"Studentized Residuals"</f>
        <v>Studentized Residuals</v>
      </c>
    </row>
    <row r="97" spans="40:56"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BA97" t="s">
        <v>531</v>
      </c>
      <c r="BB97" t="str">
        <f>"Actual vs. Predicted — "&amp;$AF$2&amp;"  (Adj. R² = "&amp;TEXT($AB$6,"0.000")&amp;")"</f>
        <v>Actual vs. Predicted — MPG  (Adj. R² = 0.846)</v>
      </c>
      <c r="BC97" t="str">
        <f>"Predicted "&amp;$AF$2</f>
        <v>Predicted MPG</v>
      </c>
      <c r="BD97" t="str">
        <f>"Actual "&amp;$AF$2</f>
        <v>Actual MPG</v>
      </c>
    </row>
    <row r="98" spans="40:56"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BA98" t="s">
        <v>535</v>
      </c>
      <c r="BB98" t="str">
        <f>"Scale-Location"</f>
        <v>Scale-Location</v>
      </c>
      <c r="BC98" t="str">
        <f>"Fitted Values"</f>
        <v>Fitted Values</v>
      </c>
      <c r="BD98" t="str">
        <f>"√|Studentized Residual|"</f>
        <v>√|Studentized Residual|</v>
      </c>
    </row>
    <row r="99" spans="40:56"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BA99" t="s">
        <v>538</v>
      </c>
      <c r="BB99" t="str">
        <f>"Cook's Distance  (flag: D &gt; "&amp;TEXT(MIN(4/$AB$8,0.9),"0.000")&amp;")"</f>
        <v>Cook's Distance  (flag: D &gt; 0.010)</v>
      </c>
      <c r="BC99" t="str">
        <f>"Observation"</f>
        <v>Observation</v>
      </c>
      <c r="BD99" t="str">
        <f>"Cook's Distance"</f>
        <v>Cook's Distance</v>
      </c>
    </row>
    <row r="100" spans="40:56"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BA100" t="s">
        <v>541</v>
      </c>
      <c r="BB100" t="str">
        <f>"Studentized Residuals vs. Leverage  (mean leverage = "&amp;TEXT($AE$6,"0.000")&amp;")"</f>
        <v>Studentized Residuals vs. Leverage  (mean leverage = 0.043)</v>
      </c>
      <c r="BC100" t="str">
        <f>"Leverage (Hat Diagonal)"</f>
        <v>Leverage (Hat Diagonal)</v>
      </c>
      <c r="BD100" t="str">
        <f>"Studentized Residuals"</f>
        <v>Studentized Residuals</v>
      </c>
    </row>
    <row r="101" spans="40:56"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BA101" t="s">
        <v>545</v>
      </c>
      <c r="BB101" t="str">
        <f>"PRESS Residuals  (PRESS = "&amp;TEXT($AE$4,"#,##0.0000")&amp;")"</f>
        <v>PRESS Residuals  (PRESS = 3,865.0234)</v>
      </c>
      <c r="BC101" t="str">
        <f>"Observation"</f>
        <v>Observation</v>
      </c>
      <c r="BD101" t="str">
        <f>"PRESS Residual"</f>
        <v>PRESS Residual</v>
      </c>
    </row>
    <row r="102" spans="40:56"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row>
    <row r="103" spans="40:56"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row>
    <row r="104" spans="40:56"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row>
    <row r="105" spans="40:56"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row>
    <row r="106" spans="40:56"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row>
    <row r="107" spans="40:56"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row>
    <row r="108" spans="40:56"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row>
    <row r="109" spans="40:56"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row>
    <row r="110" spans="40:56"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row>
    <row r="111" spans="40:56"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row>
    <row r="112" spans="40:56"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row>
    <row r="113" spans="40:5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row>
    <row r="114" spans="40:5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row>
    <row r="115" spans="40:5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row>
    <row r="116" spans="40:5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row>
    <row r="117" spans="40:5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row>
    <row r="118" spans="40:5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row>
    <row r="119" spans="40:5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row>
    <row r="120" spans="40:5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row>
    <row r="121" spans="40:5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row>
    <row r="122" spans="40:5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row>
    <row r="123" spans="40:5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row>
    <row r="124" spans="40:5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row>
    <row r="125" spans="40:5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row>
    <row r="126" spans="40:5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row>
    <row r="127" spans="40:5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row>
    <row r="128" spans="40:5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row>
    <row r="129" spans="40:5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row>
    <row r="130" spans="40:5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row>
    <row r="131" spans="40:5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row>
    <row r="132" spans="40:5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row>
    <row r="133" spans="40:5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row>
    <row r="134" spans="40:5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row>
    <row r="135" spans="40:5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row>
    <row r="136" spans="40:5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row>
    <row r="137" spans="40:5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row>
    <row r="138" spans="40:5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row>
    <row r="139" spans="40:5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row>
    <row r="140" spans="40:5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row>
    <row r="141" spans="40:5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row>
    <row r="142" spans="40:5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row>
    <row r="143" spans="40:5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row>
    <row r="144" spans="40:5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row>
    <row r="145" spans="40:5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row>
    <row r="146" spans="40:5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row>
    <row r="147" spans="40:5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row>
    <row r="148" spans="40:5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row>
    <row r="149" spans="40:5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row>
    <row r="150" spans="40:5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row>
    <row r="151" spans="40:5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row>
    <row r="152" spans="40:5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row>
    <row r="153" spans="40:5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row>
    <row r="154" spans="40:5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row>
    <row r="155" spans="40:5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row>
    <row r="156" spans="40:5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row>
    <row r="157" spans="40:5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row>
    <row r="158" spans="40:5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row>
    <row r="159" spans="40:5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row>
    <row r="160" spans="40:5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row>
    <row r="161" spans="40:5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row>
    <row r="162" spans="40:5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row>
    <row r="163" spans="40:5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row>
    <row r="164" spans="40:5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row>
    <row r="165" spans="40:5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row>
    <row r="166" spans="40:5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row>
    <row r="167" spans="40:5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row>
    <row r="168" spans="40:5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row>
    <row r="169" spans="40:5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row>
    <row r="170" spans="40:5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row>
    <row r="171" spans="40:5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row>
    <row r="172" spans="40:5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row>
    <row r="173" spans="40:5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row>
    <row r="174" spans="40:5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row>
    <row r="175" spans="40:5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row>
    <row r="176" spans="40:5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row>
    <row r="177" spans="40:5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row>
    <row r="178" spans="40:5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row>
    <row r="179" spans="40:5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row>
    <row r="180" spans="40:5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row>
    <row r="181" spans="40:5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row>
    <row r="182" spans="40:5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row>
    <row r="183" spans="40:5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row>
    <row r="184" spans="40:5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row>
    <row r="185" spans="40:5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row>
    <row r="186" spans="40:5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row>
    <row r="187" spans="40:5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row>
    <row r="188" spans="40:5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row>
    <row r="189" spans="40:5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row>
    <row r="190" spans="40:5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row>
    <row r="191" spans="40:5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row>
    <row r="192" spans="40:5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row>
    <row r="193" spans="40:5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row>
    <row r="194" spans="40:5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row>
    <row r="195" spans="40:5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row>
    <row r="196" spans="40:5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row>
    <row r="197" spans="40:5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row>
    <row r="198" spans="40:5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row>
    <row r="199" spans="40:5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row>
    <row r="200" spans="40:5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row>
    <row r="201" spans="40:5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row>
    <row r="202" spans="40:5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row>
    <row r="203" spans="40:5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row>
    <row r="204" spans="40:5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row>
    <row r="205" spans="40:5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row>
    <row r="206" spans="40:5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row>
    <row r="207" spans="40:5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row>
    <row r="208" spans="40:5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row>
    <row r="209" spans="40:5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row>
    <row r="210" spans="40:5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row>
    <row r="211" spans="40:5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row>
    <row r="212" spans="40:5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row>
    <row r="213" spans="40:5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row>
    <row r="214" spans="40:5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row>
    <row r="215" spans="40:5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row>
    <row r="216" spans="40:5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row>
    <row r="217" spans="40:5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row>
    <row r="218" spans="40:5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row>
    <row r="219" spans="40:5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row>
    <row r="220" spans="40:5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row>
    <row r="221" spans="40:5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row>
    <row r="222" spans="40:5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row>
    <row r="223" spans="40:5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row>
    <row r="224" spans="40:5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row>
    <row r="225" spans="40:5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row>
    <row r="226" spans="40:5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row>
    <row r="227" spans="40:5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row>
    <row r="228" spans="40:5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row>
    <row r="229" spans="40:5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row>
    <row r="230" spans="40:5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row>
    <row r="231" spans="40:5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row>
    <row r="232" spans="40:5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row>
    <row r="233" spans="40:5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row>
    <row r="234" spans="40:5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row>
    <row r="235" spans="40:5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row>
    <row r="236" spans="40:5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row>
    <row r="237" spans="40:5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row>
    <row r="238" spans="40:5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row>
    <row r="239" spans="40:5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row>
    <row r="240" spans="40:5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row>
    <row r="241" spans="40:5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row>
    <row r="242" spans="40:5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row>
    <row r="243" spans="40:5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row>
    <row r="244" spans="40:5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row>
    <row r="245" spans="40:5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row>
    <row r="246" spans="40:5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row>
    <row r="247" spans="40:5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row>
    <row r="248" spans="40:5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row>
    <row r="249" spans="40:5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row>
    <row r="250" spans="40:5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row>
    <row r="251" spans="40:5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row>
    <row r="252" spans="40:5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row>
    <row r="253" spans="40:5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row>
    <row r="254" spans="40:5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row>
    <row r="255" spans="40:5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row>
    <row r="256" spans="40:5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row>
    <row r="257" spans="40:5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row>
    <row r="258" spans="40:5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row>
    <row r="259" spans="40:5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row>
    <row r="260" spans="40:5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row>
    <row r="261" spans="40:5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row>
    <row r="262" spans="40:5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row>
    <row r="263" spans="40:5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row>
    <row r="264" spans="40:5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row>
    <row r="265" spans="40:5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row>
    <row r="266" spans="40:5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row>
    <row r="267" spans="40:5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row>
    <row r="268" spans="40:5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row>
    <row r="269" spans="40:5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row>
    <row r="270" spans="40:5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row>
    <row r="271" spans="40:5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row>
    <row r="272" spans="40:5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row>
    <row r="273" spans="40:5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row>
    <row r="274" spans="40:5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row>
    <row r="275" spans="40:5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row>
    <row r="276" spans="40:5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row>
    <row r="277" spans="40:5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row>
    <row r="278" spans="40:5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row>
    <row r="279" spans="40:5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row>
    <row r="280" spans="40:5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row>
    <row r="281" spans="40:5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row>
    <row r="282" spans="40:5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row>
    <row r="283" spans="40:5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row>
    <row r="284" spans="40:5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row>
    <row r="285" spans="40:5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row>
    <row r="286" spans="40:5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row>
    <row r="287" spans="40:5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row>
    <row r="288" spans="40:5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row>
    <row r="289" spans="40:5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row>
    <row r="290" spans="40:5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row>
    <row r="291" spans="40:5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row>
    <row r="292" spans="40:5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row>
    <row r="293" spans="40:5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row>
    <row r="294" spans="40:5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row>
    <row r="295" spans="40:5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row>
    <row r="296" spans="40:5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row>
    <row r="297" spans="40:5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row>
    <row r="298" spans="40:5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row>
    <row r="299" spans="40:5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row>
    <row r="300" spans="40:5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row>
    <row r="301" spans="40:5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row>
    <row r="302" spans="40:5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row>
    <row r="303" spans="40:5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row>
    <row r="304" spans="40:5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row>
    <row r="305" spans="40:5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row>
    <row r="306" spans="40:5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row>
    <row r="307" spans="40:5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row>
    <row r="308" spans="40:5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row>
    <row r="309" spans="40:5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row>
    <row r="310" spans="40:5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row>
    <row r="311" spans="40:5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row>
    <row r="312" spans="40:5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row>
    <row r="313" spans="40:5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row>
    <row r="314" spans="40:5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row>
    <row r="315" spans="40:5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row>
    <row r="316" spans="40:5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row>
    <row r="317" spans="40:5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row>
    <row r="318" spans="40:5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row>
    <row r="319" spans="40:5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row>
    <row r="320" spans="40:5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row>
    <row r="321" spans="40:5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row>
    <row r="322" spans="40:5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row>
    <row r="323" spans="40:5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row>
    <row r="324" spans="40:5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row>
    <row r="325" spans="40:5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row>
    <row r="326" spans="40:5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row>
    <row r="327" spans="40:5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row>
    <row r="328" spans="40:5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row>
    <row r="329" spans="40:5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row>
    <row r="330" spans="40:5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row>
    <row r="331" spans="40:5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row>
    <row r="332" spans="40:5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row>
    <row r="333" spans="40:5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row>
    <row r="334" spans="40:5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row>
    <row r="335" spans="40:5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row>
    <row r="336" spans="40:5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row>
    <row r="337" spans="40:5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row>
    <row r="338" spans="40:5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row>
    <row r="339" spans="40:5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row>
    <row r="340" spans="40:5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row>
    <row r="341" spans="40:5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row>
    <row r="342" spans="40:5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row>
    <row r="343" spans="40:5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row>
    <row r="344" spans="40:5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row>
    <row r="345" spans="40:5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row>
    <row r="346" spans="40:5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row>
    <row r="347" spans="40:5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row>
    <row r="348" spans="40:5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row>
    <row r="349" spans="40:5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row>
    <row r="350" spans="40:5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row>
    <row r="351" spans="40:5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row>
    <row r="352" spans="40:5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row>
    <row r="353" spans="40:5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row>
    <row r="354" spans="40:5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row>
    <row r="355" spans="40:5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row>
    <row r="356" spans="40:5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row>
    <row r="357" spans="40:5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row>
    <row r="358" spans="40:5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row>
    <row r="359" spans="40:5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row>
    <row r="360" spans="40:5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row>
    <row r="361" spans="40:5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row>
    <row r="362" spans="40:5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row>
    <row r="363" spans="40:5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row>
    <row r="364" spans="40:5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row>
    <row r="365" spans="40:5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row>
    <row r="366" spans="40:5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row>
    <row r="367" spans="40:5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row>
    <row r="368" spans="40:5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row>
    <row r="369" spans="40:5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row>
    <row r="370" spans="40:5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row>
    <row r="371" spans="40:5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row>
    <row r="372" spans="40:5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row>
    <row r="373" spans="40:5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row>
    <row r="374" spans="40:5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row>
    <row r="375" spans="40:5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row>
    <row r="376" spans="40:5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row>
    <row r="377" spans="40:5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row>
    <row r="378" spans="40:5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row>
    <row r="379" spans="40:5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row>
    <row r="380" spans="40:5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row>
    <row r="381" spans="40:5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row>
    <row r="382" spans="40:5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row>
    <row r="383" spans="40:5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row>
    <row r="384" spans="40:5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row>
    <row r="385" spans="40:5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row>
    <row r="386" spans="40:5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row>
    <row r="387" spans="40:5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row>
    <row r="388" spans="40:5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row>
    <row r="389" spans="40:5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row>
    <row r="390" spans="40:5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row>
    <row r="391" spans="40:5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row>
    <row r="392" spans="40:5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row>
    <row r="393" spans="40:5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row>
    <row r="394" spans="40:5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7">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B5457-225B-4D72-A25A-2E972F4CDAA9}">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1864</v>
      </c>
      <c r="D115" s="2"/>
      <c r="E115" s="2" t="s">
        <v>1865</v>
      </c>
      <c r="F115" s="2" t="s">
        <v>1690</v>
      </c>
      <c r="G115" s="2" t="s">
        <v>1866</v>
      </c>
    </row>
    <row r="116" spans="1:7" ht="375" x14ac:dyDescent="0.25">
      <c r="A116" s="2" t="s">
        <v>794</v>
      </c>
      <c r="B116" s="2" t="s">
        <v>624</v>
      </c>
      <c r="C116" s="1" t="s">
        <v>1867</v>
      </c>
      <c r="D116" s="2"/>
      <c r="E116" s="2" t="s">
        <v>1868</v>
      </c>
      <c r="F116" s="2" t="s">
        <v>1691</v>
      </c>
      <c r="G116" s="2" t="s">
        <v>1765</v>
      </c>
    </row>
    <row r="117" spans="1:7" ht="409.5" x14ac:dyDescent="0.25">
      <c r="A117" s="2" t="s">
        <v>1692</v>
      </c>
      <c r="B117" s="2" t="s">
        <v>624</v>
      </c>
      <c r="C117" s="1" t="s">
        <v>1869</v>
      </c>
      <c r="D117" s="2"/>
      <c r="E117" s="2" t="s">
        <v>1870</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1847</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2026-08-03T23:11:11Z</dcterms:modified>
</cp:coreProperties>
</file>