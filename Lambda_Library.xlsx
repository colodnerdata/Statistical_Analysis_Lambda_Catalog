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3BF40063-0227-4E4D-A27C-DDDE3DEB4081}" xr6:coauthVersionLast="47" xr6:coauthVersionMax="47" xr10:uidLastSave="{00000000-0000-0000-0000-000000000000}"/>
  <bookViews>
    <workbookView xWindow="-120" yWindow="-120" windowWidth="29040" windowHeight="15720" activeTab="6" xr2:uid="{8193EBAF-591D-4B38-AAD2-8492E5F184C6}"/>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udf.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udf.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_input" localSheetId="5">Regression!$V$12:OFFSET(Regression!$V$12,1,0,COLUMNS(Regression!x_s))</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Data">_xlfn.ANCHORARRAY(#REF!)</definedName>
    <definedName name="UV_FD_Counts" localSheetId="6">OFFSET(Univariate!$M$5,0,0,n_histogram_bins(Univariate!UV_Data),1)</definedName>
    <definedName name="UV_FD_Edges" localSheetId="6">OFFSET(Univariate!$L$5,0,0,n_histogram_bins(Univariate!UV_Data),1)</definedName>
    <definedName name="UV_n" localSheetId="6">IFERROR(COUNT(_xlfn.ANCHORARRAY(Univariate!$A$4)),0)</definedName>
    <definedName name="UV_Scott_Counts" localSheetId="6">OFFSET(Univariate!$J$5,0,0,n_histogram_bins(Univariate!UV_Data,"Scott"),1)</definedName>
    <definedName name="UV_Scott_Edges" localSheetId="6">OFFSET(Univariate!$I$5,0,0,n_histogram_bins(Univariate!UV_Data,"Scott"),1)</definedName>
    <definedName name="UV_Sturges_Counts" localSheetId="6">OFFSET(Univariate!$G$5,0,0,n_histogram_bins(Univariate!UV_Data,"Sturges"),1)</definedName>
    <definedName name="UV_Sturges_Edges" localSheetId="6">OFFSET(Univariate!$F$5,0,0,n_histogram_bins(Univariate!UV_Data,"Sturges"),1)</definedName>
    <definedName name="UV_WB_S1" localSheetId="6">Univariate!$AC$10:$AV$29</definedName>
    <definedName name="UV_WB_S2" localSheetId="6">Univariate!$AY$10:$BR$29</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Y_Ranked">_xlfn.LAMBDA(_xlpm.Y,_xlop.Include,_xlfn._xlws.SORT(_xlfn._xlws.FILTER(_xlpm.Y,IF(_xlfn.ISOMITTED(_xlpm.Include),TRUE,_xlpm.Include))))</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5" i="8" l="1" a="1"/>
  <c r="D15" i="8" a="1"/>
  <c r="D14" i="8"/>
  <c r="D13" i="8" a="1"/>
  <c r="D12" i="8" a="1"/>
  <c r="D11" i="8"/>
  <c r="AB10" i="8" a="1"/>
  <c r="W10" i="8" a="1"/>
  <c r="D10" i="8"/>
  <c r="AX9" i="8" a="1"/>
  <c r="AC9" i="8" a="1"/>
  <c r="AB9" i="8" a="1"/>
  <c r="W9" i="8" a="1"/>
  <c r="V9" i="8"/>
  <c r="T9" i="8"/>
  <c r="R9" i="8"/>
  <c r="D9" i="8"/>
  <c r="AY8" i="8" a="1"/>
  <c r="AX8" i="8" a="1"/>
  <c r="AC8" i="8" a="1"/>
  <c r="AB8" i="8" a="1"/>
  <c r="Z8" i="8" a="1"/>
  <c r="Y8" i="8" a="1"/>
  <c r="W8" i="8" a="1"/>
  <c r="V8" i="8"/>
  <c r="T8" i="8"/>
  <c r="R8" i="8"/>
  <c r="D8" i="8"/>
  <c r="W7" i="8" a="1"/>
  <c r="R7" i="8"/>
  <c r="D7" i="8"/>
  <c r="AY6" i="8"/>
  <c r="AC6" i="8"/>
  <c r="W6" i="8" a="1"/>
  <c r="T6" i="8" a="1"/>
  <c r="R6" i="8" a="1"/>
  <c r="D6" i="8"/>
  <c r="AD5" i="8"/>
  <c r="W5" i="8" a="1"/>
  <c r="T5" i="8"/>
  <c r="R5" i="8"/>
  <c r="L5" i="8" a="1"/>
  <c r="I5" i="8" a="1"/>
  <c r="D5" i="8"/>
  <c r="D4" i="8"/>
  <c r="A4" i="8"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7" a="1"/>
  <c r="V29" i="7" a="1"/>
  <c r="V28" i="7" a="1"/>
  <c r="V27" i="7" a="1"/>
  <c r="V26" i="7" a="1"/>
  <c r="V25" i="7" a="1"/>
  <c r="V24" i="7" a="1"/>
  <c r="V23" i="7" a="1"/>
  <c r="V22" i="7" a="1"/>
  <c r="V21" i="7" a="1"/>
  <c r="S21" i="7" a="1"/>
  <c r="R21" i="7" a="1"/>
  <c r="Q21" i="7" a="1"/>
  <c r="P21" i="7" a="1"/>
  <c r="O21" i="7" a="1"/>
  <c r="N21" i="7" a="1"/>
  <c r="M21" i="7" a="1"/>
  <c r="L21" i="7" a="1"/>
  <c r="V20" i="7" a="1"/>
  <c r="V19" i="7" a="1"/>
  <c r="V18" i="7" a="1"/>
  <c r="V17" i="7" a="1"/>
  <c r="N17" i="7" a="1"/>
  <c r="M17" i="7" a="1"/>
  <c r="V16" i="7" a="1"/>
  <c r="O16" i="7" a="1"/>
  <c r="N16" i="7" a="1"/>
  <c r="M16" i="7" a="1"/>
  <c r="V15"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V3" i="7" a="1"/>
  <c r="J3" i="7" a="1"/>
  <c r="I3" i="7" a="1"/>
  <c r="H3" i="7" a="1"/>
  <c r="G3" i="7" a="1"/>
  <c r="F3" i="7" a="1"/>
  <c r="E3" i="7" a="1"/>
  <c r="D3" i="7" a="1"/>
  <c r="A3" i="7" a="1"/>
  <c r="AE7" i="8" l="1" a="1"/>
  <c r="AC7" i="8" a="1"/>
  <c r="J5" i="8" a="1"/>
  <c r="M5" i="8" a="1"/>
  <c r="Z6" i="8" a="1"/>
  <c r="Z5" i="8" a="1"/>
  <c r="Y5" i="8" a="1"/>
  <c r="G5" i="8" a="1"/>
  <c r="Y6" i="8" a="1"/>
  <c r="Y10" i="8" a="1"/>
  <c r="Z9" i="8" a="1"/>
  <c r="Z7" i="8" a="1"/>
  <c r="Y7" i="8" a="1"/>
  <c r="Z10" i="8" a="1"/>
  <c r="Y9" i="8" a="1"/>
  <c r="AY5" i="8" l="1"/>
  <c r="AX10" i="8" s="1" a="1"/>
  <c r="BA7" i="8" s="1" a="1"/>
  <c r="T10" i="8" s="1"/>
  <c r="AZ5" i="8"/>
  <c r="AY4" i="8"/>
  <c r="AZ4" i="8"/>
  <c r="AY9" i="8" l="1" a="1"/>
  <c r="AY7" i="8" s="1" a="1"/>
  <c r="R10"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00EB04D3-7DEB-4B0B-B675-22A8F41D2704}">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B3124FA6-6E18-44EA-AA43-F9A1948938D6}">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3CF7191F-207C-499C-9254-32977C7C6EFB}">
      <text>
        <r>
          <rPr>
            <b/>
            <sz val="9"/>
            <color indexed="81"/>
            <rFont val="Tahoma"/>
            <family val="2"/>
          </rPr>
          <t>Shows whether the data have a longer tail on one side. Positive means a longer right tail; negative means a longer left tail.</t>
        </r>
      </text>
    </comment>
    <comment ref="H2" authorId="0" shapeId="0" xr:uid="{FCA6AAE3-F4BA-495C-B2A1-A58FD5ACB5F4}">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CAFC397D-B58B-4670-9FC8-B62653E4948F}">
      <text>
        <r>
          <rPr>
            <b/>
            <sz val="9"/>
            <color indexed="81"/>
            <rFont val="Tahoma"/>
            <family val="2"/>
          </rPr>
          <t>A measure of collinearity with the other predictors. A value of 1 means no overlap; above 5 warrants review, above 10 indicates a problem.</t>
        </r>
      </text>
    </comment>
    <comment ref="J2" authorId="0" shapeId="0" xr:uid="{6CDE8074-39AB-4509-8FBF-62F49CAD7D89}">
      <text>
        <r>
          <rPr>
            <b/>
            <sz val="9"/>
            <color indexed="81"/>
            <rFont val="Tahoma"/>
            <family val="2"/>
          </rPr>
          <t>The fraction of a predictor's variation not explained by the other predictors. Values below 0.2 warrant review; below 0.1 indicate strong collinearity.</t>
        </r>
      </text>
    </comment>
    <comment ref="X2" authorId="0" shapeId="0" xr:uid="{9A9ED249-83DF-4542-A57B-832FD2D79C9B}">
      <text>
        <r>
          <rPr>
            <b/>
            <sz val="9"/>
            <color indexed="81"/>
            <rFont val="Tahoma"/>
            <family val="2"/>
          </rPr>
          <t>The actual observed outcome values.</t>
        </r>
      </text>
    </comment>
    <comment ref="Y2" authorId="0" shapeId="0" xr:uid="{D5DA9D6E-1CCF-414D-8F10-09CF2578C605}">
      <text>
        <r>
          <rPr>
            <b/>
            <sz val="9"/>
            <color indexed="81"/>
            <rFont val="Tahoma"/>
            <family val="2"/>
          </rPr>
          <t>The fitted outcome values produced by the model.</t>
        </r>
      </text>
    </comment>
    <comment ref="Z2" authorId="0" shapeId="0" xr:uid="{709B2E4B-273B-4330-94C5-4BCB7D4089AB}">
      <text>
        <r>
          <rPr>
            <b/>
            <sz val="9"/>
            <color indexed="81"/>
            <rFont val="Tahoma"/>
            <family val="2"/>
          </rPr>
          <t>Actual Y minus predicted Y. Positive means the row came in above the model's prediction; negative means below.</t>
        </r>
      </text>
    </comment>
    <comment ref="AA2" authorId="0" shapeId="0" xr:uid="{7F5B1F9A-15DC-4C29-93C7-530AB8C7317D}">
      <text>
        <r>
          <rPr>
            <b/>
            <sz val="9"/>
            <color indexed="81"/>
            <rFont val="Tahoma"/>
            <family val="2"/>
          </rPr>
          <t>The prediction error for a row when that row is left out of the fitting step.</t>
        </r>
      </text>
    </comment>
    <comment ref="AB2" authorId="0" shapeId="0" xr:uid="{0C2EFB87-E8BC-42B0-9765-EF36439BBEF1}">
      <text>
        <r>
          <rPr>
            <b/>
            <sz val="9"/>
            <color indexed="81"/>
            <rFont val="Tahoma"/>
            <family val="2"/>
          </rPr>
          <t>Leverage. It shows how unusual a row's predictor values are relative to the rest of the data.</t>
        </r>
      </text>
    </comment>
    <comment ref="AC2" authorId="0" shapeId="0" xr:uid="{93AA9BAC-C8D3-46B9-9462-71E78DFE810F}">
      <text>
        <r>
          <rPr>
            <b/>
            <sz val="9"/>
            <color indexed="81"/>
            <rFont val="Tahoma"/>
            <family val="2"/>
          </rPr>
          <t>Residuals scaled to account for overall error size and leverage, making outliers easier to compare fairly.</t>
        </r>
      </text>
    </comment>
    <comment ref="AD2" authorId="0" shapeId="0" xr:uid="{0A60EDC3-C436-4FC3-A4CE-191A9C94FB23}">
      <text>
        <r>
          <rPr>
            <b/>
            <sz val="9"/>
            <color indexed="81"/>
            <rFont val="Tahoma"/>
            <family val="2"/>
          </rPr>
          <t>How much a single row can pull the fitted coefficients and predictions around.</t>
        </r>
      </text>
    </comment>
    <comment ref="AE2" authorId="0" shapeId="0" xr:uid="{F00F9624-7557-4A5E-815C-9867AFC96F94}">
      <text>
        <r>
          <rPr>
            <b/>
            <sz val="9"/>
            <color indexed="81"/>
            <rFont val="Tahoma"/>
            <family val="2"/>
          </rPr>
          <t>Expected bell-curve quantiles used for the Q-Q comparison.</t>
        </r>
      </text>
    </comment>
    <comment ref="AF2" authorId="0" shapeId="0" xr:uid="{345D9B35-9FEA-4910-A65B-86106ECD100B}">
      <text>
        <r>
          <rPr>
            <b/>
            <sz val="9"/>
            <color indexed="81"/>
            <rFont val="Tahoma"/>
            <family val="2"/>
          </rPr>
          <t>Studentized residuals sorted from smallest to largest for the Q-Q plot.</t>
        </r>
      </text>
    </comment>
    <comment ref="AG2" authorId="0" shapeId="0" xr:uid="{602F557B-3286-4382-AD14-9E7F6219DFD2}">
      <text>
        <r>
          <rPr>
            <b/>
            <sz val="9"/>
            <color indexed="81"/>
            <rFont val="Tahoma"/>
            <family val="2"/>
          </rPr>
          <t>The square root of the absolute studentized residual. A flat pattern suggests stable error spread.</t>
        </r>
      </text>
    </comment>
    <comment ref="AH2" authorId="0" shapeId="0" xr:uid="{0B970418-13BC-4EBE-8F9E-6B07107F3AE4}">
      <text>
        <r>
          <rPr>
            <b/>
            <sz val="9"/>
            <color indexed="81"/>
            <rFont val="Tahoma"/>
            <family val="2"/>
          </rPr>
          <t>A leverage-adjusted residual used to show how much a row affects out-of-sample prediction error.</t>
        </r>
      </text>
    </comment>
    <comment ref="U3" authorId="0" shapeId="0" xr:uid="{6704BA77-376D-44D2-9F00-62FAB519E553}">
      <text>
        <r>
          <rPr>
            <b/>
            <sz val="9"/>
            <color indexed="81"/>
            <rFont val="Tahoma"/>
            <family val="2"/>
          </rPr>
          <t>The model's single best predicted Y value for the inputs you entered.</t>
        </r>
      </text>
    </comment>
    <comment ref="L4" authorId="0" shapeId="0" xr:uid="{328DEF1C-62A6-418C-BF60-16D451E4DEDB}">
      <text>
        <r>
          <rPr>
            <b/>
            <sz val="9"/>
            <color indexed="81"/>
            <rFont val="Tahoma"/>
            <family val="2"/>
          </rPr>
          <t>How closely the model's predicted Y values track the actual Y values overall.</t>
        </r>
      </text>
    </comment>
    <comment ref="O4" authorId="0" shapeId="0" xr:uid="{E1E85522-5E14-4C38-BE53-FAD8E36694D1}">
      <text>
        <r>
          <rPr>
            <b/>
            <sz val="9"/>
            <color indexed="81"/>
            <rFont val="Tahoma"/>
            <family val="2"/>
          </rPr>
          <t>A leave-one-out prediction error score. Lower is better because it means the model predicts unseen rows more accurately.</t>
        </r>
      </text>
    </comment>
    <comment ref="U4" authorId="0" shapeId="0" xr:uid="{B0CD9A2E-BB12-4F75-B45D-BE7075147272}">
      <text>
        <r>
          <rPr>
            <b/>
            <sz val="9"/>
            <color indexed="81"/>
            <rFont val="Tahoma"/>
            <family val="2"/>
          </rPr>
          <t>The standard error for a new prediction. It reflects both model uncertainty and ordinary row-to-row noise.</t>
        </r>
      </text>
    </comment>
    <comment ref="L5" authorId="0" shapeId="0" xr:uid="{1CE7FC33-A2AC-4F59-83B0-F20DD301EAEF}">
      <text>
        <r>
          <rPr>
            <b/>
            <sz val="9"/>
            <color indexed="81"/>
            <rFont val="Tahoma"/>
            <family val="2"/>
          </rPr>
          <t>The share of the outcome's variation explained by the model.</t>
        </r>
      </text>
    </comment>
    <comment ref="O5" authorId="0" shapeId="0" xr:uid="{189CC7F5-DD87-428C-89B9-1446D6091AB9}">
      <text>
        <r>
          <rPr>
            <b/>
            <sz val="9"/>
            <color indexed="81"/>
            <rFont val="Tahoma"/>
            <family val="2"/>
          </rPr>
          <t>An out-of-sample version of R Square based on leave-one-out prediction. Negative values mean the model predicts worse than just using the average Y.</t>
        </r>
      </text>
    </comment>
    <comment ref="U5" authorId="0" shapeId="0" xr:uid="{91BDC6B7-D0AF-4F54-8C64-47EEE455059E}">
      <text>
        <r>
          <rPr>
            <b/>
            <sz val="9"/>
            <color indexed="81"/>
            <rFont val="Tahoma"/>
            <family val="2"/>
          </rPr>
          <t>The t-distribution cutoff at the chosen confidence level. Multiply by SE Prediction to get the prediction interval half-width.</t>
        </r>
      </text>
    </comment>
    <comment ref="L6" authorId="0" shapeId="0" xr:uid="{D3FF541F-6E57-48CE-9291-DA4270C0BE1A}">
      <text>
        <r>
          <rPr>
            <b/>
            <sz val="9"/>
            <color indexed="81"/>
            <rFont val="Tahoma"/>
            <family val="2"/>
          </rPr>
          <t>R Square with a penalty for adding predictors that do not help enough.</t>
        </r>
      </text>
    </comment>
    <comment ref="O6" authorId="0" shapeId="0" xr:uid="{8E1ED684-7E85-4D90-8823-B99030F66945}">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72AB9760-3769-414E-9A2E-D52EED3B094A}">
      <text>
        <r>
          <rPr>
            <b/>
            <sz val="9"/>
            <color indexed="81"/>
            <rFont val="Tahoma"/>
            <family val="2"/>
          </rPr>
          <t>The lower bound of the 95% confidence interval.</t>
        </r>
      </text>
    </comment>
    <comment ref="L7" authorId="0" shapeId="0" xr:uid="{42B95156-D404-46F0-AFBE-06BAB74A0B57}">
      <text>
        <r>
          <rPr>
            <b/>
            <sz val="9"/>
            <color indexed="81"/>
            <rFont val="Tahoma"/>
            <family val="2"/>
          </rPr>
          <t>The typical size of the model's prediction errors, measured in the same units as Y.</t>
        </r>
      </text>
    </comment>
    <comment ref="O7" authorId="0" shapeId="0" xr:uid="{1ACE42F5-7A0F-4050-865E-6A10C6BB8E8E}">
      <text>
        <r>
          <rPr>
            <b/>
            <sz val="9"/>
            <color indexed="81"/>
            <rFont val="Tahoma"/>
            <family val="2"/>
          </rPr>
          <t>A model-comparison score that balances fit against complexity. Lower is better when comparing models on the same data.</t>
        </r>
      </text>
    </comment>
    <comment ref="U7" authorId="0" shapeId="0" xr:uid="{F1D715CC-ED10-4EFD-963E-B2403CBDCB31}">
      <text>
        <r>
          <rPr>
            <b/>
            <sz val="9"/>
            <color indexed="81"/>
            <rFont val="Tahoma"/>
            <family val="2"/>
          </rPr>
          <t>The upper bound of the 95% confidence interval.</t>
        </r>
      </text>
    </comment>
    <comment ref="L8" authorId="0" shapeId="0" xr:uid="{94598D0C-C207-488B-8880-9B64D77DD080}">
      <text>
        <r>
          <rPr>
            <b/>
            <sz val="9"/>
            <color indexed="81"/>
            <rFont val="Tahoma"/>
            <family val="2"/>
          </rPr>
          <t>The number of rows actually used in the regression after filtering.</t>
        </r>
      </text>
    </comment>
    <comment ref="O8" authorId="0" shapeId="0" xr:uid="{F8EAF4FB-9B4F-4B0C-85E7-F6DB6BDA1374}">
      <text>
        <r>
          <rPr>
            <b/>
            <sz val="9"/>
            <color indexed="81"/>
            <rFont val="Tahoma"/>
            <family val="2"/>
          </rPr>
          <t>Another model-comparison score like AIC, but it penalizes extra predictors more strongly.</t>
        </r>
      </text>
    </comment>
    <comment ref="U8" authorId="0" shapeId="0" xr:uid="{B2BA61CB-40B5-4993-8FFB-AB80B58EE4D4}">
      <text>
        <r>
          <rPr>
            <b/>
            <sz val="9"/>
            <color indexed="81"/>
            <rFont val="Tahoma"/>
            <family val="2"/>
          </rPr>
          <t>The probability level associated with the interval. With alpha 0.05, this is 95%.</t>
        </r>
      </text>
    </comment>
    <comment ref="O9" authorId="0" shapeId="0" xr:uid="{9914CFF1-8DB3-4D2D-89D8-D93871CE49BC}">
      <text>
        <r>
          <rPr>
            <b/>
            <sz val="9"/>
            <color indexed="81"/>
            <rFont val="Tahoma"/>
            <family val="2"/>
          </rPr>
          <t>AIC with an extra correction for small samples.</t>
        </r>
      </text>
    </comment>
    <comment ref="O10" authorId="0" shapeId="0" xr:uid="{051EF4DD-9E93-4222-A7C5-E96FE9D24089}">
      <text>
        <r>
          <rPr>
            <b/>
            <sz val="9"/>
            <color indexed="81"/>
            <rFont val="Tahoma"/>
            <family val="2"/>
          </rPr>
          <t>A numeric check of how close the residuals are to a normal bell shape. Values closer to 1 are better.</t>
        </r>
      </text>
    </comment>
    <comment ref="L12" authorId="0" shapeId="0" xr:uid="{67F3EF8C-D408-422E-9027-70EA18DAE1DB}">
      <text>
        <r>
          <rPr>
            <b/>
            <sz val="9"/>
            <color indexed="81"/>
            <rFont val="Tahoma"/>
            <family val="2"/>
          </rPr>
          <t>The cutoff for statistical significance. At 0.05, results with p-values below 0.05 are treated as statistically significant.</t>
        </r>
      </text>
    </comment>
    <comment ref="M14" authorId="0" shapeId="0" xr:uid="{51287B04-8876-4A52-814F-6B35407D2494}">
      <text>
        <r>
          <rPr>
            <b/>
            <sz val="9"/>
            <color indexed="81"/>
            <rFont val="Tahoma"/>
            <family val="2"/>
          </rPr>
          <t>The number of independent data points available to estimate each part of the model — total rows minus one for each estimated parameter.</t>
        </r>
      </text>
    </comment>
    <comment ref="N14" authorId="0" shapeId="0" xr:uid="{03CB4BC4-70C4-4B7F-9244-E5CD3DC5728D}">
      <text>
        <r>
          <rPr>
            <b/>
            <sz val="9"/>
            <color indexed="81"/>
            <rFont val="Tahoma"/>
            <family val="2"/>
          </rPr>
          <t>The total variation attributed to that source — regression, residual, or total. The raw material from which MS and F are calculated.</t>
        </r>
      </text>
    </comment>
    <comment ref="O14" authorId="0" shapeId="0" xr:uid="{B73128DC-BE18-4DEB-9C6E-11EA796E76A9}">
      <text>
        <r>
          <rPr>
            <b/>
            <sz val="9"/>
            <color indexed="81"/>
            <rFont val="Tahoma"/>
            <family val="2"/>
          </rPr>
          <t>Sum of squares averaged over its degrees of freedom — a per-unit measure of variation for that source.</t>
        </r>
      </text>
    </comment>
    <comment ref="P14" authorId="0" shapeId="0" xr:uid="{8715C9A1-9EE9-4272-B979-ECCB5235E714}">
      <text>
        <r>
          <rPr>
            <b/>
            <sz val="9"/>
            <color indexed="81"/>
            <rFont val="Tahoma"/>
            <family val="2"/>
          </rPr>
          <t>The model-vs-noise ratio used in the overall regression significance test.</t>
        </r>
      </text>
    </comment>
    <comment ref="Q14" authorId="0" shapeId="0" xr:uid="{7E907547-5A01-4C62-815E-E7F5E0514923}">
      <text>
        <r>
          <rPr>
            <b/>
            <sz val="9"/>
            <color indexed="81"/>
            <rFont val="Tahoma"/>
            <family val="2"/>
          </rPr>
          <t>The p-value for the overall F test. Small values mean the model as a whole is unlikely to be pure noise.</t>
        </r>
      </text>
    </comment>
    <comment ref="L15" authorId="0" shapeId="0" xr:uid="{78287BBF-8CC8-4DC0-B55F-B9EE145E5FCF}">
      <text>
        <r>
          <rPr>
            <b/>
            <sz val="9"/>
            <color indexed="81"/>
            <rFont val="Tahoma"/>
            <family val="2"/>
          </rPr>
          <t>The variation explained by the predictors taken together.</t>
        </r>
      </text>
    </comment>
    <comment ref="L16" authorId="0" shapeId="0" xr:uid="{7BCDFF9D-ED2A-40F9-9EA6-3BB293E36D36}">
      <text>
        <r>
          <rPr>
            <b/>
            <sz val="9"/>
            <color indexed="81"/>
            <rFont val="Tahoma"/>
            <family val="2"/>
          </rPr>
          <t>The variation the model does not explain.</t>
        </r>
      </text>
    </comment>
    <comment ref="L17" authorId="0" shapeId="0" xr:uid="{3B157359-6D98-468E-9F99-94A4836E9CA5}">
      <text>
        <r>
          <rPr>
            <b/>
            <sz val="9"/>
            <color indexed="81"/>
            <rFont val="Tahoma"/>
            <family val="2"/>
          </rPr>
          <t>All variation in the outcome before splitting it into explained and unexplained parts.</t>
        </r>
      </text>
    </comment>
    <comment ref="M20" authorId="0" shapeId="0" xr:uid="{870DDE69-1405-4C26-8D26-8EC52C269999}">
      <text>
        <r>
          <rPr>
            <b/>
            <sz val="9"/>
            <color indexed="81"/>
            <rFont val="Tahoma"/>
            <family val="2"/>
          </rPr>
          <t>The fitted weights used to turn predictor values into predictions.</t>
        </r>
      </text>
    </comment>
    <comment ref="N20" authorId="0" shapeId="0" xr:uid="{D05032E4-3D3D-43B1-8FDF-C4072118CCDC}">
      <text>
        <r>
          <rPr>
            <b/>
            <sz val="9"/>
            <color indexed="81"/>
            <rFont val="Tahoma"/>
            <family val="2"/>
          </rPr>
          <t>How uncertain each coefficient estimate is.</t>
        </r>
      </text>
    </comment>
    <comment ref="O20" authorId="0" shapeId="0" xr:uid="{23788A16-7415-4D40-A17C-209C874395C2}">
      <text>
        <r>
          <rPr>
            <b/>
            <sz val="9"/>
            <color indexed="81"/>
            <rFont val="Tahoma"/>
            <family val="2"/>
          </rPr>
          <t>How many standard errors the coefficient is away from zero.</t>
        </r>
      </text>
    </comment>
    <comment ref="P20" authorId="0" shapeId="0" xr:uid="{9DF346B7-10B3-4539-94C7-EFDEF31C7AFC}">
      <text>
        <r>
          <rPr>
            <b/>
            <sz val="9"/>
            <color indexed="81"/>
            <rFont val="Tahoma"/>
            <family val="2"/>
          </rPr>
          <t>How surprising this coefficient would be if its true effect were zero. Smaller values mean stronger evidence of a real effect.</t>
        </r>
      </text>
    </comment>
    <comment ref="Q20" authorId="0" shapeId="0" xr:uid="{E9B4D9C6-FB8E-4563-89B4-C9FCA49ED7A2}">
      <text>
        <r>
          <rPr>
            <b/>
            <sz val="9"/>
            <color indexed="81"/>
            <rFont val="Tahoma"/>
            <family val="2"/>
          </rPr>
          <t>The lower bound of the 95% confidence interval.</t>
        </r>
      </text>
    </comment>
    <comment ref="R20" authorId="0" shapeId="0" xr:uid="{EE925C8E-3CB0-4790-B78A-A21921408DCA}">
      <text>
        <r>
          <rPr>
            <b/>
            <sz val="9"/>
            <color indexed="81"/>
            <rFont val="Tahoma"/>
            <family val="2"/>
          </rPr>
          <t>The upper bound of the 95% confidence interval.</t>
        </r>
      </text>
    </comment>
    <comment ref="S20" authorId="0" shapeId="0" xr:uid="{CFDD8208-17D5-4661-AC5D-D33A1A4FB45B}">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<sst xmlns="http://schemas.openxmlformats.org/spreadsheetml/2006/main" count="6633" uniqueCount="845">
  <si>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</si>
  <si>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</si>
  <si>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</si>
  <si>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</si>
  <si>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</si>
  <si>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</si>
  <si>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</si>
  <si>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</si>
  <si>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</si>
  <si>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</si>
  <si>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</si>
  <si>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</si>
  <si>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</si>
  <si>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</si>
  <si>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</si>
  <si>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</si>
  <si>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</si>
  <si>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</si>
  <si>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</si>
  <si>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</si>
  <si>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</si>
  <si>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</si>
  <si>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</si>
  <si>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</si>
  <si>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</si>
  <si>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</si>
  <si>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</si>
  <si>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</si>
  <si>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</si>
  <si>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</si>
  <si>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</si>
  <si>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</si>
  <si>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</si>
  <si>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</si>
  <si>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</si>
  <si>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</si>
  <si>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</si>
  <si>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</si>
  <si>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</si>
  <si>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</si>
  <si>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</si>
  <si>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</si>
  <si>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</si>
  <si>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</si>
  <si>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</si>
  <si>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</si>
  <si>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</si>
  <si>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</si>
  <si>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</si>
  <si>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</si>
  <si>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</si>
  <si>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</si>
  <si>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</si>
  <si>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</si>
  <si>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</si>
  <si>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</si>
  <si>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</si>
  <si>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</si>
  <si>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</si>
  <si>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</si>
  <si>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</si>
  <si>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</si>
  <si>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</si>
  <si>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</si>
  <si>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</si>
  <si>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</si>
  <si>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</si>
  <si>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</si>
  <si>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</si>
  <si>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</si>
  <si>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</si>
  <si>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</si>
  <si>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</si>
  <si>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</si>
  <si>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</si>
  <si>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</si>
  <si>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</si>
  <si>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</si>
  <si>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</si>
  <si>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</si>
  <si>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</si>
  <si>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</si>
  <si>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</si>
  <si>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</si>
  <si>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</si>
  <si>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</si>
  <si>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</si>
  <si>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</si>
  <si>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</si>
  <si>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</si>
  <si>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</si>
  <si>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</si>
  <si>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</si>
  <si>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</si>
  <si>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</si>
  <si>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</si>
  <si>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</si>
  <si>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</si>
  <si>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</si>
  <si>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</si>
  <si>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</si>
  <si>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</si>
  <si>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</si>
  <si>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</si>
  <si>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</si>
  <si>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</si>
  <si>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</si>
  <si>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</si>
  <si>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</si>
  <si>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</si>
  <si>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</si>
  <si>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</si>
  <si>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</si>
  <si>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</si>
  <si>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</si>
  <si>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</si>
  <si>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</si>
  <si>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</si>
  <si>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</si>
  <si>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</si>
  <si>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</si>
  <si>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</si>
  <si>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</si>
  <si>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</si>
  <si>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</si>
  <si>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</si>
  <si>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</si>
  <si>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</si>
  <si>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</si>
  <si>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</si>
  <si>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</si>
  <si>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</si>
  <si>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</si>
  <si>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</si>
  <si>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</si>
  <si>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</si>
  <si>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</si>
  <si>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</si>
  <si>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</si>
  <si>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</si>
  <si>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</si>
  <si>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</si>
  <si>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</si>
  <si>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</si>
  <si>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</si>
  <si>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</si>
  <si>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</si>
  <si>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</si>
  <si>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</si>
  <si>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</si>
  <si>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</si>
  <si>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</si>
  <si>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</si>
  <si>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</si>
  <si>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</si>
  <si>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</si>
  <si>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</si>
  <si>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</si>
  <si>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</si>
  <si>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</si>
  <si>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</si>
  <si>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</si>
  <si>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</si>
  <si>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</si>
  <si>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</si>
  <si>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</si>
  <si>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</si>
  <si>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</si>
  <si>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</si>
  <si>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</si>
  <si>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</si>
  <si>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</si>
  <si>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</si>
  <si>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</si>
  <si>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</si>
  <si>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</si>
  <si>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</si>
  <si>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</si>
  <si>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</si>
  <si>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</si>
  <si>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</si>
  <si>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</si>
  <si>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</si>
  <si>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</si>
  <si>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</si>
  <si>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</si>
  <si>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</si>
  <si>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</si>
  <si>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</si>
  <si>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</si>
  <si>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</si>
  <si>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</si>
  <si>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</si>
  <si>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</si>
  <si>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</si>
  <si>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</si>
  <si>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</si>
  <si>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</si>
  <si>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</si>
  <si>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</si>
  <si>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</si>
  <si>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</si>
  <si>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</si>
  <si>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</si>
  <si>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</si>
  <si>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</si>
  <si>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</si>
  <si>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</si>
  <si>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</si>
  <si>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</si>
  <si>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</si>
  <si>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</si>
  <si>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</si>
  <si>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</si>
  <si>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</si>
  <si>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</si>
  <si>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</si>
  <si>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</si>
  <si>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</si>
  <si>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</si>
  <si>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</si>
  <si>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</si>
  <si>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</si>
  <si>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</si>
  <si>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</si>
  <si>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</si>
  <si>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</si>
  <si>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</si>
  <si>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</si>
  <si>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</si>
  <si>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</si>
  <si>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</si>
  <si>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</si>
  <si>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</si>
  <si>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</si>
  <si>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</si>
  <si>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</si>
  <si>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</si>
  <si>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</si>
  <si>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</si>
  <si>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</si>
  <si>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</si>
  <si>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</si>
  <si>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</si>
  <si>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</si>
  <si>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</si>
  <si>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</si>
  <si>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</si>
  <si>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</si>
  <si>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</si>
  <si>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</si>
  <si>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</si>
  <si>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</si>
  <si>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</si>
  <si>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</si>
  <si>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</si>
  <si>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</si>
  <si>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</si>
  <si>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</si>
  <si>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</si>
  <si>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</si>
  <si>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</si>
  <si>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</si>
  <si>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</si>
  <si>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</si>
  <si>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</si>
  <si>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</si>
  <si>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</si>
  <si>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</si>
  <si>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</si>
  <si>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</si>
  <si>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</si>
  <si>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</si>
  <si>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</si>
  <si>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</si>
  <si>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</si>
  <si>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</si>
  <si>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</si>
  <si>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</si>
  <si>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</si>
  <si>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</si>
  <si>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</si>
  <si>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</si>
  <si>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</si>
  <si>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</si>
  <si>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</si>
  <si>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</si>
  <si>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</si>
  <si>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</si>
  <si>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</si>
  <si>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</si>
  <si>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</si>
  <si>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</si>
  <si>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</si>
  <si>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</si>
  <si>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</si>
  <si>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</si>
  <si>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</si>
  <si>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</si>
  <si>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</si>
  <si>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</si>
  <si>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</si>
  <si>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</si>
  <si>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</si>
  <si>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</si>
  <si>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</si>
  <si>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</si>
  <si>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</si>
  <si>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</si>
  <si>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</si>
  <si>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</si>
  <si>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</si>
  <si>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</si>
  <si>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</si>
  <si>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</si>
  <si>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</si>
  <si>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</si>
  <si>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</si>
  <si>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</si>
  <si>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</si>
  <si>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</si>
  <si>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</si>
  <si>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</si>
  <si>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</si>
  <si>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</si>
  <si>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</si>
  <si>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</si>
  <si>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</si>
  <si>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</si>
  <si>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</si>
  <si>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</si>
  <si>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</si>
  <si>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</si>
  <si>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</si>
  <si>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</si>
  <si>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</si>
  <si>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</si>
  <si>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</si>
  <si>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</si>
  <si>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</si>
  <si>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</si>
  <si>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</si>
  <si>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</si>
  <si>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</si>
  <si>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</si>
  <si>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</si>
  <si>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</si>
  <si>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</si>
  <si>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</si>
  <si>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</si>
  <si>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</si>
  <si>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</si>
  <si>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</si>
  <si>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</si>
  <si>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</si>
  <si>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</si>
  <si>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</si>
  <si>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</si>
  <si>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</si>
  <si>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</si>
  <si>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</si>
  <si>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</si>
  <si>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</si>
  <si>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</si>
  <si>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</si>
  <si>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</si>
  <si>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</si>
  <si>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</si>
  <si>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</si>
  <si>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</si>
  <si>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</si>
  <si>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</si>
  <si>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</si>
  <si>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</si>
  <si>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</si>
  <si>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</si>
  <si>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</si>
  <si>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</si>
  <si>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</si>
  <si>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</si>
  <si>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</si>
  <si>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</si>
  <si>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</si>
  <si>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</si>
  <si>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</si>
  <si>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</si>
  <si>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</si>
  <si>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</si>
  <si>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</si>
  <si>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</si>
  <si>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</si>
  <si>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</si>
  <si>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</si>
  <si>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</si>
  <si>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</si>
  <si>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</si>
  <si>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</si>
  <si>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</si>
  <si>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</si>
  <si>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</si>
  <si>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</si>
  <si>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</si>
  <si>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</si>
  <si>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</si>
  <si>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</si>
  <si>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</si>
  <si>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</si>
  <si>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</si>
  <si>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</si>
  <si>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</si>
  <si>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</si>
  <si>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</si>
  <si>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</si>
  <si>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</si>
  <si>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</si>
  <si>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</si>
  <si>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</si>
  <si>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</si>
  <si>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</si>
  <si>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</si>
  <si>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</si>
  <si>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</si>
  <si>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</si>
  <si>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</si>
  <si>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</si>
  <si>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</si>
  <si>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</si>
  <si>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</si>
  <si>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</si>
  <si>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</si>
  <si>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</si>
  <si>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</si>
  <si>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</si>
  <si>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</si>
  <si>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</si>
  <si>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</si>
  <si>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</si>
  <si>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</si>
  <si>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</si>
  <si>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</si>
  <si>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</si>
  <si>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</si>
  <si>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</si>
  <si>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</si>
  <si>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</si>
  <si>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</si>
  <si>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</si>
  <si>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</si>
  <si>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</si>
  <si>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</si>
  <si>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</si>
  <si>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</si>
  <si>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</si>
  <si>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</si>
  <si>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</si>
  <si>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</si>
  <si>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</si>
  <si>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</si>
  <si>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</si>
  <si>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</si>
  <si>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</si>
  <si>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</si>
  <si>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</si>
  <si>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</si>
  <si>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</si>
  <si>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</si>
  <si>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</si>
  <si>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</si>
  <si>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</si>
  <si>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</si>
  <si>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</si>
  <si>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</si>
  <si>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</si>
  <si>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</si>
  <si>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</si>
  <si>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</si>
  <si>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</si>
  <si>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</si>
  <si>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</si>
  <si>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</si>
  <si>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</si>
  <si>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</si>
  <si>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</si>
  <si>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</si>
  <si>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</si>
  <si>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</si>
  <si>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</si>
  <si>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</si>
  <si>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</si>
  <si>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</si>
  <si>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</si>
  <si>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</si>
  <si>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</si>
  <si>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</si>
  <si>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</si>
  <si>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</si>
  <si>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</si>
  <si>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</si>
  <si>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</si>
  <si>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</si>
  <si>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</si>
  <si>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</si>
  <si>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</si>
  <si>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</si>
  <si>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</si>
  <si>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</si>
  <si>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</si>
  <si>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</si>
  <si>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</si>
  <si>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</si>
  <si>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</si>
  <si>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</si>
  <si>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</si>
  <si>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</si>
  <si>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</si>
  <si>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</si>
  <si>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</si>
  <si>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</si>
  <si>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</si>
  <si>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</si>
  <si>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</si>
  <si>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</si>
  <si>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</si>
  <si>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</si>
  <si>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</si>
  <si>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</si>
  <si>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</si>
  <si>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</si>
  <si>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</si>
  <si>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</si>
  <si>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</si>
  <si>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</si>
  <si>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</si>
  <si>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</si>
  <si>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</si>
  <si>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</si>
  <si>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</si>
  <si>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</si>
  <si>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</si>
  <si>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</si>
  <si>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</si>
  <si>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</si>
  <si>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</si>
  <si>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</si>
  <si>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</si>
  <si>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</si>
  <si>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</si>
  <si>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</si>
  <si>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</si>
  <si>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</si>
  <si>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</si>
  <si>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</si>
  <si>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</si>
  <si>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</si>
  <si>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</si>
  <si>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</si>
  <si>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</si>
  <si>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</si>
  <si>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</si>
  <si>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</si>
  <si>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</si>
  <si>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</si>
  <si>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</si>
  <si>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</si>
  <si>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</si>
  <si>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</si>
  <si>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</si>
  <si>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</si>
  <si>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</si>
  <si>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</si>
  <si>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</si>
  <si>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</si>
  <si>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</si>
  <si>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</si>
  <si>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</si>
  <si>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</si>
  <si>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</si>
  <si>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</si>
  <si>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</si>
  <si>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</si>
  <si>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</si>
  <si>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</si>
  <si>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</si>
  <si>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</si>
  <si>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</si>
  <si>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</si>
  <si>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</si>
  <si>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</si>
  <si>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</si>
  <si>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</si>
  <si>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</si>
  <si>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</si>
  <si>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</si>
  <si>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</si>
  <si>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</si>
  <si>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</si>
  <si>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</si>
  <si>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</si>
  <si>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</si>
  <si>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</si>
  <si>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</si>
  <si>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</si>
  <si>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</si>
  <si>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</si>
  <si>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</si>
  <si>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</si>
  <si>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</si>
  <si>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</si>
  <si>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</si>
  <si>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</si>
  <si>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</si>
  <si>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</si>
  <si>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</si>
  <si>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</si>
  <si>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</si>
  <si>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</si>
  <si>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</si>
  <si>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</si>
  <si>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</si>
  <si>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</si>
  <si>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</si>
  <si>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</si>
  <si>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</si>
  <si>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</si>
  <si>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</si>
  <si>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</si>
  <si>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</si>
  <si>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</si>
  <si>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</si>
  <si>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</si>
  <si>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</si>
  <si>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</si>
  <si>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</si>
  <si>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</si>
  <si>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</si>
  <si>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</si>
  <si>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</si>
  <si>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</si>
  <si>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</si>
  <si>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</si>
  <si>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</si>
  <si>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</si>
  <si>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</si>
  <si>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</si>
  <si>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</si>
  <si>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</si>
  <si>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</si>
  <si>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</si>
  <si>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</si>
  <si>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</si>
  <si>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</si>
  <si>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Descriptive Statistics</t>
  </si>
  <si>
    <t>Value</t>
  </si>
  <si>
    <t>Mean</t>
  </si>
  <si>
    <t>Median</t>
  </si>
  <si>
    <t>Mode</t>
  </si>
  <si>
    <t>Std Dev</t>
  </si>
  <si>
    <t>Variance</t>
  </si>
  <si>
    <t>Min</t>
  </si>
  <si>
    <t>Max</t>
  </si>
  <si>
    <t>Range</t>
  </si>
  <si>
    <t>Count</t>
  </si>
  <si>
    <t>Missing</t>
  </si>
  <si>
    <t>Histograms</t>
  </si>
  <si>
    <t>Sturges Method</t>
  </si>
  <si>
    <t>Upper Edge</t>
  </si>
  <si>
    <t>Scott Method</t>
  </si>
  <si>
    <t>Freedman-Diaconis Method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</si>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</sst>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6">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2" fontId="0" fillId="0" borderId="1" xfId="0" applyNumberFormat="1" applyBorder="1"/>
    <xf numFmtId="164" fontId="0" fillId="0" borderId="1" xfId="0" applyNumberFormat="1" applyBorder="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65" fontId="0" fillId="0" borderId="0" xfId="0" applyNumberFormat="1"/>
    <xf numFmtId="0" fontId="0" fillId="4" borderId="0" xfId="0" applyFill="1" applyAlignment="1">
      <alignment wrapText="1"/>
    </xf>
    <xf numFmtId="0" fontId="1" fillId="2" borderId="2" xfId="0" applyFont="1" applyFill="1" applyBorder="1"/>
    <xf numFmtId="0" fontId="0" fillId="0" borderId="3" xfId="0" applyBorder="1"/>
    <xf numFmtId="0" fontId="0" fillId="0" borderId="6" xfId="0" applyBorder="1"/>
    <xf numFmtId="0" fontId="1" fillId="2" borderId="0" xfId="0" applyFont="1" applyFill="1"/>
  </cellXfs>
  <cellStyles count="1">
    <cellStyle name="Normal" xfId="0" builtinId="0"/>
  </cellStyles>
  <dxfs count="33">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6-EF45-4584-9715-9E61E460BDF7}"/>
            </c:ext>
          </c:extLst>
        </c:ser>
        <c:dLbls>
          <c:showLegendKey val="0"/>
          <c:showVal val="0"/>
          <c:showCatName val="0"/>
          <c:showSerName val="0"/>
          <c:showPercent val="0"/>
          <c:showBubbleSize val="0"/>
        </c:dLbls>
        <c:axId val="1695674384"/>
        <c:axId val="1695672464"/>
      </c:scatterChart>
      <c:valAx>
        <c:axId val="169567438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95672464"/>
        <c:crosses val="autoZero"/>
        <c:crossBetween val="midCat"/>
      </c:valAx>
      <c:valAx>
        <c:axId val="1695672464"/>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695674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6-8184-472C-8554-1CC186C158FB}"/>
            </c:ext>
          </c:extLst>
        </c:ser>
        <c:dLbls>
          <c:showLegendKey val="0"/>
          <c:showVal val="0"/>
          <c:showCatName val="0"/>
          <c:showSerName val="0"/>
          <c:showPercent val="0"/>
          <c:showBubbleSize val="0"/>
        </c:dLbls>
        <c:axId val="1695668624"/>
        <c:axId val="1695673904"/>
      </c:scatterChart>
      <c:valAx>
        <c:axId val="1695668624"/>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695673904"/>
        <c:crosses val="autoZero"/>
        <c:crossBetween val="midCat"/>
      </c:valAx>
      <c:valAx>
        <c:axId val="1695673904"/>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6956686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6-79EE-462E-AC1B-1A5C789B9A88}"/>
            </c:ext>
          </c:extLst>
        </c:ser>
        <c:dLbls>
          <c:showLegendKey val="0"/>
          <c:showVal val="0"/>
          <c:showCatName val="0"/>
          <c:showSerName val="0"/>
          <c:showPercent val="0"/>
          <c:showBubbleSize val="0"/>
        </c:dLbls>
        <c:axId val="1695676304"/>
        <c:axId val="1695677744"/>
      </c:scatterChart>
      <c:valAx>
        <c:axId val="1695676304"/>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695677744"/>
        <c:crosses val="autoZero"/>
        <c:crossBetween val="midCat"/>
      </c:valAx>
      <c:valAx>
        <c:axId val="1695677744"/>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6956763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6-D27B-49A7-891B-43B84F72BF1C}"/>
            </c:ext>
          </c:extLst>
        </c:ser>
        <c:dLbls>
          <c:showLegendKey val="0"/>
          <c:showVal val="0"/>
          <c:showCatName val="0"/>
          <c:showSerName val="0"/>
          <c:showPercent val="0"/>
          <c:showBubbleSize val="0"/>
        </c:dLbls>
        <c:axId val="1695666704"/>
        <c:axId val="1695681584"/>
      </c:scatterChart>
      <c:valAx>
        <c:axId val="169566670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95681584"/>
        <c:crosses val="autoZero"/>
        <c:crossBetween val="midCat"/>
      </c:valAx>
      <c:valAx>
        <c:axId val="1695681584"/>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6956667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6-5C80-42B3-B1E3-0CA79B27453E}"/>
            </c:ext>
          </c:extLst>
        </c:ser>
        <c:dLbls>
          <c:showLegendKey val="0"/>
          <c:showVal val="0"/>
          <c:showCatName val="0"/>
          <c:showSerName val="0"/>
          <c:showPercent val="0"/>
          <c:showBubbleSize val="0"/>
        </c:dLbls>
        <c:gapWidth val="150"/>
        <c:axId val="1695670544"/>
        <c:axId val="1695682544"/>
      </c:barChart>
      <c:catAx>
        <c:axId val="169567054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95682544"/>
        <c:crosses val="autoZero"/>
        <c:auto val="1"/>
        <c:lblAlgn val="ctr"/>
        <c:lblOffset val="100"/>
        <c:noMultiLvlLbl val="0"/>
      </c:catAx>
      <c:valAx>
        <c:axId val="169568254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6956705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6-55EC-45E5-99A5-C22D55E1FE30}"/>
            </c:ext>
          </c:extLst>
        </c:ser>
        <c:dLbls>
          <c:showLegendKey val="0"/>
          <c:showVal val="0"/>
          <c:showCatName val="0"/>
          <c:showSerName val="0"/>
          <c:showPercent val="0"/>
          <c:showBubbleSize val="0"/>
        </c:dLbls>
        <c:axId val="1695683504"/>
        <c:axId val="1695683984"/>
      </c:scatterChart>
      <c:valAx>
        <c:axId val="1695683504"/>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695683984"/>
        <c:crosses val="autoZero"/>
        <c:crossBetween val="midCat"/>
      </c:valAx>
      <c:valAx>
        <c:axId val="1695683984"/>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695683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6-8034-4A31-949B-803B7E82C78F}"/>
            </c:ext>
          </c:extLst>
        </c:ser>
        <c:dLbls>
          <c:showLegendKey val="0"/>
          <c:showVal val="0"/>
          <c:showCatName val="0"/>
          <c:showSerName val="0"/>
          <c:showPercent val="0"/>
          <c:showBubbleSize val="0"/>
        </c:dLbls>
        <c:gapWidth val="150"/>
        <c:axId val="1695684464"/>
        <c:axId val="1695668624"/>
      </c:barChart>
      <c:catAx>
        <c:axId val="169568446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95668624"/>
        <c:crosses val="autoZero"/>
        <c:auto val="1"/>
        <c:lblAlgn val="ctr"/>
        <c:lblOffset val="100"/>
        <c:noMultiLvlLbl val="0"/>
      </c:catAx>
      <c:valAx>
        <c:axId val="1695668624"/>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69568446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695658064"/>
        <c:axId val="1695658544"/>
      </c:barChart>
      <c:catAx>
        <c:axId val="1695658064"/>
        <c:scaling>
          <c:orientation val="minMax"/>
        </c:scaling>
        <c:delete val="0"/>
        <c:axPos val="b"/>
        <c:majorTickMark val="out"/>
        <c:minorTickMark val="none"/>
        <c:tickLblPos val="nextTo"/>
        <c:crossAx val="1695658544"/>
        <c:crosses val="autoZero"/>
        <c:auto val="1"/>
        <c:lblAlgn val="ctr"/>
        <c:lblOffset val="100"/>
        <c:noMultiLvlLbl val="0"/>
      </c:catAx>
      <c:valAx>
        <c:axId val="1695658544"/>
        <c:scaling>
          <c:orientation val="minMax"/>
        </c:scaling>
        <c:delete val="0"/>
        <c:axPos val="l"/>
        <c:majorGridlines/>
        <c:majorTickMark val="out"/>
        <c:minorTickMark val="none"/>
        <c:tickLblPos val="nextTo"/>
        <c:crossAx val="1695658064"/>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AB9E6977-2F70-5FF1-6032-44C50686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825797DF-D3DF-A6FC-9DC3-2C334DBCC0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2E9FA49F-7D36-7045-FB56-35A714EC2C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EDAF2219-6B16-B7E2-3E16-8CD456CC63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F0C07350-6F52-9B1C-96A0-C1123B8803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504F482A-8280-D652-5EBA-D6A498E3AA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69AF216F-1584-8EF9-2F44-A03582B9B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D1A46CB9-C2E0-B32B-D26E-48B9275A5430}"/>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4A542B7E-EA81-BFAE-5BC5-377D833EDED5}"/>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6</xdr:col>
      <xdr:colOff>228600</xdr:colOff>
      <xdr:row>39</xdr:row>
      <xdr:rowOff>142875</xdr:rowOff>
    </xdr:from>
    <xdr:to>
      <xdr:col>12</xdr:col>
      <xdr:colOff>298450</xdr:colOff>
      <xdr:row>54</xdr:row>
      <xdr:rowOff>79375</xdr:rowOff>
    </xdr:to>
    <xdr:graphicFrame macro="">
      <xdr:nvGraphicFramePr>
        <xdr:cNvPr id="2" name="Chart 1">
          <a:extLst>
            <a:ext uri="{FF2B5EF4-FFF2-40B4-BE49-F238E27FC236}">
              <a16:creationId xmlns:a16="http://schemas.microsoft.com/office/drawing/2014/main" id="{A828D9E8-6753-419E-3D4F-60236A7BAA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0E0A51-E81B-4038-8EBA-A10011DC67D0}" name="LAMBDAFunctionsCatalog" displayName="LAMBDAFunctionsCatalog" ref="A1:F79" totalsRowShown="0" headerRowDxfId="32" dataDxfId="31">
  <autoFilter ref="A1:F79" xr:uid="{3C0E0A51-E81B-4038-8EBA-A10011DC67D0}"/>
  <tableColumns count="6">
    <tableColumn id="1" xr3:uid="{F186259F-F691-4CDC-8926-502DB6DA90E5}" name="Function Name" dataDxfId="30"/>
    <tableColumn id="2" xr3:uid="{3A8F75BF-AD49-4FC4-AC1A-759D40918180}" name="Definition" dataDxfId="29"/>
    <tableColumn id="3" xr3:uid="{BE9337C7-E1A8-4F60-9DF9-03CD4CE8F83C}" name="Arguments" dataDxfId="28"/>
    <tableColumn id="4" xr3:uid="{42866FB9-BA4B-4EB4-98F4-7CBBCA45D9FA}" name="Yields" dataDxfId="27"/>
    <tableColumn id="5" xr3:uid="{52ACA8BF-7293-4CF3-818F-DEDC9277DB8D}" name="Plain-Language Summary" dataDxfId="26"/>
    <tableColumn id="6" xr3:uid="{278559FA-6661-41BD-9172-357E781C5B70}" name="Descripti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1BCE35-43D7-4DB6-9680-90881B373E18}" name="LifeExpectancyData" displayName="LifeExpectancyData" ref="A1:W2939" totalsRowShown="0">
  <autoFilter ref="A1:W2939" xr:uid="{0E1BCE35-43D7-4DB6-9680-90881B373E18}"/>
  <tableColumns count="23">
    <tableColumn id="1" xr3:uid="{100A1F5A-C8AA-4694-BCEF-6AE8B631D0BB}" name="Country"/>
    <tableColumn id="2" xr3:uid="{7B0AA6C3-CFFD-40EC-B15F-FD7D12096F95}" name="Year"/>
    <tableColumn id="3" xr3:uid="{F557D767-6565-4386-BF23-FF8926A06EE0}" name="Status"/>
    <tableColumn id="4" xr3:uid="{9BF6CFF2-2D05-4DE3-B537-215EA088F21E}" name="Life expectancy"/>
    <tableColumn id="5" xr3:uid="{E7D71670-B26C-46BC-AB80-7EA71061077B}" name="Adult Mortality"/>
    <tableColumn id="6" xr3:uid="{EED069D8-CEAC-41D6-B6A7-F17779D5A317}" name="infant deaths"/>
    <tableColumn id="7" xr3:uid="{8F823651-C7FF-4862-B76B-85B5F855004D}" name="Alcohol"/>
    <tableColumn id="8" xr3:uid="{66F14691-F483-4010-94F7-D0B8BD6DA6E4}" name="percentage expenditure"/>
    <tableColumn id="9" xr3:uid="{BD591DD4-C890-4EBD-97F6-D044952D37F6}" name="Hepatitis B"/>
    <tableColumn id="10" xr3:uid="{7D080B60-13C4-4EE8-BD91-383CBC8F6CB9}" name="Measles"/>
    <tableColumn id="11" xr3:uid="{BCBF97B3-CEC8-4A76-8D21-751434ACFA2F}" name="BMI"/>
    <tableColumn id="12" xr3:uid="{EDBFFF81-E78D-47F4-BA84-B02095898B22}" name="under-five deaths"/>
    <tableColumn id="13" xr3:uid="{F6E224A3-84E8-42E4-8DD8-50B58BB0F4AD}" name="Polio"/>
    <tableColumn id="14" xr3:uid="{1B8ABA74-72DF-407A-9042-4A9E026D377C}" name="Total expenditure"/>
    <tableColumn id="15" xr3:uid="{82E4DC93-FEBB-4402-A328-A69387D12290}" name="Diphtheria"/>
    <tableColumn id="16" xr3:uid="{E9F0FE8E-6F7D-445C-807B-37257F419258}" name="HIV/AIDS"/>
    <tableColumn id="17" xr3:uid="{ECBAAD22-CD67-430D-8BB1-86B3DA336F60}" name="GDP"/>
    <tableColumn id="18" xr3:uid="{F6C73E8A-3322-4E05-B3CA-0F9530B87808}" name="Population"/>
    <tableColumn id="19" xr3:uid="{737929DB-7BB3-4DA1-9EC2-1DCCDD02C2E5}" name="thinness 1-19 years"/>
    <tableColumn id="20" xr3:uid="{66792E76-5B64-46EF-A010-3E3009C69708}" name="thinness 5-9 years"/>
    <tableColumn id="21" xr3:uid="{D06C9DF1-C18B-4E54-9A4E-7DE3D44D5AE5}" name="Income composition of resources"/>
    <tableColumn id="22" xr3:uid="{35C1A18C-8AF3-4404-B758-EE1870FB22CF}" name="Schooling"/>
    <tableColumn id="23" xr3:uid="{0CA9DE18-8296-45FD-9FFE-01C2DA8EBF2E}"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4AA0-84E5-4416-9F11-6A370E62E6B6}">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30846-90EC-4ED2-96EF-E9DAEAB246C8}">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D355D-4C2C-4262-8634-1D73D043A998}">
  <dimension ref="A1:A13"/>
  <sheetViews>
    <sheetView workbookViewId="0"/>
  </sheetViews>
  <sheetFormatPr defaultRowHeight="15" x14ac:dyDescent="0.25"/>
  <cols>
    <col min="1" max="1" width="110.7109375" customWidth="1"/>
  </cols>
  <sheetData>
    <row r="1" spans="1:1" x14ac:dyDescent="0.25">
      <c r="A1" s="5" t="s">
        <v>693</v>
      </c>
    </row>
    <row r="2" spans="1:1" ht="45" x14ac:dyDescent="0.25">
      <c r="A2" s="2" t="s">
        <v>694</v>
      </c>
    </row>
    <row r="3" spans="1:1" ht="30" x14ac:dyDescent="0.25">
      <c r="A3" s="2" t="s">
        <v>695</v>
      </c>
    </row>
    <row r="4" spans="1:1" ht="30" x14ac:dyDescent="0.25">
      <c r="A4" s="2" t="s">
        <v>696</v>
      </c>
    </row>
    <row r="6" spans="1:1" x14ac:dyDescent="0.25">
      <c r="A6" s="5" t="s">
        <v>697</v>
      </c>
    </row>
    <row r="7" spans="1:1" ht="30" x14ac:dyDescent="0.25">
      <c r="A7" s="2" t="s">
        <v>698</v>
      </c>
    </row>
    <row r="8" spans="1:1" x14ac:dyDescent="0.25">
      <c r="A8" s="2" t="s">
        <v>699</v>
      </c>
    </row>
    <row r="9" spans="1:1" x14ac:dyDescent="0.25">
      <c r="A9" s="5" t="s">
        <v>700</v>
      </c>
    </row>
    <row r="10" spans="1:1" ht="120" x14ac:dyDescent="0.25">
      <c r="A10" s="2" t="s">
        <v>701</v>
      </c>
    </row>
    <row r="12" spans="1:1" x14ac:dyDescent="0.25">
      <c r="A12" s="5" t="s">
        <v>702</v>
      </c>
    </row>
    <row r="13" spans="1:1" ht="105" x14ac:dyDescent="0.25">
      <c r="A13" s="2" t="s">
        <v>703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CE42A-430A-4425-ABF6-60ABF0854F10}">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704</v>
      </c>
      <c r="B1" s="34"/>
      <c r="C1" s="34"/>
      <c r="D1" s="34"/>
    </row>
    <row r="2" spans="1:4" ht="90" x14ac:dyDescent="0.25">
      <c r="A2" s="2" t="s">
        <v>705</v>
      </c>
    </row>
    <row r="4" spans="1:4" x14ac:dyDescent="0.25">
      <c r="A4" s="35" t="s">
        <v>706</v>
      </c>
      <c r="B4" s="36"/>
      <c r="C4" s="36"/>
      <c r="D4" s="36"/>
    </row>
    <row r="5" spans="1:4" x14ac:dyDescent="0.25">
      <c r="A5" s="37" t="s">
        <v>707</v>
      </c>
      <c r="B5" s="37" t="s">
        <v>708</v>
      </c>
      <c r="C5" s="37" t="s">
        <v>709</v>
      </c>
      <c r="D5" s="37" t="s">
        <v>710</v>
      </c>
    </row>
    <row r="6" spans="1:4" ht="45" x14ac:dyDescent="0.25">
      <c r="A6" s="2" t="s">
        <v>711</v>
      </c>
      <c r="B6" s="2" t="s">
        <v>712</v>
      </c>
      <c r="C6" s="2" t="s">
        <v>211</v>
      </c>
      <c r="D6" s="2" t="s">
        <v>713</v>
      </c>
    </row>
    <row r="7" spans="1:4" ht="60" x14ac:dyDescent="0.25">
      <c r="A7" s="2" t="s">
        <v>714</v>
      </c>
      <c r="B7" s="2" t="s">
        <v>715</v>
      </c>
      <c r="C7" s="2" t="s">
        <v>716</v>
      </c>
      <c r="D7" s="2" t="s">
        <v>717</v>
      </c>
    </row>
    <row r="8" spans="1:4" ht="45" x14ac:dyDescent="0.25">
      <c r="A8" s="2" t="s">
        <v>718</v>
      </c>
      <c r="B8" s="2" t="s">
        <v>712</v>
      </c>
      <c r="C8" s="2" t="s">
        <v>719</v>
      </c>
      <c r="D8" s="2" t="s">
        <v>720</v>
      </c>
    </row>
    <row r="10" spans="1:4" x14ac:dyDescent="0.25">
      <c r="A10" s="35" t="s">
        <v>721</v>
      </c>
      <c r="B10" s="36"/>
      <c r="C10" s="36"/>
      <c r="D10" s="36"/>
    </row>
    <row r="11" spans="1:4" x14ac:dyDescent="0.25">
      <c r="A11" s="37" t="s">
        <v>707</v>
      </c>
      <c r="B11" s="37" t="s">
        <v>708</v>
      </c>
      <c r="C11" s="37" t="s">
        <v>709</v>
      </c>
      <c r="D11" s="37" t="s">
        <v>710</v>
      </c>
    </row>
    <row r="12" spans="1:4" ht="60" x14ac:dyDescent="0.25">
      <c r="A12" s="2" t="s">
        <v>722</v>
      </c>
      <c r="B12" s="2" t="s">
        <v>712</v>
      </c>
      <c r="C12" s="2" t="s">
        <v>723</v>
      </c>
      <c r="D12" s="2" t="s">
        <v>724</v>
      </c>
    </row>
    <row r="13" spans="1:4" ht="180" x14ac:dyDescent="0.25">
      <c r="A13" s="2" t="s">
        <v>725</v>
      </c>
      <c r="B13" s="2" t="s">
        <v>726</v>
      </c>
      <c r="C13" s="2" t="s">
        <v>725</v>
      </c>
      <c r="D13" s="2" t="s">
        <v>727</v>
      </c>
    </row>
    <row r="14" spans="1:4" ht="60" x14ac:dyDescent="0.25">
      <c r="A14" s="2" t="s">
        <v>728</v>
      </c>
      <c r="B14" s="2" t="s">
        <v>729</v>
      </c>
      <c r="C14" s="2" t="s">
        <v>730</v>
      </c>
      <c r="D14" s="2" t="s">
        <v>731</v>
      </c>
    </row>
    <row r="15" spans="1:4" ht="75" x14ac:dyDescent="0.25">
      <c r="A15" s="2" t="s">
        <v>732</v>
      </c>
      <c r="B15" s="2" t="s">
        <v>726</v>
      </c>
      <c r="C15" s="2" t="s">
        <v>733</v>
      </c>
      <c r="D15" s="2" t="s">
        <v>734</v>
      </c>
    </row>
    <row r="17" spans="1:4" x14ac:dyDescent="0.25">
      <c r="A17" s="35" t="s">
        <v>735</v>
      </c>
      <c r="B17" s="36"/>
      <c r="C17" s="36"/>
      <c r="D17" s="36"/>
    </row>
    <row r="18" spans="1:4" x14ac:dyDescent="0.25">
      <c r="A18" s="37" t="s">
        <v>736</v>
      </c>
      <c r="B18" s="37" t="s">
        <v>737</v>
      </c>
      <c r="C18" s="37" t="s">
        <v>738</v>
      </c>
      <c r="D18" s="37" t="s">
        <v>739</v>
      </c>
    </row>
    <row r="19" spans="1:4" ht="30" x14ac:dyDescent="0.25">
      <c r="A19" s="2" t="s">
        <v>740</v>
      </c>
      <c r="B19" s="2" t="s">
        <v>741</v>
      </c>
      <c r="C19" s="2" t="s">
        <v>742</v>
      </c>
      <c r="D19" s="2" t="s">
        <v>743</v>
      </c>
    </row>
    <row r="20" spans="1:4" ht="30" x14ac:dyDescent="0.25">
      <c r="A20" s="2" t="s">
        <v>157</v>
      </c>
      <c r="B20" s="2" t="s">
        <v>744</v>
      </c>
      <c r="C20" s="2" t="s">
        <v>745</v>
      </c>
      <c r="D20" s="2" t="s">
        <v>746</v>
      </c>
    </row>
    <row r="21" spans="1:4" x14ac:dyDescent="0.25">
      <c r="A21" s="2" t="s">
        <v>747</v>
      </c>
      <c r="B21" s="2" t="s">
        <v>748</v>
      </c>
      <c r="C21" s="2" t="s">
        <v>749</v>
      </c>
      <c r="D21" s="2" t="s">
        <v>750</v>
      </c>
    </row>
    <row r="22" spans="1:4" ht="30" x14ac:dyDescent="0.25">
      <c r="A22" s="2" t="s">
        <v>751</v>
      </c>
      <c r="B22" s="2" t="s">
        <v>752</v>
      </c>
      <c r="C22" s="2" t="s">
        <v>753</v>
      </c>
      <c r="D22" s="2" t="s">
        <v>754</v>
      </c>
    </row>
    <row r="23" spans="1:4" x14ac:dyDescent="0.25">
      <c r="A23" s="2" t="s">
        <v>755</v>
      </c>
      <c r="B23" s="2" t="s">
        <v>756</v>
      </c>
      <c r="C23" s="2" t="s">
        <v>749</v>
      </c>
      <c r="D23" s="2" t="s">
        <v>757</v>
      </c>
    </row>
    <row r="24" spans="1:4" x14ac:dyDescent="0.25">
      <c r="A24" s="2" t="s">
        <v>758</v>
      </c>
      <c r="B24" s="2" t="s">
        <v>759</v>
      </c>
      <c r="C24" s="2" t="s">
        <v>749</v>
      </c>
      <c r="D24" s="2" t="s">
        <v>760</v>
      </c>
    </row>
    <row r="25" spans="1:4" x14ac:dyDescent="0.25">
      <c r="A25" s="2" t="s">
        <v>729</v>
      </c>
      <c r="B25" s="2" t="s">
        <v>761</v>
      </c>
      <c r="C25" s="2" t="s">
        <v>749</v>
      </c>
      <c r="D25" s="2" t="s">
        <v>762</v>
      </c>
    </row>
    <row r="26" spans="1:4" ht="30" x14ac:dyDescent="0.25">
      <c r="A26" s="2" t="s">
        <v>730</v>
      </c>
      <c r="B26" s="2" t="s">
        <v>763</v>
      </c>
      <c r="C26" s="2" t="s">
        <v>764</v>
      </c>
      <c r="D26" s="2" t="s">
        <v>765</v>
      </c>
    </row>
    <row r="27" spans="1:4" x14ac:dyDescent="0.25">
      <c r="A27" s="2" t="s">
        <v>725</v>
      </c>
      <c r="B27" s="2" t="s">
        <v>766</v>
      </c>
      <c r="C27" s="2" t="s">
        <v>767</v>
      </c>
      <c r="D27" s="2" t="s">
        <v>768</v>
      </c>
    </row>
    <row r="28" spans="1:4" ht="30" x14ac:dyDescent="0.25">
      <c r="A28" s="2" t="s">
        <v>722</v>
      </c>
      <c r="B28" s="2" t="s">
        <v>769</v>
      </c>
      <c r="C28" s="2" t="s">
        <v>770</v>
      </c>
      <c r="D28" s="2" t="s">
        <v>771</v>
      </c>
    </row>
    <row r="29" spans="1:4" x14ac:dyDescent="0.25">
      <c r="A29" s="2" t="s">
        <v>772</v>
      </c>
      <c r="B29" s="2" t="s">
        <v>773</v>
      </c>
      <c r="C29" s="2" t="s">
        <v>774</v>
      </c>
      <c r="D29" s="2" t="s">
        <v>775</v>
      </c>
    </row>
    <row r="31" spans="1:4" x14ac:dyDescent="0.25">
      <c r="A31" s="35" t="s">
        <v>776</v>
      </c>
      <c r="B31" s="36"/>
      <c r="C31" s="36"/>
    </row>
    <row r="32" spans="1:4" x14ac:dyDescent="0.25">
      <c r="A32" s="37" t="s">
        <v>777</v>
      </c>
      <c r="B32" s="37" t="s">
        <v>778</v>
      </c>
      <c r="C32" s="37" t="s">
        <v>779</v>
      </c>
    </row>
    <row r="33" spans="1:3" ht="120" x14ac:dyDescent="0.25">
      <c r="A33" s="2" t="s">
        <v>780</v>
      </c>
      <c r="B33" s="2" t="s">
        <v>781</v>
      </c>
      <c r="C33" s="2" t="s">
        <v>782</v>
      </c>
    </row>
    <row r="34" spans="1:3" ht="105" x14ac:dyDescent="0.25">
      <c r="A34" s="2" t="s">
        <v>783</v>
      </c>
      <c r="B34" s="2" t="s">
        <v>784</v>
      </c>
      <c r="C34" s="2" t="s">
        <v>785</v>
      </c>
    </row>
    <row r="35" spans="1:3" ht="120" x14ac:dyDescent="0.25">
      <c r="A35" s="2" t="s">
        <v>786</v>
      </c>
      <c r="B35" s="2" t="s">
        <v>787</v>
      </c>
      <c r="C35" s="2" t="s">
        <v>788</v>
      </c>
    </row>
    <row r="36" spans="1:3" ht="240" x14ac:dyDescent="0.25">
      <c r="A36" s="2" t="s">
        <v>789</v>
      </c>
      <c r="B36" s="2" t="s">
        <v>790</v>
      </c>
      <c r="C36" s="2" t="s">
        <v>791</v>
      </c>
    </row>
    <row r="37" spans="1:3" ht="150" x14ac:dyDescent="0.25">
      <c r="A37" s="2" t="s">
        <v>792</v>
      </c>
      <c r="B37" s="2" t="s">
        <v>793</v>
      </c>
      <c r="C37" s="2" t="s">
        <v>794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D3079-75E0-4A1E-9723-9CFD24B0E9E0}">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795</v>
      </c>
      <c r="B1" s="34"/>
      <c r="C1" s="34"/>
    </row>
    <row r="2" spans="1:3" x14ac:dyDescent="0.25">
      <c r="A2" s="37" t="s">
        <v>796</v>
      </c>
      <c r="B2" s="37" t="s">
        <v>797</v>
      </c>
      <c r="C2" s="37" t="s">
        <v>798</v>
      </c>
    </row>
    <row r="3" spans="1:3" ht="105" x14ac:dyDescent="0.25">
      <c r="A3" t="s">
        <v>799</v>
      </c>
      <c r="B3" s="38">
        <v>46189</v>
      </c>
      <c r="C3" s="2" t="s">
        <v>800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45DDC-F17F-4088-8551-EC79EFE26E7E}">
  <dimension ref="A1:AH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801</v>
      </c>
      <c r="B1" s="3" t="s">
        <v>802</v>
      </c>
      <c r="D1" s="5" t="s">
        <v>804</v>
      </c>
      <c r="L1" s="5" t="s">
        <v>807</v>
      </c>
      <c r="U1" s="11" t="s">
        <v>831</v>
      </c>
      <c r="V1" s="15"/>
      <c r="X1" s="5" t="s">
        <v>841</v>
      </c>
    </row>
    <row r="2" spans="1:34" ht="30" x14ac:dyDescent="0.25">
      <c r="A2" s="2" t="s">
        <v>803</v>
      </c>
      <c r="B2" s="51" t="b">
        <v>1</v>
      </c>
      <c r="C2" s="2"/>
      <c r="D2" s="46"/>
      <c r="E2" s="46" t="s">
        <v>805</v>
      </c>
      <c r="F2" s="46" t="s">
        <v>806</v>
      </c>
      <c r="G2" s="46" t="s">
        <v>299</v>
      </c>
      <c r="H2" s="46" t="s">
        <v>305</v>
      </c>
      <c r="I2" s="46" t="s">
        <v>151</v>
      </c>
      <c r="J2" s="46" t="s">
        <v>157</v>
      </c>
      <c r="K2" s="2"/>
      <c r="L2" s="2"/>
      <c r="M2" s="2"/>
      <c r="N2" s="2"/>
      <c r="O2" s="2"/>
      <c r="P2" s="2"/>
      <c r="Q2" s="2"/>
      <c r="R2" s="2"/>
      <c r="S2" s="2"/>
      <c r="T2" s="2"/>
      <c r="U2" s="47" t="s">
        <v>832</v>
      </c>
      <c r="V2" s="48"/>
      <c r="W2" s="2"/>
      <c r="X2" s="46" t="s">
        <v>719</v>
      </c>
      <c r="Y2" s="49" t="s">
        <v>712</v>
      </c>
      <c r="Z2" s="49" t="s">
        <v>211</v>
      </c>
      <c r="AA2" s="49" t="s">
        <v>842</v>
      </c>
      <c r="AB2" s="49" t="s">
        <v>843</v>
      </c>
      <c r="AC2" s="49" t="s">
        <v>730</v>
      </c>
      <c r="AD2" s="49" t="s">
        <v>725</v>
      </c>
      <c r="AE2" s="49" t="s">
        <v>844</v>
      </c>
      <c r="AF2" s="49" t="s">
        <v>716</v>
      </c>
      <c r="AG2" s="49" t="s">
        <v>722</v>
      </c>
      <c r="AH2" s="49" t="s">
        <v>772</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808</v>
      </c>
      <c r="M3" s="15"/>
      <c r="O3" s="11" t="s">
        <v>813</v>
      </c>
      <c r="P3" s="15"/>
      <c r="U3" s="10" t="s">
        <v>833</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809</v>
      </c>
      <c r="M4" s="17" cm="1">
        <f t="array" ref="M4">Multiple_R(x_s,y,Allow_Intercept,Regression_Sample_Include)</f>
        <v>0.91363980575441461</v>
      </c>
      <c r="O4" s="10" t="s">
        <v>75</v>
      </c>
      <c r="P4" s="17" cm="1">
        <f t="array" ref="P4">PRESS(x_s,y,Allow_Intercept,Regression_Sample_Include)</f>
        <v>21644.337291621447</v>
      </c>
      <c r="U4" s="10" t="s">
        <v>834</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810</v>
      </c>
      <c r="M5" s="17" cm="1">
        <f t="array" ref="M5">R_squared(x_s,y,Allow_Intercept,Regression_Sample_Include)</f>
        <v>0.83473769465896452</v>
      </c>
      <c r="O5" s="10" t="s">
        <v>747</v>
      </c>
      <c r="P5" s="17" cm="1">
        <f t="array" ref="P5">1-PRESS(x_s,y,Allow_Intercept,Regression_Sample_Include)/SS_Total(y,Allow_Intercept,Regression_Sample_Include)</f>
        <v>0.830279509231025</v>
      </c>
      <c r="U5" s="10" t="s">
        <v>835</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811</v>
      </c>
      <c r="M6" s="17" cm="1">
        <f t="array" ref="M6">Adjusted_R2(x_s,y,Allow_Intercept,Regression_Sample_Include)</f>
        <v>0.83291271214599605</v>
      </c>
      <c r="O6" s="10" t="s">
        <v>814</v>
      </c>
      <c r="P6" s="17" cm="1">
        <f t="array" ref="P6">(DF_Regression(x_s)+IF(Allow_Intercept,1,0))/Observations(y,Regression_Sample_Include)</f>
        <v>1.1522134627046696E-2</v>
      </c>
      <c r="U6" s="10" t="s">
        <v>828</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812</v>
      </c>
      <c r="M7" s="17" cm="1">
        <f t="array" ref="M7">SE_Regression(x_s,y,Allow_Intercept,Regression_Sample_Include)</f>
        <v>3.5958213627434183</v>
      </c>
      <c r="O7" s="10" t="s">
        <v>80</v>
      </c>
      <c r="P7" s="17" cm="1">
        <f t="array" ref="P7">AIC(x_s,y,Allow_Intercept,Regression_Sample_Include)</f>
        <v>4239.5791944720204</v>
      </c>
      <c r="U7" s="10" t="s">
        <v>829</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836</v>
      </c>
      <c r="V8" s="39">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751</v>
      </c>
      <c r="P10" s="39" cm="1">
        <f t="array" ref="P10">QQ_Correlation(x_s,y,Allow_Intercept,Regression_Sample_Include)</f>
        <v>0.99482008680564749</v>
      </c>
      <c r="U10" s="5" t="s">
        <v>837</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838</v>
      </c>
      <c r="V11" s="3" t="s">
        <v>839</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815</v>
      </c>
      <c r="M12" s="29">
        <v>0.05</v>
      </c>
      <c r="U12" t="s">
        <v>840</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816</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41"/>
      <c r="M14" s="3" t="s">
        <v>817</v>
      </c>
      <c r="N14" s="3" t="s">
        <v>818</v>
      </c>
      <c r="O14" s="3" t="s">
        <v>819</v>
      </c>
      <c r="P14" s="3" t="s">
        <v>820</v>
      </c>
      <c r="Q14" s="43" t="s">
        <v>755</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821</v>
      </c>
      <c r="M15" s="8" cm="1">
        <f t="array" ref="M15">DF_Regression(x_s)</f>
        <v>18</v>
      </c>
      <c r="N15" s="50" cm="1">
        <f t="array" ref="N15">SS_Regression(x_s,y,Allow_Intercept,Regression_Sample_Include)</f>
        <v>106453.52326857558</v>
      </c>
      <c r="O15" s="50" cm="1">
        <f t="array" ref="O15">MS_Regression(x_s,y,Allow_Intercept,Regression_Sample_Include)</f>
        <v>5914.0846260319768</v>
      </c>
      <c r="P15" s="50" cm="1">
        <f t="array" ref="P15">F_Stat(x_s,y,Allow_Intercept,Regression_Sample_Include)</f>
        <v>457.3949003495888</v>
      </c>
      <c r="Q15" s="44"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822</v>
      </c>
      <c r="M16" s="8" cm="1">
        <f t="array" ref="M16">DF_Residual(x_s,y,Allow_Intercept,Regression_Sample_Include)</f>
        <v>1630</v>
      </c>
      <c r="N16" s="50" cm="1">
        <f t="array" ref="N16">SS_Residual(x_s,y,Allow_Intercept,Regression_Sample_Include)</f>
        <v>21075.787974601953</v>
      </c>
      <c r="O16" s="50" cm="1">
        <f t="array" ref="O16">MS_Residual(x_s,y,Allow_Intercept,Regression_Sample_Include)</f>
        <v>12.929931272761934</v>
      </c>
      <c r="Q16" s="33"/>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823</v>
      </c>
      <c r="M17" s="14" cm="1">
        <f t="array" ref="M17">DF_Total(y,Allow_Intercept,Regression_Sample_Include)</f>
        <v>1648</v>
      </c>
      <c r="N17" s="42" cm="1">
        <f t="array" ref="N17">SS_Total(y,Allow_Intercept,Regression_Sample_Include)</f>
        <v>127529.31124317752</v>
      </c>
      <c r="O17" s="23"/>
      <c r="P17" s="23"/>
      <c r="Q17" s="45"/>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824</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825</v>
      </c>
      <c r="O20" s="3" t="s">
        <v>826</v>
      </c>
      <c r="P20" s="3" t="s">
        <v>827</v>
      </c>
      <c r="Q20" s="3" t="s">
        <v>828</v>
      </c>
      <c r="R20" s="3" t="s">
        <v>829</v>
      </c>
      <c r="S20" s="3" t="s">
        <v>830</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40"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40">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40">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40">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40">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40">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40">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40">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40">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40">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40">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40">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40">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40">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40">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40">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40">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40">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40">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24" priority="1">
      <formula>AND(ISNUMBER(I3),I3&gt;5,I3&lt;=10)</formula>
    </cfRule>
    <cfRule type="expression" dxfId="23" priority="2">
      <formula>AND(ISNUMBER(I3),I3&gt;10)</formula>
    </cfRule>
  </conditionalFormatting>
  <conditionalFormatting sqref="P5">
    <cfRule type="expression" dxfId="22" priority="3">
      <formula>AND(ISNUMBER(P5),P5&lt;0)</formula>
    </cfRule>
  </conditionalFormatting>
  <conditionalFormatting sqref="P10">
    <cfRule type="expression" dxfId="21" priority="4">
      <formula>AND(ISNUMBER(P10),P10&lt;0.98,P10&gt;=0.95)</formula>
    </cfRule>
    <cfRule type="expression" dxfId="20" priority="5">
      <formula>AND(ISNUMBER(P10),P10&lt;0.95)</formula>
    </cfRule>
  </conditionalFormatting>
  <conditionalFormatting sqref="P21:P1048576">
    <cfRule type="expression" dxfId="19" priority="6">
      <formula>AND(ISNUMBER(P21),P21&gt;$M$12)</formula>
    </cfRule>
  </conditionalFormatting>
  <conditionalFormatting sqref="Q15">
    <cfRule type="expression" dxfId="18" priority="7">
      <formula>AND(ISNUMBER(Q15),Q15&gt;$M$12)</formula>
    </cfRule>
  </conditionalFormatting>
  <conditionalFormatting sqref="U13:U1048576">
    <cfRule type="expression" dxfId="17" priority="20">
      <formula>NOT(INDEX(_xlfn.TAKE(Ind_Var_Include,COLUMNS(All_Xs)),ROW()-ROW($U$13)+1))</formula>
    </cfRule>
  </conditionalFormatting>
  <conditionalFormatting sqref="AB3:AB1048576">
    <cfRule type="expression" dxfId="16" priority="8">
      <formula>AND(ISNUMBER(AB3),AB3&gt;2*$P$6)</formula>
    </cfRule>
    <cfRule type="expression" dxfId="15" priority="9">
      <formula>AND(ISNUMBER(AB3),AB3&gt;3*$P$6)</formula>
    </cfRule>
  </conditionalFormatting>
  <conditionalFormatting sqref="AC3:AC1048576">
    <cfRule type="expression" dxfId="14" priority="10">
      <formula>AND(ISNUMBER(AC3),ABS(AC3)&gt;2,ABS(AC3)&lt;3)</formula>
    </cfRule>
    <cfRule type="expression" dxfId="13" priority="11">
      <formula>AND(ISNUMBER(AC3),ABS(AC3)&gt;=3)</formula>
    </cfRule>
  </conditionalFormatting>
  <conditionalFormatting sqref="AD3:AD1048576">
    <cfRule type="expression" dxfId="12" priority="14">
      <formula>AND(ISNUMBER(AD3),AD3&gt;4/$M$8,AD3&lt;=0.9)</formula>
    </cfRule>
    <cfRule type="expression" dxfId="11" priority="15">
      <formula>AND(ISNUMBER(AD3),AD3&gt;0.9)</formula>
    </cfRule>
  </conditionalFormatting>
  <conditionalFormatting sqref="AF3:AF1048576">
    <cfRule type="expression" dxfId="10" priority="12">
      <formula>AND(ISNUMBER(AF3),ABS(AF3)&gt;2,ABS(AF3)&lt;3)</formula>
    </cfRule>
    <cfRule type="expression" dxfId="9" priority="13">
      <formula>AND(ISNUMBER(AF3),ABS(AF3)&gt;=3)</formula>
    </cfRule>
  </conditionalFormatting>
  <conditionalFormatting sqref="AG3:AG1048576">
    <cfRule type="expression" dxfId="8" priority="16">
      <formula>AND(ISNUMBER(AG3),AG3&gt;1.414,AG3&lt;=1.732)</formula>
    </cfRule>
    <cfRule type="expression" dxfId="7" priority="17">
      <formula>AND(ISNUMBER(AG3),AG3&gt;1.732)</formula>
    </cfRule>
  </conditionalFormatting>
  <conditionalFormatting sqref="AH3:AH1048576">
    <cfRule type="expression" dxfId="6" priority="18">
      <formula>AND(ISNUMBER(AH3),ABS(AH3)&gt;2*$M$7,ABS(AH3)&lt;=3*$M$7)</formula>
    </cfRule>
    <cfRule type="expression" dxfId="5" priority="19">
      <formula>AND(ISNUMBER(AH3),ABS(AH3)&gt;3*$M$7)</formula>
    </cfRule>
  </conditionalFormatting>
  <dataValidations count="1">
    <dataValidation type="list" allowBlank="1" showInputMessage="1" showErrorMessage="1" sqref="B2:B16000" xr:uid="{DED61F35-88AD-4BBD-9500-BB0FFCF1112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2A0BE-798E-45E3-94CF-EC96495AA052}">
  <dimension ref="A1:BR1652"/>
  <sheetViews>
    <sheetView tabSelected="1" workbookViewId="0">
      <pane xSplit="1" ySplit="3" topLeftCell="B4" activePane="bottomRight" state="frozen"/>
      <selection pane="topRight" activeCell="B1" sqref="B1"/>
      <selection pane="bottomLeft" activeCell="A4" sqref="A4"/>
      <selection pane="bottomRight" activeCell="F2" sqref="F1:M2"/>
    </sheetView>
  </sheetViews>
  <sheetFormatPr defaultRowHeight="15" x14ac:dyDescent="0.25"/>
  <cols>
    <col min="1" max="1" width="14.7109375" customWidth="1"/>
    <col min="2" max="2" width="2.7109375" customWidth="1"/>
    <col min="3" max="3" width="16.7109375" customWidth="1"/>
    <col min="4" max="4" width="12.7109375" customWidth="1"/>
    <col min="5" max="5" width="2.7109375" customWidth="1"/>
    <col min="6" max="6" width="12.7109375" customWidth="1"/>
    <col min="7" max="7" width="10.7109375" customWidth="1"/>
    <col min="8" max="8" width="2.7109375" customWidth="1"/>
    <col min="9" max="9" width="12.7109375" customWidth="1"/>
    <col min="10" max="10" width="10.7109375" customWidth="1"/>
    <col min="11" max="11" width="2.7109375" customWidth="1"/>
    <col min="12" max="12" width="12.7109375" customWidth="1"/>
    <col min="13" max="13" width="10.7109375" customWidth="1"/>
    <col min="14" max="15" width="2.7109375" customWidth="1"/>
    <col min="16" max="16" width="14.7109375" customWidth="1"/>
    <col min="17" max="17" width="10.7109375" customWidth="1"/>
    <col min="18" max="18" width="12.7109375" customWidth="1"/>
    <col min="19" max="19" width="10.7109375" customWidth="1"/>
    <col min="20" max="20" width="12.7109375" customWidth="1"/>
    <col min="21" max="21" width="10.7109375" customWidth="1"/>
    <col min="22" max="23" width="12.7109375" customWidth="1"/>
    <col min="24" max="24" width="6.7109375" customWidth="1"/>
    <col min="25" max="26" width="12.7109375" customWidth="1"/>
    <col min="27" max="27" width="2.7109375" customWidth="1"/>
    <col min="28" max="28" width="12.7109375" customWidth="1"/>
    <col min="29" max="48" width="6.7109375" customWidth="1"/>
    <col min="49" max="49" width="2.7109375" customWidth="1"/>
    <col min="50" max="50" width="12.7109375" customWidth="1"/>
    <col min="51" max="70" width="6.7109375" customWidth="1"/>
  </cols>
  <sheetData>
    <row r="1" spans="1:70" ht="20.100000000000001" customHeight="1" x14ac:dyDescent="0.3">
      <c r="A1" s="4" t="s">
        <v>649</v>
      </c>
      <c r="F1" s="55" t="s">
        <v>663</v>
      </c>
      <c r="G1" s="55"/>
      <c r="H1" s="55"/>
      <c r="I1" s="55"/>
      <c r="J1" s="55"/>
      <c r="K1" s="55"/>
      <c r="L1" s="55"/>
      <c r="M1" s="55"/>
    </row>
    <row r="2" spans="1:70" ht="18" customHeight="1" x14ac:dyDescent="0.25">
      <c r="F2" s="55" t="s">
        <v>664</v>
      </c>
      <c r="G2" s="55"/>
      <c r="I2" s="55" t="s">
        <v>666</v>
      </c>
      <c r="J2" s="55"/>
      <c r="L2" s="55" t="s">
        <v>667</v>
      </c>
      <c r="M2" s="55"/>
      <c r="P2" s="55" t="s">
        <v>668</v>
      </c>
      <c r="Q2" s="55"/>
      <c r="R2" s="55"/>
      <c r="S2" s="55"/>
      <c r="T2" s="55"/>
      <c r="U2" s="55"/>
      <c r="V2" s="55"/>
      <c r="W2" s="55"/>
      <c r="X2" s="55"/>
      <c r="Y2" s="55"/>
      <c r="Z2" s="55"/>
    </row>
    <row r="3" spans="1:70" ht="18" customHeight="1" x14ac:dyDescent="0.25">
      <c r="A3" s="5" t="s">
        <v>650</v>
      </c>
      <c r="C3" s="11" t="s">
        <v>651</v>
      </c>
      <c r="D3" s="15"/>
      <c r="AB3" s="52" t="s">
        <v>686</v>
      </c>
      <c r="AC3" s="53"/>
      <c r="AD3" s="53"/>
      <c r="AE3" s="53"/>
      <c r="AF3" s="53"/>
      <c r="AG3" s="53"/>
      <c r="AH3" s="53"/>
      <c r="AI3" s="53"/>
      <c r="AJ3" s="53"/>
      <c r="AK3" s="53"/>
      <c r="AL3" s="53"/>
      <c r="AM3" s="53"/>
      <c r="AN3" s="53"/>
      <c r="AO3" s="53"/>
      <c r="AP3" s="53"/>
      <c r="AQ3" s="53"/>
      <c r="AR3" s="53"/>
      <c r="AS3" s="53"/>
      <c r="AT3" s="53"/>
      <c r="AU3" s="53"/>
      <c r="AV3" s="54"/>
      <c r="AX3" s="52" t="s">
        <v>692</v>
      </c>
      <c r="AY3" s="53"/>
      <c r="AZ3" s="53"/>
      <c r="BA3" s="53"/>
      <c r="BB3" s="53"/>
      <c r="BC3" s="53"/>
      <c r="BD3" s="53"/>
      <c r="BE3" s="53"/>
      <c r="BF3" s="53"/>
      <c r="BG3" s="53"/>
      <c r="BH3" s="53"/>
      <c r="BI3" s="53"/>
      <c r="BJ3" s="53"/>
      <c r="BK3" s="53"/>
      <c r="BL3" s="53"/>
      <c r="BM3" s="53"/>
      <c r="BN3" s="53"/>
      <c r="BO3" s="53"/>
      <c r="BP3" s="53"/>
      <c r="BQ3" s="53"/>
      <c r="BR3" s="54"/>
    </row>
    <row r="4" spans="1:70" ht="18" customHeight="1" x14ac:dyDescent="0.25">
      <c r="A4" cm="1">
        <f t="array" ref="A4:A1652">IFERROR(_xlfn._xlws.FILTER(LifeExpectancyData[Life expectancy],LifeExpectancyData[Full_Data]),"")</f>
        <v>65</v>
      </c>
      <c r="C4" s="9" t="s">
        <v>653</v>
      </c>
      <c r="D4" s="16">
        <f>AVERAGE(UV_Data)</f>
        <v>69.302304426925431</v>
      </c>
      <c r="F4" s="6" t="s">
        <v>665</v>
      </c>
      <c r="G4" s="6" t="s">
        <v>661</v>
      </c>
      <c r="I4" s="6" t="s">
        <v>665</v>
      </c>
      <c r="J4" s="6" t="s">
        <v>661</v>
      </c>
      <c r="L4" s="6" t="s">
        <v>665</v>
      </c>
      <c r="M4" s="6" t="s">
        <v>661</v>
      </c>
      <c r="P4" s="21" t="s">
        <v>669</v>
      </c>
      <c r="Q4" s="22" t="s">
        <v>670</v>
      </c>
      <c r="R4" s="22" t="s">
        <v>652</v>
      </c>
      <c r="S4" s="22" t="s">
        <v>671</v>
      </c>
      <c r="T4" s="22" t="s">
        <v>652</v>
      </c>
      <c r="U4" s="22" t="s">
        <v>672</v>
      </c>
      <c r="V4" s="22" t="s">
        <v>652</v>
      </c>
      <c r="W4" s="22" t="s">
        <v>673</v>
      </c>
      <c r="X4" s="22" t="s">
        <v>674</v>
      </c>
      <c r="Y4" s="22" t="s">
        <v>80</v>
      </c>
      <c r="Z4" s="26" t="s">
        <v>85</v>
      </c>
      <c r="AB4" s="10" t="s">
        <v>687</v>
      </c>
      <c r="AC4" s="30">
        <v>0.5</v>
      </c>
      <c r="AD4" s="30">
        <v>10</v>
      </c>
      <c r="AV4" s="33"/>
      <c r="AX4" s="10" t="s">
        <v>687</v>
      </c>
      <c r="AY4" s="7">
        <f>MAX(0.001,$AC$7-($AD$4-$AC$4)/(20-1))</f>
        <v>1E-3</v>
      </c>
      <c r="AZ4" s="7">
        <f>$AC$7+($AD$4-$AC$4)/(20-1)</f>
        <v>1</v>
      </c>
      <c r="BR4" s="33"/>
    </row>
    <row r="5" spans="1:70" x14ac:dyDescent="0.25">
      <c r="A5">
        <v>59.9</v>
      </c>
      <c r="C5" s="10" t="s">
        <v>654</v>
      </c>
      <c r="D5" s="17">
        <f>MEDIAN(UV_Data)</f>
        <v>71.7</v>
      </c>
      <c r="F5" s="20" t="e" cm="1">
        <f t="array" aca="1" ref="F5" ca="1">Bin_Edges(UV_Data,"Sturges")</f>
        <v>#NAME?</v>
      </c>
      <c r="G5" s="8" cm="1">
        <f t="array" aca="1" ref="G5" ca="1">Bin_Counts(UV_Data,_xlfn.ANCHORARRAY(F5))</f>
        <v>0</v>
      </c>
      <c r="I5" s="20" t="e" cm="1">
        <f t="array" aca="1" ref="I5" ca="1">Bin_Edges(UV_Data,"Scott")</f>
        <v>#NAME?</v>
      </c>
      <c r="J5" s="8" cm="1">
        <f t="array" aca="1" ref="J5" ca="1">Bin_Counts(UV_Data,_xlfn.ANCHORARRAY(I5))</f>
        <v>0</v>
      </c>
      <c r="L5" s="20" t="e" cm="1">
        <f t="array" aca="1" ref="L5" ca="1">Bin_Edges(UV_Data)</f>
        <v>#NAME?</v>
      </c>
      <c r="M5" s="8" cm="1">
        <f t="array" aca="1" ref="M5" ca="1">Bin_Counts(UV_Data,_xlfn.ANCHORARRAY(L5))</f>
        <v>0</v>
      </c>
      <c r="P5" s="10" t="s">
        <v>675</v>
      </c>
      <c r="Q5" t="s">
        <v>653</v>
      </c>
      <c r="R5" s="7">
        <f>AVERAGE(UV_Data)</f>
        <v>69.302304426925431</v>
      </c>
      <c r="S5" t="s">
        <v>656</v>
      </c>
      <c r="T5" s="7">
        <f>_xlfn.STDEV.S(UV_Data)</f>
        <v>8.7968341352384964</v>
      </c>
      <c r="V5" s="7"/>
      <c r="W5" s="20" cm="1">
        <f t="array" aca="1" ref="W5" ca="1">NLL_Normal(UV_Data,$R$5,$T$5)</f>
        <v>1000000000000000</v>
      </c>
      <c r="X5" s="8">
        <v>2</v>
      </c>
      <c r="Y5" s="20" cm="1">
        <f t="array" aca="1" ref="Y5" ca="1">GoF_AIC($W$5,$X$5)</f>
        <v>2000000000000004</v>
      </c>
      <c r="Z5" s="27" cm="1">
        <f t="array" aca="1" ref="Z5" ca="1">GoF_BIC($W$5,$X$5,UV_n)</f>
        <v>2000000000000014.8</v>
      </c>
      <c r="AB5" s="10" t="s">
        <v>688</v>
      </c>
      <c r="AC5" s="30">
        <v>0.1</v>
      </c>
      <c r="AD5" s="30">
        <f>IFERROR(2*AVERAGE(UV_Data),10)</f>
        <v>138.60460885385086</v>
      </c>
      <c r="AV5" s="33"/>
      <c r="AX5" s="10" t="s">
        <v>688</v>
      </c>
      <c r="AY5" s="7">
        <f>MAX(0.001,$AE$7-($AD$5-$AC$5)/(20-1))</f>
        <v>1E-3</v>
      </c>
      <c r="AZ5" s="7">
        <f>$AE$7+($AD$5-$AC$5)/(20-1)</f>
        <v>7.3897162554658351</v>
      </c>
      <c r="BR5" s="33"/>
    </row>
    <row r="6" spans="1:70" x14ac:dyDescent="0.25">
      <c r="A6">
        <v>59.9</v>
      </c>
      <c r="C6" s="10" t="s">
        <v>655</v>
      </c>
      <c r="D6" s="17">
        <f>IFERROR(_xlfn.MODE.SNGL(UV_Data),"N/A")</f>
        <v>73</v>
      </c>
      <c r="P6" s="10" t="s">
        <v>676</v>
      </c>
      <c r="Q6" t="s">
        <v>677</v>
      </c>
      <c r="R6" s="7" cm="1">
        <f t="array" ref="R6">AVERAGE(LN(_xlfn._xlws.FILTER(UV_Data,ISNUMBER(UV_Data))))</f>
        <v>4.2297627975940273</v>
      </c>
      <c r="S6" t="s">
        <v>678</v>
      </c>
      <c r="T6" s="7" cm="1">
        <f t="array" ref="T6">_xlfn.STDEV.S(LN(_xlfn._xlws.FILTER(UV_Data,ISNUMBER(UV_Data))))</f>
        <v>0.13495742798206697</v>
      </c>
      <c r="V6" s="7"/>
      <c r="W6" s="20" cm="1">
        <f t="array" aca="1" ref="W6" ca="1">NLL_Lognormal(UV_Data,$R$6,$T$6)</f>
        <v>1000000000000000</v>
      </c>
      <c r="X6" s="8">
        <v>2</v>
      </c>
      <c r="Y6" s="20" cm="1">
        <f t="array" aca="1" ref="Y6" ca="1">GoF_AIC($W$6,$X$6)</f>
        <v>2000000000000004</v>
      </c>
      <c r="Z6" s="27" cm="1">
        <f t="array" aca="1" ref="Z6" ca="1">GoF_BIC($W$6,$X$6,UV_n)</f>
        <v>2000000000000014.8</v>
      </c>
      <c r="AB6" s="10" t="s">
        <v>689</v>
      </c>
      <c r="AC6" s="20">
        <f>IF(COUNT(UV_WB_S1)=0,"—",MIN(UV_WB_S1))</f>
        <v>1000000000000000</v>
      </c>
      <c r="AV6" s="33"/>
      <c r="AX6" s="10" t="s">
        <v>689</v>
      </c>
      <c r="AY6" s="20">
        <f>IF(COUNT(UV_WB_S2)=0,"—",MIN(UV_WB_S2))</f>
        <v>1000000000000000</v>
      </c>
      <c r="BR6" s="33"/>
    </row>
    <row r="7" spans="1:70" x14ac:dyDescent="0.25">
      <c r="A7">
        <v>59.5</v>
      </c>
      <c r="C7" s="10" t="s">
        <v>656</v>
      </c>
      <c r="D7" s="17">
        <f>_xlfn.STDEV.S(UV_Data)</f>
        <v>8.7968341352384964</v>
      </c>
      <c r="P7" s="10" t="s">
        <v>679</v>
      </c>
      <c r="Q7" t="s">
        <v>680</v>
      </c>
      <c r="R7" s="7">
        <f>1/AVERAGE(UV_Data)</f>
        <v>1.4429534605944193E-2</v>
      </c>
      <c r="T7" s="7"/>
      <c r="V7" s="7"/>
      <c r="W7" s="20" cm="1">
        <f t="array" aca="1" ref="W7" ca="1">NLL_Exponential(UV_Data,$R$7)</f>
        <v>1000000000000000</v>
      </c>
      <c r="X7" s="8">
        <v>1</v>
      </c>
      <c r="Y7" s="20" cm="1">
        <f t="array" aca="1" ref="Y7" ca="1">GoF_AIC($W$7,$X$7)</f>
        <v>2000000000000002</v>
      </c>
      <c r="Z7" s="27" cm="1">
        <f t="array" aca="1" ref="Z7" ca="1">GoF_BIC($W$7,$X$7,UV_n)</f>
        <v>2000000000000007.5</v>
      </c>
      <c r="AB7" s="10" t="s">
        <v>690</v>
      </c>
      <c r="AC7" s="7" cm="1">
        <f t="array" ref="AC7">IFERROR(INDEX(_xlfn.ANCHORARRAY($AC$9),1,$AC$8),"—")</f>
        <v>0.5</v>
      </c>
      <c r="AD7" t="s">
        <v>691</v>
      </c>
      <c r="AE7" s="7" cm="1">
        <f t="array" ref="AE7">IFERROR(INDEX(_xlfn.ANCHORARRAY($AB$10),$AB$8),"—")</f>
        <v>0.1</v>
      </c>
      <c r="AV7" s="33"/>
      <c r="AX7" s="10" t="s">
        <v>690</v>
      </c>
      <c r="AY7" s="7" cm="1">
        <f t="array" ref="AY7">IFERROR(INDEX(_xlfn.ANCHORARRAY($AY$9),1,$AY$8),"—")</f>
        <v>1E-3</v>
      </c>
      <c r="AZ7" t="s">
        <v>691</v>
      </c>
      <c r="BA7" s="7" cm="1">
        <f t="array" ref="BA7">IFERROR(INDEX(_xlfn.ANCHORARRAY($AX$10),$AX$8),"—")</f>
        <v>1E-3</v>
      </c>
      <c r="BR7" s="33"/>
    </row>
    <row r="8" spans="1:70" x14ac:dyDescent="0.25">
      <c r="A8">
        <v>59.2</v>
      </c>
      <c r="C8" s="10" t="s">
        <v>657</v>
      </c>
      <c r="D8" s="17">
        <f>_xlfn.VAR.S(UV_Data)</f>
        <v>77.384290802897212</v>
      </c>
      <c r="P8" s="10" t="s">
        <v>681</v>
      </c>
      <c r="Q8" t="s">
        <v>658</v>
      </c>
      <c r="R8" s="7">
        <f>MIN(UV_Data)-(MAX(UV_Data)-MIN(UV_Data))*0.001</f>
        <v>43.954999999999998</v>
      </c>
      <c r="S8" t="s">
        <v>655</v>
      </c>
      <c r="T8" s="7">
        <f>IFERROR(_xlfn.MODE.SNGL(UV_Data),MEDIAN(UV_Data))</f>
        <v>73</v>
      </c>
      <c r="U8" t="s">
        <v>659</v>
      </c>
      <c r="V8" s="7">
        <f>MAX(UV_Data)+(MAX(UV_Data)-MIN(UV_Data))*0.001</f>
        <v>89.045000000000002</v>
      </c>
      <c r="W8" s="20" cm="1">
        <f t="array" ref="W8">NLL_Triangular(UV_Data,$R$8,$T$8,$V$8)</f>
        <v>5888.4337883717972</v>
      </c>
      <c r="X8" s="8">
        <v>3</v>
      </c>
      <c r="Y8" s="20" cm="1">
        <f t="array" ref="Y8">GoF_AIC($W$8,$X$8)</f>
        <v>11782.867576743594</v>
      </c>
      <c r="Z8" s="27" cm="1">
        <f t="array" ref="Z8">GoF_BIC($W$8,$X$8,UV_n)</f>
        <v>11799.091349711272</v>
      </c>
      <c r="AB8" s="10" cm="1">
        <f t="array" ref="AB8">IFERROR(MIN(IF(UV_WB_S1=MIN(UV_WB_S1),ROW(UV_WB_S1)-ROW($AB$9))),1)</f>
        <v>1</v>
      </c>
      <c r="AC8" cm="1">
        <f t="array" ref="AC8">IFERROR(MIN(IF(UV_WB_S1=MIN(UV_WB_S1),COLUMN(UV_WB_S1)-COLUMN($AB$9))),1)</f>
        <v>1</v>
      </c>
      <c r="AD8">
        <v>1</v>
      </c>
      <c r="AE8">
        <v>1</v>
      </c>
      <c r="AV8" s="33"/>
      <c r="AX8" s="10" cm="1">
        <f t="array" ref="AX8">IFERROR(MIN(IF(UV_WB_S2=MIN(UV_WB_S2),ROW(UV_WB_S2)-ROW($AX$9))),1)</f>
        <v>1</v>
      </c>
      <c r="AY8" cm="1">
        <f t="array" ref="AY8">IFERROR(MIN(IF(UV_WB_S2=MIN(UV_WB_S2),COLUMN(UV_WB_S2)-COLUMN($AX$9))),1)</f>
        <v>1</v>
      </c>
      <c r="AZ8">
        <v>1</v>
      </c>
      <c r="BA8">
        <v>1</v>
      </c>
      <c r="BR8" s="33"/>
    </row>
    <row r="9" spans="1:70" x14ac:dyDescent="0.25">
      <c r="A9">
        <v>58.8</v>
      </c>
      <c r="C9" s="10" t="s">
        <v>658</v>
      </c>
      <c r="D9" s="17">
        <f>MIN(UV_Data)</f>
        <v>44</v>
      </c>
      <c r="P9" s="10" t="s">
        <v>682</v>
      </c>
      <c r="Q9" t="s">
        <v>658</v>
      </c>
      <c r="R9" s="7">
        <f>MIN(UV_Data)-(MAX(UV_Data)-MIN(UV_Data))*0.001</f>
        <v>43.954999999999998</v>
      </c>
      <c r="S9" t="s">
        <v>655</v>
      </c>
      <c r="T9" s="7">
        <f>IFERROR(_xlfn.MODE.SNGL(UV_Data),MEDIAN(UV_Data))</f>
        <v>73</v>
      </c>
      <c r="U9" t="s">
        <v>659</v>
      </c>
      <c r="V9" s="7">
        <f>MAX(UV_Data)+(MAX(UV_Data)-MIN(UV_Data))*0.001</f>
        <v>89.045000000000002</v>
      </c>
      <c r="W9" s="20" cm="1">
        <f t="array" aca="1" ref="W9" ca="1">NLL_BetaPERT(UV_Data,$R$9,$T$9,$V$9)</f>
        <v>1000000000000000</v>
      </c>
      <c r="X9" s="8">
        <v>3</v>
      </c>
      <c r="Y9" s="20" cm="1">
        <f t="array" aca="1" ref="Y9" ca="1">GoF_AIC($W$9,$X$9)</f>
        <v>2000000000000006</v>
      </c>
      <c r="Z9" s="27" cm="1">
        <f t="array" aca="1" ref="Z9" ca="1">GoF_BIC($W$9,$X$9,UV_n)</f>
        <v>2000000000000022.3</v>
      </c>
      <c r="AB9" s="31" cm="1">
        <f t="array" aca="1" ref="AB9" ca="1">NLL_Weibull(UV_Data,$AD$8,$AE$8)</f>
        <v>1000000000000000</v>
      </c>
      <c r="AC9" s="20" cm="1">
        <f t="array" ref="AC9:AV9">_xlfn.SEQUENCE(1,20,$AC$4,($AD$4-$AC$4)/(20-1))</f>
        <v>0.5</v>
      </c>
      <c r="AD9">
        <v>1</v>
      </c>
      <c r="AE9">
        <v>1.5</v>
      </c>
      <c r="AF9">
        <v>2</v>
      </c>
      <c r="AG9">
        <v>2.5</v>
      </c>
      <c r="AH9">
        <v>3</v>
      </c>
      <c r="AI9">
        <v>3.5</v>
      </c>
      <c r="AJ9">
        <v>4</v>
      </c>
      <c r="AK9">
        <v>4.5</v>
      </c>
      <c r="AL9">
        <v>5</v>
      </c>
      <c r="AM9">
        <v>5.5</v>
      </c>
      <c r="AN9">
        <v>6</v>
      </c>
      <c r="AO9">
        <v>6.5</v>
      </c>
      <c r="AP9">
        <v>7</v>
      </c>
      <c r="AQ9">
        <v>7.5</v>
      </c>
      <c r="AR9">
        <v>8</v>
      </c>
      <c r="AS9">
        <v>8.5</v>
      </c>
      <c r="AT9">
        <v>9</v>
      </c>
      <c r="AU9">
        <v>9.5</v>
      </c>
      <c r="AV9" s="33">
        <v>10</v>
      </c>
      <c r="AX9" s="31" cm="1">
        <f t="array" aca="1" ref="AX9" ca="1">NLL_Weibull(UV_Data,$AZ$8,$BA$8)</f>
        <v>1000000000000000</v>
      </c>
      <c r="AY9" s="20" cm="1">
        <f t="array" ref="AY9:BR9">_xlfn.SEQUENCE(1,20,$AY$4,($AZ$4-$AY$4)/(20-1))</f>
        <v>1E-3</v>
      </c>
      <c r="AZ9">
        <v>5.3578947368421052E-2</v>
      </c>
      <c r="BA9">
        <v>0.1061578947368421</v>
      </c>
      <c r="BB9">
        <v>0.15873684210526315</v>
      </c>
      <c r="BC9">
        <v>0.21131578947368421</v>
      </c>
      <c r="BD9">
        <v>0.26389473684210524</v>
      </c>
      <c r="BE9">
        <v>0.3164736842105263</v>
      </c>
      <c r="BF9">
        <v>0.36905263157894735</v>
      </c>
      <c r="BG9">
        <v>0.42163157894736841</v>
      </c>
      <c r="BH9">
        <v>0.47421052631578947</v>
      </c>
      <c r="BI9">
        <v>0.52678947368421047</v>
      </c>
      <c r="BJ9">
        <v>0.57936842105263153</v>
      </c>
      <c r="BK9">
        <v>0.63194736842105259</v>
      </c>
      <c r="BL9">
        <v>0.68452631578947365</v>
      </c>
      <c r="BM9">
        <v>0.73710526315789471</v>
      </c>
      <c r="BN9">
        <v>0.78968421052631577</v>
      </c>
      <c r="BO9">
        <v>0.84226315789473682</v>
      </c>
      <c r="BP9">
        <v>0.89484210526315788</v>
      </c>
      <c r="BQ9">
        <v>0.94742105263157894</v>
      </c>
      <c r="BR9" s="33">
        <v>1</v>
      </c>
    </row>
    <row r="10" spans="1:70" x14ac:dyDescent="0.25">
      <c r="A10">
        <v>58.6</v>
      </c>
      <c r="C10" s="10" t="s">
        <v>659</v>
      </c>
      <c r="D10" s="17">
        <f>MAX(UV_Data)</f>
        <v>89</v>
      </c>
      <c r="P10" s="13" t="s">
        <v>683</v>
      </c>
      <c r="Q10" s="23" t="s">
        <v>684</v>
      </c>
      <c r="R10" s="24">
        <f>$AY$7</f>
        <v>1E-3</v>
      </c>
      <c r="S10" s="23" t="s">
        <v>685</v>
      </c>
      <c r="T10" s="24">
        <f>$BA$7</f>
        <v>1E-3</v>
      </c>
      <c r="U10" s="23"/>
      <c r="V10" s="24"/>
      <c r="W10" s="25" cm="1">
        <f t="array" aca="1" ref="W10" ca="1">NLL_Weibull(UV_Data,$R$10,$T$10)</f>
        <v>1000000000000000</v>
      </c>
      <c r="X10" s="14">
        <v>2</v>
      </c>
      <c r="Y10" s="25" cm="1">
        <f t="array" aca="1" ref="Y10" ca="1">GoF_AIC($W$10,$X$10)</f>
        <v>2000000000000004</v>
      </c>
      <c r="Z10" s="28" cm="1">
        <f t="array" aca="1" ref="Z10" ca="1">GoF_BIC($W$10,$X$10,UV_n)</f>
        <v>2000000000000014.8</v>
      </c>
      <c r="AB10" s="32" cm="1">
        <f t="array" ref="AB10:AB29">_xlfn.SEQUENCE(20,1,$AC$5,($AD$5-$AC$5)/(20-1))</f>
        <v>0.1</v>
      </c>
      <c r="AC10" s="20">
        <f t="dataTable" ref="AC10:AV29" dt2D="1" dtr="1" r1="AD8" r2="AE8" ca="1"/>
        <v>1000000000000000</v>
      </c>
      <c r="AD10" s="20">
        <v>1000000000000000</v>
      </c>
      <c r="AE10" s="20">
        <v>1000000000000000</v>
      </c>
      <c r="AF10" s="20">
        <v>1000000000000000</v>
      </c>
      <c r="AG10" s="20">
        <v>1000000000000000</v>
      </c>
      <c r="AH10" s="20">
        <v>1000000000000000</v>
      </c>
      <c r="AI10" s="20">
        <v>1000000000000000</v>
      </c>
      <c r="AJ10" s="20">
        <v>1000000000000000</v>
      </c>
      <c r="AK10" s="20">
        <v>1000000000000000</v>
      </c>
      <c r="AL10" s="20">
        <v>1000000000000000</v>
      </c>
      <c r="AM10" s="20">
        <v>1000000000000000</v>
      </c>
      <c r="AN10" s="20">
        <v>1000000000000000</v>
      </c>
      <c r="AO10" s="20">
        <v>1000000000000000</v>
      </c>
      <c r="AP10" s="20">
        <v>1000000000000000</v>
      </c>
      <c r="AQ10" s="20">
        <v>1000000000000000</v>
      </c>
      <c r="AR10" s="20">
        <v>1000000000000000</v>
      </c>
      <c r="AS10" s="20">
        <v>1000000000000000</v>
      </c>
      <c r="AT10" s="20">
        <v>1000000000000000</v>
      </c>
      <c r="AU10" s="20">
        <v>1000000000000000</v>
      </c>
      <c r="AV10" s="27">
        <v>1000000000000000</v>
      </c>
      <c r="AX10" s="32" cm="1">
        <f t="array" ref="AX10:AX29">_xlfn.SEQUENCE(20,1,$AY$5,($AZ$5-$AY$5)/(20-1))</f>
        <v>1E-3</v>
      </c>
      <c r="AY10" s="20">
        <f t="dataTable" ref="AY10:BR29" dt2D="1" dtr="1" r1="AZ8" r2="BA8" ca="1"/>
        <v>1000000000000000</v>
      </c>
      <c r="AZ10" s="20">
        <v>1000000000000000</v>
      </c>
      <c r="BA10" s="20">
        <v>1000000000000000</v>
      </c>
      <c r="BB10" s="20">
        <v>1000000000000000</v>
      </c>
      <c r="BC10" s="20">
        <v>1000000000000000</v>
      </c>
      <c r="BD10" s="20">
        <v>1000000000000000</v>
      </c>
      <c r="BE10" s="20">
        <v>1000000000000000</v>
      </c>
      <c r="BF10" s="20">
        <v>1000000000000000</v>
      </c>
      <c r="BG10" s="20">
        <v>1000000000000000</v>
      </c>
      <c r="BH10" s="20">
        <v>1000000000000000</v>
      </c>
      <c r="BI10" s="20">
        <v>1000000000000000</v>
      </c>
      <c r="BJ10" s="20">
        <v>1000000000000000</v>
      </c>
      <c r="BK10" s="20">
        <v>1000000000000000</v>
      </c>
      <c r="BL10" s="20">
        <v>1000000000000000</v>
      </c>
      <c r="BM10" s="20">
        <v>1000000000000000</v>
      </c>
      <c r="BN10" s="20">
        <v>1000000000000000</v>
      </c>
      <c r="BO10" s="20">
        <v>1000000000000000</v>
      </c>
      <c r="BP10" s="20">
        <v>1000000000000000</v>
      </c>
      <c r="BQ10" s="20">
        <v>1000000000000000</v>
      </c>
      <c r="BR10" s="27">
        <v>1000000000000000</v>
      </c>
    </row>
    <row r="11" spans="1:70" x14ac:dyDescent="0.25">
      <c r="A11">
        <v>58.1</v>
      </c>
      <c r="C11" s="10" t="s">
        <v>660</v>
      </c>
      <c r="D11" s="17">
        <f>MAX(UV_Data)-MIN(UV_Data)</f>
        <v>45</v>
      </c>
      <c r="AB11" s="10">
        <v>7.3897162554658351</v>
      </c>
      <c r="AC11" s="20">
        <v>1000000000000000</v>
      </c>
      <c r="AD11" s="20">
        <v>1000000000000000</v>
      </c>
      <c r="AE11" s="20">
        <v>1000000000000000</v>
      </c>
      <c r="AF11" s="20">
        <v>1000000000000000</v>
      </c>
      <c r="AG11" s="20">
        <v>1000000000000000</v>
      </c>
      <c r="AH11" s="20">
        <v>1000000000000000</v>
      </c>
      <c r="AI11" s="20">
        <v>1000000000000000</v>
      </c>
      <c r="AJ11" s="20">
        <v>1000000000000000</v>
      </c>
      <c r="AK11" s="20">
        <v>1000000000000000</v>
      </c>
      <c r="AL11" s="20">
        <v>1000000000000000</v>
      </c>
      <c r="AM11" s="20">
        <v>1000000000000000</v>
      </c>
      <c r="AN11" s="20">
        <v>1000000000000000</v>
      </c>
      <c r="AO11" s="20">
        <v>1000000000000000</v>
      </c>
      <c r="AP11" s="20">
        <v>1000000000000000</v>
      </c>
      <c r="AQ11" s="20">
        <v>1000000000000000</v>
      </c>
      <c r="AR11" s="20">
        <v>1000000000000000</v>
      </c>
      <c r="AS11" s="20">
        <v>1000000000000000</v>
      </c>
      <c r="AT11" s="20">
        <v>1000000000000000</v>
      </c>
      <c r="AU11" s="20">
        <v>1000000000000000</v>
      </c>
      <c r="AV11" s="27">
        <v>1000000000000000</v>
      </c>
      <c r="AX11" s="10">
        <v>0.38987980291925445</v>
      </c>
      <c r="AY11" s="20">
        <v>1000000000000000</v>
      </c>
      <c r="AZ11" s="20">
        <v>1000000000000000</v>
      </c>
      <c r="BA11" s="20">
        <v>1000000000000000</v>
      </c>
      <c r="BB11" s="20">
        <v>1000000000000000</v>
      </c>
      <c r="BC11" s="20">
        <v>1000000000000000</v>
      </c>
      <c r="BD11" s="20">
        <v>1000000000000000</v>
      </c>
      <c r="BE11" s="20">
        <v>1000000000000000</v>
      </c>
      <c r="BF11" s="20">
        <v>1000000000000000</v>
      </c>
      <c r="BG11" s="20">
        <v>1000000000000000</v>
      </c>
      <c r="BH11" s="20">
        <v>1000000000000000</v>
      </c>
      <c r="BI11" s="20">
        <v>1000000000000000</v>
      </c>
      <c r="BJ11" s="20">
        <v>1000000000000000</v>
      </c>
      <c r="BK11" s="20">
        <v>1000000000000000</v>
      </c>
      <c r="BL11" s="20">
        <v>1000000000000000</v>
      </c>
      <c r="BM11" s="20">
        <v>1000000000000000</v>
      </c>
      <c r="BN11" s="20">
        <v>1000000000000000</v>
      </c>
      <c r="BO11" s="20">
        <v>1000000000000000</v>
      </c>
      <c r="BP11" s="20">
        <v>1000000000000000</v>
      </c>
      <c r="BQ11" s="20">
        <v>1000000000000000</v>
      </c>
      <c r="BR11" s="27">
        <v>1000000000000000</v>
      </c>
    </row>
    <row r="12" spans="1:70" x14ac:dyDescent="0.25">
      <c r="A12">
        <v>57.5</v>
      </c>
      <c r="C12" s="10" t="s">
        <v>299</v>
      </c>
      <c r="D12" s="17" cm="1">
        <f t="array" ref="D12">INDEX(Skewness(UV_Data),1)</f>
        <v>-0.62875808044875581</v>
      </c>
      <c r="AB12" s="10">
        <v>14.679432510931671</v>
      </c>
      <c r="AC12" s="20">
        <v>1000000000000000</v>
      </c>
      <c r="AD12" s="20">
        <v>1000000000000000</v>
      </c>
      <c r="AE12" s="20">
        <v>1000000000000000</v>
      </c>
      <c r="AF12" s="20">
        <v>1000000000000000</v>
      </c>
      <c r="AG12" s="20">
        <v>1000000000000000</v>
      </c>
      <c r="AH12" s="20">
        <v>1000000000000000</v>
      </c>
      <c r="AI12" s="20">
        <v>1000000000000000</v>
      </c>
      <c r="AJ12" s="20">
        <v>1000000000000000</v>
      </c>
      <c r="AK12" s="20">
        <v>1000000000000000</v>
      </c>
      <c r="AL12" s="20">
        <v>1000000000000000</v>
      </c>
      <c r="AM12" s="20">
        <v>1000000000000000</v>
      </c>
      <c r="AN12" s="20">
        <v>1000000000000000</v>
      </c>
      <c r="AO12" s="20">
        <v>1000000000000000</v>
      </c>
      <c r="AP12" s="20">
        <v>1000000000000000</v>
      </c>
      <c r="AQ12" s="20">
        <v>1000000000000000</v>
      </c>
      <c r="AR12" s="20">
        <v>1000000000000000</v>
      </c>
      <c r="AS12" s="20">
        <v>1000000000000000</v>
      </c>
      <c r="AT12" s="20">
        <v>1000000000000000</v>
      </c>
      <c r="AU12" s="20">
        <v>1000000000000000</v>
      </c>
      <c r="AV12" s="27">
        <v>1000000000000000</v>
      </c>
      <c r="AX12" s="10">
        <v>0.77875960583850889</v>
      </c>
      <c r="AY12" s="20">
        <v>1000000000000000</v>
      </c>
      <c r="AZ12" s="20">
        <v>1000000000000000</v>
      </c>
      <c r="BA12" s="20">
        <v>1000000000000000</v>
      </c>
      <c r="BB12" s="20">
        <v>1000000000000000</v>
      </c>
      <c r="BC12" s="20">
        <v>1000000000000000</v>
      </c>
      <c r="BD12" s="20">
        <v>1000000000000000</v>
      </c>
      <c r="BE12" s="20">
        <v>1000000000000000</v>
      </c>
      <c r="BF12" s="20">
        <v>1000000000000000</v>
      </c>
      <c r="BG12" s="20">
        <v>1000000000000000</v>
      </c>
      <c r="BH12" s="20">
        <v>1000000000000000</v>
      </c>
      <c r="BI12" s="20">
        <v>1000000000000000</v>
      </c>
      <c r="BJ12" s="20">
        <v>1000000000000000</v>
      </c>
      <c r="BK12" s="20">
        <v>1000000000000000</v>
      </c>
      <c r="BL12" s="20">
        <v>1000000000000000</v>
      </c>
      <c r="BM12" s="20">
        <v>1000000000000000</v>
      </c>
      <c r="BN12" s="20">
        <v>1000000000000000</v>
      </c>
      <c r="BO12" s="20">
        <v>1000000000000000</v>
      </c>
      <c r="BP12" s="20">
        <v>1000000000000000</v>
      </c>
      <c r="BQ12" s="20">
        <v>1000000000000000</v>
      </c>
      <c r="BR12" s="27">
        <v>1000000000000000</v>
      </c>
    </row>
    <row r="13" spans="1:70" x14ac:dyDescent="0.25">
      <c r="A13">
        <v>57.3</v>
      </c>
      <c r="C13" s="10" t="s">
        <v>305</v>
      </c>
      <c r="D13" s="17" cm="1">
        <f t="array" ref="D13">INDEX(Kurtosis(UV_Data),1)</f>
        <v>4.0320501493266825E-2</v>
      </c>
      <c r="AB13" s="10">
        <v>21.969148766397506</v>
      </c>
      <c r="AC13" s="20">
        <v>1000000000000000</v>
      </c>
      <c r="AD13" s="20">
        <v>1000000000000000</v>
      </c>
      <c r="AE13" s="20">
        <v>1000000000000000</v>
      </c>
      <c r="AF13" s="20">
        <v>1000000000000000</v>
      </c>
      <c r="AG13" s="20">
        <v>1000000000000000</v>
      </c>
      <c r="AH13" s="20">
        <v>1000000000000000</v>
      </c>
      <c r="AI13" s="20">
        <v>1000000000000000</v>
      </c>
      <c r="AJ13" s="20">
        <v>1000000000000000</v>
      </c>
      <c r="AK13" s="20">
        <v>1000000000000000</v>
      </c>
      <c r="AL13" s="20">
        <v>1000000000000000</v>
      </c>
      <c r="AM13" s="20">
        <v>1000000000000000</v>
      </c>
      <c r="AN13" s="20">
        <v>1000000000000000</v>
      </c>
      <c r="AO13" s="20">
        <v>1000000000000000</v>
      </c>
      <c r="AP13" s="20">
        <v>1000000000000000</v>
      </c>
      <c r="AQ13" s="20">
        <v>1000000000000000</v>
      </c>
      <c r="AR13" s="20">
        <v>1000000000000000</v>
      </c>
      <c r="AS13" s="20">
        <v>1000000000000000</v>
      </c>
      <c r="AT13" s="20">
        <v>1000000000000000</v>
      </c>
      <c r="AU13" s="20">
        <v>1000000000000000</v>
      </c>
      <c r="AV13" s="27">
        <v>1000000000000000</v>
      </c>
      <c r="AX13" s="10">
        <v>1.1676394087577633</v>
      </c>
      <c r="AY13" s="20">
        <v>1000000000000000</v>
      </c>
      <c r="AZ13" s="20">
        <v>1000000000000000</v>
      </c>
      <c r="BA13" s="20">
        <v>1000000000000000</v>
      </c>
      <c r="BB13" s="20">
        <v>1000000000000000</v>
      </c>
      <c r="BC13" s="20">
        <v>1000000000000000</v>
      </c>
      <c r="BD13" s="20">
        <v>1000000000000000</v>
      </c>
      <c r="BE13" s="20">
        <v>1000000000000000</v>
      </c>
      <c r="BF13" s="20">
        <v>1000000000000000</v>
      </c>
      <c r="BG13" s="20">
        <v>1000000000000000</v>
      </c>
      <c r="BH13" s="20">
        <v>1000000000000000</v>
      </c>
      <c r="BI13" s="20">
        <v>1000000000000000</v>
      </c>
      <c r="BJ13" s="20">
        <v>1000000000000000</v>
      </c>
      <c r="BK13" s="20">
        <v>1000000000000000</v>
      </c>
      <c r="BL13" s="20">
        <v>1000000000000000</v>
      </c>
      <c r="BM13" s="20">
        <v>1000000000000000</v>
      </c>
      <c r="BN13" s="20">
        <v>1000000000000000</v>
      </c>
      <c r="BO13" s="20">
        <v>1000000000000000</v>
      </c>
      <c r="BP13" s="20">
        <v>1000000000000000</v>
      </c>
      <c r="BQ13" s="20">
        <v>1000000000000000</v>
      </c>
      <c r="BR13" s="27">
        <v>1000000000000000</v>
      </c>
    </row>
    <row r="14" spans="1:70" x14ac:dyDescent="0.25">
      <c r="A14">
        <v>57.3</v>
      </c>
      <c r="C14" s="10" t="s">
        <v>661</v>
      </c>
      <c r="D14" s="18">
        <f>COUNT(UV_Data)</f>
        <v>1649</v>
      </c>
      <c r="AB14" s="10">
        <v>29.258865021863343</v>
      </c>
      <c r="AC14" s="20">
        <v>1000000000000000</v>
      </c>
      <c r="AD14" s="20">
        <v>1000000000000000</v>
      </c>
      <c r="AE14" s="20">
        <v>1000000000000000</v>
      </c>
      <c r="AF14" s="20">
        <v>1000000000000000</v>
      </c>
      <c r="AG14" s="20">
        <v>1000000000000000</v>
      </c>
      <c r="AH14" s="20">
        <v>1000000000000000</v>
      </c>
      <c r="AI14" s="20">
        <v>1000000000000000</v>
      </c>
      <c r="AJ14" s="20">
        <v>1000000000000000</v>
      </c>
      <c r="AK14" s="20">
        <v>1000000000000000</v>
      </c>
      <c r="AL14" s="20">
        <v>1000000000000000</v>
      </c>
      <c r="AM14" s="20">
        <v>1000000000000000</v>
      </c>
      <c r="AN14" s="20">
        <v>1000000000000000</v>
      </c>
      <c r="AO14" s="20">
        <v>1000000000000000</v>
      </c>
      <c r="AP14" s="20">
        <v>1000000000000000</v>
      </c>
      <c r="AQ14" s="20">
        <v>1000000000000000</v>
      </c>
      <c r="AR14" s="20">
        <v>1000000000000000</v>
      </c>
      <c r="AS14" s="20">
        <v>1000000000000000</v>
      </c>
      <c r="AT14" s="20">
        <v>1000000000000000</v>
      </c>
      <c r="AU14" s="20">
        <v>1000000000000000</v>
      </c>
      <c r="AV14" s="27">
        <v>1000000000000000</v>
      </c>
      <c r="AX14" s="10">
        <v>1.5565192116770177</v>
      </c>
      <c r="AY14" s="20">
        <v>1000000000000000</v>
      </c>
      <c r="AZ14" s="20">
        <v>1000000000000000</v>
      </c>
      <c r="BA14" s="20">
        <v>1000000000000000</v>
      </c>
      <c r="BB14" s="20">
        <v>1000000000000000</v>
      </c>
      <c r="BC14" s="20">
        <v>1000000000000000</v>
      </c>
      <c r="BD14" s="20">
        <v>1000000000000000</v>
      </c>
      <c r="BE14" s="20">
        <v>1000000000000000</v>
      </c>
      <c r="BF14" s="20">
        <v>1000000000000000</v>
      </c>
      <c r="BG14" s="20">
        <v>1000000000000000</v>
      </c>
      <c r="BH14" s="20">
        <v>1000000000000000</v>
      </c>
      <c r="BI14" s="20">
        <v>1000000000000000</v>
      </c>
      <c r="BJ14" s="20">
        <v>1000000000000000</v>
      </c>
      <c r="BK14" s="20">
        <v>1000000000000000</v>
      </c>
      <c r="BL14" s="20">
        <v>1000000000000000</v>
      </c>
      <c r="BM14" s="20">
        <v>1000000000000000</v>
      </c>
      <c r="BN14" s="20">
        <v>1000000000000000</v>
      </c>
      <c r="BO14" s="20">
        <v>1000000000000000</v>
      </c>
      <c r="BP14" s="20">
        <v>1000000000000000</v>
      </c>
      <c r="BQ14" s="20">
        <v>1000000000000000</v>
      </c>
      <c r="BR14" s="27">
        <v>1000000000000000</v>
      </c>
    </row>
    <row r="15" spans="1:70" x14ac:dyDescent="0.25">
      <c r="A15">
        <v>57</v>
      </c>
      <c r="C15" s="13" t="s">
        <v>662</v>
      </c>
      <c r="D15" s="19" cm="1">
        <f t="array" ref="D15">Missing_Count(UV_Data)</f>
        <v>0</v>
      </c>
      <c r="AB15" s="10">
        <v>36.548581277329177</v>
      </c>
      <c r="AC15" s="20">
        <v>1000000000000000</v>
      </c>
      <c r="AD15" s="20">
        <v>1000000000000000</v>
      </c>
      <c r="AE15" s="20">
        <v>1000000000000000</v>
      </c>
      <c r="AF15" s="20">
        <v>1000000000000000</v>
      </c>
      <c r="AG15" s="20">
        <v>1000000000000000</v>
      </c>
      <c r="AH15" s="20">
        <v>1000000000000000</v>
      </c>
      <c r="AI15" s="20">
        <v>1000000000000000</v>
      </c>
      <c r="AJ15" s="20">
        <v>1000000000000000</v>
      </c>
      <c r="AK15" s="20">
        <v>1000000000000000</v>
      </c>
      <c r="AL15" s="20">
        <v>1000000000000000</v>
      </c>
      <c r="AM15" s="20">
        <v>1000000000000000</v>
      </c>
      <c r="AN15" s="20">
        <v>1000000000000000</v>
      </c>
      <c r="AO15" s="20">
        <v>1000000000000000</v>
      </c>
      <c r="AP15" s="20">
        <v>1000000000000000</v>
      </c>
      <c r="AQ15" s="20">
        <v>1000000000000000</v>
      </c>
      <c r="AR15" s="20">
        <v>1000000000000000</v>
      </c>
      <c r="AS15" s="20">
        <v>1000000000000000</v>
      </c>
      <c r="AT15" s="20">
        <v>1000000000000000</v>
      </c>
      <c r="AU15" s="20">
        <v>1000000000000000</v>
      </c>
      <c r="AV15" s="27">
        <v>1000000000000000</v>
      </c>
      <c r="AX15" s="10">
        <v>1.9453990145962721</v>
      </c>
      <c r="AY15" s="20">
        <v>1000000000000000</v>
      </c>
      <c r="AZ15" s="20">
        <v>1000000000000000</v>
      </c>
      <c r="BA15" s="20">
        <v>1000000000000000</v>
      </c>
      <c r="BB15" s="20">
        <v>1000000000000000</v>
      </c>
      <c r="BC15" s="20">
        <v>1000000000000000</v>
      </c>
      <c r="BD15" s="20">
        <v>1000000000000000</v>
      </c>
      <c r="BE15" s="20">
        <v>1000000000000000</v>
      </c>
      <c r="BF15" s="20">
        <v>1000000000000000</v>
      </c>
      <c r="BG15" s="20">
        <v>1000000000000000</v>
      </c>
      <c r="BH15" s="20">
        <v>1000000000000000</v>
      </c>
      <c r="BI15" s="20">
        <v>1000000000000000</v>
      </c>
      <c r="BJ15" s="20">
        <v>1000000000000000</v>
      </c>
      <c r="BK15" s="20">
        <v>1000000000000000</v>
      </c>
      <c r="BL15" s="20">
        <v>1000000000000000</v>
      </c>
      <c r="BM15" s="20">
        <v>1000000000000000</v>
      </c>
      <c r="BN15" s="20">
        <v>1000000000000000</v>
      </c>
      <c r="BO15" s="20">
        <v>1000000000000000</v>
      </c>
      <c r="BP15" s="20">
        <v>1000000000000000</v>
      </c>
      <c r="BQ15" s="20">
        <v>1000000000000000</v>
      </c>
      <c r="BR15" s="27">
        <v>1000000000000000</v>
      </c>
    </row>
    <row r="16" spans="1:70" x14ac:dyDescent="0.25">
      <c r="A16">
        <v>56.7</v>
      </c>
      <c r="AB16" s="10">
        <v>43.838297532795011</v>
      </c>
      <c r="AC16" s="20">
        <v>1000000000000000</v>
      </c>
      <c r="AD16" s="20">
        <v>1000000000000000</v>
      </c>
      <c r="AE16" s="20">
        <v>1000000000000000</v>
      </c>
      <c r="AF16" s="20">
        <v>1000000000000000</v>
      </c>
      <c r="AG16" s="20">
        <v>1000000000000000</v>
      </c>
      <c r="AH16" s="20">
        <v>1000000000000000</v>
      </c>
      <c r="AI16" s="20">
        <v>1000000000000000</v>
      </c>
      <c r="AJ16" s="20">
        <v>1000000000000000</v>
      </c>
      <c r="AK16" s="20">
        <v>1000000000000000</v>
      </c>
      <c r="AL16" s="20">
        <v>1000000000000000</v>
      </c>
      <c r="AM16" s="20">
        <v>1000000000000000</v>
      </c>
      <c r="AN16" s="20">
        <v>1000000000000000</v>
      </c>
      <c r="AO16" s="20">
        <v>1000000000000000</v>
      </c>
      <c r="AP16" s="20">
        <v>1000000000000000</v>
      </c>
      <c r="AQ16" s="20">
        <v>1000000000000000</v>
      </c>
      <c r="AR16" s="20">
        <v>1000000000000000</v>
      </c>
      <c r="AS16" s="20">
        <v>1000000000000000</v>
      </c>
      <c r="AT16" s="20">
        <v>1000000000000000</v>
      </c>
      <c r="AU16" s="20">
        <v>1000000000000000</v>
      </c>
      <c r="AV16" s="27">
        <v>1000000000000000</v>
      </c>
      <c r="AX16" s="10">
        <v>2.3342788175155267</v>
      </c>
      <c r="AY16" s="20">
        <v>1000000000000000</v>
      </c>
      <c r="AZ16" s="20">
        <v>1000000000000000</v>
      </c>
      <c r="BA16" s="20">
        <v>1000000000000000</v>
      </c>
      <c r="BB16" s="20">
        <v>1000000000000000</v>
      </c>
      <c r="BC16" s="20">
        <v>1000000000000000</v>
      </c>
      <c r="BD16" s="20">
        <v>1000000000000000</v>
      </c>
      <c r="BE16" s="20">
        <v>1000000000000000</v>
      </c>
      <c r="BF16" s="20">
        <v>1000000000000000</v>
      </c>
      <c r="BG16" s="20">
        <v>1000000000000000</v>
      </c>
      <c r="BH16" s="20">
        <v>1000000000000000</v>
      </c>
      <c r="BI16" s="20">
        <v>1000000000000000</v>
      </c>
      <c r="BJ16" s="20">
        <v>1000000000000000</v>
      </c>
      <c r="BK16" s="20">
        <v>1000000000000000</v>
      </c>
      <c r="BL16" s="20">
        <v>1000000000000000</v>
      </c>
      <c r="BM16" s="20">
        <v>1000000000000000</v>
      </c>
      <c r="BN16" s="20">
        <v>1000000000000000</v>
      </c>
      <c r="BO16" s="20">
        <v>1000000000000000</v>
      </c>
      <c r="BP16" s="20">
        <v>1000000000000000</v>
      </c>
      <c r="BQ16" s="20">
        <v>1000000000000000</v>
      </c>
      <c r="BR16" s="27">
        <v>1000000000000000</v>
      </c>
    </row>
    <row r="17" spans="1:70" x14ac:dyDescent="0.25">
      <c r="A17">
        <v>56.2</v>
      </c>
      <c r="AB17" s="10">
        <v>51.128013788260844</v>
      </c>
      <c r="AC17" s="20">
        <v>1000000000000000</v>
      </c>
      <c r="AD17" s="20">
        <v>1000000000000000</v>
      </c>
      <c r="AE17" s="20">
        <v>1000000000000000</v>
      </c>
      <c r="AF17" s="20">
        <v>1000000000000000</v>
      </c>
      <c r="AG17" s="20">
        <v>1000000000000000</v>
      </c>
      <c r="AH17" s="20">
        <v>1000000000000000</v>
      </c>
      <c r="AI17" s="20">
        <v>1000000000000000</v>
      </c>
      <c r="AJ17" s="20">
        <v>1000000000000000</v>
      </c>
      <c r="AK17" s="20">
        <v>1000000000000000</v>
      </c>
      <c r="AL17" s="20">
        <v>1000000000000000</v>
      </c>
      <c r="AM17" s="20">
        <v>1000000000000000</v>
      </c>
      <c r="AN17" s="20">
        <v>1000000000000000</v>
      </c>
      <c r="AO17" s="20">
        <v>1000000000000000</v>
      </c>
      <c r="AP17" s="20">
        <v>1000000000000000</v>
      </c>
      <c r="AQ17" s="20">
        <v>1000000000000000</v>
      </c>
      <c r="AR17" s="20">
        <v>1000000000000000</v>
      </c>
      <c r="AS17" s="20">
        <v>1000000000000000</v>
      </c>
      <c r="AT17" s="20">
        <v>1000000000000000</v>
      </c>
      <c r="AU17" s="20">
        <v>1000000000000000</v>
      </c>
      <c r="AV17" s="27">
        <v>1000000000000000</v>
      </c>
      <c r="AX17" s="10">
        <v>2.7231586204347811</v>
      </c>
      <c r="AY17" s="20">
        <v>1000000000000000</v>
      </c>
      <c r="AZ17" s="20">
        <v>1000000000000000</v>
      </c>
      <c r="BA17" s="20">
        <v>1000000000000000</v>
      </c>
      <c r="BB17" s="20">
        <v>1000000000000000</v>
      </c>
      <c r="BC17" s="20">
        <v>1000000000000000</v>
      </c>
      <c r="BD17" s="20">
        <v>1000000000000000</v>
      </c>
      <c r="BE17" s="20">
        <v>1000000000000000</v>
      </c>
      <c r="BF17" s="20">
        <v>1000000000000000</v>
      </c>
      <c r="BG17" s="20">
        <v>1000000000000000</v>
      </c>
      <c r="BH17" s="20">
        <v>1000000000000000</v>
      </c>
      <c r="BI17" s="20">
        <v>1000000000000000</v>
      </c>
      <c r="BJ17" s="20">
        <v>1000000000000000</v>
      </c>
      <c r="BK17" s="20">
        <v>1000000000000000</v>
      </c>
      <c r="BL17" s="20">
        <v>1000000000000000</v>
      </c>
      <c r="BM17" s="20">
        <v>1000000000000000</v>
      </c>
      <c r="BN17" s="20">
        <v>1000000000000000</v>
      </c>
      <c r="BO17" s="20">
        <v>1000000000000000</v>
      </c>
      <c r="BP17" s="20">
        <v>1000000000000000</v>
      </c>
      <c r="BQ17" s="20">
        <v>1000000000000000</v>
      </c>
      <c r="BR17" s="27">
        <v>1000000000000000</v>
      </c>
    </row>
    <row r="18" spans="1:70" x14ac:dyDescent="0.25">
      <c r="A18">
        <v>55.3</v>
      </c>
      <c r="AB18" s="10">
        <v>58.417730043726678</v>
      </c>
      <c r="AC18" s="20">
        <v>1000000000000000</v>
      </c>
      <c r="AD18" s="20">
        <v>1000000000000000</v>
      </c>
      <c r="AE18" s="20">
        <v>1000000000000000</v>
      </c>
      <c r="AF18" s="20">
        <v>1000000000000000</v>
      </c>
      <c r="AG18" s="20">
        <v>1000000000000000</v>
      </c>
      <c r="AH18" s="20">
        <v>1000000000000000</v>
      </c>
      <c r="AI18" s="20">
        <v>1000000000000000</v>
      </c>
      <c r="AJ18" s="20">
        <v>1000000000000000</v>
      </c>
      <c r="AK18" s="20">
        <v>1000000000000000</v>
      </c>
      <c r="AL18" s="20">
        <v>1000000000000000</v>
      </c>
      <c r="AM18" s="20">
        <v>1000000000000000</v>
      </c>
      <c r="AN18" s="20">
        <v>1000000000000000</v>
      </c>
      <c r="AO18" s="20">
        <v>1000000000000000</v>
      </c>
      <c r="AP18" s="20">
        <v>1000000000000000</v>
      </c>
      <c r="AQ18" s="20">
        <v>1000000000000000</v>
      </c>
      <c r="AR18" s="20">
        <v>1000000000000000</v>
      </c>
      <c r="AS18" s="20">
        <v>1000000000000000</v>
      </c>
      <c r="AT18" s="20">
        <v>1000000000000000</v>
      </c>
      <c r="AU18" s="20">
        <v>1000000000000000</v>
      </c>
      <c r="AV18" s="27">
        <v>1000000000000000</v>
      </c>
      <c r="AX18" s="10">
        <v>3.1120384233540355</v>
      </c>
      <c r="AY18" s="20">
        <v>1000000000000000</v>
      </c>
      <c r="AZ18" s="20">
        <v>1000000000000000</v>
      </c>
      <c r="BA18" s="20">
        <v>1000000000000000</v>
      </c>
      <c r="BB18" s="20">
        <v>1000000000000000</v>
      </c>
      <c r="BC18" s="20">
        <v>1000000000000000</v>
      </c>
      <c r="BD18" s="20">
        <v>1000000000000000</v>
      </c>
      <c r="BE18" s="20">
        <v>1000000000000000</v>
      </c>
      <c r="BF18" s="20">
        <v>1000000000000000</v>
      </c>
      <c r="BG18" s="20">
        <v>1000000000000000</v>
      </c>
      <c r="BH18" s="20">
        <v>1000000000000000</v>
      </c>
      <c r="BI18" s="20">
        <v>1000000000000000</v>
      </c>
      <c r="BJ18" s="20">
        <v>1000000000000000</v>
      </c>
      <c r="BK18" s="20">
        <v>1000000000000000</v>
      </c>
      <c r="BL18" s="20">
        <v>1000000000000000</v>
      </c>
      <c r="BM18" s="20">
        <v>1000000000000000</v>
      </c>
      <c r="BN18" s="20">
        <v>1000000000000000</v>
      </c>
      <c r="BO18" s="20">
        <v>1000000000000000</v>
      </c>
      <c r="BP18" s="20">
        <v>1000000000000000</v>
      </c>
      <c r="BQ18" s="20">
        <v>1000000000000000</v>
      </c>
      <c r="BR18" s="27">
        <v>1000000000000000</v>
      </c>
    </row>
    <row r="19" spans="1:70" x14ac:dyDescent="0.25">
      <c r="A19">
        <v>54.8</v>
      </c>
      <c r="AB19" s="10">
        <v>65.707446299192512</v>
      </c>
      <c r="AC19" s="20">
        <v>1000000000000000</v>
      </c>
      <c r="AD19" s="20">
        <v>1000000000000000</v>
      </c>
      <c r="AE19" s="20">
        <v>1000000000000000</v>
      </c>
      <c r="AF19" s="20">
        <v>1000000000000000</v>
      </c>
      <c r="AG19" s="20">
        <v>1000000000000000</v>
      </c>
      <c r="AH19" s="20">
        <v>1000000000000000</v>
      </c>
      <c r="AI19" s="20">
        <v>1000000000000000</v>
      </c>
      <c r="AJ19" s="20">
        <v>1000000000000000</v>
      </c>
      <c r="AK19" s="20">
        <v>1000000000000000</v>
      </c>
      <c r="AL19" s="20">
        <v>1000000000000000</v>
      </c>
      <c r="AM19" s="20">
        <v>1000000000000000</v>
      </c>
      <c r="AN19" s="20">
        <v>1000000000000000</v>
      </c>
      <c r="AO19" s="20">
        <v>1000000000000000</v>
      </c>
      <c r="AP19" s="20">
        <v>1000000000000000</v>
      </c>
      <c r="AQ19" s="20">
        <v>1000000000000000</v>
      </c>
      <c r="AR19" s="20">
        <v>1000000000000000</v>
      </c>
      <c r="AS19" s="20">
        <v>1000000000000000</v>
      </c>
      <c r="AT19" s="20">
        <v>1000000000000000</v>
      </c>
      <c r="AU19" s="20">
        <v>1000000000000000</v>
      </c>
      <c r="AV19" s="27">
        <v>1000000000000000</v>
      </c>
      <c r="AX19" s="10">
        <v>3.5009182262732899</v>
      </c>
      <c r="AY19" s="20">
        <v>1000000000000000</v>
      </c>
      <c r="AZ19" s="20">
        <v>1000000000000000</v>
      </c>
      <c r="BA19" s="20">
        <v>1000000000000000</v>
      </c>
      <c r="BB19" s="20">
        <v>1000000000000000</v>
      </c>
      <c r="BC19" s="20">
        <v>1000000000000000</v>
      </c>
      <c r="BD19" s="20">
        <v>1000000000000000</v>
      </c>
      <c r="BE19" s="20">
        <v>1000000000000000</v>
      </c>
      <c r="BF19" s="20">
        <v>1000000000000000</v>
      </c>
      <c r="BG19" s="20">
        <v>1000000000000000</v>
      </c>
      <c r="BH19" s="20">
        <v>1000000000000000</v>
      </c>
      <c r="BI19" s="20">
        <v>1000000000000000</v>
      </c>
      <c r="BJ19" s="20">
        <v>1000000000000000</v>
      </c>
      <c r="BK19" s="20">
        <v>1000000000000000</v>
      </c>
      <c r="BL19" s="20">
        <v>1000000000000000</v>
      </c>
      <c r="BM19" s="20">
        <v>1000000000000000</v>
      </c>
      <c r="BN19" s="20">
        <v>1000000000000000</v>
      </c>
      <c r="BO19" s="20">
        <v>1000000000000000</v>
      </c>
      <c r="BP19" s="20">
        <v>1000000000000000</v>
      </c>
      <c r="BQ19" s="20">
        <v>1000000000000000</v>
      </c>
      <c r="BR19" s="27">
        <v>1000000000000000</v>
      </c>
    </row>
    <row r="20" spans="1:70" x14ac:dyDescent="0.25">
      <c r="A20">
        <v>77.8</v>
      </c>
      <c r="AB20" s="10">
        <v>72.997162554658345</v>
      </c>
      <c r="AC20" s="20">
        <v>1000000000000000</v>
      </c>
      <c r="AD20" s="20">
        <v>1000000000000000</v>
      </c>
      <c r="AE20" s="20">
        <v>1000000000000000</v>
      </c>
      <c r="AF20" s="20">
        <v>1000000000000000</v>
      </c>
      <c r="AG20" s="20">
        <v>1000000000000000</v>
      </c>
      <c r="AH20" s="20">
        <v>1000000000000000</v>
      </c>
      <c r="AI20" s="20">
        <v>1000000000000000</v>
      </c>
      <c r="AJ20" s="20">
        <v>1000000000000000</v>
      </c>
      <c r="AK20" s="20">
        <v>1000000000000000</v>
      </c>
      <c r="AL20" s="20">
        <v>1000000000000000</v>
      </c>
      <c r="AM20" s="20">
        <v>1000000000000000</v>
      </c>
      <c r="AN20" s="20">
        <v>1000000000000000</v>
      </c>
      <c r="AO20" s="20">
        <v>1000000000000000</v>
      </c>
      <c r="AP20" s="20">
        <v>1000000000000000</v>
      </c>
      <c r="AQ20" s="20">
        <v>1000000000000000</v>
      </c>
      <c r="AR20" s="20">
        <v>1000000000000000</v>
      </c>
      <c r="AS20" s="20">
        <v>1000000000000000</v>
      </c>
      <c r="AT20" s="20">
        <v>1000000000000000</v>
      </c>
      <c r="AU20" s="20">
        <v>1000000000000000</v>
      </c>
      <c r="AV20" s="27">
        <v>1000000000000000</v>
      </c>
      <c r="AX20" s="10">
        <v>3.8897980291925442</v>
      </c>
      <c r="AY20" s="20">
        <v>1000000000000000</v>
      </c>
      <c r="AZ20" s="20">
        <v>1000000000000000</v>
      </c>
      <c r="BA20" s="20">
        <v>1000000000000000</v>
      </c>
      <c r="BB20" s="20">
        <v>1000000000000000</v>
      </c>
      <c r="BC20" s="20">
        <v>1000000000000000</v>
      </c>
      <c r="BD20" s="20">
        <v>1000000000000000</v>
      </c>
      <c r="BE20" s="20">
        <v>1000000000000000</v>
      </c>
      <c r="BF20" s="20">
        <v>1000000000000000</v>
      </c>
      <c r="BG20" s="20">
        <v>1000000000000000</v>
      </c>
      <c r="BH20" s="20">
        <v>1000000000000000</v>
      </c>
      <c r="BI20" s="20">
        <v>1000000000000000</v>
      </c>
      <c r="BJ20" s="20">
        <v>1000000000000000</v>
      </c>
      <c r="BK20" s="20">
        <v>1000000000000000</v>
      </c>
      <c r="BL20" s="20">
        <v>1000000000000000</v>
      </c>
      <c r="BM20" s="20">
        <v>1000000000000000</v>
      </c>
      <c r="BN20" s="20">
        <v>1000000000000000</v>
      </c>
      <c r="BO20" s="20">
        <v>1000000000000000</v>
      </c>
      <c r="BP20" s="20">
        <v>1000000000000000</v>
      </c>
      <c r="BQ20" s="20">
        <v>1000000000000000</v>
      </c>
      <c r="BR20" s="27">
        <v>1000000000000000</v>
      </c>
    </row>
    <row r="21" spans="1:70" x14ac:dyDescent="0.25">
      <c r="A21">
        <v>77.5</v>
      </c>
      <c r="AB21" s="10">
        <v>80.286878810124179</v>
      </c>
      <c r="AC21" s="20">
        <v>1000000000000000</v>
      </c>
      <c r="AD21" s="20">
        <v>1000000000000000</v>
      </c>
      <c r="AE21" s="20">
        <v>1000000000000000</v>
      </c>
      <c r="AF21" s="20">
        <v>1000000000000000</v>
      </c>
      <c r="AG21" s="20">
        <v>1000000000000000</v>
      </c>
      <c r="AH21" s="20">
        <v>1000000000000000</v>
      </c>
      <c r="AI21" s="20">
        <v>1000000000000000</v>
      </c>
      <c r="AJ21" s="20">
        <v>1000000000000000</v>
      </c>
      <c r="AK21" s="20">
        <v>1000000000000000</v>
      </c>
      <c r="AL21" s="20">
        <v>1000000000000000</v>
      </c>
      <c r="AM21" s="20">
        <v>1000000000000000</v>
      </c>
      <c r="AN21" s="20">
        <v>1000000000000000</v>
      </c>
      <c r="AO21" s="20">
        <v>1000000000000000</v>
      </c>
      <c r="AP21" s="20">
        <v>1000000000000000</v>
      </c>
      <c r="AQ21" s="20">
        <v>1000000000000000</v>
      </c>
      <c r="AR21" s="20">
        <v>1000000000000000</v>
      </c>
      <c r="AS21" s="20">
        <v>1000000000000000</v>
      </c>
      <c r="AT21" s="20">
        <v>1000000000000000</v>
      </c>
      <c r="AU21" s="20">
        <v>1000000000000000</v>
      </c>
      <c r="AV21" s="27">
        <v>1000000000000000</v>
      </c>
      <c r="AX21" s="10">
        <v>4.2786778321117991</v>
      </c>
      <c r="AY21" s="20">
        <v>1000000000000000</v>
      </c>
      <c r="AZ21" s="20">
        <v>1000000000000000</v>
      </c>
      <c r="BA21" s="20">
        <v>1000000000000000</v>
      </c>
      <c r="BB21" s="20">
        <v>1000000000000000</v>
      </c>
      <c r="BC21" s="20">
        <v>1000000000000000</v>
      </c>
      <c r="BD21" s="20">
        <v>1000000000000000</v>
      </c>
      <c r="BE21" s="20">
        <v>1000000000000000</v>
      </c>
      <c r="BF21" s="20">
        <v>1000000000000000</v>
      </c>
      <c r="BG21" s="20">
        <v>1000000000000000</v>
      </c>
      <c r="BH21" s="20">
        <v>1000000000000000</v>
      </c>
      <c r="BI21" s="20">
        <v>1000000000000000</v>
      </c>
      <c r="BJ21" s="20">
        <v>1000000000000000</v>
      </c>
      <c r="BK21" s="20">
        <v>1000000000000000</v>
      </c>
      <c r="BL21" s="20">
        <v>1000000000000000</v>
      </c>
      <c r="BM21" s="20">
        <v>1000000000000000</v>
      </c>
      <c r="BN21" s="20">
        <v>1000000000000000</v>
      </c>
      <c r="BO21" s="20">
        <v>1000000000000000</v>
      </c>
      <c r="BP21" s="20">
        <v>1000000000000000</v>
      </c>
      <c r="BQ21" s="20">
        <v>1000000000000000</v>
      </c>
      <c r="BR21" s="27">
        <v>1000000000000000</v>
      </c>
    </row>
    <row r="22" spans="1:70" x14ac:dyDescent="0.25">
      <c r="A22">
        <v>77.2</v>
      </c>
      <c r="AB22" s="10">
        <v>87.576595065590013</v>
      </c>
      <c r="AC22" s="20">
        <v>1000000000000000</v>
      </c>
      <c r="AD22" s="20">
        <v>1000000000000000</v>
      </c>
      <c r="AE22" s="20">
        <v>1000000000000000</v>
      </c>
      <c r="AF22" s="20">
        <v>1000000000000000</v>
      </c>
      <c r="AG22" s="20">
        <v>1000000000000000</v>
      </c>
      <c r="AH22" s="20">
        <v>1000000000000000</v>
      </c>
      <c r="AI22" s="20">
        <v>1000000000000000</v>
      </c>
      <c r="AJ22" s="20">
        <v>1000000000000000</v>
      </c>
      <c r="AK22" s="20">
        <v>1000000000000000</v>
      </c>
      <c r="AL22" s="20">
        <v>1000000000000000</v>
      </c>
      <c r="AM22" s="20">
        <v>1000000000000000</v>
      </c>
      <c r="AN22" s="20">
        <v>1000000000000000</v>
      </c>
      <c r="AO22" s="20">
        <v>1000000000000000</v>
      </c>
      <c r="AP22" s="20">
        <v>1000000000000000</v>
      </c>
      <c r="AQ22" s="20">
        <v>1000000000000000</v>
      </c>
      <c r="AR22" s="20">
        <v>1000000000000000</v>
      </c>
      <c r="AS22" s="20">
        <v>1000000000000000</v>
      </c>
      <c r="AT22" s="20">
        <v>1000000000000000</v>
      </c>
      <c r="AU22" s="20">
        <v>1000000000000000</v>
      </c>
      <c r="AV22" s="27">
        <v>1000000000000000</v>
      </c>
      <c r="AX22" s="10">
        <v>4.6675576350310539</v>
      </c>
      <c r="AY22" s="20">
        <v>1000000000000000</v>
      </c>
      <c r="AZ22" s="20">
        <v>1000000000000000</v>
      </c>
      <c r="BA22" s="20">
        <v>1000000000000000</v>
      </c>
      <c r="BB22" s="20">
        <v>1000000000000000</v>
      </c>
      <c r="BC22" s="20">
        <v>1000000000000000</v>
      </c>
      <c r="BD22" s="20">
        <v>1000000000000000</v>
      </c>
      <c r="BE22" s="20">
        <v>1000000000000000</v>
      </c>
      <c r="BF22" s="20">
        <v>1000000000000000</v>
      </c>
      <c r="BG22" s="20">
        <v>1000000000000000</v>
      </c>
      <c r="BH22" s="20">
        <v>1000000000000000</v>
      </c>
      <c r="BI22" s="20">
        <v>1000000000000000</v>
      </c>
      <c r="BJ22" s="20">
        <v>1000000000000000</v>
      </c>
      <c r="BK22" s="20">
        <v>1000000000000000</v>
      </c>
      <c r="BL22" s="20">
        <v>1000000000000000</v>
      </c>
      <c r="BM22" s="20">
        <v>1000000000000000</v>
      </c>
      <c r="BN22" s="20">
        <v>1000000000000000</v>
      </c>
      <c r="BO22" s="20">
        <v>1000000000000000</v>
      </c>
      <c r="BP22" s="20">
        <v>1000000000000000</v>
      </c>
      <c r="BQ22" s="20">
        <v>1000000000000000</v>
      </c>
      <c r="BR22" s="27">
        <v>1000000000000000</v>
      </c>
    </row>
    <row r="23" spans="1:70" x14ac:dyDescent="0.25">
      <c r="A23">
        <v>76.900000000000006</v>
      </c>
      <c r="AB23" s="10">
        <v>94.866311321055846</v>
      </c>
      <c r="AC23" s="20">
        <v>1000000000000000</v>
      </c>
      <c r="AD23" s="20">
        <v>1000000000000000</v>
      </c>
      <c r="AE23" s="20">
        <v>1000000000000000</v>
      </c>
      <c r="AF23" s="20">
        <v>1000000000000000</v>
      </c>
      <c r="AG23" s="20">
        <v>1000000000000000</v>
      </c>
      <c r="AH23" s="20">
        <v>1000000000000000</v>
      </c>
      <c r="AI23" s="20">
        <v>1000000000000000</v>
      </c>
      <c r="AJ23" s="20">
        <v>1000000000000000</v>
      </c>
      <c r="AK23" s="20">
        <v>1000000000000000</v>
      </c>
      <c r="AL23" s="20">
        <v>1000000000000000</v>
      </c>
      <c r="AM23" s="20">
        <v>1000000000000000</v>
      </c>
      <c r="AN23" s="20">
        <v>1000000000000000</v>
      </c>
      <c r="AO23" s="20">
        <v>1000000000000000</v>
      </c>
      <c r="AP23" s="20">
        <v>1000000000000000</v>
      </c>
      <c r="AQ23" s="20">
        <v>1000000000000000</v>
      </c>
      <c r="AR23" s="20">
        <v>1000000000000000</v>
      </c>
      <c r="AS23" s="20">
        <v>1000000000000000</v>
      </c>
      <c r="AT23" s="20">
        <v>1000000000000000</v>
      </c>
      <c r="AU23" s="20">
        <v>1000000000000000</v>
      </c>
      <c r="AV23" s="27">
        <v>1000000000000000</v>
      </c>
      <c r="AX23" s="10">
        <v>5.0564374379503088</v>
      </c>
      <c r="AY23" s="20">
        <v>1000000000000000</v>
      </c>
      <c r="AZ23" s="20">
        <v>1000000000000000</v>
      </c>
      <c r="BA23" s="20">
        <v>1000000000000000</v>
      </c>
      <c r="BB23" s="20">
        <v>1000000000000000</v>
      </c>
      <c r="BC23" s="20">
        <v>1000000000000000</v>
      </c>
      <c r="BD23" s="20">
        <v>1000000000000000</v>
      </c>
      <c r="BE23" s="20">
        <v>1000000000000000</v>
      </c>
      <c r="BF23" s="20">
        <v>1000000000000000</v>
      </c>
      <c r="BG23" s="20">
        <v>1000000000000000</v>
      </c>
      <c r="BH23" s="20">
        <v>1000000000000000</v>
      </c>
      <c r="BI23" s="20">
        <v>1000000000000000</v>
      </c>
      <c r="BJ23" s="20">
        <v>1000000000000000</v>
      </c>
      <c r="BK23" s="20">
        <v>1000000000000000</v>
      </c>
      <c r="BL23" s="20">
        <v>1000000000000000</v>
      </c>
      <c r="BM23" s="20">
        <v>1000000000000000</v>
      </c>
      <c r="BN23" s="20">
        <v>1000000000000000</v>
      </c>
      <c r="BO23" s="20">
        <v>1000000000000000</v>
      </c>
      <c r="BP23" s="20">
        <v>1000000000000000</v>
      </c>
      <c r="BQ23" s="20">
        <v>1000000000000000</v>
      </c>
      <c r="BR23" s="27">
        <v>1000000000000000</v>
      </c>
    </row>
    <row r="24" spans="1:70" x14ac:dyDescent="0.25">
      <c r="A24">
        <v>76.599999999999994</v>
      </c>
      <c r="AB24" s="10">
        <v>102.15602757652168</v>
      </c>
      <c r="AC24" s="20">
        <v>1000000000000000</v>
      </c>
      <c r="AD24" s="20">
        <v>1000000000000000</v>
      </c>
      <c r="AE24" s="20">
        <v>1000000000000000</v>
      </c>
      <c r="AF24" s="20">
        <v>1000000000000000</v>
      </c>
      <c r="AG24" s="20">
        <v>1000000000000000</v>
      </c>
      <c r="AH24" s="20">
        <v>1000000000000000</v>
      </c>
      <c r="AI24" s="20">
        <v>1000000000000000</v>
      </c>
      <c r="AJ24" s="20">
        <v>1000000000000000</v>
      </c>
      <c r="AK24" s="20">
        <v>1000000000000000</v>
      </c>
      <c r="AL24" s="20">
        <v>1000000000000000</v>
      </c>
      <c r="AM24" s="20">
        <v>1000000000000000</v>
      </c>
      <c r="AN24" s="20">
        <v>1000000000000000</v>
      </c>
      <c r="AO24" s="20">
        <v>1000000000000000</v>
      </c>
      <c r="AP24" s="20">
        <v>1000000000000000</v>
      </c>
      <c r="AQ24" s="20">
        <v>1000000000000000</v>
      </c>
      <c r="AR24" s="20">
        <v>1000000000000000</v>
      </c>
      <c r="AS24" s="20">
        <v>1000000000000000</v>
      </c>
      <c r="AT24" s="20">
        <v>1000000000000000</v>
      </c>
      <c r="AU24" s="20">
        <v>1000000000000000</v>
      </c>
      <c r="AV24" s="27">
        <v>1000000000000000</v>
      </c>
      <c r="AX24" s="10">
        <v>5.4453172408695636</v>
      </c>
      <c r="AY24" s="20">
        <v>1000000000000000</v>
      </c>
      <c r="AZ24" s="20">
        <v>1000000000000000</v>
      </c>
      <c r="BA24" s="20">
        <v>1000000000000000</v>
      </c>
      <c r="BB24" s="20">
        <v>1000000000000000</v>
      </c>
      <c r="BC24" s="20">
        <v>1000000000000000</v>
      </c>
      <c r="BD24" s="20">
        <v>1000000000000000</v>
      </c>
      <c r="BE24" s="20">
        <v>1000000000000000</v>
      </c>
      <c r="BF24" s="20">
        <v>1000000000000000</v>
      </c>
      <c r="BG24" s="20">
        <v>1000000000000000</v>
      </c>
      <c r="BH24" s="20">
        <v>1000000000000000</v>
      </c>
      <c r="BI24" s="20">
        <v>1000000000000000</v>
      </c>
      <c r="BJ24" s="20">
        <v>1000000000000000</v>
      </c>
      <c r="BK24" s="20">
        <v>1000000000000000</v>
      </c>
      <c r="BL24" s="20">
        <v>1000000000000000</v>
      </c>
      <c r="BM24" s="20">
        <v>1000000000000000</v>
      </c>
      <c r="BN24" s="20">
        <v>1000000000000000</v>
      </c>
      <c r="BO24" s="20">
        <v>1000000000000000</v>
      </c>
      <c r="BP24" s="20">
        <v>1000000000000000</v>
      </c>
      <c r="BQ24" s="20">
        <v>1000000000000000</v>
      </c>
      <c r="BR24" s="27">
        <v>1000000000000000</v>
      </c>
    </row>
    <row r="25" spans="1:70" x14ac:dyDescent="0.25">
      <c r="A25">
        <v>76.2</v>
      </c>
      <c r="AB25" s="10">
        <v>109.44574383198751</v>
      </c>
      <c r="AC25" s="20">
        <v>1000000000000000</v>
      </c>
      <c r="AD25" s="20">
        <v>1000000000000000</v>
      </c>
      <c r="AE25" s="20">
        <v>1000000000000000</v>
      </c>
      <c r="AF25" s="20">
        <v>1000000000000000</v>
      </c>
      <c r="AG25" s="20">
        <v>1000000000000000</v>
      </c>
      <c r="AH25" s="20">
        <v>1000000000000000</v>
      </c>
      <c r="AI25" s="20">
        <v>1000000000000000</v>
      </c>
      <c r="AJ25" s="20">
        <v>1000000000000000</v>
      </c>
      <c r="AK25" s="20">
        <v>1000000000000000</v>
      </c>
      <c r="AL25" s="20">
        <v>1000000000000000</v>
      </c>
      <c r="AM25" s="20">
        <v>1000000000000000</v>
      </c>
      <c r="AN25" s="20">
        <v>1000000000000000</v>
      </c>
      <c r="AO25" s="20">
        <v>1000000000000000</v>
      </c>
      <c r="AP25" s="20">
        <v>1000000000000000</v>
      </c>
      <c r="AQ25" s="20">
        <v>1000000000000000</v>
      </c>
      <c r="AR25" s="20">
        <v>1000000000000000</v>
      </c>
      <c r="AS25" s="20">
        <v>1000000000000000</v>
      </c>
      <c r="AT25" s="20">
        <v>1000000000000000</v>
      </c>
      <c r="AU25" s="20">
        <v>1000000000000000</v>
      </c>
      <c r="AV25" s="27">
        <v>1000000000000000</v>
      </c>
      <c r="AX25" s="10">
        <v>5.8341970437888184</v>
      </c>
      <c r="AY25" s="20">
        <v>1000000000000000</v>
      </c>
      <c r="AZ25" s="20">
        <v>1000000000000000</v>
      </c>
      <c r="BA25" s="20">
        <v>1000000000000000</v>
      </c>
      <c r="BB25" s="20">
        <v>1000000000000000</v>
      </c>
      <c r="BC25" s="20">
        <v>1000000000000000</v>
      </c>
      <c r="BD25" s="20">
        <v>1000000000000000</v>
      </c>
      <c r="BE25" s="20">
        <v>1000000000000000</v>
      </c>
      <c r="BF25" s="20">
        <v>1000000000000000</v>
      </c>
      <c r="BG25" s="20">
        <v>1000000000000000</v>
      </c>
      <c r="BH25" s="20">
        <v>1000000000000000</v>
      </c>
      <c r="BI25" s="20">
        <v>1000000000000000</v>
      </c>
      <c r="BJ25" s="20">
        <v>1000000000000000</v>
      </c>
      <c r="BK25" s="20">
        <v>1000000000000000</v>
      </c>
      <c r="BL25" s="20">
        <v>1000000000000000</v>
      </c>
      <c r="BM25" s="20">
        <v>1000000000000000</v>
      </c>
      <c r="BN25" s="20">
        <v>1000000000000000</v>
      </c>
      <c r="BO25" s="20">
        <v>1000000000000000</v>
      </c>
      <c r="BP25" s="20">
        <v>1000000000000000</v>
      </c>
      <c r="BQ25" s="20">
        <v>1000000000000000</v>
      </c>
      <c r="BR25" s="27">
        <v>1000000000000000</v>
      </c>
    </row>
    <row r="26" spans="1:70" x14ac:dyDescent="0.25">
      <c r="A26">
        <v>76.099999999999994</v>
      </c>
      <c r="AB26" s="10">
        <v>116.73546008745335</v>
      </c>
      <c r="AC26" s="20">
        <v>1000000000000000</v>
      </c>
      <c r="AD26" s="20">
        <v>1000000000000000</v>
      </c>
      <c r="AE26" s="20">
        <v>1000000000000000</v>
      </c>
      <c r="AF26" s="20">
        <v>1000000000000000</v>
      </c>
      <c r="AG26" s="20">
        <v>1000000000000000</v>
      </c>
      <c r="AH26" s="20">
        <v>1000000000000000</v>
      </c>
      <c r="AI26" s="20">
        <v>1000000000000000</v>
      </c>
      <c r="AJ26" s="20">
        <v>1000000000000000</v>
      </c>
      <c r="AK26" s="20">
        <v>1000000000000000</v>
      </c>
      <c r="AL26" s="20">
        <v>1000000000000000</v>
      </c>
      <c r="AM26" s="20">
        <v>1000000000000000</v>
      </c>
      <c r="AN26" s="20">
        <v>1000000000000000</v>
      </c>
      <c r="AO26" s="20">
        <v>1000000000000000</v>
      </c>
      <c r="AP26" s="20">
        <v>1000000000000000</v>
      </c>
      <c r="AQ26" s="20">
        <v>1000000000000000</v>
      </c>
      <c r="AR26" s="20">
        <v>1000000000000000</v>
      </c>
      <c r="AS26" s="20">
        <v>1000000000000000</v>
      </c>
      <c r="AT26" s="20">
        <v>1000000000000000</v>
      </c>
      <c r="AU26" s="20">
        <v>1000000000000000</v>
      </c>
      <c r="AV26" s="27">
        <v>1000000000000000</v>
      </c>
      <c r="AX26" s="10">
        <v>6.2230768467080733</v>
      </c>
      <c r="AY26" s="20">
        <v>1000000000000000</v>
      </c>
      <c r="AZ26" s="20">
        <v>1000000000000000</v>
      </c>
      <c r="BA26" s="20">
        <v>1000000000000000</v>
      </c>
      <c r="BB26" s="20">
        <v>1000000000000000</v>
      </c>
      <c r="BC26" s="20">
        <v>1000000000000000</v>
      </c>
      <c r="BD26" s="20">
        <v>1000000000000000</v>
      </c>
      <c r="BE26" s="20">
        <v>1000000000000000</v>
      </c>
      <c r="BF26" s="20">
        <v>1000000000000000</v>
      </c>
      <c r="BG26" s="20">
        <v>1000000000000000</v>
      </c>
      <c r="BH26" s="20">
        <v>1000000000000000</v>
      </c>
      <c r="BI26" s="20">
        <v>1000000000000000</v>
      </c>
      <c r="BJ26" s="20">
        <v>1000000000000000</v>
      </c>
      <c r="BK26" s="20">
        <v>1000000000000000</v>
      </c>
      <c r="BL26" s="20">
        <v>1000000000000000</v>
      </c>
      <c r="BM26" s="20">
        <v>1000000000000000</v>
      </c>
      <c r="BN26" s="20">
        <v>1000000000000000</v>
      </c>
      <c r="BO26" s="20">
        <v>1000000000000000</v>
      </c>
      <c r="BP26" s="20">
        <v>1000000000000000</v>
      </c>
      <c r="BQ26" s="20">
        <v>1000000000000000</v>
      </c>
      <c r="BR26" s="27">
        <v>1000000000000000</v>
      </c>
    </row>
    <row r="27" spans="1:70" x14ac:dyDescent="0.25">
      <c r="A27">
        <v>75.3</v>
      </c>
      <c r="AB27" s="10">
        <v>124.02517634291918</v>
      </c>
      <c r="AC27" s="20">
        <v>1000000000000000</v>
      </c>
      <c r="AD27" s="20">
        <v>1000000000000000</v>
      </c>
      <c r="AE27" s="20">
        <v>1000000000000000</v>
      </c>
      <c r="AF27" s="20">
        <v>1000000000000000</v>
      </c>
      <c r="AG27" s="20">
        <v>1000000000000000</v>
      </c>
      <c r="AH27" s="20">
        <v>1000000000000000</v>
      </c>
      <c r="AI27" s="20">
        <v>1000000000000000</v>
      </c>
      <c r="AJ27" s="20">
        <v>1000000000000000</v>
      </c>
      <c r="AK27" s="20">
        <v>1000000000000000</v>
      </c>
      <c r="AL27" s="20">
        <v>1000000000000000</v>
      </c>
      <c r="AM27" s="20">
        <v>1000000000000000</v>
      </c>
      <c r="AN27" s="20">
        <v>1000000000000000</v>
      </c>
      <c r="AO27" s="20">
        <v>1000000000000000</v>
      </c>
      <c r="AP27" s="20">
        <v>1000000000000000</v>
      </c>
      <c r="AQ27" s="20">
        <v>1000000000000000</v>
      </c>
      <c r="AR27" s="20">
        <v>1000000000000000</v>
      </c>
      <c r="AS27" s="20">
        <v>1000000000000000</v>
      </c>
      <c r="AT27" s="20">
        <v>1000000000000000</v>
      </c>
      <c r="AU27" s="20">
        <v>1000000000000000</v>
      </c>
      <c r="AV27" s="27">
        <v>1000000000000000</v>
      </c>
      <c r="AX27" s="10">
        <v>6.6119566496273281</v>
      </c>
      <c r="AY27" s="20">
        <v>1000000000000000</v>
      </c>
      <c r="AZ27" s="20">
        <v>1000000000000000</v>
      </c>
      <c r="BA27" s="20">
        <v>1000000000000000</v>
      </c>
      <c r="BB27" s="20">
        <v>1000000000000000</v>
      </c>
      <c r="BC27" s="20">
        <v>1000000000000000</v>
      </c>
      <c r="BD27" s="20">
        <v>1000000000000000</v>
      </c>
      <c r="BE27" s="20">
        <v>1000000000000000</v>
      </c>
      <c r="BF27" s="20">
        <v>1000000000000000</v>
      </c>
      <c r="BG27" s="20">
        <v>1000000000000000</v>
      </c>
      <c r="BH27" s="20">
        <v>1000000000000000</v>
      </c>
      <c r="BI27" s="20">
        <v>1000000000000000</v>
      </c>
      <c r="BJ27" s="20">
        <v>1000000000000000</v>
      </c>
      <c r="BK27" s="20">
        <v>1000000000000000</v>
      </c>
      <c r="BL27" s="20">
        <v>1000000000000000</v>
      </c>
      <c r="BM27" s="20">
        <v>1000000000000000</v>
      </c>
      <c r="BN27" s="20">
        <v>1000000000000000</v>
      </c>
      <c r="BO27" s="20">
        <v>1000000000000000</v>
      </c>
      <c r="BP27" s="20">
        <v>1000000000000000</v>
      </c>
      <c r="BQ27" s="20">
        <v>1000000000000000</v>
      </c>
      <c r="BR27" s="27">
        <v>1000000000000000</v>
      </c>
    </row>
    <row r="28" spans="1:70" x14ac:dyDescent="0.25">
      <c r="A28">
        <v>75.900000000000006</v>
      </c>
      <c r="AB28" s="10">
        <v>131.31489259838503</v>
      </c>
      <c r="AC28" s="20">
        <v>1000000000000000</v>
      </c>
      <c r="AD28" s="20">
        <v>1000000000000000</v>
      </c>
      <c r="AE28" s="20">
        <v>1000000000000000</v>
      </c>
      <c r="AF28" s="20">
        <v>1000000000000000</v>
      </c>
      <c r="AG28" s="20">
        <v>1000000000000000</v>
      </c>
      <c r="AH28" s="20">
        <v>1000000000000000</v>
      </c>
      <c r="AI28" s="20">
        <v>1000000000000000</v>
      </c>
      <c r="AJ28" s="20">
        <v>1000000000000000</v>
      </c>
      <c r="AK28" s="20">
        <v>1000000000000000</v>
      </c>
      <c r="AL28" s="20">
        <v>1000000000000000</v>
      </c>
      <c r="AM28" s="20">
        <v>1000000000000000</v>
      </c>
      <c r="AN28" s="20">
        <v>1000000000000000</v>
      </c>
      <c r="AO28" s="20">
        <v>1000000000000000</v>
      </c>
      <c r="AP28" s="20">
        <v>1000000000000000</v>
      </c>
      <c r="AQ28" s="20">
        <v>1000000000000000</v>
      </c>
      <c r="AR28" s="20">
        <v>1000000000000000</v>
      </c>
      <c r="AS28" s="20">
        <v>1000000000000000</v>
      </c>
      <c r="AT28" s="20">
        <v>1000000000000000</v>
      </c>
      <c r="AU28" s="20">
        <v>1000000000000000</v>
      </c>
      <c r="AV28" s="27">
        <v>1000000000000000</v>
      </c>
      <c r="AX28" s="10">
        <v>7.0008364525465829</v>
      </c>
      <c r="AY28" s="20">
        <v>1000000000000000</v>
      </c>
      <c r="AZ28" s="20">
        <v>1000000000000000</v>
      </c>
      <c r="BA28" s="20">
        <v>1000000000000000</v>
      </c>
      <c r="BB28" s="20">
        <v>1000000000000000</v>
      </c>
      <c r="BC28" s="20">
        <v>1000000000000000</v>
      </c>
      <c r="BD28" s="20">
        <v>1000000000000000</v>
      </c>
      <c r="BE28" s="20">
        <v>1000000000000000</v>
      </c>
      <c r="BF28" s="20">
        <v>1000000000000000</v>
      </c>
      <c r="BG28" s="20">
        <v>1000000000000000</v>
      </c>
      <c r="BH28" s="20">
        <v>1000000000000000</v>
      </c>
      <c r="BI28" s="20">
        <v>1000000000000000</v>
      </c>
      <c r="BJ28" s="20">
        <v>1000000000000000</v>
      </c>
      <c r="BK28" s="20">
        <v>1000000000000000</v>
      </c>
      <c r="BL28" s="20">
        <v>1000000000000000</v>
      </c>
      <c r="BM28" s="20">
        <v>1000000000000000</v>
      </c>
      <c r="BN28" s="20">
        <v>1000000000000000</v>
      </c>
      <c r="BO28" s="20">
        <v>1000000000000000</v>
      </c>
      <c r="BP28" s="20">
        <v>1000000000000000</v>
      </c>
      <c r="BQ28" s="20">
        <v>1000000000000000</v>
      </c>
      <c r="BR28" s="27">
        <v>1000000000000000</v>
      </c>
    </row>
    <row r="29" spans="1:70" x14ac:dyDescent="0.25">
      <c r="A29">
        <v>74.2</v>
      </c>
      <c r="AB29" s="13">
        <v>138.60460885385086</v>
      </c>
      <c r="AC29" s="25">
        <v>1000000000000000</v>
      </c>
      <c r="AD29" s="25">
        <v>1000000000000000</v>
      </c>
      <c r="AE29" s="25">
        <v>1000000000000000</v>
      </c>
      <c r="AF29" s="25">
        <v>1000000000000000</v>
      </c>
      <c r="AG29" s="25">
        <v>1000000000000000</v>
      </c>
      <c r="AH29" s="25">
        <v>1000000000000000</v>
      </c>
      <c r="AI29" s="25">
        <v>1000000000000000</v>
      </c>
      <c r="AJ29" s="25">
        <v>1000000000000000</v>
      </c>
      <c r="AK29" s="25">
        <v>1000000000000000</v>
      </c>
      <c r="AL29" s="25">
        <v>1000000000000000</v>
      </c>
      <c r="AM29" s="25">
        <v>1000000000000000</v>
      </c>
      <c r="AN29" s="25">
        <v>1000000000000000</v>
      </c>
      <c r="AO29" s="25">
        <v>1000000000000000</v>
      </c>
      <c r="AP29" s="25">
        <v>1000000000000000</v>
      </c>
      <c r="AQ29" s="25">
        <v>1000000000000000</v>
      </c>
      <c r="AR29" s="25">
        <v>1000000000000000</v>
      </c>
      <c r="AS29" s="25">
        <v>1000000000000000</v>
      </c>
      <c r="AT29" s="25">
        <v>1000000000000000</v>
      </c>
      <c r="AU29" s="25">
        <v>1000000000000000</v>
      </c>
      <c r="AV29" s="28">
        <v>1000000000000000</v>
      </c>
      <c r="AX29" s="13">
        <v>7.3897162554658378</v>
      </c>
      <c r="AY29" s="25">
        <v>1000000000000000</v>
      </c>
      <c r="AZ29" s="25">
        <v>1000000000000000</v>
      </c>
      <c r="BA29" s="25">
        <v>1000000000000000</v>
      </c>
      <c r="BB29" s="25">
        <v>1000000000000000</v>
      </c>
      <c r="BC29" s="25">
        <v>1000000000000000</v>
      </c>
      <c r="BD29" s="25">
        <v>1000000000000000</v>
      </c>
      <c r="BE29" s="25">
        <v>1000000000000000</v>
      </c>
      <c r="BF29" s="25">
        <v>1000000000000000</v>
      </c>
      <c r="BG29" s="25">
        <v>1000000000000000</v>
      </c>
      <c r="BH29" s="25">
        <v>1000000000000000</v>
      </c>
      <c r="BI29" s="25">
        <v>1000000000000000</v>
      </c>
      <c r="BJ29" s="25">
        <v>1000000000000000</v>
      </c>
      <c r="BK29" s="25">
        <v>1000000000000000</v>
      </c>
      <c r="BL29" s="25">
        <v>1000000000000000</v>
      </c>
      <c r="BM29" s="25">
        <v>1000000000000000</v>
      </c>
      <c r="BN29" s="25">
        <v>1000000000000000</v>
      </c>
      <c r="BO29" s="25">
        <v>1000000000000000</v>
      </c>
      <c r="BP29" s="25">
        <v>1000000000000000</v>
      </c>
      <c r="BQ29" s="25">
        <v>1000000000000000</v>
      </c>
      <c r="BR29" s="28">
        <v>1000000000000000</v>
      </c>
    </row>
    <row r="30" spans="1:70" x14ac:dyDescent="0.25">
      <c r="A30">
        <v>73.5</v>
      </c>
    </row>
    <row r="31" spans="1:70" x14ac:dyDescent="0.25">
      <c r="A31">
        <v>73</v>
      </c>
    </row>
    <row r="32" spans="1:70" x14ac:dyDescent="0.25">
      <c r="A32">
        <v>72.8</v>
      </c>
    </row>
    <row r="33" spans="1:1" x14ac:dyDescent="0.25">
      <c r="A33">
        <v>73.3</v>
      </c>
    </row>
    <row r="34" spans="1:1" x14ac:dyDescent="0.25">
      <c r="A34">
        <v>73.599999999999994</v>
      </c>
    </row>
    <row r="35" spans="1:1" x14ac:dyDescent="0.25">
      <c r="A35">
        <v>72.599999999999994</v>
      </c>
    </row>
    <row r="36" spans="1:1" x14ac:dyDescent="0.25">
      <c r="A36">
        <v>75.400000000000006</v>
      </c>
    </row>
    <row r="37" spans="1:1" x14ac:dyDescent="0.25">
      <c r="A37">
        <v>75.3</v>
      </c>
    </row>
    <row r="38" spans="1:1" x14ac:dyDescent="0.25">
      <c r="A38">
        <v>75.099999999999994</v>
      </c>
    </row>
    <row r="39" spans="1:1" x14ac:dyDescent="0.25">
      <c r="A39">
        <v>74.900000000000006</v>
      </c>
    </row>
    <row r="40" spans="1:1" x14ac:dyDescent="0.25">
      <c r="A40">
        <v>74.7</v>
      </c>
    </row>
    <row r="41" spans="1:1" x14ac:dyDescent="0.25">
      <c r="A41">
        <v>74.400000000000006</v>
      </c>
    </row>
    <row r="42" spans="1:1" x14ac:dyDescent="0.25">
      <c r="A42">
        <v>74.099999999999994</v>
      </c>
    </row>
    <row r="43" spans="1:1" x14ac:dyDescent="0.25">
      <c r="A43">
        <v>73.8</v>
      </c>
    </row>
    <row r="44" spans="1:1" x14ac:dyDescent="0.25">
      <c r="A44">
        <v>73.400000000000006</v>
      </c>
    </row>
    <row r="45" spans="1:1" x14ac:dyDescent="0.25">
      <c r="A45">
        <v>72.900000000000006</v>
      </c>
    </row>
    <row r="46" spans="1:1" x14ac:dyDescent="0.25">
      <c r="A46">
        <v>72.3</v>
      </c>
    </row>
    <row r="47" spans="1:1" x14ac:dyDescent="0.25">
      <c r="A47">
        <v>51.7</v>
      </c>
    </row>
    <row r="48" spans="1:1" x14ac:dyDescent="0.25">
      <c r="A48">
        <v>51.1</v>
      </c>
    </row>
    <row r="49" spans="1:1" x14ac:dyDescent="0.25">
      <c r="A49">
        <v>56</v>
      </c>
    </row>
    <row r="50" spans="1:1" x14ac:dyDescent="0.25">
      <c r="A50">
        <v>51</v>
      </c>
    </row>
    <row r="51" spans="1:1" x14ac:dyDescent="0.25">
      <c r="A51">
        <v>49.6</v>
      </c>
    </row>
    <row r="52" spans="1:1" x14ac:dyDescent="0.25">
      <c r="A52">
        <v>49.1</v>
      </c>
    </row>
    <row r="53" spans="1:1" x14ac:dyDescent="0.25">
      <c r="A53">
        <v>48.7</v>
      </c>
    </row>
    <row r="54" spans="1:1" x14ac:dyDescent="0.25">
      <c r="A54">
        <v>48.2</v>
      </c>
    </row>
    <row r="55" spans="1:1" x14ac:dyDescent="0.25">
      <c r="A55">
        <v>76.2</v>
      </c>
    </row>
    <row r="56" spans="1:1" x14ac:dyDescent="0.25">
      <c r="A56">
        <v>76</v>
      </c>
    </row>
    <row r="57" spans="1:1" x14ac:dyDescent="0.25">
      <c r="A57">
        <v>75.900000000000006</v>
      </c>
    </row>
    <row r="58" spans="1:1" x14ac:dyDescent="0.25">
      <c r="A58">
        <v>75.7</v>
      </c>
    </row>
    <row r="59" spans="1:1" x14ac:dyDescent="0.25">
      <c r="A59">
        <v>75.5</v>
      </c>
    </row>
    <row r="60" spans="1:1" x14ac:dyDescent="0.25">
      <c r="A60">
        <v>75.599999999999994</v>
      </c>
    </row>
    <row r="61" spans="1:1" x14ac:dyDescent="0.25">
      <c r="A61">
        <v>75.400000000000006</v>
      </c>
    </row>
    <row r="62" spans="1:1" x14ac:dyDescent="0.25">
      <c r="A62">
        <v>74.8</v>
      </c>
    </row>
    <row r="63" spans="1:1" x14ac:dyDescent="0.25">
      <c r="A63">
        <v>75.2</v>
      </c>
    </row>
    <row r="64" spans="1:1" x14ac:dyDescent="0.25">
      <c r="A64">
        <v>74.900000000000006</v>
      </c>
    </row>
    <row r="65" spans="1:1" x14ac:dyDescent="0.25">
      <c r="A65">
        <v>74.7</v>
      </c>
    </row>
    <row r="66" spans="1:1" x14ac:dyDescent="0.25">
      <c r="A66">
        <v>74.099999999999994</v>
      </c>
    </row>
    <row r="67" spans="1:1" x14ac:dyDescent="0.25">
      <c r="A67">
        <v>74.099999999999994</v>
      </c>
    </row>
    <row r="68" spans="1:1" x14ac:dyDescent="0.25">
      <c r="A68">
        <v>74.599999999999994</v>
      </c>
    </row>
    <row r="69" spans="1:1" x14ac:dyDescent="0.25">
      <c r="A69">
        <v>74.400000000000006</v>
      </c>
    </row>
    <row r="70" spans="1:1" x14ac:dyDescent="0.25">
      <c r="A70">
        <v>74.400000000000006</v>
      </c>
    </row>
    <row r="71" spans="1:1" x14ac:dyDescent="0.25">
      <c r="A71">
        <v>73.900000000000006</v>
      </c>
    </row>
    <row r="72" spans="1:1" x14ac:dyDescent="0.25">
      <c r="A72">
        <v>73.5</v>
      </c>
    </row>
    <row r="73" spans="1:1" x14ac:dyDescent="0.25">
      <c r="A73">
        <v>73.3</v>
      </c>
    </row>
    <row r="74" spans="1:1" x14ac:dyDescent="0.25">
      <c r="A74">
        <v>73.2</v>
      </c>
    </row>
    <row r="75" spans="1:1" x14ac:dyDescent="0.25">
      <c r="A75">
        <v>73.5</v>
      </c>
    </row>
    <row r="76" spans="1:1" x14ac:dyDescent="0.25">
      <c r="A76">
        <v>72.900000000000006</v>
      </c>
    </row>
    <row r="77" spans="1:1" x14ac:dyDescent="0.25">
      <c r="A77">
        <v>73</v>
      </c>
    </row>
    <row r="78" spans="1:1" x14ac:dyDescent="0.25">
      <c r="A78">
        <v>73</v>
      </c>
    </row>
    <row r="79" spans="1:1" x14ac:dyDescent="0.25">
      <c r="A79">
        <v>72.7</v>
      </c>
    </row>
    <row r="80" spans="1:1" x14ac:dyDescent="0.25">
      <c r="A80">
        <v>72.599999999999994</v>
      </c>
    </row>
    <row r="81" spans="1:1" x14ac:dyDescent="0.25">
      <c r="A81">
        <v>72.599999999999994</v>
      </c>
    </row>
    <row r="82" spans="1:1" x14ac:dyDescent="0.25">
      <c r="A82">
        <v>72</v>
      </c>
    </row>
    <row r="83" spans="1:1" x14ac:dyDescent="0.25">
      <c r="A83">
        <v>82.7</v>
      </c>
    </row>
    <row r="84" spans="1:1" x14ac:dyDescent="0.25">
      <c r="A84">
        <v>82.5</v>
      </c>
    </row>
    <row r="85" spans="1:1" x14ac:dyDescent="0.25">
      <c r="A85">
        <v>82.3</v>
      </c>
    </row>
    <row r="86" spans="1:1" x14ac:dyDescent="0.25">
      <c r="A86">
        <v>82</v>
      </c>
    </row>
    <row r="87" spans="1:1" x14ac:dyDescent="0.25">
      <c r="A87">
        <v>81.900000000000006</v>
      </c>
    </row>
    <row r="88" spans="1:1" x14ac:dyDescent="0.25">
      <c r="A88">
        <v>81.7</v>
      </c>
    </row>
    <row r="89" spans="1:1" x14ac:dyDescent="0.25">
      <c r="A89">
        <v>81.3</v>
      </c>
    </row>
    <row r="90" spans="1:1" x14ac:dyDescent="0.25">
      <c r="A90">
        <v>81.3</v>
      </c>
    </row>
    <row r="91" spans="1:1" x14ac:dyDescent="0.25">
      <c r="A91">
        <v>81.2</v>
      </c>
    </row>
    <row r="92" spans="1:1" x14ac:dyDescent="0.25">
      <c r="A92">
        <v>81</v>
      </c>
    </row>
    <row r="93" spans="1:1" x14ac:dyDescent="0.25">
      <c r="A93">
        <v>86</v>
      </c>
    </row>
    <row r="94" spans="1:1" x14ac:dyDescent="0.25">
      <c r="A94">
        <v>83</v>
      </c>
    </row>
    <row r="95" spans="1:1" x14ac:dyDescent="0.25">
      <c r="A95">
        <v>79.900000000000006</v>
      </c>
    </row>
    <row r="96" spans="1:1" x14ac:dyDescent="0.25">
      <c r="A96">
        <v>79.900000000000006</v>
      </c>
    </row>
    <row r="97" spans="1:1" x14ac:dyDescent="0.25">
      <c r="A97">
        <v>81.400000000000006</v>
      </c>
    </row>
    <row r="98" spans="1:1" x14ac:dyDescent="0.25">
      <c r="A98">
        <v>81.099999999999994</v>
      </c>
    </row>
    <row r="99" spans="1:1" x14ac:dyDescent="0.25">
      <c r="A99">
        <v>88</v>
      </c>
    </row>
    <row r="100" spans="1:1" x14ac:dyDescent="0.25">
      <c r="A100">
        <v>88</v>
      </c>
    </row>
    <row r="101" spans="1:1" x14ac:dyDescent="0.25">
      <c r="A101">
        <v>84</v>
      </c>
    </row>
    <row r="102" spans="1:1" x14ac:dyDescent="0.25">
      <c r="A102">
        <v>82</v>
      </c>
    </row>
    <row r="103" spans="1:1" x14ac:dyDescent="0.25">
      <c r="A103">
        <v>84</v>
      </c>
    </row>
    <row r="104" spans="1:1" x14ac:dyDescent="0.25">
      <c r="A104">
        <v>81</v>
      </c>
    </row>
    <row r="105" spans="1:1" x14ac:dyDescent="0.25">
      <c r="A105">
        <v>79.8</v>
      </c>
    </row>
    <row r="106" spans="1:1" x14ac:dyDescent="0.25">
      <c r="A106">
        <v>79.400000000000006</v>
      </c>
    </row>
    <row r="107" spans="1:1" x14ac:dyDescent="0.25">
      <c r="A107">
        <v>79.3</v>
      </c>
    </row>
    <row r="108" spans="1:1" x14ac:dyDescent="0.25">
      <c r="A108">
        <v>78.8</v>
      </c>
    </row>
    <row r="109" spans="1:1" x14ac:dyDescent="0.25">
      <c r="A109">
        <v>78.7</v>
      </c>
    </row>
    <row r="110" spans="1:1" x14ac:dyDescent="0.25">
      <c r="A110">
        <v>78.599999999999994</v>
      </c>
    </row>
    <row r="111" spans="1:1" x14ac:dyDescent="0.25">
      <c r="A111">
        <v>78.099999999999994</v>
      </c>
    </row>
    <row r="112" spans="1:1" x14ac:dyDescent="0.25">
      <c r="A112">
        <v>72.5</v>
      </c>
    </row>
    <row r="113" spans="1:1" x14ac:dyDescent="0.25">
      <c r="A113">
        <v>72.2</v>
      </c>
    </row>
    <row r="114" spans="1:1" x14ac:dyDescent="0.25">
      <c r="A114">
        <v>71.900000000000006</v>
      </c>
    </row>
    <row r="115" spans="1:1" x14ac:dyDescent="0.25">
      <c r="A115">
        <v>71.599999999999994</v>
      </c>
    </row>
    <row r="116" spans="1:1" x14ac:dyDescent="0.25">
      <c r="A116">
        <v>71.099999999999994</v>
      </c>
    </row>
    <row r="117" spans="1:1" x14ac:dyDescent="0.25">
      <c r="A117">
        <v>78</v>
      </c>
    </row>
    <row r="118" spans="1:1" x14ac:dyDescent="0.25">
      <c r="A118">
        <v>73</v>
      </c>
    </row>
    <row r="119" spans="1:1" x14ac:dyDescent="0.25">
      <c r="A119">
        <v>73</v>
      </c>
    </row>
    <row r="120" spans="1:1" x14ac:dyDescent="0.25">
      <c r="A120">
        <v>69.2</v>
      </c>
    </row>
    <row r="121" spans="1:1" x14ac:dyDescent="0.25">
      <c r="A121">
        <v>68.400000000000006</v>
      </c>
    </row>
    <row r="122" spans="1:1" x14ac:dyDescent="0.25">
      <c r="A122">
        <v>68.400000000000006</v>
      </c>
    </row>
    <row r="123" spans="1:1" x14ac:dyDescent="0.25">
      <c r="A123">
        <v>67.8</v>
      </c>
    </row>
    <row r="124" spans="1:1" x14ac:dyDescent="0.25">
      <c r="A124">
        <v>67.8</v>
      </c>
    </row>
    <row r="125" spans="1:1" x14ac:dyDescent="0.25">
      <c r="A125">
        <v>71.400000000000006</v>
      </c>
    </row>
    <row r="126" spans="1:1" x14ac:dyDescent="0.25">
      <c r="A126">
        <v>71</v>
      </c>
    </row>
    <row r="127" spans="1:1" x14ac:dyDescent="0.25">
      <c r="A127">
        <v>77</v>
      </c>
    </row>
    <row r="128" spans="1:1" x14ac:dyDescent="0.25">
      <c r="A128">
        <v>73</v>
      </c>
    </row>
    <row r="129" spans="1:1" x14ac:dyDescent="0.25">
      <c r="A129">
        <v>69.900000000000006</v>
      </c>
    </row>
    <row r="130" spans="1:1" x14ac:dyDescent="0.25">
      <c r="A130">
        <v>69.5</v>
      </c>
    </row>
    <row r="131" spans="1:1" x14ac:dyDescent="0.25">
      <c r="A131">
        <v>69.099999999999994</v>
      </c>
    </row>
    <row r="132" spans="1:1" x14ac:dyDescent="0.25">
      <c r="A132">
        <v>68.599999999999994</v>
      </c>
    </row>
    <row r="133" spans="1:1" x14ac:dyDescent="0.25">
      <c r="A133">
        <v>68.2</v>
      </c>
    </row>
    <row r="134" spans="1:1" x14ac:dyDescent="0.25">
      <c r="A134">
        <v>67.8</v>
      </c>
    </row>
    <row r="135" spans="1:1" x14ac:dyDescent="0.25">
      <c r="A135">
        <v>67.3</v>
      </c>
    </row>
    <row r="136" spans="1:1" x14ac:dyDescent="0.25">
      <c r="A136">
        <v>66.8</v>
      </c>
    </row>
    <row r="137" spans="1:1" x14ac:dyDescent="0.25">
      <c r="A137">
        <v>72</v>
      </c>
    </row>
    <row r="138" spans="1:1" x14ac:dyDescent="0.25">
      <c r="A138">
        <v>71.7</v>
      </c>
    </row>
    <row r="139" spans="1:1" x14ac:dyDescent="0.25">
      <c r="A139">
        <v>71.900000000000006</v>
      </c>
    </row>
    <row r="140" spans="1:1" x14ac:dyDescent="0.25">
      <c r="A140">
        <v>72</v>
      </c>
    </row>
    <row r="141" spans="1:1" x14ac:dyDescent="0.25">
      <c r="A141">
        <v>73</v>
      </c>
    </row>
    <row r="142" spans="1:1" x14ac:dyDescent="0.25">
      <c r="A142">
        <v>70</v>
      </c>
    </row>
    <row r="143" spans="1:1" x14ac:dyDescent="0.25">
      <c r="A143">
        <v>70</v>
      </c>
    </row>
    <row r="144" spans="1:1" x14ac:dyDescent="0.25">
      <c r="A144">
        <v>69.8</v>
      </c>
    </row>
    <row r="145" spans="1:1" x14ac:dyDescent="0.25">
      <c r="A145">
        <v>68.900000000000006</v>
      </c>
    </row>
    <row r="146" spans="1:1" x14ac:dyDescent="0.25">
      <c r="A146">
        <v>68.099999999999994</v>
      </c>
    </row>
    <row r="147" spans="1:1" x14ac:dyDescent="0.25">
      <c r="A147">
        <v>68.2</v>
      </c>
    </row>
    <row r="148" spans="1:1" x14ac:dyDescent="0.25">
      <c r="A148">
        <v>67.7</v>
      </c>
    </row>
    <row r="149" spans="1:1" x14ac:dyDescent="0.25">
      <c r="A149">
        <v>67.2</v>
      </c>
    </row>
    <row r="150" spans="1:1" x14ac:dyDescent="0.25">
      <c r="A150">
        <v>67.7</v>
      </c>
    </row>
    <row r="151" spans="1:1" x14ac:dyDescent="0.25">
      <c r="A151">
        <v>68</v>
      </c>
    </row>
    <row r="152" spans="1:1" x14ac:dyDescent="0.25">
      <c r="A152">
        <v>89</v>
      </c>
    </row>
    <row r="153" spans="1:1" x14ac:dyDescent="0.25">
      <c r="A153">
        <v>87</v>
      </c>
    </row>
    <row r="154" spans="1:1" x14ac:dyDescent="0.25">
      <c r="A154">
        <v>83</v>
      </c>
    </row>
    <row r="155" spans="1:1" x14ac:dyDescent="0.25">
      <c r="A155">
        <v>83</v>
      </c>
    </row>
    <row r="156" spans="1:1" x14ac:dyDescent="0.25">
      <c r="A156">
        <v>80</v>
      </c>
    </row>
    <row r="157" spans="1:1" x14ac:dyDescent="0.25">
      <c r="A157">
        <v>79.8</v>
      </c>
    </row>
    <row r="158" spans="1:1" x14ac:dyDescent="0.25">
      <c r="A158">
        <v>79.5</v>
      </c>
    </row>
    <row r="159" spans="1:1" x14ac:dyDescent="0.25">
      <c r="A159">
        <v>79.5</v>
      </c>
    </row>
    <row r="160" spans="1:1" x14ac:dyDescent="0.25">
      <c r="A160">
        <v>79.400000000000006</v>
      </c>
    </row>
    <row r="161" spans="1:1" x14ac:dyDescent="0.25">
      <c r="A161">
        <v>78.900000000000006</v>
      </c>
    </row>
    <row r="162" spans="1:1" x14ac:dyDescent="0.25">
      <c r="A162">
        <v>78.8</v>
      </c>
    </row>
    <row r="163" spans="1:1" x14ac:dyDescent="0.25">
      <c r="A163">
        <v>78.3</v>
      </c>
    </row>
    <row r="164" spans="1:1" x14ac:dyDescent="0.25">
      <c r="A164">
        <v>78</v>
      </c>
    </row>
    <row r="165" spans="1:1" x14ac:dyDescent="0.25">
      <c r="A165">
        <v>78</v>
      </c>
    </row>
    <row r="166" spans="1:1" x14ac:dyDescent="0.25">
      <c r="A166">
        <v>77.599999999999994</v>
      </c>
    </row>
    <row r="167" spans="1:1" x14ac:dyDescent="0.25">
      <c r="A167">
        <v>70</v>
      </c>
    </row>
    <row r="168" spans="1:1" x14ac:dyDescent="0.25">
      <c r="A168">
        <v>69.8</v>
      </c>
    </row>
    <row r="169" spans="1:1" x14ac:dyDescent="0.25">
      <c r="A169">
        <v>69.400000000000006</v>
      </c>
    </row>
    <row r="170" spans="1:1" x14ac:dyDescent="0.25">
      <c r="A170">
        <v>69.400000000000006</v>
      </c>
    </row>
    <row r="171" spans="1:1" x14ac:dyDescent="0.25">
      <c r="A171">
        <v>69.5</v>
      </c>
    </row>
    <row r="172" spans="1:1" x14ac:dyDescent="0.25">
      <c r="A172">
        <v>69.5</v>
      </c>
    </row>
    <row r="173" spans="1:1" x14ac:dyDescent="0.25">
      <c r="A173">
        <v>69.599999999999994</v>
      </c>
    </row>
    <row r="174" spans="1:1" x14ac:dyDescent="0.25">
      <c r="A174">
        <v>69.599999999999994</v>
      </c>
    </row>
    <row r="175" spans="1:1" x14ac:dyDescent="0.25">
      <c r="A175">
        <v>69.400000000000006</v>
      </c>
    </row>
    <row r="176" spans="1:1" x14ac:dyDescent="0.25">
      <c r="A176">
        <v>69</v>
      </c>
    </row>
    <row r="177" spans="1:1" x14ac:dyDescent="0.25">
      <c r="A177">
        <v>68.7</v>
      </c>
    </row>
    <row r="178" spans="1:1" x14ac:dyDescent="0.25">
      <c r="A178">
        <v>68.400000000000006</v>
      </c>
    </row>
    <row r="179" spans="1:1" x14ac:dyDescent="0.25">
      <c r="A179">
        <v>68.5</v>
      </c>
    </row>
    <row r="180" spans="1:1" x14ac:dyDescent="0.25">
      <c r="A180">
        <v>68.2</v>
      </c>
    </row>
    <row r="181" spans="1:1" x14ac:dyDescent="0.25">
      <c r="A181">
        <v>68.3</v>
      </c>
    </row>
    <row r="182" spans="1:1" x14ac:dyDescent="0.25">
      <c r="A182">
        <v>59.7</v>
      </c>
    </row>
    <row r="183" spans="1:1" x14ac:dyDescent="0.25">
      <c r="A183">
        <v>59.5</v>
      </c>
    </row>
    <row r="184" spans="1:1" x14ac:dyDescent="0.25">
      <c r="A184">
        <v>59.3</v>
      </c>
    </row>
    <row r="185" spans="1:1" x14ac:dyDescent="0.25">
      <c r="A185">
        <v>59.1</v>
      </c>
    </row>
    <row r="186" spans="1:1" x14ac:dyDescent="0.25">
      <c r="A186">
        <v>58.7</v>
      </c>
    </row>
    <row r="187" spans="1:1" x14ac:dyDescent="0.25">
      <c r="A187">
        <v>58.4</v>
      </c>
    </row>
    <row r="188" spans="1:1" x14ac:dyDescent="0.25">
      <c r="A188">
        <v>57.6</v>
      </c>
    </row>
    <row r="189" spans="1:1" x14ac:dyDescent="0.25">
      <c r="A189">
        <v>57.1</v>
      </c>
    </row>
    <row r="190" spans="1:1" x14ac:dyDescent="0.25">
      <c r="A190">
        <v>56.8</v>
      </c>
    </row>
    <row r="191" spans="1:1" x14ac:dyDescent="0.25">
      <c r="A191">
        <v>56.5</v>
      </c>
    </row>
    <row r="192" spans="1:1" x14ac:dyDescent="0.25">
      <c r="A192">
        <v>56.1</v>
      </c>
    </row>
    <row r="193" spans="1:1" x14ac:dyDescent="0.25">
      <c r="A193">
        <v>55.8</v>
      </c>
    </row>
    <row r="194" spans="1:1" x14ac:dyDescent="0.25">
      <c r="A194">
        <v>55.6</v>
      </c>
    </row>
    <row r="195" spans="1:1" x14ac:dyDescent="0.25">
      <c r="A195">
        <v>69.400000000000006</v>
      </c>
    </row>
    <row r="196" spans="1:1" x14ac:dyDescent="0.25">
      <c r="A196">
        <v>69.099999999999994</v>
      </c>
    </row>
    <row r="197" spans="1:1" x14ac:dyDescent="0.25">
      <c r="A197">
        <v>68.7</v>
      </c>
    </row>
    <row r="198" spans="1:1" x14ac:dyDescent="0.25">
      <c r="A198">
        <v>68.3</v>
      </c>
    </row>
    <row r="199" spans="1:1" x14ac:dyDescent="0.25">
      <c r="A199">
        <v>67.900000000000006</v>
      </c>
    </row>
    <row r="200" spans="1:1" x14ac:dyDescent="0.25">
      <c r="A200">
        <v>67.400000000000006</v>
      </c>
    </row>
    <row r="201" spans="1:1" x14ac:dyDescent="0.25">
      <c r="A201">
        <v>67</v>
      </c>
    </row>
    <row r="202" spans="1:1" x14ac:dyDescent="0.25">
      <c r="A202">
        <v>66.5</v>
      </c>
    </row>
    <row r="203" spans="1:1" x14ac:dyDescent="0.25">
      <c r="A203">
        <v>65.8</v>
      </c>
    </row>
    <row r="204" spans="1:1" x14ac:dyDescent="0.25">
      <c r="A204">
        <v>65</v>
      </c>
    </row>
    <row r="205" spans="1:1" x14ac:dyDescent="0.25">
      <c r="A205">
        <v>64.2</v>
      </c>
    </row>
    <row r="206" spans="1:1" x14ac:dyDescent="0.25">
      <c r="A206">
        <v>63.3</v>
      </c>
    </row>
    <row r="207" spans="1:1" x14ac:dyDescent="0.25">
      <c r="A207">
        <v>62.5</v>
      </c>
    </row>
    <row r="208" spans="1:1" x14ac:dyDescent="0.25">
      <c r="A208">
        <v>61.7</v>
      </c>
    </row>
    <row r="209" spans="1:1" x14ac:dyDescent="0.25">
      <c r="A209">
        <v>62</v>
      </c>
    </row>
    <row r="210" spans="1:1" x14ac:dyDescent="0.25">
      <c r="A210">
        <v>77.2</v>
      </c>
    </row>
    <row r="211" spans="1:1" x14ac:dyDescent="0.25">
      <c r="A211">
        <v>77</v>
      </c>
    </row>
    <row r="212" spans="1:1" x14ac:dyDescent="0.25">
      <c r="A212">
        <v>76.8</v>
      </c>
    </row>
    <row r="213" spans="1:1" x14ac:dyDescent="0.25">
      <c r="A213">
        <v>76.900000000000006</v>
      </c>
    </row>
    <row r="214" spans="1:1" x14ac:dyDescent="0.25">
      <c r="A214">
        <v>76.400000000000006</v>
      </c>
    </row>
    <row r="215" spans="1:1" x14ac:dyDescent="0.25">
      <c r="A215">
        <v>76.099999999999994</v>
      </c>
    </row>
    <row r="216" spans="1:1" x14ac:dyDescent="0.25">
      <c r="A216">
        <v>76</v>
      </c>
    </row>
    <row r="217" spans="1:1" x14ac:dyDescent="0.25">
      <c r="A217">
        <v>75.400000000000006</v>
      </c>
    </row>
    <row r="218" spans="1:1" x14ac:dyDescent="0.25">
      <c r="A218">
        <v>75.7</v>
      </c>
    </row>
    <row r="219" spans="1:1" x14ac:dyDescent="0.25">
      <c r="A219">
        <v>75</v>
      </c>
    </row>
    <row r="220" spans="1:1" x14ac:dyDescent="0.25">
      <c r="A220">
        <v>75.5</v>
      </c>
    </row>
    <row r="221" spans="1:1" x14ac:dyDescent="0.25">
      <c r="A221">
        <v>65.099999999999994</v>
      </c>
    </row>
    <row r="222" spans="1:1" x14ac:dyDescent="0.25">
      <c r="A222">
        <v>64.2</v>
      </c>
    </row>
    <row r="223" spans="1:1" x14ac:dyDescent="0.25">
      <c r="A223">
        <v>63.4</v>
      </c>
    </row>
    <row r="224" spans="1:1" x14ac:dyDescent="0.25">
      <c r="A224">
        <v>62.2</v>
      </c>
    </row>
    <row r="225" spans="1:1" x14ac:dyDescent="0.25">
      <c r="A225">
        <v>61.1</v>
      </c>
    </row>
    <row r="226" spans="1:1" x14ac:dyDescent="0.25">
      <c r="A226">
        <v>59.2</v>
      </c>
    </row>
    <row r="227" spans="1:1" x14ac:dyDescent="0.25">
      <c r="A227">
        <v>57.5</v>
      </c>
    </row>
    <row r="228" spans="1:1" x14ac:dyDescent="0.25">
      <c r="A228">
        <v>56.9</v>
      </c>
    </row>
    <row r="229" spans="1:1" x14ac:dyDescent="0.25">
      <c r="A229">
        <v>54.8</v>
      </c>
    </row>
    <row r="230" spans="1:1" x14ac:dyDescent="0.25">
      <c r="A230">
        <v>51.7</v>
      </c>
    </row>
    <row r="231" spans="1:1" x14ac:dyDescent="0.25">
      <c r="A231">
        <v>48.1</v>
      </c>
    </row>
    <row r="232" spans="1:1" x14ac:dyDescent="0.25">
      <c r="A232">
        <v>46.4</v>
      </c>
    </row>
    <row r="233" spans="1:1" x14ac:dyDescent="0.25">
      <c r="A233">
        <v>46</v>
      </c>
    </row>
    <row r="234" spans="1:1" x14ac:dyDescent="0.25">
      <c r="A234">
        <v>46.7</v>
      </c>
    </row>
    <row r="235" spans="1:1" x14ac:dyDescent="0.25">
      <c r="A235">
        <v>47.8</v>
      </c>
    </row>
    <row r="236" spans="1:1" x14ac:dyDescent="0.25">
      <c r="A236">
        <v>74.8</v>
      </c>
    </row>
    <row r="237" spans="1:1" x14ac:dyDescent="0.25">
      <c r="A237">
        <v>74.7</v>
      </c>
    </row>
    <row r="238" spans="1:1" x14ac:dyDescent="0.25">
      <c r="A238">
        <v>74.5</v>
      </c>
    </row>
    <row r="239" spans="1:1" x14ac:dyDescent="0.25">
      <c r="A239">
        <v>74.099999999999994</v>
      </c>
    </row>
    <row r="240" spans="1:1" x14ac:dyDescent="0.25">
      <c r="A240">
        <v>73.8</v>
      </c>
    </row>
    <row r="241" spans="1:1" x14ac:dyDescent="0.25">
      <c r="A241">
        <v>73.599999999999994</v>
      </c>
    </row>
    <row r="242" spans="1:1" x14ac:dyDescent="0.25">
      <c r="A242">
        <v>73.400000000000006</v>
      </c>
    </row>
    <row r="243" spans="1:1" x14ac:dyDescent="0.25">
      <c r="A243">
        <v>73.3</v>
      </c>
    </row>
    <row r="244" spans="1:1" x14ac:dyDescent="0.25">
      <c r="A244">
        <v>73</v>
      </c>
    </row>
    <row r="245" spans="1:1" x14ac:dyDescent="0.25">
      <c r="A245">
        <v>72.7</v>
      </c>
    </row>
    <row r="246" spans="1:1" x14ac:dyDescent="0.25">
      <c r="A246">
        <v>72</v>
      </c>
    </row>
    <row r="247" spans="1:1" x14ac:dyDescent="0.25">
      <c r="A247">
        <v>71.8</v>
      </c>
    </row>
    <row r="248" spans="1:1" x14ac:dyDescent="0.25">
      <c r="A248">
        <v>71.400000000000006</v>
      </c>
    </row>
    <row r="249" spans="1:1" x14ac:dyDescent="0.25">
      <c r="A249">
        <v>71</v>
      </c>
    </row>
    <row r="250" spans="1:1" x14ac:dyDescent="0.25">
      <c r="A250">
        <v>75</v>
      </c>
    </row>
    <row r="251" spans="1:1" x14ac:dyDescent="0.25">
      <c r="A251">
        <v>74.3</v>
      </c>
    </row>
    <row r="252" spans="1:1" x14ac:dyDescent="0.25">
      <c r="A252">
        <v>74.099999999999994</v>
      </c>
    </row>
    <row r="253" spans="1:1" x14ac:dyDescent="0.25">
      <c r="A253">
        <v>73.900000000000006</v>
      </c>
    </row>
    <row r="254" spans="1:1" x14ac:dyDescent="0.25">
      <c r="A254">
        <v>73.7</v>
      </c>
    </row>
    <row r="255" spans="1:1" x14ac:dyDescent="0.25">
      <c r="A255">
        <v>73.400000000000006</v>
      </c>
    </row>
    <row r="256" spans="1:1" x14ac:dyDescent="0.25">
      <c r="A256">
        <v>73.2</v>
      </c>
    </row>
    <row r="257" spans="1:1" x14ac:dyDescent="0.25">
      <c r="A257">
        <v>72.900000000000006</v>
      </c>
    </row>
    <row r="258" spans="1:1" x14ac:dyDescent="0.25">
      <c r="A258">
        <v>72.599999999999994</v>
      </c>
    </row>
    <row r="259" spans="1:1" x14ac:dyDescent="0.25">
      <c r="A259">
        <v>72.2</v>
      </c>
    </row>
    <row r="260" spans="1:1" x14ac:dyDescent="0.25">
      <c r="A260">
        <v>72.099999999999994</v>
      </c>
    </row>
    <row r="261" spans="1:1" x14ac:dyDescent="0.25">
      <c r="A261">
        <v>72.2</v>
      </c>
    </row>
    <row r="262" spans="1:1" x14ac:dyDescent="0.25">
      <c r="A262">
        <v>72</v>
      </c>
    </row>
    <row r="263" spans="1:1" x14ac:dyDescent="0.25">
      <c r="A263">
        <v>71.8</v>
      </c>
    </row>
    <row r="264" spans="1:1" x14ac:dyDescent="0.25">
      <c r="A264">
        <v>71.599999999999994</v>
      </c>
    </row>
    <row r="265" spans="1:1" x14ac:dyDescent="0.25">
      <c r="A265">
        <v>71.099999999999994</v>
      </c>
    </row>
    <row r="266" spans="1:1" x14ac:dyDescent="0.25">
      <c r="A266">
        <v>59.3</v>
      </c>
    </row>
    <row r="267" spans="1:1" x14ac:dyDescent="0.25">
      <c r="A267">
        <v>59</v>
      </c>
    </row>
    <row r="268" spans="1:1" x14ac:dyDescent="0.25">
      <c r="A268">
        <v>58.6</v>
      </c>
    </row>
    <row r="269" spans="1:1" x14ac:dyDescent="0.25">
      <c r="A269">
        <v>58.1</v>
      </c>
    </row>
    <row r="270" spans="1:1" x14ac:dyDescent="0.25">
      <c r="A270">
        <v>57.5</v>
      </c>
    </row>
    <row r="271" spans="1:1" x14ac:dyDescent="0.25">
      <c r="A271">
        <v>56.9</v>
      </c>
    </row>
    <row r="272" spans="1:1" x14ac:dyDescent="0.25">
      <c r="A272">
        <v>56.1</v>
      </c>
    </row>
    <row r="273" spans="1:1" x14ac:dyDescent="0.25">
      <c r="A273">
        <v>55.3</v>
      </c>
    </row>
    <row r="274" spans="1:1" x14ac:dyDescent="0.25">
      <c r="A274">
        <v>54.3</v>
      </c>
    </row>
    <row r="275" spans="1:1" x14ac:dyDescent="0.25">
      <c r="A275">
        <v>59.1</v>
      </c>
    </row>
    <row r="276" spans="1:1" x14ac:dyDescent="0.25">
      <c r="A276">
        <v>58.6</v>
      </c>
    </row>
    <row r="277" spans="1:1" x14ac:dyDescent="0.25">
      <c r="A277">
        <v>58</v>
      </c>
    </row>
    <row r="278" spans="1:1" x14ac:dyDescent="0.25">
      <c r="A278">
        <v>57.4</v>
      </c>
    </row>
    <row r="279" spans="1:1" x14ac:dyDescent="0.25">
      <c r="A279">
        <v>56.8</v>
      </c>
    </row>
    <row r="280" spans="1:1" x14ac:dyDescent="0.25">
      <c r="A280">
        <v>56.2</v>
      </c>
    </row>
    <row r="281" spans="1:1" x14ac:dyDescent="0.25">
      <c r="A281">
        <v>55.3</v>
      </c>
    </row>
    <row r="282" spans="1:1" x14ac:dyDescent="0.25">
      <c r="A282">
        <v>54.8</v>
      </c>
    </row>
    <row r="283" spans="1:1" x14ac:dyDescent="0.25">
      <c r="A283">
        <v>54.1</v>
      </c>
    </row>
    <row r="284" spans="1:1" x14ac:dyDescent="0.25">
      <c r="A284">
        <v>53.4</v>
      </c>
    </row>
    <row r="285" spans="1:1" x14ac:dyDescent="0.25">
      <c r="A285">
        <v>52.6</v>
      </c>
    </row>
    <row r="286" spans="1:1" x14ac:dyDescent="0.25">
      <c r="A286">
        <v>73</v>
      </c>
    </row>
    <row r="287" spans="1:1" x14ac:dyDescent="0.25">
      <c r="A287">
        <v>72.8</v>
      </c>
    </row>
    <row r="288" spans="1:1" x14ac:dyDescent="0.25">
      <c r="A288">
        <v>72.7</v>
      </c>
    </row>
    <row r="289" spans="1:1" x14ac:dyDescent="0.25">
      <c r="A289">
        <v>72.599999999999994</v>
      </c>
    </row>
    <row r="290" spans="1:1" x14ac:dyDescent="0.25">
      <c r="A290">
        <v>72.5</v>
      </c>
    </row>
    <row r="291" spans="1:1" x14ac:dyDescent="0.25">
      <c r="A291">
        <v>72.400000000000006</v>
      </c>
    </row>
    <row r="292" spans="1:1" x14ac:dyDescent="0.25">
      <c r="A292">
        <v>72.400000000000006</v>
      </c>
    </row>
    <row r="293" spans="1:1" x14ac:dyDescent="0.25">
      <c r="A293">
        <v>72.3</v>
      </c>
    </row>
    <row r="294" spans="1:1" x14ac:dyDescent="0.25">
      <c r="A294">
        <v>72.099999999999994</v>
      </c>
    </row>
    <row r="295" spans="1:1" x14ac:dyDescent="0.25">
      <c r="A295">
        <v>71.8</v>
      </c>
    </row>
    <row r="296" spans="1:1" x14ac:dyDescent="0.25">
      <c r="A296">
        <v>71.400000000000006</v>
      </c>
    </row>
    <row r="297" spans="1:1" x14ac:dyDescent="0.25">
      <c r="A297">
        <v>71.099999999999994</v>
      </c>
    </row>
    <row r="298" spans="1:1" x14ac:dyDescent="0.25">
      <c r="A298">
        <v>77</v>
      </c>
    </row>
    <row r="299" spans="1:1" x14ac:dyDescent="0.25">
      <c r="A299">
        <v>68.3</v>
      </c>
    </row>
    <row r="300" spans="1:1" x14ac:dyDescent="0.25">
      <c r="A300">
        <v>67.8</v>
      </c>
    </row>
    <row r="301" spans="1:1" x14ac:dyDescent="0.25">
      <c r="A301">
        <v>67.400000000000006</v>
      </c>
    </row>
    <row r="302" spans="1:1" x14ac:dyDescent="0.25">
      <c r="A302">
        <v>67</v>
      </c>
    </row>
    <row r="303" spans="1:1" x14ac:dyDescent="0.25">
      <c r="A303">
        <v>66.599999999999994</v>
      </c>
    </row>
    <row r="304" spans="1:1" x14ac:dyDescent="0.25">
      <c r="A304">
        <v>66.099999999999994</v>
      </c>
    </row>
    <row r="305" spans="1:1" x14ac:dyDescent="0.25">
      <c r="A305">
        <v>65.599999999999994</v>
      </c>
    </row>
    <row r="306" spans="1:1" x14ac:dyDescent="0.25">
      <c r="A306">
        <v>65</v>
      </c>
    </row>
    <row r="307" spans="1:1" x14ac:dyDescent="0.25">
      <c r="A307">
        <v>64.099999999999994</v>
      </c>
    </row>
    <row r="308" spans="1:1" x14ac:dyDescent="0.25">
      <c r="A308">
        <v>56.7</v>
      </c>
    </row>
    <row r="309" spans="1:1" x14ac:dyDescent="0.25">
      <c r="A309">
        <v>56.4</v>
      </c>
    </row>
    <row r="310" spans="1:1" x14ac:dyDescent="0.25">
      <c r="A310">
        <v>55.9</v>
      </c>
    </row>
    <row r="311" spans="1:1" x14ac:dyDescent="0.25">
      <c r="A311">
        <v>55.6</v>
      </c>
    </row>
    <row r="312" spans="1:1" x14ac:dyDescent="0.25">
      <c r="A312">
        <v>55.3</v>
      </c>
    </row>
    <row r="313" spans="1:1" x14ac:dyDescent="0.25">
      <c r="A313">
        <v>54.8</v>
      </c>
    </row>
    <row r="314" spans="1:1" x14ac:dyDescent="0.25">
      <c r="A314">
        <v>54.2</v>
      </c>
    </row>
    <row r="315" spans="1:1" x14ac:dyDescent="0.25">
      <c r="A315">
        <v>53.6</v>
      </c>
    </row>
    <row r="316" spans="1:1" x14ac:dyDescent="0.25">
      <c r="A316">
        <v>53.3</v>
      </c>
    </row>
    <row r="317" spans="1:1" x14ac:dyDescent="0.25">
      <c r="A317">
        <v>52.8</v>
      </c>
    </row>
    <row r="318" spans="1:1" x14ac:dyDescent="0.25">
      <c r="A318">
        <v>82</v>
      </c>
    </row>
    <row r="319" spans="1:1" x14ac:dyDescent="0.25">
      <c r="A319">
        <v>81.8</v>
      </c>
    </row>
    <row r="320" spans="1:1" x14ac:dyDescent="0.25">
      <c r="A320">
        <v>81.599999999999994</v>
      </c>
    </row>
    <row r="321" spans="1:1" x14ac:dyDescent="0.25">
      <c r="A321">
        <v>81.5</v>
      </c>
    </row>
    <row r="322" spans="1:1" x14ac:dyDescent="0.25">
      <c r="A322">
        <v>81.2</v>
      </c>
    </row>
    <row r="323" spans="1:1" x14ac:dyDescent="0.25">
      <c r="A323">
        <v>81</v>
      </c>
    </row>
    <row r="324" spans="1:1" x14ac:dyDescent="0.25">
      <c r="A324">
        <v>87</v>
      </c>
    </row>
    <row r="325" spans="1:1" x14ac:dyDescent="0.25">
      <c r="A325">
        <v>85</v>
      </c>
    </row>
    <row r="326" spans="1:1" x14ac:dyDescent="0.25">
      <c r="A326">
        <v>85</v>
      </c>
    </row>
    <row r="327" spans="1:1" x14ac:dyDescent="0.25">
      <c r="A327">
        <v>81</v>
      </c>
    </row>
    <row r="328" spans="1:1" x14ac:dyDescent="0.25">
      <c r="A328">
        <v>80</v>
      </c>
    </row>
    <row r="329" spans="1:1" x14ac:dyDescent="0.25">
      <c r="A329">
        <v>79.7</v>
      </c>
    </row>
    <row r="330" spans="1:1" x14ac:dyDescent="0.25">
      <c r="A330">
        <v>58</v>
      </c>
    </row>
    <row r="331" spans="1:1" x14ac:dyDescent="0.25">
      <c r="A331">
        <v>49.9</v>
      </c>
    </row>
    <row r="332" spans="1:1" x14ac:dyDescent="0.25">
      <c r="A332">
        <v>53</v>
      </c>
    </row>
    <row r="333" spans="1:1" x14ac:dyDescent="0.25">
      <c r="A333">
        <v>49.8</v>
      </c>
    </row>
    <row r="334" spans="1:1" x14ac:dyDescent="0.25">
      <c r="A334">
        <v>49.2</v>
      </c>
    </row>
    <row r="335" spans="1:1" x14ac:dyDescent="0.25">
      <c r="A335">
        <v>48.6</v>
      </c>
    </row>
    <row r="336" spans="1:1" x14ac:dyDescent="0.25">
      <c r="A336">
        <v>52.6</v>
      </c>
    </row>
    <row r="337" spans="1:1" x14ac:dyDescent="0.25">
      <c r="A337">
        <v>52.2</v>
      </c>
    </row>
    <row r="338" spans="1:1" x14ac:dyDescent="0.25">
      <c r="A338">
        <v>51.8</v>
      </c>
    </row>
    <row r="339" spans="1:1" x14ac:dyDescent="0.25">
      <c r="A339">
        <v>51.6</v>
      </c>
    </row>
    <row r="340" spans="1:1" x14ac:dyDescent="0.25">
      <c r="A340">
        <v>51.2</v>
      </c>
    </row>
    <row r="341" spans="1:1" x14ac:dyDescent="0.25">
      <c r="A341">
        <v>57</v>
      </c>
    </row>
    <row r="342" spans="1:1" x14ac:dyDescent="0.25">
      <c r="A342">
        <v>49.6</v>
      </c>
    </row>
    <row r="343" spans="1:1" x14ac:dyDescent="0.25">
      <c r="A343">
        <v>83</v>
      </c>
    </row>
    <row r="344" spans="1:1" x14ac:dyDescent="0.25">
      <c r="A344">
        <v>81</v>
      </c>
    </row>
    <row r="345" spans="1:1" x14ac:dyDescent="0.25">
      <c r="A345">
        <v>79.900000000000006</v>
      </c>
    </row>
    <row r="346" spans="1:1" x14ac:dyDescent="0.25">
      <c r="A346">
        <v>79.8</v>
      </c>
    </row>
    <row r="347" spans="1:1" x14ac:dyDescent="0.25">
      <c r="A347">
        <v>79.099999999999994</v>
      </c>
    </row>
    <row r="348" spans="1:1" x14ac:dyDescent="0.25">
      <c r="A348">
        <v>79.3</v>
      </c>
    </row>
    <row r="349" spans="1:1" x14ac:dyDescent="0.25">
      <c r="A349">
        <v>79.599999999999994</v>
      </c>
    </row>
    <row r="350" spans="1:1" x14ac:dyDescent="0.25">
      <c r="A350">
        <v>78.900000000000006</v>
      </c>
    </row>
    <row r="351" spans="1:1" x14ac:dyDescent="0.25">
      <c r="A351">
        <v>78.900000000000006</v>
      </c>
    </row>
    <row r="352" spans="1:1" x14ac:dyDescent="0.25">
      <c r="A352">
        <v>75.8</v>
      </c>
    </row>
    <row r="353" spans="1:1" x14ac:dyDescent="0.25">
      <c r="A353">
        <v>75.599999999999994</v>
      </c>
    </row>
    <row r="354" spans="1:1" x14ac:dyDescent="0.25">
      <c r="A354">
        <v>75.400000000000006</v>
      </c>
    </row>
    <row r="355" spans="1:1" x14ac:dyDescent="0.25">
      <c r="A355">
        <v>75.2</v>
      </c>
    </row>
    <row r="356" spans="1:1" x14ac:dyDescent="0.25">
      <c r="A356">
        <v>75</v>
      </c>
    </row>
    <row r="357" spans="1:1" x14ac:dyDescent="0.25">
      <c r="A357">
        <v>74.900000000000006</v>
      </c>
    </row>
    <row r="358" spans="1:1" x14ac:dyDescent="0.25">
      <c r="A358">
        <v>74.5</v>
      </c>
    </row>
    <row r="359" spans="1:1" x14ac:dyDescent="0.25">
      <c r="A359">
        <v>74.400000000000006</v>
      </c>
    </row>
    <row r="360" spans="1:1" x14ac:dyDescent="0.25">
      <c r="A360">
        <v>74.2</v>
      </c>
    </row>
    <row r="361" spans="1:1" x14ac:dyDescent="0.25">
      <c r="A361">
        <v>73.900000000000006</v>
      </c>
    </row>
    <row r="362" spans="1:1" x14ac:dyDescent="0.25">
      <c r="A362">
        <v>73.5</v>
      </c>
    </row>
    <row r="363" spans="1:1" x14ac:dyDescent="0.25">
      <c r="A363">
        <v>73.099999999999994</v>
      </c>
    </row>
    <row r="364" spans="1:1" x14ac:dyDescent="0.25">
      <c r="A364">
        <v>72.7</v>
      </c>
    </row>
    <row r="365" spans="1:1" x14ac:dyDescent="0.25">
      <c r="A365">
        <v>72.2</v>
      </c>
    </row>
    <row r="366" spans="1:1" x14ac:dyDescent="0.25">
      <c r="A366">
        <v>71.7</v>
      </c>
    </row>
    <row r="367" spans="1:1" x14ac:dyDescent="0.25">
      <c r="A367">
        <v>74.599999999999994</v>
      </c>
    </row>
    <row r="368" spans="1:1" x14ac:dyDescent="0.25">
      <c r="A368">
        <v>74.400000000000006</v>
      </c>
    </row>
    <row r="369" spans="1:1" x14ac:dyDescent="0.25">
      <c r="A369">
        <v>74.3</v>
      </c>
    </row>
    <row r="370" spans="1:1" x14ac:dyDescent="0.25">
      <c r="A370">
        <v>74.2</v>
      </c>
    </row>
    <row r="371" spans="1:1" x14ac:dyDescent="0.25">
      <c r="A371">
        <v>73.599999999999994</v>
      </c>
    </row>
    <row r="372" spans="1:1" x14ac:dyDescent="0.25">
      <c r="A372">
        <v>73.599999999999994</v>
      </c>
    </row>
    <row r="373" spans="1:1" x14ac:dyDescent="0.25">
      <c r="A373">
        <v>73.5</v>
      </c>
    </row>
    <row r="374" spans="1:1" x14ac:dyDescent="0.25">
      <c r="A374">
        <v>73.5</v>
      </c>
    </row>
    <row r="375" spans="1:1" x14ac:dyDescent="0.25">
      <c r="A375">
        <v>73.099999999999994</v>
      </c>
    </row>
    <row r="376" spans="1:1" x14ac:dyDescent="0.25">
      <c r="A376">
        <v>73.099999999999994</v>
      </c>
    </row>
    <row r="377" spans="1:1" x14ac:dyDescent="0.25">
      <c r="A377">
        <v>72.8</v>
      </c>
    </row>
    <row r="378" spans="1:1" x14ac:dyDescent="0.25">
      <c r="A378">
        <v>72.400000000000006</v>
      </c>
    </row>
    <row r="379" spans="1:1" x14ac:dyDescent="0.25">
      <c r="A379">
        <v>71.8</v>
      </c>
    </row>
    <row r="380" spans="1:1" x14ac:dyDescent="0.25">
      <c r="A380">
        <v>71.5</v>
      </c>
    </row>
    <row r="381" spans="1:1" x14ac:dyDescent="0.25">
      <c r="A381">
        <v>71.400000000000006</v>
      </c>
    </row>
    <row r="382" spans="1:1" x14ac:dyDescent="0.25">
      <c r="A382">
        <v>63.2</v>
      </c>
    </row>
    <row r="383" spans="1:1" x14ac:dyDescent="0.25">
      <c r="A383">
        <v>62.9</v>
      </c>
    </row>
    <row r="384" spans="1:1" x14ac:dyDescent="0.25">
      <c r="A384">
        <v>62.5</v>
      </c>
    </row>
    <row r="385" spans="1:1" x14ac:dyDescent="0.25">
      <c r="A385">
        <v>62.2</v>
      </c>
    </row>
    <row r="386" spans="1:1" x14ac:dyDescent="0.25">
      <c r="A386">
        <v>61.8</v>
      </c>
    </row>
    <row r="387" spans="1:1" x14ac:dyDescent="0.25">
      <c r="A387">
        <v>61.3</v>
      </c>
    </row>
    <row r="388" spans="1:1" x14ac:dyDescent="0.25">
      <c r="A388">
        <v>61</v>
      </c>
    </row>
    <row r="389" spans="1:1" x14ac:dyDescent="0.25">
      <c r="A389">
        <v>66</v>
      </c>
    </row>
    <row r="390" spans="1:1" x14ac:dyDescent="0.25">
      <c r="A390">
        <v>63</v>
      </c>
    </row>
    <row r="391" spans="1:1" x14ac:dyDescent="0.25">
      <c r="A391">
        <v>60</v>
      </c>
    </row>
    <row r="392" spans="1:1" x14ac:dyDescent="0.25">
      <c r="A392">
        <v>59.8</v>
      </c>
    </row>
    <row r="393" spans="1:1" x14ac:dyDescent="0.25">
      <c r="A393">
        <v>59.6</v>
      </c>
    </row>
    <row r="394" spans="1:1" x14ac:dyDescent="0.25">
      <c r="A394">
        <v>79.5</v>
      </c>
    </row>
    <row r="395" spans="1:1" x14ac:dyDescent="0.25">
      <c r="A395">
        <v>79.400000000000006</v>
      </c>
    </row>
    <row r="396" spans="1:1" x14ac:dyDescent="0.25">
      <c r="A396">
        <v>79.2</v>
      </c>
    </row>
    <row r="397" spans="1:1" x14ac:dyDescent="0.25">
      <c r="A397">
        <v>79</v>
      </c>
    </row>
    <row r="398" spans="1:1" x14ac:dyDescent="0.25">
      <c r="A398">
        <v>78.099999999999994</v>
      </c>
    </row>
    <row r="399" spans="1:1" x14ac:dyDescent="0.25">
      <c r="A399">
        <v>79.2</v>
      </c>
    </row>
    <row r="400" spans="1:1" x14ac:dyDescent="0.25">
      <c r="A400">
        <v>78.900000000000006</v>
      </c>
    </row>
    <row r="401" spans="1:1" x14ac:dyDescent="0.25">
      <c r="A401">
        <v>78.900000000000006</v>
      </c>
    </row>
    <row r="402" spans="1:1" x14ac:dyDescent="0.25">
      <c r="A402">
        <v>78</v>
      </c>
    </row>
    <row r="403" spans="1:1" x14ac:dyDescent="0.25">
      <c r="A403">
        <v>78.599999999999994</v>
      </c>
    </row>
    <row r="404" spans="1:1" x14ac:dyDescent="0.25">
      <c r="A404">
        <v>77.7</v>
      </c>
    </row>
    <row r="405" spans="1:1" x14ac:dyDescent="0.25">
      <c r="A405">
        <v>78</v>
      </c>
    </row>
    <row r="406" spans="1:1" x14ac:dyDescent="0.25">
      <c r="A406">
        <v>78.3</v>
      </c>
    </row>
    <row r="407" spans="1:1" x14ac:dyDescent="0.25">
      <c r="A407">
        <v>77.5</v>
      </c>
    </row>
    <row r="408" spans="1:1" x14ac:dyDescent="0.25">
      <c r="A408">
        <v>77.599999999999994</v>
      </c>
    </row>
    <row r="409" spans="1:1" x14ac:dyDescent="0.25">
      <c r="A409">
        <v>77.8</v>
      </c>
    </row>
    <row r="410" spans="1:1" x14ac:dyDescent="0.25">
      <c r="A410">
        <v>77.7</v>
      </c>
    </row>
    <row r="411" spans="1:1" x14ac:dyDescent="0.25">
      <c r="A411">
        <v>77.099999999999994</v>
      </c>
    </row>
    <row r="412" spans="1:1" x14ac:dyDescent="0.25">
      <c r="A412">
        <v>77</v>
      </c>
    </row>
    <row r="413" spans="1:1" x14ac:dyDescent="0.25">
      <c r="A413">
        <v>76.599999999999994</v>
      </c>
    </row>
    <row r="414" spans="1:1" x14ac:dyDescent="0.25">
      <c r="A414">
        <v>76.3</v>
      </c>
    </row>
    <row r="415" spans="1:1" x14ac:dyDescent="0.25">
      <c r="A415">
        <v>76</v>
      </c>
    </row>
    <row r="416" spans="1:1" x14ac:dyDescent="0.25">
      <c r="A416">
        <v>75.8</v>
      </c>
    </row>
    <row r="417" spans="1:1" x14ac:dyDescent="0.25">
      <c r="A417">
        <v>83</v>
      </c>
    </row>
    <row r="418" spans="1:1" x14ac:dyDescent="0.25">
      <c r="A418">
        <v>81</v>
      </c>
    </row>
    <row r="419" spans="1:1" x14ac:dyDescent="0.25">
      <c r="A419">
        <v>80</v>
      </c>
    </row>
    <row r="420" spans="1:1" x14ac:dyDescent="0.25">
      <c r="A420">
        <v>79.7</v>
      </c>
    </row>
    <row r="421" spans="1:1" x14ac:dyDescent="0.25">
      <c r="A421">
        <v>79.5</v>
      </c>
    </row>
    <row r="422" spans="1:1" x14ac:dyDescent="0.25">
      <c r="A422">
        <v>79.3</v>
      </c>
    </row>
    <row r="423" spans="1:1" x14ac:dyDescent="0.25">
      <c r="A423">
        <v>79.099999999999994</v>
      </c>
    </row>
    <row r="424" spans="1:1" x14ac:dyDescent="0.25">
      <c r="A424">
        <v>78.900000000000006</v>
      </c>
    </row>
    <row r="425" spans="1:1" x14ac:dyDescent="0.25">
      <c r="A425">
        <v>78.8</v>
      </c>
    </row>
    <row r="426" spans="1:1" x14ac:dyDescent="0.25">
      <c r="A426">
        <v>78.7</v>
      </c>
    </row>
    <row r="427" spans="1:1" x14ac:dyDescent="0.25">
      <c r="A427">
        <v>78.599999999999994</v>
      </c>
    </row>
    <row r="428" spans="1:1" x14ac:dyDescent="0.25">
      <c r="A428">
        <v>78.5</v>
      </c>
    </row>
    <row r="429" spans="1:1" x14ac:dyDescent="0.25">
      <c r="A429">
        <v>78.400000000000006</v>
      </c>
    </row>
    <row r="430" spans="1:1" x14ac:dyDescent="0.25">
      <c r="A430">
        <v>78.2</v>
      </c>
    </row>
    <row r="431" spans="1:1" x14ac:dyDescent="0.25">
      <c r="A431">
        <v>78.099999999999994</v>
      </c>
    </row>
    <row r="432" spans="1:1" x14ac:dyDescent="0.25">
      <c r="A432">
        <v>63</v>
      </c>
    </row>
    <row r="433" spans="1:1" x14ac:dyDescent="0.25">
      <c r="A433">
        <v>62.7</v>
      </c>
    </row>
    <row r="434" spans="1:1" x14ac:dyDescent="0.25">
      <c r="A434">
        <v>62.2</v>
      </c>
    </row>
    <row r="435" spans="1:1" x14ac:dyDescent="0.25">
      <c r="A435">
        <v>61.8</v>
      </c>
    </row>
    <row r="436" spans="1:1" x14ac:dyDescent="0.25">
      <c r="A436">
        <v>61.3</v>
      </c>
    </row>
    <row r="437" spans="1:1" x14ac:dyDescent="0.25">
      <c r="A437">
        <v>69</v>
      </c>
    </row>
    <row r="438" spans="1:1" x14ac:dyDescent="0.25">
      <c r="A438">
        <v>62</v>
      </c>
    </row>
    <row r="439" spans="1:1" x14ac:dyDescent="0.25">
      <c r="A439">
        <v>59.8</v>
      </c>
    </row>
    <row r="440" spans="1:1" x14ac:dyDescent="0.25">
      <c r="A440">
        <v>73.599999999999994</v>
      </c>
    </row>
    <row r="441" spans="1:1" x14ac:dyDescent="0.25">
      <c r="A441">
        <v>73.400000000000006</v>
      </c>
    </row>
    <row r="442" spans="1:1" x14ac:dyDescent="0.25">
      <c r="A442">
        <v>72.099999999999994</v>
      </c>
    </row>
    <row r="443" spans="1:1" x14ac:dyDescent="0.25">
      <c r="A443">
        <v>73.099999999999994</v>
      </c>
    </row>
    <row r="444" spans="1:1" x14ac:dyDescent="0.25">
      <c r="A444">
        <v>72.7</v>
      </c>
    </row>
    <row r="445" spans="1:1" x14ac:dyDescent="0.25">
      <c r="A445">
        <v>73.599999999999994</v>
      </c>
    </row>
    <row r="446" spans="1:1" x14ac:dyDescent="0.25">
      <c r="A446">
        <v>73.3</v>
      </c>
    </row>
    <row r="447" spans="1:1" x14ac:dyDescent="0.25">
      <c r="A447">
        <v>72.900000000000006</v>
      </c>
    </row>
    <row r="448" spans="1:1" x14ac:dyDescent="0.25">
      <c r="A448">
        <v>72.3</v>
      </c>
    </row>
    <row r="449" spans="1:1" x14ac:dyDescent="0.25">
      <c r="A449">
        <v>69.7</v>
      </c>
    </row>
    <row r="450" spans="1:1" x14ac:dyDescent="0.25">
      <c r="A450">
        <v>69.3</v>
      </c>
    </row>
    <row r="451" spans="1:1" x14ac:dyDescent="0.25">
      <c r="A451">
        <v>73</v>
      </c>
    </row>
    <row r="452" spans="1:1" x14ac:dyDescent="0.25">
      <c r="A452">
        <v>71.400000000000006</v>
      </c>
    </row>
    <row r="453" spans="1:1" x14ac:dyDescent="0.25">
      <c r="A453">
        <v>71.2</v>
      </c>
    </row>
    <row r="454" spans="1:1" x14ac:dyDescent="0.25">
      <c r="A454">
        <v>72</v>
      </c>
    </row>
    <row r="455" spans="1:1" x14ac:dyDescent="0.25">
      <c r="A455">
        <v>76</v>
      </c>
    </row>
    <row r="456" spans="1:1" x14ac:dyDescent="0.25">
      <c r="A456">
        <v>76</v>
      </c>
    </row>
    <row r="457" spans="1:1" x14ac:dyDescent="0.25">
      <c r="A457">
        <v>75.5</v>
      </c>
    </row>
    <row r="458" spans="1:1" x14ac:dyDescent="0.25">
      <c r="A458">
        <v>75.3</v>
      </c>
    </row>
    <row r="459" spans="1:1" x14ac:dyDescent="0.25">
      <c r="A459">
        <v>75</v>
      </c>
    </row>
    <row r="460" spans="1:1" x14ac:dyDescent="0.25">
      <c r="A460">
        <v>75.099999999999994</v>
      </c>
    </row>
    <row r="461" spans="1:1" x14ac:dyDescent="0.25">
      <c r="A461">
        <v>74.599999999999994</v>
      </c>
    </row>
    <row r="462" spans="1:1" x14ac:dyDescent="0.25">
      <c r="A462">
        <v>74.7</v>
      </c>
    </row>
    <row r="463" spans="1:1" x14ac:dyDescent="0.25">
      <c r="A463">
        <v>74.400000000000006</v>
      </c>
    </row>
    <row r="464" spans="1:1" x14ac:dyDescent="0.25">
      <c r="A464">
        <v>74.2</v>
      </c>
    </row>
    <row r="465" spans="1:1" x14ac:dyDescent="0.25">
      <c r="A465">
        <v>74.400000000000006</v>
      </c>
    </row>
    <row r="466" spans="1:1" x14ac:dyDescent="0.25">
      <c r="A466">
        <v>74.400000000000006</v>
      </c>
    </row>
    <row r="467" spans="1:1" x14ac:dyDescent="0.25">
      <c r="A467">
        <v>73.599999999999994</v>
      </c>
    </row>
    <row r="468" spans="1:1" x14ac:dyDescent="0.25">
      <c r="A468">
        <v>73.400000000000006</v>
      </c>
    </row>
    <row r="469" spans="1:1" x14ac:dyDescent="0.25">
      <c r="A469">
        <v>72.8</v>
      </c>
    </row>
    <row r="470" spans="1:1" x14ac:dyDescent="0.25">
      <c r="A470">
        <v>73.3</v>
      </c>
    </row>
    <row r="471" spans="1:1" x14ac:dyDescent="0.25">
      <c r="A471">
        <v>73</v>
      </c>
    </row>
    <row r="472" spans="1:1" x14ac:dyDescent="0.25">
      <c r="A472">
        <v>73</v>
      </c>
    </row>
    <row r="473" spans="1:1" x14ac:dyDescent="0.25">
      <c r="A473">
        <v>72</v>
      </c>
    </row>
    <row r="474" spans="1:1" x14ac:dyDescent="0.25">
      <c r="A474">
        <v>72</v>
      </c>
    </row>
    <row r="475" spans="1:1" x14ac:dyDescent="0.25">
      <c r="A475">
        <v>71.400000000000006</v>
      </c>
    </row>
    <row r="476" spans="1:1" x14ac:dyDescent="0.25">
      <c r="A476">
        <v>71.7</v>
      </c>
    </row>
    <row r="477" spans="1:1" x14ac:dyDescent="0.25">
      <c r="A477">
        <v>71.2</v>
      </c>
    </row>
    <row r="478" spans="1:1" x14ac:dyDescent="0.25">
      <c r="A478">
        <v>75</v>
      </c>
    </row>
    <row r="479" spans="1:1" x14ac:dyDescent="0.25">
      <c r="A479">
        <v>71</v>
      </c>
    </row>
    <row r="480" spans="1:1" x14ac:dyDescent="0.25">
      <c r="A480">
        <v>70</v>
      </c>
    </row>
    <row r="481" spans="1:1" x14ac:dyDescent="0.25">
      <c r="A481">
        <v>69.900000000000006</v>
      </c>
    </row>
    <row r="482" spans="1:1" x14ac:dyDescent="0.25">
      <c r="A482">
        <v>73</v>
      </c>
    </row>
    <row r="483" spans="1:1" x14ac:dyDescent="0.25">
      <c r="A483">
        <v>68.900000000000006</v>
      </c>
    </row>
    <row r="484" spans="1:1" x14ac:dyDescent="0.25">
      <c r="A484">
        <v>69</v>
      </c>
    </row>
    <row r="485" spans="1:1" x14ac:dyDescent="0.25">
      <c r="A485">
        <v>57.9</v>
      </c>
    </row>
    <row r="486" spans="1:1" x14ac:dyDescent="0.25">
      <c r="A486">
        <v>62.9</v>
      </c>
    </row>
    <row r="487" spans="1:1" x14ac:dyDescent="0.25">
      <c r="A487">
        <v>62.1</v>
      </c>
    </row>
    <row r="488" spans="1:1" x14ac:dyDescent="0.25">
      <c r="A488">
        <v>61.4</v>
      </c>
    </row>
    <row r="489" spans="1:1" x14ac:dyDescent="0.25">
      <c r="A489">
        <v>67</v>
      </c>
    </row>
    <row r="490" spans="1:1" x14ac:dyDescent="0.25">
      <c r="A490">
        <v>62</v>
      </c>
    </row>
    <row r="491" spans="1:1" x14ac:dyDescent="0.25">
      <c r="A491">
        <v>59.7</v>
      </c>
    </row>
    <row r="492" spans="1:1" x14ac:dyDescent="0.25">
      <c r="A492">
        <v>59.4</v>
      </c>
    </row>
    <row r="493" spans="1:1" x14ac:dyDescent="0.25">
      <c r="A493">
        <v>59.1</v>
      </c>
    </row>
    <row r="494" spans="1:1" x14ac:dyDescent="0.25">
      <c r="A494">
        <v>58.8</v>
      </c>
    </row>
    <row r="495" spans="1:1" x14ac:dyDescent="0.25">
      <c r="A495">
        <v>58.5</v>
      </c>
    </row>
    <row r="496" spans="1:1" x14ac:dyDescent="0.25">
      <c r="A496">
        <v>77.3</v>
      </c>
    </row>
    <row r="497" spans="1:1" x14ac:dyDescent="0.25">
      <c r="A497">
        <v>76.900000000000006</v>
      </c>
    </row>
    <row r="498" spans="1:1" x14ac:dyDescent="0.25">
      <c r="A498">
        <v>76.3</v>
      </c>
    </row>
    <row r="499" spans="1:1" x14ac:dyDescent="0.25">
      <c r="A499">
        <v>76.099999999999994</v>
      </c>
    </row>
    <row r="500" spans="1:1" x14ac:dyDescent="0.25">
      <c r="A500">
        <v>75.599999999999994</v>
      </c>
    </row>
    <row r="501" spans="1:1" x14ac:dyDescent="0.25">
      <c r="A501">
        <v>74.900000000000006</v>
      </c>
    </row>
    <row r="502" spans="1:1" x14ac:dyDescent="0.25">
      <c r="A502">
        <v>74.2</v>
      </c>
    </row>
    <row r="503" spans="1:1" x14ac:dyDescent="0.25">
      <c r="A503">
        <v>73</v>
      </c>
    </row>
    <row r="504" spans="1:1" x14ac:dyDescent="0.25">
      <c r="A504">
        <v>73</v>
      </c>
    </row>
    <row r="505" spans="1:1" x14ac:dyDescent="0.25">
      <c r="A505">
        <v>72.8</v>
      </c>
    </row>
    <row r="506" spans="1:1" x14ac:dyDescent="0.25">
      <c r="A506">
        <v>72.3</v>
      </c>
    </row>
    <row r="507" spans="1:1" x14ac:dyDescent="0.25">
      <c r="A507">
        <v>64.2</v>
      </c>
    </row>
    <row r="508" spans="1:1" x14ac:dyDescent="0.25">
      <c r="A508">
        <v>63.7</v>
      </c>
    </row>
    <row r="509" spans="1:1" x14ac:dyDescent="0.25">
      <c r="A509">
        <v>63.3</v>
      </c>
    </row>
    <row r="510" spans="1:1" x14ac:dyDescent="0.25">
      <c r="A510">
        <v>62.6</v>
      </c>
    </row>
    <row r="511" spans="1:1" x14ac:dyDescent="0.25">
      <c r="A511">
        <v>61.8</v>
      </c>
    </row>
    <row r="512" spans="1:1" x14ac:dyDescent="0.25">
      <c r="A512">
        <v>68</v>
      </c>
    </row>
    <row r="513" spans="1:1" x14ac:dyDescent="0.25">
      <c r="A513">
        <v>59.8</v>
      </c>
    </row>
    <row r="514" spans="1:1" x14ac:dyDescent="0.25">
      <c r="A514">
        <v>58.5</v>
      </c>
    </row>
    <row r="515" spans="1:1" x14ac:dyDescent="0.25">
      <c r="A515">
        <v>69.7</v>
      </c>
    </row>
    <row r="516" spans="1:1" x14ac:dyDescent="0.25">
      <c r="A516">
        <v>69.599999999999994</v>
      </c>
    </row>
    <row r="517" spans="1:1" x14ac:dyDescent="0.25">
      <c r="A517">
        <v>69.400000000000006</v>
      </c>
    </row>
    <row r="518" spans="1:1" x14ac:dyDescent="0.25">
      <c r="A518">
        <v>69.2</v>
      </c>
    </row>
    <row r="519" spans="1:1" x14ac:dyDescent="0.25">
      <c r="A519">
        <v>69.099999999999994</v>
      </c>
    </row>
    <row r="520" spans="1:1" x14ac:dyDescent="0.25">
      <c r="A520">
        <v>68.900000000000006</v>
      </c>
    </row>
    <row r="521" spans="1:1" x14ac:dyDescent="0.25">
      <c r="A521">
        <v>68.7</v>
      </c>
    </row>
    <row r="522" spans="1:1" x14ac:dyDescent="0.25">
      <c r="A522">
        <v>68.599999999999994</v>
      </c>
    </row>
    <row r="523" spans="1:1" x14ac:dyDescent="0.25">
      <c r="A523">
        <v>68.5</v>
      </c>
    </row>
    <row r="524" spans="1:1" x14ac:dyDescent="0.25">
      <c r="A524">
        <v>68.3</v>
      </c>
    </row>
    <row r="525" spans="1:1" x14ac:dyDescent="0.25">
      <c r="A525">
        <v>68.099999999999994</v>
      </c>
    </row>
    <row r="526" spans="1:1" x14ac:dyDescent="0.25">
      <c r="A526">
        <v>68</v>
      </c>
    </row>
    <row r="527" spans="1:1" x14ac:dyDescent="0.25">
      <c r="A527">
        <v>67.900000000000006</v>
      </c>
    </row>
    <row r="528" spans="1:1" x14ac:dyDescent="0.25">
      <c r="A528">
        <v>67.8</v>
      </c>
    </row>
    <row r="529" spans="1:1" x14ac:dyDescent="0.25">
      <c r="A529">
        <v>67.7</v>
      </c>
    </row>
    <row r="530" spans="1:1" x14ac:dyDescent="0.25">
      <c r="A530">
        <v>82.2</v>
      </c>
    </row>
    <row r="531" spans="1:1" x14ac:dyDescent="0.25">
      <c r="A531">
        <v>82</v>
      </c>
    </row>
    <row r="532" spans="1:1" x14ac:dyDescent="0.25">
      <c r="A532">
        <v>81.5</v>
      </c>
    </row>
    <row r="533" spans="1:1" x14ac:dyDescent="0.25">
      <c r="A533">
        <v>81.7</v>
      </c>
    </row>
    <row r="534" spans="1:1" x14ac:dyDescent="0.25">
      <c r="A534">
        <v>81.3</v>
      </c>
    </row>
    <row r="535" spans="1:1" x14ac:dyDescent="0.25">
      <c r="A535">
        <v>81.099999999999994</v>
      </c>
    </row>
    <row r="536" spans="1:1" x14ac:dyDescent="0.25">
      <c r="A536">
        <v>89</v>
      </c>
    </row>
    <row r="537" spans="1:1" x14ac:dyDescent="0.25">
      <c r="A537">
        <v>89</v>
      </c>
    </row>
    <row r="538" spans="1:1" x14ac:dyDescent="0.25">
      <c r="A538">
        <v>86</v>
      </c>
    </row>
    <row r="539" spans="1:1" x14ac:dyDescent="0.25">
      <c r="A539">
        <v>81</v>
      </c>
    </row>
    <row r="540" spans="1:1" x14ac:dyDescent="0.25">
      <c r="A540">
        <v>82</v>
      </c>
    </row>
    <row r="541" spans="1:1" x14ac:dyDescent="0.25">
      <c r="A541">
        <v>79.3</v>
      </c>
    </row>
    <row r="542" spans="1:1" x14ac:dyDescent="0.25">
      <c r="A542">
        <v>79.2</v>
      </c>
    </row>
    <row r="543" spans="1:1" x14ac:dyDescent="0.25">
      <c r="A543">
        <v>79</v>
      </c>
    </row>
    <row r="544" spans="1:1" x14ac:dyDescent="0.25">
      <c r="A544">
        <v>78.8</v>
      </c>
    </row>
    <row r="545" spans="1:1" x14ac:dyDescent="0.25">
      <c r="A545">
        <v>65.5</v>
      </c>
    </row>
    <row r="546" spans="1:1" x14ac:dyDescent="0.25">
      <c r="A546">
        <v>64.599999999999994</v>
      </c>
    </row>
    <row r="547" spans="1:1" x14ac:dyDescent="0.25">
      <c r="A547">
        <v>63.5</v>
      </c>
    </row>
    <row r="548" spans="1:1" x14ac:dyDescent="0.25">
      <c r="A548">
        <v>62.8</v>
      </c>
    </row>
    <row r="549" spans="1:1" x14ac:dyDescent="0.25">
      <c r="A549">
        <v>62.3</v>
      </c>
    </row>
    <row r="550" spans="1:1" x14ac:dyDescent="0.25">
      <c r="A550">
        <v>61.7</v>
      </c>
    </row>
    <row r="551" spans="1:1" x14ac:dyDescent="0.25">
      <c r="A551">
        <v>61.6</v>
      </c>
    </row>
    <row r="552" spans="1:1" x14ac:dyDescent="0.25">
      <c r="A552">
        <v>61.6</v>
      </c>
    </row>
    <row r="553" spans="1:1" x14ac:dyDescent="0.25">
      <c r="A553">
        <v>61.4</v>
      </c>
    </row>
    <row r="554" spans="1:1" x14ac:dyDescent="0.25">
      <c r="A554">
        <v>65</v>
      </c>
    </row>
    <row r="555" spans="1:1" x14ac:dyDescent="0.25">
      <c r="A555">
        <v>74.5</v>
      </c>
    </row>
    <row r="556" spans="1:1" x14ac:dyDescent="0.25">
      <c r="A556">
        <v>74.5</v>
      </c>
    </row>
    <row r="557" spans="1:1" x14ac:dyDescent="0.25">
      <c r="A557">
        <v>74.2</v>
      </c>
    </row>
    <row r="558" spans="1:1" x14ac:dyDescent="0.25">
      <c r="A558">
        <v>73.900000000000006</v>
      </c>
    </row>
    <row r="559" spans="1:1" x14ac:dyDescent="0.25">
      <c r="A559">
        <v>73.8</v>
      </c>
    </row>
    <row r="560" spans="1:1" x14ac:dyDescent="0.25">
      <c r="A560">
        <v>73.2</v>
      </c>
    </row>
    <row r="561" spans="1:1" x14ac:dyDescent="0.25">
      <c r="A561">
        <v>73.900000000000006</v>
      </c>
    </row>
    <row r="562" spans="1:1" x14ac:dyDescent="0.25">
      <c r="A562">
        <v>74.400000000000006</v>
      </c>
    </row>
    <row r="563" spans="1:1" x14ac:dyDescent="0.25">
      <c r="A563">
        <v>73.900000000000006</v>
      </c>
    </row>
    <row r="564" spans="1:1" x14ac:dyDescent="0.25">
      <c r="A564">
        <v>73.900000000000006</v>
      </c>
    </row>
    <row r="565" spans="1:1" x14ac:dyDescent="0.25">
      <c r="A565">
        <v>72.3</v>
      </c>
    </row>
    <row r="566" spans="1:1" x14ac:dyDescent="0.25">
      <c r="A566">
        <v>72.7</v>
      </c>
    </row>
    <row r="567" spans="1:1" x14ac:dyDescent="0.25">
      <c r="A567">
        <v>71.7</v>
      </c>
    </row>
    <row r="568" spans="1:1" x14ac:dyDescent="0.25">
      <c r="A568">
        <v>73</v>
      </c>
    </row>
    <row r="569" spans="1:1" x14ac:dyDescent="0.25">
      <c r="A569">
        <v>71.8</v>
      </c>
    </row>
    <row r="570" spans="1:1" x14ac:dyDescent="0.25">
      <c r="A570">
        <v>89</v>
      </c>
    </row>
    <row r="571" spans="1:1" x14ac:dyDescent="0.25">
      <c r="A571">
        <v>86</v>
      </c>
    </row>
    <row r="572" spans="1:1" x14ac:dyDescent="0.25">
      <c r="A572">
        <v>86</v>
      </c>
    </row>
    <row r="573" spans="1:1" x14ac:dyDescent="0.25">
      <c r="A573">
        <v>85</v>
      </c>
    </row>
    <row r="574" spans="1:1" x14ac:dyDescent="0.25">
      <c r="A574">
        <v>81</v>
      </c>
    </row>
    <row r="575" spans="1:1" x14ac:dyDescent="0.25">
      <c r="A575">
        <v>80</v>
      </c>
    </row>
    <row r="576" spans="1:1" x14ac:dyDescent="0.25">
      <c r="A576">
        <v>79.900000000000006</v>
      </c>
    </row>
    <row r="577" spans="1:1" x14ac:dyDescent="0.25">
      <c r="A577">
        <v>79.8</v>
      </c>
    </row>
    <row r="578" spans="1:1" x14ac:dyDescent="0.25">
      <c r="A578">
        <v>79.599999999999994</v>
      </c>
    </row>
    <row r="579" spans="1:1" x14ac:dyDescent="0.25">
      <c r="A579">
        <v>79.2</v>
      </c>
    </row>
    <row r="580" spans="1:1" x14ac:dyDescent="0.25">
      <c r="A580">
        <v>79.099999999999994</v>
      </c>
    </row>
    <row r="581" spans="1:1" x14ac:dyDescent="0.25">
      <c r="A581">
        <v>78.5</v>
      </c>
    </row>
    <row r="582" spans="1:1" x14ac:dyDescent="0.25">
      <c r="A582">
        <v>78.400000000000006</v>
      </c>
    </row>
    <row r="583" spans="1:1" x14ac:dyDescent="0.25">
      <c r="A583">
        <v>78.3</v>
      </c>
    </row>
    <row r="584" spans="1:1" x14ac:dyDescent="0.25">
      <c r="A584">
        <v>78</v>
      </c>
    </row>
    <row r="585" spans="1:1" x14ac:dyDescent="0.25">
      <c r="A585">
        <v>62.1</v>
      </c>
    </row>
    <row r="586" spans="1:1" x14ac:dyDescent="0.25">
      <c r="A586">
        <v>61.9</v>
      </c>
    </row>
    <row r="587" spans="1:1" x14ac:dyDescent="0.25">
      <c r="A587">
        <v>61.6</v>
      </c>
    </row>
    <row r="588" spans="1:1" x14ac:dyDescent="0.25">
      <c r="A588">
        <v>61.2</v>
      </c>
    </row>
    <row r="589" spans="1:1" x14ac:dyDescent="0.25">
      <c r="A589">
        <v>69</v>
      </c>
    </row>
    <row r="590" spans="1:1" x14ac:dyDescent="0.25">
      <c r="A590">
        <v>66</v>
      </c>
    </row>
    <row r="591" spans="1:1" x14ac:dyDescent="0.25">
      <c r="A591">
        <v>63</v>
      </c>
    </row>
    <row r="592" spans="1:1" x14ac:dyDescent="0.25">
      <c r="A592">
        <v>59.9</v>
      </c>
    </row>
    <row r="593" spans="1:1" x14ac:dyDescent="0.25">
      <c r="A593">
        <v>59.4</v>
      </c>
    </row>
    <row r="594" spans="1:1" x14ac:dyDescent="0.25">
      <c r="A594">
        <v>58.9</v>
      </c>
    </row>
    <row r="595" spans="1:1" x14ac:dyDescent="0.25">
      <c r="A595">
        <v>58.3</v>
      </c>
    </row>
    <row r="596" spans="1:1" x14ac:dyDescent="0.25">
      <c r="A596">
        <v>57.9</v>
      </c>
    </row>
    <row r="597" spans="1:1" x14ac:dyDescent="0.25">
      <c r="A597">
        <v>57.6</v>
      </c>
    </row>
    <row r="598" spans="1:1" x14ac:dyDescent="0.25">
      <c r="A598">
        <v>88</v>
      </c>
    </row>
    <row r="599" spans="1:1" x14ac:dyDescent="0.25">
      <c r="A599">
        <v>86</v>
      </c>
    </row>
    <row r="600" spans="1:1" x14ac:dyDescent="0.25">
      <c r="A600">
        <v>84</v>
      </c>
    </row>
    <row r="601" spans="1:1" x14ac:dyDescent="0.25">
      <c r="A601">
        <v>85</v>
      </c>
    </row>
    <row r="602" spans="1:1" x14ac:dyDescent="0.25">
      <c r="A602">
        <v>83</v>
      </c>
    </row>
    <row r="603" spans="1:1" x14ac:dyDescent="0.25">
      <c r="A603">
        <v>80</v>
      </c>
    </row>
    <row r="604" spans="1:1" x14ac:dyDescent="0.25">
      <c r="A604">
        <v>79.900000000000006</v>
      </c>
    </row>
    <row r="605" spans="1:1" x14ac:dyDescent="0.25">
      <c r="A605">
        <v>79.400000000000006</v>
      </c>
    </row>
    <row r="606" spans="1:1" x14ac:dyDescent="0.25">
      <c r="A606">
        <v>79.7</v>
      </c>
    </row>
    <row r="607" spans="1:1" x14ac:dyDescent="0.25">
      <c r="A607">
        <v>79.3</v>
      </c>
    </row>
    <row r="608" spans="1:1" x14ac:dyDescent="0.25">
      <c r="A608">
        <v>79.2</v>
      </c>
    </row>
    <row r="609" spans="1:1" x14ac:dyDescent="0.25">
      <c r="A609">
        <v>79.099999999999994</v>
      </c>
    </row>
    <row r="610" spans="1:1" x14ac:dyDescent="0.25">
      <c r="A610">
        <v>79</v>
      </c>
    </row>
    <row r="611" spans="1:1" x14ac:dyDescent="0.25">
      <c r="A611">
        <v>78.7</v>
      </c>
    </row>
    <row r="612" spans="1:1" x14ac:dyDescent="0.25">
      <c r="A612">
        <v>78.2</v>
      </c>
    </row>
    <row r="613" spans="1:1" x14ac:dyDescent="0.25">
      <c r="A613">
        <v>71.7</v>
      </c>
    </row>
    <row r="614" spans="1:1" x14ac:dyDescent="0.25">
      <c r="A614">
        <v>71.400000000000006</v>
      </c>
    </row>
    <row r="615" spans="1:1" x14ac:dyDescent="0.25">
      <c r="A615">
        <v>71.3</v>
      </c>
    </row>
    <row r="616" spans="1:1" x14ac:dyDescent="0.25">
      <c r="A616">
        <v>71.099999999999994</v>
      </c>
    </row>
    <row r="617" spans="1:1" x14ac:dyDescent="0.25">
      <c r="A617">
        <v>77</v>
      </c>
    </row>
    <row r="618" spans="1:1" x14ac:dyDescent="0.25">
      <c r="A618">
        <v>76</v>
      </c>
    </row>
    <row r="619" spans="1:1" x14ac:dyDescent="0.25">
      <c r="A619">
        <v>79</v>
      </c>
    </row>
    <row r="620" spans="1:1" x14ac:dyDescent="0.25">
      <c r="A620">
        <v>75</v>
      </c>
    </row>
    <row r="621" spans="1:1" x14ac:dyDescent="0.25">
      <c r="A621">
        <v>69.7</v>
      </c>
    </row>
    <row r="622" spans="1:1" x14ac:dyDescent="0.25">
      <c r="A622">
        <v>69.2</v>
      </c>
    </row>
    <row r="623" spans="1:1" x14ac:dyDescent="0.25">
      <c r="A623">
        <v>58.1</v>
      </c>
    </row>
    <row r="624" spans="1:1" x14ac:dyDescent="0.25">
      <c r="A624">
        <v>58.8</v>
      </c>
    </row>
    <row r="625" spans="1:1" x14ac:dyDescent="0.25">
      <c r="A625">
        <v>58.4</v>
      </c>
    </row>
    <row r="626" spans="1:1" x14ac:dyDescent="0.25">
      <c r="A626">
        <v>58.1</v>
      </c>
    </row>
    <row r="627" spans="1:1" x14ac:dyDescent="0.25">
      <c r="A627">
        <v>57.8</v>
      </c>
    </row>
    <row r="628" spans="1:1" x14ac:dyDescent="0.25">
      <c r="A628">
        <v>57.3</v>
      </c>
    </row>
    <row r="629" spans="1:1" x14ac:dyDescent="0.25">
      <c r="A629">
        <v>56.8</v>
      </c>
    </row>
    <row r="630" spans="1:1" x14ac:dyDescent="0.25">
      <c r="A630">
        <v>56.4</v>
      </c>
    </row>
    <row r="631" spans="1:1" x14ac:dyDescent="0.25">
      <c r="A631">
        <v>58.4</v>
      </c>
    </row>
    <row r="632" spans="1:1" x14ac:dyDescent="0.25">
      <c r="A632">
        <v>58.1</v>
      </c>
    </row>
    <row r="633" spans="1:1" x14ac:dyDescent="0.25">
      <c r="A633">
        <v>57.6</v>
      </c>
    </row>
    <row r="634" spans="1:1" x14ac:dyDescent="0.25">
      <c r="A634">
        <v>57.1</v>
      </c>
    </row>
    <row r="635" spans="1:1" x14ac:dyDescent="0.25">
      <c r="A635">
        <v>56.7</v>
      </c>
    </row>
    <row r="636" spans="1:1" x14ac:dyDescent="0.25">
      <c r="A636">
        <v>56.3</v>
      </c>
    </row>
    <row r="637" spans="1:1" x14ac:dyDescent="0.25">
      <c r="A637">
        <v>66</v>
      </c>
    </row>
    <row r="638" spans="1:1" x14ac:dyDescent="0.25">
      <c r="A638">
        <v>65.900000000000006</v>
      </c>
    </row>
    <row r="639" spans="1:1" x14ac:dyDescent="0.25">
      <c r="A639">
        <v>65.8</v>
      </c>
    </row>
    <row r="640" spans="1:1" x14ac:dyDescent="0.25">
      <c r="A640">
        <v>65.599999999999994</v>
      </c>
    </row>
    <row r="641" spans="1:1" x14ac:dyDescent="0.25">
      <c r="A641">
        <v>65.900000000000006</v>
      </c>
    </row>
    <row r="642" spans="1:1" x14ac:dyDescent="0.25">
      <c r="A642">
        <v>66.099999999999994</v>
      </c>
    </row>
    <row r="643" spans="1:1" x14ac:dyDescent="0.25">
      <c r="A643">
        <v>66.3</v>
      </c>
    </row>
    <row r="644" spans="1:1" x14ac:dyDescent="0.25">
      <c r="A644">
        <v>65.7</v>
      </c>
    </row>
    <row r="645" spans="1:1" x14ac:dyDescent="0.25">
      <c r="A645">
        <v>65.2</v>
      </c>
    </row>
    <row r="646" spans="1:1" x14ac:dyDescent="0.25">
      <c r="A646">
        <v>65</v>
      </c>
    </row>
    <row r="647" spans="1:1" x14ac:dyDescent="0.25">
      <c r="A647">
        <v>65.099999999999994</v>
      </c>
    </row>
    <row r="648" spans="1:1" x14ac:dyDescent="0.25">
      <c r="A648">
        <v>65.3</v>
      </c>
    </row>
    <row r="649" spans="1:1" x14ac:dyDescent="0.25">
      <c r="A649">
        <v>65.3</v>
      </c>
    </row>
    <row r="650" spans="1:1" x14ac:dyDescent="0.25">
      <c r="A650">
        <v>65.400000000000006</v>
      </c>
    </row>
    <row r="651" spans="1:1" x14ac:dyDescent="0.25">
      <c r="A651">
        <v>63.1</v>
      </c>
    </row>
    <row r="652" spans="1:1" x14ac:dyDescent="0.25">
      <c r="A652">
        <v>62.7</v>
      </c>
    </row>
    <row r="653" spans="1:1" x14ac:dyDescent="0.25">
      <c r="A653">
        <v>74.5</v>
      </c>
    </row>
    <row r="654" spans="1:1" x14ac:dyDescent="0.25">
      <c r="A654">
        <v>74.3</v>
      </c>
    </row>
    <row r="655" spans="1:1" x14ac:dyDescent="0.25">
      <c r="A655">
        <v>74.099999999999994</v>
      </c>
    </row>
    <row r="656" spans="1:1" x14ac:dyDescent="0.25">
      <c r="A656">
        <v>73.900000000000006</v>
      </c>
    </row>
    <row r="657" spans="1:1" x14ac:dyDescent="0.25">
      <c r="A657">
        <v>73.599999999999994</v>
      </c>
    </row>
    <row r="658" spans="1:1" x14ac:dyDescent="0.25">
      <c r="A658">
        <v>73.400000000000006</v>
      </c>
    </row>
    <row r="659" spans="1:1" x14ac:dyDescent="0.25">
      <c r="A659">
        <v>73.2</v>
      </c>
    </row>
    <row r="660" spans="1:1" x14ac:dyDescent="0.25">
      <c r="A660">
        <v>73</v>
      </c>
    </row>
    <row r="661" spans="1:1" x14ac:dyDescent="0.25">
      <c r="A661">
        <v>72.8</v>
      </c>
    </row>
    <row r="662" spans="1:1" x14ac:dyDescent="0.25">
      <c r="A662">
        <v>72.5</v>
      </c>
    </row>
    <row r="663" spans="1:1" x14ac:dyDescent="0.25">
      <c r="A663">
        <v>72.2</v>
      </c>
    </row>
    <row r="664" spans="1:1" x14ac:dyDescent="0.25">
      <c r="A664">
        <v>71.900000000000006</v>
      </c>
    </row>
    <row r="665" spans="1:1" x14ac:dyDescent="0.25">
      <c r="A665">
        <v>71.599999999999994</v>
      </c>
    </row>
    <row r="666" spans="1:1" x14ac:dyDescent="0.25">
      <c r="A666">
        <v>71.3</v>
      </c>
    </row>
    <row r="667" spans="1:1" x14ac:dyDescent="0.25">
      <c r="A667">
        <v>71</v>
      </c>
    </row>
    <row r="668" spans="1:1" x14ac:dyDescent="0.25">
      <c r="A668">
        <v>68</v>
      </c>
    </row>
    <row r="669" spans="1:1" x14ac:dyDescent="0.25">
      <c r="A669">
        <v>67.599999999999994</v>
      </c>
    </row>
    <row r="670" spans="1:1" x14ac:dyDescent="0.25">
      <c r="A670">
        <v>67.3</v>
      </c>
    </row>
    <row r="671" spans="1:1" x14ac:dyDescent="0.25">
      <c r="A671">
        <v>66.8</v>
      </c>
    </row>
    <row r="672" spans="1:1" x14ac:dyDescent="0.25">
      <c r="A672">
        <v>66.400000000000006</v>
      </c>
    </row>
    <row r="673" spans="1:1" x14ac:dyDescent="0.25">
      <c r="A673">
        <v>66</v>
      </c>
    </row>
    <row r="674" spans="1:1" x14ac:dyDescent="0.25">
      <c r="A674">
        <v>65.5</v>
      </c>
    </row>
    <row r="675" spans="1:1" x14ac:dyDescent="0.25">
      <c r="A675">
        <v>65.2</v>
      </c>
    </row>
    <row r="676" spans="1:1" x14ac:dyDescent="0.25">
      <c r="A676">
        <v>64.8</v>
      </c>
    </row>
    <row r="677" spans="1:1" x14ac:dyDescent="0.25">
      <c r="A677">
        <v>64.400000000000006</v>
      </c>
    </row>
    <row r="678" spans="1:1" x14ac:dyDescent="0.25">
      <c r="A678">
        <v>64</v>
      </c>
    </row>
    <row r="679" spans="1:1" x14ac:dyDescent="0.25">
      <c r="A679">
        <v>68.900000000000006</v>
      </c>
    </row>
    <row r="680" spans="1:1" x14ac:dyDescent="0.25">
      <c r="A680">
        <v>68.7</v>
      </c>
    </row>
    <row r="681" spans="1:1" x14ac:dyDescent="0.25">
      <c r="A681">
        <v>68.5</v>
      </c>
    </row>
    <row r="682" spans="1:1" x14ac:dyDescent="0.25">
      <c r="A682">
        <v>68.3</v>
      </c>
    </row>
    <row r="683" spans="1:1" x14ac:dyDescent="0.25">
      <c r="A683">
        <v>68.099999999999994</v>
      </c>
    </row>
    <row r="684" spans="1:1" x14ac:dyDescent="0.25">
      <c r="A684">
        <v>67.900000000000006</v>
      </c>
    </row>
    <row r="685" spans="1:1" x14ac:dyDescent="0.25">
      <c r="A685">
        <v>67.7</v>
      </c>
    </row>
    <row r="686" spans="1:1" x14ac:dyDescent="0.25">
      <c r="A686">
        <v>67.5</v>
      </c>
    </row>
    <row r="687" spans="1:1" x14ac:dyDescent="0.25">
      <c r="A687">
        <v>67.3</v>
      </c>
    </row>
    <row r="688" spans="1:1" x14ac:dyDescent="0.25">
      <c r="A688">
        <v>67.2</v>
      </c>
    </row>
    <row r="689" spans="1:1" x14ac:dyDescent="0.25">
      <c r="A689">
        <v>65.3</v>
      </c>
    </row>
    <row r="690" spans="1:1" x14ac:dyDescent="0.25">
      <c r="A690">
        <v>66.900000000000006</v>
      </c>
    </row>
    <row r="691" spans="1:1" x14ac:dyDescent="0.25">
      <c r="A691">
        <v>66.7</v>
      </c>
    </row>
    <row r="692" spans="1:1" x14ac:dyDescent="0.25">
      <c r="A692">
        <v>66.5</v>
      </c>
    </row>
    <row r="693" spans="1:1" x14ac:dyDescent="0.25">
      <c r="A693">
        <v>66.3</v>
      </c>
    </row>
    <row r="694" spans="1:1" x14ac:dyDescent="0.25">
      <c r="A694">
        <v>67.900000000000006</v>
      </c>
    </row>
    <row r="695" spans="1:1" x14ac:dyDescent="0.25">
      <c r="A695">
        <v>69.5</v>
      </c>
    </row>
    <row r="696" spans="1:1" x14ac:dyDescent="0.25">
      <c r="A696">
        <v>76</v>
      </c>
    </row>
    <row r="697" spans="1:1" x14ac:dyDescent="0.25">
      <c r="A697">
        <v>77</v>
      </c>
    </row>
    <row r="698" spans="1:1" x14ac:dyDescent="0.25">
      <c r="A698">
        <v>76</v>
      </c>
    </row>
    <row r="699" spans="1:1" x14ac:dyDescent="0.25">
      <c r="A699">
        <v>74</v>
      </c>
    </row>
    <row r="700" spans="1:1" x14ac:dyDescent="0.25">
      <c r="A700">
        <v>69.3</v>
      </c>
    </row>
    <row r="701" spans="1:1" x14ac:dyDescent="0.25">
      <c r="A701">
        <v>65.900000000000006</v>
      </c>
    </row>
    <row r="702" spans="1:1" x14ac:dyDescent="0.25">
      <c r="A702">
        <v>64.7</v>
      </c>
    </row>
    <row r="703" spans="1:1" x14ac:dyDescent="0.25">
      <c r="A703">
        <v>66.8</v>
      </c>
    </row>
    <row r="704" spans="1:1" x14ac:dyDescent="0.25">
      <c r="A704">
        <v>67.2</v>
      </c>
    </row>
    <row r="705" spans="1:1" x14ac:dyDescent="0.25">
      <c r="A705">
        <v>81.2</v>
      </c>
    </row>
    <row r="706" spans="1:1" x14ac:dyDescent="0.25">
      <c r="A706">
        <v>81</v>
      </c>
    </row>
    <row r="707" spans="1:1" x14ac:dyDescent="0.25">
      <c r="A707">
        <v>85</v>
      </c>
    </row>
    <row r="708" spans="1:1" x14ac:dyDescent="0.25">
      <c r="A708">
        <v>84</v>
      </c>
    </row>
    <row r="709" spans="1:1" x14ac:dyDescent="0.25">
      <c r="A709">
        <v>86</v>
      </c>
    </row>
    <row r="710" spans="1:1" x14ac:dyDescent="0.25">
      <c r="A710">
        <v>82.2</v>
      </c>
    </row>
    <row r="711" spans="1:1" x14ac:dyDescent="0.25">
      <c r="A711">
        <v>82.1</v>
      </c>
    </row>
    <row r="712" spans="1:1" x14ac:dyDescent="0.25">
      <c r="A712">
        <v>81.8</v>
      </c>
    </row>
    <row r="713" spans="1:1" x14ac:dyDescent="0.25">
      <c r="A713">
        <v>81.8</v>
      </c>
    </row>
    <row r="714" spans="1:1" x14ac:dyDescent="0.25">
      <c r="A714">
        <v>81.7</v>
      </c>
    </row>
    <row r="715" spans="1:1" x14ac:dyDescent="0.25">
      <c r="A715">
        <v>81.5</v>
      </c>
    </row>
    <row r="716" spans="1:1" x14ac:dyDescent="0.25">
      <c r="A716">
        <v>81</v>
      </c>
    </row>
    <row r="717" spans="1:1" x14ac:dyDescent="0.25">
      <c r="A717">
        <v>84</v>
      </c>
    </row>
    <row r="718" spans="1:1" x14ac:dyDescent="0.25">
      <c r="A718">
        <v>84</v>
      </c>
    </row>
    <row r="719" spans="1:1" x14ac:dyDescent="0.25">
      <c r="A719">
        <v>80</v>
      </c>
    </row>
    <row r="720" spans="1:1" x14ac:dyDescent="0.25">
      <c r="A720">
        <v>81</v>
      </c>
    </row>
    <row r="721" spans="1:1" x14ac:dyDescent="0.25">
      <c r="A721">
        <v>79.7</v>
      </c>
    </row>
    <row r="722" spans="1:1" x14ac:dyDescent="0.25">
      <c r="A722">
        <v>79.3</v>
      </c>
    </row>
    <row r="723" spans="1:1" x14ac:dyDescent="0.25">
      <c r="A723">
        <v>79.3</v>
      </c>
    </row>
    <row r="724" spans="1:1" x14ac:dyDescent="0.25">
      <c r="A724">
        <v>78.900000000000006</v>
      </c>
    </row>
    <row r="725" spans="1:1" x14ac:dyDescent="0.25">
      <c r="A725">
        <v>82.5</v>
      </c>
    </row>
    <row r="726" spans="1:1" x14ac:dyDescent="0.25">
      <c r="A726">
        <v>82.3</v>
      </c>
    </row>
    <row r="727" spans="1:1" x14ac:dyDescent="0.25">
      <c r="A727">
        <v>82</v>
      </c>
    </row>
    <row r="728" spans="1:1" x14ac:dyDescent="0.25">
      <c r="A728">
        <v>82</v>
      </c>
    </row>
    <row r="729" spans="1:1" x14ac:dyDescent="0.25">
      <c r="A729">
        <v>81.8</v>
      </c>
    </row>
    <row r="730" spans="1:1" x14ac:dyDescent="0.25">
      <c r="A730">
        <v>81.599999999999994</v>
      </c>
    </row>
    <row r="731" spans="1:1" x14ac:dyDescent="0.25">
      <c r="A731">
        <v>81.5</v>
      </c>
    </row>
    <row r="732" spans="1:1" x14ac:dyDescent="0.25">
      <c r="A732">
        <v>81.3</v>
      </c>
    </row>
    <row r="733" spans="1:1" x14ac:dyDescent="0.25">
      <c r="A733">
        <v>81.2</v>
      </c>
    </row>
    <row r="734" spans="1:1" x14ac:dyDescent="0.25">
      <c r="A734">
        <v>88</v>
      </c>
    </row>
    <row r="735" spans="1:1" x14ac:dyDescent="0.25">
      <c r="A735">
        <v>89</v>
      </c>
    </row>
    <row r="736" spans="1:1" x14ac:dyDescent="0.25">
      <c r="A736">
        <v>79.900000000000006</v>
      </c>
    </row>
    <row r="737" spans="1:1" x14ac:dyDescent="0.25">
      <c r="A737">
        <v>80</v>
      </c>
    </row>
    <row r="738" spans="1:1" x14ac:dyDescent="0.25">
      <c r="A738">
        <v>79.8</v>
      </c>
    </row>
    <row r="739" spans="1:1" x14ac:dyDescent="0.25">
      <c r="A739">
        <v>79.400000000000006</v>
      </c>
    </row>
    <row r="740" spans="1:1" x14ac:dyDescent="0.25">
      <c r="A740">
        <v>75.8</v>
      </c>
    </row>
    <row r="741" spans="1:1" x14ac:dyDescent="0.25">
      <c r="A741">
        <v>75.599999999999994</v>
      </c>
    </row>
    <row r="742" spans="1:1" x14ac:dyDescent="0.25">
      <c r="A742">
        <v>75.3</v>
      </c>
    </row>
    <row r="743" spans="1:1" x14ac:dyDescent="0.25">
      <c r="A743">
        <v>75.2</v>
      </c>
    </row>
    <row r="744" spans="1:1" x14ac:dyDescent="0.25">
      <c r="A744">
        <v>75</v>
      </c>
    </row>
    <row r="745" spans="1:1" x14ac:dyDescent="0.25">
      <c r="A745">
        <v>74.7</v>
      </c>
    </row>
    <row r="746" spans="1:1" x14ac:dyDescent="0.25">
      <c r="A746">
        <v>74.5</v>
      </c>
    </row>
    <row r="747" spans="1:1" x14ac:dyDescent="0.25">
      <c r="A747">
        <v>74.2</v>
      </c>
    </row>
    <row r="748" spans="1:1" x14ac:dyDescent="0.25">
      <c r="A748">
        <v>74</v>
      </c>
    </row>
    <row r="749" spans="1:1" x14ac:dyDescent="0.25">
      <c r="A749">
        <v>73.5</v>
      </c>
    </row>
    <row r="750" spans="1:1" x14ac:dyDescent="0.25">
      <c r="A750">
        <v>73.3</v>
      </c>
    </row>
    <row r="751" spans="1:1" x14ac:dyDescent="0.25">
      <c r="A751">
        <v>73.099999999999994</v>
      </c>
    </row>
    <row r="752" spans="1:1" x14ac:dyDescent="0.25">
      <c r="A752">
        <v>74</v>
      </c>
    </row>
    <row r="753" spans="1:1" x14ac:dyDescent="0.25">
      <c r="A753">
        <v>73.900000000000006</v>
      </c>
    </row>
    <row r="754" spans="1:1" x14ac:dyDescent="0.25">
      <c r="A754">
        <v>73.7</v>
      </c>
    </row>
    <row r="755" spans="1:1" x14ac:dyDescent="0.25">
      <c r="A755">
        <v>73.599999999999994</v>
      </c>
    </row>
    <row r="756" spans="1:1" x14ac:dyDescent="0.25">
      <c r="A756">
        <v>73.400000000000006</v>
      </c>
    </row>
    <row r="757" spans="1:1" x14ac:dyDescent="0.25">
      <c r="A757">
        <v>73.3</v>
      </c>
    </row>
    <row r="758" spans="1:1" x14ac:dyDescent="0.25">
      <c r="A758">
        <v>73.099999999999994</v>
      </c>
    </row>
    <row r="759" spans="1:1" x14ac:dyDescent="0.25">
      <c r="A759">
        <v>73</v>
      </c>
    </row>
    <row r="760" spans="1:1" x14ac:dyDescent="0.25">
      <c r="A760">
        <v>72.8</v>
      </c>
    </row>
    <row r="761" spans="1:1" x14ac:dyDescent="0.25">
      <c r="A761">
        <v>72.400000000000006</v>
      </c>
    </row>
    <row r="762" spans="1:1" x14ac:dyDescent="0.25">
      <c r="A762">
        <v>72.5</v>
      </c>
    </row>
    <row r="763" spans="1:1" x14ac:dyDescent="0.25">
      <c r="A763">
        <v>72.3</v>
      </c>
    </row>
    <row r="764" spans="1:1" x14ac:dyDescent="0.25">
      <c r="A764">
        <v>72.099999999999994</v>
      </c>
    </row>
    <row r="765" spans="1:1" x14ac:dyDescent="0.25">
      <c r="A765">
        <v>71.900000000000006</v>
      </c>
    </row>
    <row r="766" spans="1:1" x14ac:dyDescent="0.25">
      <c r="A766">
        <v>71.7</v>
      </c>
    </row>
    <row r="767" spans="1:1" x14ac:dyDescent="0.25">
      <c r="A767">
        <v>69.900000000000006</v>
      </c>
    </row>
    <row r="768" spans="1:1" x14ac:dyDescent="0.25">
      <c r="A768">
        <v>69.5</v>
      </c>
    </row>
    <row r="769" spans="1:1" x14ac:dyDescent="0.25">
      <c r="A769">
        <v>69.099999999999994</v>
      </c>
    </row>
    <row r="770" spans="1:1" x14ac:dyDescent="0.25">
      <c r="A770">
        <v>68.5</v>
      </c>
    </row>
    <row r="771" spans="1:1" x14ac:dyDescent="0.25">
      <c r="A771">
        <v>67.8</v>
      </c>
    </row>
    <row r="772" spans="1:1" x14ac:dyDescent="0.25">
      <c r="A772">
        <v>67.8</v>
      </c>
    </row>
    <row r="773" spans="1:1" x14ac:dyDescent="0.25">
      <c r="A773">
        <v>66.599999999999994</v>
      </c>
    </row>
    <row r="774" spans="1:1" x14ac:dyDescent="0.25">
      <c r="A774">
        <v>65.3</v>
      </c>
    </row>
    <row r="775" spans="1:1" x14ac:dyDescent="0.25">
      <c r="A775">
        <v>65</v>
      </c>
    </row>
    <row r="776" spans="1:1" x14ac:dyDescent="0.25">
      <c r="A776">
        <v>64.599999999999994</v>
      </c>
    </row>
    <row r="777" spans="1:1" x14ac:dyDescent="0.25">
      <c r="A777">
        <v>64.7</v>
      </c>
    </row>
    <row r="778" spans="1:1" x14ac:dyDescent="0.25">
      <c r="A778">
        <v>64.400000000000006</v>
      </c>
    </row>
    <row r="779" spans="1:1" x14ac:dyDescent="0.25">
      <c r="A779">
        <v>64.7</v>
      </c>
    </row>
    <row r="780" spans="1:1" x14ac:dyDescent="0.25">
      <c r="A780">
        <v>64.400000000000006</v>
      </c>
    </row>
    <row r="781" spans="1:1" x14ac:dyDescent="0.25">
      <c r="A781">
        <v>63.9</v>
      </c>
    </row>
    <row r="782" spans="1:1" x14ac:dyDescent="0.25">
      <c r="A782">
        <v>62.9</v>
      </c>
    </row>
    <row r="783" spans="1:1" x14ac:dyDescent="0.25">
      <c r="A783">
        <v>62.6</v>
      </c>
    </row>
    <row r="784" spans="1:1" x14ac:dyDescent="0.25">
      <c r="A784">
        <v>62.1</v>
      </c>
    </row>
    <row r="785" spans="1:1" x14ac:dyDescent="0.25">
      <c r="A785">
        <v>61.2</v>
      </c>
    </row>
    <row r="786" spans="1:1" x14ac:dyDescent="0.25">
      <c r="A786">
        <v>63</v>
      </c>
    </row>
    <row r="787" spans="1:1" x14ac:dyDescent="0.25">
      <c r="A787">
        <v>59.1</v>
      </c>
    </row>
    <row r="788" spans="1:1" x14ac:dyDescent="0.25">
      <c r="A788">
        <v>57.9</v>
      </c>
    </row>
    <row r="789" spans="1:1" x14ac:dyDescent="0.25">
      <c r="A789">
        <v>56.8</v>
      </c>
    </row>
    <row r="790" spans="1:1" x14ac:dyDescent="0.25">
      <c r="A790">
        <v>55.3</v>
      </c>
    </row>
    <row r="791" spans="1:1" x14ac:dyDescent="0.25">
      <c r="A791">
        <v>54.1</v>
      </c>
    </row>
    <row r="792" spans="1:1" x14ac:dyDescent="0.25">
      <c r="A792">
        <v>53</v>
      </c>
    </row>
    <row r="793" spans="1:1" x14ac:dyDescent="0.25">
      <c r="A793">
        <v>52.4</v>
      </c>
    </row>
    <row r="794" spans="1:1" x14ac:dyDescent="0.25">
      <c r="A794">
        <v>52.1</v>
      </c>
    </row>
    <row r="795" spans="1:1" x14ac:dyDescent="0.25">
      <c r="A795">
        <v>66.099999999999994</v>
      </c>
    </row>
    <row r="796" spans="1:1" x14ac:dyDescent="0.25">
      <c r="A796">
        <v>65.8</v>
      </c>
    </row>
    <row r="797" spans="1:1" x14ac:dyDescent="0.25">
      <c r="A797">
        <v>65.7</v>
      </c>
    </row>
    <row r="798" spans="1:1" x14ac:dyDescent="0.25">
      <c r="A798">
        <v>65.5</v>
      </c>
    </row>
    <row r="799" spans="1:1" x14ac:dyDescent="0.25">
      <c r="A799">
        <v>65.3</v>
      </c>
    </row>
    <row r="800" spans="1:1" x14ac:dyDescent="0.25">
      <c r="A800">
        <v>65.2</v>
      </c>
    </row>
    <row r="801" spans="1:1" x14ac:dyDescent="0.25">
      <c r="A801">
        <v>65.099999999999994</v>
      </c>
    </row>
    <row r="802" spans="1:1" x14ac:dyDescent="0.25">
      <c r="A802">
        <v>65</v>
      </c>
    </row>
    <row r="803" spans="1:1" x14ac:dyDescent="0.25">
      <c r="A803">
        <v>65</v>
      </c>
    </row>
    <row r="804" spans="1:1" x14ac:dyDescent="0.25">
      <c r="A804">
        <v>64.900000000000006</v>
      </c>
    </row>
    <row r="805" spans="1:1" x14ac:dyDescent="0.25">
      <c r="A805">
        <v>64.8</v>
      </c>
    </row>
    <row r="806" spans="1:1" x14ac:dyDescent="0.25">
      <c r="A806">
        <v>64.7</v>
      </c>
    </row>
    <row r="807" spans="1:1" x14ac:dyDescent="0.25">
      <c r="A807">
        <v>64.599999999999994</v>
      </c>
    </row>
    <row r="808" spans="1:1" x14ac:dyDescent="0.25">
      <c r="A808">
        <v>64.3</v>
      </c>
    </row>
    <row r="809" spans="1:1" x14ac:dyDescent="0.25">
      <c r="A809">
        <v>64.099999999999994</v>
      </c>
    </row>
    <row r="810" spans="1:1" x14ac:dyDescent="0.25">
      <c r="A810">
        <v>74.400000000000006</v>
      </c>
    </row>
    <row r="811" spans="1:1" x14ac:dyDescent="0.25">
      <c r="A811">
        <v>74.099999999999994</v>
      </c>
    </row>
    <row r="812" spans="1:1" x14ac:dyDescent="0.25">
      <c r="A812">
        <v>73.8</v>
      </c>
    </row>
    <row r="813" spans="1:1" x14ac:dyDescent="0.25">
      <c r="A813">
        <v>73.599999999999994</v>
      </c>
    </row>
    <row r="814" spans="1:1" x14ac:dyDescent="0.25">
      <c r="A814">
        <v>72.8</v>
      </c>
    </row>
    <row r="815" spans="1:1" x14ac:dyDescent="0.25">
      <c r="A815">
        <v>72.599999999999994</v>
      </c>
    </row>
    <row r="816" spans="1:1" x14ac:dyDescent="0.25">
      <c r="A816">
        <v>71.900000000000006</v>
      </c>
    </row>
    <row r="817" spans="1:1" x14ac:dyDescent="0.25">
      <c r="A817">
        <v>78</v>
      </c>
    </row>
    <row r="818" spans="1:1" x14ac:dyDescent="0.25">
      <c r="A818">
        <v>75</v>
      </c>
    </row>
    <row r="819" spans="1:1" x14ac:dyDescent="0.25">
      <c r="A819">
        <v>76</v>
      </c>
    </row>
    <row r="820" spans="1:1" x14ac:dyDescent="0.25">
      <c r="A820">
        <v>71</v>
      </c>
    </row>
    <row r="821" spans="1:1" x14ac:dyDescent="0.25">
      <c r="A821">
        <v>78</v>
      </c>
    </row>
    <row r="822" spans="1:1" x14ac:dyDescent="0.25">
      <c r="A822">
        <v>73</v>
      </c>
    </row>
    <row r="823" spans="1:1" x14ac:dyDescent="0.25">
      <c r="A823">
        <v>69.900000000000006</v>
      </c>
    </row>
    <row r="824" spans="1:1" x14ac:dyDescent="0.25">
      <c r="A824">
        <v>71</v>
      </c>
    </row>
    <row r="825" spans="1:1" x14ac:dyDescent="0.25">
      <c r="A825">
        <v>74.8</v>
      </c>
    </row>
    <row r="826" spans="1:1" x14ac:dyDescent="0.25">
      <c r="A826">
        <v>74.900000000000006</v>
      </c>
    </row>
    <row r="827" spans="1:1" x14ac:dyDescent="0.25">
      <c r="A827">
        <v>75</v>
      </c>
    </row>
    <row r="828" spans="1:1" x14ac:dyDescent="0.25">
      <c r="A828">
        <v>75</v>
      </c>
    </row>
    <row r="829" spans="1:1" x14ac:dyDescent="0.25">
      <c r="A829">
        <v>74.900000000000006</v>
      </c>
    </row>
    <row r="830" spans="1:1" x14ac:dyDescent="0.25">
      <c r="A830">
        <v>74.7</v>
      </c>
    </row>
    <row r="831" spans="1:1" x14ac:dyDescent="0.25">
      <c r="A831">
        <v>74.5</v>
      </c>
    </row>
    <row r="832" spans="1:1" x14ac:dyDescent="0.25">
      <c r="A832">
        <v>74.400000000000006</v>
      </c>
    </row>
    <row r="833" spans="1:1" x14ac:dyDescent="0.25">
      <c r="A833">
        <v>74.099999999999994</v>
      </c>
    </row>
    <row r="834" spans="1:1" x14ac:dyDescent="0.25">
      <c r="A834">
        <v>73.900000000000006</v>
      </c>
    </row>
    <row r="835" spans="1:1" x14ac:dyDescent="0.25">
      <c r="A835">
        <v>73.7</v>
      </c>
    </row>
    <row r="836" spans="1:1" x14ac:dyDescent="0.25">
      <c r="A836">
        <v>73.5</v>
      </c>
    </row>
    <row r="837" spans="1:1" x14ac:dyDescent="0.25">
      <c r="A837">
        <v>73.2</v>
      </c>
    </row>
    <row r="838" spans="1:1" x14ac:dyDescent="0.25">
      <c r="A838">
        <v>73</v>
      </c>
    </row>
    <row r="839" spans="1:1" x14ac:dyDescent="0.25">
      <c r="A839">
        <v>72.7</v>
      </c>
    </row>
    <row r="840" spans="1:1" x14ac:dyDescent="0.25">
      <c r="A840">
        <v>52.1</v>
      </c>
    </row>
    <row r="841" spans="1:1" x14ac:dyDescent="0.25">
      <c r="A841">
        <v>52.1</v>
      </c>
    </row>
    <row r="842" spans="1:1" x14ac:dyDescent="0.25">
      <c r="A842">
        <v>52.2</v>
      </c>
    </row>
    <row r="843" spans="1:1" x14ac:dyDescent="0.25">
      <c r="A843">
        <v>52.3</v>
      </c>
    </row>
    <row r="844" spans="1:1" x14ac:dyDescent="0.25">
      <c r="A844">
        <v>51.1</v>
      </c>
    </row>
    <row r="845" spans="1:1" x14ac:dyDescent="0.25">
      <c r="A845">
        <v>49.4</v>
      </c>
    </row>
    <row r="846" spans="1:1" x14ac:dyDescent="0.25">
      <c r="A846">
        <v>47.8</v>
      </c>
    </row>
    <row r="847" spans="1:1" x14ac:dyDescent="0.25">
      <c r="A847">
        <v>46.2</v>
      </c>
    </row>
    <row r="848" spans="1:1" x14ac:dyDescent="0.25">
      <c r="A848">
        <v>45.3</v>
      </c>
    </row>
    <row r="849" spans="1:1" x14ac:dyDescent="0.25">
      <c r="A849">
        <v>44.5</v>
      </c>
    </row>
    <row r="850" spans="1:1" x14ac:dyDescent="0.25">
      <c r="A850">
        <v>44.8</v>
      </c>
    </row>
    <row r="851" spans="1:1" x14ac:dyDescent="0.25">
      <c r="A851">
        <v>45.5</v>
      </c>
    </row>
    <row r="852" spans="1:1" x14ac:dyDescent="0.25">
      <c r="A852">
        <v>58.1</v>
      </c>
    </row>
    <row r="853" spans="1:1" x14ac:dyDescent="0.25">
      <c r="A853">
        <v>61.1</v>
      </c>
    </row>
    <row r="854" spans="1:1" x14ac:dyDescent="0.25">
      <c r="A854">
        <v>67</v>
      </c>
    </row>
    <row r="855" spans="1:1" x14ac:dyDescent="0.25">
      <c r="A855">
        <v>62</v>
      </c>
    </row>
    <row r="856" spans="1:1" x14ac:dyDescent="0.25">
      <c r="A856">
        <v>59.7</v>
      </c>
    </row>
    <row r="857" spans="1:1" x14ac:dyDescent="0.25">
      <c r="A857">
        <v>59.2</v>
      </c>
    </row>
    <row r="858" spans="1:1" x14ac:dyDescent="0.25">
      <c r="A858">
        <v>58.6</v>
      </c>
    </row>
    <row r="859" spans="1:1" x14ac:dyDescent="0.25">
      <c r="A859">
        <v>73.400000000000006</v>
      </c>
    </row>
    <row r="860" spans="1:1" x14ac:dyDescent="0.25">
      <c r="A860">
        <v>73</v>
      </c>
    </row>
    <row r="861" spans="1:1" x14ac:dyDescent="0.25">
      <c r="A861">
        <v>73</v>
      </c>
    </row>
    <row r="862" spans="1:1" x14ac:dyDescent="0.25">
      <c r="A862">
        <v>72.8</v>
      </c>
    </row>
    <row r="863" spans="1:1" x14ac:dyDescent="0.25">
      <c r="A863">
        <v>72.400000000000006</v>
      </c>
    </row>
    <row r="864" spans="1:1" x14ac:dyDescent="0.25">
      <c r="A864">
        <v>72.2</v>
      </c>
    </row>
    <row r="865" spans="1:1" x14ac:dyDescent="0.25">
      <c r="A865">
        <v>71.099999999999994</v>
      </c>
    </row>
    <row r="866" spans="1:1" x14ac:dyDescent="0.25">
      <c r="A866">
        <v>72</v>
      </c>
    </row>
    <row r="867" spans="1:1" x14ac:dyDescent="0.25">
      <c r="A867">
        <v>76</v>
      </c>
    </row>
    <row r="868" spans="1:1" x14ac:dyDescent="0.25">
      <c r="A868">
        <v>78</v>
      </c>
    </row>
    <row r="869" spans="1:1" x14ac:dyDescent="0.25">
      <c r="A869">
        <v>71.599999999999994</v>
      </c>
    </row>
    <row r="870" spans="1:1" x14ac:dyDescent="0.25">
      <c r="A870">
        <v>71.599999999999994</v>
      </c>
    </row>
    <row r="871" spans="1:1" x14ac:dyDescent="0.25">
      <c r="A871">
        <v>71.400000000000006</v>
      </c>
    </row>
    <row r="872" spans="1:1" x14ac:dyDescent="0.25">
      <c r="A872">
        <v>71.2</v>
      </c>
    </row>
    <row r="873" spans="1:1" x14ac:dyDescent="0.25">
      <c r="A873">
        <v>71.599999999999994</v>
      </c>
    </row>
    <row r="874" spans="1:1" x14ac:dyDescent="0.25">
      <c r="A874">
        <v>81.7</v>
      </c>
    </row>
    <row r="875" spans="1:1" x14ac:dyDescent="0.25">
      <c r="A875">
        <v>81.400000000000006</v>
      </c>
    </row>
    <row r="876" spans="1:1" x14ac:dyDescent="0.25">
      <c r="A876">
        <v>81.099999999999994</v>
      </c>
    </row>
    <row r="877" spans="1:1" x14ac:dyDescent="0.25">
      <c r="A877">
        <v>88</v>
      </c>
    </row>
    <row r="878" spans="1:1" x14ac:dyDescent="0.25">
      <c r="A878">
        <v>86</v>
      </c>
    </row>
    <row r="879" spans="1:1" x14ac:dyDescent="0.25">
      <c r="A879">
        <v>83</v>
      </c>
    </row>
    <row r="880" spans="1:1" x14ac:dyDescent="0.25">
      <c r="A880">
        <v>80</v>
      </c>
    </row>
    <row r="881" spans="1:1" x14ac:dyDescent="0.25">
      <c r="A881">
        <v>79.7</v>
      </c>
    </row>
    <row r="882" spans="1:1" x14ac:dyDescent="0.25">
      <c r="A882">
        <v>79.400000000000006</v>
      </c>
    </row>
    <row r="883" spans="1:1" x14ac:dyDescent="0.25">
      <c r="A883">
        <v>78.8</v>
      </c>
    </row>
    <row r="884" spans="1:1" x14ac:dyDescent="0.25">
      <c r="A884">
        <v>78.7</v>
      </c>
    </row>
    <row r="885" spans="1:1" x14ac:dyDescent="0.25">
      <c r="A885">
        <v>78.599999999999994</v>
      </c>
    </row>
    <row r="886" spans="1:1" x14ac:dyDescent="0.25">
      <c r="A886">
        <v>78.3</v>
      </c>
    </row>
    <row r="887" spans="1:1" x14ac:dyDescent="0.25">
      <c r="A887">
        <v>78</v>
      </c>
    </row>
    <row r="888" spans="1:1" x14ac:dyDescent="0.25">
      <c r="A888">
        <v>77.8</v>
      </c>
    </row>
    <row r="889" spans="1:1" x14ac:dyDescent="0.25">
      <c r="A889">
        <v>65.099999999999994</v>
      </c>
    </row>
    <row r="890" spans="1:1" x14ac:dyDescent="0.25">
      <c r="A890">
        <v>64.7</v>
      </c>
    </row>
    <row r="891" spans="1:1" x14ac:dyDescent="0.25">
      <c r="A891">
        <v>64.3</v>
      </c>
    </row>
    <row r="892" spans="1:1" x14ac:dyDescent="0.25">
      <c r="A892">
        <v>63.8</v>
      </c>
    </row>
    <row r="893" spans="1:1" x14ac:dyDescent="0.25">
      <c r="A893">
        <v>63.3</v>
      </c>
    </row>
    <row r="894" spans="1:1" x14ac:dyDescent="0.25">
      <c r="A894">
        <v>62.8</v>
      </c>
    </row>
    <row r="895" spans="1:1" x14ac:dyDescent="0.25">
      <c r="A895">
        <v>62.3</v>
      </c>
    </row>
    <row r="896" spans="1:1" x14ac:dyDescent="0.25">
      <c r="A896">
        <v>61.9</v>
      </c>
    </row>
    <row r="897" spans="1:1" x14ac:dyDescent="0.25">
      <c r="A897">
        <v>61.4</v>
      </c>
    </row>
    <row r="898" spans="1:1" x14ac:dyDescent="0.25">
      <c r="A898">
        <v>69</v>
      </c>
    </row>
    <row r="899" spans="1:1" x14ac:dyDescent="0.25">
      <c r="A899">
        <v>64</v>
      </c>
    </row>
    <row r="900" spans="1:1" x14ac:dyDescent="0.25">
      <c r="A900">
        <v>59.9</v>
      </c>
    </row>
    <row r="901" spans="1:1" x14ac:dyDescent="0.25">
      <c r="A901">
        <v>59.3</v>
      </c>
    </row>
    <row r="902" spans="1:1" x14ac:dyDescent="0.25">
      <c r="A902">
        <v>57.6</v>
      </c>
    </row>
    <row r="903" spans="1:1" x14ac:dyDescent="0.25">
      <c r="A903">
        <v>56.7</v>
      </c>
    </row>
    <row r="904" spans="1:1" x14ac:dyDescent="0.25">
      <c r="A904">
        <v>55.3</v>
      </c>
    </row>
    <row r="905" spans="1:1" x14ac:dyDescent="0.25">
      <c r="A905">
        <v>54.1</v>
      </c>
    </row>
    <row r="906" spans="1:1" x14ac:dyDescent="0.25">
      <c r="A906">
        <v>52.9</v>
      </c>
    </row>
    <row r="907" spans="1:1" x14ac:dyDescent="0.25">
      <c r="A907">
        <v>51.5</v>
      </c>
    </row>
    <row r="908" spans="1:1" x14ac:dyDescent="0.25">
      <c r="A908">
        <v>50</v>
      </c>
    </row>
    <row r="909" spans="1:1" x14ac:dyDescent="0.25">
      <c r="A909">
        <v>48.5</v>
      </c>
    </row>
    <row r="910" spans="1:1" x14ac:dyDescent="0.25">
      <c r="A910">
        <v>47.1</v>
      </c>
    </row>
    <row r="911" spans="1:1" x14ac:dyDescent="0.25">
      <c r="A911">
        <v>46</v>
      </c>
    </row>
    <row r="912" spans="1:1" x14ac:dyDescent="0.25">
      <c r="A912">
        <v>45.1</v>
      </c>
    </row>
    <row r="913" spans="1:1" x14ac:dyDescent="0.25">
      <c r="A913">
        <v>44.6</v>
      </c>
    </row>
    <row r="914" spans="1:1" x14ac:dyDescent="0.25">
      <c r="A914">
        <v>44</v>
      </c>
    </row>
    <row r="915" spans="1:1" x14ac:dyDescent="0.25">
      <c r="A915">
        <v>74.8</v>
      </c>
    </row>
    <row r="916" spans="1:1" x14ac:dyDescent="0.25">
      <c r="A916">
        <v>74.599999999999994</v>
      </c>
    </row>
    <row r="917" spans="1:1" x14ac:dyDescent="0.25">
      <c r="A917">
        <v>74.5</v>
      </c>
    </row>
    <row r="918" spans="1:1" x14ac:dyDescent="0.25">
      <c r="A918">
        <v>74.3</v>
      </c>
    </row>
    <row r="919" spans="1:1" x14ac:dyDescent="0.25">
      <c r="A919">
        <v>74.099999999999994</v>
      </c>
    </row>
    <row r="920" spans="1:1" x14ac:dyDescent="0.25">
      <c r="A920">
        <v>74</v>
      </c>
    </row>
    <row r="921" spans="1:1" x14ac:dyDescent="0.25">
      <c r="A921">
        <v>73.8</v>
      </c>
    </row>
    <row r="922" spans="1:1" x14ac:dyDescent="0.25">
      <c r="A922">
        <v>73.7</v>
      </c>
    </row>
    <row r="923" spans="1:1" x14ac:dyDescent="0.25">
      <c r="A923">
        <v>73.599999999999994</v>
      </c>
    </row>
    <row r="924" spans="1:1" x14ac:dyDescent="0.25">
      <c r="A924">
        <v>73.400000000000006</v>
      </c>
    </row>
    <row r="925" spans="1:1" x14ac:dyDescent="0.25">
      <c r="A925">
        <v>73.2</v>
      </c>
    </row>
    <row r="926" spans="1:1" x14ac:dyDescent="0.25">
      <c r="A926">
        <v>73.099999999999994</v>
      </c>
    </row>
    <row r="927" spans="1:1" x14ac:dyDescent="0.25">
      <c r="A927">
        <v>72.900000000000006</v>
      </c>
    </row>
    <row r="928" spans="1:1" x14ac:dyDescent="0.25">
      <c r="A928">
        <v>72.7</v>
      </c>
    </row>
    <row r="929" spans="1:1" x14ac:dyDescent="0.25">
      <c r="A929">
        <v>72.400000000000006</v>
      </c>
    </row>
    <row r="930" spans="1:1" x14ac:dyDescent="0.25">
      <c r="A930">
        <v>78.2</v>
      </c>
    </row>
    <row r="931" spans="1:1" x14ac:dyDescent="0.25">
      <c r="A931">
        <v>77.900000000000006</v>
      </c>
    </row>
    <row r="932" spans="1:1" x14ac:dyDescent="0.25">
      <c r="A932">
        <v>77.599999999999994</v>
      </c>
    </row>
    <row r="933" spans="1:1" x14ac:dyDescent="0.25">
      <c r="A933">
        <v>77.3</v>
      </c>
    </row>
    <row r="934" spans="1:1" x14ac:dyDescent="0.25">
      <c r="A934">
        <v>76.7</v>
      </c>
    </row>
    <row r="935" spans="1:1" x14ac:dyDescent="0.25">
      <c r="A935">
        <v>76.3</v>
      </c>
    </row>
    <row r="936" spans="1:1" x14ac:dyDescent="0.25">
      <c r="A936">
        <v>75.900000000000006</v>
      </c>
    </row>
    <row r="937" spans="1:1" x14ac:dyDescent="0.25">
      <c r="A937">
        <v>75.400000000000006</v>
      </c>
    </row>
    <row r="938" spans="1:1" x14ac:dyDescent="0.25">
      <c r="A938">
        <v>75</v>
      </c>
    </row>
    <row r="939" spans="1:1" x14ac:dyDescent="0.25">
      <c r="A939">
        <v>74.3</v>
      </c>
    </row>
    <row r="940" spans="1:1" x14ac:dyDescent="0.25">
      <c r="A940">
        <v>73.400000000000006</v>
      </c>
    </row>
    <row r="941" spans="1:1" x14ac:dyDescent="0.25">
      <c r="A941">
        <v>72.7</v>
      </c>
    </row>
    <row r="942" spans="1:1" x14ac:dyDescent="0.25">
      <c r="A942">
        <v>71.8</v>
      </c>
    </row>
    <row r="943" spans="1:1" x14ac:dyDescent="0.25">
      <c r="A943">
        <v>78</v>
      </c>
    </row>
    <row r="944" spans="1:1" x14ac:dyDescent="0.25">
      <c r="A944">
        <v>69.599999999999994</v>
      </c>
    </row>
    <row r="945" spans="1:1" x14ac:dyDescent="0.25">
      <c r="A945">
        <v>57.8</v>
      </c>
    </row>
    <row r="946" spans="1:1" x14ac:dyDescent="0.25">
      <c r="A946">
        <v>57.3</v>
      </c>
    </row>
    <row r="947" spans="1:1" x14ac:dyDescent="0.25">
      <c r="A947">
        <v>57.2</v>
      </c>
    </row>
    <row r="948" spans="1:1" x14ac:dyDescent="0.25">
      <c r="A948">
        <v>56.8</v>
      </c>
    </row>
    <row r="949" spans="1:1" x14ac:dyDescent="0.25">
      <c r="A949">
        <v>56.5</v>
      </c>
    </row>
    <row r="950" spans="1:1" x14ac:dyDescent="0.25">
      <c r="A950">
        <v>56</v>
      </c>
    </row>
    <row r="951" spans="1:1" x14ac:dyDescent="0.25">
      <c r="A951">
        <v>55.5</v>
      </c>
    </row>
    <row r="952" spans="1:1" x14ac:dyDescent="0.25">
      <c r="A952">
        <v>55</v>
      </c>
    </row>
    <row r="953" spans="1:1" x14ac:dyDescent="0.25">
      <c r="A953">
        <v>54.3</v>
      </c>
    </row>
    <row r="954" spans="1:1" x14ac:dyDescent="0.25">
      <c r="A954">
        <v>53.6</v>
      </c>
    </row>
    <row r="955" spans="1:1" x14ac:dyDescent="0.25">
      <c r="A955">
        <v>52.8</v>
      </c>
    </row>
    <row r="956" spans="1:1" x14ac:dyDescent="0.25">
      <c r="A956">
        <v>52</v>
      </c>
    </row>
    <row r="957" spans="1:1" x14ac:dyDescent="0.25">
      <c r="A957">
        <v>81.400000000000006</v>
      </c>
    </row>
    <row r="958" spans="1:1" x14ac:dyDescent="0.25">
      <c r="A958">
        <v>81.099999999999994</v>
      </c>
    </row>
    <row r="959" spans="1:1" x14ac:dyDescent="0.25">
      <c r="A959">
        <v>81</v>
      </c>
    </row>
    <row r="960" spans="1:1" x14ac:dyDescent="0.25">
      <c r="A960">
        <v>87</v>
      </c>
    </row>
    <row r="961" spans="1:1" x14ac:dyDescent="0.25">
      <c r="A961">
        <v>83</v>
      </c>
    </row>
    <row r="962" spans="1:1" x14ac:dyDescent="0.25">
      <c r="A962">
        <v>82</v>
      </c>
    </row>
    <row r="963" spans="1:1" x14ac:dyDescent="0.25">
      <c r="A963">
        <v>80</v>
      </c>
    </row>
    <row r="964" spans="1:1" x14ac:dyDescent="0.25">
      <c r="A964">
        <v>79.599999999999994</v>
      </c>
    </row>
    <row r="965" spans="1:1" x14ac:dyDescent="0.25">
      <c r="A965">
        <v>79.3</v>
      </c>
    </row>
    <row r="966" spans="1:1" x14ac:dyDescent="0.25">
      <c r="A966">
        <v>79</v>
      </c>
    </row>
    <row r="967" spans="1:1" x14ac:dyDescent="0.25">
      <c r="A967">
        <v>78.7</v>
      </c>
    </row>
    <row r="968" spans="1:1" x14ac:dyDescent="0.25">
      <c r="A968">
        <v>78.5</v>
      </c>
    </row>
    <row r="969" spans="1:1" x14ac:dyDescent="0.25">
      <c r="A969">
        <v>63</v>
      </c>
    </row>
    <row r="970" spans="1:1" x14ac:dyDescent="0.25">
      <c r="A970">
        <v>62.7</v>
      </c>
    </row>
    <row r="971" spans="1:1" x14ac:dyDescent="0.25">
      <c r="A971">
        <v>62.5</v>
      </c>
    </row>
    <row r="972" spans="1:1" x14ac:dyDescent="0.25">
      <c r="A972">
        <v>62.2</v>
      </c>
    </row>
    <row r="973" spans="1:1" x14ac:dyDescent="0.25">
      <c r="A973">
        <v>62</v>
      </c>
    </row>
    <row r="974" spans="1:1" x14ac:dyDescent="0.25">
      <c r="A974">
        <v>61.7</v>
      </c>
    </row>
    <row r="975" spans="1:1" x14ac:dyDescent="0.25">
      <c r="A975">
        <v>61.4</v>
      </c>
    </row>
    <row r="976" spans="1:1" x14ac:dyDescent="0.25">
      <c r="A976">
        <v>61.2</v>
      </c>
    </row>
    <row r="977" spans="1:1" x14ac:dyDescent="0.25">
      <c r="A977">
        <v>69</v>
      </c>
    </row>
    <row r="978" spans="1:1" x14ac:dyDescent="0.25">
      <c r="A978">
        <v>66</v>
      </c>
    </row>
    <row r="979" spans="1:1" x14ac:dyDescent="0.25">
      <c r="A979">
        <v>74.2</v>
      </c>
    </row>
    <row r="980" spans="1:1" x14ac:dyDescent="0.25">
      <c r="A980">
        <v>74.099999999999994</v>
      </c>
    </row>
    <row r="981" spans="1:1" x14ac:dyDescent="0.25">
      <c r="A981">
        <v>73.900000000000006</v>
      </c>
    </row>
    <row r="982" spans="1:1" x14ac:dyDescent="0.25">
      <c r="A982">
        <v>73.599999999999994</v>
      </c>
    </row>
    <row r="983" spans="1:1" x14ac:dyDescent="0.25">
      <c r="A983">
        <v>73.3</v>
      </c>
    </row>
    <row r="984" spans="1:1" x14ac:dyDescent="0.25">
      <c r="A984">
        <v>72.8</v>
      </c>
    </row>
    <row r="985" spans="1:1" x14ac:dyDescent="0.25">
      <c r="A985">
        <v>72.7</v>
      </c>
    </row>
    <row r="986" spans="1:1" x14ac:dyDescent="0.25">
      <c r="A986">
        <v>72.900000000000006</v>
      </c>
    </row>
    <row r="987" spans="1:1" x14ac:dyDescent="0.25">
      <c r="A987">
        <v>71.8</v>
      </c>
    </row>
    <row r="988" spans="1:1" x14ac:dyDescent="0.25">
      <c r="A988">
        <v>72.099999999999994</v>
      </c>
    </row>
    <row r="989" spans="1:1" x14ac:dyDescent="0.25">
      <c r="A989">
        <v>71.900000000000006</v>
      </c>
    </row>
    <row r="990" spans="1:1" x14ac:dyDescent="0.25">
      <c r="A990">
        <v>71.5</v>
      </c>
    </row>
    <row r="991" spans="1:1" x14ac:dyDescent="0.25">
      <c r="A991">
        <v>71.5</v>
      </c>
    </row>
    <row r="992" spans="1:1" x14ac:dyDescent="0.25">
      <c r="A992">
        <v>71.5</v>
      </c>
    </row>
    <row r="993" spans="1:1" x14ac:dyDescent="0.25">
      <c r="A993">
        <v>71</v>
      </c>
    </row>
    <row r="994" spans="1:1" x14ac:dyDescent="0.25">
      <c r="A994">
        <v>76.599999999999994</v>
      </c>
    </row>
    <row r="995" spans="1:1" x14ac:dyDescent="0.25">
      <c r="A995">
        <v>76.599999999999994</v>
      </c>
    </row>
    <row r="996" spans="1:1" x14ac:dyDescent="0.25">
      <c r="A996">
        <v>76.3</v>
      </c>
    </row>
    <row r="997" spans="1:1" x14ac:dyDescent="0.25">
      <c r="A997">
        <v>76.099999999999994</v>
      </c>
    </row>
    <row r="998" spans="1:1" x14ac:dyDescent="0.25">
      <c r="A998">
        <v>75.599999999999994</v>
      </c>
    </row>
    <row r="999" spans="1:1" x14ac:dyDescent="0.25">
      <c r="A999">
        <v>75.7</v>
      </c>
    </row>
    <row r="1000" spans="1:1" x14ac:dyDescent="0.25">
      <c r="A1000">
        <v>75.599999999999994</v>
      </c>
    </row>
    <row r="1001" spans="1:1" x14ac:dyDescent="0.25">
      <c r="A1001">
        <v>76</v>
      </c>
    </row>
    <row r="1002" spans="1:1" x14ac:dyDescent="0.25">
      <c r="A1002">
        <v>75.8</v>
      </c>
    </row>
    <row r="1003" spans="1:1" x14ac:dyDescent="0.25">
      <c r="A1003">
        <v>75.3</v>
      </c>
    </row>
    <row r="1004" spans="1:1" x14ac:dyDescent="0.25">
      <c r="A1004">
        <v>75.400000000000006</v>
      </c>
    </row>
    <row r="1005" spans="1:1" x14ac:dyDescent="0.25">
      <c r="A1005">
        <v>75</v>
      </c>
    </row>
    <row r="1006" spans="1:1" x14ac:dyDescent="0.25">
      <c r="A1006">
        <v>75</v>
      </c>
    </row>
    <row r="1007" spans="1:1" x14ac:dyDescent="0.25">
      <c r="A1007">
        <v>75</v>
      </c>
    </row>
    <row r="1008" spans="1:1" x14ac:dyDescent="0.25">
      <c r="A1008">
        <v>74.8</v>
      </c>
    </row>
    <row r="1009" spans="1:1" x14ac:dyDescent="0.25">
      <c r="A1009">
        <v>68.400000000000006</v>
      </c>
    </row>
    <row r="1010" spans="1:1" x14ac:dyDescent="0.25">
      <c r="A1010">
        <v>68.099999999999994</v>
      </c>
    </row>
    <row r="1011" spans="1:1" x14ac:dyDescent="0.25">
      <c r="A1011">
        <v>67.8</v>
      </c>
    </row>
    <row r="1012" spans="1:1" x14ac:dyDescent="0.25">
      <c r="A1012">
        <v>67.3</v>
      </c>
    </row>
    <row r="1013" spans="1:1" x14ac:dyDescent="0.25">
      <c r="A1013">
        <v>66.3</v>
      </c>
    </row>
    <row r="1014" spans="1:1" x14ac:dyDescent="0.25">
      <c r="A1014">
        <v>66.900000000000006</v>
      </c>
    </row>
    <row r="1015" spans="1:1" x14ac:dyDescent="0.25">
      <c r="A1015">
        <v>67.400000000000006</v>
      </c>
    </row>
    <row r="1016" spans="1:1" x14ac:dyDescent="0.25">
      <c r="A1016">
        <v>65.900000000000006</v>
      </c>
    </row>
    <row r="1017" spans="1:1" x14ac:dyDescent="0.25">
      <c r="A1017">
        <v>65</v>
      </c>
    </row>
    <row r="1018" spans="1:1" x14ac:dyDescent="0.25">
      <c r="A1018">
        <v>64.5</v>
      </c>
    </row>
    <row r="1019" spans="1:1" x14ac:dyDescent="0.25">
      <c r="A1019">
        <v>64</v>
      </c>
    </row>
    <row r="1020" spans="1:1" x14ac:dyDescent="0.25">
      <c r="A1020">
        <v>64</v>
      </c>
    </row>
    <row r="1021" spans="1:1" x14ac:dyDescent="0.25">
      <c r="A1021">
        <v>63.8</v>
      </c>
    </row>
    <row r="1022" spans="1:1" x14ac:dyDescent="0.25">
      <c r="A1022">
        <v>63.2</v>
      </c>
    </row>
    <row r="1023" spans="1:1" x14ac:dyDescent="0.25">
      <c r="A1023">
        <v>62.8</v>
      </c>
    </row>
    <row r="1024" spans="1:1" x14ac:dyDescent="0.25">
      <c r="A1024">
        <v>75.900000000000006</v>
      </c>
    </row>
    <row r="1025" spans="1:1" x14ac:dyDescent="0.25">
      <c r="A1025">
        <v>75.8</v>
      </c>
    </row>
    <row r="1026" spans="1:1" x14ac:dyDescent="0.25">
      <c r="A1026">
        <v>75.599999999999994</v>
      </c>
    </row>
    <row r="1027" spans="1:1" x14ac:dyDescent="0.25">
      <c r="A1027">
        <v>75.400000000000006</v>
      </c>
    </row>
    <row r="1028" spans="1:1" x14ac:dyDescent="0.25">
      <c r="A1028">
        <v>75.3</v>
      </c>
    </row>
    <row r="1029" spans="1:1" x14ac:dyDescent="0.25">
      <c r="A1029">
        <v>75</v>
      </c>
    </row>
    <row r="1030" spans="1:1" x14ac:dyDescent="0.25">
      <c r="A1030">
        <v>74.599999999999994</v>
      </c>
    </row>
    <row r="1031" spans="1:1" x14ac:dyDescent="0.25">
      <c r="A1031">
        <v>74.2</v>
      </c>
    </row>
    <row r="1032" spans="1:1" x14ac:dyDescent="0.25">
      <c r="A1032">
        <v>73.8</v>
      </c>
    </row>
    <row r="1033" spans="1:1" x14ac:dyDescent="0.25">
      <c r="A1033">
        <v>74.099999999999994</v>
      </c>
    </row>
    <row r="1034" spans="1:1" x14ac:dyDescent="0.25">
      <c r="A1034">
        <v>73.900000000000006</v>
      </c>
    </row>
    <row r="1035" spans="1:1" x14ac:dyDescent="0.25">
      <c r="A1035">
        <v>73.599999999999994</v>
      </c>
    </row>
    <row r="1036" spans="1:1" x14ac:dyDescent="0.25">
      <c r="A1036">
        <v>73.3</v>
      </c>
    </row>
    <row r="1037" spans="1:1" x14ac:dyDescent="0.25">
      <c r="A1037">
        <v>72.8</v>
      </c>
    </row>
    <row r="1038" spans="1:1" x14ac:dyDescent="0.25">
      <c r="A1038">
        <v>72.3</v>
      </c>
    </row>
    <row r="1039" spans="1:1" x14ac:dyDescent="0.25">
      <c r="A1039">
        <v>71.8</v>
      </c>
    </row>
    <row r="1040" spans="1:1" x14ac:dyDescent="0.25">
      <c r="A1040">
        <v>71.400000000000006</v>
      </c>
    </row>
    <row r="1041" spans="1:1" x14ac:dyDescent="0.25">
      <c r="A1041">
        <v>71</v>
      </c>
    </row>
    <row r="1042" spans="1:1" x14ac:dyDescent="0.25">
      <c r="A1042">
        <v>77</v>
      </c>
    </row>
    <row r="1043" spans="1:1" x14ac:dyDescent="0.25">
      <c r="A1043">
        <v>72</v>
      </c>
    </row>
    <row r="1044" spans="1:1" x14ac:dyDescent="0.25">
      <c r="A1044">
        <v>69.900000000000006</v>
      </c>
    </row>
    <row r="1045" spans="1:1" x14ac:dyDescent="0.25">
      <c r="A1045">
        <v>69.5</v>
      </c>
    </row>
    <row r="1046" spans="1:1" x14ac:dyDescent="0.25">
      <c r="A1046">
        <v>69</v>
      </c>
    </row>
    <row r="1047" spans="1:1" x14ac:dyDescent="0.25">
      <c r="A1047">
        <v>68.599999999999994</v>
      </c>
    </row>
    <row r="1048" spans="1:1" x14ac:dyDescent="0.25">
      <c r="A1048">
        <v>56.7</v>
      </c>
    </row>
    <row r="1049" spans="1:1" x14ac:dyDescent="0.25">
      <c r="A1049">
        <v>55.3</v>
      </c>
    </row>
    <row r="1050" spans="1:1" x14ac:dyDescent="0.25">
      <c r="A1050">
        <v>54.8</v>
      </c>
    </row>
    <row r="1051" spans="1:1" x14ac:dyDescent="0.25">
      <c r="A1051">
        <v>54.3</v>
      </c>
    </row>
    <row r="1052" spans="1:1" x14ac:dyDescent="0.25">
      <c r="A1052">
        <v>54</v>
      </c>
    </row>
    <row r="1053" spans="1:1" x14ac:dyDescent="0.25">
      <c r="A1053">
        <v>53.8</v>
      </c>
    </row>
    <row r="1054" spans="1:1" x14ac:dyDescent="0.25">
      <c r="A1054">
        <v>53.2</v>
      </c>
    </row>
    <row r="1055" spans="1:1" x14ac:dyDescent="0.25">
      <c r="A1055">
        <v>52.1</v>
      </c>
    </row>
    <row r="1056" spans="1:1" x14ac:dyDescent="0.25">
      <c r="A1056">
        <v>51.2</v>
      </c>
    </row>
    <row r="1057" spans="1:1" x14ac:dyDescent="0.25">
      <c r="A1057">
        <v>58</v>
      </c>
    </row>
    <row r="1058" spans="1:1" x14ac:dyDescent="0.25">
      <c r="A1058">
        <v>54</v>
      </c>
    </row>
    <row r="1059" spans="1:1" x14ac:dyDescent="0.25">
      <c r="A1059">
        <v>51</v>
      </c>
    </row>
    <row r="1060" spans="1:1" x14ac:dyDescent="0.25">
      <c r="A1060">
        <v>49.8</v>
      </c>
    </row>
    <row r="1061" spans="1:1" x14ac:dyDescent="0.25">
      <c r="A1061">
        <v>49.5</v>
      </c>
    </row>
    <row r="1062" spans="1:1" x14ac:dyDescent="0.25">
      <c r="A1062">
        <v>66.400000000000006</v>
      </c>
    </row>
    <row r="1063" spans="1:1" x14ac:dyDescent="0.25">
      <c r="A1063">
        <v>66.2</v>
      </c>
    </row>
    <row r="1064" spans="1:1" x14ac:dyDescent="0.25">
      <c r="A1064">
        <v>65.900000000000006</v>
      </c>
    </row>
    <row r="1065" spans="1:1" x14ac:dyDescent="0.25">
      <c r="A1065">
        <v>65.599999999999994</v>
      </c>
    </row>
    <row r="1066" spans="1:1" x14ac:dyDescent="0.25">
      <c r="A1066">
        <v>65.400000000000006</v>
      </c>
    </row>
    <row r="1067" spans="1:1" x14ac:dyDescent="0.25">
      <c r="A1067">
        <v>65.2</v>
      </c>
    </row>
    <row r="1068" spans="1:1" x14ac:dyDescent="0.25">
      <c r="A1068">
        <v>59.2</v>
      </c>
    </row>
    <row r="1069" spans="1:1" x14ac:dyDescent="0.25">
      <c r="A1069">
        <v>64.5</v>
      </c>
    </row>
    <row r="1070" spans="1:1" x14ac:dyDescent="0.25">
      <c r="A1070">
        <v>64.2</v>
      </c>
    </row>
    <row r="1071" spans="1:1" x14ac:dyDescent="0.25">
      <c r="A1071">
        <v>63.9</v>
      </c>
    </row>
    <row r="1072" spans="1:1" x14ac:dyDescent="0.25">
      <c r="A1072">
        <v>63.5</v>
      </c>
    </row>
    <row r="1073" spans="1:1" x14ac:dyDescent="0.25">
      <c r="A1073">
        <v>63.2</v>
      </c>
    </row>
    <row r="1074" spans="1:1" x14ac:dyDescent="0.25">
      <c r="A1074">
        <v>65.900000000000006</v>
      </c>
    </row>
    <row r="1075" spans="1:1" x14ac:dyDescent="0.25">
      <c r="A1075">
        <v>66.099999999999994</v>
      </c>
    </row>
    <row r="1076" spans="1:1" x14ac:dyDescent="0.25">
      <c r="A1076">
        <v>65.8</v>
      </c>
    </row>
    <row r="1077" spans="1:1" x14ac:dyDescent="0.25">
      <c r="A1077">
        <v>64.3</v>
      </c>
    </row>
    <row r="1078" spans="1:1" x14ac:dyDescent="0.25">
      <c r="A1078">
        <v>63</v>
      </c>
    </row>
    <row r="1079" spans="1:1" x14ac:dyDescent="0.25">
      <c r="A1079">
        <v>69.599999999999994</v>
      </c>
    </row>
    <row r="1080" spans="1:1" x14ac:dyDescent="0.25">
      <c r="A1080">
        <v>69.3</v>
      </c>
    </row>
    <row r="1081" spans="1:1" x14ac:dyDescent="0.25">
      <c r="A1081">
        <v>68.900000000000006</v>
      </c>
    </row>
    <row r="1082" spans="1:1" x14ac:dyDescent="0.25">
      <c r="A1082">
        <v>68.400000000000006</v>
      </c>
    </row>
    <row r="1083" spans="1:1" x14ac:dyDescent="0.25">
      <c r="A1083">
        <v>68</v>
      </c>
    </row>
    <row r="1084" spans="1:1" x14ac:dyDescent="0.25">
      <c r="A1084">
        <v>67.5</v>
      </c>
    </row>
    <row r="1085" spans="1:1" x14ac:dyDescent="0.25">
      <c r="A1085">
        <v>67</v>
      </c>
    </row>
    <row r="1086" spans="1:1" x14ac:dyDescent="0.25">
      <c r="A1086">
        <v>66.599999999999994</v>
      </c>
    </row>
    <row r="1087" spans="1:1" x14ac:dyDescent="0.25">
      <c r="A1087">
        <v>66</v>
      </c>
    </row>
    <row r="1088" spans="1:1" x14ac:dyDescent="0.25">
      <c r="A1088">
        <v>65.400000000000006</v>
      </c>
    </row>
    <row r="1089" spans="1:1" x14ac:dyDescent="0.25">
      <c r="A1089">
        <v>64.7</v>
      </c>
    </row>
    <row r="1090" spans="1:1" x14ac:dyDescent="0.25">
      <c r="A1090">
        <v>64.3</v>
      </c>
    </row>
    <row r="1091" spans="1:1" x14ac:dyDescent="0.25">
      <c r="A1091">
        <v>81.7</v>
      </c>
    </row>
    <row r="1092" spans="1:1" x14ac:dyDescent="0.25">
      <c r="A1092">
        <v>81.400000000000006</v>
      </c>
    </row>
    <row r="1093" spans="1:1" x14ac:dyDescent="0.25">
      <c r="A1093">
        <v>81.099999999999994</v>
      </c>
    </row>
    <row r="1094" spans="1:1" x14ac:dyDescent="0.25">
      <c r="A1094">
        <v>81.099999999999994</v>
      </c>
    </row>
    <row r="1095" spans="1:1" x14ac:dyDescent="0.25">
      <c r="A1095">
        <v>74.5</v>
      </c>
    </row>
    <row r="1096" spans="1:1" x14ac:dyDescent="0.25">
      <c r="A1096">
        <v>73.900000000000006</v>
      </c>
    </row>
    <row r="1097" spans="1:1" x14ac:dyDescent="0.25">
      <c r="A1097">
        <v>73.900000000000006</v>
      </c>
    </row>
    <row r="1098" spans="1:1" x14ac:dyDescent="0.25">
      <c r="A1098">
        <v>74.5</v>
      </c>
    </row>
    <row r="1099" spans="1:1" x14ac:dyDescent="0.25">
      <c r="A1099">
        <v>73.2</v>
      </c>
    </row>
    <row r="1100" spans="1:1" x14ac:dyDescent="0.25">
      <c r="A1100">
        <v>73.2</v>
      </c>
    </row>
    <row r="1101" spans="1:1" x14ac:dyDescent="0.25">
      <c r="A1101">
        <v>72.5</v>
      </c>
    </row>
    <row r="1102" spans="1:1" x14ac:dyDescent="0.25">
      <c r="A1102">
        <v>72.5</v>
      </c>
    </row>
    <row r="1103" spans="1:1" x14ac:dyDescent="0.25">
      <c r="A1103">
        <v>73</v>
      </c>
    </row>
    <row r="1104" spans="1:1" x14ac:dyDescent="0.25">
      <c r="A1104">
        <v>71.2</v>
      </c>
    </row>
    <row r="1105" spans="1:1" x14ac:dyDescent="0.25">
      <c r="A1105">
        <v>71</v>
      </c>
    </row>
    <row r="1106" spans="1:1" x14ac:dyDescent="0.25">
      <c r="A1106">
        <v>76</v>
      </c>
    </row>
    <row r="1107" spans="1:1" x14ac:dyDescent="0.25">
      <c r="A1107">
        <v>75</v>
      </c>
    </row>
    <row r="1108" spans="1:1" x14ac:dyDescent="0.25">
      <c r="A1108">
        <v>73</v>
      </c>
    </row>
    <row r="1109" spans="1:1" x14ac:dyDescent="0.25">
      <c r="A1109">
        <v>73</v>
      </c>
    </row>
    <row r="1110" spans="1:1" x14ac:dyDescent="0.25">
      <c r="A1110">
        <v>61.4</v>
      </c>
    </row>
    <row r="1111" spans="1:1" x14ac:dyDescent="0.25">
      <c r="A1111">
        <v>69</v>
      </c>
    </row>
    <row r="1112" spans="1:1" x14ac:dyDescent="0.25">
      <c r="A1112">
        <v>63</v>
      </c>
    </row>
    <row r="1113" spans="1:1" x14ac:dyDescent="0.25">
      <c r="A1113">
        <v>59.4</v>
      </c>
    </row>
    <row r="1114" spans="1:1" x14ac:dyDescent="0.25">
      <c r="A1114">
        <v>58.2</v>
      </c>
    </row>
    <row r="1115" spans="1:1" x14ac:dyDescent="0.25">
      <c r="A1115">
        <v>57.1</v>
      </c>
    </row>
    <row r="1116" spans="1:1" x14ac:dyDescent="0.25">
      <c r="A1116">
        <v>53.6</v>
      </c>
    </row>
    <row r="1117" spans="1:1" x14ac:dyDescent="0.25">
      <c r="A1117">
        <v>53.2</v>
      </c>
    </row>
    <row r="1118" spans="1:1" x14ac:dyDescent="0.25">
      <c r="A1118">
        <v>52.7</v>
      </c>
    </row>
    <row r="1119" spans="1:1" x14ac:dyDescent="0.25">
      <c r="A1119">
        <v>52.3</v>
      </c>
    </row>
    <row r="1120" spans="1:1" x14ac:dyDescent="0.25">
      <c r="A1120">
        <v>52</v>
      </c>
    </row>
    <row r="1121" spans="1:1" x14ac:dyDescent="0.25">
      <c r="A1121">
        <v>51.6</v>
      </c>
    </row>
    <row r="1122" spans="1:1" x14ac:dyDescent="0.25">
      <c r="A1122">
        <v>59</v>
      </c>
    </row>
    <row r="1123" spans="1:1" x14ac:dyDescent="0.25">
      <c r="A1123">
        <v>55</v>
      </c>
    </row>
    <row r="1124" spans="1:1" x14ac:dyDescent="0.25">
      <c r="A1124">
        <v>49.8</v>
      </c>
    </row>
    <row r="1125" spans="1:1" x14ac:dyDescent="0.25">
      <c r="A1125">
        <v>49.2</v>
      </c>
    </row>
    <row r="1126" spans="1:1" x14ac:dyDescent="0.25">
      <c r="A1126">
        <v>66.2</v>
      </c>
    </row>
    <row r="1127" spans="1:1" x14ac:dyDescent="0.25">
      <c r="A1127">
        <v>66</v>
      </c>
    </row>
    <row r="1128" spans="1:1" x14ac:dyDescent="0.25">
      <c r="A1128">
        <v>65.7</v>
      </c>
    </row>
    <row r="1129" spans="1:1" x14ac:dyDescent="0.25">
      <c r="A1129">
        <v>65.5</v>
      </c>
    </row>
    <row r="1130" spans="1:1" x14ac:dyDescent="0.25">
      <c r="A1130">
        <v>65.099999999999994</v>
      </c>
    </row>
    <row r="1131" spans="1:1" x14ac:dyDescent="0.25">
      <c r="A1131">
        <v>64.8</v>
      </c>
    </row>
    <row r="1132" spans="1:1" x14ac:dyDescent="0.25">
      <c r="A1132">
        <v>64.599999999999994</v>
      </c>
    </row>
    <row r="1133" spans="1:1" x14ac:dyDescent="0.25">
      <c r="A1133">
        <v>64.400000000000006</v>
      </c>
    </row>
    <row r="1134" spans="1:1" x14ac:dyDescent="0.25">
      <c r="A1134">
        <v>64.2</v>
      </c>
    </row>
    <row r="1135" spans="1:1" x14ac:dyDescent="0.25">
      <c r="A1135">
        <v>62.9</v>
      </c>
    </row>
    <row r="1136" spans="1:1" x14ac:dyDescent="0.25">
      <c r="A1136">
        <v>63.7</v>
      </c>
    </row>
    <row r="1137" spans="1:1" x14ac:dyDescent="0.25">
      <c r="A1137">
        <v>63.5</v>
      </c>
    </row>
    <row r="1138" spans="1:1" x14ac:dyDescent="0.25">
      <c r="A1138">
        <v>77.599999999999994</v>
      </c>
    </row>
    <row r="1139" spans="1:1" x14ac:dyDescent="0.25">
      <c r="A1139">
        <v>77.5</v>
      </c>
    </row>
    <row r="1140" spans="1:1" x14ac:dyDescent="0.25">
      <c r="A1140">
        <v>77.2</v>
      </c>
    </row>
    <row r="1141" spans="1:1" x14ac:dyDescent="0.25">
      <c r="A1141">
        <v>77.3</v>
      </c>
    </row>
    <row r="1142" spans="1:1" x14ac:dyDescent="0.25">
      <c r="A1142">
        <v>76.5</v>
      </c>
    </row>
    <row r="1143" spans="1:1" x14ac:dyDescent="0.25">
      <c r="A1143">
        <v>76.8</v>
      </c>
    </row>
    <row r="1144" spans="1:1" x14ac:dyDescent="0.25">
      <c r="A1144">
        <v>76.5</v>
      </c>
    </row>
    <row r="1145" spans="1:1" x14ac:dyDescent="0.25">
      <c r="A1145">
        <v>76.400000000000006</v>
      </c>
    </row>
    <row r="1146" spans="1:1" x14ac:dyDescent="0.25">
      <c r="A1146">
        <v>76.2</v>
      </c>
    </row>
    <row r="1147" spans="1:1" x14ac:dyDescent="0.25">
      <c r="A1147">
        <v>75.8</v>
      </c>
    </row>
    <row r="1148" spans="1:1" x14ac:dyDescent="0.25">
      <c r="A1148">
        <v>75.8</v>
      </c>
    </row>
    <row r="1149" spans="1:1" x14ac:dyDescent="0.25">
      <c r="A1149">
        <v>75.5</v>
      </c>
    </row>
    <row r="1150" spans="1:1" x14ac:dyDescent="0.25">
      <c r="A1150">
        <v>75.7</v>
      </c>
    </row>
    <row r="1151" spans="1:1" x14ac:dyDescent="0.25">
      <c r="A1151">
        <v>75.5</v>
      </c>
    </row>
    <row r="1152" spans="1:1" x14ac:dyDescent="0.25">
      <c r="A1152">
        <v>62.7</v>
      </c>
    </row>
    <row r="1153" spans="1:1" x14ac:dyDescent="0.25">
      <c r="A1153">
        <v>62.4</v>
      </c>
    </row>
    <row r="1154" spans="1:1" x14ac:dyDescent="0.25">
      <c r="A1154">
        <v>62.2</v>
      </c>
    </row>
    <row r="1155" spans="1:1" x14ac:dyDescent="0.25">
      <c r="A1155">
        <v>62</v>
      </c>
    </row>
    <row r="1156" spans="1:1" x14ac:dyDescent="0.25">
      <c r="A1156">
        <v>61.8</v>
      </c>
    </row>
    <row r="1157" spans="1:1" x14ac:dyDescent="0.25">
      <c r="A1157">
        <v>61.6</v>
      </c>
    </row>
    <row r="1158" spans="1:1" x14ac:dyDescent="0.25">
      <c r="A1158">
        <v>61.4</v>
      </c>
    </row>
    <row r="1159" spans="1:1" x14ac:dyDescent="0.25">
      <c r="A1159">
        <v>61.1</v>
      </c>
    </row>
    <row r="1160" spans="1:1" x14ac:dyDescent="0.25">
      <c r="A1160">
        <v>68</v>
      </c>
    </row>
    <row r="1161" spans="1:1" x14ac:dyDescent="0.25">
      <c r="A1161">
        <v>64</v>
      </c>
    </row>
    <row r="1162" spans="1:1" x14ac:dyDescent="0.25">
      <c r="A1162">
        <v>59.9</v>
      </c>
    </row>
    <row r="1163" spans="1:1" x14ac:dyDescent="0.25">
      <c r="A1163">
        <v>59.6</v>
      </c>
    </row>
    <row r="1164" spans="1:1" x14ac:dyDescent="0.25">
      <c r="A1164">
        <v>59.3</v>
      </c>
    </row>
    <row r="1165" spans="1:1" x14ac:dyDescent="0.25">
      <c r="A1165">
        <v>59.1</v>
      </c>
    </row>
    <row r="1166" spans="1:1" x14ac:dyDescent="0.25">
      <c r="A1166">
        <v>58.9</v>
      </c>
    </row>
    <row r="1167" spans="1:1" x14ac:dyDescent="0.25">
      <c r="A1167">
        <v>73.900000000000006</v>
      </c>
    </row>
    <row r="1168" spans="1:1" x14ac:dyDescent="0.25">
      <c r="A1168">
        <v>73.8</v>
      </c>
    </row>
    <row r="1169" spans="1:1" x14ac:dyDescent="0.25">
      <c r="A1169">
        <v>73.599999999999994</v>
      </c>
    </row>
    <row r="1170" spans="1:1" x14ac:dyDescent="0.25">
      <c r="A1170">
        <v>73.400000000000006</v>
      </c>
    </row>
    <row r="1171" spans="1:1" x14ac:dyDescent="0.25">
      <c r="A1171">
        <v>73.2</v>
      </c>
    </row>
    <row r="1172" spans="1:1" x14ac:dyDescent="0.25">
      <c r="A1172">
        <v>73</v>
      </c>
    </row>
    <row r="1173" spans="1:1" x14ac:dyDescent="0.25">
      <c r="A1173">
        <v>72.7</v>
      </c>
    </row>
    <row r="1174" spans="1:1" x14ac:dyDescent="0.25">
      <c r="A1174">
        <v>72.5</v>
      </c>
    </row>
    <row r="1175" spans="1:1" x14ac:dyDescent="0.25">
      <c r="A1175">
        <v>72.3</v>
      </c>
    </row>
    <row r="1176" spans="1:1" x14ac:dyDescent="0.25">
      <c r="A1176">
        <v>72.099999999999994</v>
      </c>
    </row>
    <row r="1177" spans="1:1" x14ac:dyDescent="0.25">
      <c r="A1177">
        <v>71.900000000000006</v>
      </c>
    </row>
    <row r="1178" spans="1:1" x14ac:dyDescent="0.25">
      <c r="A1178">
        <v>71.7</v>
      </c>
    </row>
    <row r="1179" spans="1:1" x14ac:dyDescent="0.25">
      <c r="A1179">
        <v>75.3</v>
      </c>
    </row>
    <row r="1180" spans="1:1" x14ac:dyDescent="0.25">
      <c r="A1180">
        <v>75.3</v>
      </c>
    </row>
    <row r="1181" spans="1:1" x14ac:dyDescent="0.25">
      <c r="A1181">
        <v>74.900000000000006</v>
      </c>
    </row>
    <row r="1182" spans="1:1" x14ac:dyDescent="0.25">
      <c r="A1182">
        <v>74.5</v>
      </c>
    </row>
    <row r="1183" spans="1:1" x14ac:dyDescent="0.25">
      <c r="A1183">
        <v>73.7</v>
      </c>
    </row>
    <row r="1184" spans="1:1" x14ac:dyDescent="0.25">
      <c r="A1184">
        <v>73.8</v>
      </c>
    </row>
    <row r="1185" spans="1:1" x14ac:dyDescent="0.25">
      <c r="A1185">
        <v>73.900000000000006</v>
      </c>
    </row>
    <row r="1186" spans="1:1" x14ac:dyDescent="0.25">
      <c r="A1186">
        <v>74</v>
      </c>
    </row>
    <row r="1187" spans="1:1" x14ac:dyDescent="0.25">
      <c r="A1187">
        <v>74.2</v>
      </c>
    </row>
    <row r="1188" spans="1:1" x14ac:dyDescent="0.25">
      <c r="A1188">
        <v>72.8</v>
      </c>
    </row>
    <row r="1189" spans="1:1" x14ac:dyDescent="0.25">
      <c r="A1189">
        <v>72.2</v>
      </c>
    </row>
    <row r="1190" spans="1:1" x14ac:dyDescent="0.25">
      <c r="A1190">
        <v>72.099999999999994</v>
      </c>
    </row>
    <row r="1191" spans="1:1" x14ac:dyDescent="0.25">
      <c r="A1191">
        <v>68.400000000000006</v>
      </c>
    </row>
    <row r="1192" spans="1:1" x14ac:dyDescent="0.25">
      <c r="A1192">
        <v>68.099999999999994</v>
      </c>
    </row>
    <row r="1193" spans="1:1" x14ac:dyDescent="0.25">
      <c r="A1193">
        <v>68.099999999999994</v>
      </c>
    </row>
    <row r="1194" spans="1:1" x14ac:dyDescent="0.25">
      <c r="A1194">
        <v>68</v>
      </c>
    </row>
    <row r="1195" spans="1:1" x14ac:dyDescent="0.25">
      <c r="A1195">
        <v>67.900000000000006</v>
      </c>
    </row>
    <row r="1196" spans="1:1" x14ac:dyDescent="0.25">
      <c r="A1196">
        <v>68</v>
      </c>
    </row>
    <row r="1197" spans="1:1" x14ac:dyDescent="0.25">
      <c r="A1197">
        <v>67.5</v>
      </c>
    </row>
    <row r="1198" spans="1:1" x14ac:dyDescent="0.25">
      <c r="A1198">
        <v>67.5</v>
      </c>
    </row>
    <row r="1199" spans="1:1" x14ac:dyDescent="0.25">
      <c r="A1199">
        <v>67.3</v>
      </c>
    </row>
    <row r="1200" spans="1:1" x14ac:dyDescent="0.25">
      <c r="A1200">
        <v>67</v>
      </c>
    </row>
    <row r="1201" spans="1:1" x14ac:dyDescent="0.25">
      <c r="A1201">
        <v>67.3</v>
      </c>
    </row>
    <row r="1202" spans="1:1" x14ac:dyDescent="0.25">
      <c r="A1202">
        <v>67.2</v>
      </c>
    </row>
    <row r="1203" spans="1:1" x14ac:dyDescent="0.25">
      <c r="A1203">
        <v>66.8</v>
      </c>
    </row>
    <row r="1204" spans="1:1" x14ac:dyDescent="0.25">
      <c r="A1204">
        <v>66.8</v>
      </c>
    </row>
    <row r="1205" spans="1:1" x14ac:dyDescent="0.25">
      <c r="A1205">
        <v>66.8</v>
      </c>
    </row>
    <row r="1206" spans="1:1" x14ac:dyDescent="0.25">
      <c r="A1206">
        <v>77.3</v>
      </c>
    </row>
    <row r="1207" spans="1:1" x14ac:dyDescent="0.25">
      <c r="A1207">
        <v>77.099999999999994</v>
      </c>
    </row>
    <row r="1208" spans="1:1" x14ac:dyDescent="0.25">
      <c r="A1208">
        <v>76.8</v>
      </c>
    </row>
    <row r="1209" spans="1:1" x14ac:dyDescent="0.25">
      <c r="A1209">
        <v>76.7</v>
      </c>
    </row>
    <row r="1210" spans="1:1" x14ac:dyDescent="0.25">
      <c r="A1210">
        <v>76.3</v>
      </c>
    </row>
    <row r="1211" spans="1:1" x14ac:dyDescent="0.25">
      <c r="A1211">
        <v>75.7</v>
      </c>
    </row>
    <row r="1212" spans="1:1" x14ac:dyDescent="0.25">
      <c r="A1212">
        <v>75.5</v>
      </c>
    </row>
    <row r="1213" spans="1:1" x14ac:dyDescent="0.25">
      <c r="A1213">
        <v>75.3</v>
      </c>
    </row>
    <row r="1214" spans="1:1" x14ac:dyDescent="0.25">
      <c r="A1214">
        <v>75.2</v>
      </c>
    </row>
    <row r="1215" spans="1:1" x14ac:dyDescent="0.25">
      <c r="A1215">
        <v>75</v>
      </c>
    </row>
    <row r="1216" spans="1:1" x14ac:dyDescent="0.25">
      <c r="A1216">
        <v>74.900000000000006</v>
      </c>
    </row>
    <row r="1217" spans="1:1" x14ac:dyDescent="0.25">
      <c r="A1217">
        <v>74.7</v>
      </c>
    </row>
    <row r="1218" spans="1:1" x14ac:dyDescent="0.25">
      <c r="A1218">
        <v>74.5</v>
      </c>
    </row>
    <row r="1219" spans="1:1" x14ac:dyDescent="0.25">
      <c r="A1219">
        <v>74.2</v>
      </c>
    </row>
    <row r="1220" spans="1:1" x14ac:dyDescent="0.25">
      <c r="A1220">
        <v>73.7</v>
      </c>
    </row>
    <row r="1221" spans="1:1" x14ac:dyDescent="0.25">
      <c r="A1221">
        <v>89</v>
      </c>
    </row>
    <row r="1222" spans="1:1" x14ac:dyDescent="0.25">
      <c r="A1222">
        <v>86</v>
      </c>
    </row>
    <row r="1223" spans="1:1" x14ac:dyDescent="0.25">
      <c r="A1223">
        <v>83</v>
      </c>
    </row>
    <row r="1224" spans="1:1" x14ac:dyDescent="0.25">
      <c r="A1224">
        <v>82</v>
      </c>
    </row>
    <row r="1225" spans="1:1" x14ac:dyDescent="0.25">
      <c r="A1225">
        <v>79.599999999999994</v>
      </c>
    </row>
    <row r="1226" spans="1:1" x14ac:dyDescent="0.25">
      <c r="A1226">
        <v>79.3</v>
      </c>
    </row>
    <row r="1227" spans="1:1" x14ac:dyDescent="0.25">
      <c r="A1227">
        <v>79</v>
      </c>
    </row>
    <row r="1228" spans="1:1" x14ac:dyDescent="0.25">
      <c r="A1228">
        <v>78.7</v>
      </c>
    </row>
    <row r="1229" spans="1:1" x14ac:dyDescent="0.25">
      <c r="A1229">
        <v>78.5</v>
      </c>
    </row>
    <row r="1230" spans="1:1" x14ac:dyDescent="0.25">
      <c r="A1230">
        <v>77.7</v>
      </c>
    </row>
    <row r="1231" spans="1:1" x14ac:dyDescent="0.25">
      <c r="A1231">
        <v>78</v>
      </c>
    </row>
    <row r="1232" spans="1:1" x14ac:dyDescent="0.25">
      <c r="A1232">
        <v>77.3</v>
      </c>
    </row>
    <row r="1233" spans="1:1" x14ac:dyDescent="0.25">
      <c r="A1233">
        <v>77.2</v>
      </c>
    </row>
    <row r="1234" spans="1:1" x14ac:dyDescent="0.25">
      <c r="A1234">
        <v>76.900000000000006</v>
      </c>
    </row>
    <row r="1235" spans="1:1" x14ac:dyDescent="0.25">
      <c r="A1235">
        <v>76.599999999999994</v>
      </c>
    </row>
    <row r="1236" spans="1:1" x14ac:dyDescent="0.25">
      <c r="A1236">
        <v>74.8</v>
      </c>
    </row>
    <row r="1237" spans="1:1" x14ac:dyDescent="0.25">
      <c r="A1237">
        <v>74.599999999999994</v>
      </c>
    </row>
    <row r="1238" spans="1:1" x14ac:dyDescent="0.25">
      <c r="A1238">
        <v>74.400000000000006</v>
      </c>
    </row>
    <row r="1239" spans="1:1" x14ac:dyDescent="0.25">
      <c r="A1239">
        <v>74.3</v>
      </c>
    </row>
    <row r="1240" spans="1:1" x14ac:dyDescent="0.25">
      <c r="A1240">
        <v>73.400000000000006</v>
      </c>
    </row>
    <row r="1241" spans="1:1" x14ac:dyDescent="0.25">
      <c r="A1241">
        <v>73.099999999999994</v>
      </c>
    </row>
    <row r="1242" spans="1:1" x14ac:dyDescent="0.25">
      <c r="A1242">
        <v>73.099999999999994</v>
      </c>
    </row>
    <row r="1243" spans="1:1" x14ac:dyDescent="0.25">
      <c r="A1243">
        <v>72.900000000000006</v>
      </c>
    </row>
    <row r="1244" spans="1:1" x14ac:dyDescent="0.25">
      <c r="A1244">
        <v>72.5</v>
      </c>
    </row>
    <row r="1245" spans="1:1" x14ac:dyDescent="0.25">
      <c r="A1245">
        <v>71.900000000000006</v>
      </c>
    </row>
    <row r="1246" spans="1:1" x14ac:dyDescent="0.25">
      <c r="A1246">
        <v>71.7</v>
      </c>
    </row>
    <row r="1247" spans="1:1" x14ac:dyDescent="0.25">
      <c r="A1247">
        <v>71.099999999999994</v>
      </c>
    </row>
    <row r="1248" spans="1:1" x14ac:dyDescent="0.25">
      <c r="A1248">
        <v>77</v>
      </c>
    </row>
    <row r="1249" spans="1:1" x14ac:dyDescent="0.25">
      <c r="A1249">
        <v>78</v>
      </c>
    </row>
    <row r="1250" spans="1:1" x14ac:dyDescent="0.25">
      <c r="A1250">
        <v>77</v>
      </c>
    </row>
    <row r="1251" spans="1:1" x14ac:dyDescent="0.25">
      <c r="A1251">
        <v>73</v>
      </c>
    </row>
    <row r="1252" spans="1:1" x14ac:dyDescent="0.25">
      <c r="A1252">
        <v>70</v>
      </c>
    </row>
    <row r="1253" spans="1:1" x14ac:dyDescent="0.25">
      <c r="A1253">
        <v>69.599999999999994</v>
      </c>
    </row>
    <row r="1254" spans="1:1" x14ac:dyDescent="0.25">
      <c r="A1254">
        <v>69.400000000000006</v>
      </c>
    </row>
    <row r="1255" spans="1:1" x14ac:dyDescent="0.25">
      <c r="A1255">
        <v>68.400000000000006</v>
      </c>
    </row>
    <row r="1256" spans="1:1" x14ac:dyDescent="0.25">
      <c r="A1256">
        <v>68.2</v>
      </c>
    </row>
    <row r="1257" spans="1:1" x14ac:dyDescent="0.25">
      <c r="A1257">
        <v>67.5</v>
      </c>
    </row>
    <row r="1258" spans="1:1" x14ac:dyDescent="0.25">
      <c r="A1258">
        <v>67.3</v>
      </c>
    </row>
    <row r="1259" spans="1:1" x14ac:dyDescent="0.25">
      <c r="A1259">
        <v>66.400000000000006</v>
      </c>
    </row>
    <row r="1260" spans="1:1" x14ac:dyDescent="0.25">
      <c r="A1260">
        <v>65</v>
      </c>
    </row>
    <row r="1261" spans="1:1" x14ac:dyDescent="0.25">
      <c r="A1261">
        <v>64.900000000000006</v>
      </c>
    </row>
    <row r="1262" spans="1:1" x14ac:dyDescent="0.25">
      <c r="A1262">
        <v>64.599999999999994</v>
      </c>
    </row>
    <row r="1263" spans="1:1" x14ac:dyDescent="0.25">
      <c r="A1263">
        <v>64.8</v>
      </c>
    </row>
    <row r="1264" spans="1:1" x14ac:dyDescent="0.25">
      <c r="A1264">
        <v>65.099999999999994</v>
      </c>
    </row>
    <row r="1265" spans="1:1" x14ac:dyDescent="0.25">
      <c r="A1265">
        <v>65.7</v>
      </c>
    </row>
    <row r="1266" spans="1:1" x14ac:dyDescent="0.25">
      <c r="A1266">
        <v>65.2</v>
      </c>
    </row>
    <row r="1267" spans="1:1" x14ac:dyDescent="0.25">
      <c r="A1267">
        <v>64.599999999999994</v>
      </c>
    </row>
    <row r="1268" spans="1:1" x14ac:dyDescent="0.25">
      <c r="A1268">
        <v>63.8</v>
      </c>
    </row>
    <row r="1269" spans="1:1" x14ac:dyDescent="0.25">
      <c r="A1269">
        <v>62.8</v>
      </c>
    </row>
    <row r="1270" spans="1:1" x14ac:dyDescent="0.25">
      <c r="A1270">
        <v>61</v>
      </c>
    </row>
    <row r="1271" spans="1:1" x14ac:dyDescent="0.25">
      <c r="A1271">
        <v>68</v>
      </c>
    </row>
    <row r="1272" spans="1:1" x14ac:dyDescent="0.25">
      <c r="A1272">
        <v>59.6</v>
      </c>
    </row>
    <row r="1273" spans="1:1" x14ac:dyDescent="0.25">
      <c r="A1273">
        <v>57.6</v>
      </c>
    </row>
    <row r="1274" spans="1:1" x14ac:dyDescent="0.25">
      <c r="A1274">
        <v>55.3</v>
      </c>
    </row>
    <row r="1275" spans="1:1" x14ac:dyDescent="0.25">
      <c r="A1275">
        <v>53.4</v>
      </c>
    </row>
    <row r="1276" spans="1:1" x14ac:dyDescent="0.25">
      <c r="A1276">
        <v>52</v>
      </c>
    </row>
    <row r="1277" spans="1:1" x14ac:dyDescent="0.25">
      <c r="A1277">
        <v>57</v>
      </c>
    </row>
    <row r="1278" spans="1:1" x14ac:dyDescent="0.25">
      <c r="A1278">
        <v>73.8</v>
      </c>
    </row>
    <row r="1279" spans="1:1" x14ac:dyDescent="0.25">
      <c r="A1279">
        <v>73.599999999999994</v>
      </c>
    </row>
    <row r="1280" spans="1:1" x14ac:dyDescent="0.25">
      <c r="A1280">
        <v>73.2</v>
      </c>
    </row>
    <row r="1281" spans="1:1" x14ac:dyDescent="0.25">
      <c r="A1281">
        <v>73</v>
      </c>
    </row>
    <row r="1282" spans="1:1" x14ac:dyDescent="0.25">
      <c r="A1282">
        <v>72.599999999999994</v>
      </c>
    </row>
    <row r="1283" spans="1:1" x14ac:dyDescent="0.25">
      <c r="A1283">
        <v>76</v>
      </c>
    </row>
    <row r="1284" spans="1:1" x14ac:dyDescent="0.25">
      <c r="A1284">
        <v>72.5</v>
      </c>
    </row>
    <row r="1285" spans="1:1" x14ac:dyDescent="0.25">
      <c r="A1285">
        <v>72.2</v>
      </c>
    </row>
    <row r="1286" spans="1:1" x14ac:dyDescent="0.25">
      <c r="A1286">
        <v>72</v>
      </c>
    </row>
    <row r="1287" spans="1:1" x14ac:dyDescent="0.25">
      <c r="A1287">
        <v>71.599999999999994</v>
      </c>
    </row>
    <row r="1288" spans="1:1" x14ac:dyDescent="0.25">
      <c r="A1288">
        <v>71.400000000000006</v>
      </c>
    </row>
    <row r="1289" spans="1:1" x14ac:dyDescent="0.25">
      <c r="A1289">
        <v>79</v>
      </c>
    </row>
    <row r="1290" spans="1:1" x14ac:dyDescent="0.25">
      <c r="A1290">
        <v>76</v>
      </c>
    </row>
    <row r="1291" spans="1:1" x14ac:dyDescent="0.25">
      <c r="A1291">
        <v>75</v>
      </c>
    </row>
    <row r="1292" spans="1:1" x14ac:dyDescent="0.25">
      <c r="A1292">
        <v>72</v>
      </c>
    </row>
    <row r="1293" spans="1:1" x14ac:dyDescent="0.25">
      <c r="A1293">
        <v>67.3</v>
      </c>
    </row>
    <row r="1294" spans="1:1" x14ac:dyDescent="0.25">
      <c r="A1294">
        <v>67.099999999999994</v>
      </c>
    </row>
    <row r="1295" spans="1:1" x14ac:dyDescent="0.25">
      <c r="A1295">
        <v>66.900000000000006</v>
      </c>
    </row>
    <row r="1296" spans="1:1" x14ac:dyDescent="0.25">
      <c r="A1296">
        <v>66.599999999999994</v>
      </c>
    </row>
    <row r="1297" spans="1:1" x14ac:dyDescent="0.25">
      <c r="A1297">
        <v>66.2</v>
      </c>
    </row>
    <row r="1298" spans="1:1" x14ac:dyDescent="0.25">
      <c r="A1298">
        <v>65.8</v>
      </c>
    </row>
    <row r="1299" spans="1:1" x14ac:dyDescent="0.25">
      <c r="A1299">
        <v>65.400000000000006</v>
      </c>
    </row>
    <row r="1300" spans="1:1" x14ac:dyDescent="0.25">
      <c r="A1300">
        <v>65.099999999999994</v>
      </c>
    </row>
    <row r="1301" spans="1:1" x14ac:dyDescent="0.25">
      <c r="A1301">
        <v>64.7</v>
      </c>
    </row>
    <row r="1302" spans="1:1" x14ac:dyDescent="0.25">
      <c r="A1302">
        <v>64.3</v>
      </c>
    </row>
    <row r="1303" spans="1:1" x14ac:dyDescent="0.25">
      <c r="A1303">
        <v>63.8</v>
      </c>
    </row>
    <row r="1304" spans="1:1" x14ac:dyDescent="0.25">
      <c r="A1304">
        <v>63.4</v>
      </c>
    </row>
    <row r="1305" spans="1:1" x14ac:dyDescent="0.25">
      <c r="A1305">
        <v>66.400000000000006</v>
      </c>
    </row>
    <row r="1306" spans="1:1" x14ac:dyDescent="0.25">
      <c r="A1306">
        <v>66</v>
      </c>
    </row>
    <row r="1307" spans="1:1" x14ac:dyDescent="0.25">
      <c r="A1307">
        <v>65.599999999999994</v>
      </c>
    </row>
    <row r="1308" spans="1:1" x14ac:dyDescent="0.25">
      <c r="A1308">
        <v>64.900000000000006</v>
      </c>
    </row>
    <row r="1309" spans="1:1" x14ac:dyDescent="0.25">
      <c r="A1309">
        <v>64.3</v>
      </c>
    </row>
    <row r="1310" spans="1:1" x14ac:dyDescent="0.25">
      <c r="A1310">
        <v>63.5</v>
      </c>
    </row>
    <row r="1311" spans="1:1" x14ac:dyDescent="0.25">
      <c r="A1311">
        <v>62.8</v>
      </c>
    </row>
    <row r="1312" spans="1:1" x14ac:dyDescent="0.25">
      <c r="A1312">
        <v>62.1</v>
      </c>
    </row>
    <row r="1313" spans="1:1" x14ac:dyDescent="0.25">
      <c r="A1313">
        <v>61.3</v>
      </c>
    </row>
    <row r="1314" spans="1:1" x14ac:dyDescent="0.25">
      <c r="A1314">
        <v>65</v>
      </c>
    </row>
    <row r="1315" spans="1:1" x14ac:dyDescent="0.25">
      <c r="A1315">
        <v>59.7</v>
      </c>
    </row>
    <row r="1316" spans="1:1" x14ac:dyDescent="0.25">
      <c r="A1316">
        <v>75.400000000000006</v>
      </c>
    </row>
    <row r="1317" spans="1:1" x14ac:dyDescent="0.25">
      <c r="A1317">
        <v>75.3</v>
      </c>
    </row>
    <row r="1318" spans="1:1" x14ac:dyDescent="0.25">
      <c r="A1318">
        <v>74.900000000000006</v>
      </c>
    </row>
    <row r="1319" spans="1:1" x14ac:dyDescent="0.25">
      <c r="A1319">
        <v>74.599999999999994</v>
      </c>
    </row>
    <row r="1320" spans="1:1" x14ac:dyDescent="0.25">
      <c r="A1320">
        <v>74.400000000000006</v>
      </c>
    </row>
    <row r="1321" spans="1:1" x14ac:dyDescent="0.25">
      <c r="A1321">
        <v>74.099999999999994</v>
      </c>
    </row>
    <row r="1322" spans="1:1" x14ac:dyDescent="0.25">
      <c r="A1322">
        <v>74</v>
      </c>
    </row>
    <row r="1323" spans="1:1" x14ac:dyDescent="0.25">
      <c r="A1323">
        <v>73.8</v>
      </c>
    </row>
    <row r="1324" spans="1:1" x14ac:dyDescent="0.25">
      <c r="A1324">
        <v>73.599999999999994</v>
      </c>
    </row>
    <row r="1325" spans="1:1" x14ac:dyDescent="0.25">
      <c r="A1325">
        <v>73</v>
      </c>
    </row>
    <row r="1326" spans="1:1" x14ac:dyDescent="0.25">
      <c r="A1326">
        <v>73</v>
      </c>
    </row>
    <row r="1327" spans="1:1" x14ac:dyDescent="0.25">
      <c r="A1327">
        <v>73</v>
      </c>
    </row>
    <row r="1328" spans="1:1" x14ac:dyDescent="0.25">
      <c r="A1328">
        <v>72.900000000000006</v>
      </c>
    </row>
    <row r="1329" spans="1:1" x14ac:dyDescent="0.25">
      <c r="A1329">
        <v>72.7</v>
      </c>
    </row>
    <row r="1330" spans="1:1" x14ac:dyDescent="0.25">
      <c r="A1330">
        <v>72.599999999999994</v>
      </c>
    </row>
    <row r="1331" spans="1:1" x14ac:dyDescent="0.25">
      <c r="A1331">
        <v>72.400000000000006</v>
      </c>
    </row>
    <row r="1332" spans="1:1" x14ac:dyDescent="0.25">
      <c r="A1332">
        <v>72.3</v>
      </c>
    </row>
    <row r="1333" spans="1:1" x14ac:dyDescent="0.25">
      <c r="A1333">
        <v>72.2</v>
      </c>
    </row>
    <row r="1334" spans="1:1" x14ac:dyDescent="0.25">
      <c r="A1334">
        <v>72.2</v>
      </c>
    </row>
    <row r="1335" spans="1:1" x14ac:dyDescent="0.25">
      <c r="A1335">
        <v>72.2</v>
      </c>
    </row>
    <row r="1336" spans="1:1" x14ac:dyDescent="0.25">
      <c r="A1336">
        <v>72.2</v>
      </c>
    </row>
    <row r="1337" spans="1:1" x14ac:dyDescent="0.25">
      <c r="A1337">
        <v>72.099999999999994</v>
      </c>
    </row>
    <row r="1338" spans="1:1" x14ac:dyDescent="0.25">
      <c r="A1338">
        <v>72.099999999999994</v>
      </c>
    </row>
    <row r="1339" spans="1:1" x14ac:dyDescent="0.25">
      <c r="A1339">
        <v>72.099999999999994</v>
      </c>
    </row>
    <row r="1340" spans="1:1" x14ac:dyDescent="0.25">
      <c r="A1340">
        <v>72</v>
      </c>
    </row>
    <row r="1341" spans="1:1" x14ac:dyDescent="0.25">
      <c r="A1341">
        <v>71.8</v>
      </c>
    </row>
    <row r="1342" spans="1:1" x14ac:dyDescent="0.25">
      <c r="A1342">
        <v>48.1</v>
      </c>
    </row>
    <row r="1343" spans="1:1" x14ac:dyDescent="0.25">
      <c r="A1343">
        <v>54</v>
      </c>
    </row>
    <row r="1344" spans="1:1" x14ac:dyDescent="0.25">
      <c r="A1344">
        <v>49.7</v>
      </c>
    </row>
    <row r="1345" spans="1:1" x14ac:dyDescent="0.25">
      <c r="A1345">
        <v>48.9</v>
      </c>
    </row>
    <row r="1346" spans="1:1" x14ac:dyDescent="0.25">
      <c r="A1346">
        <v>48.1</v>
      </c>
    </row>
    <row r="1347" spans="1:1" x14ac:dyDescent="0.25">
      <c r="A1347">
        <v>47.1</v>
      </c>
    </row>
    <row r="1348" spans="1:1" x14ac:dyDescent="0.25">
      <c r="A1348">
        <v>46.2</v>
      </c>
    </row>
    <row r="1349" spans="1:1" x14ac:dyDescent="0.25">
      <c r="A1349">
        <v>45.3</v>
      </c>
    </row>
    <row r="1350" spans="1:1" x14ac:dyDescent="0.25">
      <c r="A1350">
        <v>68.8</v>
      </c>
    </row>
    <row r="1351" spans="1:1" x14ac:dyDescent="0.25">
      <c r="A1351">
        <v>68.8</v>
      </c>
    </row>
    <row r="1352" spans="1:1" x14ac:dyDescent="0.25">
      <c r="A1352">
        <v>68.7</v>
      </c>
    </row>
    <row r="1353" spans="1:1" x14ac:dyDescent="0.25">
      <c r="A1353">
        <v>68.5</v>
      </c>
    </row>
    <row r="1354" spans="1:1" x14ac:dyDescent="0.25">
      <c r="A1354">
        <v>68.3</v>
      </c>
    </row>
    <row r="1355" spans="1:1" x14ac:dyDescent="0.25">
      <c r="A1355">
        <v>68.099999999999994</v>
      </c>
    </row>
    <row r="1356" spans="1:1" x14ac:dyDescent="0.25">
      <c r="A1356">
        <v>68</v>
      </c>
    </row>
    <row r="1357" spans="1:1" x14ac:dyDescent="0.25">
      <c r="A1357">
        <v>67.599999999999994</v>
      </c>
    </row>
    <row r="1358" spans="1:1" x14ac:dyDescent="0.25">
      <c r="A1358">
        <v>67.599999999999994</v>
      </c>
    </row>
    <row r="1359" spans="1:1" x14ac:dyDescent="0.25">
      <c r="A1359">
        <v>67.400000000000006</v>
      </c>
    </row>
    <row r="1360" spans="1:1" x14ac:dyDescent="0.25">
      <c r="A1360">
        <v>67.099999999999994</v>
      </c>
    </row>
    <row r="1361" spans="1:1" x14ac:dyDescent="0.25">
      <c r="A1361">
        <v>66.8</v>
      </c>
    </row>
    <row r="1362" spans="1:1" x14ac:dyDescent="0.25">
      <c r="A1362">
        <v>66.5</v>
      </c>
    </row>
    <row r="1363" spans="1:1" x14ac:dyDescent="0.25">
      <c r="A1363">
        <v>66.2</v>
      </c>
    </row>
    <row r="1364" spans="1:1" x14ac:dyDescent="0.25">
      <c r="A1364">
        <v>65.8</v>
      </c>
    </row>
    <row r="1365" spans="1:1" x14ac:dyDescent="0.25">
      <c r="A1365">
        <v>62</v>
      </c>
    </row>
    <row r="1366" spans="1:1" x14ac:dyDescent="0.25">
      <c r="A1366">
        <v>69</v>
      </c>
    </row>
    <row r="1367" spans="1:1" x14ac:dyDescent="0.25">
      <c r="A1367">
        <v>59.2</v>
      </c>
    </row>
    <row r="1368" spans="1:1" x14ac:dyDescent="0.25">
      <c r="A1368">
        <v>58.9</v>
      </c>
    </row>
    <row r="1369" spans="1:1" x14ac:dyDescent="0.25">
      <c r="A1369">
        <v>58</v>
      </c>
    </row>
    <row r="1370" spans="1:1" x14ac:dyDescent="0.25">
      <c r="A1370">
        <v>56.5</v>
      </c>
    </row>
    <row r="1371" spans="1:1" x14ac:dyDescent="0.25">
      <c r="A1371">
        <v>55.3</v>
      </c>
    </row>
    <row r="1372" spans="1:1" x14ac:dyDescent="0.25">
      <c r="A1372">
        <v>54.5</v>
      </c>
    </row>
    <row r="1373" spans="1:1" x14ac:dyDescent="0.25">
      <c r="A1373">
        <v>54</v>
      </c>
    </row>
    <row r="1374" spans="1:1" x14ac:dyDescent="0.25">
      <c r="A1374">
        <v>53.8</v>
      </c>
    </row>
    <row r="1375" spans="1:1" x14ac:dyDescent="0.25">
      <c r="A1375">
        <v>53.7</v>
      </c>
    </row>
    <row r="1376" spans="1:1" x14ac:dyDescent="0.25">
      <c r="A1376">
        <v>54</v>
      </c>
    </row>
    <row r="1377" spans="1:1" x14ac:dyDescent="0.25">
      <c r="A1377">
        <v>54.9</v>
      </c>
    </row>
    <row r="1378" spans="1:1" x14ac:dyDescent="0.25">
      <c r="A1378">
        <v>56</v>
      </c>
    </row>
    <row r="1379" spans="1:1" x14ac:dyDescent="0.25">
      <c r="A1379">
        <v>57.3</v>
      </c>
    </row>
    <row r="1380" spans="1:1" x14ac:dyDescent="0.25">
      <c r="A1380">
        <v>82.6</v>
      </c>
    </row>
    <row r="1381" spans="1:1" x14ac:dyDescent="0.25">
      <c r="A1381">
        <v>82.4</v>
      </c>
    </row>
    <row r="1382" spans="1:1" x14ac:dyDescent="0.25">
      <c r="A1382">
        <v>82</v>
      </c>
    </row>
    <row r="1383" spans="1:1" x14ac:dyDescent="0.25">
      <c r="A1383">
        <v>82.1</v>
      </c>
    </row>
    <row r="1384" spans="1:1" x14ac:dyDescent="0.25">
      <c r="A1384">
        <v>81.900000000000006</v>
      </c>
    </row>
    <row r="1385" spans="1:1" x14ac:dyDescent="0.25">
      <c r="A1385">
        <v>81.599999999999994</v>
      </c>
    </row>
    <row r="1386" spans="1:1" x14ac:dyDescent="0.25">
      <c r="A1386">
        <v>81.3</v>
      </c>
    </row>
    <row r="1387" spans="1:1" x14ac:dyDescent="0.25">
      <c r="A1387">
        <v>89</v>
      </c>
    </row>
    <row r="1388" spans="1:1" x14ac:dyDescent="0.25">
      <c r="A1388">
        <v>88</v>
      </c>
    </row>
    <row r="1389" spans="1:1" x14ac:dyDescent="0.25">
      <c r="A1389">
        <v>81</v>
      </c>
    </row>
    <row r="1390" spans="1:1" x14ac:dyDescent="0.25">
      <c r="A1390">
        <v>81</v>
      </c>
    </row>
    <row r="1391" spans="1:1" x14ac:dyDescent="0.25">
      <c r="A1391">
        <v>79.400000000000006</v>
      </c>
    </row>
    <row r="1392" spans="1:1" x14ac:dyDescent="0.25">
      <c r="A1392">
        <v>79.5</v>
      </c>
    </row>
    <row r="1393" spans="1:1" x14ac:dyDescent="0.25">
      <c r="A1393">
        <v>79.400000000000006</v>
      </c>
    </row>
    <row r="1394" spans="1:1" x14ac:dyDescent="0.25">
      <c r="A1394">
        <v>79.099999999999994</v>
      </c>
    </row>
    <row r="1395" spans="1:1" x14ac:dyDescent="0.25">
      <c r="A1395">
        <v>74.7</v>
      </c>
    </row>
    <row r="1396" spans="1:1" x14ac:dyDescent="0.25">
      <c r="A1396">
        <v>74.599999999999994</v>
      </c>
    </row>
    <row r="1397" spans="1:1" x14ac:dyDescent="0.25">
      <c r="A1397">
        <v>74.5</v>
      </c>
    </row>
    <row r="1398" spans="1:1" x14ac:dyDescent="0.25">
      <c r="A1398">
        <v>74.5</v>
      </c>
    </row>
    <row r="1399" spans="1:1" x14ac:dyDescent="0.25">
      <c r="A1399">
        <v>74.5</v>
      </c>
    </row>
    <row r="1400" spans="1:1" x14ac:dyDescent="0.25">
      <c r="A1400">
        <v>71.8</v>
      </c>
    </row>
    <row r="1401" spans="1:1" x14ac:dyDescent="0.25">
      <c r="A1401">
        <v>72.3</v>
      </c>
    </row>
    <row r="1402" spans="1:1" x14ac:dyDescent="0.25">
      <c r="A1402">
        <v>73.7</v>
      </c>
    </row>
    <row r="1403" spans="1:1" x14ac:dyDescent="0.25">
      <c r="A1403">
        <v>73.8</v>
      </c>
    </row>
    <row r="1404" spans="1:1" x14ac:dyDescent="0.25">
      <c r="A1404">
        <v>74.2</v>
      </c>
    </row>
    <row r="1405" spans="1:1" x14ac:dyDescent="0.25">
      <c r="A1405">
        <v>69.099999999999994</v>
      </c>
    </row>
    <row r="1406" spans="1:1" x14ac:dyDescent="0.25">
      <c r="A1406">
        <v>73.900000000000006</v>
      </c>
    </row>
    <row r="1407" spans="1:1" x14ac:dyDescent="0.25">
      <c r="A1407">
        <v>71.400000000000006</v>
      </c>
    </row>
    <row r="1408" spans="1:1" x14ac:dyDescent="0.25">
      <c r="A1408">
        <v>71.2</v>
      </c>
    </row>
    <row r="1409" spans="1:1" x14ac:dyDescent="0.25">
      <c r="A1409">
        <v>71.3</v>
      </c>
    </row>
    <row r="1410" spans="1:1" x14ac:dyDescent="0.25">
      <c r="A1410">
        <v>76</v>
      </c>
    </row>
    <row r="1411" spans="1:1" x14ac:dyDescent="0.25">
      <c r="A1411">
        <v>73</v>
      </c>
    </row>
    <row r="1412" spans="1:1" x14ac:dyDescent="0.25">
      <c r="A1412">
        <v>70</v>
      </c>
    </row>
    <row r="1413" spans="1:1" x14ac:dyDescent="0.25">
      <c r="A1413">
        <v>69.8</v>
      </c>
    </row>
    <row r="1414" spans="1:1" x14ac:dyDescent="0.25">
      <c r="A1414">
        <v>69.5</v>
      </c>
    </row>
    <row r="1415" spans="1:1" x14ac:dyDescent="0.25">
      <c r="A1415">
        <v>69.3</v>
      </c>
    </row>
    <row r="1416" spans="1:1" x14ac:dyDescent="0.25">
      <c r="A1416">
        <v>68.900000000000006</v>
      </c>
    </row>
    <row r="1417" spans="1:1" x14ac:dyDescent="0.25">
      <c r="A1417">
        <v>58.4</v>
      </c>
    </row>
    <row r="1418" spans="1:1" x14ac:dyDescent="0.25">
      <c r="A1418">
        <v>57.6</v>
      </c>
    </row>
    <row r="1419" spans="1:1" x14ac:dyDescent="0.25">
      <c r="A1419">
        <v>56.5</v>
      </c>
    </row>
    <row r="1420" spans="1:1" x14ac:dyDescent="0.25">
      <c r="A1420">
        <v>55</v>
      </c>
    </row>
    <row r="1421" spans="1:1" x14ac:dyDescent="0.25">
      <c r="A1421">
        <v>53.6</v>
      </c>
    </row>
    <row r="1422" spans="1:1" x14ac:dyDescent="0.25">
      <c r="A1422">
        <v>52.6</v>
      </c>
    </row>
    <row r="1423" spans="1:1" x14ac:dyDescent="0.25">
      <c r="A1423">
        <v>51.4</v>
      </c>
    </row>
    <row r="1424" spans="1:1" x14ac:dyDescent="0.25">
      <c r="A1424">
        <v>50</v>
      </c>
    </row>
    <row r="1425" spans="1:1" x14ac:dyDescent="0.25">
      <c r="A1425">
        <v>47.8</v>
      </c>
    </row>
    <row r="1426" spans="1:1" x14ac:dyDescent="0.25">
      <c r="A1426">
        <v>46</v>
      </c>
    </row>
    <row r="1427" spans="1:1" x14ac:dyDescent="0.25">
      <c r="A1427">
        <v>45.6</v>
      </c>
    </row>
    <row r="1428" spans="1:1" x14ac:dyDescent="0.25">
      <c r="A1428">
        <v>45.9</v>
      </c>
    </row>
    <row r="1429" spans="1:1" x14ac:dyDescent="0.25">
      <c r="A1429">
        <v>46.4</v>
      </c>
    </row>
    <row r="1430" spans="1:1" x14ac:dyDescent="0.25">
      <c r="A1430">
        <v>47.1</v>
      </c>
    </row>
    <row r="1431" spans="1:1" x14ac:dyDescent="0.25">
      <c r="A1431">
        <v>48.4</v>
      </c>
    </row>
    <row r="1432" spans="1:1" x14ac:dyDescent="0.25">
      <c r="A1432">
        <v>82.3</v>
      </c>
    </row>
    <row r="1433" spans="1:1" x14ac:dyDescent="0.25">
      <c r="A1433">
        <v>81.900000000000006</v>
      </c>
    </row>
    <row r="1434" spans="1:1" x14ac:dyDescent="0.25">
      <c r="A1434">
        <v>81.7</v>
      </c>
    </row>
    <row r="1435" spans="1:1" x14ac:dyDescent="0.25">
      <c r="A1435">
        <v>81.7</v>
      </c>
    </row>
    <row r="1436" spans="1:1" x14ac:dyDescent="0.25">
      <c r="A1436">
        <v>73.8</v>
      </c>
    </row>
    <row r="1437" spans="1:1" x14ac:dyDescent="0.25">
      <c r="A1437">
        <v>73.7</v>
      </c>
    </row>
    <row r="1438" spans="1:1" x14ac:dyDescent="0.25">
      <c r="A1438">
        <v>73.5</v>
      </c>
    </row>
    <row r="1439" spans="1:1" x14ac:dyDescent="0.25">
      <c r="A1439">
        <v>73.2</v>
      </c>
    </row>
    <row r="1440" spans="1:1" x14ac:dyDescent="0.25">
      <c r="A1440">
        <v>73</v>
      </c>
    </row>
    <row r="1441" spans="1:1" x14ac:dyDescent="0.25">
      <c r="A1441">
        <v>72.8</v>
      </c>
    </row>
    <row r="1442" spans="1:1" x14ac:dyDescent="0.25">
      <c r="A1442">
        <v>72.7</v>
      </c>
    </row>
    <row r="1443" spans="1:1" x14ac:dyDescent="0.25">
      <c r="A1443">
        <v>72.599999999999994</v>
      </c>
    </row>
    <row r="1444" spans="1:1" x14ac:dyDescent="0.25">
      <c r="A1444">
        <v>69.599999999999994</v>
      </c>
    </row>
    <row r="1445" spans="1:1" x14ac:dyDescent="0.25">
      <c r="A1445">
        <v>69.3</v>
      </c>
    </row>
    <row r="1446" spans="1:1" x14ac:dyDescent="0.25">
      <c r="A1446">
        <v>68.8</v>
      </c>
    </row>
    <row r="1447" spans="1:1" x14ac:dyDescent="0.25">
      <c r="A1447">
        <v>68.099999999999994</v>
      </c>
    </row>
    <row r="1448" spans="1:1" x14ac:dyDescent="0.25">
      <c r="A1448">
        <v>67.3</v>
      </c>
    </row>
    <row r="1449" spans="1:1" x14ac:dyDescent="0.25">
      <c r="A1449">
        <v>66.7</v>
      </c>
    </row>
    <row r="1450" spans="1:1" x14ac:dyDescent="0.25">
      <c r="A1450">
        <v>66.400000000000006</v>
      </c>
    </row>
    <row r="1451" spans="1:1" x14ac:dyDescent="0.25">
      <c r="A1451">
        <v>66.099999999999994</v>
      </c>
    </row>
    <row r="1452" spans="1:1" x14ac:dyDescent="0.25">
      <c r="A1452">
        <v>65.900000000000006</v>
      </c>
    </row>
    <row r="1453" spans="1:1" x14ac:dyDescent="0.25">
      <c r="A1453">
        <v>65.5</v>
      </c>
    </row>
    <row r="1454" spans="1:1" x14ac:dyDescent="0.25">
      <c r="A1454">
        <v>65.900000000000006</v>
      </c>
    </row>
    <row r="1455" spans="1:1" x14ac:dyDescent="0.25">
      <c r="A1455">
        <v>65.2</v>
      </c>
    </row>
    <row r="1456" spans="1:1" x14ac:dyDescent="0.25">
      <c r="A1456">
        <v>64.3</v>
      </c>
    </row>
    <row r="1457" spans="1:1" x14ac:dyDescent="0.25">
      <c r="A1457">
        <v>74.599999999999994</v>
      </c>
    </row>
    <row r="1458" spans="1:1" x14ac:dyDescent="0.25">
      <c r="A1458">
        <v>74.5</v>
      </c>
    </row>
    <row r="1459" spans="1:1" x14ac:dyDescent="0.25">
      <c r="A1459">
        <v>74.3</v>
      </c>
    </row>
    <row r="1460" spans="1:1" x14ac:dyDescent="0.25">
      <c r="A1460">
        <v>74.099999999999994</v>
      </c>
    </row>
    <row r="1461" spans="1:1" x14ac:dyDescent="0.25">
      <c r="A1461">
        <v>73.900000000000006</v>
      </c>
    </row>
    <row r="1462" spans="1:1" x14ac:dyDescent="0.25">
      <c r="A1462">
        <v>73.7</v>
      </c>
    </row>
    <row r="1463" spans="1:1" x14ac:dyDescent="0.25">
      <c r="A1463">
        <v>73.5</v>
      </c>
    </row>
    <row r="1464" spans="1:1" x14ac:dyDescent="0.25">
      <c r="A1464">
        <v>73.3</v>
      </c>
    </row>
    <row r="1465" spans="1:1" x14ac:dyDescent="0.25">
      <c r="A1465">
        <v>73</v>
      </c>
    </row>
    <row r="1466" spans="1:1" x14ac:dyDescent="0.25">
      <c r="A1466">
        <v>72.5</v>
      </c>
    </row>
    <row r="1467" spans="1:1" x14ac:dyDescent="0.25">
      <c r="A1467">
        <v>71.599999999999994</v>
      </c>
    </row>
    <row r="1468" spans="1:1" x14ac:dyDescent="0.25">
      <c r="A1468">
        <v>71.7</v>
      </c>
    </row>
    <row r="1469" spans="1:1" x14ac:dyDescent="0.25">
      <c r="A1469">
        <v>71.400000000000006</v>
      </c>
    </row>
    <row r="1470" spans="1:1" x14ac:dyDescent="0.25">
      <c r="A1470">
        <v>71.2</v>
      </c>
    </row>
    <row r="1471" spans="1:1" x14ac:dyDescent="0.25">
      <c r="A1471">
        <v>71.099999999999994</v>
      </c>
    </row>
    <row r="1472" spans="1:1" x14ac:dyDescent="0.25">
      <c r="A1472">
        <v>68</v>
      </c>
    </row>
    <row r="1473" spans="1:1" x14ac:dyDescent="0.25">
      <c r="A1473">
        <v>67.7</v>
      </c>
    </row>
    <row r="1474" spans="1:1" x14ac:dyDescent="0.25">
      <c r="A1474">
        <v>67.400000000000006</v>
      </c>
    </row>
    <row r="1475" spans="1:1" x14ac:dyDescent="0.25">
      <c r="A1475">
        <v>67.2</v>
      </c>
    </row>
    <row r="1476" spans="1:1" x14ac:dyDescent="0.25">
      <c r="A1476">
        <v>66.900000000000006</v>
      </c>
    </row>
    <row r="1477" spans="1:1" x14ac:dyDescent="0.25">
      <c r="A1477">
        <v>66.599999999999994</v>
      </c>
    </row>
    <row r="1478" spans="1:1" x14ac:dyDescent="0.25">
      <c r="A1478">
        <v>66.2</v>
      </c>
    </row>
    <row r="1479" spans="1:1" x14ac:dyDescent="0.25">
      <c r="A1479">
        <v>59.7</v>
      </c>
    </row>
    <row r="1480" spans="1:1" x14ac:dyDescent="0.25">
      <c r="A1480">
        <v>59.4</v>
      </c>
    </row>
    <row r="1481" spans="1:1" x14ac:dyDescent="0.25">
      <c r="A1481">
        <v>58.9</v>
      </c>
    </row>
    <row r="1482" spans="1:1" x14ac:dyDescent="0.25">
      <c r="A1482">
        <v>58.3</v>
      </c>
    </row>
    <row r="1483" spans="1:1" x14ac:dyDescent="0.25">
      <c r="A1483">
        <v>57.4</v>
      </c>
    </row>
    <row r="1484" spans="1:1" x14ac:dyDescent="0.25">
      <c r="A1484">
        <v>56.7</v>
      </c>
    </row>
    <row r="1485" spans="1:1" x14ac:dyDescent="0.25">
      <c r="A1485">
        <v>56.2</v>
      </c>
    </row>
    <row r="1486" spans="1:1" x14ac:dyDescent="0.25">
      <c r="A1486">
        <v>73.3</v>
      </c>
    </row>
    <row r="1487" spans="1:1" x14ac:dyDescent="0.25">
      <c r="A1487">
        <v>73.2</v>
      </c>
    </row>
    <row r="1488" spans="1:1" x14ac:dyDescent="0.25">
      <c r="A1488">
        <v>73</v>
      </c>
    </row>
    <row r="1489" spans="1:1" x14ac:dyDescent="0.25">
      <c r="A1489">
        <v>72.900000000000006</v>
      </c>
    </row>
    <row r="1490" spans="1:1" x14ac:dyDescent="0.25">
      <c r="A1490">
        <v>72.8</v>
      </c>
    </row>
    <row r="1491" spans="1:1" x14ac:dyDescent="0.25">
      <c r="A1491">
        <v>72.5</v>
      </c>
    </row>
    <row r="1492" spans="1:1" x14ac:dyDescent="0.25">
      <c r="A1492">
        <v>72.599999999999994</v>
      </c>
    </row>
    <row r="1493" spans="1:1" x14ac:dyDescent="0.25">
      <c r="A1493">
        <v>72.5</v>
      </c>
    </row>
    <row r="1494" spans="1:1" x14ac:dyDescent="0.25">
      <c r="A1494">
        <v>72.400000000000006</v>
      </c>
    </row>
    <row r="1495" spans="1:1" x14ac:dyDescent="0.25">
      <c r="A1495">
        <v>72.3</v>
      </c>
    </row>
    <row r="1496" spans="1:1" x14ac:dyDescent="0.25">
      <c r="A1496">
        <v>72.2</v>
      </c>
    </row>
    <row r="1497" spans="1:1" x14ac:dyDescent="0.25">
      <c r="A1497">
        <v>72</v>
      </c>
    </row>
    <row r="1498" spans="1:1" x14ac:dyDescent="0.25">
      <c r="A1498">
        <v>71.900000000000006</v>
      </c>
    </row>
    <row r="1499" spans="1:1" x14ac:dyDescent="0.25">
      <c r="A1499">
        <v>71.8</v>
      </c>
    </row>
    <row r="1500" spans="1:1" x14ac:dyDescent="0.25">
      <c r="A1500">
        <v>71.599999999999994</v>
      </c>
    </row>
    <row r="1501" spans="1:1" x14ac:dyDescent="0.25">
      <c r="A1501">
        <v>71.099999999999994</v>
      </c>
    </row>
    <row r="1502" spans="1:1" x14ac:dyDescent="0.25">
      <c r="A1502">
        <v>71</v>
      </c>
    </row>
    <row r="1503" spans="1:1" x14ac:dyDescent="0.25">
      <c r="A1503">
        <v>78</v>
      </c>
    </row>
    <row r="1504" spans="1:1" x14ac:dyDescent="0.25">
      <c r="A1504">
        <v>76</v>
      </c>
    </row>
    <row r="1505" spans="1:1" x14ac:dyDescent="0.25">
      <c r="A1505">
        <v>74</v>
      </c>
    </row>
    <row r="1506" spans="1:1" x14ac:dyDescent="0.25">
      <c r="A1506">
        <v>71</v>
      </c>
    </row>
    <row r="1507" spans="1:1" x14ac:dyDescent="0.25">
      <c r="A1507">
        <v>69.900000000000006</v>
      </c>
    </row>
    <row r="1508" spans="1:1" x14ac:dyDescent="0.25">
      <c r="A1508">
        <v>69.7</v>
      </c>
    </row>
    <row r="1509" spans="1:1" x14ac:dyDescent="0.25">
      <c r="A1509">
        <v>69.599999999999994</v>
      </c>
    </row>
    <row r="1510" spans="1:1" x14ac:dyDescent="0.25">
      <c r="A1510">
        <v>69.5</v>
      </c>
    </row>
    <row r="1511" spans="1:1" x14ac:dyDescent="0.25">
      <c r="A1511">
        <v>69.400000000000006</v>
      </c>
    </row>
    <row r="1512" spans="1:1" x14ac:dyDescent="0.25">
      <c r="A1512">
        <v>69.3</v>
      </c>
    </row>
    <row r="1513" spans="1:1" x14ac:dyDescent="0.25">
      <c r="A1513">
        <v>69.2</v>
      </c>
    </row>
    <row r="1514" spans="1:1" x14ac:dyDescent="0.25">
      <c r="A1514">
        <v>75.099999999999994</v>
      </c>
    </row>
    <row r="1515" spans="1:1" x14ac:dyDescent="0.25">
      <c r="A1515">
        <v>74.900000000000006</v>
      </c>
    </row>
    <row r="1516" spans="1:1" x14ac:dyDescent="0.25">
      <c r="A1516">
        <v>74.900000000000006</v>
      </c>
    </row>
    <row r="1517" spans="1:1" x14ac:dyDescent="0.25">
      <c r="A1517">
        <v>74.8</v>
      </c>
    </row>
    <row r="1518" spans="1:1" x14ac:dyDescent="0.25">
      <c r="A1518">
        <v>74.8</v>
      </c>
    </row>
    <row r="1519" spans="1:1" x14ac:dyDescent="0.25">
      <c r="A1519">
        <v>74.7</v>
      </c>
    </row>
    <row r="1520" spans="1:1" x14ac:dyDescent="0.25">
      <c r="A1520">
        <v>74.7</v>
      </c>
    </row>
    <row r="1521" spans="1:1" x14ac:dyDescent="0.25">
      <c r="A1521">
        <v>74.599999999999994</v>
      </c>
    </row>
    <row r="1522" spans="1:1" x14ac:dyDescent="0.25">
      <c r="A1522">
        <v>74.400000000000006</v>
      </c>
    </row>
    <row r="1523" spans="1:1" x14ac:dyDescent="0.25">
      <c r="A1523">
        <v>74.2</v>
      </c>
    </row>
    <row r="1524" spans="1:1" x14ac:dyDescent="0.25">
      <c r="A1524">
        <v>74</v>
      </c>
    </row>
    <row r="1525" spans="1:1" x14ac:dyDescent="0.25">
      <c r="A1525">
        <v>73.7</v>
      </c>
    </row>
    <row r="1526" spans="1:1" x14ac:dyDescent="0.25">
      <c r="A1526">
        <v>73.5</v>
      </c>
    </row>
    <row r="1527" spans="1:1" x14ac:dyDescent="0.25">
      <c r="A1527">
        <v>73.2</v>
      </c>
    </row>
    <row r="1528" spans="1:1" x14ac:dyDescent="0.25">
      <c r="A1528">
        <v>72.900000000000006</v>
      </c>
    </row>
    <row r="1529" spans="1:1" x14ac:dyDescent="0.25">
      <c r="A1529">
        <v>75.5</v>
      </c>
    </row>
    <row r="1530" spans="1:1" x14ac:dyDescent="0.25">
      <c r="A1530">
        <v>75.2</v>
      </c>
    </row>
    <row r="1531" spans="1:1" x14ac:dyDescent="0.25">
      <c r="A1531">
        <v>74.8</v>
      </c>
    </row>
    <row r="1532" spans="1:1" x14ac:dyDescent="0.25">
      <c r="A1532">
        <v>74.5</v>
      </c>
    </row>
    <row r="1533" spans="1:1" x14ac:dyDescent="0.25">
      <c r="A1533">
        <v>74.2</v>
      </c>
    </row>
    <row r="1534" spans="1:1" x14ac:dyDescent="0.25">
      <c r="A1534">
        <v>73.900000000000006</v>
      </c>
    </row>
    <row r="1535" spans="1:1" x14ac:dyDescent="0.25">
      <c r="A1535">
        <v>73.5</v>
      </c>
    </row>
    <row r="1536" spans="1:1" x14ac:dyDescent="0.25">
      <c r="A1536">
        <v>73.2</v>
      </c>
    </row>
    <row r="1537" spans="1:1" x14ac:dyDescent="0.25">
      <c r="A1537">
        <v>72.8</v>
      </c>
    </row>
    <row r="1538" spans="1:1" x14ac:dyDescent="0.25">
      <c r="A1538">
        <v>72.400000000000006</v>
      </c>
    </row>
    <row r="1539" spans="1:1" x14ac:dyDescent="0.25">
      <c r="A1539">
        <v>72</v>
      </c>
    </row>
    <row r="1540" spans="1:1" x14ac:dyDescent="0.25">
      <c r="A1540">
        <v>71.599999999999994</v>
      </c>
    </row>
    <row r="1541" spans="1:1" x14ac:dyDescent="0.25">
      <c r="A1541">
        <v>71.2</v>
      </c>
    </row>
    <row r="1542" spans="1:1" x14ac:dyDescent="0.25">
      <c r="A1542">
        <v>78</v>
      </c>
    </row>
    <row r="1543" spans="1:1" x14ac:dyDescent="0.25">
      <c r="A1543">
        <v>74</v>
      </c>
    </row>
    <row r="1544" spans="1:1" x14ac:dyDescent="0.25">
      <c r="A1544">
        <v>66</v>
      </c>
    </row>
    <row r="1545" spans="1:1" x14ac:dyDescent="0.25">
      <c r="A1545">
        <v>65.400000000000006</v>
      </c>
    </row>
    <row r="1546" spans="1:1" x14ac:dyDescent="0.25">
      <c r="A1546">
        <v>65.599999999999994</v>
      </c>
    </row>
    <row r="1547" spans="1:1" x14ac:dyDescent="0.25">
      <c r="A1547">
        <v>65.599999999999994</v>
      </c>
    </row>
    <row r="1548" spans="1:1" x14ac:dyDescent="0.25">
      <c r="A1548">
        <v>65.8</v>
      </c>
    </row>
    <row r="1549" spans="1:1" x14ac:dyDescent="0.25">
      <c r="A1549">
        <v>65.599999999999994</v>
      </c>
    </row>
    <row r="1550" spans="1:1" x14ac:dyDescent="0.25">
      <c r="A1550">
        <v>64.5</v>
      </c>
    </row>
    <row r="1551" spans="1:1" x14ac:dyDescent="0.25">
      <c r="A1551">
        <v>64.099999999999994</v>
      </c>
    </row>
    <row r="1552" spans="1:1" x14ac:dyDescent="0.25">
      <c r="A1552">
        <v>63.7</v>
      </c>
    </row>
    <row r="1553" spans="1:1" x14ac:dyDescent="0.25">
      <c r="A1553">
        <v>63.3</v>
      </c>
    </row>
    <row r="1554" spans="1:1" x14ac:dyDescent="0.25">
      <c r="A1554">
        <v>63.5</v>
      </c>
    </row>
    <row r="1555" spans="1:1" x14ac:dyDescent="0.25">
      <c r="A1555">
        <v>63.4</v>
      </c>
    </row>
    <row r="1556" spans="1:1" x14ac:dyDescent="0.25">
      <c r="A1556">
        <v>63.3</v>
      </c>
    </row>
    <row r="1557" spans="1:1" x14ac:dyDescent="0.25">
      <c r="A1557">
        <v>61.5</v>
      </c>
    </row>
    <row r="1558" spans="1:1" x14ac:dyDescent="0.25">
      <c r="A1558">
        <v>67</v>
      </c>
    </row>
    <row r="1559" spans="1:1" x14ac:dyDescent="0.25">
      <c r="A1559">
        <v>60</v>
      </c>
    </row>
    <row r="1560" spans="1:1" x14ac:dyDescent="0.25">
      <c r="A1560">
        <v>59.3</v>
      </c>
    </row>
    <row r="1561" spans="1:1" x14ac:dyDescent="0.25">
      <c r="A1561">
        <v>58.4</v>
      </c>
    </row>
    <row r="1562" spans="1:1" x14ac:dyDescent="0.25">
      <c r="A1562">
        <v>57.5</v>
      </c>
    </row>
    <row r="1563" spans="1:1" x14ac:dyDescent="0.25">
      <c r="A1563">
        <v>56.3</v>
      </c>
    </row>
    <row r="1564" spans="1:1" x14ac:dyDescent="0.25">
      <c r="A1564">
        <v>55.5</v>
      </c>
    </row>
    <row r="1565" spans="1:1" x14ac:dyDescent="0.25">
      <c r="A1565">
        <v>54.9</v>
      </c>
    </row>
    <row r="1566" spans="1:1" x14ac:dyDescent="0.25">
      <c r="A1566">
        <v>53.2</v>
      </c>
    </row>
    <row r="1567" spans="1:1" x14ac:dyDescent="0.25">
      <c r="A1567">
        <v>51.3</v>
      </c>
    </row>
    <row r="1568" spans="1:1" x14ac:dyDescent="0.25">
      <c r="A1568">
        <v>51</v>
      </c>
    </row>
    <row r="1569" spans="1:1" x14ac:dyDescent="0.25">
      <c r="A1569">
        <v>48.8</v>
      </c>
    </row>
    <row r="1570" spans="1:1" x14ac:dyDescent="0.25">
      <c r="A1570">
        <v>78</v>
      </c>
    </row>
    <row r="1571" spans="1:1" x14ac:dyDescent="0.25">
      <c r="A1571">
        <v>71</v>
      </c>
    </row>
    <row r="1572" spans="1:1" x14ac:dyDescent="0.25">
      <c r="A1572">
        <v>77</v>
      </c>
    </row>
    <row r="1573" spans="1:1" x14ac:dyDescent="0.25">
      <c r="A1573">
        <v>75</v>
      </c>
    </row>
    <row r="1574" spans="1:1" x14ac:dyDescent="0.25">
      <c r="A1574">
        <v>69.8</v>
      </c>
    </row>
    <row r="1575" spans="1:1" x14ac:dyDescent="0.25">
      <c r="A1575">
        <v>69.2</v>
      </c>
    </row>
    <row r="1576" spans="1:1" x14ac:dyDescent="0.25">
      <c r="A1576">
        <v>67.7</v>
      </c>
    </row>
    <row r="1577" spans="1:1" x14ac:dyDescent="0.25">
      <c r="A1577">
        <v>67.5</v>
      </c>
    </row>
    <row r="1578" spans="1:1" x14ac:dyDescent="0.25">
      <c r="A1578">
        <v>67.7</v>
      </c>
    </row>
    <row r="1579" spans="1:1" x14ac:dyDescent="0.25">
      <c r="A1579">
        <v>67</v>
      </c>
    </row>
    <row r="1580" spans="1:1" x14ac:dyDescent="0.25">
      <c r="A1580">
        <v>67.400000000000006</v>
      </c>
    </row>
    <row r="1581" spans="1:1" x14ac:dyDescent="0.25">
      <c r="A1581">
        <v>67.599999999999994</v>
      </c>
    </row>
    <row r="1582" spans="1:1" x14ac:dyDescent="0.25">
      <c r="A1582">
        <v>67.599999999999994</v>
      </c>
    </row>
    <row r="1583" spans="1:1" x14ac:dyDescent="0.25">
      <c r="A1583">
        <v>67.7</v>
      </c>
    </row>
    <row r="1584" spans="1:1" x14ac:dyDescent="0.25">
      <c r="A1584">
        <v>67.5</v>
      </c>
    </row>
    <row r="1585" spans="1:1" x14ac:dyDescent="0.25">
      <c r="A1585">
        <v>76.8</v>
      </c>
    </row>
    <row r="1586" spans="1:1" x14ac:dyDescent="0.25">
      <c r="A1586">
        <v>76.8</v>
      </c>
    </row>
    <row r="1587" spans="1:1" x14ac:dyDescent="0.25">
      <c r="A1587">
        <v>76.5</v>
      </c>
    </row>
    <row r="1588" spans="1:1" x14ac:dyDescent="0.25">
      <c r="A1588">
        <v>77</v>
      </c>
    </row>
    <row r="1589" spans="1:1" x14ac:dyDescent="0.25">
      <c r="A1589">
        <v>76.3</v>
      </c>
    </row>
    <row r="1590" spans="1:1" x14ac:dyDescent="0.25">
      <c r="A1590">
        <v>76.599999999999994</v>
      </c>
    </row>
    <row r="1591" spans="1:1" x14ac:dyDescent="0.25">
      <c r="A1591">
        <v>76.400000000000006</v>
      </c>
    </row>
    <row r="1592" spans="1:1" x14ac:dyDescent="0.25">
      <c r="A1592">
        <v>75.400000000000006</v>
      </c>
    </row>
    <row r="1593" spans="1:1" x14ac:dyDescent="0.25">
      <c r="A1593">
        <v>76.2</v>
      </c>
    </row>
    <row r="1594" spans="1:1" x14ac:dyDescent="0.25">
      <c r="A1594">
        <v>75.7</v>
      </c>
    </row>
    <row r="1595" spans="1:1" x14ac:dyDescent="0.25">
      <c r="A1595">
        <v>75.400000000000006</v>
      </c>
    </row>
    <row r="1596" spans="1:1" x14ac:dyDescent="0.25">
      <c r="A1596">
        <v>75.400000000000006</v>
      </c>
    </row>
    <row r="1597" spans="1:1" x14ac:dyDescent="0.25">
      <c r="A1597">
        <v>75.400000000000006</v>
      </c>
    </row>
    <row r="1598" spans="1:1" x14ac:dyDescent="0.25">
      <c r="A1598">
        <v>75.2</v>
      </c>
    </row>
    <row r="1599" spans="1:1" x14ac:dyDescent="0.25">
      <c r="A1599">
        <v>75.099999999999994</v>
      </c>
    </row>
    <row r="1600" spans="1:1" x14ac:dyDescent="0.25">
      <c r="A1600">
        <v>69.2</v>
      </c>
    </row>
    <row r="1601" spans="1:1" x14ac:dyDescent="0.25">
      <c r="A1601">
        <v>69.099999999999994</v>
      </c>
    </row>
    <row r="1602" spans="1:1" x14ac:dyDescent="0.25">
      <c r="A1602">
        <v>68.8</v>
      </c>
    </row>
    <row r="1603" spans="1:1" x14ac:dyDescent="0.25">
      <c r="A1603">
        <v>68.5</v>
      </c>
    </row>
    <row r="1604" spans="1:1" x14ac:dyDescent="0.25">
      <c r="A1604">
        <v>68.3</v>
      </c>
    </row>
    <row r="1605" spans="1:1" x14ac:dyDescent="0.25">
      <c r="A1605">
        <v>68</v>
      </c>
    </row>
    <row r="1606" spans="1:1" x14ac:dyDescent="0.25">
      <c r="A1606">
        <v>67.900000000000006</v>
      </c>
    </row>
    <row r="1607" spans="1:1" x14ac:dyDescent="0.25">
      <c r="A1607">
        <v>67.8</v>
      </c>
    </row>
    <row r="1608" spans="1:1" x14ac:dyDescent="0.25">
      <c r="A1608">
        <v>67.599999999999994</v>
      </c>
    </row>
    <row r="1609" spans="1:1" x14ac:dyDescent="0.25">
      <c r="A1609">
        <v>67.3</v>
      </c>
    </row>
    <row r="1610" spans="1:1" x14ac:dyDescent="0.25">
      <c r="A1610">
        <v>67.8</v>
      </c>
    </row>
    <row r="1611" spans="1:1" x14ac:dyDescent="0.25">
      <c r="A1611">
        <v>67.2</v>
      </c>
    </row>
    <row r="1612" spans="1:1" x14ac:dyDescent="0.25">
      <c r="A1612">
        <v>67.099999999999994</v>
      </c>
    </row>
    <row r="1613" spans="1:1" x14ac:dyDescent="0.25">
      <c r="A1613">
        <v>71.7</v>
      </c>
    </row>
    <row r="1614" spans="1:1" x14ac:dyDescent="0.25">
      <c r="A1614">
        <v>71.599999999999994</v>
      </c>
    </row>
    <row r="1615" spans="1:1" x14ac:dyDescent="0.25">
      <c r="A1615">
        <v>71.400000000000006</v>
      </c>
    </row>
    <row r="1616" spans="1:1" x14ac:dyDescent="0.25">
      <c r="A1616">
        <v>71.2</v>
      </c>
    </row>
    <row r="1617" spans="1:1" x14ac:dyDescent="0.25">
      <c r="A1617">
        <v>71</v>
      </c>
    </row>
    <row r="1618" spans="1:1" x14ac:dyDescent="0.25">
      <c r="A1618">
        <v>78</v>
      </c>
    </row>
    <row r="1619" spans="1:1" x14ac:dyDescent="0.25">
      <c r="A1619">
        <v>75</v>
      </c>
    </row>
    <row r="1620" spans="1:1" x14ac:dyDescent="0.25">
      <c r="A1620">
        <v>73</v>
      </c>
    </row>
    <row r="1621" spans="1:1" x14ac:dyDescent="0.25">
      <c r="A1621">
        <v>71</v>
      </c>
    </row>
    <row r="1622" spans="1:1" x14ac:dyDescent="0.25">
      <c r="A1622">
        <v>69.900000000000006</v>
      </c>
    </row>
    <row r="1623" spans="1:1" x14ac:dyDescent="0.25">
      <c r="A1623">
        <v>69.599999999999994</v>
      </c>
    </row>
    <row r="1624" spans="1:1" x14ac:dyDescent="0.25">
      <c r="A1624">
        <v>69.400000000000006</v>
      </c>
    </row>
    <row r="1625" spans="1:1" x14ac:dyDescent="0.25">
      <c r="A1625">
        <v>69.3</v>
      </c>
    </row>
    <row r="1626" spans="1:1" x14ac:dyDescent="0.25">
      <c r="A1626">
        <v>69.099999999999994</v>
      </c>
    </row>
    <row r="1627" spans="1:1" x14ac:dyDescent="0.25">
      <c r="A1627">
        <v>69</v>
      </c>
    </row>
    <row r="1628" spans="1:1" x14ac:dyDescent="0.25">
      <c r="A1628">
        <v>61.1</v>
      </c>
    </row>
    <row r="1629" spans="1:1" x14ac:dyDescent="0.25">
      <c r="A1629">
        <v>63</v>
      </c>
    </row>
    <row r="1630" spans="1:1" x14ac:dyDescent="0.25">
      <c r="A1630">
        <v>59.2</v>
      </c>
    </row>
    <row r="1631" spans="1:1" x14ac:dyDescent="0.25">
      <c r="A1631">
        <v>58.2</v>
      </c>
    </row>
    <row r="1632" spans="1:1" x14ac:dyDescent="0.25">
      <c r="A1632">
        <v>58</v>
      </c>
    </row>
    <row r="1633" spans="1:1" x14ac:dyDescent="0.25">
      <c r="A1633">
        <v>57.4</v>
      </c>
    </row>
    <row r="1634" spans="1:1" x14ac:dyDescent="0.25">
      <c r="A1634">
        <v>55.7</v>
      </c>
    </row>
    <row r="1635" spans="1:1" x14ac:dyDescent="0.25">
      <c r="A1635">
        <v>52.6</v>
      </c>
    </row>
    <row r="1636" spans="1:1" x14ac:dyDescent="0.25">
      <c r="A1636">
        <v>58</v>
      </c>
    </row>
    <row r="1637" spans="1:1" x14ac:dyDescent="0.25">
      <c r="A1637">
        <v>49.3</v>
      </c>
    </row>
    <row r="1638" spans="1:1" x14ac:dyDescent="0.25">
      <c r="A1638">
        <v>59.2</v>
      </c>
    </row>
    <row r="1639" spans="1:1" x14ac:dyDescent="0.25">
      <c r="A1639">
        <v>58</v>
      </c>
    </row>
    <row r="1640" spans="1:1" x14ac:dyDescent="0.25">
      <c r="A1640">
        <v>56.6</v>
      </c>
    </row>
    <row r="1641" spans="1:1" x14ac:dyDescent="0.25">
      <c r="A1641">
        <v>54.9</v>
      </c>
    </row>
    <row r="1642" spans="1:1" x14ac:dyDescent="0.25">
      <c r="A1642">
        <v>52.4</v>
      </c>
    </row>
    <row r="1643" spans="1:1" x14ac:dyDescent="0.25">
      <c r="A1643">
        <v>50</v>
      </c>
    </row>
    <row r="1644" spans="1:1" x14ac:dyDescent="0.25">
      <c r="A1644">
        <v>48.2</v>
      </c>
    </row>
    <row r="1645" spans="1:1" x14ac:dyDescent="0.25">
      <c r="A1645">
        <v>46.6</v>
      </c>
    </row>
    <row r="1646" spans="1:1" x14ac:dyDescent="0.25">
      <c r="A1646">
        <v>45.4</v>
      </c>
    </row>
    <row r="1647" spans="1:1" x14ac:dyDescent="0.25">
      <c r="A1647">
        <v>44.6</v>
      </c>
    </row>
    <row r="1648" spans="1:1" x14ac:dyDescent="0.25">
      <c r="A1648">
        <v>44.3</v>
      </c>
    </row>
    <row r="1649" spans="1:1" x14ac:dyDescent="0.25">
      <c r="A1649">
        <v>44.5</v>
      </c>
    </row>
    <row r="1650" spans="1:1" x14ac:dyDescent="0.25">
      <c r="A1650">
        <v>44.8</v>
      </c>
    </row>
    <row r="1651" spans="1:1" x14ac:dyDescent="0.25">
      <c r="A1651">
        <v>45.3</v>
      </c>
    </row>
    <row r="1652" spans="1:1" x14ac:dyDescent="0.25">
      <c r="A1652">
        <v>46</v>
      </c>
    </row>
  </sheetData>
  <mergeCells count="7">
    <mergeCell ref="AX3:BR3"/>
    <mergeCell ref="F1:M1"/>
    <mergeCell ref="F2:G2"/>
    <mergeCell ref="I2:J2"/>
    <mergeCell ref="L2:M2"/>
    <mergeCell ref="P2:Z2"/>
    <mergeCell ref="AB3:AV3"/>
  </mergeCells>
  <conditionalFormatting sqref="P5:Z10">
    <cfRule type="expression" dxfId="4" priority="1" stopIfTrue="1">
      <formula>$Y5=MIN($Y$5:$Y$10)</formula>
    </cfRule>
  </conditionalFormatting>
  <conditionalFormatting sqref="AC7">
    <cfRule type="expression" dxfId="3" priority="2" stopIfTrue="1">
      <formula>OR($AC$8=1,$AC$8=20)</formula>
    </cfRule>
  </conditionalFormatting>
  <conditionalFormatting sqref="AC10:AV29">
    <cfRule type="colorScale" priority="4">
      <colorScale>
        <cfvo type="min"/>
        <cfvo type="percentile" val="50"/>
        <cfvo type="max"/>
        <color rgb="FF7BBE63"/>
        <color rgb="FF84EBFF"/>
        <color rgb="FF6B69F8"/>
      </colorScale>
    </cfRule>
  </conditionalFormatting>
  <conditionalFormatting sqref="AE7">
    <cfRule type="expression" dxfId="2" priority="3" stopIfTrue="1">
      <formula>OR($AB$8=1,$AB$8=20)</formula>
    </cfRule>
  </conditionalFormatting>
  <conditionalFormatting sqref="AY7">
    <cfRule type="expression" dxfId="1" priority="5" stopIfTrue="1">
      <formula>OR($AY$8=1,$AY$8=20)</formula>
    </cfRule>
  </conditionalFormatting>
  <conditionalFormatting sqref="AY10:BR29">
    <cfRule type="colorScale" priority="7">
      <colorScale>
        <cfvo type="min"/>
        <cfvo type="percentile" val="50"/>
        <cfvo type="max"/>
        <color rgb="FF7BBE63"/>
        <color rgb="FF84EBFF"/>
        <color rgb="FF6B69F8"/>
      </colorScale>
    </cfRule>
  </conditionalFormatting>
  <conditionalFormatting sqref="BA7">
    <cfRule type="expression" dxfId="0" priority="6" stopIfTrue="1">
      <formula>OR($AX$8=1,$AX$8=20)</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2026-06-21T01:44:20Z</dcterms:created>
  <dcterms:modified xsi:type="dcterms:W3CDTF">2026-06-21T02:00:15Z</dcterms:modified>
</cp:coreProperties>
</file>