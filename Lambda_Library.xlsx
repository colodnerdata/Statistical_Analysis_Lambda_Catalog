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tables/table4.xml" ContentType="application/vnd.openxmlformats-officedocument.spreadsheetml.table+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Stephen_Colodner\windows code\Statistical_Analysis_Lambda_Catalog\"/>
    </mc:Choice>
  </mc:AlternateContent>
  <xr:revisionPtr revIDLastSave="0" documentId="8_{50A9856E-1206-481C-B1B4-7DEC13FD64CC}" xr6:coauthVersionLast="47" xr6:coauthVersionMax="47" xr10:uidLastSave="{00000000-0000-0000-0000-000000000000}"/>
  <bookViews>
    <workbookView xWindow="2895" yWindow="1050" windowWidth="21600" windowHeight="11295" xr2:uid="{92D0E1A5-8335-431C-B56C-E9E74C0E0410}"/>
  </bookViews>
  <sheets>
    <sheet name="Mileage Data" sheetId="12" r:id="rId1"/>
    <sheet name="Life Expectancy Data" sheetId="2" r:id="rId2"/>
    <sheet name="Production Lots" sheetId="13" r:id="rId3"/>
    <sheet name="Version History" sheetId="6" r:id="rId4"/>
    <sheet name="Regression Instructions" sheetId="20" r:id="rId5"/>
    <sheet name="Regression" sheetId="7" r:id="rId6"/>
    <sheet name="Diagnostic Guide" sheetId="21" r:id="rId7"/>
    <sheet name="LAMBDA_functions" sheetId="1" r:id="rId8"/>
  </sheets>
  <definedNames>
    <definedName name="Absorbed_Degrees_Of_Freedom" localSheetId="5">_xlfn.LAMBDA(_xlfn.LET(_xlpm.n_c,COLUMNS(Regression!Source_Data),_xlpm.fe_active,SUMPRODUCT(N(_xlfn.TAKE(Regression!Spec_Role,_xlpm.n_c)="Fixed Effects"))&gt;0,IF(NOT(_xlpm.fe_active),0,_xlfn.LET(_xlpm.lv,Dummy_Levels(Regression!Fixed_Effects_Column(),"",Regression!Sample_Include()),IF(ISNA(INDEX(_xlpm.lv,1,1)),0,COLUMNS(_xlpm.lv))))))</definedName>
    <definedName name="Adjusted_R_Squared" comment="R² penalised for model complexity: 1 − (1 − R²)·df_total/df_residual. Can be negative when the model fits worse than the mean. Optional DF_Absorbed (default 0) corrects df_residual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1-(1-R_Squared(_xlpm.X_s,_xlpm.Y,_xlpm.allow_arg,_xlpm.filt_arg))*Total_Degrees_Of_Freedom(_xlpm.Y,_xlpm.allow_arg,_xlpm.filt_arg)/Residual_Degrees_Of_Freedom(_xlpm.X_s,_xlpm.Y,_xlpm.allow_arg,_xlpm.filt_arg,_xlpm.absorbed_arg)))</definedName>
    <definedName name="Adjusted_R2" comment="R² penalised for model complexity: 1 − (1 − R²)·df_total/df_residual. Can be negative when the model fits worse than the mean.">_xlfn.LAMBDA(_xlpm.X_s,_xlpm.Y,_xlop.Allow_Intercept,_xlop.Include,_xlfn.LET(_xlpm.allow_arg,IF(_xlfn.ISOMITTED(_xlpm.Allow_Intercept),TRUE,_xlpm.Allow_Intercept),_xlpm.filt_arg,IF(_xlfn.ISOMITTED(_xlpm.Include),TRUE,_xlpm.Include),1-(1-R_Squared(_xlpm.X_s,_xlpm.Y,_xlpm.allow_arg,_xlpm.filt_arg))*DF_Total(_xlpm.Y,_xlpm.allow_arg,_xlpm.filt_arg)/DF_Residual(_xlpm.X_s,_xlpm.Y,_xlpm.allow_arg,_xlpm.filt_arg)))</definedName>
    <definedName name="AIC" comment="Akaike Information Criterion = n·ln(SSR/n) + 2p. Lower = better. Optional DF_Absorbed (default 0) adds absorbed FE group intercepts into p.">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n,Observations(_xlpm.Y,_xlpm.filt_arg),_xlpm.ssr,SS_Residual(_xlpm.X_s,_xlpm.Y,_xlpm.allow_arg,_xlpm.filt_arg),_xlpm.p,Regression_Degrees_Of_Freedom(_xlpm.X_s)+IF(_xlpm.allow_arg,1,0)+_xlpm.absorbed_arg,_xlpm.n*LN(_xlpm.ssr/_xlpm.n)+2*_xlpm.p))</definedName>
    <definedName name="AICc" comment="AIC with a small-sample correction (+2p(p+1)/(n−p−1)). Preferred when n/p &lt; 40; converges to AIC as n → ∞. Optional DF_Absorbed (default 0) adds absorbed FE group intercepts into p.">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n,Observations(_xlpm.Y,_xlpm.filt_arg),_xlpm.ssr,SS_Residual(_xlpm.X_s,_xlpm.Y,_xlpm.allow_arg,_xlpm.filt_arg),_xlpm.p,Regression_Degrees_Of_Freedom(_xlpm.X_s)+IF(_xlpm.allow_arg,1,0)+_xlpm.absorbed_arg,_xlpm.aic,_xlpm.n*LN(_xlpm.ssr/_xlpm.n)+2*_xlpm.p,_xlpm.aic+2*_xlpm.p*(_xlpm.p+1)/(_xlpm.n-_xlpm.p-1)))</definedName>
    <definedName name="Allow_Intercept" localSheetId="5">Regression!$C$2</definedName>
    <definedName name="alpha" localSheetId="5">Regression!$Y$12</definedName>
    <definedName name="Base_Period_Delta" comment="The base period Δ in effect: spec column J (Period In Use) on the Sequence-flagged row of the Regression sheet. #N/A when no axis is flagged or the cell is not numeric. Default for Lag_By / Difference_By.">_xlfn.LAMBDA(_xlfn.LET(_xlpm.n_c,COLUMNS(Regression!Source_Data),_xlpm.position,_xlfn.XMATCH(TRUE,_xlfn.TAKE(Regression!Spec_Sequence,_xlpm.n_c),0),_xlpm.value,INDEX(_xlfn.TAKE(Regression!Spec_Sequence_Period,_xlpm.n_c),_xlpm.position),IF(ISNUMBER(_xlpm.value),_xlpm.value,NA())))</definedName>
    <definedName name="Base_Period_Delta_Candidate" localSheetId="5">_xlfn.LAMBDA(_xlfn.LET(_xlpm.d,Regression!Sequence_Deltas(),IF(COUNT(_xlpm.d)=0,NA(),IFERROR(_xlfn.MODE.SNGL(_xlpm.d),MIN(_xlpm.d)))))</definedName>
    <definedName name="Beta_Weights" comment="Standardised coefficients in SD units for comparing predictors measured on different scales. k rows; no intercept row.">_xlfn.LAMBDA(_xlpm.X_s,_xlpm.Y,_xlop.Allow_Intercept,_xlop.Include,_xlfn.LET(_xlpm.allow_arg,IF(_xlfn.ISOMITTED(_xlpm.Allow_Intercept),TRUE,_xlpm.Allow_Intercept),_xlpm.filt_arg,IF(_xlfn.ISOMITTED(_xlpm.Include),TRUE,_xlpm.Include),_xlpm.coefs,Coefficients(_xlpm.X_s,_xlpm.Y,_xlpm.allow_arg,_xlpm.filt_arg),_xlpm.pred_coefs,IF(_xlpm.allow_arg,_xlfn.DROP(_xlpm.coefs,1),_xlpm.coefs),_xlpm.sd_y,STDEV(_xlfn._xlws.FILTER(_xlpm.Y,_xlpm.filt_arg)),_xlpm.k,COLUMNS(_xlpm.X_s),_xlpm.sd_x,_xlfn.MAKEARRAY(_xlpm.k,1,_xlfn.LAMBDA(_xlpm.j,_xlpm._,STDEV(_xlfn._xlws.FILTER(_xlfn.CHOOSECOLS(_xlpm.X_s,_xlpm.j),_xlpm.filt_arg)))),_xlpm.pred_coefs*_xlpm.sd_x/_xlpm.sd_y))</definedName>
    <definedName name="BFN_Panel_Durbin_Watson" comment="Bhargava–Franzini–Narendranathan panel DW: differences residuals within (group, seq−Δ) pairs via Difference_By, NA→0 masked locally; denominator sums all e². Near 2 = no autocorrelation; N,T-dependent critical values — standard DW bounds do not apply.">_xlfn.LAMBDA(_xlpm.X_s,_xlpm.Y,_xlpm.group,_xlpm.seq,_xlop.delta,_xlop.Allow_Intercept,_xlop.Include,_xlfn.LET(_xlpm.allow_arg,IF(_xlfn.ISOMITTED(_xlpm.Allow_Intercept),TRUE,_xlpm.Allow_Intercept),_xlpm.filt_arg,IF(_xlfn.ISOMITTED(_xlpm.Include),TRUE,_xlpm.Include),_xlpm.step,IF(_xlfn.ISOMITTED(_xlpm.delta),Base_Period_Delta(),_xlpm.delta),_xlpm.e,Residuals(_xlpm.X_s,_xlpm.Y,_xlpm.allow_arg,_xlpm.filt_arg),_xlpm.g_f,_xlfn._xlws.FILTER(_xlpm.group,_xlpm.filt_arg),_xlpm.t_f,_xlfn._xlws.FILTER(_xlpm.seq,_xlpm.filt_arg),_xlpm.d,Difference_By(_xlpm.e,_xlpm.g_f,_xlpm.t_f,_xlpm.step),_xlpm.n_terms,SUMPRODUCT(N(ISNUMBER(_xlpm.d))),IF(_xlpm.n_terms=0,NA(),SUMPRODUCT(IFERROR(_xlpm.d,0)^2)/SUMPRODUCT(_xlpm.e^2))))</definedName>
    <definedName name="BIC" comment="Bayesian Information Criterion = n·ln(SSR/n) + p·ln(n). Penalises model complexity more strongly than AIC. Optional DF_Absorbed (default 0) adds absorbed FE group intercepts into p.">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n,Observations(_xlpm.Y,_xlpm.filt_arg),_xlpm.ssr,SS_Residual(_xlpm.X_s,_xlpm.Y,_xlpm.allow_arg,_xlpm.filt_arg),_xlpm.p,Regression_Degrees_Of_Freedom(_xlpm.X_s)+IF(_xlpm.allow_arg,1,0)+_xlpm.absorbed_arg,_xlpm.n*LN(_xlpm.ssr/_xlpm.n)+_xlpm.p*LN(_xlpm.n)))</definedName>
    <definedName name="Bin_Counts" comment="Counts of observations in each of k bins using Excel FREQUENCY on Upper_Bin_Edges. Returns a k×1 column vector.">_xlfn.LAMBDA(_xlpm.data,_xlop.method,_xlop.filter,_xlfn.LET(_xlpm.filt_arg,IF(_xlfn.ISOMITTED(_xlpm.filter),ISNUMBER(_xlpm.data),_xlpm.filter),_xlpm.x,_xlfn._xlws.FILTER(_xlpm.data,_xlpm.filt_arg),_xlpm.upper,Upper_Bin_Edges(_xlpm.data,_xlpm.method,_xlpm.filter),_xlfn.TAKE(FREQUENCY(_xlpm.x,_xlpm.upper),ROWS(_xlpm.upper))))</definedName>
    <definedName name="Bin_Edges" comment="k+1 evenly-spaced bin boundaries from data minimum to maximum. The master boundary vector; all other Bin_* functions derive from it.">_xlfn.LAMBDA(_xlpm.data,_xlop.method,_xlop.filter,_xlfn.LET(_xlpm.filt_arg,IF(_xlfn.ISOMITTED(_xlpm.filter),ISNUMBER(_xlpm.data),_xlpm.filter),_xlpm.x,_xlfn._xlws.FILTER(_xlpm.data,_xlpm.filt_arg),_xlpm.min_x,MIN(_xlpm.x),_xlpm.max_x,MAX(_xlpm.x),_xlpm.k,Number_Of_Histogram_Bins(_xlpm.data,IF(_xlfn.ISOMITTED(_xlpm.method),"FD",_xlpm.method),_xlpm.filt_arg),_xlpm.width,(_xlpm.max_x-_xlpm.min_x)/_xlpm.k,_xlfn.VSTACK(_xlfn.SEQUENCE(_xlpm.k,1,_xlpm.min_x,_xlpm.width),_xlpm.max_x)))</definedName>
    <definedName name="Bin_Lower_Edges" comment="k lower bin boundaries (Bin_Edges without the last element). First element = data minimum.">_xlfn.LAMBDA(_xlpm.data,_xlop.method,_xlop.filter,_xlfn.DROP(Bin_Edges(_xlpm.data,_xlpm.method,_xlpm.filter),-1))</definedName>
    <definedName name="Bin_Midpoints" comment="k bin centre values = (lower + upper) / 2. Use as x-axis values when overlaying fitted distribution PDF curves.">_xlfn.LAMBDA(_xlpm.data,_xlop.method,_xlop.filter,_xlfn.LET(_xlpm.e,Bin_Edges(_xlpm.data,_xlpm.method,_xlpm.filter),(_xlfn.DROP(_xlpm.e,1)+_xlfn.DROP(_xlpm.e,-1))/2))</definedName>
    <definedName name="CDF_Beta" comment="P(minimum &lt; X ≤ maximum) for Beta(alpha, beta) rescaled to the original data range using data_min and data_range.">_xlfn.LAMBDA(_xlpm.maximum,_xlpm.alpha,_xlpm.beta,_xlpm.data_min,_xlpm.data_range,_xlop.minimum,_xlfn.LET(_xlpm.pad,MAX(_xlpm.data_range*0.001,1E-30),_xlpm.scale_,_xlpm.data_range+2*_xlpm.pad,_xlpm.z_max,(_xlpm.maximum-_xlpm.data_min+_xlpm.pad)/_xlpm.scale_,_xlpm.cdf_max,IFERROR(_xlfn.BETA.DIST(_xlpm.z_max,_xlpm.alpha,_xlpm.beta,TRUE),0.5),_xlpm.cdf_min,IF(_xlfn.ISOMITTED(_xlpm.minimum),0,_xlfn.LET(_xlpm.z_min,(_xlpm.minimum-_xlpm.data_min+_xlpm.pad)/_xlpm.scale_,IFERROR(_xlfn.BETA.DIST(_xlpm.z_min,_xlpm.alpha,_xlpm.beta,TRUE),0.5))),_xlpm.cdf_max-_xlpm.cdf_min))</definedName>
    <definedName name="CDF_BetaPERT" comment="P(minimum &lt; X ≤ maximum) for BetaPERT(min, mode, max). PERT parameters are auto-derived from three-point estimates.">_xlfn.LAMBDA(_xlpm.maximum,_xlpm.min_val,_xlpm.mode_val,_xlpm.max_val,_xlop.minimum,_xlfn.LET(_xlpm.range_,_xlpm.max_val-_xlpm.min_val+1E-30,_xlpm.alpha_param,1+4*(_xlpm.mode_val-_xlpm.min_val)/_xlpm.range_,_xlpm.beta_param,1+4*(_xlpm.max_val-_xlpm.mode_val)/_xlpm.range_,_xlpm.z_max,(_xlpm.maximum-_xlpm.min_val)/_xlpm.range_,_xlpm.cdf_max,_xlfn.BETA.DIST(_xlpm.z_max,_xlpm.alpha_param,_xlpm.beta_param,TRUE),_xlpm.cdf_min,IF(_xlfn.ISOMITTED(_xlpm.minimum),0,_xlfn.LET(_xlpm.z_min,(_xlpm.minimum-_xlpm.min_val)/_xlpm.range_,_xlfn.BETA.DIST(_xlpm.z_min,_xlpm.alpha_param,_xlpm.beta_param,TRUE))),_xlpm.cdf_max-_xlpm.cdf_min))</definedName>
    <definedName name="CDF_Exponential" comment="P(minimum &lt; X ≤ maximum) for Exponential(rate = 1/mean). Data must be ≥ 0. Accepts arrays for element-wise calculation.">_xlfn.LAMBDA(_xlpm.maximum,_xlpm.rate,_xlop.minimum,_xlfn.LET(_xlpm.cdf_max,_xlfn.EXPON.DIST(_xlpm.maximum,_xlpm.rate,TRUE),_xlpm.cdf_min,IF(_xlfn.ISOMITTED(_xlpm.minimum),0,_xlfn.EXPON.DIST(_xlpm.minimum,_xlpm.rate,TRUE)),_xlpm.cdf_max-_xlpm.cdf_min))</definedName>
    <definedName name="CDF_Gamma" comment="P(minimum &lt; X ≤ maximum) for Gamma(shape, rate = 1/scale). Data must be &gt; 0. Accepts arrays for element-wise calculation.">_xlfn.LAMBDA(_xlpm.maximum,_xlpm.shape,_xlpm.rate,_xlop.minimum,_xlfn.LET(_xlpm.cdf_max,_xlfn.GAMMA.DIST(_xlpm.maximum,_xlpm.shape,1/_xlpm.rate,TRUE),_xlpm.cdf_min,IF(_xlfn.ISOMITTED(_xlpm.minimum),0,_xlfn.GAMMA.DIST(_xlpm.minimum,_xlpm.shape,1/_xlpm.rate,TRUE)),_xlpm.cdf_max-_xlpm.cdf_min))</definedName>
    <definedName name="CDF_Lognormal" comment="P(minimum &lt; X ≤ maximum) for Lognormal(meanlog, sdlog). Data must be positive. Accepts arrays for element-wise calculation.">_xlfn.LAMBDA(_xlpm.maximum,_xlpm.meanlog,_xlpm.sdlog,_xlop.minimum,_xlfn.LET(_xlpm.cdf_max,_xlfn.LOGNORM.DIST(_xlpm.maximum,_xlpm.meanlog,_xlpm.sdlog,TRUE),_xlpm.cdf_min,IF(_xlfn.ISOMITTED(_xlpm.minimum),0,_xlfn.LOGNORM.DIST(_xlpm.minimum,_xlpm.meanlog,_xlpm.sdlog,TRUE)),_xlpm.cdf_max-_xlpm.cdf_min))</definedName>
    <definedName name="CDF_Normal" comment="P(minimum &lt; X ≤ maximum) for Normal(mean, sd). Omit minimum for P(X ≤ maximum). Accepts arrays; use with Bin_Edges for histogram overlay.">_xlfn.LAMBDA(_xlpm.maximum,_xlpm.mean,_xlpm.sd,_xlop.minimum,_xlfn.LET(_xlpm.cdf_max,_xlfn.NORM.DIST(_xlpm.maximum,_xlpm.mean,_xlpm.sd,TRUE),_xlpm.cdf_min,IF(_xlfn.ISOMITTED(_xlpm.minimum),0,_xlfn.NORM.DIST(_xlpm.minimum,_xlpm.mean,_xlpm.sd,TRUE)),_xlpm.cdf_max-_xlpm.cdf_min))</definedName>
    <definedName name="CDF_Triangular" comment="P(minimum &lt; X ≤ maximum) for Triangular(min_val, mode_val, max_val). No Excel built-in; uses closed-form piecewise CDF.">_xlfn.LAMBDA(_xlpm.maximum,_xlpm.min_val,_xlpm.mode_val,_xlpm.max_val,_xlop.minimum,_xlfn.LET(_xlpm.cdf_at,_xlfn.LAMBDA(_xlpm.x,IFERROR(IF(_xlpm.x&lt;_xlpm.min_val,0,IF(_xlpm.x&lt;_xlpm.mode_val,(_xlpm.x-_xlpm.min_val)^2/((_xlpm.max_val-_xlpm.min_val)*(_xlpm.mode_val-_xlpm.min_val)+1E-30),IF(_xlpm.x&lt;=_xlpm.max_val,1-(_xlpm.max_val-_xlpm.x)^2/((_xlpm.max_val-_xlpm.min_val)*(_xlpm.max_val-_xlpm.mode_val)+1E-30),1))),0.5)),_xlpm.cdf_max,_xlfn.MAP(_xlpm.maximum,_xlpm.cdf_at),_xlpm.cdf_min,IF(_xlfn.ISOMITTED(_xlpm.minimum),0,_xlfn.MAP(_xlpm.minimum,_xlpm.cdf_at)),_xlpm.cdf_max-_xlpm.cdf_min))</definedName>
    <definedName name="CDF_Weibull" comment="P(minimum &lt; X ≤ maximum) for Weibull(shape, scale). Data must be &gt; 0. Accepts arrays for element-wise calculation.">_xlfn.LAMBDA(_xlpm.maximum,_xlpm.shape,_xlpm.scale,_xlop.minimum,_xlfn.LET(_xlpm.cdf_max,_xlfn.WEIBULL.DIST(_xlpm.maximum,_xlpm.shape,_xlpm.scale,TRUE),_xlpm.cdf_min,IF(_xlfn.ISOMITTED(_xlpm.minimum),0,_xlfn.WEIBULL.DIST(_xlpm.minimum,_xlpm.shape,_xlpm.scale,TRUE)),_xlpm.cdf_max-_xlpm.cdf_min))</definedName>
    <definedName name="CI_Lower" comment="Lower confidence-interval bounds per coefficient. Default Alpha = 0.05 gives 95% CIs. Same order as Coefficients.">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DF_Residual(_xlpm.X_s,_xlpm.Y,_xlpm.allow_arg,_xlpm.filt_arg))*SE_Coefficients(_xlpm.X_s,_xlpm.Y,_xlpm.allow_arg,_xlpm.filt_arg)))</definedName>
    <definedName name="CI_Upper" comment="Upper confidence-interval bounds per coefficient. Default Alpha = 0.05 gives 95% CIs. Same order as Coefficients.">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DF_Residual(_xlpm.X_s,_xlpm.Y,_xlpm.allow_arg,_xlpm.filt_arg))*SE_Coefficients(_xlpm.X_s,_xlpm.Y,_xlpm.allow_arg,_xlpm.filt_arg)))</definedName>
    <definedName name="Coefficients" comment="Fitted OLS coefficients as a column vector: intercept first (when included), then each predictor in X_s column order.">_xlfn.LAMBDA(_xlpm.X_s,_xlpm.Y,_xlop.Allow_Intercept,_xlop.Include,_xlfn.LET(_xlpm.allow_arg,IF(_xlfn.ISOMITTED(_xlpm.Allow_Intercept),TRUE,_xlpm.Allow_Intercept),_xlpm.filt_arg,IF(_xlfn.ISOMITTED(_xlpm.Include),TRUE,_xlpm.Include),_xlpm.ls,LINEST(_xlfn._xlws.FILTER(_xlpm.Y,_xlpm.filt_arg),_xlfn._xlws.FILTER(_xlpm.X_s,_xlpm.filt_arg),_xlpm.allow_arg,FALSE),_xlpm.k,COLUMNS(_xlpm.X_s),TRANSPOSE(IF(_xlpm.allow_arg,_xlfn.HSTACK(INDEX(_xlpm.ls,1,_xlpm.k+1),_xlfn.CHOOSECOLS(_xlpm.ls,_xlfn.SEQUENCE(1,_xlpm.k,_xlpm.k,-1))),_xlfn.CHOOSECOLS(_xlpm.ls,_xlfn.SEQUENCE(1,_xlpm.k,_xlpm.k,-1))))))</definedName>
    <definedName name="Col_Select" comment="Named wrapper for CHOOSECOLS: picks non-contiguous predictor columns by index. Returns an array suitable for X_s.">_xlfn.LAMBDA(_xlpm.table,_xlpm.col_nums,_xlfn.CHOOSECOLS(_xlpm.table,_xlpm.col_nums))</definedName>
    <definedName name="Column_Select" comment="Named wrapper for CHOOSECOLS: picks non-contiguous predictor columns by index. Returns an array suitable for X_s.">_xlfn.LAMBDA(_xlpm.table,_xlpm.col_nums,_xlfn.CHOOSECOLS(_xlpm.table,_xlpm.col_nums))</definedName>
    <definedName name="Complete_Cases_Filter" comment="Boolean vector TRUE where every included column is numeric. Pass as the Include argument to exclude incomplete rows.">_xlfn.LAMBDA(_xlpm.X_s,_xlop.Y,_xlfn.LET(_xlpm.combined,IF(_xlfn.ISOMITTED(_xlpm.Y),_xlpm.X_s,_xlfn.HSTACK(_xlpm.X_s,_xlpm.Y)),MMULT((ISNUMBER(_xlpm.combined))*1,_xlfn.SEQUENCE(COLUMNS(_xlpm.combined),1,1,0))=COLUMNS(_xlpm.combined)))</definedName>
    <definedName name="Confidence_Interval_Lower" comment="Lower CI bounds per coefficient. Default Alpha = 0.05 gives 95% CIs. Optional DF_Absorbed (default 0) corrects both df and SE under Fixed Effects.">_xlfn.LAMBDA(_xlpm.X_s,_xlpm.Y,_xlop.Allow_Intercept,_xlop.Include,_xlop.Alpha,_xlop.DF_Absorbed,_xlfn.LET(_xlpm.allow_arg,IF(_xlfn.ISOMITTED(_xlpm.Allow_Intercept),TRUE,_xlpm.Allow_Intercept),_xlpm.filt_arg,IF(_xlfn.ISOMITTED(_xlpm.Include),TRUE,_xlpm.Include),_xlpm.alpha_arg,IF(_xlfn.ISOMITTED(_xlpm.Alpha),0.05,_xlpm.Alpha),_xlpm.absorbed_arg,IF(_xlfn.ISOMITTED(_xlpm.DF_Absorbed),0,_xlpm.DF_Absorbed),Coefficients(_xlpm.X_s,_xlpm.Y,_xlpm.allow_arg,_xlpm.filt_arg)-_xlfn.T.INV.2T(_xlpm.alpha_arg,Residual_Degrees_Of_Freedom(_xlpm.X_s,_xlpm.Y,_xlpm.allow_arg,_xlpm.filt_arg,_xlpm.absorbed_arg))*SE_Coefficients(_xlpm.X_s,_xlpm.Y,_xlpm.allow_arg,_xlpm.filt_arg,_xlpm.absorbed_arg)))</definedName>
    <definedName name="Confidence_Interval_Upper" comment="Upper CI bounds per coefficient. Default Alpha = 0.05 gives 95% CIs. Optional DF_Absorbed (default 0) corrects both df and SE under Fixed Effects.">_xlfn.LAMBDA(_xlpm.X_s,_xlpm.Y,_xlop.Allow_Intercept,_xlop.Include,_xlop.Alpha,_xlop.DF_Absorbed,_xlfn.LET(_xlpm.allow_arg,IF(_xlfn.ISOMITTED(_xlpm.Allow_Intercept),TRUE,_xlpm.Allow_Intercept),_xlpm.filt_arg,IF(_xlfn.ISOMITTED(_xlpm.Include),TRUE,_xlpm.Include),_xlpm.alpha_arg,IF(_xlfn.ISOMITTED(_xlpm.Alpha),0.05,_xlpm.Alpha),_xlpm.absorbed_arg,IF(_xlfn.ISOMITTED(_xlpm.DF_Absorbed),0,_xlpm.DF_Absorbed),Coefficients(_xlpm.X_s,_xlpm.Y,_xlpm.allow_arg,_xlpm.filt_arg)+_xlfn.T.INV.2T(_xlpm.alpha_arg,Residual_Degrees_Of_Freedom(_xlpm.X_s,_xlpm.Y,_xlpm.allow_arg,_xlpm.filt_arg,_xlpm.absorbed_arg))*SE_Coefficients(_xlpm.X_s,_xlpm.Y,_xlpm.allow_arg,_xlpm.filt_arg,_xlpm.absorbed_arg)))</definedName>
    <definedName name="Constructed_Column_Names" localSheetId="5">_xlfn.LAMBDA(_xlfn.LET(_xlpm.n_c,COLUMNS(Regression!Source_Data),_xlpm.rl,_xlfn.TAKE(Regression!Spec_Role,_xlpm.n_c),_xlpm.inc,_xlfn.TAKE(Regression!Spec_Include,_xlpm.n_c),_xlpm.typ,_xlfn.TAKE(Regression!Spec_Type,_xlpm.n_c),_xlpm.refs,_xlfn.TAKE(Regression!Spec_Reference,_xlpm.n_c),_xlpm.hdrs,_xlfn.TOROW(Regression!Header_Names),_xlpm.built,_xlfn.REDUCE("",_xlfn.SEQUENCE(_xlpm.n_c),_xlfn.LAMBDA(_xlpm.acc,_xlpm.j,IF(OR(INDEX(_xlpm.rl,_xlpm.j)&lt;&gt;"Predictor (x)",INDEX(_xlpm.inc,_xlpm.j)&lt;&gt;TRUE),_xlpm.acc,_xlfn.LET(_xlpm.h,INDEX(_xlpm.hdrs,1,_xlpm.j),IF(INDEX(_xlpm.typ,_xlpm.j)&lt;&gt;"Categorical",_xlfn.HSTACK(_xlpm.acc,_xlpm.h),_xlfn.LET(_xlpm.col,INDEX(Regression!Source_Data,0,_xlpm.j),_xlpm.d,INDEX(_xlpm.refs,_xlpm.j),_xlpm.r,IF(LEN(_xlpm.d&amp;"")=0,"",_xlpm.d),_xlpm.lv,Dummy_Levels(_xlpm.col,_xlpm.r,Regression!Sample_Include()),IF(ISNA(INDEX(_xlpm.lv,1,1)),_xlpm.acc,_xlfn.HSTACK(_xlpm.acc,_xlpm.h&amp;": "&amp;_xlpm.lv)))))))),_xlfn.DROP(_xlpm.built,,1)))</definedName>
    <definedName name="Cooks_Distance" comment="Influence measure Dᵢ = rᵢ²·hᵢ / ((1−hᵢ)·p). Values &gt; 4/n or &gt; 1 flag influential rows. Optional DF_Absorbed (default 0)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r,Studentized_Residuals(_xlpm.X_s,_xlpm.Y,_xlpm.allow_arg,_xlpm.filt_arg,_xlpm.absorbed_arg),_xlpm.h,Hat_Diagonal(_xlpm.X_s,_xlpm.allow_arg,_xlpm.filt_arg),_xlpm.p,COLUMNS(Design_Matrix(_xlpm.X_s,_xlpm.allow_arg,_xlpm.filt_arg)),_xlpm.r^2*_xlpm.h/((1-_xlpm.h)*_xlpm.p)))</definedName>
    <definedName name="Correlation_Matrix" comment="k×k symmetric Pearson correlation matrix among all X_s columns. Use to screen for multicollinearity before fitting.">_xlfn.LAMBDA(_xlpm.X_s,_xlop.Include,_xlfn.LET(_xlpm.filt_arg,IF(_xlfn.ISOMITTED(_xlpm.Include),TRUE,_xlpm.Include),_xlpm.xf,_xlfn._xlws.FILTER(_xlpm.X_s,_xlpm.filt_arg),_xlpm.k,COLUMNS(_xlpm.X_s),_xlfn.MAKEARRAY(_xlpm.k,_xlpm.k,_xlfn.LAMBDA(_xlpm.r,_xlpm.c,CORREL(_xlfn.CHOOSECOLS(_xlpm.xf,_xlpm.r),_xlfn.CHOOSECOLS(_xlpm.xf,_xlpm.c))))))</definedName>
    <definedName name="Data_Completeness" comment="Returns TRUE when every predictor cell in one table row is numeric. Use as a calculated table column and pass as Include.">_xlfn.LAMBDA(_xlpm.predictor_row,AND(ISNUMBER(_xlpm.predictor_row)))</definedName>
    <definedName name="Demean_By" comment="One-way within transformation x_ig − Group_Mean(x,group,include). v2.1 Fixed Effects constructor internal: demeaning by the FE group is algebraically equivalent to LSDV without materializing group dummy columns. G=1 collapses to grand-mean centering.">_xlfn.LAMBDA(_xlpm.x,_xlpm.group,_xlop.include,_xlfn.LET(_xlpm.x_v,_xlfn.TOCOL(IF(_xlpm.x="","",_xlpm.x),0),_xlpm.gm,Group_Mean(_xlpm.x,_xlpm.group,_xlpm.include),IF(ISNUMBER(_xlpm.x_v)*ISNUMBER(_xlpm.gm),_xlpm.x_v-_xlpm.gm,NA())))</definedName>
    <definedName name="Dependent_Var" comment="Filtered Y column in the order the model uses it. Companion to Predictions and Residuals for scatter plots.">_xlfn.LAMBDA(_xlpm.Y,_xlop.Include,_xlfn._xlws.FILTER(_xlpm.Y,IF(_xlfn.ISOMITTED(_xlpm.Include),TRUE,_xlpm.Include)))</definedName>
    <definedName name="Dependent_Variable" comment="Filtered Y column in the order the model uses it. Companion to Predictions and Residuals for scatter plots.">_xlfn.LAMBDA(_xlpm.Y,_xlop.Include,_xlfn._xlws.FILTER(_xlpm.Y,IF(_xlfn.ISOMITTED(_xlpm.Include),TRUE,_xlpm.Include)))</definedName>
    <definedName name="Descriptive_Statistic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Descriptive_Stat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Design_Matrix" comment="Filtered predictor matrix with a leading column of 1s when intercept is included. The X matrix used internally by the regression.">_xlfn.LAMBDA(_xlpm.X_s,_xlop.Allow_Intercept,_xlop.Include,_xlfn.LET(_xlpm.allow_arg,IF(_xlfn.ISOMITTED(_xlpm.Allow_Intercept),TRUE,_xlpm.Allow_Intercept),_xlpm.filt_arg,IF(_xlfn.ISOMITTED(_xlpm.Include),TRUE,_xlpm.Include),_xlpm.x_filt,_xlfn._xlws.FILTER(_xlpm.X_s,_xlpm.filt_arg),IF(_xlpm.allow_arg,_xlfn.HSTACK(_xlfn.SEQUENCE(ROWS(_xlpm.x_filt),,1,0),_xlpm.x_filt),_xlpm.x_filt)))</definedName>
    <definedName name="DF_Regression" comment="Degrees of freedom for regression = number of predictors k (= COLUMNS(X_s)). Used as the numerator df in the F-test.">_xlfn.LAMBDA(_xlpm.X_s,COLUMNS(_xlpm.X_s))</definedName>
    <definedName name="DF_Residual" comment="Residual degrees of freedom = DF_Total − DF_Regression. Denominator df in the F-test and the penalty term in Adjusted R².">_xlfn.LAMBDA(_xlpm.X_s,_xlpm.Y,_xlop.Allow_Intercept,_xlop.Include,_xlfn.LET(_xlpm.allow_arg,IF(_xlfn.ISOMITTED(_xlpm.Allow_Intercept),TRUE,_xlpm.Allow_Intercept),_xlpm.filt_arg,IF(_xlfn.ISOMITTED(_xlpm.Include),TRUE,_xlpm.Include),DF_Total(_xlpm.Y,_xlpm.allow_arg,_xlpm.filt_arg)-DF_Regression(_xlpm.X_s)))</definedName>
    <definedName name="DF_Total" comment="Total degrees of freedom = n − 1 with intercept or n without. Partitions into DF_Regression + DF_Residual.">_xlfn.LAMBDA(_xlpm.Y,_xlop.Allow_Intercept,_xlop.Include,_xlfn.LET(_xlpm.allow_arg,IF(_xlfn.ISOMITTED(_xlpm.Allow_Intercept),TRUE,_xlpm.Allow_Intercept),_xlpm.filt_arg,IF(_xlfn.ISOMITTED(_xlpm.Include),TRUE,_xlpm.Include),_xlpm.n,Observations(_xlpm.Y,_xlpm.filt_arg),IF(_xlpm.allow_arg,_xlpm.n-1,_xlpm.n)))</definedName>
    <definedName name="Difference_By" comment="Within-group difference x(t) − x(t−Δ) by exact time value. First period or gap → #N/A (never 0,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Base_Period_Delta(),_xlpm.delta),_xlpm.inc,IF(_xlfn.ISOMITTED(_xlpm.include),(_xlpm.g_v&lt;&gt;"")*ISNUMBER(_xlpm.t_v),_xlpm.include*1),_xlpm.prior,Lag_By(_xlpm.x,_xlpm.group,_xlpm.seq,_xlpm.step,_xlpm.inc),IF(_xlpm.inc,IF(ISNUMBER(_xlpm.x_v)*ISNUMBER(_xlpm.prior),_xlpm.x_v-_xlpm.prior,NA()),"")))</definedName>
    <definedName name="Dummy_Code" comment="Treatment-coded 0/1 dummy matrix, row-aligned to the source data. Levels come from Dummy_Levels (one source of truth); the reference level is dropped to avoid collinearity with the intercept; excluded rows return &quot;&quot;. Returns #N/A on degenerate input.">_xlfn.LAMBDA(_xlpm.category,_xlop.reference,_xlop.include,_xlfn.LET(_xlpm.inc,IF(_xlfn.ISOMITTED(_xlpm.include),TRUE,_xlpm.include),_xlpm.x,_xlfn.TOCOL(IF(_xlpm.category="","",_xlpm.category),0),_xlpm.active,(_xlpm.x&lt;&gt;"")*_xlpm.inc,_xlpm.lv,Dummy_Levels(_xlpm.category,_xlpm.reference,_xlpm.include),IF(ISNA(_xlpm.lv),NA(),_xlfn.MAKEARRAY(ROWS(_xlpm.x),COLUMNS(_xlpm.lv),_xlfn.LAMBDA(_xlpm.r,_xlpm.c,IF(INDEX(_xlpm.active,_xlpm.r),--(INDEX(_xlpm.x,_xlpm.r)=INDEX(_xlpm.lv,1,_xlpm.c)),""))))))</definedName>
    <definedName name="Dummy_Levels" comment="Retained category labels after treatment coding: sorted levels from the included sample with the reference level dropped. Use as a header row above the Dummy_Code matrix. Returns #N/A (a real Excel error, catchable by ISNA/IFERROR) on degenerate input.">_xlfn.LAMBDA(_xlpm.category,_xlop.reference,_xlop.include,_xlfn.LET(_xlpm.inc,IF(_xlfn.ISOMITTED(_xlpm.include),TRUE,_xlpm.include),_xlpm.x,_xlfn.TOCOL(IF(_xlpm.category="","",_xlpm.category),0),_xlpm.active,(_xlpm.x&lt;&gt;"")*_xlpm.inc,_xlpm.x_active,_xlfn._xlws.FILTER(_xlpm.x,_xlpm.active,NA()),_xlpm.All_Levels,IFERROR(_xlfn.TOROW(_xlfn._xlws.SORT(_xlfn.UNIQUE(_xlpm.x_active))),NA()),_xlpm.ref_raw,IF(_xlfn.ISOMITTED(_xlpm.reference),"",_xlpm.reference),_xlpm.ref,IF(_xlpm.ref_raw="",IFERROR(INDEX(_xlpm.All_Levels,1,1),NA()),_xlpm.ref_raw),_xlpm.ref_ok,IFERROR(ISNUMBER(MATCH(_xlpm.ref,_xlpm.All_Levels,0)),FALSE),IF(OR(ISNA(_xlpm.All_Levels),NOT(_xlpm.ref_ok)),NA(),IFERROR(_xlfn._xlws.FILTER(_xlpm.All_Levels,_xlpm.All_Levels&lt;&gt;_xlpm.ref),NA()))))</definedName>
    <definedName name="Durbin_Watson" comment="Test statistic for first-order serial autocorrelation in residuals. Values near 2 = no autocorrelation; &lt; 1.5 or &gt; 2.5 flag problems.">_xlfn.LAMBDA(_xlpm.X_s,_xlpm.Y,_xlop.Allow_Intercept,_xlop.Include,_xlfn.LET(_xlpm.allow_arg,IF(_xlfn.ISOMITTED(_xlpm.Allow_Intercept),TRUE,_xlpm.Allow_Intercept),_xlpm.filt_arg,IF(_xlfn.ISOMITTED(_xlpm.Include),TRUE,_xlpm.Include),_xlpm.e,Residuals(_xlpm.X_s,_xlpm.Y,_xlpm.allow_arg,_xlpm.filt_arg),SUM((_xlfn.DROP(_xlpm.e,1)-_xlfn.DROP(_xlpm.e,-1))^2)/SUM(_xlpm.e^2)))</definedName>
    <definedName name="Durbin_Watson_By" comment="Sequence-aware Durbin-Watson: sorts residuals by seq before differencing, so the statistic is invariant to physical row order. Use when a Sequence axis is declared; ordinary Durbin_Watson trusts row order. Scalar output, no spill.">_xlfn.LAMBDA(_xlpm.X_s,_xlpm.Y,_xlpm.seq,_xlop.Allow_Intercept,_xlop.Include,_xlfn.LET(_xlpm.allow_arg,IF(_xlfn.ISOMITTED(_xlpm.Allow_Intercept),TRUE,_xlpm.Allow_Intercept),_xlpm.filt_arg,IF(_xlfn.ISOMITTED(_xlpm.Include),TRUE,_xlpm.Include),_xlpm.e,Residuals(_xlpm.X_s,_xlpm.Y,_xlpm.allow_arg,_xlpm.filt_arg),_xlpm.ord,_xlfn._xlws.FILTER(_xlpm.seq,_xlpm.filt_arg),_xlpm.es,_xlfn.SORTBY(_xlpm.e,_xlpm.ord,1),SUM((_xlfn.DROP(_xlpm.es,1)-_xlfn.DROP(_xlpm.es,-1))^2)/SUM(_xlpm.es^2)))</definedName>
    <definedName name="Exclude_Row_N" comment="Array with one row removed. Positive n counts from top, negative from bottom. Returns NA() when n is out of bounds.">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F_Stat" comment="Overall F-statistic = MS_Regression / MS_Residual. Tests whether the model explains significantly more variance than random noise.">_xlfn.LAMBDA(_xlpm.X_s,_xlpm.Y,_xlop.Allow_Intercept,_xlop.Include,_xlfn.LET(_xlpm.allow_arg,IF(_xlfn.ISOMITTED(_xlpm.Allow_Intercept),TRUE,_xlpm.Allow_Intercept),_xlpm.filt_arg,IF(_xlfn.ISOMITTED(_xlpm.Include),TRUE,_xlpm.Include),SS_Regression(_xlpm.X_s,_xlpm.Y,_xlpm.allow_arg,_xlpm.filt_arg)/DF_Regression(_xlpm.X_s)/(SS_Residual(_xlpm.X_s,_xlpm.Y,_xlpm.allow_arg,_xlpm.filt_arg)/DF_Residual(_xlpm.X_s,_xlpm.Y,_xlpm.allow_arg,_xlpm.filt_arg))))</definedName>
    <definedName name="F_Statistic" comment="Overall F = MS_Regression / MS_Residual. Optional DF_Absorbed (default 0) corrects only the denominator df under Fixed Effects — the numerator df is unaffected.">_xlfn.LAMBDA(_xlpm.X_s,_xlpm.Y,_xlop.Allow_Intercept,_xlop.Include,_xlop.DF_Absorbed,_xlfn.LET(_xlpm.allow_arg,IF(_xlfn.ISOMITTED(_xlpm.Allow_Intercept),TRUE,_xlpm.Allow_Intercept),_xlpm.filt_arg,IF(_xlfn.ISOMITTED(_xlpm.Include),TRUE,_xlpm.Include),_xlpm.absorbed_arg,IF(_xlfn.ISOMITTED(_xlpm.DF_Absorbed),0,_xlpm.DF_Absorbed),SS_Regression(_xlpm.X_s,_xlpm.Y,_xlpm.allow_arg,_xlpm.filt_arg)/Regression_Degrees_Of_Freedom(_xlpm.X_s)/(SS_Residual(_xlpm.X_s,_xlpm.Y,_xlpm.allow_arg,_xlpm.filt_arg)/Residual_Degrees_Of_Freedom(_xlpm.X_s,_xlpm.Y,_xlpm.allow_arg,_xlpm.filt_arg,_xlpm.absorbed_arg))))</definedName>
    <definedName name="F_Statistic_P_Value" comment="Right-tail p-value for the overall F-test. Optional DF_Absorbed (default 0) corrects both F_Statistic and its denominator df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fn.F.DIST.RT(F_Statistic(_xlpm.X_s,_xlpm.Y,_xlpm.allow_arg,_xlpm.filt_arg,_xlpm.absorbed_arg),Regression_Degrees_Of_Freedom(_xlpm.X_s),Residual_Degrees_Of_Freedom(_xlpm.X_s,_xlpm.Y,_xlpm.allow_arg,_xlpm.filt_arg,_xlpm.absorbed_arg))))</definedName>
    <definedName name="FD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Fixed_Effects_Column" localSheetId="5">_xlfn.LAMBDA(_xlfn.LET(_xlpm.n_c,COLUMNS(Regression!Source_Data),INDEX(Regression!Source_Data,0,_xlfn.XMATCH("Fixed Effects",_xlfn.TAKE(Regression!Spec_Role,_xlpm.n_c),0))))</definedName>
    <definedName name="Freedman_Diaconis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Generalized_Tolerance" comment="1/GVIF per source variable. Fraction of unique variance not shared with other predictors, generalized across a categorical predictor's dummy columns.">_xlfn.LAMBDA(_xlpm.X_s,_xlpm.Column_Names,_xlop.Allow_Intercept,_xlop.Include,1/GVIF(_xlpm.X_s,_xlpm.Column_Names,_xlpm.Allow_Intercept,_xlpm.Include))</definedName>
    <definedName name="GoF_AIC" comment="AIC = 2k + 2·NLL for distribution comparison. k = number of free parameters. Lower = better. Compare across distributions on same data.">_xlfn.LAMBDA(_xlpm.nll,_xlpm.k,2*_xlpm.k+2*_xlpm.nll)</definedName>
    <definedName name="GoF_Anderson_Darling" comment="Anderson-Darling A² goodness-of-fit. More sensitive to tail deviations than K-S. Lower = better. Compare with AIC, BIC, and K-S.">_xlfn.LAMBDA(_xlpm.data,_xlpm.dist_cdf,_xlop.include,_xlfn.LET(_xlpm.inc,IF(_xlfn.ISOMITTED(_xlpm.include),ISNUMBER(_xlpm.data),_xlpm.include),_xlpm.d,_xlfn._xlws.FILTER(_xlpm.data,_xlpm.inc),_xlpm.f,_xlfn._xlws.FILTER(_xlpm.dist_cdf,_xlpm.inc),_xlpm.n,ROWS(_xlpm.d),IF(_xlpm.n=0,NA(),_xlfn.LET(_xlpm.fs,_xlfn.SORTBY(_xlpm.f,_xlpm.d),_xlpm.eps,0.0000000001,_xlpm.fc,IF(_xlpm.fs&lt;_xlpm.eps,_xlpm.eps,IF(_xlpm.fs&gt;1-_xlpm.eps,1-_xlpm.eps,_xlpm.fs)),_xlpm.i,_xlfn.SEQUENCE(_xlpm.n),_xlpm.fc_rev,_xlfn.SORTBY(_xlpm.fc,_xlpm.i,-1),-_xlpm.n-SUMPRODUCT((2*_xlpm.i-1)*(LN(_xlpm.fc)+LN(1-_xlpm.fc_rev)))/_xlpm.n))))</definedName>
    <definedName name="GoF_AndersonDarling">_xlfn.LAMBDA(_xlpm.data,_xlpm.dist_cdf,_xlop.include,_xlfn.LET(_xlpm.inc,IF(_xlfn.ISOMITTED(_xlpm.include),ISNUMBER(_xlpm.data),_xlpm.include),_xlpm.d,_xlfn._xlws.FILTER(_xlpm.data,_xlpm.inc),_xlpm.f,_xlfn._xlws.FILTER(_xlpm.dist_cdf,_xlpm.inc),_xlpm.n,ROWS(_xlpm.d),IF(_xlpm.n=0,NA(),_xlfn.LET(_xlpm.fs,_xlfn.SORTBY(_xlpm.f,_xlpm.d),_xlpm.eps,0.0000000001,_xlpm.fc,IF(_xlpm.fs&lt;_xlpm.eps,_xlpm.eps,IF(_xlpm.fs&gt;1-_xlpm.eps,1-_xlpm.eps,_xlpm.fs)),_xlpm.i,_xlfn.SEQUENCE(_xlpm.n),_xlpm.fc_rev,_xlfn.SORTBY(_xlpm.fc,_xlpm.i,-1),-_xlpm.n-SUMPRODUCT((2*_xlpm.i-1)*(LN(_xlpm.fc)+LN(1-_xlpm.fc_rev)))/_xlpm.n))))</definedName>
    <definedName name="GoF_BIC" comment="BIC = k·ln(n) + 2·NLL. Penalises extra parameters more than AIC (penalty scales with log n). Lower = better.">_xlfn.LAMBDA(_xlpm.nll,_xlpm.k,_xlpm.n,_xlpm.k*LN(_xlpm.n)+2*_xlpm.nll)</definedName>
    <definedName name="GoF_Kolmogorov_Smirnov" comment="Kolmogorov-Smirnov D = max|F_n(xᵢ) − F(xᵢ)|. Maximum deviation between empirical and fitted CDFs. Lower = better.">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GoF_KS">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Gram_Inverse" comment="Inverse of the Gram matrix (X’X)⁻¹. Central to leverage, prediction intervals, and LOOCV calculations. Pass Design_Matrix output.">_xlfn.LAMBDA(_xlpm.X,MINVERSE(MMULT(TRANSPOSE(_xlpm.X),_xlpm.X)))</definedName>
    <definedName name="Grid_Argmin" comment="Minimum value in a grid plus its 1-based row and column. Pass the body of a two-input Data Table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Grid_Argument_Minimum" comment="Minimum value in a grid plus its 1-based row and column. Pass the body of a two-input Data Table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Grid_Search_Optimum" comment="The two parameter values (column then row) at the minimum of a two-input Data Table. Use after NLL grid search to extract optimal parameters.">_xlfn.LAMBDA(_xlpm.grid,_xlfn.LET(_xlpm.argmin,Grid_Argument_Minimum(_xlpm.grid),_xlpm.row_location,INDEX(_xlpm.argmin,1,2),_xlpm.column_location,INDEX(_xlpm.argmin,1,3),_xlpm.best_column_parameter,OFFSET(_xlpm.grid,-1,_xlpm.column_location-1,1,1),_xlpm.best_row_parameter,OFFSET(_xlpm.grid,_xlpm.row_location-1,-1,1,1),_xlfn.VSTACK(_xlpm.best_column_parameter,_xlpm.best_row_parameter)))</definedName>
    <definedName name="Group_Count_At" comment="Count of included rows matching selected_group. 0 (not #N/A) when the group has no included members — counting is always well-defined. Backs the v2.1 FE group-mean prediction recovery.">_xlfn.LAMBDA(_xlpm.group,_xlpm.selected_group,_xlop.include,_xlfn.LET(_xlpm.g_v,_xlfn.TOCOL(IF(_xlpm.group="","",_xlpm.group),0),_xlpm.inc,IF(_xlfn.ISOMITTED(_xlpm.include),(_xlpm.g_v&lt;&gt;""),_xlpm.include*1),SUMPRODUCT(_xlpm.inc,--(_xlpm.g_v=_xlpm.selected_group))))</definedName>
    <definedName name="Group_Mean" comment="Group mean per row's own group, over included members only; full-height (a row's own inclusion doesn't gate its output). #N/A for a blank group or a group with no included members. Backs Demean_By.">_xlfn.LAMBDA(_xlpm.x,_xlpm.group,_xlop.include,_xlfn.LET(_xlpm.x_v,_xlfn.TOCOL(IF(_xlpm.x="","",_xlpm.x),0),_xlpm.g_v,_xlfn.TOCOL(IF(_xlpm.group="","",_xlpm.group),0),_xlpm.inc,IF(_xlfn.ISOMITTED(_xlpm.include),ISNUMBER(_xlpm.x_v),_xlpm.include*1),_xlpm.active,_xlpm.inc*(_xlpm.g_v&lt;&gt;""),IFERROR(_xlfn.LET(_xlpm.groups,_xlfn.UNIQUE(_xlfn._xlws.FILTER(_xlpm.g_v,_xlpm.active)),_xlpm.means,_xlfn.BYROW(_xlpm.groups,_xlfn.LAMBDA(_xlpm.gk,_xlfn.LET(_xlpm.mask,_xlpm.active*(_xlpm.g_v=_xlpm.gk),SUMPRODUCT(_xlpm.mask,IF(ISNUMBER(_xlpm.x_v),_xlpm.x_v,0))/SUM(_xlpm.mask)))),_xlfn.XLOOKUP(_xlpm.g_v,_xlpm.groups,_xlpm.means,NA(),0)),NA())))</definedName>
    <definedName name="Group_Mean_At" comment="Scalar group mean for one selected group: XLOOKUP into Group_Mean(x,group,include). #N/A when selected_group isn't among the included groups. Backs the v2.1 FE group-mean prediction recovery.">_xlfn.LAMBDA(_xlpm.x,_xlpm.group,_xlpm.selected_group,_xlop.include,_xlfn.XLOOKUP(_xlpm.selected_group,_xlpm.group,Group_Mean(_xlpm.x,_xlpm.group,_xlpm.include),NA(),0))</definedName>
    <definedName name="Group_Prediction_Interval" comment="v2.1 group-mean-recovery prediction: ŷ=ȳᵢ+(x_new−x̄ᵢ)′β̂. Surfaces both mean-CI and new-obs-PI. G=1 (Prediction_Group_Column()'s &quot;(all)&quot; fallback) collapses exactly to Prediction_Interval(). One-way FE, iid errors, continuous predictors only.">_xlfn.LAMBDA(_xlpm.X_s,_xlpm.Y,_xlpm.X_new,_xlpm.group,_xlpm.selected_group,_xlop.Allow_Intercept,_xlop.Include,_xlop.alpha,_xlop.DF_Absorbed,_xlfn.LET(_xlpm.allow_arg,IF(_xlfn.ISOMITTED(_xlpm.Allow_Intercept),TRUE,_xlpm.Allow_Intercept),_xlpm.filt_arg,IF(_xlfn.ISOMITTED(_xlpm.Include),TRUE,_xlpm.Include),_xlpm.alpha_arg,IF(_xlfn.ISOMITTED(_xlpm.alpha),0.05,_xlpm.alpha),_xlpm.absorbed_arg,IF(_xlfn.ISOMITTED(_xlpm.DF_Absorbed),0,_xlpm.DF_Absorbed),_xlpm.x_within,_xlfn.LET(_xlpm.n_x,COLUMNS(_xlpm.X_s),_xlpm.seed,_xlfn.SEQUENCE(ROWS(_xlpm.X_s),1,0,0),_xlpm.built,_xlfn.REDUCE(_xlpm.seed,_xlfn.SEQUENCE(_xlpm.n_x),_xlfn.LAMBDA(_xlpm.acc,_xlpm.j,_xlfn.HSTACK(_xlpm.acc,Demean_By(INDEX(_xlpm.X_s,0,_xlpm.j),_xlpm.group,_xlpm.filt_arg)))),_xlfn.DROP(_xlpm.built,,1)),_xlpm.y_within,Demean_By(_xlpm.Y,_xlpm.group,_xlpm.filt_arg),_xlpm.beta_full,Coefficients(_xlpm.x_within,_xlpm.y_within,_xlpm.allow_arg,_xlpm.filt_arg),_xlpm.beta,IF(_xlpm.allow_arg,_xlfn.DROP(_xlpm.beta_full,1),_xlpm.beta_full),_xlpm.s,SE_Regression(_xlpm.x_within,_xlpm.y_within,_xlpm.allow_arg,_xlpm.filt_arg,_xlpm.absorbed_arg),_xlpm.df,Residual_Degrees_Of_Freedom(_xlpm.x_within,_xlpm.y_within,_xlpm.allow_arg,_xlpm.filt_arg,_xlpm.absorbed_arg),_xlpm.t_crit,_xlfn.T.INV.2T(_xlpm.alpha_arg,_xlpm.df),_xlpm.X_design,Design_Matrix(_xlpm.x_within,FALSE,_xlpm.filt_arg),_xlpm.XtX_inv,Gram_Inverse(_xlpm.X_design),_xlpm.xbar_i,TRANSPOSE(_xlfn.BYCOL(_xlpm.X_s,_xlfn.LAMBDA(_xlpm.col,Group_Mean_At(_xlpm.col,_xlpm.group,_xlpm.selected_group,_xlpm.filt_arg)))),_xlpm.ybar_i,Group_Mean_At(_xlpm.Y,_xlpm.group,_xlpm.selected_group,_xlpm.filt_arg),_xlpm.T_i,Group_Count_At(_xlpm.group,_xlpm.selected_group,_xlpm.filt_arg),_xlpm.deviation,_xlpm.X_new-_xlpm.xbar_i,_xlpm.quad,MMULT(MMULT(TRANSPOSE(_xlpm.deviation),_xlpm.XtX_inv),_xlpm.deviation),_xlpm.point_est,_xlpm.ybar_i+SUMPRODUCT(_xlpm.deviation,_xlpm.beta),_xlpm.se_mean,_xlpm.s*SQRT(1/_xlpm.T_i+_xlpm.quad),_xlpm.se_new,_xlpm.s*SQRT(1+1/_xlpm.T_i+_xlpm.quad),_xlpm.margin_mean,_xlpm.t_crit*_xlpm.se_mean,_xlpm.margin_new,_xlpm.t_crit*_xlpm.se_new,_xlfn.VSTACK(_xlpm.point_est,_xlpm.se_mean,_xlpm.se_new,_xlpm.t_crit,_xlpm.point_est-_xlpm.margin_mean,_xlpm.point_est+_xlpm.margin_mean,_xlpm.point_est-_xlpm.margin_new,_xlpm.point_est+_xlpm.margin_new,1-_xlpm.alpha_arg)))</definedName>
    <definedName name="GVIF" comment="Generalized VIF, one value per source variable (shared across a categorical predictor's dummy columns): det(R11)*det(R22)/det(R). Equals ordinary VIF when a variable is a single column.">_xlfn.LAMBDA(_xlpm.X_s,_xlpm.Column_Names,_xlop.Allow_Intercept,_xlop.Include,_xlfn.LET(_xlpm.filt_arg,IF(_xlfn.ISOMITTED(_xlpm.Include),TRUE,_xlpm.Include),_xlpm.k,COLUMNS(_xlpm.X_s),_xlpm.grp,IFERROR(LEFT(_xlpm.Column_Names,FIND(": ",_xlpm.Column_Names)-1),_xlpm.Column_Names),IF(COUNTA(_xlfn.UNIQUE(_xlpm.grp,TRUE))&lt;=1,_xlfn.MAKEARRAY(_xlpm.k,1,_xlfn.LAMBDA(_xlpm.j,_xlpm._,1)),_xlfn.LET(_xlpm.R,Correlation_Matrix(_xlpm.X_s,_xlpm.filt_arg),_xlpm.detR,MDETERM(_xlpm.R),_xlfn.MAKEARRAY(_xlpm.k,1,_xlfn.LAMBDA(_xlpm.j,_xlpm._,_xlfn.LET(_xlpm.g,INDEX(_xlpm.grp,1,_xlpm.j),_xlpm.own,_xlpm.grp=_xlpm.g,_xlpm.R11,_xlfn._xlws.FILTER(_xlfn._xlws.FILTER(_xlpm.R,TRANSPOSE(_xlpm.own)),_xlpm.own),_xlpm.R22,_xlfn._xlws.FILTER(_xlfn._xlws.FILTER(_xlpm.R,TRANSPOSE(NOT(_xlpm.own))),NOT(_xlpm.own)),MDETERM(_xlpm.R11)*MDETERM(_xlpm.R22)/_xlpm.detR)))))))</definedName>
    <definedName name="Hat_Diagonal" comment="Leverage hᵢ = xᵢ’(X’X)⁻¹xᵢ per row. Rows with hᵢ &gt; 2p/n have high leverage; used by Cook’s Distance and PRESS.">_xlfn.LAMBDA(_xlpm.X_s,_xlop.Allow_Intercept,_xlop.Include,_xlfn.LET(_xlpm.allow_arg,IF(_xlfn.ISOMITTED(_xlpm.Allow_Intercept),TRUE,_xlpm.Allow_Intercept),_xlpm.filt_arg,IF(_xlfn.ISOMITTED(_xlpm.Include),TRUE,_xlpm.Include),_xlpm.X_design,Design_Matrix(_xlpm.X_s,_xlpm.allow_arg,_xlpm.filt_arg),_xlpm.p,COLUMNS(_xlpm.X_design),_xlpm.XtX_inv,Gram_Inverse(_xlpm.X_design),_xlpm.Z,MMULT(_xlpm.X_design,_xlpm.XtX_inv),MMULT(_xlpm.Z*_xlpm.X_design,_xlfn.SEQUENCE(_xlpm.p,1,1,0))))</definedName>
    <definedName name="Header_Names" localSheetId="5">_xlfn.TAKE(Regression!Source_Table,1)</definedName>
    <definedName name="Intercept_Only_DF" localSheetId="5">_xlfn.LAMBDA(Regression!Intercept_Only_N()-1)</definedName>
    <definedName name="Intercept_Only_N" localSheetId="5">_xlfn.LAMBDA(SUMPRODUCT(N(Regression!Sample_Include())))</definedName>
    <definedName name="Intercept_Only_Point" localSheetId="5">_xlfn.LAMBDA(AVERAGE(_xlfn._xlws.FILTER(Regression!Response_Column(),Regression!Sample_Include())))</definedName>
    <definedName name="Intercept_Only_S" localSheetId="5">_xlfn.LAMBDA(_xlfn.STDEV.S(_xlfn._xlws.FILTER(Regression!Response_Column(),Regression!Sample_Include())))</definedName>
    <definedName name="Intercept_Only_SE" localSheetId="5">_xlfn.LAMBDA(Regression!Intercept_Only_S()/SQRT(Regression!Intercept_Only_N()))</definedName>
    <definedName name="Is_Balanced_Panel" comment="TRUE iff the included sample is a complete (group × time) grid: row count = groups×times AND every (group,time) pair distinct. Diagnostic only — flags when a two-way demeaning shortcut (v2.7+) is valid; Demean_By itself needs no balance.">_xlfn.LAMBDA(_xlpm.group,_xlpm.time,_xlop.include,_xlfn.LET(_xlpm.g_v,_xlfn.TOCOL(IF(_xlpm.group="","",_xlpm.group),0),_xlpm.t_v,_xlfn.TOCOL(IF(_xlpm.time="","",_xlpm.time),0),_xlpm.inc,IF(_xlfn.ISOMITTED(_xlpm.include),(_xlpm.g_v&lt;&gt;"")*(_xlpm.t_v&lt;&gt;""),_xlpm.include*1),_xlpm.active,_xlpm.inc*(_xlpm.g_v&lt;&gt;"")*(_xlpm.t_v&lt;&gt;""),_xlpm.n,SUM(_xlpm.active),IF(_xlpm.n=0,NA(),_xlfn.LET(_xlpm.sep,CHAR(31),_xlpm.groups,_xlfn.UNIQUE(_xlfn._xlws.FILTER(_xlpm.g_v,_xlpm.active)),_xlpm.times,_xlfn.UNIQUE(_xlfn._xlws.FILTER(_xlpm.t_v,_xlpm.active)),_xlpm.keys,_xlfn._xlws.FILTER(_xlpm.g_v&amp;_xlpm.sep&amp;_xlpm.t_v,_xlpm.active),AND(_xlpm.n=ROWS(_xlpm.groups)*ROWS(_xlpm.times),_xlpm.n=ROWS(_xlfn.UNIQUE(_xlpm.keys)))))))</definedName>
    <definedName name="Kurtosis" comment="Excess kurtosis per X_s column. 0 = normal-distributed tails; positive = heavier tails with more frequent extremes.">_xlfn.LAMBDA(_xlpm.X_s,_xlop.Include,_xlfn.LET(_xlpm.filt_arg,IF(_xlfn.ISOMITTED(_xlpm.Include),TRUE,_xlpm.Include),_xlpm.xf,_xlfn._xlws.FILTER(_xlpm.X_s,_xlpm.filt_arg),_xlfn.MAKEARRAY(COLUMNS(_xlpm.X_s),1,_xlfn.LAMBDA(_xlpm.r,_xlpm.c,KURT(_xlfn.CHOOSECOLS(_xlpm.xf,_xlpm.r))))))</definedName>
    <definedName name="Lag_By" comment="Prior-period value within the group: exact-match lookup of (group, seq − Δ). Gap or first period → #N/A,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Base_Period_Delta(),_xlpm.delta),_xlpm.inc,IF(_xlfn.ISOMITTED(_xlpm.include),(_xlpm.g_v&lt;&gt;"")*ISNUMBER(_xlpm.t_v),_xlpm.include*1),_xlpm.sep,CHAR(31),_xlpm.source_keys,IF(_xlpm.inc*ISNUMBER(_xlpm.t_v)*(_xlpm.x_v&lt;&gt;""),_xlpm.g_v&amp;_xlpm.sep&amp;_xlpm.t_v,""),_xlpm.prior,_xlfn.XLOOKUP(_xlpm.g_v&amp;_xlpm.sep&amp;(_xlpm.t_v-_xlpm.step),_xlpm.source_keys,_xlpm.x_v,NA(),0),IF(_xlpm.inc,IF(ISNUMBER(_xlpm.t_v),_xlpm.prior,NA()),"")))</definedName>
    <definedName name="Leave_One_Out_Prediction" comment="Single leave-one-out prediction for row n by refitting on n−1 rows. For all rows at once use LOOCV_Prediction.">_xlfn.LAMBDA(_xlpm.X_s,_xlpm.Y,_xlpm.n,_xlop.Allow_Intercept,_xlop.Include,_xlfn.LET(_xlpm.allow_arg,IF(_xlfn.ISOMITTED(_xlpm.Allow_Intercept),TRUE,_xlpm.Allow_Intercept),_xlpm.filt_arg,IF(_xlfn.ISOMITTED(_xlpm.Include),TRUE,_xlpm.Include),_xlpm.X_filt,_xlfn._xlws.FILTER(_xlpm.X_s,_xlpm.filt_arg),_xlpm.Y_filt,_xlfn._xlws.FILTER(_xlpm.Y,_xlpm.filt_arg),_xlpm.X_loo,Exclude_Row_N(_xlpm.X_filt,_xlpm.n),_xlpm.Y_loo,Exclude_Row_N(_xlpm.Y_filt,_xlpm.n),_xlpm.x_n,Design_Matrix(_xlfn.CHOOSEROWS(_xlpm.X_filt,_xlpm.n),_xlpm.allow_arg),_xlpm.beta_loo,Coefficients(_xlpm.X_loo,_xlpm.Y_loo,_xlpm.allow_arg),MMULT(_xlpm.x_n,_xlpm.beta_loo)))</definedName>
    <definedName name="LOO_prediction" comment="Single leave-one-out prediction for row n by refitting on n−1 rows. For all rows at once use LOOCV_prediction.">_xlfn.LAMBDA(_xlpm.X_s,_xlpm.Y,_xlpm.n,_xlop.Allow_Intercept,_xlop.Include,_xlfn.LET(_xlpm.allow_arg,IF(_xlfn.ISOMITTED(_xlpm.Allow_Intercept),TRUE,_xlpm.Allow_Intercept),_xlpm.filt_arg,IF(_xlfn.ISOMITTED(_xlpm.Include),TRUE,_xlpm.Include),_xlpm.X_filt,_xlfn._xlws.FILTER(_xlpm.X_s,_xlpm.filt_arg),_xlpm.Y_filt,_xlfn._xlws.FILTER(_xlpm.Y,_xlpm.filt_arg),_xlpm.X_loo,Exclude_Row_N(_xlpm.X_filt,_xlpm.n),_xlpm.Y_loo,Exclude_Row_N(_xlpm.Y_filt,_xlpm.n),_xlpm.x_n,Design_Matrix(_xlfn.CHOOSEROWS(_xlpm.X_filt,_xlpm.n),_xlpm.allow_arg),_xlpm.beta_loo,Coefficients(_xlpm.X_loo,_xlpm.Y_loo,_xlpm.allow_arg),MMULT(_xlpm.x_n,_xlpm.beta_loo)))</definedName>
    <definedName name="LOOCV_Prediction" comment="All n leave-one-out predictions at once using the hat-matrix shortcut ŷ₋ᵢ = ŷᵢ − hᵢeᵢ/(1−hᵢ). No n separate refits needed.">_xlfn.LAMBDA(_xlpm.X_s,_xlpm.Y,_xlop.Allow_Intercept,_xlop.Include,_xlfn.LET(_xlpm.allow_arg,IF(_xlfn.ISOMITTED(_xlpm.Allow_Intercept),TRUE,_xlpm.Allow_Intercept),_xlpm.filt_arg,IF(_xlfn.ISOMITTED(_xlpm.Include),TRUE,_xlpm.Include),_xlpm.yhat,Predictions(_xlpm.X_s,_xlpm.Y,_xlpm.allow_arg,_xlpm.filt_arg),_xlpm.e,_xlfn._xlws.FILTER(_xlpm.Y,_xlpm.filt_arg)-_xlpm.yhat,_xlpm.h,Hat_Diagonal(_xlpm.X_s,_xlpm.allow_arg,_xlpm.filt_arg),_xlpm.yhat-_xlpm.h*_xlpm.e/(1-_xlpm.h)))</definedName>
    <definedName name="LOOCV_Residual" comment="Leave-one-out residuals e_i/(1-h_i). SUMSQ of this spilled vector equals PRESS. #N/A (not #DIV/0!) where h_i = 1.">_xlfn.LAMBDA(_xlpm.X_s,_xlpm.Y,_xlop.Allow_Intercept,_xlop.Include,_xlfn.LET(_xlpm.allow_arg,IF(_xlfn.ISOMITTED(_xlpm.Allow_Intercept),TRUE,_xlpm.Allow_Intercept),_xlpm.filt_arg,IF(_xlfn.ISOMITTED(_xlpm.Include),TRUE,_xlpm.Include),_xlpm.e,Residuals(_xlpm.X_s,_xlpm.Y,_xlpm.allow_arg,_xlpm.filt_arg),_xlpm.h,Hat_Diagonal(_xlpm.X_s,_xlpm.allow_arg,_xlpm.filt_arg),IFERROR(_xlpm.e/(1-_xlpm.h),NA())))</definedName>
    <definedName name="Missing_Count" comment="Count of non-numeric (blank or text) cells in the active data range up to the last non-empty row. Returns 0 when data is clean.">_xlfn.LAMBDA(_xlpm.data,_xlop.filter,_xlfn.LET(_xlpm.filt_arg,IF(_xlfn.ISOMITTED(_xlpm.filter),TRUE,_xlpm.filter),_xlpm.d,_xlfn._xlws.FILTER(_xlpm.data,_xlpm.filt_arg),_xlpm.last_row,IFERROR(LOOKUP(2,1/(_xlpm.d&lt;&gt;""),_xlfn.SEQUENCE(ROWS(_xlpm.d))),0),IF(_xlpm.last_row=0,0,_xlpm.last_row-COUNT(_xlfn.TAKE(_xlpm.d,_xlpm.last_row)))))</definedName>
    <definedName name="MS_Regression" comment="Mean square for regression = SS_Regression / df_Regression. Numerator of the overall F-statistic.">_xlfn.LAMBDA(_xlpm.X_s,_xlpm.Y,_xlop.Allow_Intercept,_xlop.Include,_xlfn.LET(_xlpm.allow_arg,IF(_xlfn.ISOMITTED(_xlpm.Allow_Intercept),TRUE,_xlpm.Allow_Intercept),_xlpm.filt_arg,IF(_xlfn.ISOMITTED(_xlpm.Include),TRUE,_xlpm.Include),SS_Regression(_xlpm.X_s,_xlpm.Y,_xlpm.allow_arg,_xlpm.filt_arg)/Regression_Degrees_Of_Freedom(_xlpm.X_s)))</definedName>
    <definedName name="MS_Residual" comment="Mean square residual = SS_Residual / df_Residual = SE_Regression². Denominator of the F-statistic. Optional DF_Absorbed (default 0) corrects df_Residual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SS_Residual(_xlpm.X_s,_xlpm.Y,_xlpm.allow_arg,_xlpm.filt_arg)/Residual_Degrees_Of_Freedom(_xlpm.X_s,_xlpm.Y,_xlpm.allow_arg,_xlpm.filt_arg,_xlpm.absorbed_arg)))</definedName>
    <definedName name="Multiple_R" comment="Correlation between observed and fitted Y values = √R². Ranges [0, 1]. Square to recover R_Squared.">_xlfn.LAMBDA(_xlpm.X_s,_xlpm.Y,_xlop.Allow_Intercept,_xlop.Include,_xlfn.LET(_xlpm.allow_arg,IF(_xlfn.ISOMITTED(_xlpm.Allow_Intercept),TRUE,_xlpm.Allow_Intercept),_xlpm.filt_arg,IF(_xlfn.ISOMITTED(_xlpm.Include),TRUE,_xlpm.Include),SQRT(R_Squared(_xlpm.X_s,_xlpm.Y,_xlpm.allow_arg,_xlpm.filt_arg))))</definedName>
    <definedName name="n_histogram_bins">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NLL_Beta" comment="Negative log-likelihood for Beta(alpha, beta). Data must be strictly on (0, 1). No closed-form MLE; use a grid-search Data Table.">_xlfn.LAMBDA(_xlpm.data,_xlpm.alpha_param,_xlpm.beta_param,_xlop.filter,_xlfn.LET(_xlpm.filt_arg,IF(_xlfn.ISOMITTED(_xlpm.filter),ISNUMBER(_xlpm.data),_xlpm.filter),_xlpm.x,_xlfn._xlws.FILTER(_xlpm.data,_xlpm.filt_arg),IFERROR(-SUMPRODUCT(LN(_xlfn.BETA.DIST(_xlpm.x,_xlpm.alpha_param,_xlpm.beta_param,FALSE))),1000000000000000)))</definedName>
    <definedName name="NLL_BetaPERT" comment="Negative log-likelihood for BetaPERT(min, mode, max). Parameters come from three-point estimates; no optimisation needed.">_xlfn.LAMBDA(_xlpm.data,_xlpm.min_val,_xlpm.mode_val,_xlpm.max_val,_xlop.filter,_xlfn.LET(_xlpm.filt_arg,IF(_xlfn.ISOMITTED(_xlpm.filter),ISNUMBER(_xlpm.data),_xlpm.filter),_xlpm.x,_xlfn._xlws.FILTER(_xlpm.data,_xlpm.filt_arg),_xlpm.range_,_xlpm.max_val-_xlpm.min_val,_xlpm.z,(_xlpm.x-_xlpm.min_val)/_xlpm.range_,_xlpm.alpha_p,1+4*(_xlpm.mode_val-_xlpm.min_val)/_xlpm.range_,_xlpm.beta_p,1+4*(_xlpm.max_val-_xlpm.mode_val)/_xlpm.range_,_xlpm.pdf_z,_xlfn.BETA.DIST(_xlpm.z,_xlpm.alpha_p,_xlpm.beta_p,FALSE),_xlpm.pdf_x,_xlpm.pdf_z/_xlpm.range_,IFERROR(-SUMPRODUCT(LN(_xlpm.pdf_x)),1000000000000000)))</definedName>
    <definedName name="NLL_Exponential" comment="Negative log-likelihood for Exponential(rate = 1/mean). Data must be ≥ 0. Closed-form MLE: rate = 1/AVERAGE(data).">_xlfn.LAMBDA(_xlpm.data,_xlpm.rate,_xlop.filter,_xlfn.LET(_xlpm.filt_arg,IF(_xlfn.ISOMITTED(_xlpm.filter),ISNUMBER(_xlpm.data),_xlpm.filter),_xlpm.x,_xlfn._xlws.FILTER(_xlpm.data,_xlpm.filt_arg),IFERROR(-SUMPRODUCT(LN(_xlfn.EXPON.DIST(_xlpm.x,_xlpm.rate,FALSE))),1000000000000000)))</definedName>
    <definedName name="NLL_Gamma" comment="Negative log-likelihood for Gamma(shape, rate = 1/scale). Data must be &gt; 0. No closed-form MLE; fit using a grid-search Data Table.">_xlfn.LAMBDA(_xlpm.data,_xlpm.shape,_xlpm.rate,_xlop.filter,_xlfn.LET(_xlpm.filt_arg,IF(_xlfn.ISOMITTED(_xlpm.filter),ISNUMBER(_xlpm.data),_xlpm.filter),_xlpm.x,_xlfn._xlws.FILTER(_xlpm.data,_xlpm.filt_arg),_xlpm.scale,1/_xlpm.rate,IFERROR(-SUMPRODUCT(LN(_xlfn.GAMMA.DIST(_xlpm.x,_xlpm.shape,_xlpm.scale,FALSE))),1000000000000000)))</definedName>
    <definedName name="NLL_Lognormal" comment="Negative log-likelihood for Lognormal(meanlog, sdlog). Data must be positive. MLE: meanlog = AVERAGE(LN(data)), sdlog = STDEV.S(LN(data)).">_xlfn.LAMBDA(_xlpm.data,_xlpm.meanlog,_xlpm.sdlog,_xlop.filter,_xlfn.LET(_xlpm.filt_arg,IF(_xlfn.ISOMITTED(_xlpm.filter),ISNUMBER(_xlpm.data),_xlpm.filter),_xlpm.x,_xlfn._xlws.FILTER(_xlpm.data,_xlpm.filt_arg),IFERROR(-SUMPRODUCT(LN(_xlfn.LOGNORM.DIST(_xlpm.x,_xlpm.meanlog,_xlpm.sdlog,FALSE))),1000000000000000)))</definedName>
    <definedName name="NLL_Normal" comment="Negative log-likelihood for Normal(mean, sd). Minimise to fit by MLE. Closed-form MLE: mean = AVERAGE, sd = STDEV.S.">_xlfn.LAMBDA(_xlpm.data,_xlpm.mean,_xlpm.sd,_xlop.filter,_xlfn.LET(_xlpm.filt_arg,IF(_xlfn.ISOMITTED(_xlpm.filter),ISNUMBER(_xlpm.data),_xlpm.filter),_xlpm.x,_xlfn._xlws.FILTER(_xlpm.data,_xlpm.filt_arg),IFERROR(-SUMPRODUCT(LN(_xlfn.NORM.DIST(_xlpm.x,_xlpm.mean,_xlpm.sd,FALSE))),1000000000000000)))</definedName>
    <definedName name="NLL_Triangular" comment="Negative log-likelihood for Triangular(min, mode, max). Conventional MLE: set min, mode, max to the data min, mode, and max.">_xlfn.LAMBDA(_xlpm.data,_xlpm.min_val,_xlpm.mode_val,_xlpm.max_val,_xlop.filter,_xlfn.LET(_xlpm.filt_arg,IF(_xlfn.ISOMITTED(_xlpm.filter),ISNUMBER(_xlpm.data),_xlpm.filter),_xlpm.x,_xlfn._xlws.FILTER(_xlpm.data,_xlpm.filt_arg),_xlpm.range_,_xlpm.max_val-_xlpm.min_val,_xlpm.pdf,IF(_xlpm.x&lt;=_xlpm.mode_val,2*(_xlpm.x-_xlpm.min_val)/(_xlpm.range_*(_xlpm.mode_val-_xlpm.min_val)),2*(_xlpm.max_val-_xlpm.x)/(_xlpm.range_*(_xlpm.max_val-_xlpm.mode_val))),IFERROR(-SUMPRODUCT(LN(_xlpm.pdf)),1000000000000000)))</definedName>
    <definedName name="NLL_Weibull" comment="Negative log-likelihood for Weibull(shape, scale). Data must be &gt; 0. No closed-form MLE; fit using a two-input Data Table grid search.">_xlfn.LAMBDA(_xlpm.data,_xlpm.shape,_xlpm.scale,_xlop.filter,_xlfn.LET(_xlpm.filt_arg,IF(_xlfn.ISOMITTED(_xlpm.filter),ISNUMBER(_xlpm.data),_xlpm.filter),_xlpm.x,_xlfn._xlws.FILTER(_xlpm.data,_xlpm.filt_arg),IFERROR(-SUMPRODUCT(LN(_xlfn.WEIBULL.DIST(_xlpm.x,_xlpm.shape,_xlpm.scale,FALSE))),1000000000000000)))</definedName>
    <definedName name="Normal_Scores" comment="Theoretical standard-normal quantiles (Blom approximation) for each filtered row. Use as x-axis values on a Q-Q plot.">_xlfn.LAMBDA(_xlpm.Y,_xlop.Include,_xlfn.LET(_xlpm.filtered,_xlfn._xlws.FILTER(_xlpm.Y,IF(_xlfn.ISOMITTED(_xlpm.Include),TRUE,_xlpm.Include)),_xlpm.n,ROWS(_xlpm.filtered),_xlfn.NORM.S.INV((_xlfn.BYROW(_xlpm.filtered,_xlfn.LAMBDA(_xlpm.v,SUMPRODUCT((_xlpm.filtered&lt;_xlpm.v)*1)))+0.5)/_xlpm.n)))</definedName>
    <definedName name="num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Number_Of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Observation_Num" comment="Sequence 1..n for the filtered dataset. Use as an observation index axis on diagnostic scatter plots.">_xlfn.LAMBDA(_xlpm.Y,_xlop.Include,_xlfn.SEQUENCE(ROWS(_xlfn._xlws.FILTER(_xlpm.Y,IF(_xlfn.ISOMITTED(_xlpm.Include),TRUE,_xlpm.Include)))))</definedName>
    <definedName name="Observation_Number" comment="Sequence 1..n for the filtered dataset. Use as an observation index axis on diagnostic scatter plots.">_xlfn.LAMBDA(_xlpm.Y,_xlop.Include,_xlfn.SEQUENCE(ROWS(_xlfn._xlws.FILTER(_xlpm.Y,IF(_xlfn.ISOMITTED(_xlpm.Include),TRUE,_xlpm.Include)))))</definedName>
    <definedName name="Observations" comment="Count of rows used in the regression after optional filtering. The fundamental sample size n driving all degrees-of-freedom and model-comparison calculations.">_xlfn.LAMBDA(_xlpm.Y,_xlop.Include,_xlfn.LET(_xlpm.filt_arg,IF(_xlfn.ISOMITTED(_xlpm.Include),TRUE,_xlpm.Include),ROWS(_xlfn._xlws.FILTER(_xlpm.Y,_xlpm.filt_arg))))</definedName>
    <definedName name="P_Value_F" comment="Right-tail p-value for the overall F-test. Values &lt; 0.05 indicate the model as a whole is statistically significant.">_xlfn.LAMBDA(_xlpm.X_s,_xlpm.Y,_xlop.Allow_Intercept,_xlop.Include,_xlfn.LET(_xlpm.allow_arg,IF(_xlfn.ISOMITTED(_xlpm.Allow_Intercept),TRUE,_xlpm.Allow_Intercept),_xlpm.filt_arg,IF(_xlfn.ISOMITTED(_xlpm.Include),TRUE,_xlpm.Include),_xlfn.F.DIST.RT(F_Stat(_xlpm.X_s,_xlpm.Y,_xlpm.allow_arg,_xlpm.filt_arg),DF_Regression(_xlpm.X_s),DF_Residual(_xlpm.X_s,_xlpm.Y,_xlpm.allow_arg,_xlpm.filt_arg))))</definedName>
    <definedName name="P_Values" comment="Two-tailed p-values per coefficient testing H₀: true effect = 0. Optional DF_Absorbed (default 0) corrects both the t-stat's SE and the test's df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fn.T.DIST.2T(ABS(T_Statistics(_xlpm.X_s,_xlpm.Y,_xlpm.allow_arg,_xlpm.filt_arg,_xlpm.absorbed_arg)),Residual_Degrees_Of_Freedom(_xlpm.X_s,_xlpm.Y,_xlpm.allow_arg,_xlpm.filt_arg,_xlpm.absorbed_arg))))</definedName>
    <definedName name="Partial_Correlation" comment="Sign-preserving partial correlation between Y and each predictor after removing all other predictor effects. Range [−1, 1]. Optional DF_Absorbed (default 0)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t,T_Statistics(_xlpm.X_s,_xlpm.Y,_xlpm.allow_arg,_xlpm.filt_arg,_xlpm.absorbed_arg),_xlpm.df,Residual_Degrees_Of_Freedom(_xlpm.X_s,_xlpm.Y,_xlpm.allow_arg,_xlpm.filt_arg,_xlpm.absorbed_arg),_xlpm.t/SQRT(_xlpm.t^2+_xlpm.df)))</definedName>
    <definedName name="Partial_R_Squared" comment="Unique proportion of residual variance explained by each predictor after controlling for all others. Range [0, 1]. Optional DF_Absorbed (default 0)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t,T_Statistics(_xlpm.X_s,_xlpm.Y,_xlpm.allow_arg,_xlpm.filt_arg,_xlpm.absorbed_arg),_xlpm.df,Residual_Degrees_Of_Freedom(_xlpm.X_s,_xlpm.Y,_xlpm.allow_arg,_xlpm.filt_arg,_xlpm.absorbed_arg),_xlpm.t^2/(_xlpm.t^2+_xlpm.df)))</definedName>
    <definedName name="Partial_R2" comment="Unique proportion of residual variance explained by each predictor after controlling for all others. Range [0, 1].">_xlfn.LAMBDA(_xlpm.X_s,_xlpm.Y,_xlop.Allow_Intercept,_xlop.Include,_xlfn.LET(_xlpm.allow_arg,IF(_xlfn.ISOMITTED(_xlpm.Allow_Intercept),TRUE,_xlpm.Allow_Intercept),_xlpm.filt_arg,IF(_xlfn.ISOMITTED(_xlpm.Include),TRUE,_xlpm.Include),_xlpm.t,T_Stats(_xlpm.X_s,_xlpm.Y,_xlpm.allow_arg,_xlpm.filt_arg),_xlpm.df,DF_Residual(_xlpm.X_s,_xlpm.Y,_xlpm.allow_arg,_xlpm.filt_arg),_xlpm.t^2/(_xlpm.t^2+_xlpm.df)))</definedName>
    <definedName name="Pearson_R" comment="Linear (Pearson) correlations between each X_s column and Y. Returns a k×1 vector. Compare with Spearman_R to detect nonlinearity.">_xlfn.LAMBDA(_xlpm.X_s,_xlpm.Y,_xlop.Include,_xlfn.LET(_xlpm.filt_arg,IF(_xlfn.ISOMITTED(_xlpm.Include),TRUE,_xlpm.Include),_xlpm.xf,_xlfn._xlws.FILTER(_xlpm.X_s,_xlpm.filt_arg),_xlpm.yf,_xlfn._xlws.FILTER(_xlpm.Y,_xlpm.filt_arg),_xlfn.MAKEARRAY(COLUMNS(_xlpm.X_s),1,_xlfn.LAMBDA(_xlpm.r,_xlpm.c,CORREL(_xlfn.CHOOSECOLS(_xlpm.xf,_xlpm.r),_xlpm.yf)))))</definedName>
    <definedName name="Prediction_Group_Column" localSheetId="5">_xlfn.LAMBDA(_xlfn.LET(_xlpm.n_c,COLUMNS(Regression!Source_Data),_xlpm.fe_active,SUMPRODUCT(N(_xlfn.TAKE(Regression!Spec_Role,_xlpm.n_c)="Fixed Effects"))&gt;0,IF(_xlpm.fe_active,Regression!Fixed_Effects_Column(),_xlfn.EXPAND("(all)",ROWS(Regression!Source_Data),1,"(all)"))))</definedName>
    <definedName name="Prediction_Interval" comment="6-element vector: point estimate, SE_prediction, t-critical, lower/upper PI bound, confidence level. Optional DF_Absorbed (default 0) corrects df/SE under Fixed Effects.">_xlfn.LAMBDA(_xlpm.X_s,_xlpm.Y,_xlpm.X_new,_xlop.Allow_Intercept,_xlop.Include,_xlop.alpha,_xlop.DF_Absorbed,_xlfn.LET(_xlpm.allow_arg,IF(_xlfn.ISOMITTED(_xlpm.Allow_Intercept),TRUE,_xlpm.Allow_Intercept),_xlpm.filt_arg,IF(_xlfn.ISOMITTED(_xlpm.Include),TRUE,_xlpm.Include),_xlpm.alpha_arg,IF(_xlfn.ISOMITTED(_xlpm.alpha),0.05,_xlpm.alpha),_xlpm.absorbed_arg,IF(_xlfn.ISOMITTED(_xlpm.DF_Absorbed),0,_xlpm.DF_Absorbed),_xlpm.X_design,Design_Matrix(_xlpm.X_s,_xlpm.allow_arg,_xlpm.filt_arg),_xlpm.beta,Coefficients(_xlpm.X_s,_xlpm.Y,_xlpm.allow_arg,_xlpm.filt_arg),_xlpm.s,SE_Regression(_xlpm.X_s,_xlpm.Y,_xlpm.allow_arg,_xlpm.filt_arg,_xlpm.absorbed_arg),_xlpm.df,Residual_Degrees_Of_Freedom(_xlpm.X_s,_xlpm.Y,_xlpm.allow_arg,_xlpm.filt_arg,_xlpm.absorbed_arg),_xlpm.t_crit,_xlfn.T.INV.2T(_xlpm.alpha_arg,_xlpm.df),_xlpm.x_new_aligned,IF(_xlpm.allow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Predictions" comment="Model-fitted ŷ values (X·β) for each filtered row. Subtract from Y to get Residuals.">_xlfn.LAMBDA(_xlpm.X_s,_xlpm.Y,_xlop.Allow_Intercept,_xlop.Include,_xlfn.LET(_xlpm.allow_arg,IF(_xlfn.ISOMITTED(_xlpm.Allow_Intercept),TRUE,_xlpm.Allow_Intercept),_xlpm.filt_arg,IF(_xlfn.ISOMITTED(_xlpm.Include),TRUE,_xlpm.Include),MMULT(Design_Matrix(_xlpm.X_s,_xlpm.allow_arg,_xlpm.filt_arg),Coefficients(_xlpm.X_s,_xlpm.Y,_xlpm.allow_arg,_xlpm.filt_arg))))</definedName>
    <definedName name="PRESS" comment="Leave-one-out cross-validation sum of squares = Σ(eᵢ/(1−hᵢ))². Lower values mean better out-of-sample predictions.">_xlfn.LAMBDA(_xlpm.X_s,_xlpm.Y,_xlop.Allow_Intercept,_xlop.Include,_xlfn.LET(_xlpm.allow_arg,IF(_xlfn.ISOMITTED(_xlpm.Allow_Intercept),TRUE,_xlpm.Allow_Intercept),_xlpm.filt_arg,IF(_xlfn.ISOMITTED(_xlpm.Include),TRUE,_xlpm.Include),SUMSQ(LOOCV_Residual(_xlpm.X_s,_xlpm.Y,_xlpm.allow_arg,_xlpm.filt_arg))))</definedName>
    <definedName name="QQ_Correlation" comment="Filliben Q-Q correlation between ranked scaled residuals and normal quantiles. Optional DF_Absorbed (default 0)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sr,Scaled_Residuals_Ranked(_xlpm.X_s,_xlpm.Y,_xlpm.allow_arg,_xlpm.filt_arg,_xlpm.absorbed_arg),_xlpm.n,ROWS(_xlpm.sr),_xlpm.ns,_xlfn.NORM.S.INV((_xlfn.SEQUENCE(_xlpm.n)-0.5)/_xlpm.n),CORREL(_xlpm.sr,_xlpm.ns)))</definedName>
    <definedName name="R_Squared" comment="Proportion of Y’s variance explained by the model (SS_Regression / SS_Total). Ranges [0, 1]; higher is better.">_xlfn.LAMBDA(_xlpm.X_s,_xlpm.Y,_xlop.Allow_Intercept,_xlop.Include,_xlfn.LET(_xlpm.allow_arg,IF(_xlfn.ISOMITTED(_xlpm.Allow_Intercept),TRUE,_xlpm.Allow_Intercept),_xlpm.filt_arg,IF(_xlfn.ISOMITTED(_xlpm.Include),TRUE,_xlpm.Include),INDEX(LINEST(_xlfn._xlws.FILTER(_xlpm.Y,_xlpm.filt_arg),_xlfn._xlws.FILTER(_xlpm.X_s,_xlpm.filt_arg),_xlpm.allow_arg,TRUE),3,1)))</definedName>
    <definedName name="Rank_Fraction" comment="Empirical CDF fractions for filtered Y in original data order. Each value is the row’s percentile within the filtered outcome.">_xlfn.LAMBDA(_xlpm.Y,_xlop.Include,_xlfn.LET(_xlpm.filtered,_xlfn._xlws.FILTER(_xlpm.Y,IF(_xlfn.ISOMITTED(_xlpm.Include),TRUE,_xlpm.Include)),_xlpm.n,ROWS(_xlpm.filtered),_xlfn.BYROW(_xlpm.filtered,_xlfn.LAMBDA(_xlpm.v,SUMPRODUCT((_xlpm.filtered&lt;=_xlpm.v)*1)))/_xlpm.n))</definedName>
    <definedName name="RegChartActY" comment="Actual vs. Predicted chart: Y values (Actual Y)" localSheetId="5">OFFSET(Regression!$AL$2,1,0,MAX(IFERROR(Regression!$Y$8,1),1),1)</definedName>
    <definedName name="RegChartCookDist" comment="Cook's Distance chart: bar values" localSheetId="5">OFFSET(Regression!$AQ$2,1,0,MAX(IFERROR(Regression!$Y$8,1),1),1)</definedName>
    <definedName name="RegChartFitY" comment="Predicted Y: X values for the Residuals vs. Fitted, Actual vs. Predicted, and Scale-Location charts" localSheetId="5">OFFSET(Regression!$AM$2,1,0,MAX(IFERROR(Regression!$Y$8,1),1),1)</definedName>
    <definedName name="RegChartLeverage" comment="Studentized Residuals vs. Leverage chart: X values (Hat Diagonal)" localSheetId="5">OFFSET(Regression!$AO$2,1,0,MAX(IFERROR(Regression!$Y$8,1),1),1)</definedName>
    <definedName name="RegChartPRESSResid" comment="PRESS Residuals chart: bar values" localSheetId="5">OFFSET(Regression!$AU$2,1,0,MAX(IFERROR(Regression!$Y$8,1),1),1)</definedName>
    <definedName name="RegChartQQX" comment="Normal Q-Q chart: X values (theoretical quantiles, Normal Scores Ranked)" localSheetId="5">OFFSET(Regression!$AR$2,1,0,MAX(IFERROR(Regression!$Y$8,1),1),1)</definedName>
    <definedName name="RegChartQQY" comment="Normal Q-Q chart: Y values (Studentized Residuals Ranked)" localSheetId="5">OFFSET(Regression!$AS$2,1,0,MAX(IFERROR(Regression!$Y$8,1),1),1)</definedName>
    <definedName name="RegChartResid" comment="Residuals vs. Fitted chart: Y values (Residuals)" localSheetId="5">OFFSET(Regression!$AN$2,1,0,MAX(IFERROR(Regression!$Y$8,1),1),1)</definedName>
    <definedName name="RegChartScaleLoc" comment="Scale-Location chart: Y values (sqrt of abs Studentized Residual)" localSheetId="5">OFFSET(Regression!$AT$2,1,0,MAX(IFERROR(Regression!$Y$8,1),1),1)</definedName>
    <definedName name="RegChartStudResid" comment="Studentized Residuals vs. Leverage chart: Y values" localSheetId="5">OFFSET(Regression!$AP$2,1,0,MAX(IFERROR(Regression!$Y$8,1),1),1)</definedName>
    <definedName name="Regression_Degrees_Of_Freedom" comment="Degrees of freedom for regression = number of predictors k (= COLUMNS(X_s)). Used as the numerator df in the F-test.">_xlfn.LAMBDA(_xlpm.X_s,COLUMNS(_xlpm.X_s))</definedName>
    <definedName name="Residual_Degrees_Of_Freedom" comment="Residual df = Total_Degrees_Of_Freedom − Regression_Degrees_Of_Freedom − DF_Absorbed (default 0). Denominator df for the F-test, Adjusted R², and — new in v2.1 — the single source of truth for FE df correction downstream.">_xlfn.LAMBDA(_xlpm.X_s,_xlpm.Y,_xlop.Allow_Intercept,_xlop.Include,_xlop.DF_Absorbed,_xlfn.LET(_xlpm.allow_arg,IF(_xlfn.ISOMITTED(_xlpm.Allow_Intercept),TRUE,_xlpm.Allow_Intercept),_xlpm.filt_arg,IF(_xlfn.ISOMITTED(_xlpm.Include),TRUE,_xlpm.Include),_xlpm.absorbed_arg,IF(_xlfn.ISOMITTED(_xlpm.DF_Absorbed),0,_xlpm.DF_Absorbed),Total_Degrees_Of_Freedom(_xlpm.Y,_xlpm.allow_arg,_xlpm.filt_arg)-Regression_Degrees_Of_Freedom(_xlpm.X_s)-_xlpm.absorbed_arg))</definedName>
    <definedName name="Residuals" comment="Raw residuals = Y − ŷ for each filtered row. Starting point for all diagnostic plots.">_xlfn.LAMBDA(_xlpm.X_s,_xlpm.Y,_xlop.Allow_Intercept,_xlop.Include,_xlfn.LET(_xlpm.allow_arg,IF(_xlfn.ISOMITTED(_xlpm.Allow_Intercept),TRUE,_xlpm.Allow_Intercept),_xlpm.filt_arg,IF(_xlfn.ISOMITTED(_xlpm.Include),TRUE,_xlpm.Include),_xlfn._xlws.FILTER(_xlpm.Y,_xlpm.filt_arg)-Predictions(_xlpm.X_s,_xlpm.Y,_xlpm.allow_arg,_xlpm.filt_arg)))</definedName>
    <definedName name="Response_Column" localSheetId="5">_xlfn.LAMBDA(_xlfn.LET(_xlpm.n_c,COLUMNS(Regression!Source_Data),_xlpm.rl,_xlfn.TAKE(Regression!Spec_Role,_xlpm.n_c),INDEX(Regression!Source_Data,0,_xlfn.XMATCH("Response (y)",_xlpm.rl))))</definedName>
    <definedName name="Row_Labels" localSheetId="5">_xlfn.LAMBDA(_xlfn.LET(_xlpm.n_c,COLUMNS(Regression!Source_Data),_xlpm.rl,_xlfn.TAKE(Regression!Spec_Role,_xlpm.n_c),_xlpm.ids,IFERROR(TRANSPOSE(_xlfn._xlws.FILTER(TRANSPOSE(Regression!Source_Data),_xlpm.rl="Identifier (Row Label)")),NA()),IF(SUM(--(_xlpm.rl="Identifier (Row Label)"))=0,"Obs. "&amp;_xlfn.SEQUENCE(ROWS(Regression!Source_Data)),_xlfn.BYROW(_xlpm.ids,_xlfn.LAMBDA(_xlpm.r,_xlfn.TEXTJOIN("|",FALSE,_xlpm.r))))))</definedName>
    <definedName name="Sample_Include" localSheetId="5">_xlfn.LAMBDA(_xlfn.LET(_xlpm.n_c,COLUMNS(Regression!Source_Data),_xlpm.rl,_xlfn.TAKE(Regression!Spec_Role,_xlpm.n_c),_xlpm.inc,_xlfn.TAKE(Regression!Spec_Include,_xlpm.n_c),_xlpm.typ,_xlfn.TAKE(Regression!Spec_Type,_xlpm.n_c),_xlpm.seed,_xlfn.SEQUENCE(ROWS(Regression!Source_Data),1,1,0),_xlpm.prod,_xlfn.REDUCE(_xlpm.seed,_xlfn.SEQUENCE(_xlpm.n_c),_xlfn.LAMBDA(_xlpm.acc,_xlpm.j,_xlfn.LET(_xlpm.col,INDEX(Regression!Source_Data,0,_xlpm.j),IF(INDEX(_xlpm.rl,_xlpm.j)="Filter",_xlpm.acc*--(IFERROR((_xlpm.col+0)=1,FALSE)),IF(OR(INDEX(_xlpm.rl,_xlpm.j)="Response (y)",AND(INDEX(_xlpm.rl,_xlpm.j)="Predictor (x)",INDEX(_xlpm.inc,_xlpm.j)=TRUE,INDEX(_xlpm.typ,_xlpm.j)="Continuous")),_xlpm.acc*N(ISNUMBER(_xlpm.col)),_xlpm.acc))))),_xlpm.prod=1))</definedName>
    <definedName name="Scaled_Residuals" comment="Residuals divided by SE_Regression. Not leverage-adjusted. Optional DF_Absorbed (default 0) corrects SE_Regression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Residuals(_xlpm.X_s,_xlpm.Y,_xlpm.allow_arg,_xlpm.filt_arg)/SE_Regression(_xlpm.X_s,_xlpm.Y,_xlpm.allow_arg,_xlpm.filt_arg,_xlpm.absorbed_arg)))</definedName>
    <definedName name="Scaled_Residuals_Ranked" comment="Scaled residuals sorted ascending. Paired with Normal_Scores for a standard Q-Q residual plot. Optional DF_Absorbed (default 0)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fn._xlws.SORT(Scaled_Residuals(_xlpm.X_s,_xlpm.Y,_xlpm.allow_arg,_xlpm.filt_arg,_xlpm.absorbed_arg))))</definedName>
    <definedName name="Scott_Bins" comment="Bin count from Scott’s normal-reference rule: width = 3.49·σ·n^(−1/3). Optimal when data are approximately normal.">_xlfn.LAMBDA(_xlpm.data,_xlop.filter,_xlfn.LET(_xlpm.filt_arg,IF(_xlfn.ISOMITTED(_xlpm.filter),ISNUMBER(_xlpm.data),_xlpm.filter),_xlpm.x,_xlfn._xlws.FILTER(_xlpm.data,_xlpm.filt_arg),_xlpm.n,COUNT(_xlpm.x),_xlpm.sd,_xlfn.STDEV.S(_xlpm.x),_xlpm.width,3.49*_xlpm.sd*_xlpm.n^(-1/3),_xlpm.range_,MAX(_xlpm.x)-MIN(_xlpm.x),IF(_xlpm.sd=0,1,CEILING(_xlpm.range_/_xlpm.width,1))))</definedName>
    <definedName name="SE_Coefficients" comment="Standard errors of the OLS coefficients. LINEST can't accept an external df, so DF_Absorbed (default 0) rescales its output by SQRT(naive_df/true_df) — exact, since SSR and (X'X)⁻¹ don't change.">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ls,LINEST(_xlfn._xlws.FILTER(_xlpm.Y,_xlpm.filt_arg),_xlfn._xlws.FILTER(_xlpm.X_s,_xlpm.filt_arg),_xlpm.allow_arg,TRUE),_xlpm.ses,INDEX(_xlpm.ls,2),_xlpm.k,COLUMNS(_xlpm.X_s),_xlpm.naive_df,Residual_Degrees_Of_Freedom(_xlpm.X_s,_xlpm.Y,_xlpm.allow_arg,_xlpm.filt_arg),_xlpm.true_df,_xlpm.naive_df-_xlpm.absorbed_arg,_xlpm.scale,SQRT(_xlpm.naive_df/_xlpm.true_df),TRANSPOSE(IF(_xlpm.allow_arg,_xlfn.HSTACK(INDEX(_xlpm.ses,1,_xlpm.k+1),_xlfn.CHOOSECOLS(_xlpm.ses,_xlfn.SEQUENCE(1,_xlpm.k,_xlpm.k,-1))),_xlfn.CHOOSECOLS(_xlpm.ses,_xlfn.SEQUENCE(1,_xlpm.k,_xlpm.k,-1))))*_xlpm.scale))</definedName>
    <definedName name="SE_Regression" comment="Standard error of the regression (root MSE = √(SS_Residual / df_residual)). Typical prediction error in Y units. Optional DF_Absorbed (default 0) corrects df_residual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SQRT(SS_Residual(_xlpm.X_s,_xlpm.Y,_xlpm.allow_arg,_xlpm.filt_arg)/Residual_Degrees_Of_Freedom(_xlpm.X_s,_xlpm.Y,_xlpm.allow_arg,_xlpm.filt_arg,_xlpm.absorbed_arg))))</definedName>
    <definedName name="Sequence_Column" localSheetId="5">_xlfn.LAMBDA(_xlfn.LET(_xlpm.n_c,COLUMNS(Regression!Source_Data),INDEX(Regression!Source_Data,0,_xlfn.XMATCH(TRUE,_xlfn.TAKE(Regression!Spec_Sequence,_xlpm.n_c),0))))</definedName>
    <definedName name="Sequence_Delta_Spectrum" localSheetId="5">_xlfn.LAMBDA(_xlfn.LET(_xlpm.d,Regression!Sequence_Deltas(),_xlpm.u,_xlfn._xlws.SORT(_xlfn.UNIQUE(_xlpm.d)),IF(COUNT(_xlpm.d)=0,NA(),_xlfn.HSTACK(_xlpm.u,_xlfn.BYROW(_xlpm.u,_xlfn.LAMBDA(_xlpm.v,SUM(--(_xlpm.d=_xlpm.v))))))))</definedName>
    <definedName name="Sequence_Deltas" localSheetId="5">_xlfn.LAMBDA(_xlfn.LET(_xlpm.n_c,COLUMNS(Regression!Source_Data),_xlpm.s_pos,_xlfn.XMATCH(TRUE,_xlfn.TAKE(Regression!Spec_Sequence,_xlpm.n_c),0),_xlpm.t_raw,INDEX(Regression!Source_Data,0,_xlpm.s_pos),_xlpm.t_v,IF(_xlpm.t_raw="","",_xlpm.t_raw),_xlpm.rl,_xlfn.TAKE(Regression!Spec_Role,_xlpm.n_c),_xlpm.id_mask,(_xlpm.rl="Identifier (Row Label)")*(_xlfn.SEQUENCE(_xlpm.n_c)&lt;&gt;_xlpm.s_pos),_xlpm.g_v,IF(SUM(_xlpm.id_mask)=0,_xlfn.EXPAND("(all)",ROWS(_xlpm.t_v),1,"(all)"),_xlfn.BYROW(_xlfn.CHOOSECOLS(Regression!Source_Data,_xlfn.TOROW(_xlfn._xlws.FILTER(_xlfn.SEQUENCE(_xlpm.n_c),_xlpm.id_mask))),_xlfn.LAMBDA(_xlpm.r,_xlfn.TEXTJOIN(CHAR(31),FALSE,IF(_xlpm.r="","",_xlpm.r))))),_xlpm.ok,ISNUMBER(_xlpm.t_v)*(SUBSTITUTE(_xlpm.g_v,CHAR(31),"")&lt;&gt;""),_xlpm.g_f,_xlfn._xlws.FILTER(_xlpm.g_v,_xlpm.ok,NA()),_xlpm.t_f,_xlfn._xlws.FILTER(_xlpm.t_v,_xlpm.ok,NA()),_xlpm.g_s,_xlfn.SORTBY(_xlpm.g_f,_xlpm.g_f,1,_xlpm.t_f,1),_xlpm.t_s,_xlfn.SORTBY(_xlpm.t_f,_xlpm.g_f,1,_xlpm.t_f,1),_xlpm.d,_xlfn.DROP(_xlpm.t_s,1)-_xlfn.DROP(_xlpm.t_s,-1),_xlpm.same,_xlfn.DROP(_xlpm.g_s,1)=_xlfn.DROP(_xlpm.g_s,-1),IFERROR(_xlfn._xlws.FILTER(_xlpm.d,_xlpm.same*(_xlpm.d&gt;0),NA()),NA())))</definedName>
    <definedName name="Serial_Correlation_Group" localSheetId="5">_xlfn.LAMBDA(_xlfn.LET(_xlpm.roles,_xlfn.TAKE(Regression!Spec_Role,COLUMNS(Regression!Source_Data)),_xlpm.key,_xlfn.IFS(SUMPRODUCT(N(_xlpm.roles="Fixed Effects"))&gt;0,"Fixed Effects",SUMPRODUCT(N(_xlpm.roles="Cluster"))&gt;0,"Cluster",TRUE,"none"),_xlfn.SWITCH(_xlpm.key,"Fixed Effects",Regression!Fixed_Effects_Column(),"Cluster","n/a — Cluster grouping RESERVED — v2.6+","none")))</definedName>
    <definedName name="Skewness" comment="Sample skewness per X_s column after filtering. 0 = symmetric; &gt; 1 = long right tail; &lt; −1 = long left tail.">_xlfn.LAMBDA(_xlpm.X_s,_xlop.Include,_xlfn.LET(_xlpm.filt_arg,IF(_xlfn.ISOMITTED(_xlpm.Include),TRUE,_xlpm.Include),_xlpm.xf,_xlfn._xlws.FILTER(_xlpm.X_s,_xlpm.filt_arg),_xlfn.MAKEARRAY(COLUMNS(_xlpm.X_s),1,_xlfn.LAMBDA(_xlpm.r,_xlpm.c,SKEW(_xlfn.CHOOSECOLS(_xlpm.xf,_xlpm.r))))))</definedName>
    <definedName name="Source_Data" localSheetId="5">_xlfn.DROP(Regression!Source_Table,1)</definedName>
    <definedName name="Source_Table" localSheetId="5">MileageData[#All]</definedName>
    <definedName name="Spearman_R" comment="Rank (Spearman) correlations between each X_s column and Y. Detects monotonic but curved relationships. Returns a k×1 vector.">_xlfn.LAMBDA(_xlpm.xf,_xlpm.yf,_xlop.Include,_xlfn.LET(_xlpm.baseFilter,IF(_xlfn.ISOMITTED(_xlpm.Include),TRUE,_xlpm.Include),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pec_Base_Period_Delta" localSheetId="5">Regression!$I$4:$I$15989</definedName>
    <definedName name="Spec_Include" localSheetId="5">SpecTable[[#Data],[Include]]</definedName>
    <definedName name="Spec_Order" localSheetId="5">SpecTable[[#Data],[Order]]</definedName>
    <definedName name="Spec_Period_In_Use" localSheetId="5">SpecTable[[#Data],[Period In Use]]</definedName>
    <definedName name="Spec_Reference" localSheetId="5">SpecTable[[#Data],[Reference Level]]</definedName>
    <definedName name="Spec_Role" localSheetId="5">SpecTable[[#Data],[Role]]</definedName>
    <definedName name="Spec_Sequence" localSheetId="5">SpecTable[[#Data],[Sequence]]</definedName>
    <definedName name="Spec_Sequence_Period" localSheetId="5">SpecTable[[#Data],[Sequence Period]]</definedName>
    <definedName name="Spec_Transform" localSheetId="5">SpecTable[[#Data],[Transform]]</definedName>
    <definedName name="Spec_Type" localSheetId="5">SpecTable[[#Data],[Type]]</definedName>
    <definedName name="SS_Regression" comment="Explained variation in Y = SS_Total × R². Grows as model fit improves.">_xlfn.LAMBDA(_xlpm.X_s,_xlpm.Y,_xlop.Allow_Intercept,_xlop.Include,_xlfn.LET(_xlpm.allow_arg,IF(_xlfn.ISOMITTED(_xlpm.Allow_Intercept),TRUE,_xlpm.Allow_Intercept),_xlpm.filt_arg,IF(_xlfn.ISOMITTED(_xlpm.Include),TRUE,_xlpm.Include),SS_Total(_xlpm.Y,_xlpm.allow_arg,_xlpm.filt_arg)*R_Squared(_xlpm.X_s,_xlpm.Y,_xlpm.allow_arg,_xlpm.filt_arg)))</definedName>
    <definedName name="SS_Residual" comment="Unexplained variation in Y = SS_Total × (1 − R²). Shrinks as model fit improves.">_xlfn.LAMBDA(_xlpm.X_s,_xlpm.Y,_xlop.Allow_Intercept,_xlop.Include,_xlfn.LET(_xlpm.allow_arg,IF(_xlfn.ISOMITTED(_xlpm.Allow_Intercept),TRUE,_xlpm.Allow_Intercept),_xlpm.filt_arg,IF(_xlfn.ISOMITTED(_xlpm.Include),TRUE,_xlpm.Include),SS_Total(_xlpm.Y,_xlpm.allow_arg,_xlpm.filt_arg)*(1-R_Squared(_xlpm.X_s,_xlpm.Y,_xlpm.allow_arg,_xlpm.filt_arg))))</definedName>
    <definedName name="SS_Total" comment="Total variation in Y before fitting (DEVSQ(Y) with intercept, SUMSQ(Y) without). Denominator of the R² formula.">_xlfn.LAMBDA(_xlpm.Y,_xlop.Allow_Intercept,_xlop.Include,_xlfn.LET(_xlpm.allow_arg,IF(_xlfn.ISOMITTED(_xlpm.Allow_Intercept),TRUE,_xlpm.Allow_Intercept),_xlpm.filt_arg,IF(_xlfn.ISOMITTED(_xlpm.Include),TRUE,_xlpm.Include),_xlpm.y_filt,_xlfn._xlws.FILTER(_xlpm.Y,_xlpm.filt_arg),IF(_xlpm.allow_arg,DEVSQ(_xlpm.y_filt),SUMSQ(_xlpm.y_filt))))</definedName>
    <definedName name="Studentized_Residuals" comment="Internally studentized residuals rᵢ = eᵢ / (s√(1−hᵢ)). Values beyond ±2 flag outliers; ±3 are probable outliers. #N/A when s = 0 or hᵢ = 1. Optional DF_Absorbed (default 0) corrects s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e,Residuals(_xlpm.X_s,_xlpm.Y,_xlpm.allow_arg,_xlpm.filt_arg),_xlpm.se,SE_Regression(_xlpm.X_s,_xlpm.Y,_xlpm.allow_arg,_xlpm.filt_arg,_xlpm.absorbed_arg),_xlpm.h,Hat_Diagonal(_xlpm.X_s,_xlpm.allow_arg,_xlpm.filt_arg),IFERROR(_xlpm.e/(_xlpm.se*SQRT(1-_xlpm.h)),NA())))</definedName>
    <definedName name="Studentized_Residuals_Ranked" comment="Studentized residuals sorted ascending. Paired with Normal_Scores for a leverage-corrected Q-Q residual plot. Optional DF_Absorbed (default 0)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fn._xlws.SORT(Studentized_Residuals(_xlpm.X_s,_xlpm.Y,_xlpm.allow_arg,_xlpm.filt_arg,_xlpm.absorbed_arg))))</definedName>
    <definedName name="Sturges_Bins" comment="Bin count k = ⌈log₂(n)+1⌉ (Sturges’ rule). Reliable for roughly symmetric data with 50–200 observations.">_xlfn.LAMBDA(_xlpm.data,_xlop.filter,_xlfn.LET(_xlpm.filt_arg,IF(_xlfn.ISOMITTED(_xlpm.filter),ISNUMBER(_xlpm.data),_xlpm.filter),_xlpm.x,_xlfn._xlws.FILTER(_xlpm.data,_xlpm.filt_arg),_xlpm.n,COUNT(_xlpm.x),CEILING(LOG(_xlpm.n,2)+1,1)))</definedName>
    <definedName name="T_Statistics" comment="t-statistics = Coefficients / SE_Coefficients. Same order as Coefficients. Optional DF_Absorbed (default 0) threads to SE_Coefficients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Coefficients(_xlpm.X_s,_xlpm.Y,_xlpm.allow_arg,_xlpm.filt_arg)/SE_Coefficients(_xlpm.X_s,_xlpm.Y,_xlpm.allow_arg,_xlpm.filt_arg,_xlpm.absorbed_arg)))</definedName>
    <definedName name="T_Stats" comment="t-statistics = Coefficients / SE_Coefficients. Measures each coefficient in standard-error units. Same order as Coefficients.">_xlfn.LAMBDA(_xlpm.X_s,_xlpm.Y,_xlop.Allow_Intercept,_xlop.Include,_xlfn.LET(_xlpm.allow_arg,IF(_xlfn.ISOMITTED(_xlpm.Allow_Intercept),TRUE,_xlpm.Allow_Intercept),_xlpm.filt_arg,IF(_xlfn.ISOMITTED(_xlpm.Include),TRUE,_xlpm.Include),Coefficients(_xlpm.X_s,_xlpm.Y,_xlpm.allow_arg,_xlpm.filt_arg)/SE_Coefficients(_xlpm.X_s,_xlpm.Y,_xlpm.allow_arg,_xlpm.filt_arg)))</definedName>
    <definedName name="This_Row" comment="Relative row numbers 1..n for the current spilled array. Pass to CHOOSEROWS or use as a mask inside FILTER.">_xlfn.LAMBDA(_xlpm.array,_xlfn.SEQUENCE(ROWS(_xlpm.array)))</definedName>
    <definedName name="Tolerance" comment="1/VIF per predictor. Fraction of unique variance not shared with other predictors. &lt; 0.2: review; &lt; 0.1: strong collinearity.">_xlfn.LAMBDA(_xlpm.X_s,_xlop.Allow_Intercept,_xlop.Include,1/VIF(_xlpm.X_s,_xlpm.Allow_Intercept,_xlpm.Include))</definedName>
    <definedName name="Total_Degrees_Of_Freedom" comment="Total degrees of freedom = n − 1 with intercept or n without. Partitions into Regression_Degrees_Of_Freedom + Residual_Degrees_Of_Freedom.">_xlfn.LAMBDA(_xlpm.Y,_xlop.Allow_Intercept,_xlop.Include,_xlfn.LET(_xlpm.allow_arg,IF(_xlfn.ISOMITTED(_xlpm.Allow_Intercept),TRUE,_xlpm.Allow_Intercept),_xlpm.filt_arg,IF(_xlfn.ISOMITTED(_xlpm.Include),TRUE,_xlpm.Include),_xlpm.n,Observations(_xlpm.Y,_xlpm.filt_arg),IF(_xlpm.allow_arg,_xlpm.n-1,_xlpm.n)))</definedName>
    <definedName name="Upper_Bin_Edges" comment="k upper bin boundaries (Bin_Edges without the first element). Compatible with Excel’s FREQUENCY function convention.">_xlfn.LAMBDA(_xlpm.data,_xlop.method,_xlop.filter,_xlfn.DROP(Bin_Edges(_xlpm.data,_xlpm.method,_xlpm.filter),1))</definedName>
    <definedName name="UV_FD_Beta_Expected" comment="Freedman-Diaconis Method histogram chart: Beta overlay line (expected counts = bin probability × n)">OFFSET(#REF!,1,0,MAX(IFERROR(Number_Of_Histogram_Bins([0]!UV_Data,#REF!,[0]!UV_Include),1),1),1)*#REF!</definedName>
    <definedName name="UV_FD_BetaPERT_Expected" comment="Freedman-Diaconis Method histogram chart: BetaPERT overlay line (expected counts = bin probability × n)">OFFSET(#REF!,1,0,MAX(IFERROR(Number_Of_Histogram_Bins([0]!UV_Data,#REF!,[0]!UV_Include),1),1),1)*#REF!</definedName>
    <definedName name="UV_FD_Counts" comment="Freedman-Diaconis Method histogram chart: bar values (bin counts)">OFFSET(#REF!,1,0,MAX(IFERROR(Number_Of_Histogram_Bins([0]!UV_Data,#REF!,[0]!UV_Include),1),1),1)</definedName>
    <definedName name="UV_FD_Edges">OFFSET(#REF!,1,0,MAX(IFERROR(num_histogram_bins([0]!UV_Data,#REF!,[0]!UV_Include),1),1),1)</definedName>
    <definedName name="UV_FD_Exponential_Expected" comment="Freedman-Diaconis Method histogram chart: Exponential overlay line (expected counts = bin probability × n)">OFFSET(#REF!,1,0,MAX(IFERROR(Number_Of_Histogram_Bins([0]!UV_Data,#REF!,[0]!UV_Include),1),1),1)*#REF!</definedName>
    <definedName name="UV_FD_Gamma_Expected" comment="Freedman-Diaconis Method histogram chart: Gamma overlay line (expected counts = bin probability × n)">OFFSET(#REF!,1,0,MAX(IFERROR(Number_Of_Histogram_Bins([0]!UV_Data,#REF!,[0]!UV_Include),1),1),1)*#REF!</definedName>
    <definedName name="UV_FD_Lognormal_Expected" comment="Freedman-Diaconis Method histogram chart: Lognormal overlay line (expected counts = bin probability × n)">OFFSET(#REF!,1,0,MAX(IFERROR(Number_Of_Histogram_Bins([0]!UV_Data,#REF!,[0]!UV_Include),1),1),1)*#REF!</definedName>
    <definedName name="UV_FD_Normal_Expected" comment="Freedman-Diaconis Method histogram chart: Normal overlay line (expected counts = bin probability × n)">OFFSET(#REF!,1,0,MAX(IFERROR(Number_Of_Histogram_Bins([0]!UV_Data,#REF!,[0]!UV_Include),1),1),1)*#REF!</definedName>
    <definedName name="UV_FD_Triangular_Expected" comment="Freedman-Diaconis Method histogram chart: Triangular overlay line (expected counts = bin probability × n)">OFFSET(#REF!,1,0,MAX(IFERROR(Number_Of_Histogram_Bins([0]!UV_Data,#REF!,[0]!UV_Include),1),1),1)*#REF!</definedName>
    <definedName name="UV_FD_Upper_Edges" comment="Freedman-Diaconis Method histogram chart: category (X) axis bin edges">OFFSET(#REF!,1,0,MAX(IFERROR(Number_Of_Histogram_Bins([0]!UV_Data,#REF!,[0]!UV_Include),1),1),1)</definedName>
    <definedName name="UV_FD_Weibull_Expected" comment="Freedman-Diaconis Method histogram chart: Weibull overlay line (expected counts = bin probability × n)">OFFSET(#REF!,1,0,MAX(IFERROR(Number_Of_Histogram_Bins([0]!UV_Data,#REF!,[0]!UV_Include),1),1),1)*#REF!</definedName>
    <definedName name="UV_QQ_Beta" comment="Beta Q-Q plot: theoretical quantiles (X axis)">OFFSET(#REF!,1,0,MAX(IFERROR(#REF!,1),1),1)</definedName>
    <definedName name="UV_QQ_BetaPERT" comment="BetaPERT Q-Q plot: theoretical quantiles (X axis)">OFFSET(#REF!,1,0,MAX(IFERROR(#REF!,1),1),1)</definedName>
    <definedName name="UV_QQ_Exponential" comment="Exponential Q-Q plot: theoretical quantiles (X axis)">OFFSET(#REF!,1,0,MAX(IFERROR(#REF!,1),1),1)</definedName>
    <definedName name="UV_QQ_Gamma" comment="Gamma Q-Q plot: theoretical quantiles (X axis)">OFFSET(#REF!,1,0,MAX(IFERROR(#REF!,1),1),1)</definedName>
    <definedName name="UV_QQ_Lognormal" comment="Lognormal Q-Q plot: theoretical quantiles (X axis)">OFFSET(#REF!,1,0,MAX(IFERROR(#REF!,1),1),1)</definedName>
    <definedName name="UV_QQ_Normal" comment="Normal Q-Q plot: theoretical quantiles (X axis)">OFFSET(#REF!,1,0,MAX(IFERROR(#REF!,1),1),1)</definedName>
    <definedName name="UV_QQ_Sample" comment="Q-Q plots: sorted sample values (Y axis, shared by all eight charts)">OFFSET(#REF!,1,0,MAX(IFERROR(#REF!,1),1),1)</definedName>
    <definedName name="UV_QQ_Triangular" comment="Triangular Q-Q plot: theoretical quantiles (X axis)">OFFSET(#REF!,1,0,MAX(IFERROR(#REF!,1),1),1)</definedName>
    <definedName name="UV_QQ_Weibull" comment="Weibull Q-Q plot: theoretical quantiles (X axis)">OFFSET(#REF!,1,0,MAX(IFERROR(#REF!,1),1),1)</definedName>
    <definedName name="UV_Scott_Beta_Expected" comment="Scott Method histogram chart: Beta overlay line (expected counts = bin probability × n)">OFFSET(#REF!,1,0,MAX(IFERROR(Number_Of_Histogram_Bins([0]!UV_Data,#REF!,[0]!UV_Include),1),1),1)*#REF!</definedName>
    <definedName name="UV_Scott_BetaPERT_Expected" comment="Scott Method histogram chart: BetaPERT overlay line (expected counts = bin probability × n)">OFFSET(#REF!,1,0,MAX(IFERROR(Number_Of_Histogram_Bins([0]!UV_Data,#REF!,[0]!UV_Include),1),1),1)*#REF!</definedName>
    <definedName name="UV_Scott_Counts" comment="Scott Method histogram chart: bar values (bin counts)">OFFSET(#REF!,1,0,MAX(IFERROR(Number_Of_Histogram_Bins([0]!UV_Data,#REF!,[0]!UV_Include),1),1),1)</definedName>
    <definedName name="UV_Scott_Edges">OFFSET(#REF!,1,0,MAX(IFERROR(num_histogram_bins([0]!UV_Data,#REF!,[0]!UV_Include),1),1),1)</definedName>
    <definedName name="UV_Scott_Exponential_Expected" comment="Scott Method histogram chart: Exponential overlay line (expected counts = bin probability × n)">OFFSET(#REF!,1,0,MAX(IFERROR(Number_Of_Histogram_Bins([0]!UV_Data,#REF!,[0]!UV_Include),1),1),1)*#REF!</definedName>
    <definedName name="UV_Scott_Gamma_Expected" comment="Scott Method histogram chart: Gamma overlay line (expected counts = bin probability × n)">OFFSET(#REF!,1,0,MAX(IFERROR(Number_Of_Histogram_Bins([0]!UV_Data,#REF!,[0]!UV_Include),1),1),1)*#REF!</definedName>
    <definedName name="UV_Scott_Lognormal_Expected" comment="Scott Method histogram chart: Lognormal overlay line (expected counts = bin probability × n)">OFFSET(#REF!,1,0,MAX(IFERROR(Number_Of_Histogram_Bins([0]!UV_Data,#REF!,[0]!UV_Include),1),1),1)*#REF!</definedName>
    <definedName name="UV_Scott_Normal_Expected" comment="Scott Method histogram chart: Normal overlay line (expected counts = bin probability × n)">OFFSET(#REF!,1,0,MAX(IFERROR(Number_Of_Histogram_Bins([0]!UV_Data,#REF!,[0]!UV_Include),1),1),1)*#REF!</definedName>
    <definedName name="UV_Scott_Triangular_Expected" comment="Scott Method histogram chart: Triangular overlay line (expected counts = bin probability × n)">OFFSET(#REF!,1,0,MAX(IFERROR(Number_Of_Histogram_Bins([0]!UV_Data,#REF!,[0]!UV_Include),1),1),1)*#REF!</definedName>
    <definedName name="UV_Scott_Upper_Edges" comment="Scott Method histogram chart: category (X) axis bin edges">OFFSET(#REF!,1,0,MAX(IFERROR(Number_Of_Histogram_Bins([0]!UV_Data,#REF!,[0]!UV_Include),1),1),1)</definedName>
    <definedName name="UV_Scott_Weibull_Expected" comment="Scott Method histogram chart: Weibull overlay line (expected counts = bin probability × n)">OFFSET(#REF!,1,0,MAX(IFERROR(Number_Of_Histogram_Bins([0]!UV_Data,#REF!,[0]!UV_Include),1),1),1)*#REF!</definedName>
    <definedName name="UV_Sturges_Beta_Expected" comment="Sturges Method histogram chart: Beta overlay line (expected counts = bin probability × n)">OFFSET(#REF!,1,0,MAX(IFERROR(Number_Of_Histogram_Bins([0]!UV_Data,#REF!,[0]!UV_Include),1),1),1)*#REF!</definedName>
    <definedName name="UV_Sturges_BetaPERT_Expected" comment="Sturges Method histogram chart: BetaPERT overlay line (expected counts = bin probability × n)">OFFSET(#REF!,1,0,MAX(IFERROR(Number_Of_Histogram_Bins([0]!UV_Data,#REF!,[0]!UV_Include),1),1),1)*#REF!</definedName>
    <definedName name="UV_Sturges_Counts" comment="Sturges Method histogram chart: bar values (bin counts)">OFFSET(#REF!,1,0,MAX(IFERROR(Number_Of_Histogram_Bins([0]!UV_Data,#REF!,[0]!UV_Include),1),1),1)</definedName>
    <definedName name="UV_Sturges_Edges">OFFSET(#REF!,1,0,MAX(IFERROR(num_histogram_bins([0]!UV_Data,#REF!,[0]!UV_Include),1),1),1)</definedName>
    <definedName name="UV_Sturges_Exponential_Expected" comment="Sturges Method histogram chart: Exponential overlay line (expected counts = bin probability × n)">OFFSET(#REF!,1,0,MAX(IFERROR(Number_Of_Histogram_Bins([0]!UV_Data,#REF!,[0]!UV_Include),1),1),1)*#REF!</definedName>
    <definedName name="UV_Sturges_Gamma_Expected" comment="Sturges Method histogram chart: Gamma overlay line (expected counts = bin probability × n)">OFFSET(#REF!,1,0,MAX(IFERROR(Number_Of_Histogram_Bins([0]!UV_Data,#REF!,[0]!UV_Include),1),1),1)*#REF!</definedName>
    <definedName name="UV_Sturges_Lognormal_Expected" comment="Sturges Method histogram chart: Lognormal overlay line (expected counts = bin probability × n)">OFFSET(#REF!,1,0,MAX(IFERROR(Number_Of_Histogram_Bins([0]!UV_Data,#REF!,[0]!UV_Include),1),1),1)*#REF!</definedName>
    <definedName name="UV_Sturges_Normal_Expected" comment="Sturges Method histogram chart: Normal overlay line (expected counts = bin probability × n)">OFFSET(#REF!,1,0,MAX(IFERROR(Number_Of_Histogram_Bins([0]!UV_Data,#REF!,[0]!UV_Include),1),1),1)*#REF!</definedName>
    <definedName name="UV_Sturges_Triangular_Expected" comment="Sturges Method histogram chart: Triangular overlay line (expected counts = bin probability × n)">OFFSET(#REF!,1,0,MAX(IFERROR(Number_Of_Histogram_Bins([0]!UV_Data,#REF!,[0]!UV_Include),1),1),1)*#REF!</definedName>
    <definedName name="UV_Sturges_Upper_Edges" comment="Sturges Method histogram chart: category (X) axis bin edges">OFFSET(#REF!,1,0,MAX(IFERROR(Number_Of_Histogram_Bins([0]!UV_Data,#REF!,[0]!UV_Include),1),1),1)</definedName>
    <definedName name="UV_Sturges_Weibull_Expected" comment="Sturges Method histogram chart: Weibull overlay line (expected counts = bin probability × n)">OFFSET(#REF!,1,0,MAX(IFERROR(Number_Of_Histogram_Bins([0]!UV_Data,#REF!,[0]!UV_Include),1),1),1)*#REF!</definedName>
    <definedName name="VIF" comment="Variance Inflation Factor per predictor = 1/(1−R²ⱼ). VIF = 1: no collinearity. VIF &gt; 5: review. VIF &gt; 10: problem.">_xlfn.LAMBDA(_xlpm.X_s,_xlop.Allow_Intercept,_xlop.Include,_xlfn.LET(_xlpm.filt_arg,IF(_xlfn.ISOMITTED(_xlpm.Include),TRUE,_xlpm.Include),_xlpm.k,COLUMNS(_xlpm.X_s),IF(_xlpm.k=1,1,_xlfn.LET(_xlpm.col_idx,_xlfn.SEQUENCE(1,_xlpm.k),_xlpm.R2_vec,_xlfn.MAKEARRAY(_xlpm.k,1,_xlfn.LAMBDA(_xlpm.j,_xlpm._,R_Squared(_xlfn.CHOOSECOLS(_xlpm.X_s,_xlfn._xlws.FILTER(_xlpm.col_idx,_xlpm.col_idx&lt;&gt;_xlpm.j)),_xlfn.CHOOSECOLS(_xlpm.X_s,_xlpm.j),TRUE,_xlpm.filt_arg))),1/(1-_xlpm.R2_vec)))))</definedName>
    <definedName name="X_s" localSheetId="5">_xlfn.LAMBDA(_xlfn.LET(_xlpm.n_c,COLUMNS(Regression!Source_Data),_xlpm.rl,_xlfn.TAKE(Regression!Spec_Role,_xlpm.n_c),_xlpm.inc,_xlfn.TAKE(Regression!Spec_Include,_xlpm.n_c),_xlpm.typ,_xlfn.TAKE(Regression!Spec_Type,_xlpm.n_c),_xlpm.refs,_xlfn.TAKE(Regression!Spec_Reference,_xlpm.n_c),_xlpm.seed,_xlfn.SEQUENCE(ROWS(Regression!Source_Data),1,0,0),_xlpm.built,_xlfn.REDUCE(_xlpm.seed,_xlfn.SEQUENCE(_xlpm.n_c),_xlfn.LAMBDA(_xlpm.acc,_xlpm.j,IF(OR(INDEX(_xlpm.rl,_xlpm.j)&lt;&gt;"Predictor (x)",INDEX(_xlpm.inc,_xlpm.j)&lt;&gt;TRUE),_xlpm.acc,_xlfn.LET(_xlpm.col,INDEX(Regression!Source_Data,0,_xlpm.j),IF(INDEX(_xlpm.typ,_xlpm.j)&lt;&gt;"Categorical",_xlfn.HSTACK(_xlpm.acc,_xlpm.col),_xlfn.LET(_xlpm.d,INDEX(_xlpm.refs,_xlpm.j),_xlpm.r,IF(LEN(_xlpm.d&amp;"")=0,"",_xlpm.d),_xlpm.lv,Dummy_Levels(_xlpm.col,_xlpm.r,Regression!Sample_Include()),IF(ISNA(INDEX(_xlpm.lv,1,1)),_xlpm.acc,_xlfn.HSTACK(_xlpm.acc,--(_xlpm.col=_xlpm.lv))))))))),_xlfn.DROP(_xlpm.built,,1)))</definedName>
    <definedName name="X_s_Within" localSheetId="5">_xlfn.LAMBDA(_xlfn.LET(_xlpm.n_c,COLUMNS(Regression!Source_Data),_xlpm.fe_active,SUMPRODUCT(N(_xlfn.TAKE(Regression!Spec_Role,_xlpm.n_c)="Fixed Effects"))&gt;0,IF(NOT(_xlpm.fe_active),Regression!X_s(),_xlfn.LET(_xlpm.fe,Regression!Fixed_Effects_Column(),_xlpm.inc,Regression!Sample_Include(),_xlpm.xs,Regression!X_s(),_xlpm.n_x,COLUMNS(_xlpm.xs),_xlpm.seed,_xlfn.SEQUENCE(ROWS(_xlpm.xs),1,0,0),_xlpm.built,_xlfn.REDUCE(_xlpm.seed,_xlfn.SEQUENCE(_xlpm.n_x),_xlfn.LAMBDA(_xlpm.acc,_xlpm.j,_xlfn.HSTACK(_xlpm.acc,Demean_By(INDEX(_xlpm.xs,0,_xlpm.j),_xlpm.fe,_xlpm.inc)))),_xlfn.DROP(_xlpm.built,,1)))))</definedName>
    <definedName name="Y_Ranked" comment="Filtered Y values sorted from low to high. Paired with Normal_Scores to build a Y-variable Q-Q plot.">_xlfn.LAMBDA(_xlpm.Y,_xlop.Include,_xlfn._xlws.SORT(_xlfn._xlws.FILTER(_xlpm.Y,IF(_xlfn.ISOMITTED(_xlpm.Include),TRUE,_xlpm.Include))))</definedName>
    <definedName name="y_s" localSheetId="5">_xlfn.LAMBDA(_xlfn.LET(_xlpm.n_c,COLUMNS(Regression!Source_Data),_xlpm.fe_active,SUMPRODUCT(N(_xlfn.TAKE(Regression!Spec_Role,_xlpm.n_c)="Fixed Effects"))&gt;0,IF(NOT(_xlpm.fe_active),Regression!Response_Column(),Demean_By(Regression!Response_Column(),Regression!Fixed_Effects_Column(),Regression!Sample_Include()))))</definedName>
    <definedName name="Zero_Predictors_Selected" localSheetId="5">_xlfn.LAMBDA(IFERROR(COLUMNS(Regression!X_s()),0)=0)</definedName>
  </definedNames>
  <calcPr calcId="191029" calcMode="autoNoTable"/>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AE21" i="7" l="1" a="1"/>
  <c r="AD21" i="7" a="1"/>
  <c r="AC21" i="7" a="1"/>
  <c r="AB21" i="7" a="1"/>
  <c r="AA21" i="7" a="1"/>
  <c r="Z21" i="7" a="1"/>
  <c r="Y21" i="7" a="1"/>
  <c r="X21" i="7" a="1"/>
  <c r="AI19" i="7" a="1"/>
  <c r="AG19" i="7" a="1"/>
  <c r="Z17" i="7" a="1"/>
  <c r="Y17" i="7" a="1"/>
  <c r="AA16" i="7" a="1"/>
  <c r="Z16" i="7" a="1"/>
  <c r="Y16" i="7" a="1"/>
  <c r="AC15" i="7" a="1"/>
  <c r="AB15" i="7" a="1"/>
  <c r="AA15" i="7" a="1"/>
  <c r="Z15" i="7" a="1"/>
  <c r="Y15" i="7" a="1"/>
  <c r="L15" i="7"/>
  <c r="K15" i="7"/>
  <c r="J15" i="7"/>
  <c r="L14" i="7"/>
  <c r="K14" i="7"/>
  <c r="J14" i="7"/>
  <c r="L13" i="7"/>
  <c r="K13" i="7"/>
  <c r="J13" i="7"/>
  <c r="AH12" i="7"/>
  <c r="AB12" i="7" a="1"/>
  <c r="L12" i="7"/>
  <c r="K12" i="7"/>
  <c r="J12" i="7"/>
  <c r="AB11" i="7" a="1"/>
  <c r="L11" i="7"/>
  <c r="K11" i="7"/>
  <c r="J11" i="7"/>
  <c r="AB10" i="7" a="1"/>
  <c r="L10" i="7"/>
  <c r="K10" i="7"/>
  <c r="J10" i="7"/>
  <c r="AB9" i="7" a="1"/>
  <c r="L9" i="7"/>
  <c r="K9" i="7"/>
  <c r="J9" i="7"/>
  <c r="AB8" i="7" a="1"/>
  <c r="Y8" i="7" a="1"/>
  <c r="L8" i="7"/>
  <c r="K8" i="7"/>
  <c r="J8" i="7"/>
  <c r="AB7" i="7" a="1"/>
  <c r="Y7" i="7" a="1"/>
  <c r="L7" i="7"/>
  <c r="K7" i="7"/>
  <c r="J7" i="7"/>
  <c r="AB6" i="7" a="1"/>
  <c r="Y6" i="7" a="1"/>
  <c r="L6" i="7"/>
  <c r="K6" i="7"/>
  <c r="J6" i="7"/>
  <c r="AB5" i="7" a="1"/>
  <c r="Y5" i="7" a="1"/>
  <c r="L5" i="7"/>
  <c r="K5" i="7"/>
  <c r="J5" i="7"/>
  <c r="AB4" i="7" a="1"/>
  <c r="Y4" i="7" a="1"/>
  <c r="L4" i="7"/>
  <c r="K4" i="7"/>
  <c r="J4" i="7"/>
  <c r="A4" i="7" a="1"/>
  <c r="AU3" i="7" a="1"/>
  <c r="AT3" i="7" a="1"/>
  <c r="AS3" i="7" a="1"/>
  <c r="AR3" i="7" a="1"/>
  <c r="AQ3" i="7" a="1"/>
  <c r="AP3" i="7" a="1"/>
  <c r="AO3" i="7" a="1"/>
  <c r="AN3" i="7" a="1"/>
  <c r="AM3" i="7" a="1"/>
  <c r="AL3" i="7" a="1"/>
  <c r="AK3" i="7" a="1"/>
  <c r="V3" i="7" a="1"/>
  <c r="U3" i="7" a="1"/>
  <c r="T3" i="7" a="1"/>
  <c r="S3" i="7" a="1"/>
  <c r="R3" i="7" a="1"/>
  <c r="Q3" i="7" a="1"/>
  <c r="P3" i="7" a="1"/>
  <c r="AU2" i="7" a="1"/>
  <c r="AT2" i="7" a="1"/>
  <c r="AS2" i="7" a="1"/>
  <c r="AR2" i="7" a="1"/>
  <c r="AQ2" i="7" a="1"/>
  <c r="AP2" i="7" a="1"/>
  <c r="AO2" i="7" a="1"/>
  <c r="AN2" i="7" a="1"/>
  <c r="AM2" i="7" a="1"/>
  <c r="AL2" i="7" a="1"/>
  <c r="AC2" i="7" a="1"/>
  <c r="M2" i="7" a="1"/>
  <c r="L2" i="7" a="1"/>
  <c r="K2" i="7" a="1"/>
  <c r="J2" i="7" a="1"/>
  <c r="I2" i="7" a="1"/>
  <c r="E1" i="7" a="1"/>
  <c r="B1" i="7" a="1"/>
  <c r="K52" i="13"/>
  <c r="K51" i="13"/>
  <c r="K50" i="13"/>
  <c r="K49" i="13"/>
  <c r="K48" i="13"/>
  <c r="K47" i="13"/>
  <c r="K46" i="13"/>
  <c r="K45" i="13"/>
  <c r="K44" i="13"/>
  <c r="K43" i="13"/>
  <c r="K42" i="13"/>
  <c r="K41" i="13"/>
  <c r="K40" i="13"/>
  <c r="K39" i="13"/>
  <c r="K38" i="13"/>
  <c r="K37" i="13"/>
  <c r="K36" i="13"/>
  <c r="K35" i="13"/>
  <c r="K34" i="13"/>
  <c r="K33" i="13"/>
  <c r="K32" i="13"/>
  <c r="K31" i="13"/>
  <c r="K30" i="13"/>
  <c r="K29" i="13"/>
  <c r="K28" i="13"/>
  <c r="K27" i="13"/>
  <c r="K26" i="13"/>
  <c r="K25" i="13"/>
  <c r="K24" i="13"/>
  <c r="K23" i="13"/>
  <c r="K22" i="13"/>
  <c r="K21" i="13"/>
  <c r="K20" i="13"/>
  <c r="K19" i="13"/>
  <c r="K18" i="13"/>
  <c r="K17" i="13"/>
  <c r="K16" i="13"/>
  <c r="K15" i="13"/>
  <c r="K14" i="13"/>
  <c r="K13" i="13"/>
  <c r="K12" i="13"/>
  <c r="K11" i="13"/>
  <c r="K10" i="13"/>
  <c r="K9" i="13"/>
  <c r="K8" i="13"/>
  <c r="K7" i="13"/>
  <c r="K6" i="13"/>
  <c r="K5" i="13"/>
  <c r="K4" i="13"/>
  <c r="K3" i="13"/>
  <c r="K2" i="13"/>
  <c r="W2939" i="2"/>
  <c r="W2938" i="2"/>
  <c r="W2937" i="2"/>
  <c r="W2936" i="2"/>
  <c r="W2935" i="2"/>
  <c r="W2934" i="2"/>
  <c r="W2933" i="2"/>
  <c r="W2932" i="2"/>
  <c r="W2931" i="2"/>
  <c r="W2930" i="2"/>
  <c r="W2929" i="2"/>
  <c r="W2928" i="2"/>
  <c r="W2927" i="2"/>
  <c r="W2926" i="2"/>
  <c r="W2925" i="2"/>
  <c r="W2924" i="2"/>
  <c r="W2923" i="2"/>
  <c r="W2922" i="2"/>
  <c r="W2921" i="2"/>
  <c r="W2920" i="2"/>
  <c r="W2919" i="2"/>
  <c r="W2918" i="2"/>
  <c r="W2917" i="2"/>
  <c r="W2916" i="2"/>
  <c r="W2915" i="2"/>
  <c r="W2914" i="2"/>
  <c r="W2913" i="2"/>
  <c r="W2912" i="2"/>
  <c r="W2911" i="2"/>
  <c r="W2910" i="2"/>
  <c r="W2909" i="2"/>
  <c r="W2908" i="2"/>
  <c r="W2907" i="2"/>
  <c r="W2906" i="2"/>
  <c r="W2905" i="2"/>
  <c r="W2904" i="2"/>
  <c r="W2903" i="2"/>
  <c r="W2902" i="2"/>
  <c r="W2901" i="2"/>
  <c r="W2900" i="2"/>
  <c r="W2899" i="2"/>
  <c r="W2898" i="2"/>
  <c r="W2897" i="2"/>
  <c r="W2896" i="2"/>
  <c r="W2895" i="2"/>
  <c r="W2894" i="2"/>
  <c r="W2893" i="2"/>
  <c r="W2892" i="2"/>
  <c r="W2891" i="2"/>
  <c r="W2890" i="2"/>
  <c r="W2889" i="2"/>
  <c r="W2888" i="2"/>
  <c r="W2887" i="2"/>
  <c r="W2886" i="2"/>
  <c r="W2885" i="2"/>
  <c r="W2884" i="2"/>
  <c r="W2883" i="2"/>
  <c r="W2882" i="2"/>
  <c r="W2881" i="2"/>
  <c r="W2880" i="2"/>
  <c r="W2879" i="2"/>
  <c r="W2878" i="2"/>
  <c r="W2877" i="2"/>
  <c r="W2876" i="2"/>
  <c r="W2875" i="2"/>
  <c r="W2874" i="2"/>
  <c r="W2873" i="2"/>
  <c r="W2872" i="2"/>
  <c r="W2871" i="2"/>
  <c r="W2870" i="2"/>
  <c r="W2869" i="2"/>
  <c r="W2868" i="2"/>
  <c r="W2867" i="2"/>
  <c r="W2866" i="2"/>
  <c r="W2865" i="2"/>
  <c r="W2864" i="2"/>
  <c r="W2863" i="2"/>
  <c r="W2862" i="2"/>
  <c r="W2861" i="2"/>
  <c r="W2860" i="2"/>
  <c r="W2859" i="2"/>
  <c r="W2858" i="2"/>
  <c r="W2857" i="2"/>
  <c r="W2856" i="2"/>
  <c r="W2855" i="2"/>
  <c r="W2854" i="2"/>
  <c r="W2853" i="2"/>
  <c r="W2852" i="2"/>
  <c r="W2851" i="2"/>
  <c r="W2850" i="2"/>
  <c r="W2849" i="2"/>
  <c r="W2848" i="2"/>
  <c r="W2847" i="2"/>
  <c r="W2846" i="2"/>
  <c r="W2845" i="2"/>
  <c r="W2844" i="2"/>
  <c r="W2843" i="2"/>
  <c r="W2842" i="2"/>
  <c r="W2841" i="2"/>
  <c r="W2840" i="2"/>
  <c r="W2839" i="2"/>
  <c r="W2838" i="2"/>
  <c r="W2837" i="2"/>
  <c r="W2836" i="2"/>
  <c r="W2835" i="2"/>
  <c r="W2834" i="2"/>
  <c r="W2833" i="2"/>
  <c r="W2832" i="2"/>
  <c r="W2831" i="2"/>
  <c r="W2830" i="2"/>
  <c r="W2829" i="2"/>
  <c r="W2828" i="2"/>
  <c r="W2827" i="2"/>
  <c r="W2826" i="2"/>
  <c r="W2825" i="2"/>
  <c r="W2824" i="2"/>
  <c r="W2823" i="2"/>
  <c r="W2822" i="2"/>
  <c r="W2821" i="2"/>
  <c r="W2820" i="2"/>
  <c r="W2819" i="2"/>
  <c r="W2818" i="2"/>
  <c r="W2817" i="2"/>
  <c r="W2816" i="2"/>
  <c r="W2815" i="2"/>
  <c r="W2814" i="2"/>
  <c r="W2813" i="2"/>
  <c r="W2812" i="2"/>
  <c r="W2811" i="2"/>
  <c r="W2810" i="2"/>
  <c r="W2809" i="2"/>
  <c r="W2808" i="2"/>
  <c r="W2807" i="2"/>
  <c r="W2806" i="2"/>
  <c r="W2805" i="2"/>
  <c r="W2804" i="2"/>
  <c r="W2803" i="2"/>
  <c r="W2802" i="2"/>
  <c r="W2801" i="2"/>
  <c r="W2800" i="2"/>
  <c r="W2799" i="2"/>
  <c r="W2798" i="2"/>
  <c r="W2797" i="2"/>
  <c r="W2796" i="2"/>
  <c r="W2795" i="2"/>
  <c r="W2794" i="2"/>
  <c r="W2793" i="2"/>
  <c r="W2792" i="2"/>
  <c r="W2791" i="2"/>
  <c r="W2790" i="2"/>
  <c r="W2789" i="2"/>
  <c r="W2788" i="2"/>
  <c r="W2787" i="2"/>
  <c r="W2786" i="2"/>
  <c r="W2785" i="2"/>
  <c r="W2784" i="2"/>
  <c r="W2783" i="2"/>
  <c r="W2782" i="2"/>
  <c r="W2781" i="2"/>
  <c r="W2780" i="2"/>
  <c r="W2779" i="2"/>
  <c r="W2778" i="2"/>
  <c r="W2777" i="2"/>
  <c r="W2776" i="2"/>
  <c r="W2775" i="2"/>
  <c r="W2774" i="2"/>
  <c r="W2773" i="2"/>
  <c r="W2772" i="2"/>
  <c r="W2771" i="2"/>
  <c r="W2770" i="2"/>
  <c r="W2769" i="2"/>
  <c r="W2768" i="2"/>
  <c r="W2767" i="2"/>
  <c r="W2766" i="2"/>
  <c r="W2765" i="2"/>
  <c r="W2764" i="2"/>
  <c r="W2763" i="2"/>
  <c r="W2762" i="2"/>
  <c r="W2761" i="2"/>
  <c r="W2760" i="2"/>
  <c r="W2759" i="2"/>
  <c r="W2758" i="2"/>
  <c r="W2757" i="2"/>
  <c r="W2756" i="2"/>
  <c r="W2755" i="2"/>
  <c r="W2754" i="2"/>
  <c r="W2753" i="2"/>
  <c r="W2752" i="2"/>
  <c r="W2751" i="2"/>
  <c r="W2750" i="2"/>
  <c r="W2749" i="2"/>
  <c r="W2748" i="2"/>
  <c r="W2747" i="2"/>
  <c r="W2746" i="2"/>
  <c r="W2745" i="2"/>
  <c r="W2744" i="2"/>
  <c r="W2743" i="2"/>
  <c r="W2742" i="2"/>
  <c r="W2741" i="2"/>
  <c r="W2740" i="2"/>
  <c r="W2739" i="2"/>
  <c r="W2738" i="2"/>
  <c r="W2737" i="2"/>
  <c r="W2736" i="2"/>
  <c r="W2735" i="2"/>
  <c r="W2734" i="2"/>
  <c r="W2733" i="2"/>
  <c r="W2732" i="2"/>
  <c r="W2731" i="2"/>
  <c r="W2730" i="2"/>
  <c r="W2729" i="2"/>
  <c r="W2728" i="2"/>
  <c r="W2727" i="2"/>
  <c r="W2726" i="2"/>
  <c r="W2725" i="2"/>
  <c r="W2724" i="2"/>
  <c r="W2723" i="2"/>
  <c r="W2722" i="2"/>
  <c r="W2721" i="2"/>
  <c r="W2720" i="2"/>
  <c r="W2719" i="2"/>
  <c r="W2718" i="2"/>
  <c r="W2717" i="2"/>
  <c r="W2716" i="2"/>
  <c r="W2715" i="2"/>
  <c r="W2714" i="2"/>
  <c r="W2713" i="2"/>
  <c r="W2712" i="2"/>
  <c r="W2711" i="2"/>
  <c r="W2710" i="2"/>
  <c r="W2709" i="2"/>
  <c r="W2708" i="2"/>
  <c r="W2707" i="2"/>
  <c r="W2706" i="2"/>
  <c r="W2705" i="2"/>
  <c r="W2704" i="2"/>
  <c r="W2703" i="2"/>
  <c r="W2702" i="2"/>
  <c r="W2701" i="2"/>
  <c r="W2700" i="2"/>
  <c r="W2699" i="2"/>
  <c r="W2698" i="2"/>
  <c r="W2697" i="2"/>
  <c r="W2696" i="2"/>
  <c r="W2695" i="2"/>
  <c r="W2694" i="2"/>
  <c r="W2693" i="2"/>
  <c r="W2692" i="2"/>
  <c r="W2691" i="2"/>
  <c r="W2690" i="2"/>
  <c r="W2689" i="2"/>
  <c r="W2688" i="2"/>
  <c r="W2687" i="2"/>
  <c r="W2686" i="2"/>
  <c r="W2685" i="2"/>
  <c r="W2684" i="2"/>
  <c r="W2683" i="2"/>
  <c r="W2682" i="2"/>
  <c r="W2681" i="2"/>
  <c r="W2680" i="2"/>
  <c r="W2679" i="2"/>
  <c r="W2678" i="2"/>
  <c r="W2677" i="2"/>
  <c r="W2676" i="2"/>
  <c r="W2675" i="2"/>
  <c r="W2674" i="2"/>
  <c r="W2673" i="2"/>
  <c r="W2672" i="2"/>
  <c r="W2671" i="2"/>
  <c r="W2670" i="2"/>
  <c r="W2669" i="2"/>
  <c r="W2668" i="2"/>
  <c r="W2667" i="2"/>
  <c r="W2666" i="2"/>
  <c r="W2665" i="2"/>
  <c r="W2664" i="2"/>
  <c r="W2663" i="2"/>
  <c r="W2662" i="2"/>
  <c r="W2661" i="2"/>
  <c r="W2660" i="2"/>
  <c r="W2659" i="2"/>
  <c r="W2658" i="2"/>
  <c r="W2657" i="2"/>
  <c r="W2656" i="2"/>
  <c r="W2655" i="2"/>
  <c r="W2654" i="2"/>
  <c r="W2653" i="2"/>
  <c r="W2652" i="2"/>
  <c r="W2651" i="2"/>
  <c r="W2650" i="2"/>
  <c r="W2649" i="2"/>
  <c r="W2648" i="2"/>
  <c r="W2647" i="2"/>
  <c r="W2646" i="2"/>
  <c r="W2645" i="2"/>
  <c r="W2644" i="2"/>
  <c r="W2643" i="2"/>
  <c r="W2642" i="2"/>
  <c r="W2641" i="2"/>
  <c r="W2640" i="2"/>
  <c r="W2639" i="2"/>
  <c r="W2638" i="2"/>
  <c r="W2637" i="2"/>
  <c r="W2636" i="2"/>
  <c r="W2635" i="2"/>
  <c r="W2634" i="2"/>
  <c r="W2633" i="2"/>
  <c r="W2632" i="2"/>
  <c r="W2631" i="2"/>
  <c r="W2630" i="2"/>
  <c r="W2629" i="2"/>
  <c r="W2628" i="2"/>
  <c r="W2627" i="2"/>
  <c r="W2626" i="2"/>
  <c r="W2625" i="2"/>
  <c r="W2624" i="2"/>
  <c r="W2623" i="2"/>
  <c r="W2622" i="2"/>
  <c r="W2621" i="2"/>
  <c r="W2620" i="2"/>
  <c r="W2619" i="2"/>
  <c r="W2618" i="2"/>
  <c r="W2617" i="2"/>
  <c r="W2616" i="2"/>
  <c r="W2615" i="2"/>
  <c r="W2614" i="2"/>
  <c r="W2613" i="2"/>
  <c r="W2612" i="2"/>
  <c r="W2611" i="2"/>
  <c r="W2610" i="2"/>
  <c r="W2609" i="2"/>
  <c r="W2608" i="2"/>
  <c r="W2607" i="2"/>
  <c r="W2606" i="2"/>
  <c r="W2605" i="2"/>
  <c r="W2604" i="2"/>
  <c r="W2603" i="2"/>
  <c r="W2602" i="2"/>
  <c r="W2601" i="2"/>
  <c r="W2600" i="2"/>
  <c r="W2599" i="2"/>
  <c r="W2598" i="2"/>
  <c r="W2597" i="2"/>
  <c r="W2596" i="2"/>
  <c r="W2595" i="2"/>
  <c r="W2594" i="2"/>
  <c r="W2593" i="2"/>
  <c r="W2592" i="2"/>
  <c r="W2591" i="2"/>
  <c r="W2590" i="2"/>
  <c r="W2589" i="2"/>
  <c r="W2588" i="2"/>
  <c r="W2587" i="2"/>
  <c r="W2586" i="2"/>
  <c r="W2585" i="2"/>
  <c r="W2584" i="2"/>
  <c r="W2583" i="2"/>
  <c r="W2582" i="2"/>
  <c r="W2581" i="2"/>
  <c r="W2580" i="2"/>
  <c r="W2579" i="2"/>
  <c r="W2578" i="2"/>
  <c r="W2577" i="2"/>
  <c r="W2576" i="2"/>
  <c r="W2575" i="2"/>
  <c r="W2574" i="2"/>
  <c r="W2573" i="2"/>
  <c r="W2572" i="2"/>
  <c r="W2571" i="2"/>
  <c r="W2570" i="2"/>
  <c r="W2569" i="2"/>
  <c r="W2568" i="2"/>
  <c r="W2567" i="2"/>
  <c r="W2566" i="2"/>
  <c r="W2565" i="2"/>
  <c r="W2564" i="2"/>
  <c r="W2563" i="2"/>
  <c r="W2562" i="2"/>
  <c r="W2561" i="2"/>
  <c r="W2560" i="2"/>
  <c r="W2559" i="2"/>
  <c r="W2558" i="2"/>
  <c r="W2557" i="2"/>
  <c r="W2556" i="2"/>
  <c r="W2555" i="2"/>
  <c r="W2554" i="2"/>
  <c r="W2553" i="2"/>
  <c r="W2552" i="2"/>
  <c r="W2551" i="2"/>
  <c r="W2550" i="2"/>
  <c r="W2549" i="2"/>
  <c r="W2548" i="2"/>
  <c r="W2547" i="2"/>
  <c r="W2546" i="2"/>
  <c r="W2545" i="2"/>
  <c r="W2544" i="2"/>
  <c r="W2543" i="2"/>
  <c r="W2542" i="2"/>
  <c r="W2541" i="2"/>
  <c r="W2540" i="2"/>
  <c r="W2539" i="2"/>
  <c r="W2538" i="2"/>
  <c r="W2537" i="2"/>
  <c r="W2536" i="2"/>
  <c r="W2535" i="2"/>
  <c r="W2534" i="2"/>
  <c r="W2533" i="2"/>
  <c r="W2532" i="2"/>
  <c r="W2531" i="2"/>
  <c r="W2530" i="2"/>
  <c r="W2529" i="2"/>
  <c r="W2528" i="2"/>
  <c r="W2527" i="2"/>
  <c r="W2526" i="2"/>
  <c r="W2525" i="2"/>
  <c r="W2524" i="2"/>
  <c r="W2523" i="2"/>
  <c r="W2522" i="2"/>
  <c r="W2521" i="2"/>
  <c r="W2520" i="2"/>
  <c r="W2519" i="2"/>
  <c r="W2518" i="2"/>
  <c r="W2517" i="2"/>
  <c r="W2516" i="2"/>
  <c r="W2515" i="2"/>
  <c r="W2514" i="2"/>
  <c r="W2513" i="2"/>
  <c r="W2512" i="2"/>
  <c r="W2511" i="2"/>
  <c r="W2510" i="2"/>
  <c r="W2509" i="2"/>
  <c r="W2508" i="2"/>
  <c r="W2507" i="2"/>
  <c r="W2506" i="2"/>
  <c r="W2505" i="2"/>
  <c r="W2504" i="2"/>
  <c r="W2503" i="2"/>
  <c r="W2502" i="2"/>
  <c r="W2501" i="2"/>
  <c r="W2500" i="2"/>
  <c r="W2499" i="2"/>
  <c r="W2498" i="2"/>
  <c r="W2497" i="2"/>
  <c r="W2496" i="2"/>
  <c r="W2495" i="2"/>
  <c r="W2494" i="2"/>
  <c r="W2493" i="2"/>
  <c r="W2492" i="2"/>
  <c r="W2491" i="2"/>
  <c r="W2490" i="2"/>
  <c r="W2489" i="2"/>
  <c r="W2488" i="2"/>
  <c r="W2487" i="2"/>
  <c r="W2486" i="2"/>
  <c r="W2485" i="2"/>
  <c r="W2484" i="2"/>
  <c r="W2483" i="2"/>
  <c r="W2482" i="2"/>
  <c r="W2481" i="2"/>
  <c r="W2480" i="2"/>
  <c r="W2479" i="2"/>
  <c r="W2478" i="2"/>
  <c r="W2477" i="2"/>
  <c r="W2476" i="2"/>
  <c r="W2475" i="2"/>
  <c r="W2474" i="2"/>
  <c r="W2473" i="2"/>
  <c r="W2472" i="2"/>
  <c r="W2471" i="2"/>
  <c r="W2470" i="2"/>
  <c r="W2469" i="2"/>
  <c r="W2468" i="2"/>
  <c r="W2467" i="2"/>
  <c r="W2466" i="2"/>
  <c r="W2465" i="2"/>
  <c r="W2464" i="2"/>
  <c r="W2463" i="2"/>
  <c r="W2462" i="2"/>
  <c r="W2461" i="2"/>
  <c r="W2460" i="2"/>
  <c r="W2459" i="2"/>
  <c r="W2458" i="2"/>
  <c r="W2457" i="2"/>
  <c r="W2456" i="2"/>
  <c r="W2455" i="2"/>
  <c r="W2454" i="2"/>
  <c r="W2453" i="2"/>
  <c r="W2452" i="2"/>
  <c r="W2451" i="2"/>
  <c r="W2450" i="2"/>
  <c r="W2449" i="2"/>
  <c r="W2448" i="2"/>
  <c r="W2447" i="2"/>
  <c r="W2446" i="2"/>
  <c r="W2445" i="2"/>
  <c r="W2444" i="2"/>
  <c r="W2443" i="2"/>
  <c r="W2442" i="2"/>
  <c r="W2441" i="2"/>
  <c r="W2440" i="2"/>
  <c r="W2439" i="2"/>
  <c r="W2438" i="2"/>
  <c r="W2437" i="2"/>
  <c r="W2436" i="2"/>
  <c r="W2435" i="2"/>
  <c r="W2434" i="2"/>
  <c r="W2433" i="2"/>
  <c r="W2432" i="2"/>
  <c r="W2431" i="2"/>
  <c r="W2430" i="2"/>
  <c r="W2429" i="2"/>
  <c r="W2428" i="2"/>
  <c r="W2427" i="2"/>
  <c r="W2426" i="2"/>
  <c r="W2425" i="2"/>
  <c r="W2424" i="2"/>
  <c r="W2423" i="2"/>
  <c r="W2422" i="2"/>
  <c r="W2421" i="2"/>
  <c r="W2420" i="2"/>
  <c r="W2419" i="2"/>
  <c r="W2418" i="2"/>
  <c r="W2417" i="2"/>
  <c r="W2416" i="2"/>
  <c r="W2415" i="2"/>
  <c r="W2414" i="2"/>
  <c r="W2413" i="2"/>
  <c r="W2412" i="2"/>
  <c r="W2411" i="2"/>
  <c r="W2410" i="2"/>
  <c r="W2409" i="2"/>
  <c r="W2408" i="2"/>
  <c r="W2407" i="2"/>
  <c r="W2406" i="2"/>
  <c r="W2405" i="2"/>
  <c r="W2404" i="2"/>
  <c r="W2403" i="2"/>
  <c r="W2402" i="2"/>
  <c r="W2401" i="2"/>
  <c r="W2400" i="2"/>
  <c r="W2399" i="2"/>
  <c r="W2398" i="2"/>
  <c r="W2397" i="2"/>
  <c r="W2396" i="2"/>
  <c r="W2395" i="2"/>
  <c r="W2394" i="2"/>
  <c r="W2393" i="2"/>
  <c r="W2392" i="2"/>
  <c r="W2391" i="2"/>
  <c r="W2390" i="2"/>
  <c r="W2389" i="2"/>
  <c r="W2388" i="2"/>
  <c r="W2387" i="2"/>
  <c r="W2386" i="2"/>
  <c r="W2385" i="2"/>
  <c r="W2384" i="2"/>
  <c r="W2383" i="2"/>
  <c r="W2382" i="2"/>
  <c r="W2381" i="2"/>
  <c r="W2380" i="2"/>
  <c r="W2379" i="2"/>
  <c r="W2378" i="2"/>
  <c r="W2377" i="2"/>
  <c r="W2376" i="2"/>
  <c r="W2375" i="2"/>
  <c r="W2374" i="2"/>
  <c r="W2373" i="2"/>
  <c r="W2372" i="2"/>
  <c r="W2371" i="2"/>
  <c r="W2370" i="2"/>
  <c r="W2369" i="2"/>
  <c r="W2368" i="2"/>
  <c r="W2367" i="2"/>
  <c r="W2366" i="2"/>
  <c r="W2365" i="2"/>
  <c r="W2364" i="2"/>
  <c r="W2363" i="2"/>
  <c r="W2362" i="2"/>
  <c r="W2361" i="2"/>
  <c r="W2360" i="2"/>
  <c r="W2359" i="2"/>
  <c r="W2358" i="2"/>
  <c r="W2357" i="2"/>
  <c r="W2356" i="2"/>
  <c r="W2355" i="2"/>
  <c r="W2354" i="2"/>
  <c r="W2353" i="2"/>
  <c r="W2352" i="2"/>
  <c r="W2351" i="2"/>
  <c r="W2350" i="2"/>
  <c r="W2349" i="2"/>
  <c r="W2348" i="2"/>
  <c r="W2347" i="2"/>
  <c r="W2346" i="2"/>
  <c r="W2345" i="2"/>
  <c r="W2344" i="2"/>
  <c r="W2343" i="2"/>
  <c r="W2342" i="2"/>
  <c r="W2341" i="2"/>
  <c r="W2340" i="2"/>
  <c r="W2339" i="2"/>
  <c r="W2338" i="2"/>
  <c r="W2337" i="2"/>
  <c r="W2336" i="2"/>
  <c r="W2335" i="2"/>
  <c r="W2334" i="2"/>
  <c r="W2333" i="2"/>
  <c r="W2332" i="2"/>
  <c r="W2331" i="2"/>
  <c r="W2330" i="2"/>
  <c r="W2329" i="2"/>
  <c r="W2328" i="2"/>
  <c r="W2327" i="2"/>
  <c r="W2326" i="2"/>
  <c r="W2325" i="2"/>
  <c r="W2324" i="2"/>
  <c r="W2323" i="2"/>
  <c r="W2322" i="2"/>
  <c r="W2321" i="2"/>
  <c r="W2320" i="2"/>
  <c r="W2319" i="2"/>
  <c r="W2318" i="2"/>
  <c r="W2317" i="2"/>
  <c r="W2316" i="2"/>
  <c r="W2315" i="2"/>
  <c r="W2314" i="2"/>
  <c r="W2313" i="2"/>
  <c r="W2312" i="2"/>
  <c r="W2311" i="2"/>
  <c r="W2310" i="2"/>
  <c r="W2309" i="2"/>
  <c r="W2308" i="2"/>
  <c r="W2307" i="2"/>
  <c r="W2306" i="2"/>
  <c r="W2305" i="2"/>
  <c r="W2304" i="2"/>
  <c r="W2303" i="2"/>
  <c r="W2302" i="2"/>
  <c r="W2301" i="2"/>
  <c r="W2300" i="2"/>
  <c r="W2299" i="2"/>
  <c r="W2298" i="2"/>
  <c r="W2297" i="2"/>
  <c r="W2296" i="2"/>
  <c r="W2295" i="2"/>
  <c r="W2294" i="2"/>
  <c r="W2293" i="2"/>
  <c r="W2292" i="2"/>
  <c r="W2291" i="2"/>
  <c r="W2290" i="2"/>
  <c r="W2289" i="2"/>
  <c r="W2288" i="2"/>
  <c r="W2287" i="2"/>
  <c r="W2286" i="2"/>
  <c r="W2285" i="2"/>
  <c r="W2284" i="2"/>
  <c r="W2283" i="2"/>
  <c r="W2282" i="2"/>
  <c r="W2281" i="2"/>
  <c r="W2280" i="2"/>
  <c r="W2279" i="2"/>
  <c r="W2278" i="2"/>
  <c r="W2277" i="2"/>
  <c r="W2276" i="2"/>
  <c r="W2275" i="2"/>
  <c r="W2274" i="2"/>
  <c r="W2273" i="2"/>
  <c r="W2272" i="2"/>
  <c r="W2271" i="2"/>
  <c r="W2270" i="2"/>
  <c r="W2269" i="2"/>
  <c r="W2268" i="2"/>
  <c r="W2267" i="2"/>
  <c r="W2266" i="2"/>
  <c r="W2265" i="2"/>
  <c r="W2264" i="2"/>
  <c r="W2263" i="2"/>
  <c r="W2262" i="2"/>
  <c r="W2261" i="2"/>
  <c r="W2260" i="2"/>
  <c r="W2259" i="2"/>
  <c r="W2258" i="2"/>
  <c r="W2257" i="2"/>
  <c r="W2256" i="2"/>
  <c r="W2255" i="2"/>
  <c r="W2254" i="2"/>
  <c r="W2253" i="2"/>
  <c r="W2252" i="2"/>
  <c r="W2251" i="2"/>
  <c r="W2250" i="2"/>
  <c r="W2249" i="2"/>
  <c r="W2248" i="2"/>
  <c r="W2247" i="2"/>
  <c r="W2246" i="2"/>
  <c r="W2245" i="2"/>
  <c r="W2244" i="2"/>
  <c r="W2243" i="2"/>
  <c r="W2242" i="2"/>
  <c r="W2241" i="2"/>
  <c r="W2240" i="2"/>
  <c r="W2239" i="2"/>
  <c r="W2238" i="2"/>
  <c r="W2237" i="2"/>
  <c r="W2236" i="2"/>
  <c r="W2235" i="2"/>
  <c r="W2234" i="2"/>
  <c r="W2233" i="2"/>
  <c r="W2232" i="2"/>
  <c r="W2231" i="2"/>
  <c r="W2230" i="2"/>
  <c r="W2229" i="2"/>
  <c r="W2228" i="2"/>
  <c r="W2227" i="2"/>
  <c r="W2226" i="2"/>
  <c r="W2225" i="2"/>
  <c r="W2224" i="2"/>
  <c r="W2223" i="2"/>
  <c r="W2222" i="2"/>
  <c r="W2221" i="2"/>
  <c r="W2220" i="2"/>
  <c r="W2219" i="2"/>
  <c r="W2218" i="2"/>
  <c r="W2217" i="2"/>
  <c r="W2216" i="2"/>
  <c r="W2215" i="2"/>
  <c r="W2214" i="2"/>
  <c r="W2213" i="2"/>
  <c r="W2212" i="2"/>
  <c r="W2211" i="2"/>
  <c r="W2210" i="2"/>
  <c r="W2209" i="2"/>
  <c r="W2208" i="2"/>
  <c r="W2207" i="2"/>
  <c r="W2206" i="2"/>
  <c r="W2205" i="2"/>
  <c r="W2204" i="2"/>
  <c r="W2203" i="2"/>
  <c r="W2202" i="2"/>
  <c r="W2201" i="2"/>
  <c r="W2200" i="2"/>
  <c r="W2199" i="2"/>
  <c r="W2198" i="2"/>
  <c r="W2197" i="2"/>
  <c r="W2196" i="2"/>
  <c r="W2195" i="2"/>
  <c r="W2194" i="2"/>
  <c r="W2193" i="2"/>
  <c r="W2192" i="2"/>
  <c r="W2191" i="2"/>
  <c r="W2190" i="2"/>
  <c r="W2189" i="2"/>
  <c r="W2188" i="2"/>
  <c r="W2187" i="2"/>
  <c r="W2186" i="2"/>
  <c r="W2185" i="2"/>
  <c r="W2184" i="2"/>
  <c r="W2183" i="2"/>
  <c r="W2182" i="2"/>
  <c r="W2181" i="2"/>
  <c r="W2180" i="2"/>
  <c r="W2179" i="2"/>
  <c r="W2178" i="2"/>
  <c r="W2177" i="2"/>
  <c r="W2176" i="2"/>
  <c r="W2175" i="2"/>
  <c r="W2174" i="2"/>
  <c r="W2173" i="2"/>
  <c r="W2172" i="2"/>
  <c r="W2171" i="2"/>
  <c r="W2170" i="2"/>
  <c r="W2169" i="2"/>
  <c r="W2168" i="2"/>
  <c r="W2167" i="2"/>
  <c r="W2166" i="2"/>
  <c r="W2165" i="2"/>
  <c r="W2164" i="2"/>
  <c r="W2163" i="2"/>
  <c r="W2162" i="2"/>
  <c r="W2161" i="2"/>
  <c r="W2160" i="2"/>
  <c r="W2159" i="2"/>
  <c r="W2158" i="2"/>
  <c r="W2157" i="2"/>
  <c r="W2156" i="2"/>
  <c r="W2155" i="2"/>
  <c r="W2154" i="2"/>
  <c r="W2153" i="2"/>
  <c r="W2152" i="2"/>
  <c r="W2151" i="2"/>
  <c r="W2150" i="2"/>
  <c r="W2149" i="2"/>
  <c r="W2148" i="2"/>
  <c r="W2147" i="2"/>
  <c r="W2146" i="2"/>
  <c r="W2145" i="2"/>
  <c r="W2144" i="2"/>
  <c r="W2143" i="2"/>
  <c r="W2142" i="2"/>
  <c r="W2141" i="2"/>
  <c r="W2140" i="2"/>
  <c r="W2139" i="2"/>
  <c r="W2138" i="2"/>
  <c r="W2137" i="2"/>
  <c r="W2136" i="2"/>
  <c r="W2135" i="2"/>
  <c r="W2134" i="2"/>
  <c r="W2133" i="2"/>
  <c r="W2132" i="2"/>
  <c r="W2131" i="2"/>
  <c r="W2130" i="2"/>
  <c r="W2129" i="2"/>
  <c r="W2128" i="2"/>
  <c r="W2127" i="2"/>
  <c r="W2126" i="2"/>
  <c r="W2125" i="2"/>
  <c r="W2124" i="2"/>
  <c r="W2123" i="2"/>
  <c r="W2122" i="2"/>
  <c r="W2121" i="2"/>
  <c r="W2120" i="2"/>
  <c r="W2119" i="2"/>
  <c r="W2118" i="2"/>
  <c r="W2117" i="2"/>
  <c r="W2116" i="2"/>
  <c r="W2115" i="2"/>
  <c r="W2114" i="2"/>
  <c r="W2113" i="2"/>
  <c r="W2112" i="2"/>
  <c r="W2111" i="2"/>
  <c r="W2110" i="2"/>
  <c r="W2109" i="2"/>
  <c r="W2108" i="2"/>
  <c r="W2107" i="2"/>
  <c r="W2106" i="2"/>
  <c r="W2105" i="2"/>
  <c r="W2104" i="2"/>
  <c r="W2103" i="2"/>
  <c r="W2102" i="2"/>
  <c r="W2101" i="2"/>
  <c r="W2100" i="2"/>
  <c r="W2099" i="2"/>
  <c r="W2098" i="2"/>
  <c r="W2097" i="2"/>
  <c r="W2096" i="2"/>
  <c r="W2095" i="2"/>
  <c r="W2094" i="2"/>
  <c r="W2093" i="2"/>
  <c r="W2092" i="2"/>
  <c r="W2091" i="2"/>
  <c r="W2090" i="2"/>
  <c r="W2089" i="2"/>
  <c r="W2088" i="2"/>
  <c r="W2087" i="2"/>
  <c r="W2086" i="2"/>
  <c r="W2085" i="2"/>
  <c r="W2084" i="2"/>
  <c r="W2083" i="2"/>
  <c r="W2082" i="2"/>
  <c r="W2081" i="2"/>
  <c r="W2080" i="2"/>
  <c r="W2079" i="2"/>
  <c r="W2078" i="2"/>
  <c r="W2077" i="2"/>
  <c r="W2076" i="2"/>
  <c r="W2075" i="2"/>
  <c r="W2074" i="2"/>
  <c r="W2073" i="2"/>
  <c r="W2072" i="2"/>
  <c r="W2071" i="2"/>
  <c r="W2070" i="2"/>
  <c r="W2069" i="2"/>
  <c r="W2068" i="2"/>
  <c r="W2067" i="2"/>
  <c r="W2066" i="2"/>
  <c r="W2065" i="2"/>
  <c r="W2064" i="2"/>
  <c r="W2063" i="2"/>
  <c r="W2062" i="2"/>
  <c r="W2061" i="2"/>
  <c r="W2060" i="2"/>
  <c r="W2059" i="2"/>
  <c r="W2058" i="2"/>
  <c r="W2057" i="2"/>
  <c r="W2056" i="2"/>
  <c r="W2055" i="2"/>
  <c r="W2054" i="2"/>
  <c r="W2053" i="2"/>
  <c r="W2052" i="2"/>
  <c r="W2051" i="2"/>
  <c r="W2050" i="2"/>
  <c r="W2049" i="2"/>
  <c r="W2048" i="2"/>
  <c r="W2047" i="2"/>
  <c r="W2046" i="2"/>
  <c r="W2045" i="2"/>
  <c r="W2044" i="2"/>
  <c r="W2043" i="2"/>
  <c r="W2042" i="2"/>
  <c r="W2041" i="2"/>
  <c r="W2040" i="2"/>
  <c r="W2039" i="2"/>
  <c r="W2038" i="2"/>
  <c r="W2037" i="2"/>
  <c r="W2036" i="2"/>
  <c r="W2035" i="2"/>
  <c r="W2034" i="2"/>
  <c r="W2033" i="2"/>
  <c r="W2032" i="2"/>
  <c r="W2031" i="2"/>
  <c r="W2030" i="2"/>
  <c r="W2029" i="2"/>
  <c r="W2028" i="2"/>
  <c r="W2027" i="2"/>
  <c r="W2026" i="2"/>
  <c r="W2025" i="2"/>
  <c r="W2024" i="2"/>
  <c r="W2023" i="2"/>
  <c r="W2022" i="2"/>
  <c r="W2021" i="2"/>
  <c r="W2020" i="2"/>
  <c r="W2019" i="2"/>
  <c r="W2018" i="2"/>
  <c r="W2017" i="2"/>
  <c r="W2016" i="2"/>
  <c r="W2015" i="2"/>
  <c r="W2014" i="2"/>
  <c r="W2013" i="2"/>
  <c r="W2012" i="2"/>
  <c r="W2011" i="2"/>
  <c r="W2010" i="2"/>
  <c r="W2009" i="2"/>
  <c r="W2008" i="2"/>
  <c r="W2007" i="2"/>
  <c r="W2006" i="2"/>
  <c r="W2005" i="2"/>
  <c r="W2004" i="2"/>
  <c r="W2003" i="2"/>
  <c r="W2002" i="2"/>
  <c r="W2001" i="2"/>
  <c r="W2000" i="2"/>
  <c r="W1999" i="2"/>
  <c r="W1998" i="2"/>
  <c r="W1997" i="2"/>
  <c r="W1996" i="2"/>
  <c r="W1995" i="2"/>
  <c r="W1994" i="2"/>
  <c r="W1993" i="2"/>
  <c r="W1992" i="2"/>
  <c r="W1991" i="2"/>
  <c r="W1990" i="2"/>
  <c r="W1989" i="2"/>
  <c r="W1988" i="2"/>
  <c r="W1987" i="2"/>
  <c r="W1986" i="2"/>
  <c r="W1985" i="2"/>
  <c r="W1984" i="2"/>
  <c r="W1983" i="2"/>
  <c r="W1982" i="2"/>
  <c r="W1981" i="2"/>
  <c r="W1980" i="2"/>
  <c r="W1979" i="2"/>
  <c r="W1978" i="2"/>
  <c r="W1977" i="2"/>
  <c r="W1976" i="2"/>
  <c r="W1975" i="2"/>
  <c r="W1974" i="2"/>
  <c r="W1973" i="2"/>
  <c r="W1972" i="2"/>
  <c r="W1971" i="2"/>
  <c r="W1970" i="2"/>
  <c r="W1969" i="2"/>
  <c r="W1968" i="2"/>
  <c r="W1967" i="2"/>
  <c r="W1966" i="2"/>
  <c r="W1965" i="2"/>
  <c r="W1964" i="2"/>
  <c r="W1963" i="2"/>
  <c r="W1962" i="2"/>
  <c r="W1961" i="2"/>
  <c r="W1960" i="2"/>
  <c r="W1959" i="2"/>
  <c r="W1958" i="2"/>
  <c r="W1957" i="2"/>
  <c r="W1956" i="2"/>
  <c r="W1955" i="2"/>
  <c r="W1954" i="2"/>
  <c r="W1953" i="2"/>
  <c r="W1952" i="2"/>
  <c r="W1951" i="2"/>
  <c r="W1950" i="2"/>
  <c r="W1949" i="2"/>
  <c r="W1948" i="2"/>
  <c r="W1947" i="2"/>
  <c r="W1946" i="2"/>
  <c r="W1945" i="2"/>
  <c r="W1944" i="2"/>
  <c r="W1943" i="2"/>
  <c r="W1942" i="2"/>
  <c r="W1941" i="2"/>
  <c r="W1940" i="2"/>
  <c r="W1939" i="2"/>
  <c r="W1938" i="2"/>
  <c r="W1937" i="2"/>
  <c r="W1936" i="2"/>
  <c r="W1935" i="2"/>
  <c r="W1934" i="2"/>
  <c r="W1933" i="2"/>
  <c r="W1932" i="2"/>
  <c r="W1931" i="2"/>
  <c r="W1930" i="2"/>
  <c r="W1929" i="2"/>
  <c r="W1928" i="2"/>
  <c r="W1927" i="2"/>
  <c r="W1926" i="2"/>
  <c r="W1925" i="2"/>
  <c r="W1924" i="2"/>
  <c r="W1923" i="2"/>
  <c r="W1922" i="2"/>
  <c r="W1921" i="2"/>
  <c r="W1920" i="2"/>
  <c r="W1919" i="2"/>
  <c r="W1918" i="2"/>
  <c r="W1917" i="2"/>
  <c r="W1916" i="2"/>
  <c r="W1915" i="2"/>
  <c r="W1914" i="2"/>
  <c r="W1913" i="2"/>
  <c r="W1912" i="2"/>
  <c r="W1911" i="2"/>
  <c r="W1910" i="2"/>
  <c r="W1909" i="2"/>
  <c r="W1908" i="2"/>
  <c r="W1907" i="2"/>
  <c r="W1906" i="2"/>
  <c r="W1905" i="2"/>
  <c r="W1904" i="2"/>
  <c r="W1903" i="2"/>
  <c r="W1902" i="2"/>
  <c r="W1901" i="2"/>
  <c r="W1900" i="2"/>
  <c r="W1899" i="2"/>
  <c r="W1898" i="2"/>
  <c r="W1897" i="2"/>
  <c r="W1896" i="2"/>
  <c r="W1895" i="2"/>
  <c r="W1894" i="2"/>
  <c r="W1893" i="2"/>
  <c r="W1892" i="2"/>
  <c r="W1891" i="2"/>
  <c r="W1890" i="2"/>
  <c r="W1889" i="2"/>
  <c r="W1888" i="2"/>
  <c r="W1887" i="2"/>
  <c r="W1886" i="2"/>
  <c r="W1885" i="2"/>
  <c r="W1884" i="2"/>
  <c r="W1883" i="2"/>
  <c r="W1882" i="2"/>
  <c r="W1881" i="2"/>
  <c r="W1880" i="2"/>
  <c r="W1879" i="2"/>
  <c r="W1878" i="2"/>
  <c r="W1877" i="2"/>
  <c r="W1876" i="2"/>
  <c r="W1875" i="2"/>
  <c r="W1874" i="2"/>
  <c r="W1873" i="2"/>
  <c r="W1872" i="2"/>
  <c r="W1871" i="2"/>
  <c r="W1870" i="2"/>
  <c r="W1869" i="2"/>
  <c r="W1868" i="2"/>
  <c r="W1867" i="2"/>
  <c r="W1866" i="2"/>
  <c r="W1865" i="2"/>
  <c r="W1864" i="2"/>
  <c r="W1863" i="2"/>
  <c r="W1862" i="2"/>
  <c r="W1861" i="2"/>
  <c r="W1860" i="2"/>
  <c r="W1859" i="2"/>
  <c r="W1858" i="2"/>
  <c r="W1857" i="2"/>
  <c r="W1856" i="2"/>
  <c r="W1855" i="2"/>
  <c r="W1854" i="2"/>
  <c r="W1853" i="2"/>
  <c r="W1852" i="2"/>
  <c r="W1851" i="2"/>
  <c r="W1850" i="2"/>
  <c r="W1849" i="2"/>
  <c r="W1848" i="2"/>
  <c r="W1847" i="2"/>
  <c r="W1846" i="2"/>
  <c r="W1845" i="2"/>
  <c r="W1844" i="2"/>
  <c r="W1843" i="2"/>
  <c r="W1842" i="2"/>
  <c r="W1841" i="2"/>
  <c r="W1840" i="2"/>
  <c r="W1839" i="2"/>
  <c r="W1838" i="2"/>
  <c r="W1837" i="2"/>
  <c r="W1836" i="2"/>
  <c r="W1835" i="2"/>
  <c r="W1834" i="2"/>
  <c r="W1833" i="2"/>
  <c r="W1832" i="2"/>
  <c r="W1831" i="2"/>
  <c r="W1830" i="2"/>
  <c r="W1829" i="2"/>
  <c r="W1828" i="2"/>
  <c r="W1827" i="2"/>
  <c r="W1826" i="2"/>
  <c r="W1825" i="2"/>
  <c r="W1824" i="2"/>
  <c r="W1823" i="2"/>
  <c r="W1822" i="2"/>
  <c r="W1821" i="2"/>
  <c r="W1820" i="2"/>
  <c r="W1819" i="2"/>
  <c r="W1818" i="2"/>
  <c r="W1817" i="2"/>
  <c r="W1816" i="2"/>
  <c r="W1815" i="2"/>
  <c r="W1814" i="2"/>
  <c r="W1813" i="2"/>
  <c r="W1812" i="2"/>
  <c r="W1811" i="2"/>
  <c r="W1810" i="2"/>
  <c r="W1809" i="2"/>
  <c r="W1808" i="2"/>
  <c r="W1807" i="2"/>
  <c r="W1806" i="2"/>
  <c r="W1805" i="2"/>
  <c r="W1804" i="2"/>
  <c r="W1803" i="2"/>
  <c r="W1802" i="2"/>
  <c r="W1801" i="2"/>
  <c r="W1800" i="2"/>
  <c r="W1799" i="2"/>
  <c r="W1798" i="2"/>
  <c r="W1797" i="2"/>
  <c r="W1796" i="2"/>
  <c r="W1795" i="2"/>
  <c r="W1794" i="2"/>
  <c r="W1793" i="2"/>
  <c r="W1792" i="2"/>
  <c r="W1791" i="2"/>
  <c r="W1790" i="2"/>
  <c r="W1789" i="2"/>
  <c r="W1788" i="2"/>
  <c r="W1787" i="2"/>
  <c r="W1786" i="2"/>
  <c r="W1785" i="2"/>
  <c r="W1784" i="2"/>
  <c r="W1783" i="2"/>
  <c r="W1782" i="2"/>
  <c r="W1781" i="2"/>
  <c r="W1780" i="2"/>
  <c r="W1779" i="2"/>
  <c r="W1778" i="2"/>
  <c r="W1777" i="2"/>
  <c r="W1776" i="2"/>
  <c r="W1775" i="2"/>
  <c r="W1774" i="2"/>
  <c r="W1773" i="2"/>
  <c r="W1772" i="2"/>
  <c r="W1771" i="2"/>
  <c r="W1770" i="2"/>
  <c r="W1769" i="2"/>
  <c r="W1768" i="2"/>
  <c r="W1767" i="2"/>
  <c r="W1766" i="2"/>
  <c r="W1765" i="2"/>
  <c r="W1764" i="2"/>
  <c r="W1763" i="2"/>
  <c r="W1762" i="2"/>
  <c r="W1761" i="2"/>
  <c r="W1760" i="2"/>
  <c r="W1759" i="2"/>
  <c r="W1758" i="2"/>
  <c r="W1757" i="2"/>
  <c r="W1756" i="2"/>
  <c r="W1755" i="2"/>
  <c r="W1754" i="2"/>
  <c r="W1753" i="2"/>
  <c r="W1752" i="2"/>
  <c r="W1751" i="2"/>
  <c r="W1750" i="2"/>
  <c r="W1749" i="2"/>
  <c r="W1748" i="2"/>
  <c r="W1747" i="2"/>
  <c r="W1746" i="2"/>
  <c r="W1745" i="2"/>
  <c r="W1744" i="2"/>
  <c r="W1743" i="2"/>
  <c r="W1742" i="2"/>
  <c r="W1741" i="2"/>
  <c r="W1740" i="2"/>
  <c r="W1739" i="2"/>
  <c r="W1738" i="2"/>
  <c r="W1737" i="2"/>
  <c r="W1736" i="2"/>
  <c r="W1735" i="2"/>
  <c r="W1734" i="2"/>
  <c r="W1733" i="2"/>
  <c r="W1732" i="2"/>
  <c r="W1731" i="2"/>
  <c r="W1730" i="2"/>
  <c r="W1729" i="2"/>
  <c r="W1728" i="2"/>
  <c r="W1727" i="2"/>
  <c r="W1726" i="2"/>
  <c r="W1725" i="2"/>
  <c r="W1724" i="2"/>
  <c r="W1723" i="2"/>
  <c r="W1722" i="2"/>
  <c r="W1721" i="2"/>
  <c r="W1720" i="2"/>
  <c r="W1719" i="2"/>
  <c r="W1718" i="2"/>
  <c r="W1717" i="2"/>
  <c r="W1716" i="2"/>
  <c r="W1715" i="2"/>
  <c r="W1714" i="2"/>
  <c r="W1713" i="2"/>
  <c r="W1712" i="2"/>
  <c r="W1711" i="2"/>
  <c r="W1710" i="2"/>
  <c r="W1709" i="2"/>
  <c r="W1708" i="2"/>
  <c r="W1707" i="2"/>
  <c r="W1706" i="2"/>
  <c r="W1705" i="2"/>
  <c r="W1704" i="2"/>
  <c r="W1703" i="2"/>
  <c r="W1702" i="2"/>
  <c r="W1701" i="2"/>
  <c r="W1700" i="2"/>
  <c r="W1699" i="2"/>
  <c r="W1698" i="2"/>
  <c r="W1697" i="2"/>
  <c r="W1696" i="2"/>
  <c r="W1695" i="2"/>
  <c r="W1694" i="2"/>
  <c r="W1693" i="2"/>
  <c r="W1692" i="2"/>
  <c r="W1691" i="2"/>
  <c r="W1690" i="2"/>
  <c r="W1689" i="2"/>
  <c r="W1688" i="2"/>
  <c r="W1687" i="2"/>
  <c r="W1686" i="2"/>
  <c r="W1685" i="2"/>
  <c r="W1684" i="2"/>
  <c r="W1683" i="2"/>
  <c r="W1682" i="2"/>
  <c r="W1681" i="2"/>
  <c r="W1680" i="2"/>
  <c r="W1679" i="2"/>
  <c r="W1678" i="2"/>
  <c r="W1677" i="2"/>
  <c r="W1676" i="2"/>
  <c r="W1675" i="2"/>
  <c r="W1674" i="2"/>
  <c r="W1673" i="2"/>
  <c r="W1672" i="2"/>
  <c r="W1671" i="2"/>
  <c r="W1670" i="2"/>
  <c r="W1669" i="2"/>
  <c r="W1668" i="2"/>
  <c r="W1667" i="2"/>
  <c r="W1666" i="2"/>
  <c r="W1665" i="2"/>
  <c r="W1664" i="2"/>
  <c r="W1663" i="2"/>
  <c r="W1662" i="2"/>
  <c r="W1661" i="2"/>
  <c r="W1660" i="2"/>
  <c r="W1659" i="2"/>
  <c r="W1658" i="2"/>
  <c r="W1657" i="2"/>
  <c r="W1656" i="2"/>
  <c r="W1655" i="2"/>
  <c r="W1654" i="2"/>
  <c r="W1653" i="2"/>
  <c r="W1652" i="2"/>
  <c r="W1651" i="2"/>
  <c r="W1650" i="2"/>
  <c r="W1649" i="2"/>
  <c r="W1648" i="2"/>
  <c r="W1647" i="2"/>
  <c r="W1646" i="2"/>
  <c r="W1645" i="2"/>
  <c r="W1644" i="2"/>
  <c r="W1643" i="2"/>
  <c r="W1642" i="2"/>
  <c r="W1641" i="2"/>
  <c r="W1640" i="2"/>
  <c r="W1639" i="2"/>
  <c r="W1638" i="2"/>
  <c r="W1637" i="2"/>
  <c r="W1636" i="2"/>
  <c r="W1635" i="2"/>
  <c r="W1634" i="2"/>
  <c r="W1633" i="2"/>
  <c r="W1632" i="2"/>
  <c r="W1631" i="2"/>
  <c r="W1630" i="2"/>
  <c r="W1629" i="2"/>
  <c r="W1628" i="2"/>
  <c r="W1627" i="2"/>
  <c r="W1626" i="2"/>
  <c r="W1625" i="2"/>
  <c r="W1624" i="2"/>
  <c r="W1623" i="2"/>
  <c r="W1622" i="2"/>
  <c r="W1621" i="2"/>
  <c r="W1620" i="2"/>
  <c r="W1619" i="2"/>
  <c r="W1618" i="2"/>
  <c r="W1617" i="2"/>
  <c r="W1616" i="2"/>
  <c r="W1615" i="2"/>
  <c r="W1614" i="2"/>
  <c r="W1613" i="2"/>
  <c r="W1612" i="2"/>
  <c r="W1611" i="2"/>
  <c r="W1610" i="2"/>
  <c r="W1609" i="2"/>
  <c r="W1608" i="2"/>
  <c r="W1607" i="2"/>
  <c r="W1606" i="2"/>
  <c r="W1605" i="2"/>
  <c r="W1604" i="2"/>
  <c r="W1603" i="2"/>
  <c r="W1602" i="2"/>
  <c r="W1601" i="2"/>
  <c r="W1600" i="2"/>
  <c r="W1599" i="2"/>
  <c r="W1598" i="2"/>
  <c r="W1597" i="2"/>
  <c r="W1596" i="2"/>
  <c r="W1595" i="2"/>
  <c r="W1594" i="2"/>
  <c r="W1593" i="2"/>
  <c r="W1592" i="2"/>
  <c r="W1591" i="2"/>
  <c r="W1590" i="2"/>
  <c r="W1589" i="2"/>
  <c r="W1588" i="2"/>
  <c r="W1587" i="2"/>
  <c r="W1586" i="2"/>
  <c r="W1585" i="2"/>
  <c r="W1584" i="2"/>
  <c r="W1583" i="2"/>
  <c r="W1582" i="2"/>
  <c r="W1581" i="2"/>
  <c r="W1580" i="2"/>
  <c r="W1579" i="2"/>
  <c r="W1578" i="2"/>
  <c r="W1577" i="2"/>
  <c r="W1576" i="2"/>
  <c r="W1575" i="2"/>
  <c r="W1574" i="2"/>
  <c r="W1573" i="2"/>
  <c r="W1572" i="2"/>
  <c r="W1571" i="2"/>
  <c r="W1570" i="2"/>
  <c r="W1569" i="2"/>
  <c r="W1568" i="2"/>
  <c r="W1567" i="2"/>
  <c r="W1566" i="2"/>
  <c r="W1565" i="2"/>
  <c r="W1564" i="2"/>
  <c r="W1563" i="2"/>
  <c r="W1562" i="2"/>
  <c r="W1561" i="2"/>
  <c r="W1560" i="2"/>
  <c r="W1559" i="2"/>
  <c r="W1558" i="2"/>
  <c r="W1557" i="2"/>
  <c r="W1556" i="2"/>
  <c r="W1555" i="2"/>
  <c r="W1554" i="2"/>
  <c r="W1553" i="2"/>
  <c r="W1552" i="2"/>
  <c r="W1551" i="2"/>
  <c r="W1550" i="2"/>
  <c r="W1549" i="2"/>
  <c r="W1548" i="2"/>
  <c r="W1547" i="2"/>
  <c r="W1546" i="2"/>
  <c r="W1545" i="2"/>
  <c r="W1544" i="2"/>
  <c r="W1543" i="2"/>
  <c r="W1542" i="2"/>
  <c r="W1541" i="2"/>
  <c r="W1540" i="2"/>
  <c r="W1539" i="2"/>
  <c r="W1538" i="2"/>
  <c r="W1537" i="2"/>
  <c r="W1536" i="2"/>
  <c r="W1535" i="2"/>
  <c r="W1534" i="2"/>
  <c r="W1533" i="2"/>
  <c r="W1532" i="2"/>
  <c r="W1531" i="2"/>
  <c r="W1530" i="2"/>
  <c r="W1529" i="2"/>
  <c r="W1528" i="2"/>
  <c r="W1527" i="2"/>
  <c r="W1526" i="2"/>
  <c r="W1525" i="2"/>
  <c r="W1524" i="2"/>
  <c r="W1523" i="2"/>
  <c r="W1522" i="2"/>
  <c r="W1521" i="2"/>
  <c r="W1520" i="2"/>
  <c r="W1519" i="2"/>
  <c r="W1518" i="2"/>
  <c r="W1517" i="2"/>
  <c r="W1516" i="2"/>
  <c r="W1515" i="2"/>
  <c r="W1514" i="2"/>
  <c r="W1513" i="2"/>
  <c r="W1512" i="2"/>
  <c r="W1511" i="2"/>
  <c r="W1510" i="2"/>
  <c r="W1509" i="2"/>
  <c r="W1508" i="2"/>
  <c r="W1507" i="2"/>
  <c r="W1506" i="2"/>
  <c r="W1505" i="2"/>
  <c r="W1504" i="2"/>
  <c r="W1503" i="2"/>
  <c r="W1502" i="2"/>
  <c r="W1501" i="2"/>
  <c r="W1500" i="2"/>
  <c r="W1499" i="2"/>
  <c r="W1498" i="2"/>
  <c r="W1497" i="2"/>
  <c r="W1496" i="2"/>
  <c r="W1495" i="2"/>
  <c r="W1494" i="2"/>
  <c r="W1493" i="2"/>
  <c r="W1492" i="2"/>
  <c r="W1491" i="2"/>
  <c r="W1490" i="2"/>
  <c r="W1489" i="2"/>
  <c r="W1488" i="2"/>
  <c r="W1487" i="2"/>
  <c r="W1486" i="2"/>
  <c r="W1485" i="2"/>
  <c r="W1484" i="2"/>
  <c r="W1483" i="2"/>
  <c r="W1482" i="2"/>
  <c r="W1481" i="2"/>
  <c r="W1480" i="2"/>
  <c r="W1479" i="2"/>
  <c r="W1478" i="2"/>
  <c r="W1477" i="2"/>
  <c r="W1476" i="2"/>
  <c r="W1475" i="2"/>
  <c r="W1474" i="2"/>
  <c r="W1473" i="2"/>
  <c r="W1472" i="2"/>
  <c r="W1471" i="2"/>
  <c r="W1470" i="2"/>
  <c r="W1469" i="2"/>
  <c r="W1468" i="2"/>
  <c r="W1467" i="2"/>
  <c r="W1466" i="2"/>
  <c r="W1465" i="2"/>
  <c r="W1464" i="2"/>
  <c r="W1463" i="2"/>
  <c r="W1462" i="2"/>
  <c r="W1461" i="2"/>
  <c r="W1460" i="2"/>
  <c r="W1459" i="2"/>
  <c r="W1458" i="2"/>
  <c r="W1457" i="2"/>
  <c r="W1456" i="2"/>
  <c r="W1455" i="2"/>
  <c r="W1454" i="2"/>
  <c r="W1453" i="2"/>
  <c r="W1452" i="2"/>
  <c r="W1451" i="2"/>
  <c r="W1450" i="2"/>
  <c r="W1449" i="2"/>
  <c r="W1448" i="2"/>
  <c r="W1447" i="2"/>
  <c r="W1446" i="2"/>
  <c r="W1445" i="2"/>
  <c r="W1444" i="2"/>
  <c r="W1443" i="2"/>
  <c r="W1442" i="2"/>
  <c r="W1441" i="2"/>
  <c r="W1440" i="2"/>
  <c r="W1439" i="2"/>
  <c r="W1438" i="2"/>
  <c r="W1437" i="2"/>
  <c r="W1436" i="2"/>
  <c r="W1435" i="2"/>
  <c r="W1434" i="2"/>
  <c r="W1433" i="2"/>
  <c r="W1432" i="2"/>
  <c r="W1431" i="2"/>
  <c r="W1430" i="2"/>
  <c r="W1429" i="2"/>
  <c r="W1428" i="2"/>
  <c r="W1427" i="2"/>
  <c r="W1426" i="2"/>
  <c r="W1425" i="2"/>
  <c r="W1424" i="2"/>
  <c r="W1423" i="2"/>
  <c r="W1422" i="2"/>
  <c r="W1421" i="2"/>
  <c r="W1420" i="2"/>
  <c r="W1419" i="2"/>
  <c r="W1418" i="2"/>
  <c r="W1417" i="2"/>
  <c r="W1416" i="2"/>
  <c r="W1415" i="2"/>
  <c r="W1414" i="2"/>
  <c r="W1413" i="2"/>
  <c r="W1412" i="2"/>
  <c r="W1411" i="2"/>
  <c r="W1410" i="2"/>
  <c r="W1409" i="2"/>
  <c r="W1408" i="2"/>
  <c r="W1407" i="2"/>
  <c r="W1406" i="2"/>
  <c r="W1405" i="2"/>
  <c r="W1404" i="2"/>
  <c r="W1403" i="2"/>
  <c r="W1402" i="2"/>
  <c r="W1401" i="2"/>
  <c r="W1400" i="2"/>
  <c r="W1399" i="2"/>
  <c r="W1398" i="2"/>
  <c r="W1397" i="2"/>
  <c r="W1396" i="2"/>
  <c r="W1395" i="2"/>
  <c r="W1394" i="2"/>
  <c r="W1393" i="2"/>
  <c r="W1392" i="2"/>
  <c r="W1391" i="2"/>
  <c r="W1390" i="2"/>
  <c r="W1389" i="2"/>
  <c r="W1388" i="2"/>
  <c r="W1387" i="2"/>
  <c r="W1386" i="2"/>
  <c r="W1385" i="2"/>
  <c r="W1384" i="2"/>
  <c r="W1383" i="2"/>
  <c r="W1382" i="2"/>
  <c r="W1381" i="2"/>
  <c r="W1380" i="2"/>
  <c r="W1379" i="2"/>
  <c r="W1378" i="2"/>
  <c r="W1377" i="2"/>
  <c r="W1376" i="2"/>
  <c r="W1375" i="2"/>
  <c r="W1374" i="2"/>
  <c r="W1373" i="2"/>
  <c r="W1372" i="2"/>
  <c r="W1371" i="2"/>
  <c r="W1370" i="2"/>
  <c r="W1369" i="2"/>
  <c r="W1368" i="2"/>
  <c r="W1367" i="2"/>
  <c r="W1366" i="2"/>
  <c r="W1365" i="2"/>
  <c r="W1364" i="2"/>
  <c r="W1363" i="2"/>
  <c r="W1362" i="2"/>
  <c r="W1361" i="2"/>
  <c r="W1360" i="2"/>
  <c r="W1359" i="2"/>
  <c r="W1358" i="2"/>
  <c r="W1357" i="2"/>
  <c r="W1356" i="2"/>
  <c r="W1355" i="2"/>
  <c r="W1354" i="2"/>
  <c r="W1353" i="2"/>
  <c r="W1352" i="2"/>
  <c r="W1351" i="2"/>
  <c r="W1350" i="2"/>
  <c r="W1349" i="2"/>
  <c r="W1348" i="2"/>
  <c r="W1347" i="2"/>
  <c r="W1346" i="2"/>
  <c r="W1345" i="2"/>
  <c r="W1344" i="2"/>
  <c r="W1343" i="2"/>
  <c r="W1342" i="2"/>
  <c r="W1341" i="2"/>
  <c r="W1340" i="2"/>
  <c r="W1339" i="2"/>
  <c r="W1338" i="2"/>
  <c r="W1337" i="2"/>
  <c r="W1336" i="2"/>
  <c r="W1335" i="2"/>
  <c r="W1334" i="2"/>
  <c r="W1333" i="2"/>
  <c r="W1332" i="2"/>
  <c r="W1331" i="2"/>
  <c r="W1330" i="2"/>
  <c r="W1329" i="2"/>
  <c r="W1328" i="2"/>
  <c r="W1327" i="2"/>
  <c r="W1326" i="2"/>
  <c r="W1325" i="2"/>
  <c r="W1324" i="2"/>
  <c r="W1323" i="2"/>
  <c r="W1322" i="2"/>
  <c r="W1321" i="2"/>
  <c r="W1320" i="2"/>
  <c r="W1319" i="2"/>
  <c r="W1318" i="2"/>
  <c r="W1317" i="2"/>
  <c r="W1316" i="2"/>
  <c r="W1315" i="2"/>
  <c r="W1314" i="2"/>
  <c r="W1313" i="2"/>
  <c r="W1312" i="2"/>
  <c r="W1311" i="2"/>
  <c r="W1310" i="2"/>
  <c r="W1309" i="2"/>
  <c r="W1308" i="2"/>
  <c r="W1307" i="2"/>
  <c r="W1306" i="2"/>
  <c r="W1305" i="2"/>
  <c r="W1304" i="2"/>
  <c r="W1303" i="2"/>
  <c r="W1302" i="2"/>
  <c r="W1301" i="2"/>
  <c r="W1300" i="2"/>
  <c r="W1299" i="2"/>
  <c r="W1298" i="2"/>
  <c r="W1297" i="2"/>
  <c r="W1296" i="2"/>
  <c r="W1295" i="2"/>
  <c r="W1294" i="2"/>
  <c r="W1293" i="2"/>
  <c r="W1292" i="2"/>
  <c r="W1291" i="2"/>
  <c r="W1290" i="2"/>
  <c r="W1289" i="2"/>
  <c r="W1288" i="2"/>
  <c r="W1287" i="2"/>
  <c r="W1286" i="2"/>
  <c r="W1285" i="2"/>
  <c r="W1284" i="2"/>
  <c r="W1283" i="2"/>
  <c r="W1282" i="2"/>
  <c r="W1281" i="2"/>
  <c r="W1280" i="2"/>
  <c r="W1279" i="2"/>
  <c r="W1278" i="2"/>
  <c r="W1277" i="2"/>
  <c r="W1276" i="2"/>
  <c r="W1275" i="2"/>
  <c r="W1274" i="2"/>
  <c r="W1273" i="2"/>
  <c r="W1272" i="2"/>
  <c r="W1271" i="2"/>
  <c r="W1270" i="2"/>
  <c r="W1269" i="2"/>
  <c r="W1268" i="2"/>
  <c r="W1267" i="2"/>
  <c r="W1266" i="2"/>
  <c r="W1265" i="2"/>
  <c r="W1264" i="2"/>
  <c r="W1263" i="2"/>
  <c r="W1262" i="2"/>
  <c r="W1261" i="2"/>
  <c r="W1260" i="2"/>
  <c r="W1259" i="2"/>
  <c r="W1258" i="2"/>
  <c r="W1257" i="2"/>
  <c r="W1256" i="2"/>
  <c r="W1255" i="2"/>
  <c r="W1254" i="2"/>
  <c r="W1253" i="2"/>
  <c r="W1252" i="2"/>
  <c r="W1251" i="2"/>
  <c r="W1250" i="2"/>
  <c r="W1249" i="2"/>
  <c r="W1248" i="2"/>
  <c r="W1247" i="2"/>
  <c r="W1246" i="2"/>
  <c r="W1245" i="2"/>
  <c r="W1244" i="2"/>
  <c r="W1243" i="2"/>
  <c r="W1242" i="2"/>
  <c r="W1241" i="2"/>
  <c r="W1240" i="2"/>
  <c r="W1239" i="2"/>
  <c r="W1238" i="2"/>
  <c r="W1237" i="2"/>
  <c r="W1236" i="2"/>
  <c r="W1235" i="2"/>
  <c r="W1234" i="2"/>
  <c r="W1233" i="2"/>
  <c r="W1232" i="2"/>
  <c r="W1231" i="2"/>
  <c r="W1230" i="2"/>
  <c r="W1229" i="2"/>
  <c r="W1228" i="2"/>
  <c r="W1227" i="2"/>
  <c r="W1226" i="2"/>
  <c r="W1225" i="2"/>
  <c r="W1224" i="2"/>
  <c r="W1223" i="2"/>
  <c r="W1222" i="2"/>
  <c r="W1221" i="2"/>
  <c r="W1220" i="2"/>
  <c r="W1219" i="2"/>
  <c r="W1218" i="2"/>
  <c r="W1217" i="2"/>
  <c r="W1216" i="2"/>
  <c r="W1215" i="2"/>
  <c r="W1214" i="2"/>
  <c r="W1213" i="2"/>
  <c r="W1212" i="2"/>
  <c r="W1211" i="2"/>
  <c r="W1210" i="2"/>
  <c r="W1209" i="2"/>
  <c r="W1208" i="2"/>
  <c r="W1207" i="2"/>
  <c r="W1206" i="2"/>
  <c r="W1205" i="2"/>
  <c r="W1204" i="2"/>
  <c r="W1203" i="2"/>
  <c r="W1202" i="2"/>
  <c r="W1201" i="2"/>
  <c r="W1200" i="2"/>
  <c r="W1199" i="2"/>
  <c r="W1198" i="2"/>
  <c r="W1197" i="2"/>
  <c r="W1196" i="2"/>
  <c r="W1195" i="2"/>
  <c r="W1194" i="2"/>
  <c r="W1193" i="2"/>
  <c r="W1192" i="2"/>
  <c r="W1191" i="2"/>
  <c r="W1190" i="2"/>
  <c r="W1189" i="2"/>
  <c r="W1188" i="2"/>
  <c r="W1187" i="2"/>
  <c r="W1186" i="2"/>
  <c r="W1185" i="2"/>
  <c r="W1184" i="2"/>
  <c r="W1183" i="2"/>
  <c r="W1182" i="2"/>
  <c r="W1181" i="2"/>
  <c r="W1180" i="2"/>
  <c r="W1179" i="2"/>
  <c r="W1178" i="2"/>
  <c r="W1177" i="2"/>
  <c r="W1176" i="2"/>
  <c r="W1175" i="2"/>
  <c r="W1174" i="2"/>
  <c r="W1173" i="2"/>
  <c r="W1172" i="2"/>
  <c r="W1171" i="2"/>
  <c r="W1170" i="2"/>
  <c r="W1169" i="2"/>
  <c r="W1168" i="2"/>
  <c r="W1167" i="2"/>
  <c r="W1166" i="2"/>
  <c r="W1165" i="2"/>
  <c r="W1164" i="2"/>
  <c r="W1163" i="2"/>
  <c r="W1162" i="2"/>
  <c r="W1161" i="2"/>
  <c r="W1160" i="2"/>
  <c r="W1159" i="2"/>
  <c r="W1158" i="2"/>
  <c r="W1157" i="2"/>
  <c r="W1156" i="2"/>
  <c r="W1155" i="2"/>
  <c r="W1154" i="2"/>
  <c r="W1153" i="2"/>
  <c r="W1152" i="2"/>
  <c r="W1151" i="2"/>
  <c r="W1150" i="2"/>
  <c r="W1149" i="2"/>
  <c r="W1148" i="2"/>
  <c r="W1147" i="2"/>
  <c r="W1146" i="2"/>
  <c r="W1145" i="2"/>
  <c r="W1144" i="2"/>
  <c r="W1143" i="2"/>
  <c r="W1142" i="2"/>
  <c r="W1141" i="2"/>
  <c r="W1140" i="2"/>
  <c r="W1139" i="2"/>
  <c r="W1138" i="2"/>
  <c r="W1137" i="2"/>
  <c r="W1136" i="2"/>
  <c r="W1135" i="2"/>
  <c r="W1134" i="2"/>
  <c r="W1133" i="2"/>
  <c r="W1132" i="2"/>
  <c r="W1131" i="2"/>
  <c r="W1130" i="2"/>
  <c r="W1129" i="2"/>
  <c r="W1128" i="2"/>
  <c r="W1127" i="2"/>
  <c r="W1126" i="2"/>
  <c r="W1125" i="2"/>
  <c r="W1124" i="2"/>
  <c r="W1123" i="2"/>
  <c r="W1122" i="2"/>
  <c r="W1121" i="2"/>
  <c r="W1120" i="2"/>
  <c r="W1119" i="2"/>
  <c r="W1118" i="2"/>
  <c r="W1117" i="2"/>
  <c r="W1116" i="2"/>
  <c r="W1115" i="2"/>
  <c r="W1114" i="2"/>
  <c r="W1113" i="2"/>
  <c r="W1112" i="2"/>
  <c r="W1111" i="2"/>
  <c r="W1110" i="2"/>
  <c r="W1109" i="2"/>
  <c r="W1108" i="2"/>
  <c r="W1107" i="2"/>
  <c r="W1106" i="2"/>
  <c r="W1105" i="2"/>
  <c r="W1104" i="2"/>
  <c r="W1103" i="2"/>
  <c r="W1102" i="2"/>
  <c r="W1101" i="2"/>
  <c r="W1100" i="2"/>
  <c r="W1099" i="2"/>
  <c r="W1098" i="2"/>
  <c r="W1097" i="2"/>
  <c r="W1096" i="2"/>
  <c r="W1095" i="2"/>
  <c r="W1094" i="2"/>
  <c r="W1093" i="2"/>
  <c r="W1092" i="2"/>
  <c r="W1091" i="2"/>
  <c r="W1090" i="2"/>
  <c r="W1089" i="2"/>
  <c r="W1088" i="2"/>
  <c r="W1087" i="2"/>
  <c r="W1086" i="2"/>
  <c r="W1085" i="2"/>
  <c r="W1084" i="2"/>
  <c r="W1083" i="2"/>
  <c r="W1082" i="2"/>
  <c r="W1081" i="2"/>
  <c r="W1080" i="2"/>
  <c r="W1079" i="2"/>
  <c r="W1078" i="2"/>
  <c r="W1077" i="2"/>
  <c r="W1076" i="2"/>
  <c r="W1075" i="2"/>
  <c r="W1074" i="2"/>
  <c r="W1073" i="2"/>
  <c r="W1072" i="2"/>
  <c r="W1071" i="2"/>
  <c r="W1070" i="2"/>
  <c r="W1069" i="2"/>
  <c r="W1068" i="2"/>
  <c r="W1067" i="2"/>
  <c r="W1066" i="2"/>
  <c r="W1065" i="2"/>
  <c r="W1064" i="2"/>
  <c r="W1063" i="2"/>
  <c r="W1062" i="2"/>
  <c r="W1061" i="2"/>
  <c r="W1060" i="2"/>
  <c r="W1059" i="2"/>
  <c r="W1058" i="2"/>
  <c r="W1057" i="2"/>
  <c r="W1056" i="2"/>
  <c r="W1055" i="2"/>
  <c r="W1054" i="2"/>
  <c r="W1053" i="2"/>
  <c r="W1052" i="2"/>
  <c r="W1051" i="2"/>
  <c r="W1050" i="2"/>
  <c r="W1049" i="2"/>
  <c r="W1048" i="2"/>
  <c r="W1047" i="2"/>
  <c r="W1046" i="2"/>
  <c r="W1045" i="2"/>
  <c r="W1044" i="2"/>
  <c r="W1043" i="2"/>
  <c r="W1042" i="2"/>
  <c r="W1041" i="2"/>
  <c r="W1040" i="2"/>
  <c r="W1039" i="2"/>
  <c r="W1038" i="2"/>
  <c r="W1037" i="2"/>
  <c r="W1036" i="2"/>
  <c r="W1035" i="2"/>
  <c r="W1034" i="2"/>
  <c r="W1033" i="2"/>
  <c r="W1032" i="2"/>
  <c r="W1031" i="2"/>
  <c r="W1030" i="2"/>
  <c r="W1029" i="2"/>
  <c r="W1028" i="2"/>
  <c r="W1027" i="2"/>
  <c r="W1026" i="2"/>
  <c r="W1025" i="2"/>
  <c r="W1024" i="2"/>
  <c r="W1023" i="2"/>
  <c r="W1022" i="2"/>
  <c r="W1021" i="2"/>
  <c r="W1020" i="2"/>
  <c r="W1019" i="2"/>
  <c r="W1018" i="2"/>
  <c r="W1017" i="2"/>
  <c r="W1016" i="2"/>
  <c r="W1015" i="2"/>
  <c r="W1014" i="2"/>
  <c r="W1013" i="2"/>
  <c r="W1012" i="2"/>
  <c r="W1011" i="2"/>
  <c r="W1010" i="2"/>
  <c r="W1009" i="2"/>
  <c r="W1008" i="2"/>
  <c r="W1007" i="2"/>
  <c r="W1006" i="2"/>
  <c r="W1005" i="2"/>
  <c r="W1004" i="2"/>
  <c r="W1003" i="2"/>
  <c r="W1002" i="2"/>
  <c r="W1001" i="2"/>
  <c r="W1000" i="2"/>
  <c r="W999" i="2"/>
  <c r="W998" i="2"/>
  <c r="W997" i="2"/>
  <c r="W996" i="2"/>
  <c r="W995" i="2"/>
  <c r="W994" i="2"/>
  <c r="W993" i="2"/>
  <c r="W992" i="2"/>
  <c r="W991" i="2"/>
  <c r="W990" i="2"/>
  <c r="W989" i="2"/>
  <c r="W988" i="2"/>
  <c r="W987" i="2"/>
  <c r="W986" i="2"/>
  <c r="W985" i="2"/>
  <c r="W984" i="2"/>
  <c r="W983" i="2"/>
  <c r="W982" i="2"/>
  <c r="W981" i="2"/>
  <c r="W980" i="2"/>
  <c r="W979" i="2"/>
  <c r="W978" i="2"/>
  <c r="W977" i="2"/>
  <c r="W976" i="2"/>
  <c r="W975" i="2"/>
  <c r="W974" i="2"/>
  <c r="W973" i="2"/>
  <c r="W972" i="2"/>
  <c r="W971" i="2"/>
  <c r="W970" i="2"/>
  <c r="W969" i="2"/>
  <c r="W968" i="2"/>
  <c r="W967" i="2"/>
  <c r="W966" i="2"/>
  <c r="W965" i="2"/>
  <c r="W964" i="2"/>
  <c r="W963" i="2"/>
  <c r="W962" i="2"/>
  <c r="W961" i="2"/>
  <c r="W960" i="2"/>
  <c r="W959" i="2"/>
  <c r="W958" i="2"/>
  <c r="W957" i="2"/>
  <c r="W956" i="2"/>
  <c r="W955" i="2"/>
  <c r="W954" i="2"/>
  <c r="W953" i="2"/>
  <c r="W952" i="2"/>
  <c r="W951" i="2"/>
  <c r="W950" i="2"/>
  <c r="W949" i="2"/>
  <c r="W948" i="2"/>
  <c r="W947" i="2"/>
  <c r="W946" i="2"/>
  <c r="W945" i="2"/>
  <c r="W944" i="2"/>
  <c r="W943" i="2"/>
  <c r="W942" i="2"/>
  <c r="W941" i="2"/>
  <c r="W940" i="2"/>
  <c r="W939" i="2"/>
  <c r="W938" i="2"/>
  <c r="W937" i="2"/>
  <c r="W936" i="2"/>
  <c r="W935" i="2"/>
  <c r="W934" i="2"/>
  <c r="W933" i="2"/>
  <c r="W932" i="2"/>
  <c r="W931" i="2"/>
  <c r="W930" i="2"/>
  <c r="W929" i="2"/>
  <c r="W928" i="2"/>
  <c r="W927" i="2"/>
  <c r="W926" i="2"/>
  <c r="W925" i="2"/>
  <c r="W924" i="2"/>
  <c r="W923" i="2"/>
  <c r="W922" i="2"/>
  <c r="W921" i="2"/>
  <c r="W920" i="2"/>
  <c r="W919" i="2"/>
  <c r="W918" i="2"/>
  <c r="W917" i="2"/>
  <c r="W916" i="2"/>
  <c r="W915" i="2"/>
  <c r="W914" i="2"/>
  <c r="W913" i="2"/>
  <c r="W912" i="2"/>
  <c r="W911" i="2"/>
  <c r="W910" i="2"/>
  <c r="W909" i="2"/>
  <c r="W908" i="2"/>
  <c r="W907" i="2"/>
  <c r="W906" i="2"/>
  <c r="W905" i="2"/>
  <c r="W904" i="2"/>
  <c r="W903" i="2"/>
  <c r="W902" i="2"/>
  <c r="W901" i="2"/>
  <c r="W900" i="2"/>
  <c r="W899" i="2"/>
  <c r="W898" i="2"/>
  <c r="W897" i="2"/>
  <c r="W896" i="2"/>
  <c r="W895" i="2"/>
  <c r="W894" i="2"/>
  <c r="W893" i="2"/>
  <c r="W892" i="2"/>
  <c r="W891" i="2"/>
  <c r="W890" i="2"/>
  <c r="W889" i="2"/>
  <c r="W888" i="2"/>
  <c r="W887" i="2"/>
  <c r="W886" i="2"/>
  <c r="W885" i="2"/>
  <c r="W884" i="2"/>
  <c r="W883" i="2"/>
  <c r="W882" i="2"/>
  <c r="W881" i="2"/>
  <c r="W880" i="2"/>
  <c r="W879" i="2"/>
  <c r="W878" i="2"/>
  <c r="W877" i="2"/>
  <c r="W876" i="2"/>
  <c r="W875" i="2"/>
  <c r="W874" i="2"/>
  <c r="W873" i="2"/>
  <c r="W872" i="2"/>
  <c r="W871" i="2"/>
  <c r="W870" i="2"/>
  <c r="W869" i="2"/>
  <c r="W868" i="2"/>
  <c r="W867" i="2"/>
  <c r="W866" i="2"/>
  <c r="W865" i="2"/>
  <c r="W864" i="2"/>
  <c r="W863" i="2"/>
  <c r="W862" i="2"/>
  <c r="W861" i="2"/>
  <c r="W860" i="2"/>
  <c r="W859" i="2"/>
  <c r="W858" i="2"/>
  <c r="W857" i="2"/>
  <c r="W856" i="2"/>
  <c r="W855" i="2"/>
  <c r="W854" i="2"/>
  <c r="W853" i="2"/>
  <c r="W852" i="2"/>
  <c r="W851" i="2"/>
  <c r="W850" i="2"/>
  <c r="W849" i="2"/>
  <c r="W848" i="2"/>
  <c r="W847" i="2"/>
  <c r="W846" i="2"/>
  <c r="W845" i="2"/>
  <c r="W844" i="2"/>
  <c r="W843" i="2"/>
  <c r="W842" i="2"/>
  <c r="W841" i="2"/>
  <c r="W840" i="2"/>
  <c r="W839" i="2"/>
  <c r="W838" i="2"/>
  <c r="W837" i="2"/>
  <c r="W836" i="2"/>
  <c r="W835" i="2"/>
  <c r="W834" i="2"/>
  <c r="W833" i="2"/>
  <c r="W832" i="2"/>
  <c r="W831" i="2"/>
  <c r="W830" i="2"/>
  <c r="W829" i="2"/>
  <c r="W828" i="2"/>
  <c r="W827" i="2"/>
  <c r="W826" i="2"/>
  <c r="W825" i="2"/>
  <c r="W824" i="2"/>
  <c r="W823" i="2"/>
  <c r="W822" i="2"/>
  <c r="W821" i="2"/>
  <c r="W820" i="2"/>
  <c r="W819" i="2"/>
  <c r="W818" i="2"/>
  <c r="W817" i="2"/>
  <c r="W816" i="2"/>
  <c r="W815" i="2"/>
  <c r="W814" i="2"/>
  <c r="W813" i="2"/>
  <c r="W812" i="2"/>
  <c r="W811" i="2"/>
  <c r="W810" i="2"/>
  <c r="W809" i="2"/>
  <c r="W808" i="2"/>
  <c r="W807" i="2"/>
  <c r="W806" i="2"/>
  <c r="W805" i="2"/>
  <c r="W804" i="2"/>
  <c r="W803" i="2"/>
  <c r="W802" i="2"/>
  <c r="W801" i="2"/>
  <c r="W800" i="2"/>
  <c r="W799" i="2"/>
  <c r="W798" i="2"/>
  <c r="W797" i="2"/>
  <c r="W796" i="2"/>
  <c r="W795" i="2"/>
  <c r="W794" i="2"/>
  <c r="W793" i="2"/>
  <c r="W792" i="2"/>
  <c r="W791" i="2"/>
  <c r="W790" i="2"/>
  <c r="W789" i="2"/>
  <c r="W788" i="2"/>
  <c r="W787" i="2"/>
  <c r="W786" i="2"/>
  <c r="W785" i="2"/>
  <c r="W784" i="2"/>
  <c r="W783" i="2"/>
  <c r="W782" i="2"/>
  <c r="W781" i="2"/>
  <c r="W780" i="2"/>
  <c r="W779" i="2"/>
  <c r="W778" i="2"/>
  <c r="W777" i="2"/>
  <c r="W776" i="2"/>
  <c r="W775" i="2"/>
  <c r="W774" i="2"/>
  <c r="W773" i="2"/>
  <c r="W772" i="2"/>
  <c r="W771" i="2"/>
  <c r="W770" i="2"/>
  <c r="W769" i="2"/>
  <c r="W768" i="2"/>
  <c r="W767" i="2"/>
  <c r="W766" i="2"/>
  <c r="W765" i="2"/>
  <c r="W764" i="2"/>
  <c r="W763" i="2"/>
  <c r="W762" i="2"/>
  <c r="W761" i="2"/>
  <c r="W760" i="2"/>
  <c r="W759" i="2"/>
  <c r="W758" i="2"/>
  <c r="W757" i="2"/>
  <c r="W756" i="2"/>
  <c r="W755" i="2"/>
  <c r="W754" i="2"/>
  <c r="W753" i="2"/>
  <c r="W752" i="2"/>
  <c r="W751" i="2"/>
  <c r="W750" i="2"/>
  <c r="W749" i="2"/>
  <c r="W748" i="2"/>
  <c r="W747" i="2"/>
  <c r="W746" i="2"/>
  <c r="W745" i="2"/>
  <c r="W744" i="2"/>
  <c r="W743" i="2"/>
  <c r="W742" i="2"/>
  <c r="W741" i="2"/>
  <c r="W740" i="2"/>
  <c r="W739" i="2"/>
  <c r="W738" i="2"/>
  <c r="W737" i="2"/>
  <c r="W736" i="2"/>
  <c r="W735" i="2"/>
  <c r="W734" i="2"/>
  <c r="W733" i="2"/>
  <c r="W732" i="2"/>
  <c r="W731" i="2"/>
  <c r="W730" i="2"/>
  <c r="W729" i="2"/>
  <c r="W728" i="2"/>
  <c r="W727" i="2"/>
  <c r="W726" i="2"/>
  <c r="W725" i="2"/>
  <c r="W724" i="2"/>
  <c r="W723" i="2"/>
  <c r="W722" i="2"/>
  <c r="W721" i="2"/>
  <c r="W720" i="2"/>
  <c r="W719" i="2"/>
  <c r="W718" i="2"/>
  <c r="W717" i="2"/>
  <c r="W716" i="2"/>
  <c r="W715" i="2"/>
  <c r="W714" i="2"/>
  <c r="W713" i="2"/>
  <c r="W712" i="2"/>
  <c r="W711" i="2"/>
  <c r="W710" i="2"/>
  <c r="W709" i="2"/>
  <c r="W708" i="2"/>
  <c r="W707" i="2"/>
  <c r="W706" i="2"/>
  <c r="W705" i="2"/>
  <c r="W704" i="2"/>
  <c r="W703" i="2"/>
  <c r="W702" i="2"/>
  <c r="W701" i="2"/>
  <c r="W700" i="2"/>
  <c r="W699" i="2"/>
  <c r="W698" i="2"/>
  <c r="W697" i="2"/>
  <c r="W696" i="2"/>
  <c r="W695" i="2"/>
  <c r="W694" i="2"/>
  <c r="W693" i="2"/>
  <c r="W692" i="2"/>
  <c r="W691" i="2"/>
  <c r="W690" i="2"/>
  <c r="W689" i="2"/>
  <c r="W688" i="2"/>
  <c r="W687" i="2"/>
  <c r="W686" i="2"/>
  <c r="W685" i="2"/>
  <c r="W684" i="2"/>
  <c r="W683" i="2"/>
  <c r="W682" i="2"/>
  <c r="W681" i="2"/>
  <c r="W680" i="2"/>
  <c r="W679" i="2"/>
  <c r="W678" i="2"/>
  <c r="W677" i="2"/>
  <c r="W676" i="2"/>
  <c r="W675" i="2"/>
  <c r="W674" i="2"/>
  <c r="W673" i="2"/>
  <c r="W672" i="2"/>
  <c r="W671" i="2"/>
  <c r="W670" i="2"/>
  <c r="W669" i="2"/>
  <c r="W668" i="2"/>
  <c r="W667" i="2"/>
  <c r="W666" i="2"/>
  <c r="W665" i="2"/>
  <c r="W664" i="2"/>
  <c r="W663" i="2"/>
  <c r="W662" i="2"/>
  <c r="W661" i="2"/>
  <c r="W660" i="2"/>
  <c r="W659" i="2"/>
  <c r="W658" i="2"/>
  <c r="W657" i="2"/>
  <c r="W656" i="2"/>
  <c r="W655" i="2"/>
  <c r="W654" i="2"/>
  <c r="W653" i="2"/>
  <c r="W652" i="2"/>
  <c r="W651" i="2"/>
  <c r="W650" i="2"/>
  <c r="W649" i="2"/>
  <c r="W648" i="2"/>
  <c r="W647" i="2"/>
  <c r="W646" i="2"/>
  <c r="W645" i="2"/>
  <c r="W644" i="2"/>
  <c r="W643" i="2"/>
  <c r="W642" i="2"/>
  <c r="W641" i="2"/>
  <c r="W640" i="2"/>
  <c r="W639" i="2"/>
  <c r="W638" i="2"/>
  <c r="W637" i="2"/>
  <c r="W636" i="2"/>
  <c r="W635" i="2"/>
  <c r="W634" i="2"/>
  <c r="W633" i="2"/>
  <c r="W632" i="2"/>
  <c r="W631" i="2"/>
  <c r="W630" i="2"/>
  <c r="W629" i="2"/>
  <c r="W628" i="2"/>
  <c r="W627" i="2"/>
  <c r="W626" i="2"/>
  <c r="W625" i="2"/>
  <c r="W624" i="2"/>
  <c r="W623" i="2"/>
  <c r="W622" i="2"/>
  <c r="W621" i="2"/>
  <c r="W620" i="2"/>
  <c r="W619" i="2"/>
  <c r="W618" i="2"/>
  <c r="W617" i="2"/>
  <c r="W616" i="2"/>
  <c r="W615" i="2"/>
  <c r="W614" i="2"/>
  <c r="W613" i="2"/>
  <c r="W612" i="2"/>
  <c r="W611" i="2"/>
  <c r="W610" i="2"/>
  <c r="W609" i="2"/>
  <c r="W608" i="2"/>
  <c r="W607" i="2"/>
  <c r="W606" i="2"/>
  <c r="W605" i="2"/>
  <c r="W604" i="2"/>
  <c r="W603" i="2"/>
  <c r="W602" i="2"/>
  <c r="W601" i="2"/>
  <c r="W600" i="2"/>
  <c r="W599" i="2"/>
  <c r="W598" i="2"/>
  <c r="W597" i="2"/>
  <c r="W596" i="2"/>
  <c r="W595" i="2"/>
  <c r="W594" i="2"/>
  <c r="W593" i="2"/>
  <c r="W592" i="2"/>
  <c r="W591" i="2"/>
  <c r="W590" i="2"/>
  <c r="W589" i="2"/>
  <c r="W588" i="2"/>
  <c r="W587" i="2"/>
  <c r="W586" i="2"/>
  <c r="W585" i="2"/>
  <c r="W584" i="2"/>
  <c r="W583" i="2"/>
  <c r="W582" i="2"/>
  <c r="W581" i="2"/>
  <c r="W580" i="2"/>
  <c r="W579" i="2"/>
  <c r="W578" i="2"/>
  <c r="W577" i="2"/>
  <c r="W576" i="2"/>
  <c r="W575" i="2"/>
  <c r="W574" i="2"/>
  <c r="W573" i="2"/>
  <c r="W572" i="2"/>
  <c r="W571" i="2"/>
  <c r="W570" i="2"/>
  <c r="W569" i="2"/>
  <c r="W568" i="2"/>
  <c r="W567" i="2"/>
  <c r="W566" i="2"/>
  <c r="W565" i="2"/>
  <c r="W564" i="2"/>
  <c r="W563" i="2"/>
  <c r="W562" i="2"/>
  <c r="W561" i="2"/>
  <c r="W560" i="2"/>
  <c r="W559" i="2"/>
  <c r="W558" i="2"/>
  <c r="W557" i="2"/>
  <c r="W556" i="2"/>
  <c r="W555" i="2"/>
  <c r="W554" i="2"/>
  <c r="W553" i="2"/>
  <c r="W552" i="2"/>
  <c r="W551" i="2"/>
  <c r="W550" i="2"/>
  <c r="W549" i="2"/>
  <c r="W548" i="2"/>
  <c r="W547" i="2"/>
  <c r="W546" i="2"/>
  <c r="W545" i="2"/>
  <c r="W544" i="2"/>
  <c r="W543" i="2"/>
  <c r="W542" i="2"/>
  <c r="W541" i="2"/>
  <c r="W540" i="2"/>
  <c r="W539" i="2"/>
  <c r="W538" i="2"/>
  <c r="W537" i="2"/>
  <c r="W536" i="2"/>
  <c r="W535" i="2"/>
  <c r="W534" i="2"/>
  <c r="W533" i="2"/>
  <c r="W532" i="2"/>
  <c r="W531" i="2"/>
  <c r="W530" i="2"/>
  <c r="W529" i="2"/>
  <c r="W528" i="2"/>
  <c r="W527" i="2"/>
  <c r="W526" i="2"/>
  <c r="W525" i="2"/>
  <c r="W524" i="2"/>
  <c r="W523" i="2"/>
  <c r="W522" i="2"/>
  <c r="W521" i="2"/>
  <c r="W520" i="2"/>
  <c r="W519" i="2"/>
  <c r="W518" i="2"/>
  <c r="W517" i="2"/>
  <c r="W516" i="2"/>
  <c r="W515" i="2"/>
  <c r="W514" i="2"/>
  <c r="W513" i="2"/>
  <c r="W512" i="2"/>
  <c r="W511" i="2"/>
  <c r="W510" i="2"/>
  <c r="W509" i="2"/>
  <c r="W508" i="2"/>
  <c r="W507" i="2"/>
  <c r="W506" i="2"/>
  <c r="W505" i="2"/>
  <c r="W504" i="2"/>
  <c r="W503" i="2"/>
  <c r="W502" i="2"/>
  <c r="W501" i="2"/>
  <c r="W500" i="2"/>
  <c r="W499" i="2"/>
  <c r="W498" i="2"/>
  <c r="W497" i="2"/>
  <c r="W496" i="2"/>
  <c r="W495" i="2"/>
  <c r="W494" i="2"/>
  <c r="W493" i="2"/>
  <c r="W492" i="2"/>
  <c r="W491" i="2"/>
  <c r="W490" i="2"/>
  <c r="W489" i="2"/>
  <c r="W488" i="2"/>
  <c r="W487" i="2"/>
  <c r="W486" i="2"/>
  <c r="W485" i="2"/>
  <c r="W484" i="2"/>
  <c r="W483" i="2"/>
  <c r="W482" i="2"/>
  <c r="W481" i="2"/>
  <c r="W480" i="2"/>
  <c r="W479" i="2"/>
  <c r="W478" i="2"/>
  <c r="W477" i="2"/>
  <c r="W476" i="2"/>
  <c r="W475" i="2"/>
  <c r="W474" i="2"/>
  <c r="W473" i="2"/>
  <c r="W472" i="2"/>
  <c r="W471" i="2"/>
  <c r="W470" i="2"/>
  <c r="W469" i="2"/>
  <c r="W468" i="2"/>
  <c r="W467" i="2"/>
  <c r="W466" i="2"/>
  <c r="W465" i="2"/>
  <c r="W464" i="2"/>
  <c r="W463" i="2"/>
  <c r="W462" i="2"/>
  <c r="W461" i="2"/>
  <c r="W460" i="2"/>
  <c r="W459" i="2"/>
  <c r="W458" i="2"/>
  <c r="W457" i="2"/>
  <c r="W456" i="2"/>
  <c r="W455" i="2"/>
  <c r="W454" i="2"/>
  <c r="W453" i="2"/>
  <c r="W452" i="2"/>
  <c r="W451" i="2"/>
  <c r="W450" i="2"/>
  <c r="W449" i="2"/>
  <c r="W448" i="2"/>
  <c r="W447" i="2"/>
  <c r="W446" i="2"/>
  <c r="W445" i="2"/>
  <c r="W444" i="2"/>
  <c r="W443" i="2"/>
  <c r="W442" i="2"/>
  <c r="W441" i="2"/>
  <c r="W440" i="2"/>
  <c r="W439" i="2"/>
  <c r="W438" i="2"/>
  <c r="W437" i="2"/>
  <c r="W436" i="2"/>
  <c r="W435" i="2"/>
  <c r="W434" i="2"/>
  <c r="W433" i="2"/>
  <c r="W432" i="2"/>
  <c r="W431" i="2"/>
  <c r="W430" i="2"/>
  <c r="W429" i="2"/>
  <c r="W428" i="2"/>
  <c r="W427" i="2"/>
  <c r="W426" i="2"/>
  <c r="W425" i="2"/>
  <c r="W424" i="2"/>
  <c r="W423" i="2"/>
  <c r="W422" i="2"/>
  <c r="W421" i="2"/>
  <c r="W420" i="2"/>
  <c r="W419" i="2"/>
  <c r="W418" i="2"/>
  <c r="W417" i="2"/>
  <c r="W416" i="2"/>
  <c r="W415" i="2"/>
  <c r="W414" i="2"/>
  <c r="W413" i="2"/>
  <c r="W412" i="2"/>
  <c r="W411" i="2"/>
  <c r="W410" i="2"/>
  <c r="W409" i="2"/>
  <c r="W408" i="2"/>
  <c r="W407" i="2"/>
  <c r="W406" i="2"/>
  <c r="W405" i="2"/>
  <c r="W404" i="2"/>
  <c r="W403" i="2"/>
  <c r="W402" i="2"/>
  <c r="W401" i="2"/>
  <c r="W400" i="2"/>
  <c r="W399" i="2"/>
  <c r="W398" i="2"/>
  <c r="W397" i="2"/>
  <c r="W396" i="2"/>
  <c r="W395" i="2"/>
  <c r="W394" i="2"/>
  <c r="W393" i="2"/>
  <c r="W392" i="2"/>
  <c r="W391" i="2"/>
  <c r="W390" i="2"/>
  <c r="W389" i="2"/>
  <c r="W388" i="2"/>
  <c r="W387" i="2"/>
  <c r="W386" i="2"/>
  <c r="W385" i="2"/>
  <c r="W384" i="2"/>
  <c r="W383" i="2"/>
  <c r="W382" i="2"/>
  <c r="W381" i="2"/>
  <c r="W380" i="2"/>
  <c r="W379" i="2"/>
  <c r="W378" i="2"/>
  <c r="W377" i="2"/>
  <c r="W376" i="2"/>
  <c r="W375" i="2"/>
  <c r="W374" i="2"/>
  <c r="W373" i="2"/>
  <c r="W372" i="2"/>
  <c r="W371" i="2"/>
  <c r="W370" i="2"/>
  <c r="W369" i="2"/>
  <c r="W368" i="2"/>
  <c r="W367" i="2"/>
  <c r="W366" i="2"/>
  <c r="W365" i="2"/>
  <c r="W364" i="2"/>
  <c r="W363" i="2"/>
  <c r="W362" i="2"/>
  <c r="W361" i="2"/>
  <c r="W360" i="2"/>
  <c r="W359" i="2"/>
  <c r="W358" i="2"/>
  <c r="W357" i="2"/>
  <c r="W356" i="2"/>
  <c r="W355" i="2"/>
  <c r="W354" i="2"/>
  <c r="W353" i="2"/>
  <c r="W352" i="2"/>
  <c r="W351" i="2"/>
  <c r="W350" i="2"/>
  <c r="W349" i="2"/>
  <c r="W348" i="2"/>
  <c r="W347" i="2"/>
  <c r="W346" i="2"/>
  <c r="W345" i="2"/>
  <c r="W344" i="2"/>
  <c r="W343" i="2"/>
  <c r="W342" i="2"/>
  <c r="W341" i="2"/>
  <c r="W340" i="2"/>
  <c r="W339" i="2"/>
  <c r="W338" i="2"/>
  <c r="W337" i="2"/>
  <c r="W336" i="2"/>
  <c r="W335" i="2"/>
  <c r="W334" i="2"/>
  <c r="W333" i="2"/>
  <c r="W332" i="2"/>
  <c r="W331" i="2"/>
  <c r="W330" i="2"/>
  <c r="W329" i="2"/>
  <c r="W328" i="2"/>
  <c r="W327" i="2"/>
  <c r="W326" i="2"/>
  <c r="W325" i="2"/>
  <c r="W324" i="2"/>
  <c r="W323" i="2"/>
  <c r="W322" i="2"/>
  <c r="W321" i="2"/>
  <c r="W320" i="2"/>
  <c r="W319" i="2"/>
  <c r="W318" i="2"/>
  <c r="W317" i="2"/>
  <c r="W316" i="2"/>
  <c r="W315" i="2"/>
  <c r="W314" i="2"/>
  <c r="W313" i="2"/>
  <c r="W312" i="2"/>
  <c r="W311" i="2"/>
  <c r="W310" i="2"/>
  <c r="W309" i="2"/>
  <c r="W308" i="2"/>
  <c r="W307" i="2"/>
  <c r="W306" i="2"/>
  <c r="W305" i="2"/>
  <c r="W304" i="2"/>
  <c r="W303" i="2"/>
  <c r="W302" i="2"/>
  <c r="W301" i="2"/>
  <c r="W300" i="2"/>
  <c r="W299" i="2"/>
  <c r="W298" i="2"/>
  <c r="W297" i="2"/>
  <c r="W296" i="2"/>
  <c r="W295" i="2"/>
  <c r="W294" i="2"/>
  <c r="W293" i="2"/>
  <c r="W292" i="2"/>
  <c r="W291" i="2"/>
  <c r="W290" i="2"/>
  <c r="W289" i="2"/>
  <c r="W288" i="2"/>
  <c r="W287" i="2"/>
  <c r="W286" i="2"/>
  <c r="W285" i="2"/>
  <c r="W284" i="2"/>
  <c r="W283" i="2"/>
  <c r="W282" i="2"/>
  <c r="W281" i="2"/>
  <c r="W280" i="2"/>
  <c r="W279" i="2"/>
  <c r="W278" i="2"/>
  <c r="W277" i="2"/>
  <c r="W276" i="2"/>
  <c r="W275" i="2"/>
  <c r="W274" i="2"/>
  <c r="W273" i="2"/>
  <c r="W272" i="2"/>
  <c r="W271" i="2"/>
  <c r="W270" i="2"/>
  <c r="W269" i="2"/>
  <c r="W268" i="2"/>
  <c r="W267" i="2"/>
  <c r="W266" i="2"/>
  <c r="W265" i="2"/>
  <c r="W264" i="2"/>
  <c r="W263" i="2"/>
  <c r="W262" i="2"/>
  <c r="W261" i="2"/>
  <c r="W260" i="2"/>
  <c r="W259" i="2"/>
  <c r="W258" i="2"/>
  <c r="W257" i="2"/>
  <c r="W256" i="2"/>
  <c r="W255" i="2"/>
  <c r="W254" i="2"/>
  <c r="W253" i="2"/>
  <c r="W252" i="2"/>
  <c r="W251" i="2"/>
  <c r="W250" i="2"/>
  <c r="W249" i="2"/>
  <c r="W248" i="2"/>
  <c r="W247" i="2"/>
  <c r="W246" i="2"/>
  <c r="W245" i="2"/>
  <c r="W244" i="2"/>
  <c r="W243" i="2"/>
  <c r="W242" i="2"/>
  <c r="W241" i="2"/>
  <c r="W240" i="2"/>
  <c r="W239" i="2"/>
  <c r="W238" i="2"/>
  <c r="W237" i="2"/>
  <c r="W236" i="2"/>
  <c r="W235" i="2"/>
  <c r="W234" i="2"/>
  <c r="W233" i="2"/>
  <c r="W232" i="2"/>
  <c r="W231" i="2"/>
  <c r="W230" i="2"/>
  <c r="W229" i="2"/>
  <c r="W228" i="2"/>
  <c r="W227" i="2"/>
  <c r="W226" i="2"/>
  <c r="W225" i="2"/>
  <c r="W224" i="2"/>
  <c r="W223" i="2"/>
  <c r="W222" i="2"/>
  <c r="W221" i="2"/>
  <c r="W220" i="2"/>
  <c r="W219" i="2"/>
  <c r="W218" i="2"/>
  <c r="W217" i="2"/>
  <c r="W216" i="2"/>
  <c r="W215" i="2"/>
  <c r="W214" i="2"/>
  <c r="W213" i="2"/>
  <c r="W212" i="2"/>
  <c r="W211" i="2"/>
  <c r="W210" i="2"/>
  <c r="W209" i="2"/>
  <c r="W208" i="2"/>
  <c r="W207" i="2"/>
  <c r="W206" i="2"/>
  <c r="W205" i="2"/>
  <c r="W204" i="2"/>
  <c r="W203" i="2"/>
  <c r="W202" i="2"/>
  <c r="W201" i="2"/>
  <c r="W200" i="2"/>
  <c r="W199" i="2"/>
  <c r="W198" i="2"/>
  <c r="W197" i="2"/>
  <c r="W196" i="2"/>
  <c r="W195" i="2"/>
  <c r="W194" i="2"/>
  <c r="W193" i="2"/>
  <c r="W192" i="2"/>
  <c r="W191" i="2"/>
  <c r="W190" i="2"/>
  <c r="W189" i="2"/>
  <c r="W188" i="2"/>
  <c r="W187" i="2"/>
  <c r="W186" i="2"/>
  <c r="W185" i="2"/>
  <c r="W184" i="2"/>
  <c r="W183" i="2"/>
  <c r="W182" i="2"/>
  <c r="W181" i="2"/>
  <c r="W180" i="2"/>
  <c r="W179" i="2"/>
  <c r="W178" i="2"/>
  <c r="W177" i="2"/>
  <c r="W176" i="2"/>
  <c r="W175" i="2"/>
  <c r="W174" i="2"/>
  <c r="W173" i="2"/>
  <c r="W172" i="2"/>
  <c r="W171" i="2"/>
  <c r="W170" i="2"/>
  <c r="W169" i="2"/>
  <c r="W168" i="2"/>
  <c r="W167" i="2"/>
  <c r="W166" i="2"/>
  <c r="W165" i="2"/>
  <c r="W164" i="2"/>
  <c r="W163" i="2"/>
  <c r="W162" i="2"/>
  <c r="W161" i="2"/>
  <c r="W160" i="2"/>
  <c r="W159" i="2"/>
  <c r="W158" i="2"/>
  <c r="W157" i="2"/>
  <c r="W156" i="2"/>
  <c r="W155" i="2"/>
  <c r="W154" i="2"/>
  <c r="W153" i="2"/>
  <c r="W152" i="2"/>
  <c r="W151" i="2"/>
  <c r="W150" i="2"/>
  <c r="W149" i="2"/>
  <c r="W148" i="2"/>
  <c r="W147" i="2"/>
  <c r="W146" i="2"/>
  <c r="W145" i="2"/>
  <c r="W144" i="2"/>
  <c r="W143" i="2"/>
  <c r="W142" i="2"/>
  <c r="W141" i="2"/>
  <c r="W140" i="2"/>
  <c r="W139" i="2"/>
  <c r="W138" i="2"/>
  <c r="W137" i="2"/>
  <c r="W136" i="2"/>
  <c r="W135" i="2"/>
  <c r="W134" i="2"/>
  <c r="W133" i="2"/>
  <c r="W132" i="2"/>
  <c r="W131" i="2"/>
  <c r="W130" i="2"/>
  <c r="W129" i="2"/>
  <c r="W128" i="2"/>
  <c r="W127" i="2"/>
  <c r="W126" i="2"/>
  <c r="W125" i="2"/>
  <c r="W124" i="2"/>
  <c r="W123" i="2"/>
  <c r="W122" i="2"/>
  <c r="W121" i="2"/>
  <c r="W120" i="2"/>
  <c r="W119" i="2"/>
  <c r="W118" i="2"/>
  <c r="W117" i="2"/>
  <c r="W116" i="2"/>
  <c r="W115" i="2"/>
  <c r="W114" i="2"/>
  <c r="W113" i="2"/>
  <c r="W112" i="2"/>
  <c r="W111" i="2"/>
  <c r="W110" i="2"/>
  <c r="W109" i="2"/>
  <c r="W108" i="2"/>
  <c r="W107" i="2"/>
  <c r="W106" i="2"/>
  <c r="W105" i="2"/>
  <c r="W104" i="2"/>
  <c r="W103" i="2"/>
  <c r="W102" i="2"/>
  <c r="W101" i="2"/>
  <c r="W100" i="2"/>
  <c r="W99" i="2"/>
  <c r="W98" i="2"/>
  <c r="W97" i="2"/>
  <c r="W96" i="2"/>
  <c r="W95" i="2"/>
  <c r="W94" i="2"/>
  <c r="W93" i="2"/>
  <c r="W92" i="2"/>
  <c r="W91" i="2"/>
  <c r="W90" i="2"/>
  <c r="W89" i="2"/>
  <c r="W88" i="2"/>
  <c r="W87" i="2"/>
  <c r="W86" i="2"/>
  <c r="W85" i="2"/>
  <c r="W84" i="2"/>
  <c r="W83" i="2"/>
  <c r="W82" i="2"/>
  <c r="W81" i="2"/>
  <c r="W80" i="2"/>
  <c r="W79" i="2"/>
  <c r="W78" i="2"/>
  <c r="W77" i="2"/>
  <c r="W76" i="2"/>
  <c r="W75" i="2"/>
  <c r="W74" i="2"/>
  <c r="W73" i="2"/>
  <c r="W72" i="2"/>
  <c r="W71" i="2"/>
  <c r="W70" i="2"/>
  <c r="W69" i="2"/>
  <c r="W68" i="2"/>
  <c r="W67" i="2"/>
  <c r="W66" i="2"/>
  <c r="W65" i="2"/>
  <c r="W64" i="2"/>
  <c r="W63" i="2"/>
  <c r="W62" i="2"/>
  <c r="W61" i="2"/>
  <c r="W60" i="2"/>
  <c r="W59" i="2"/>
  <c r="W58" i="2"/>
  <c r="W57" i="2"/>
  <c r="W56" i="2"/>
  <c r="W55" i="2"/>
  <c r="W54" i="2"/>
  <c r="W53" i="2"/>
  <c r="W52" i="2"/>
  <c r="W51" i="2"/>
  <c r="W50" i="2"/>
  <c r="W49" i="2"/>
  <c r="W48" i="2"/>
  <c r="W47" i="2"/>
  <c r="W46" i="2"/>
  <c r="W45" i="2"/>
  <c r="W44" i="2"/>
  <c r="W43" i="2"/>
  <c r="W42" i="2"/>
  <c r="W41" i="2"/>
  <c r="W40" i="2"/>
  <c r="W39" i="2"/>
  <c r="W38" i="2"/>
  <c r="W37" i="2"/>
  <c r="W36" i="2"/>
  <c r="W35" i="2"/>
  <c r="W34" i="2"/>
  <c r="W33" i="2"/>
  <c r="W32" i="2"/>
  <c r="W31" i="2"/>
  <c r="W30" i="2"/>
  <c r="W29" i="2"/>
  <c r="W28" i="2"/>
  <c r="W27" i="2"/>
  <c r="W26" i="2"/>
  <c r="W25" i="2"/>
  <c r="W24" i="2"/>
  <c r="W23" i="2"/>
  <c r="W22" i="2"/>
  <c r="W21" i="2"/>
  <c r="W20" i="2"/>
  <c r="W19" i="2"/>
  <c r="W18" i="2"/>
  <c r="W17" i="2"/>
  <c r="W16" i="2"/>
  <c r="W15" i="2"/>
  <c r="W14" i="2"/>
  <c r="W13" i="2"/>
  <c r="W12" i="2"/>
  <c r="W11" i="2"/>
  <c r="W10" i="2"/>
  <c r="W9" i="2"/>
  <c r="W8" i="2"/>
  <c r="W7" i="2"/>
  <c r="W6" i="2"/>
  <c r="W5" i="2"/>
  <c r="W4" i="2"/>
  <c r="W3" i="2"/>
  <c r="W2" i="2"/>
  <c r="L407" i="12"/>
  <c r="L406" i="12"/>
  <c r="L405" i="12"/>
  <c r="L404" i="12"/>
  <c r="L403" i="12"/>
  <c r="L402" i="12"/>
  <c r="L401" i="12"/>
  <c r="L400" i="12"/>
  <c r="L399" i="12"/>
  <c r="L398" i="12"/>
  <c r="L397" i="12"/>
  <c r="L396" i="12"/>
  <c r="L395" i="12"/>
  <c r="L394" i="12"/>
  <c r="L393" i="12"/>
  <c r="L392" i="12"/>
  <c r="L391" i="12"/>
  <c r="L390" i="12"/>
  <c r="L389" i="12"/>
  <c r="L388" i="12"/>
  <c r="L387" i="12"/>
  <c r="L386" i="12"/>
  <c r="L385" i="12"/>
  <c r="L384" i="12"/>
  <c r="L383" i="12"/>
  <c r="L382" i="12"/>
  <c r="L381" i="12"/>
  <c r="L380" i="12"/>
  <c r="L379" i="12"/>
  <c r="L378" i="12"/>
  <c r="L377" i="12"/>
  <c r="L376" i="12"/>
  <c r="L375" i="12"/>
  <c r="L374" i="12"/>
  <c r="L373" i="12"/>
  <c r="L372" i="12"/>
  <c r="L371" i="12"/>
  <c r="L370" i="12"/>
  <c r="L369" i="12"/>
  <c r="L368" i="12"/>
  <c r="L367" i="12"/>
  <c r="L366" i="12"/>
  <c r="L365" i="12"/>
  <c r="L364" i="12"/>
  <c r="L363" i="12"/>
  <c r="L362" i="12"/>
  <c r="L361" i="12"/>
  <c r="L360" i="12"/>
  <c r="L359" i="12"/>
  <c r="L358" i="12"/>
  <c r="L357" i="12"/>
  <c r="L356" i="12"/>
  <c r="L355" i="12"/>
  <c r="L354" i="12"/>
  <c r="L353" i="12"/>
  <c r="L352" i="12"/>
  <c r="L351" i="12"/>
  <c r="L350" i="12"/>
  <c r="L349" i="12"/>
  <c r="L348" i="12"/>
  <c r="L347" i="12"/>
  <c r="L346" i="12"/>
  <c r="L345" i="12"/>
  <c r="L344" i="12"/>
  <c r="L343" i="12"/>
  <c r="L342" i="12"/>
  <c r="L341" i="12"/>
  <c r="L340" i="12"/>
  <c r="L339" i="12"/>
  <c r="L338" i="12"/>
  <c r="L337" i="12"/>
  <c r="L336" i="12"/>
  <c r="L335" i="12"/>
  <c r="L334" i="12"/>
  <c r="L333" i="12"/>
  <c r="L332" i="12"/>
  <c r="L331" i="12"/>
  <c r="L330" i="12"/>
  <c r="L329" i="12"/>
  <c r="L328" i="12"/>
  <c r="L327" i="12"/>
  <c r="L326" i="12"/>
  <c r="L325" i="12"/>
  <c r="L324" i="12"/>
  <c r="L323" i="12"/>
  <c r="L322" i="12"/>
  <c r="L321" i="12"/>
  <c r="L320" i="12"/>
  <c r="L319" i="12"/>
  <c r="L318" i="12"/>
  <c r="L317" i="12"/>
  <c r="L316" i="12"/>
  <c r="L315" i="12"/>
  <c r="L314" i="12"/>
  <c r="L313" i="12"/>
  <c r="L312" i="12"/>
  <c r="L311" i="12"/>
  <c r="L310" i="12"/>
  <c r="L309" i="12"/>
  <c r="L308" i="12"/>
  <c r="L307" i="12"/>
  <c r="L306" i="12"/>
  <c r="L305" i="12"/>
  <c r="L304" i="12"/>
  <c r="L303" i="12"/>
  <c r="L302" i="12"/>
  <c r="L301" i="12"/>
  <c r="L300" i="12"/>
  <c r="L299" i="12"/>
  <c r="L298" i="12"/>
  <c r="L297" i="12"/>
  <c r="L296" i="12"/>
  <c r="L295" i="12"/>
  <c r="L294" i="12"/>
  <c r="L293" i="12"/>
  <c r="L292" i="12"/>
  <c r="L291" i="12"/>
  <c r="L290" i="12"/>
  <c r="L289" i="12"/>
  <c r="L288" i="12"/>
  <c r="L287" i="12"/>
  <c r="L286" i="12"/>
  <c r="L285" i="12"/>
  <c r="L284" i="12"/>
  <c r="L283" i="12"/>
  <c r="L282" i="12"/>
  <c r="L281" i="12"/>
  <c r="L280" i="12"/>
  <c r="L279" i="12"/>
  <c r="L278" i="12"/>
  <c r="L277" i="12"/>
  <c r="L276" i="12"/>
  <c r="L275" i="12"/>
  <c r="L274" i="12"/>
  <c r="L273" i="12"/>
  <c r="L272" i="12"/>
  <c r="L271" i="12"/>
  <c r="L270" i="12"/>
  <c r="L269" i="12"/>
  <c r="L268" i="12"/>
  <c r="L267" i="12"/>
  <c r="L266" i="12"/>
  <c r="L265" i="12"/>
  <c r="L264" i="12"/>
  <c r="L263" i="12"/>
  <c r="L262" i="12"/>
  <c r="L261" i="12"/>
  <c r="L260" i="12"/>
  <c r="L259" i="12"/>
  <c r="L258" i="12"/>
  <c r="L257" i="12"/>
  <c r="L256" i="12"/>
  <c r="L255" i="12"/>
  <c r="L254" i="12"/>
  <c r="L253" i="12"/>
  <c r="L252" i="12"/>
  <c r="L251" i="12"/>
  <c r="L250" i="12"/>
  <c r="L249" i="12"/>
  <c r="L248" i="12"/>
  <c r="L247" i="12"/>
  <c r="L246" i="12"/>
  <c r="L245" i="12"/>
  <c r="L244" i="12"/>
  <c r="L243" i="12"/>
  <c r="L242" i="12"/>
  <c r="L241" i="12"/>
  <c r="L240" i="12"/>
  <c r="L239" i="12"/>
  <c r="L238" i="12"/>
  <c r="L237" i="12"/>
  <c r="L236" i="12"/>
  <c r="L235" i="12"/>
  <c r="L234" i="12"/>
  <c r="L233" i="12"/>
  <c r="L232" i="12"/>
  <c r="L231" i="12"/>
  <c r="L230" i="12"/>
  <c r="L229" i="12"/>
  <c r="L228" i="12"/>
  <c r="L227" i="12"/>
  <c r="L226" i="12"/>
  <c r="L225" i="12"/>
  <c r="L224" i="12"/>
  <c r="L223" i="12"/>
  <c r="L222" i="12"/>
  <c r="L221" i="12"/>
  <c r="L220" i="12"/>
  <c r="L219" i="12"/>
  <c r="L218" i="12"/>
  <c r="L217" i="12"/>
  <c r="L216" i="12"/>
  <c r="L215" i="12"/>
  <c r="L214" i="12"/>
  <c r="L213" i="12"/>
  <c r="L212" i="12"/>
  <c r="L211" i="12"/>
  <c r="L210" i="12"/>
  <c r="L209" i="12"/>
  <c r="L208" i="12"/>
  <c r="L207" i="12"/>
  <c r="L206" i="12"/>
  <c r="L205" i="12"/>
  <c r="L204" i="12"/>
  <c r="L203" i="12"/>
  <c r="L202" i="12"/>
  <c r="L201" i="12"/>
  <c r="L200" i="12"/>
  <c r="L199" i="12"/>
  <c r="L198" i="12"/>
  <c r="L197" i="12"/>
  <c r="L196" i="12"/>
  <c r="L195" i="12"/>
  <c r="L194" i="12"/>
  <c r="L193" i="12"/>
  <c r="L192" i="12"/>
  <c r="L191" i="12"/>
  <c r="L190" i="12"/>
  <c r="L189" i="12"/>
  <c r="L188" i="12"/>
  <c r="L187" i="12"/>
  <c r="L186" i="12"/>
  <c r="L185" i="12"/>
  <c r="L184" i="12"/>
  <c r="L183" i="12"/>
  <c r="L182" i="12"/>
  <c r="L181" i="12"/>
  <c r="L180" i="12"/>
  <c r="L179" i="12"/>
  <c r="L178" i="12"/>
  <c r="L177" i="12"/>
  <c r="L176" i="12"/>
  <c r="L175" i="12"/>
  <c r="L174" i="12"/>
  <c r="L173" i="12"/>
  <c r="L172" i="12"/>
  <c r="L171" i="12"/>
  <c r="L170" i="12"/>
  <c r="L169" i="12"/>
  <c r="L168" i="12"/>
  <c r="L167" i="12"/>
  <c r="L166" i="12"/>
  <c r="L165" i="12"/>
  <c r="L164" i="12"/>
  <c r="L163" i="12"/>
  <c r="L162" i="12"/>
  <c r="L161" i="12"/>
  <c r="L160" i="12"/>
  <c r="L159" i="12"/>
  <c r="L158" i="12"/>
  <c r="L157" i="12"/>
  <c r="L156" i="12"/>
  <c r="L155" i="12"/>
  <c r="L154" i="12"/>
  <c r="L153" i="12"/>
  <c r="L152" i="12"/>
  <c r="L151" i="12"/>
  <c r="L150" i="12"/>
  <c r="L149" i="12"/>
  <c r="L148" i="12"/>
  <c r="L147" i="12"/>
  <c r="L146" i="12"/>
  <c r="L145" i="12"/>
  <c r="L144" i="12"/>
  <c r="L143" i="12"/>
  <c r="L142" i="12"/>
  <c r="L141" i="12"/>
  <c r="L140" i="12"/>
  <c r="L139" i="12"/>
  <c r="L138" i="12"/>
  <c r="L137" i="12"/>
  <c r="L136" i="12"/>
  <c r="L135" i="12"/>
  <c r="L134" i="12"/>
  <c r="L133" i="12"/>
  <c r="L132" i="12"/>
  <c r="L131" i="12"/>
  <c r="L130" i="12"/>
  <c r="L129" i="12"/>
  <c r="L128" i="12"/>
  <c r="L127" i="12"/>
  <c r="L126" i="12"/>
  <c r="L125" i="12"/>
  <c r="L124" i="12"/>
  <c r="L123" i="12"/>
  <c r="L122" i="12"/>
  <c r="L121" i="12"/>
  <c r="L120" i="12"/>
  <c r="L119" i="12"/>
  <c r="L118" i="12"/>
  <c r="L117" i="12"/>
  <c r="L116" i="12"/>
  <c r="L115" i="12"/>
  <c r="L114" i="12"/>
  <c r="L113" i="12"/>
  <c r="L112" i="12"/>
  <c r="L111" i="12"/>
  <c r="L110" i="12"/>
  <c r="L109" i="12"/>
  <c r="L108" i="12"/>
  <c r="L107" i="12"/>
  <c r="L106" i="12"/>
  <c r="L105" i="12"/>
  <c r="L104" i="12"/>
  <c r="L103" i="12"/>
  <c r="L102" i="12"/>
  <c r="L101" i="12"/>
  <c r="L100" i="12"/>
  <c r="L99" i="12"/>
  <c r="L98" i="12"/>
  <c r="L97" i="12"/>
  <c r="L96" i="12"/>
  <c r="L95" i="12"/>
  <c r="L94" i="12"/>
  <c r="L93" i="12"/>
  <c r="L92" i="12"/>
  <c r="L91" i="12"/>
  <c r="L90" i="12"/>
  <c r="L89" i="12"/>
  <c r="L88" i="12"/>
  <c r="L87" i="12"/>
  <c r="L86" i="12"/>
  <c r="L85" i="12"/>
  <c r="L84" i="12"/>
  <c r="L83" i="12"/>
  <c r="L82" i="12"/>
  <c r="L81" i="12"/>
  <c r="L80" i="12"/>
  <c r="L79" i="12"/>
  <c r="L78" i="12"/>
  <c r="L77" i="12"/>
  <c r="L76" i="12"/>
  <c r="L75" i="12"/>
  <c r="L74" i="12"/>
  <c r="L73" i="12"/>
  <c r="L72" i="12"/>
  <c r="L71" i="12"/>
  <c r="L70" i="12"/>
  <c r="L69" i="12"/>
  <c r="L68" i="12"/>
  <c r="L67" i="12"/>
  <c r="L66" i="12"/>
  <c r="L65" i="12"/>
  <c r="L64" i="12"/>
  <c r="L63" i="12"/>
  <c r="L62" i="12"/>
  <c r="L61" i="12"/>
  <c r="L60" i="12"/>
  <c r="L59" i="12"/>
  <c r="L58" i="12"/>
  <c r="L57" i="12"/>
  <c r="L56" i="12"/>
  <c r="L55" i="12"/>
  <c r="L54" i="12"/>
  <c r="L53" i="12"/>
  <c r="L52" i="12"/>
  <c r="L51" i="12"/>
  <c r="L50" i="12"/>
  <c r="L49" i="12"/>
  <c r="L48" i="12"/>
  <c r="L47" i="12"/>
  <c r="L46" i="12"/>
  <c r="L45" i="12"/>
  <c r="L44" i="12"/>
  <c r="L43" i="12"/>
  <c r="L42" i="12"/>
  <c r="L41" i="12"/>
  <c r="L40" i="12"/>
  <c r="L39" i="12"/>
  <c r="L38" i="12"/>
  <c r="L37" i="12"/>
  <c r="L36" i="12"/>
  <c r="L35" i="12"/>
  <c r="L34" i="12"/>
  <c r="L33" i="12"/>
  <c r="L32" i="12"/>
  <c r="L31" i="12"/>
  <c r="L30" i="12"/>
  <c r="L29" i="12"/>
  <c r="L28" i="12"/>
  <c r="L27" i="12"/>
  <c r="L26" i="12"/>
  <c r="L25" i="12"/>
  <c r="L24" i="12"/>
  <c r="L23" i="12"/>
  <c r="L22" i="12"/>
  <c r="L21" i="12"/>
  <c r="L20" i="12"/>
  <c r="L19" i="12"/>
  <c r="L18" i="12"/>
  <c r="L17" i="12"/>
  <c r="L16" i="12"/>
  <c r="L15" i="12"/>
  <c r="L14" i="12"/>
  <c r="L13" i="12"/>
  <c r="L12" i="12"/>
  <c r="L11" i="12"/>
  <c r="L10" i="12"/>
  <c r="L9" i="12"/>
  <c r="L8" i="12"/>
  <c r="L7" i="12"/>
  <c r="L6" i="12"/>
  <c r="L5" i="12"/>
  <c r="L4" i="12"/>
  <c r="L3" i="12"/>
  <c r="L2" i="12"/>
  <c r="AH62" i="7" l="1" a="1"/>
  <c r="AH61" i="7" a="1"/>
  <c r="AH60" i="7" a="1"/>
  <c r="AH59" i="7" a="1"/>
  <c r="AH58" i="7" a="1"/>
  <c r="AH57" i="7" a="1"/>
  <c r="AH56" i="7" a="1"/>
  <c r="AH55" i="7" a="1"/>
  <c r="AH54" i="7" a="1"/>
  <c r="AH53" i="7" a="1"/>
  <c r="AH52" i="7" a="1"/>
  <c r="AH51" i="7" a="1"/>
  <c r="AH50" i="7" a="1"/>
  <c r="AH49" i="7" a="1"/>
  <c r="AH48" i="7" a="1"/>
  <c r="AH47" i="7" a="1"/>
  <c r="AH46" i="7" a="1"/>
  <c r="AH45" i="7" a="1"/>
  <c r="AH44" i="7" a="1"/>
  <c r="AH43" i="7" a="1"/>
  <c r="AH42" i="7" a="1"/>
  <c r="AH41" i="7" a="1"/>
  <c r="AH40" i="7" a="1"/>
  <c r="AH39" i="7" a="1"/>
  <c r="AH38" i="7" a="1"/>
  <c r="AH37" i="7" a="1"/>
  <c r="AH36" i="7" a="1"/>
  <c r="AH35" i="7" a="1"/>
  <c r="AH34" i="7" a="1"/>
  <c r="AH33" i="7" a="1"/>
  <c r="AH32" i="7" a="1"/>
  <c r="AH31" i="7" a="1"/>
  <c r="AH30" i="7" a="1"/>
  <c r="AH29" i="7" a="1"/>
  <c r="AH28" i="7" a="1"/>
  <c r="AH27" i="7" a="1"/>
  <c r="AH26" i="7" a="1"/>
  <c r="AH25" i="7" a="1"/>
  <c r="AH24" i="7" a="1"/>
  <c r="AH23" i="7" a="1"/>
  <c r="AH22" i="7" a="1"/>
  <c r="AH21" i="7" a="1"/>
  <c r="AH19" i="7" a="1"/>
  <c r="AH3" i="7" s="1" a="1"/>
  <c r="AH20" i="7" a="1"/>
  <c r="AH14" i="7" a="1"/>
  <c r="AH13" i="7" a="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Stephen_Colodner</author>
  </authors>
  <commentList>
    <comment ref="Q2" authorId="0" shapeId="0" xr:uid="{A0D608DE-632D-413C-B0AC-A70BB3FDA56D}">
      <text>
        <r>
          <rPr>
            <b/>
            <sz val="9"/>
            <color indexed="81"/>
            <rFont val="Tahoma"/>
            <family val="2"/>
          </rPr>
          <t>Measures the straight-line relationship between a predictor and Y. Values near 1 or -1 mean a strong linear relationship; values near 0 mean little linear pattern.</t>
        </r>
      </text>
    </comment>
    <comment ref="R2" authorId="0" shapeId="0" xr:uid="{4AAFFD69-8AEF-4D04-AF88-9FFA791F0EA3}">
      <text>
        <r>
          <rPr>
            <b/>
            <sz val="9"/>
            <color indexed="81"/>
            <rFont val="Tahoma"/>
            <family val="2"/>
          </rPr>
          <t>Measures whether higher X tends to go with higher or lower Y after converting both to ranks. It is useful when the relationship is ordered but curved instead of perfectly linear.</t>
        </r>
      </text>
    </comment>
    <comment ref="S2" authorId="0" shapeId="0" xr:uid="{687096AD-4A6E-4B21-B1B4-D7AB670C6896}">
      <text>
        <r>
          <rPr>
            <b/>
            <sz val="9"/>
            <color indexed="81"/>
            <rFont val="Tahoma"/>
            <family val="2"/>
          </rPr>
          <t>Shows whether the data have a longer tail on one side. Positive means a longer right tail; negative means a longer left tail.</t>
        </r>
      </text>
    </comment>
    <comment ref="T2" authorId="0" shapeId="0" xr:uid="{BB41EFD8-A4FD-44BC-B2BF-9764CE69F96E}">
      <text>
        <r>
          <rPr>
            <b/>
            <sz val="9"/>
            <color indexed="81"/>
            <rFont val="Tahoma"/>
            <family val="2"/>
          </rPr>
          <t>Shows how heavy the tails are relative to a normal bell curve. Positive values mean heavier tails with more frequent extremes; values near 0 match a normal distribution.</t>
        </r>
      </text>
    </comment>
    <comment ref="U2" authorId="0" shapeId="0" xr:uid="{73BC68FC-1B1A-4101-A115-C5B41EB0F629}">
      <text>
        <r>
          <rPr>
            <b/>
            <sz val="9"/>
            <color indexed="81"/>
            <rFont val="Tahoma"/>
            <family val="2"/>
          </rPr>
          <t>A measure of collinearity with the other predictors, generalized so a categorical predictor's whole dummy block shares one value instead of a separate number per level. A value of 1 means no overlap; above 5 warrants review, above 10 indicates a problem — those thresholds are exact for a continuous predictor, and reflect the combined block for a multi-level categorical one.</t>
        </r>
      </text>
    </comment>
    <comment ref="V2" authorId="0" shapeId="0" xr:uid="{FF9625A6-DA16-49C7-8611-D5AD4AB06B6D}">
      <text>
        <r>
          <rPr>
            <b/>
            <sz val="9"/>
            <color indexed="81"/>
            <rFont val="Tahoma"/>
            <family val="2"/>
          </rPr>
          <t>The fraction of a predictor's variation not explained by the other predictors (1/GVIF) — generalized the same way, so a categorical predictor's dummy columns share one value. Values below 0.2 warrant review; below 0.1 indicate strong collinearity.</t>
        </r>
      </text>
    </comment>
    <comment ref="AL2" authorId="0" shapeId="0" xr:uid="{575D9743-9A4F-4D57-A7F3-6CCEF5FB2D91}">
      <text>
        <r>
          <rPr>
            <b/>
            <sz val="9"/>
            <color indexed="81"/>
            <rFont val="Tahoma"/>
            <family val="2"/>
          </rPr>
          <t>The actual observed outcome values.</t>
        </r>
      </text>
    </comment>
    <comment ref="AM2" authorId="0" shapeId="0" xr:uid="{29A650B8-50C9-4E34-80B9-08374A2B9859}">
      <text>
        <r>
          <rPr>
            <b/>
            <sz val="9"/>
            <color indexed="81"/>
            <rFont val="Tahoma"/>
            <family val="2"/>
          </rPr>
          <t>The fitted outcome values produced by the model.</t>
        </r>
      </text>
    </comment>
    <comment ref="AN2" authorId="0" shapeId="0" xr:uid="{6169F18D-6B07-4A6B-9272-2EE732737BE9}">
      <text>
        <r>
          <rPr>
            <b/>
            <sz val="9"/>
            <color indexed="81"/>
            <rFont val="Tahoma"/>
            <family val="2"/>
          </rPr>
          <t>Actual Y minus predicted Y. Positive means the row came in above the model's prediction; negative means below.</t>
        </r>
      </text>
    </comment>
    <comment ref="AO2" authorId="0" shapeId="0" xr:uid="{92841E43-B284-41E6-BF8F-EFD64A81E891}">
      <text>
        <r>
          <rPr>
            <b/>
            <sz val="9"/>
            <color indexed="81"/>
            <rFont val="Tahoma"/>
            <family val="2"/>
          </rPr>
          <t>Leverage. It shows how unusual a row's predictor values are relative to the rest of the data.</t>
        </r>
      </text>
    </comment>
    <comment ref="AP2" authorId="0" shapeId="0" xr:uid="{56738D4C-52FB-477A-8DAA-24945F18925E}">
      <text>
        <r>
          <rPr>
            <b/>
            <sz val="9"/>
            <color indexed="81"/>
            <rFont val="Tahoma"/>
            <family val="2"/>
          </rPr>
          <t>Residuals scaled to account for overall error size and leverage, making outliers easier to compare fairly.</t>
        </r>
      </text>
    </comment>
    <comment ref="AQ2" authorId="0" shapeId="0" xr:uid="{ADEB79FD-561D-4486-BA02-3AE825B9A8E6}">
      <text>
        <r>
          <rPr>
            <b/>
            <sz val="9"/>
            <color indexed="81"/>
            <rFont val="Tahoma"/>
            <family val="2"/>
          </rPr>
          <t>How much a single row can pull the fitted coefficients and predictions around.</t>
        </r>
      </text>
    </comment>
    <comment ref="AR2" authorId="0" shapeId="0" xr:uid="{E94CFA89-A5E4-4A3E-A2EB-56DA6823A4E7}">
      <text>
        <r>
          <rPr>
            <b/>
            <sz val="9"/>
            <color indexed="81"/>
            <rFont val="Tahoma"/>
            <family val="2"/>
          </rPr>
          <t>Expected bell-curve quantiles used for the Q-Q comparison.</t>
        </r>
      </text>
    </comment>
    <comment ref="AS2" authorId="0" shapeId="0" xr:uid="{8243D232-FEE0-448E-9C1E-A10C0AAD3CA9}">
      <text>
        <r>
          <rPr>
            <b/>
            <sz val="9"/>
            <color indexed="81"/>
            <rFont val="Tahoma"/>
            <family val="2"/>
          </rPr>
          <t>Studentized residuals sorted from smallest to largest for the Q-Q plot.</t>
        </r>
      </text>
    </comment>
    <comment ref="AT2" authorId="0" shapeId="0" xr:uid="{87C9DF6D-33C6-4A5A-A700-A0DA03882414}">
      <text>
        <r>
          <rPr>
            <b/>
            <sz val="9"/>
            <color indexed="81"/>
            <rFont val="Tahoma"/>
            <family val="2"/>
          </rPr>
          <t>The square root of the absolute studentized residual. A flat pattern suggests stable error spread.</t>
        </r>
      </text>
    </comment>
    <comment ref="AU2" authorId="0" shapeId="0" xr:uid="{A1D74D22-9AF3-4BF1-BCC4-89588D8772D6}">
      <text>
        <r>
          <rPr>
            <b/>
            <sz val="9"/>
            <color indexed="81"/>
            <rFont val="Tahoma"/>
            <family val="2"/>
          </rPr>
          <t>The prediction error for a row when that row is left out of the fitting step (the leave-one-out / LOOCV residual). Summing its squares gives PRESS.</t>
        </r>
      </text>
    </comment>
    <comment ref="AG3" authorId="0" shapeId="0" xr:uid="{3A764E1B-AC96-4677-91B8-0B0EDEE2DF6E}">
      <text>
        <r>
          <rPr>
            <b/>
            <sz val="9"/>
            <color indexed="81"/>
            <rFont val="Tahoma"/>
            <family val="2"/>
          </rPr>
          <t>The model's single best predicted Y value for the inputs you entered.</t>
        </r>
      </text>
    </comment>
    <comment ref="F4" authorId="0" shapeId="0" xr:uid="{D5D63CF0-3A89-4946-A9C5-D33172B5ED1F}">
      <text>
        <r>
          <rPr>
            <b/>
            <sz val="9"/>
            <color indexed="81"/>
            <rFont val="Tahoma"/>
            <family val="2"/>
          </rPr>
          <t>Reserved for a future release — not yet used by any formula.</t>
        </r>
      </text>
    </comment>
    <comment ref="G4" authorId="0" shapeId="0" xr:uid="{3A6BBDDF-D53D-4A90-B49F-E8DAE7DD2235}">
      <text>
        <r>
          <rPr>
            <b/>
            <sz val="9"/>
            <color indexed="81"/>
            <rFont val="Tahoma"/>
            <family val="2"/>
          </rPr>
          <t>Reserved for a future release — not yet used by any formula.</t>
        </r>
      </text>
    </comment>
    <comment ref="H4" authorId="0" shapeId="0" xr:uid="{44B2BAF6-EE1B-4CE3-AE68-1B1452BDC1C4}">
      <text>
        <r>
          <rPr>
            <b/>
            <sz val="9"/>
            <color indexed="81"/>
            <rFont val="Tahoma"/>
            <family val="2"/>
          </rPr>
          <t>Sequence structural axis: mark AT MOST ONE variable TRUE as the ordering axis for lag/difference/serial-correlation features. Independent of Role and Predictor Type — a Predictor can also be the sequence axis. Zero flags is valid (non-panel data); two or more is a spec error shown in the status line above this column. Distinct from the reserved Order column (F), which is term-ordering.</t>
        </r>
      </text>
    </comment>
    <comment ref="I4" authorId="0" shapeId="0" xr:uid="{250EE2B8-CA1E-45E8-8F9D-22BF2B8B57E5}">
      <text>
        <r>
          <rPr>
            <b/>
            <sz val="9"/>
            <color indexed="81"/>
            <rFont val="Tahoma"/>
            <family val="2"/>
          </rPr>
          <t>Sequence Period — typed override input for Base Period Δ (renamed in v2.1.0). On the Sequence-flagged row this cell is blank by default; type a number here to override the computed candidate delta. Lag_By and Difference_By read the Period In Use column when [delta] is omitted. Period In Use shows what the engine will actually use (the typed override if non-blank, else the computed candidate from within-group consecutive spacings). Blank on rows that are not the sequence axis. See the Sequence Spacing block below the spec for the delta spectrum and verdicts.</t>
        </r>
      </text>
    </comment>
    <comment ref="X4" authorId="0" shapeId="0" xr:uid="{43B53576-F3D4-4A73-B565-36327C51E052}">
      <text>
        <r>
          <rPr>
            <b/>
            <sz val="9"/>
            <color indexed="81"/>
            <rFont val="Tahoma"/>
            <family val="2"/>
          </rPr>
          <t>How closely the model's predicted Y values track the actual Y values overall.</t>
        </r>
      </text>
    </comment>
    <comment ref="AA4" authorId="0" shapeId="0" xr:uid="{CADE93AD-5D1D-4581-AEFE-2AC801643C0B}">
      <text>
        <r>
          <rPr>
            <b/>
            <sz val="9"/>
            <color indexed="81"/>
            <rFont val="Tahoma"/>
            <family val="2"/>
          </rPr>
          <t>A leave-one-out prediction error score. Lower is better because it means the model predicts unseen rows more accurately.</t>
        </r>
      </text>
    </comment>
    <comment ref="AG4" authorId="0" shapeId="0" xr:uid="{A17C9123-A54E-4C52-B577-7680F315553C}">
      <text>
        <r>
          <rPr>
            <b/>
            <sz val="9"/>
            <color indexed="81"/>
            <rFont val="Tahoma"/>
            <family val="2"/>
          </rPr>
          <t>The standard error for a new prediction. It reflects both model uncertainty and ordinary row-to-row noise.</t>
        </r>
      </text>
    </comment>
    <comment ref="X5" authorId="0" shapeId="0" xr:uid="{DB0D35ED-D3BF-40E9-89A0-D16155F60B1F}">
      <text>
        <r>
          <rPr>
            <b/>
            <sz val="9"/>
            <color indexed="81"/>
            <rFont val="Tahoma"/>
            <family val="2"/>
          </rPr>
          <t>The share of the outcome's variation explained by the model.</t>
        </r>
      </text>
    </comment>
    <comment ref="AA5" authorId="0" shapeId="0" xr:uid="{5CAA4869-E4B2-4FCC-9B96-A3CC14207A51}">
      <text>
        <r>
          <rPr>
            <b/>
            <sz val="9"/>
            <color indexed="81"/>
            <rFont val="Tahoma"/>
            <family val="2"/>
          </rPr>
          <t>An out-of-sample version of R Square based on leave-one-out prediction. Negative values mean the model predicts worse than just using the average Y.</t>
        </r>
      </text>
    </comment>
    <comment ref="AG5" authorId="0" shapeId="0" xr:uid="{5FA13C3C-313D-44BF-970B-FEC78F952335}">
      <text>
        <r>
          <rPr>
            <b/>
            <sz val="9"/>
            <color indexed="81"/>
            <rFont val="Tahoma"/>
            <family val="2"/>
          </rPr>
          <t>The t-distribution cutoff at the chosen confidence level. Multiply by SE Prediction to get the prediction interval half-width.</t>
        </r>
      </text>
    </comment>
    <comment ref="X6" authorId="0" shapeId="0" xr:uid="{25989FE0-9327-4A71-A4B0-B16D4DBFA62F}">
      <text>
        <r>
          <rPr>
            <b/>
            <sz val="9"/>
            <color indexed="81"/>
            <rFont val="Tahoma"/>
            <family val="2"/>
          </rPr>
          <t>R Square with a penalty for adding predictors that do not help enough.</t>
        </r>
      </text>
    </comment>
    <comment ref="AA6" authorId="0" shapeId="0" xr:uid="{9B6AF7E1-9586-4D08-ABC7-4550F5C62C38}">
      <text>
        <r>
          <rPr>
            <b/>
            <sz val="9"/>
            <color indexed="81"/>
            <rFont val="Tahoma"/>
            <family val="2"/>
          </rPr>
          <t>The average influence each row exerts on the fitted line based on how far it sits from the center of the predictor space. Rows above 2× or 3× this value are flagged by the conditional formatting.</t>
        </r>
      </text>
    </comment>
    <comment ref="AG6" authorId="0" shapeId="0" xr:uid="{426B49FA-C62B-4C0B-8349-2726B1B48921}">
      <text>
        <r>
          <rPr>
            <b/>
            <sz val="9"/>
            <color indexed="81"/>
            <rFont val="Tahoma"/>
            <family val="2"/>
          </rPr>
          <t>The lower bound of the 95% confidence interval.</t>
        </r>
      </text>
    </comment>
    <comment ref="X7" authorId="0" shapeId="0" xr:uid="{75FA68F0-231B-44CE-8228-81E44C754ECB}">
      <text>
        <r>
          <rPr>
            <b/>
            <sz val="9"/>
            <color indexed="81"/>
            <rFont val="Tahoma"/>
            <family val="2"/>
          </rPr>
          <t>The typical size of the model's prediction errors, measured in the same units as Y.</t>
        </r>
      </text>
    </comment>
    <comment ref="AA7" authorId="0" shapeId="0" xr:uid="{16819748-3CF9-45BC-8ACA-552E38C5346B}">
      <text>
        <r>
          <rPr>
            <b/>
            <sz val="9"/>
            <color indexed="81"/>
            <rFont val="Tahoma"/>
            <family val="2"/>
          </rPr>
          <t>A model-comparison score that balances fit against complexity. Lower is better when comparing models on the same data.</t>
        </r>
      </text>
    </comment>
    <comment ref="AG7" authorId="0" shapeId="0" xr:uid="{E51FF4B3-9328-44AD-900F-8AA79539E1E1}">
      <text>
        <r>
          <rPr>
            <b/>
            <sz val="9"/>
            <color indexed="81"/>
            <rFont val="Tahoma"/>
            <family val="2"/>
          </rPr>
          <t>The upper bound of the 95% confidence interval.</t>
        </r>
      </text>
    </comment>
    <comment ref="X8" authorId="0" shapeId="0" xr:uid="{948E1FA9-1DE1-41D4-B940-0AE85D56B8BD}">
      <text>
        <r>
          <rPr>
            <b/>
            <sz val="9"/>
            <color indexed="81"/>
            <rFont val="Tahoma"/>
            <family val="2"/>
          </rPr>
          <t>The number of rows actually used in the regression after filtering.</t>
        </r>
      </text>
    </comment>
    <comment ref="AA8" authorId="0" shapeId="0" xr:uid="{86EE876C-275D-4DAF-BCB5-72DC0A6EB564}">
      <text>
        <r>
          <rPr>
            <b/>
            <sz val="9"/>
            <color indexed="81"/>
            <rFont val="Tahoma"/>
            <family val="2"/>
          </rPr>
          <t>Another model-comparison score like AIC, but it penalizes extra predictors more strongly.</t>
        </r>
      </text>
    </comment>
    <comment ref="AG8" authorId="0" shapeId="0" xr:uid="{84712924-8560-4BE9-877B-ACFB319BA97E}">
      <text>
        <r>
          <rPr>
            <b/>
            <sz val="9"/>
            <color indexed="81"/>
            <rFont val="Tahoma"/>
            <family val="2"/>
          </rPr>
          <t>The probability level associated with the interval. With alpha 0.05, this is 95%.</t>
        </r>
      </text>
    </comment>
    <comment ref="AA9" authorId="0" shapeId="0" xr:uid="{E1DBE0F4-0027-4EA2-8554-D79FE289C5BB}">
      <text>
        <r>
          <rPr>
            <b/>
            <sz val="9"/>
            <color indexed="81"/>
            <rFont val="Tahoma"/>
            <family val="2"/>
          </rPr>
          <t>AIC with an extra correction for small samples.</t>
        </r>
      </text>
    </comment>
    <comment ref="AA10" authorId="0" shapeId="0" xr:uid="{7CF3A9F6-7121-4AA1-8F6E-44C7B37E012A}">
      <text>
        <r>
          <rPr>
            <b/>
            <sz val="9"/>
            <color indexed="81"/>
            <rFont val="Tahoma"/>
            <family val="2"/>
          </rPr>
          <t>A numeric check of how close the residuals are to a normal bell shape. Values closer to 1 are better.</t>
        </r>
      </text>
    </comment>
    <comment ref="AA11" authorId="0" shapeId="0" xr:uid="{42C52656-07D7-4ED4-9795-867A08EBBA24}">
      <text>
        <r>
          <rPr>
            <b/>
            <sz val="9"/>
            <color indexed="81"/>
            <rFont val="Tahoma"/>
            <family val="2"/>
          </rPr>
          <t>A check for serial correlation — whether residuals next to each other in the declared Sequence order tend to move together. Values near 2 mean no autocorrelation; below ~1.5 suggests positive, above ~2.5 negative. Requires exactly one Sequence axis to be flagged; with none the cell reads 'n/a — requires Sequence' (plain row order is not a meaningful time axis), and with two or more it reads 'n/a — multiple Sequence flags' (the spec error the status line above column H reports). With a Fixed Effects variable declared it reads 'n/a — FE active': the single-series statistic is invalid on within-demeaned panel residuals, and the BFN Panel Durbin-Watson cell below takes over.</t>
        </r>
      </text>
    </comment>
    <comment ref="X12" authorId="0" shapeId="0" xr:uid="{D195D739-00BC-4A43-89F9-103E1E9D4EE6}">
      <text>
        <r>
          <rPr>
            <b/>
            <sz val="9"/>
            <color indexed="81"/>
            <rFont val="Tahoma"/>
            <family val="2"/>
          </rPr>
          <t>The cutoff for statistical significance. At 0.05, results with p-values below 0.05 are treated as statistically significant.</t>
        </r>
      </text>
    </comment>
    <comment ref="AA12" authorId="0" shapeId="0" xr:uid="{47F7336E-1346-4905-86D4-8EA29BC29B3E}">
      <text>
        <r>
          <rPr>
            <b/>
            <sz val="9"/>
            <color indexed="81"/>
            <rFont val="Tahoma"/>
            <family val="2"/>
          </rPr>
          <t>The panel (fixed-effects) form of the serial-correlation check, after Bhargava–Franzini–Narendranathan (1982): residual changes are measured within each panel unit only, never across the boundary between two units, so group seams cannot fake a correlation. Read it like Durbin-Watson — near 2 means no first-order autocorrelation in the within residuals — but do NOT judge it against the standard Durbin-Watson significance bounds: BFN has its own critical values that depend on the number of units (N) and periods (T). Surfacing those bounds here is a recorded open item. Active only when both a Sequence axis and a Fixed Effects variable are declared; otherwise the cell shows which ingredient is missing.</t>
        </r>
      </text>
    </comment>
    <comment ref="Y14" authorId="0" shapeId="0" xr:uid="{24DE551D-EF32-4D3E-8A8B-7EB5D4A7E250}">
      <text>
        <r>
          <rPr>
            <b/>
            <sz val="9"/>
            <color indexed="81"/>
            <rFont val="Tahoma"/>
            <family val="2"/>
          </rPr>
          <t>The number of independent data points available to estimate each part of the model — total rows minus one for each estimated parameter.</t>
        </r>
      </text>
    </comment>
    <comment ref="Z14" authorId="0" shapeId="0" xr:uid="{34CC30E9-9156-41BC-85E6-2A2D6D72E3FD}">
      <text>
        <r>
          <rPr>
            <b/>
            <sz val="9"/>
            <color indexed="81"/>
            <rFont val="Tahoma"/>
            <family val="2"/>
          </rPr>
          <t>The total variation attributed to that source — regression, residual, or total. The raw material from which MS and F are calculated.</t>
        </r>
      </text>
    </comment>
    <comment ref="AA14" authorId="0" shapeId="0" xr:uid="{DFA90E94-1A04-41DF-B051-375029650C16}">
      <text>
        <r>
          <rPr>
            <b/>
            <sz val="9"/>
            <color indexed="81"/>
            <rFont val="Tahoma"/>
            <family val="2"/>
          </rPr>
          <t>Sum of squares averaged over its degrees of freedom — a per-unit measure of variation for that source.</t>
        </r>
      </text>
    </comment>
    <comment ref="AB14" authorId="0" shapeId="0" xr:uid="{059998A0-8B80-48FA-86F9-19123DAB9C56}">
      <text>
        <r>
          <rPr>
            <b/>
            <sz val="9"/>
            <color indexed="81"/>
            <rFont val="Tahoma"/>
            <family val="2"/>
          </rPr>
          <t>The model-vs-noise ratio used in the overall regression significance test.</t>
        </r>
      </text>
    </comment>
    <comment ref="AC14" authorId="0" shapeId="0" xr:uid="{03A23FC7-EE76-4726-AB62-76F8C8E0963B}">
      <text>
        <r>
          <rPr>
            <b/>
            <sz val="9"/>
            <color indexed="81"/>
            <rFont val="Tahoma"/>
            <family val="2"/>
          </rPr>
          <t>The p-value for the overall F test. Small values mean the model as a whole is unlikely to be pure noise.</t>
        </r>
      </text>
    </comment>
    <comment ref="X15" authorId="0" shapeId="0" xr:uid="{E330D511-DC70-4A68-AEB3-5EF34A9337CB}">
      <text>
        <r>
          <rPr>
            <b/>
            <sz val="9"/>
            <color indexed="81"/>
            <rFont val="Tahoma"/>
            <family val="2"/>
          </rPr>
          <t>The variation explained by the predictors taken together.</t>
        </r>
      </text>
    </comment>
    <comment ref="X16" authorId="0" shapeId="0" xr:uid="{481F5953-DC84-428C-9045-0CBDEDDA4483}">
      <text>
        <r>
          <rPr>
            <b/>
            <sz val="9"/>
            <color indexed="81"/>
            <rFont val="Tahoma"/>
            <family val="2"/>
          </rPr>
          <t>The variation the model does not explain.</t>
        </r>
      </text>
    </comment>
    <comment ref="X17" authorId="0" shapeId="0" xr:uid="{1688AFF4-C576-441E-BAB5-8445D0C3C887}">
      <text>
        <r>
          <rPr>
            <b/>
            <sz val="9"/>
            <color indexed="81"/>
            <rFont val="Tahoma"/>
            <family val="2"/>
          </rPr>
          <t>All variation in the outcome before splitting it into explained and unexplained parts.</t>
        </r>
      </text>
    </comment>
    <comment ref="Y20" authorId="0" shapeId="0" xr:uid="{C7C49FD8-E9DE-42C4-82C2-72CBFC42656B}">
      <text>
        <r>
          <rPr>
            <b/>
            <sz val="9"/>
            <color indexed="81"/>
            <rFont val="Tahoma"/>
            <family val="2"/>
          </rPr>
          <t>The fitted weights used to turn predictor values into predictions.</t>
        </r>
      </text>
    </comment>
    <comment ref="Z20" authorId="0" shapeId="0" xr:uid="{5F185663-0E17-4D7B-A452-63A351D1C687}">
      <text>
        <r>
          <rPr>
            <b/>
            <sz val="9"/>
            <color indexed="81"/>
            <rFont val="Tahoma"/>
            <family val="2"/>
          </rPr>
          <t>How uncertain each coefficient estimate is.</t>
        </r>
      </text>
    </comment>
    <comment ref="AA20" authorId="0" shapeId="0" xr:uid="{51F675DE-FF34-4B03-A253-3F369C544473}">
      <text>
        <r>
          <rPr>
            <b/>
            <sz val="9"/>
            <color indexed="81"/>
            <rFont val="Tahoma"/>
            <family val="2"/>
          </rPr>
          <t>How many standard errors the coefficient is away from zero.</t>
        </r>
      </text>
    </comment>
    <comment ref="AB20" authorId="0" shapeId="0" xr:uid="{5513DE75-D320-4791-A152-7F223D54D9DC}">
      <text>
        <r>
          <rPr>
            <b/>
            <sz val="9"/>
            <color indexed="81"/>
            <rFont val="Tahoma"/>
            <family val="2"/>
          </rPr>
          <t>How surprising this coefficient would be if its true effect were zero. Smaller values mean stronger evidence of a real effect.</t>
        </r>
      </text>
    </comment>
    <comment ref="AC20" authorId="0" shapeId="0" xr:uid="{2C9FA7BA-B550-4897-9F20-5E6B87D2B727}">
      <text>
        <r>
          <rPr>
            <b/>
            <sz val="9"/>
            <color indexed="81"/>
            <rFont val="Tahoma"/>
            <family val="2"/>
          </rPr>
          <t>The lower bound of the 95% confidence interval.</t>
        </r>
      </text>
    </comment>
    <comment ref="AD20" authorId="0" shapeId="0" xr:uid="{E244D22A-88D7-4F7E-BA82-CD61A1BCBAB4}">
      <text>
        <r>
          <rPr>
            <b/>
            <sz val="9"/>
            <color indexed="81"/>
            <rFont val="Tahoma"/>
            <family val="2"/>
          </rPr>
          <t>The upper bound of the 95% confidence interval.</t>
        </r>
      </text>
    </comment>
    <comment ref="AE20" authorId="0" shapeId="0" xr:uid="{F014B7D3-8F3E-4188-8557-BF39039487A9}">
      <text>
        <r>
          <rPr>
            <b/>
            <sz val="9"/>
            <color indexed="81"/>
            <rFont val="Tahoma"/>
            <family val="2"/>
          </rPr>
          <t>The coefficient after standardizing units, so predictors can be compared on the same scale.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<sst xmlns="http://schemas.openxmlformats.org/spreadsheetml/2006/main" count="8737" uniqueCount="1831">
  <si>
    <t>Function Name</t>
  </si>
  <si>
    <t>Definition</t>
  </si>
  <si>
    <t>Arguments</t>
  </si>
  <si>
    <t>Yields</t>
  </si>
  <si>
    <t>Plain-Language Summary</t>
  </si>
  <si>
    <t>Description</t>
  </si>
  <si>
    <t>Observations</t>
  </si>
  <si>
    <t>=LAMBDA(Y, [Include],
  LET(
    filt_arg, IF(ISOMITTED(Include), TRUE, Include),
    ROWS(FILTER(Y, filt_arg))
  ))</t>
  </si>
  <si>
    <t>Y: single-column outcome range
[Include]: boolean array — TRUE includes the row, FALSE excludes it</t>
  </si>
  <si>
    <t>n — count of rows used in the regression as a scalar integer</t>
  </si>
  <si>
    <t>How many rows of data the model is using.</t>
  </si>
  <si>
    <t>n (number of observations) is the count of data points available to the model after any filtering is applied. It is the fundamental sample size that drives all degrees-of-freedom calculations.
Returns ROWS(FILTER(Y, filt_arg)). X_s is not required because row count is fully determined by Y.</t>
  </si>
  <si>
    <t>=LAMBDA(X_s,
  COLUMNS(X_s))</t>
  </si>
  <si>
    <t>X_s: column range of predictors (single or multi-column)</t>
  </si>
  <si>
    <t>df_regression (k, number of predictors) as a scalar integer</t>
  </si>
  <si>
    <t>How many predictor slots the model is trying to fit.</t>
  </si>
  <si>
    <t>df_regression is the number of degrees of freedom attributable to the regression model — equal to k, the number of predictor columns. The intercept term (if any) is not counted here; it is accounted for implicitly in df_total.
Returns COLUMNS(X_s). Include and Allow_Intercept do not affect this value.</t>
  </si>
  <si>
    <t>=LAMBDA(Y, [Allow_Intercept], [Include],
  LET(
    allow_arg, IF(ISOMITTED(Allow_Intercept), TRUE, Allow_Intercept),
    filt_arg,  IF(ISOMITTED(Include),          TRUE, Include),
    n,         Observations(Y, filt_arg),
    IF(allow_arg, n - 1, n)
  ))</t>
  </si>
  <si>
    <t>Y: single-column outcome range
[Allow_Intercept]: TRUE/FALSE — fit intercept? Default TRUE
[Include]: boolean array — TRUE includes the row, FALSE excludes it</t>
  </si>
  <si>
    <t>df_total (n-1 with intercept, n without) as a scalar integer</t>
  </si>
  <si>
    <t>The total amount of independent information in the outcome column.</t>
  </si>
  <si>
    <t>df_total is the total degrees of freedom for the sum of squares. When an intercept is fit (default), one df is spent estimating the grand mean, giving n - 1. When the model is forced through the origin (Allow_Intercept = FALSE), no df is spent on the mean, giving n. df_total partitions into df_regression + df_residual.
Calls Observations() for n, then returns IF(allow_arg, n-1, n).</t>
  </si>
  <si>
    <t>=LAMBDA(X_s, Y, [Allow_Intercept], [Include],
  LET(
    allow_arg, IF(ISOMITTED(Allow_Intercept), TRUE, Allow_Intercept),
    filt_arg,  IF(ISOMITTED(Include),          TRUE, Include),
    INDEX(LINEST(FILTER(Y, filt_arg), FILTER(X_s, filt_arg), allow_arg, TRUE), 3, 1)
  ))</t>
  </si>
  <si>
    <t>X_s: column range of predictors (single or multi-column)
Y: single-column outcome range
[Allow_Intercept]: TRUE/FALSE — fit intercept? Default TRUE
[Include]: boolean array — TRUE includes the row, FALSE excludes it</t>
  </si>
  <si>
    <t>R² (coefficient of determination) as a scalar in [0, 1]</t>
  </si>
  <si>
    <t>How much of the outcome's movement the model explains.</t>
  </si>
  <si>
    <t>Multiple_R</t>
  </si>
  <si>
    <t>Multiple R (correlation coefficient) as a scalar in [0, 1]</t>
  </si>
  <si>
    <t>How closely the model's predictions track the real outcome values.</t>
  </si>
  <si>
    <t>Adjusted R² as a scalar, typically in [0, 1] but can be negative</t>
  </si>
  <si>
    <t>R-squared adjusted so extra predictors do not get free credit.</t>
  </si>
  <si>
    <t>SS_Total</t>
  </si>
  <si>
    <t>=LAMBDA(Y, [Allow_Intercept], [Include],
  LET(
    allow_arg, IF(ISOMITTED(Allow_Intercept), TRUE, Allow_Intercept),
    filt_arg,  IF(ISOMITTED(Include),          TRUE, Include),
    y_filt, FILTER(Y, filt_arg),
    IF(allow_arg, DEVSQ(y_filt), SUMSQ(y_filt))
  ))</t>
  </si>
  <si>
    <t>SS_total (total sum of squares) as a scalar</t>
  </si>
  <si>
    <t>All of the variation in Y before the model explains any of it.</t>
  </si>
  <si>
    <t>SS_total is the total variation in Y before any predictors are added. With an intercept it equals the sum of squared deviations from the mean — DEVSQ(Y). Without an intercept it equals the raw sum of squares — SUMSQ(Y). It is the denominator in the R² formula and partitions into SS_regression + SS_residual.
Returns DEVSQ(filtered_Y) when Allow_Intercept is TRUE, SUMSQ(filtered_Y) when FALSE. Does not require X_s.</t>
  </si>
  <si>
    <t>SS_Residual</t>
  </si>
  <si>
    <t>SS_residual (residual/error sum of squares) as a scalar</t>
  </si>
  <si>
    <t>The part of Y's variation the model still misses.</t>
  </si>
  <si>
    <t>SS_Regression</t>
  </si>
  <si>
    <t>SS_regression (explained/model sum of squares) as a scalar</t>
  </si>
  <si>
    <t>The part of Y's variation the model successfully explains.</t>
  </si>
  <si>
    <t>MS_Regression</t>
  </si>
  <si>
    <t>mean square for regression (MS_regression = SS_regression / df_regression) as a scalar</t>
  </si>
  <si>
    <t>Average explained variation per model degree of freedom.</t>
  </si>
  <si>
    <t>MS_Regression is the mean square for the regression model: SS_Regression divided by df_Regression. It is the numerator of the overall F-statistic and represents the average explained variation per predictor degree of freedom.</t>
  </si>
  <si>
    <t>MS_Residual</t>
  </si>
  <si>
    <t>mean square for residual error (MS_residual = SS_residual / df_residual) as a scalar</t>
  </si>
  <si>
    <t>Average unexplained variation per residual degree of freedom.</t>
  </si>
  <si>
    <t>SE_Regression</t>
  </si>
  <si>
    <t>SE_regression (standard error of the regression) as a scalar</t>
  </si>
  <si>
    <t>The typical size of the model's prediction mistakes, in Y units.</t>
  </si>
  <si>
    <t>PRESS</t>
  </si>
  <si>
    <t>PRESS (Prediction Residual Error Sum of Squares) as a scalar</t>
  </si>
  <si>
    <t>How well the model predicts rows it did not get to train on.</t>
  </si>
  <si>
    <t>AIC</t>
  </si>
  <si>
    <t>Akaike Information Criterion (AIC) scalar</t>
  </si>
  <si>
    <t>A score for comparing models that rewards fit but penalizes extra complexity.</t>
  </si>
  <si>
    <t>BIC</t>
  </si>
  <si>
    <t>Bayesian Information Criterion (BIC) scalar</t>
  </si>
  <si>
    <t>A model-comparison score that penalizes extra complexity more strongly than AIC.</t>
  </si>
  <si>
    <t>AICc</t>
  </si>
  <si>
    <t>Corrected Akaike Information Criterion (AICc) scalar</t>
  </si>
  <si>
    <t>AIC with an extra small-sample penalty.</t>
  </si>
  <si>
    <t>Durbin_Watson</t>
  </si>
  <si>
    <t>=LAMBDA(X_s, Y, [Allow_Intercept], [Include],
  LET(
    allow_arg, IF(ISOMITTED(Allow_Intercept), TRUE, Allow_Intercept),
    filt_arg,  IF(ISOMITTED(Include),          TRUE, Include),
    e,         Residuals(X_s, Y, allow_arg, filt_arg),
    SUM((DROP(e, 1) - DROP(e, -1))^2) / SUM(e^2)
  ))</t>
  </si>
  <si>
    <t>Durbin-Watson statistic as a scalar</t>
  </si>
  <si>
    <t>Whether nearby residuals tend to move together instead of staying independent.</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</si>
  <si>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</si>
  <si>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QQ_Correlation</t>
  </si>
  <si>
    <t>Filliben Q-Q correlation coefficient (normality statistic) scalar</t>
  </si>
  <si>
    <t>How close the residual distribution is to a normal bell shape.</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</si>
  <si>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</si>
  <si>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</si>
  <si>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=LAMBDA(X_s, Y, [Allow_Intercept], [Include],
  LET(
    allow_arg, IF(ISOMITTED(Allow_Intercept), TRUE, Allow_Intercept),
    filt_arg,  IF(ISOMITTED(Include),          TRUE, Include),
    ls,        LINEST(FILTER(Y, filt_arg), FILTER(X_s, filt_arg), allow_arg, FALSE),
    k,         COLUMNS(X_s),
    TRANSPOSE(IF(allow_arg,
      HSTACK(INDEX(ls, 1, k + 1), CHOOSECOLS(ls, SEQUENCE(1, k, k, -1))),
      CHOOSECOLS(ls, SEQUENCE(1, k, k, -1))
    ))
  ))</t>
  </si>
  <si>
    <t>vertical array of fitted OLS coefficients — intercept first (when included), then predictors in input order</t>
  </si>
  <si>
    <t>The fitted intercept and predictor weights used to make predictions.</t>
  </si>
  <si>
    <t>Returns a vertical spill array of the fitted OLS regression coefficients. When Allow_Intercept is TRUE the intercept is the first element, followed by the coefficients for each column of X_s in input order. When Allow_Intercept is FALSE the output contains only the k predictor coefficients.
Uses LINEST with stats=FALSE (row 1 only), then reverses and optionally prepends the intercept to match X_s column order.</t>
  </si>
  <si>
    <t>SE_Coefficients</t>
  </si>
  <si>
    <t>vertical array of standard errors of the OLS coefficients — same order as Coefficients</t>
  </si>
  <si>
    <t>vertical array of t-statistics for each coefficient (coefficient / standard error)</t>
  </si>
  <si>
    <t>Each coefficient measured in standard-error units.</t>
  </si>
  <si>
    <t>P_Values</t>
  </si>
  <si>
    <t>vertical array of two-tailed p-values for each coefficient</t>
  </si>
  <si>
    <t>How surprising each coefficient would be if its true effect were zero.</t>
  </si>
  <si>
    <t>vertical array of lower confidence interval bounds for each coefficient</t>
  </si>
  <si>
    <t>The low end of the likely range for each coefficient.</t>
  </si>
  <si>
    <t>vertical array of upper confidence interval bounds for each coefficient</t>
  </si>
  <si>
    <t>The high end of the likely range for each coefficient.</t>
  </si>
  <si>
    <t>vertical array of partial R² values — same order as Coefficients (intercept first when included)</t>
  </si>
  <si>
    <t>How much unique explanatory value each predictor adds after controlling for the rest.</t>
  </si>
  <si>
    <t>Partial_Correlation</t>
  </si>
  <si>
    <t>vertical array of partial correlation coefficients — same order as Coefficients (intercept first when included)</t>
  </si>
  <si>
    <t>The predictor-outcome relationship left over after accounting for the other predictors.</t>
  </si>
  <si>
    <t>Beta_Weights</t>
  </si>
  <si>
    <t>=LAMBDA(X_s, Y, [Allow_Intercept], [Include],
  LET(
    allow_arg,  IF(ISOMITTED(Allow_Intercept), TRUE, Allow_Intercept),
    filt_arg,   IF(ISOMITTED(Include),          TRUE, Include),
    coefs,      Coefficients(X_s, Y, allow_arg, filt_arg),
    pred_coefs, IF(allow_arg, DROP(coefs, 1), coefs),
    sd_y,       STDEV(FILTER(Y, filt_arg)),
    k,          COLUMNS(X_s),
    sd_x,       MAKEARRAY(k, 1, LAMBDA(j, _, STDEV(FILTER(CHOOSECOLS(X_s, j), filt_arg)))),
    pred_coefs * sd_x / sd_y
  ))</t>
  </si>
  <si>
    <t>k×1 column vector of standardized coefficients (Beta weights), one per predictor — intercept row excluded</t>
  </si>
  <si>
    <t>Coefficients rescaled so predictors on different units can be compared fairly.</t>
  </si>
  <si>
    <t>Standardized (Beta) coefficient for predictor j = b_j × std(X_j) / std(Y). Expresses each coefficient in standard-deviation units, making predictors with different scales directly comparable in magnitude. Always returns k values (one per predictor); the intercept has no meaningful standardized counterpart and is excluded.
Computed as Coefficients × column-wise STDEV(X) / STDEV(Y), using filtered rows. Mirrors the output of VIF and Tolerance in returning k rows without an intercept entry.</t>
  </si>
  <si>
    <t>VIF</t>
  </si>
  <si>
    <t>X_s: column range of predictors (single or multi-column)
[Allow_Intercept]: TRUE/FALSE — included for interface consistency; VIF always fits intercept in auxiliary regressions
[Include]: boolean array — TRUE includes the row, FALSE excludes it</t>
  </si>
  <si>
    <t>k×1 column vector of VIF values, one per predictor (does not include an intercept row)</t>
  </si>
  <si>
    <t>How much overlap with other predictors is inflating each coefficient's instability.</t>
  </si>
  <si>
    <t>Variance Inflation Factor for each predictor Xⱼ = 1 / (1 − R²ⱼ), where R²ⱼ is the R² from regressing Xⱼ on all other predictors. VIF measures how much the variance of coefficient j is inflated by multicollinearity. VIF = 1 means no collinearity; VIF &gt; 10 (or &gt; 5 by stricter convention) signals a problem.
Auxiliary regressions always include an intercept regardless of the main model's Allow_Intercept setting (standard convention). When k = 1 the function returns 1 (no collinearity possible with a single predictor). Uses MAKEARRAY + FILTER to iterate over column indices without VBA or helper columns.</t>
  </si>
  <si>
    <t>Tolerance</t>
  </si>
  <si>
    <t>=LAMBDA(X_s, [Allow_Intercept], [Include],
  1 / VIF(X_s, Allow_Intercept, Include)
)</t>
  </si>
  <si>
    <t>X_s: column range of predictors (single or multi-column)
[Allow_Intercept]: TRUE/FALSE — passed through to VIF; included for interface consistency
[Include]: boolean array — TRUE includes the row, FALSE excludes it</t>
  </si>
  <si>
    <t>k×1 column vector of Tolerance values (= 1/VIF), one per predictor</t>
  </si>
  <si>
    <t>How much unique information a predictor still has after overlap with the others.</t>
  </si>
  <si>
    <t>Tolerance = 1 − R²ⱼ = 1 / VIF, where R²ⱼ is the coefficient of determination from regressing Xⱼ on all other predictors. Values below 0.1 (VIF &gt; 10) conventionally flag severe multicollinearity; values below 0.2 (VIF &gt; 5) flag moderate concern.
Computed as 1 / VIF(...), forwarding all arguments.</t>
  </si>
  <si>
    <t>Prediction_Interval</t>
  </si>
  <si>
    <t>6-element vertical array: [Point Estimate, SE Prediction, t Critical, Lower bound, Upper bound, Confidence Level]</t>
  </si>
  <si>
    <t>A predicted outcome plus the range a new real-world observation is likely to fall in.</t>
  </si>
  <si>
    <t>=LAMBDA(Y, [Include],
  SEQUENCE(ROWS(FILTER(Y, IF(ISOMITTED(Include), TRUE, Include))))
)</t>
  </si>
  <si>
    <t>1..n observation index as a spilled vector</t>
  </si>
  <si>
    <t>A simple 1-to-n row counter for the filtered data.</t>
  </si>
  <si>
    <t>Spills 1..n, where n is the number of filtered observations.</t>
  </si>
  <si>
    <t>Rank_Fraction</t>
  </si>
  <si>
    <t>=LAMBDA(Y, [Include],
  LET(
    filtered, FILTER(Y, IF(ISOMITTED(Include), TRUE, Include)),
    n,        ROWS(filtered),
    BYROW(filtered, LAMBDA(v, SUMPRODUCT((filtered &lt;= v) * 1))) / n
  ))</t>
  </si>
  <si>
    <t>empirical-CDF fractions as a spilled vector, in original data order</t>
  </si>
  <si>
    <t>Each row's percentile-style position within the filtered outcome values.</t>
  </si>
  <si>
    <t>Empirical CDF: fraction of filtered observations with value &lt;= each observation. Equivalent to SUMPRODUCT((filtered&lt;=v)*1)/n for each v. Output is in original data order.</t>
  </si>
  <si>
    <t>Y_Ranked</t>
  </si>
  <si>
    <t>=LAMBDA(Y, [Include],
  SORT(FILTER(Y, IF(ISOMITTED(Include), TRUE, Include)))
)</t>
  </si>
  <si>
    <t>sorted filtered Y values as a spilled vector</t>
  </si>
  <si>
    <t>The filtered outcome values sorted from low to high.</t>
  </si>
  <si>
    <t>Useful for empirical distribution/probability plots of the response variable.</t>
  </si>
  <si>
    <t>=LAMBDA(Y, [Include],
  FILTER(Y, IF(ISOMITTED(Include), TRUE, Include))
)</t>
  </si>
  <si>
    <t>filtered dependent variable vector (all rows when Include is omitted)</t>
  </si>
  <si>
    <t>The filtered outcome column in the order the model uses it.</t>
  </si>
  <si>
    <t>Returns the dependent-variable vector used by residual and diagnostic outputs.</t>
  </si>
  <si>
    <t>Normal_Scores</t>
  </si>
  <si>
    <t>=LAMBDA(Y, [Include],
  LET(
    filtered, FILTER(Y, IF(ISOMITTED(Include), TRUE, Include)),
    n,        ROWS(filtered),
    NORM.S.INV(
      (BYROW(filtered, LAMBDA(v, SUMPRODUCT((filtered &lt; v) * 1))) + 0.5) / n
    )
  ))</t>
  </si>
  <si>
    <t>theoretical standard-normal scores as a spilled vector</t>
  </si>
  <si>
    <t>The bell-curve quantiles used to build a Q-Q plot.</t>
  </si>
  <si>
    <t>Intended for normal probability plot x-values.</t>
  </si>
  <si>
    <t>Design_Matrix</t>
  </si>
  <si>
    <t>=LAMBDA(X_s, [Allow_Intercept], [Include],
  LET(
    allow_arg, IF(ISOMITTED(Allow_Intercept), TRUE, Allow_Intercept),
    filt_arg,  IF(ISOMITTED(Include), TRUE, Include),
    x_filt,    FILTER(X_s, filt_arg),
    IF(
      allow_arg,
      HSTACK(SEQUENCE(ROWS(x_filt), , 1, 0), x_filt),
      x_filt
    )
  ))</t>
  </si>
  <si>
    <t>X_s: column range of predictors (single or multi-column)
[Allow_Intercept]: TRUE/FALSE — fit intercept? Default TRUE
[Include]: boolean array — TRUE includes the row, FALSE excludes it</t>
  </si>
  <si>
    <t>filtered numeric design matrix as spilled array</t>
  </si>
  <si>
    <t>The cleaned predictor matrix the regression actually fits.</t>
  </si>
  <si>
    <t>Returns the matrix used for prediction: with intercept, a leading column of 1s followed by filtered X columns; without intercept, filtered X columns only. Factor encoding is intentionally deferred.</t>
  </si>
  <si>
    <t>Gram_Inverse</t>
  </si>
  <si>
    <t>=LAMBDA(X,
  MINVERSE(MMULT(TRANSPOSE(X), X))
)</t>
  </si>
  <si>
    <t>X: design matrix (already filtered and intercept-augmented as needed)</t>
  </si>
  <si>
    <t>p×p matrix — the inverse of the Gram matrix (X'X)⁻¹</t>
  </si>
  <si>
    <t>The matrix inverse the regression uses for leverage, intervals, and influence math.</t>
  </si>
  <si>
    <t>Predictions</t>
  </si>
  <si>
    <t>=LAMBDA(X_s, Y, [Allow_Intercept], [Include],
  LET(
    allow_arg, IF(ISOMITTED(Allow_Intercept), TRUE, Allow_Intercept),
    filt_arg,  IF(ISOMITTED(Include), TRUE, Include),
    MMULT(
      Design_Matrix(X_s, allow_arg, filt_arg),
      Coefficients(X_s, Y, allow_arg, filt_arg)
    )
  ))</t>
  </si>
  <si>
    <t>fitted Y values as a spilled vector</t>
  </si>
  <si>
    <t>The model's fitted Y values for each row.</t>
  </si>
  <si>
    <t>Computes X_design * beta using MMULT.</t>
  </si>
  <si>
    <t>Residuals</t>
  </si>
  <si>
    <t>=LAMBDA(X_s, Y, [Allow_Intercept], [Include],
  LET(
    allow_arg, IF(ISOMITTED(Allow_Intercept), TRUE, Allow_Intercept),
    filt_arg,  IF(ISOMITTED(Include), TRUE, Include),
    FILTER(Y, filt_arg) - Predictions(X_s, Y, allow_arg, filt_arg)
  ))</t>
  </si>
  <si>
    <t>raw residuals as a spilled vector</t>
  </si>
  <si>
    <t>How far each actual Y value is above or below its fitted value.</t>
  </si>
  <si>
    <t>Residuals are Y - fitted Y.</t>
  </si>
  <si>
    <t>Scaled_Residuals</t>
  </si>
  <si>
    <t>residual divided by SE_Regression as a spilled vector</t>
  </si>
  <si>
    <t>Residuals converted to a common error scale.</t>
  </si>
  <si>
    <t>Residual divided by SE_Regression. This is not Excel Analysis ToolPak 'Standard Residuals' and is not leverage-adjusted/studentized.</t>
  </si>
  <si>
    <t>=LAMBDA(array,
  SEQUENCE(ROWS(array))
)</t>
  </si>
  <si>
    <t>array: any contiguous array (including one that has already been filtered)</t>
  </si>
  <si>
    <t>1..n column vector of relative row numbers</t>
  </si>
  <si>
    <t>Relative row numbers for the current spilled array.</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</si>
  <si>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</si>
  <si>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</si>
  <si>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</si>
  <si>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The same array with one chosen row removed.</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</si>
  <si>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</si>
  <si>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X_s: column range of predictors (single or multi-column)
Y: single-column outcome range
n: relative row index of the observation to predict (1-based within the filtered dataset; negative values count from the end)
[Allow_Intercept]: TRUE/FALSE — fit intercept? Default TRUE
[Include]: boolean array — TRUE includes the row, FALSE excludes it</t>
  </si>
  <si>
    <t>scalar LOO prediction for observation n — the fitted value from a model trained on all rows except n, evaluated at row n of X_s</t>
  </si>
  <si>
    <t>One leave-one-out prediction for the requested row.</t>
  </si>
  <si>
    <t>n-element spill vector of LOO predictions for every filtered observation</t>
  </si>
  <si>
    <t>Each row's prediction from a model refit without that row.</t>
  </si>
  <si>
    <t>=LAMBDA(X_s, [Allow_Intercept], [Include],
  LET(
    allow_arg, IF(ISOMITTED(Allow_Intercept), TRUE, Allow_Intercept),
    filt_arg,  IF(ISOMITTED(Include), TRUE, Include),
    X_design,  Design_Matrix(X_s, allow_arg, filt_arg),
    p,         COLUMNS(X_design),
    XtX_inv,   Gram_Inverse(X_design),
    Z,         MMULT(X_design, XtX_inv),
    MMULT(Z * X_design, SEQUENCE(p, 1, 1, 0))
  ))</t>
  </si>
  <si>
    <t>n-element hat-matrix diagonal (leverage values) as spilled vector</t>
  </si>
  <si>
    <t>Each row's leverage, meaning how unusual its predictor values are.</t>
  </si>
  <si>
    <t>Studentized_Residuals</t>
  </si>
  <si>
    <t>n-element vector of internally studentized residuals</t>
  </si>
  <si>
    <t>Residuals adjusted for both model error and leverage.</t>
  </si>
  <si>
    <t>Studentized_Residuals_Ranked</t>
  </si>
  <si>
    <t>sorted studentized residuals as spilled vector</t>
  </si>
  <si>
    <t>Studentized residuals sorted from smallest to largest.</t>
  </si>
  <si>
    <t>Ascending sort of Studentized_Residuals. Paired with Normal_Scores gives a leverage-corrected Q-Q plot; paired with Percentile gives a cumulative distribution plot.</t>
  </si>
  <si>
    <t>Cooks_Distance</t>
  </si>
  <si>
    <t>n-element vector of Cook’s distances</t>
  </si>
  <si>
    <t>How much one row can pull the fitted model around.</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</si>
  <si>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</si>
  <si>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</si>
  <si>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sorted scaled residuals as spilled vector</t>
  </si>
  <si>
    <t>Scaled residuals sorted from smallest to largest.</t>
  </si>
  <si>
    <t>Sorted Scaled_Residuals, intended for plotting against Normal_Scores.</t>
  </si>
  <si>
    <t>=LAMBDA(table, col_nums,
  CHOOSECOLS(table, col_nums)
)</t>
  </si>
  <si>
    <t>table: source range or table body (multi-column)
col_nums: horizontal array of 1-based column numbers, e.g. {1,3,5}; negative indices count from the right</t>
  </si>
  <si>
    <t>array of the selected columns in the specified order</t>
  </si>
  <si>
    <t>A helper that picks specific columns from a larger table.</t>
  </si>
  <si>
    <t>Complete_Cases_Filter</t>
  </si>
  <si>
    <t>=LAMBDA(X_s, [Y],
  LET(
    combined, IF(ISOMITTED(Y), X_s, HSTACK(X_s, Y)),
    MMULT((ISNUMBER(combined)) * 1, SEQUENCE(COLUMNS(combined), 1, 1, 0)) = COLUMNS(combined)
  )
)</t>
  </si>
  <si>
    <t>boolean column vector — TRUE for rows where every included column is numeric</t>
  </si>
  <si>
    <t>A TRUE/FALSE mask that keeps only rows with usable numeric data.</t>
  </si>
  <si>
    <t>Data_Completeness</t>
  </si>
  <si>
    <t>=LAMBDA(predictor_row,
  AND(ISNUMBER(predictor_row))
)</t>
  </si>
  <si>
    <t>predictor_row: single-row range covering the predictor columns for one data row — typically a structured table row reference such as Table[@[FirstCol]:[LastCol]]</t>
  </si>
  <si>
    <t>TRUE if every cell in predictor_row is numeric, FALSE if any value is blank, text, or an error</t>
  </si>
  <si>
    <t>Returns TRUE when every predictor value in the row is a usable number.</t>
  </si>
  <si>
    <t>Data_Completeness tests whether a single data row has usable numeric values in every predictor column. It applies ISNUMBER to each cell in predictor_row and reduces the results with AND, returning TRUE only when no cell is blank, text, or an error.
Designed to be entered as a calculated table column formula — e.g. =Data_Completeness(Table[@[First]:[Last]]) — so that every row carries its own TRUE/FALSE completeness flag. That column can then be used directly as the Regression_Sample_Include argument to any regression library function, restricting the model to rows with complete predictor data.
Contrast with Complete_Cases_Filter, which operates on full column ranges and returns a boolean vector for all rows at once.</t>
  </si>
  <si>
    <t>Pearson_R</t>
  </si>
  <si>
    <t>=LAMBDA(X_s, Y, [Include],
  LET(
    filt_arg, IF(ISOMITTED(Include), TRUE, Include),
    xf, FILTER(X_s, filt_arg),
    yf, FILTER(Y,   filt_arg),
    MAKEARRAY(COLUMNS(X_s), 1, LAMBDA(r, c, CORREL(CHOOSECOLS(xf, r), yf)))
  ))</t>
  </si>
  <si>
    <t>X_s: predictor column range (single or multi-column); returns one correlation per column
Y: single-column outcome range
[Include]: boolean array — TRUE includes the row, FALSE excludes it</t>
  </si>
  <si>
    <t>k×1 column vector of Pearson correlations between each predictor and Y</t>
  </si>
  <si>
    <t>The straight-line relationship between each predictor and the outcome.</t>
  </si>
  <si>
    <t>Pearson_R computes the linear (Pearson product-moment) correlation between each column of X_s and Y after applying the optional Include argument. When X_s has a single column the result is a scalar; when X_s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</si>
  <si>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Spearman_R</t>
  </si>
  <si>
    <t>=LAMBDA(xf, yf, [Include],
  LET(
    baseFilter, IF(ISOMITTED(Include), TRUE, Include),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</si>
  <si>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[Include]: boolean array — TRUE includes the row, FALSE excludes it</t>
  </si>
  <si>
    <t>k×1 column vector of Spearman rank correlations between each predictor and Y</t>
  </si>
  <si>
    <t>The rank-order relationship between each predictor and the outcome.</t>
  </si>
  <si>
    <t>Spearman_R computes the rank (Spearman) correlation between each column of xf and yf. For each predictor column, rows are kept where both that column and yf are numeric (and pass the optional Include).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</si>
  <si>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Skewness</t>
  </si>
  <si>
    <t>=LAMBDA(X_s, [Include],
  LET(
    filt_arg, IF(ISOMITTED(Include), TRUE, Include),
    xf, FILTER(X_s, filt_arg),
    MAKEARRAY(COLUMNS(X_s), 1, LAMBDA(r, c, SKEW(CHOOSECOLS(xf, r))))
  ))</t>
  </si>
  <si>
    <t>X_s: column range to summarize (single or multi-column); returns one value per column
[Include]: boolean array — TRUE includes the row, FALSE excludes it</t>
  </si>
  <si>
    <t>k×1 column vector of sample skewness values (one per column of X_s)</t>
  </si>
  <si>
    <t>Whether a variable has a longer tail on one side than the other.</t>
  </si>
  <si>
    <t>Skewness returns the sample skewness (Fisher-Pearson standardized third moment) for each column of X_s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</si>
  <si>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Kurtosis</t>
  </si>
  <si>
    <t>=LAMBDA(X_s, [Include],
  LET(
    filt_arg, IF(ISOMITTED(Include), TRUE, Include),
    xf, FILTER(X_s, filt_arg),
    MAKEARRAY(COLUMNS(X_s), 1, LAMBDA(r, c, KURT(CHOOSECOLS(xf, r))))
  ))</t>
  </si>
  <si>
    <t>k×1 column vector of excess kurtosis values (one per column of X_s)</t>
  </si>
  <si>
    <t>Whether a variable has unusually heavy tails or outliers.</t>
  </si>
  <si>
    <t>Kurtosis returns the excess kurtosis for each filtered column of X_s.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</si>
  <si>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F-statistic for the overall regression model as a scalar</t>
  </si>
  <si>
    <t>Whether the model, taken as a whole, explains more than random noise would.</t>
  </si>
  <si>
    <t>p-value for the overall F-test (right-tail probability of the F distribution)</t>
  </si>
  <si>
    <t>How surprising the overall F-statistic would be if the model had no real signal.</t>
  </si>
  <si>
    <t>Correlation_Matrix</t>
  </si>
  <si>
    <t>=LAMBDA(X_s, [Include],
  LET(
    filt_arg, IF(ISOMITTED(Include), TRUE, Include),
    xf, FILTER(X_s, filt_arg),
    k,  COLUMNS(X_s),
    MAKEARRAY(k, k, LAMBDA(r, c, CORREL(CHOOSECOLS(xf, r), CHOOSECOLS(xf, c))))
  ))</t>
  </si>
  <si>
    <t>X_s: column range of variables (single or multi-column); returns a k×k symmetric matrix
[Include]: boolean array — TRUE includes the row, FALSE excludes it</t>
  </si>
  <si>
    <t>k×k symmetric matrix of pairwise Pearson correlations (diagonal = 1)</t>
  </si>
  <si>
    <t>The pairwise correlations among all predictor columns.</t>
  </si>
  <si>
    <t>Correlation_Matrix returns the k×k Pearson correlation matrix for all columns of X_s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</si>
  <si>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Missing_Count</t>
  </si>
  <si>
    <t>=LAMBDA(data, [filter],
  LET(
    filt_arg, IF(ISOMITTED(filter), TRUE, filter),
    d, FILTER(data, filt_arg),
    last_row, IFERROR(LOOKUP(2, 1/(d&lt;&gt;""), SEQUENCE(ROWS(d))), 0),
    IF(last_row = 0, 0,
      last_row - COUNT(TAKE(d, last_row)))
  ))</t>
  </si>
  <si>
    <t>data: single-column data range (may contain blanks or non-numeric cells)
[filter]: optional boolean array — TRUE includes the row, FALSE excludes it</t>
  </si>
  <si>
    <t>count of non-numeric (blank or text) cells within the active rows of the data range</t>
  </si>
  <si>
    <t>How many cells in the data column are blank or non-numeric.</t>
  </si>
  <si>
    <t>Missing_Count counts cells that are present in the active data range but not numeric. The active range is determined from the first row down to the last non-empty row (using MATCH to find the last non-empty entry), so trailing blanks beyond the user's data do not inflate the count.
Returns 0 when no active rows exist. A non-zero result signals that some cells the user likely intended as data values were blank or contained text and were silently excluded from statistical calculations.</t>
  </si>
  <si>
    <t>=LAMBDA(data, [filter],
  LET(
    filt_arg, IF(ISOMITTED(filter), ISNUMBER(data), filter),
    x, FILTER(data, filt_arg),
    n, COUNT(x),
    skew_val, INDEX(Skewness(data, filt_arg), 1),
    kurt_val, INDEX(Kurtosis(data, filt_arg), 1),
    VSTACK(
      AVERAGE(x),
      MEDIAN(x),
      IFERROR(MODE.SNGL(x), NA()),
      STDEV.S(x),
      VAR.S(x),
      MIN(x),
      MAX(x),
      MAX(x) - MIN(x),
      skew_val,
      kurt_val,
      n,
      Missing_Count(data, IF(ISOMITTED(filter), TRUE, filter))
    )
  ))</t>
  </si>
  <si>
    <t>data: single-column data range
[filter]: optional boolean array — TRUE includes the row, FALSE excludes it; defaults to ISNUMBER(data)</t>
  </si>
  <si>
    <t>12×1 column vector: mean, median, mode, SD, variance, min, max, range, skewness, kurtosis, count, missing count</t>
  </si>
  <si>
    <t>All 12 standard summary statistics for a data column, returned as a column vector.</t>
  </si>
  <si>
    <t>Sturges_Bins</t>
  </si>
  <si>
    <t>=LAMBDA(data, [filter],
  LET(
    filt_arg, IF(ISOMITTED(filter), ISNUMBER(data), filter),
    x, FILTER(data, filt_arg),
    n, COUNT(x),
    CEILING(LOG(n, 2) + 1, 1)
  ))</t>
  </si>
  <si>
    <t>data: single-column numeric data range
[filter]: optional boolean array</t>
  </si>
  <si>
    <t>integer bin count via Sturges' rule</t>
  </si>
  <si>
    <t>How many histogram bins Sturges' rule recommends for this data.</t>
  </si>
  <si>
    <t>Sturges_Bins returns the bin count k = ⌈log₂(n) + 1⌉, where n is the count of numeric values after filtering. Sturges' rule works well for roughly symmetric, unimodal data with moderate sample sizes (50–200 observations). It tends to undersmooth (too few bins) for skewed or heavy-tailed data.
Used by Bin_Edges to generate upper bin edges for the Sturges histogram column chart.</t>
  </si>
  <si>
    <t>Scott_Bins</t>
  </si>
  <si>
    <t>=LAMBDA(data, [filter],
  LET(
    filt_arg, IF(ISOMITTED(filter), ISNUMBER(data), filter),
    x, FILTER(data, filt_arg),
    n, COUNT(x),
    sd, STDEV.S(x),
    width, 3.49 * sd * n ^ (-1/3),
    range_, MAX(x) - MIN(x),
    IF(sd = 0, 1, CEILING(range_ / width, 1))
  ))</t>
  </si>
  <si>
    <t>integer bin count via Scott's normal reference rule</t>
  </si>
  <si>
    <t>How many histogram bins Scott's normal-reference rule recommends.</t>
  </si>
  <si>
    <t>Scott_Bins computes the bin width h = 3.49 × σ × n^(−1/3) that minimises mean integrated squared error assuming the data are normally distributed, then returns k = ⌈range / h⌉.
Scott's rule is more adaptive than Sturges for larger samples and performs well when the data are approximately normal. For strongly skewed or multimodal data, Freedman-Diaconis is more appropriate.</t>
  </si>
  <si>
    <t>=LAMBDA(data, [filter],
  LET(
    filt_arg, IF(ISOMITTED(filter), ISNUMBER(data), filter),
    x, FILTER(data, filt_arg),
    n, COUNT(x),
    iqr, QUARTILE.EXC(x, 3) - QUARTILE.EXC(x, 1),
    width, 2 * iqr * n ^ (-1/3),
    range_, MAX(x) - MIN(x),
    IF(iqr = 0, Sturges_Bins(data, filt_arg), CEILING(range_ / width, 1))
  ))</t>
  </si>
  <si>
    <t>integer bin count via the Freedman-Diaconis rule</t>
  </si>
  <si>
    <t>How many histogram bins the Freedman-Diaconis rule recommends.</t>
  </si>
  <si>
    <t>=LAMBDA(data, [method], [filter],
  LET(
    filt_arg, IF(ISOMITTED(filter), ISNUMBER(data), filter),
    x, FILTER(data, filt_arg),
    n, COUNT(x),
    m, IF(ISOMITTED(method), "FD", method),
    SWITCH(m,
      "Sturges", CEILING(LOG(n, 2) + 1, 1),
      "Scott",   LET(
                   sd, STDEV.S(x),
                   range_, MAX(x) - MIN(x),
                   IF(sd = 0, 1, CEILING(range_ / (3.49 * sd * n ^ (-1/3)), 1))
                 ),
      LET(
        iqr, QUARTILE.EXC(x, 3) - QUARTILE.EXC(x, 1),
        range_, MAX(x) - MIN(x),
        IF(iqr = 0,
          CEILING(LOG(n, 2) + 1, 1),
          CEILING(range_ / (2 * iqr * n ^ (-1/3)), 1))
      )
    )
  ))</t>
  </si>
  <si>
    <t>data: single-column numeric data range
[method]: bin-count rule: "Sturges", "Scott", or "FD" (default when omitted)
[filter]: optional boolean array</t>
  </si>
  <si>
    <t>integer bin count k for the chosen method</t>
  </si>
  <si>
    <t>How many histogram bins a chosen rule (default: Freedman-Diaconis) recommends for this data.</t>
  </si>
  <si>
    <t>Bin_Edges</t>
  </si>
  <si>
    <t>Bin_Counts</t>
  </si>
  <si>
    <t>How many data values fall into each histogram bin.</t>
  </si>
  <si>
    <t>=LAMBDA(grid,
  LET(
    value_count, COUNT(grid),
    IF(
      value_count = 0,
      HSTACK(NA(), NA(), NA()),
      LET(
        min_value, MIN(grid),
        flat_location, XMATCH(min_value, TOCOL(grid)),
        column_count, COLUMNS(grid),
        row_location, QUOTIENT(flat_location - 1, column_count) + 1,
        column_location, MOD(flat_location - 1, column_count) + 1,
        HSTACK(min_value, row_location, column_location)
      )
    )
  ))</t>
  </si>
  <si>
    <t>grid: rectangular numeric grid to search; for a two-input Data Table, pass the complete body range only</t>
  </si>
  <si>
    <t>1×3 row vector: minimum value, 1-based row location, and 1-based column location of the first minimum</t>
  </si>
  <si>
    <t>The smallest value in a grid and the row and column where its first occurrence appears.</t>
  </si>
  <si>
    <t>Grid_Search_Optimum</t>
  </si>
  <si>
    <t>grid: complete body range of a two-input Data Table, with column-parameter values immediately above and row-parameter values immediately to the left</t>
  </si>
  <si>
    <t>2×1 column vector: optimal column-parameter value, then optimal row-parameter value</t>
  </si>
  <si>
    <t>The two parameter values that produce the smallest result in a two-input Data Table.</t>
  </si>
  <si>
    <t>NLL_Normal</t>
  </si>
  <si>
    <t>=LAMBDA(data, mean, sd, [filter],
  LET(
    filt_arg, IF(ISOMITTED(filter), ISNUMBER(data), filter),
    x, FILTER(data, filt_arg),
    IFERROR(-SUMPRODUCT(LN(NORM.DIST(x, mean, sd, FALSE))), 1E+15)
  ))</t>
  </si>
  <si>
    <t>data: single-column data range
mean: distribution mean parameter μ
sd: distribution standard deviation σ (must be &gt; 0)
[filter]: optional boolean array; defaults to ISNUMBER(data)</t>
  </si>
  <si>
    <t>negative log-likelihood for Normal(mean, sd) given data; returns 1E+15 for invalid parameter combinations</t>
  </si>
  <si>
    <t>How unlikely the Normal distribution is to have generated this data at the given parameters.</t>
  </si>
  <si>
    <t>NLL_Normal computes −Σ ln f(xᵢ | μ, σ) where f is the Normal PDF evaluated via NORM.DIST. The IFERROR sentinel maps overflow or invalid regions (sd ≤ 0, or non-positive PDF values) to 1E+15, keeping MIN and grid-search argmin robust. Minimising NLL over (μ, σ) gives the MLE; for the Normal distribution the MLE is the sample mean and sample standard deviation.
The filter defaults to ISNUMBER(data) so blank cells in the input range are automatically excluded. Pass this value to GoF_AIC and GoF_BIC with k = 2.</t>
  </si>
  <si>
    <t>NLL_Lognormal</t>
  </si>
  <si>
    <t>=LAMBDA(data, meanlog, sdlog, [filter],
  LET(
    filt_arg, IF(ISOMITTED(filter), ISNUMBER(data), filter),
    x, FILTER(data, filt_arg),
    IFERROR(-SUMPRODUCT(LN(LOGNORM.DIST(x, meanlog, sdlog, FALSE))), 1E+15)
  ))</t>
  </si>
  <si>
    <t>data: single-column data range (all values must be &gt; 0)
meanlog: mean of ln(data), μ_ln
sdlog: standard deviation of ln(data), σ_ln (must be &gt; 0)
[filter]: optional boolean array; defaults to ISNUMBER(data)</t>
  </si>
  <si>
    <t>negative log-likelihood for Lognormal(meanlog, sdlog) given data; returns 1E+15 for invalid parameter combinations</t>
  </si>
  <si>
    <t>How unlikely the Lognormal distribution is to have generated this data at the given parameters.</t>
  </si>
  <si>
    <t>NLL_Lognormal evaluates −Σ ln f(xᵢ | μ_ln, σ_ln) using Excel's LOGNORM.DIST PDF. The IFERROR sentinel maps overflow or invalid regions (non-positive data or sdlog ≤ 0) to 1E+15, keeping MIN and grid-search argmin robust. The MLE closed form is: μ_ln = AVERAGE(LN(data)), σ_ln = STDEV.S(LN(data)).
Lognormal fits well when data is right-skewed and multiplicative (incomes, sizes, concentrations). Pass to GoF_AIC and GoF_BIC with k = 2.</t>
  </si>
  <si>
    <t>NLL_Exponential</t>
  </si>
  <si>
    <t>=LAMBDA(data, rate, [filter],
  LET(
    filt_arg, IF(ISOMITTED(filter), ISNUMBER(data), filter),
    x, FILTER(data, filt_arg),
    IFERROR(-SUMPRODUCT(LN(EXPON.DIST(x, rate, FALSE))), 1E+15)
  ))</t>
  </si>
  <si>
    <t>data: single-column data range (all values must be ≥ 0)
rate: rate parameter λ = 1/mean (must be &gt; 0)
[filter]: optional boolean array; defaults to ISNUMBER(data)</t>
  </si>
  <si>
    <t>negative log-likelihood for Exponential(rate) given data; returns 1E+15 for invalid parameter combinations</t>
  </si>
  <si>
    <t>How unlikely the Exponential distribution is to have generated this data at the given rate.</t>
  </si>
  <si>
    <t>NLL_Exponential evaluates −Σ ln f(xᵢ | λ) = −n·ln(λ) + λ·Σxᵢ via EXPON.DIST. The IFERROR sentinel maps invalid regions (rate ≤ 0, or data violating the ≥ 0 support) to 1E+15, keeping MIN and grid-search argmin robust. The MLE closed form is: rate = 1/AVERAGE(data).
Exponential fits well for memoryless waiting times, inter-arrival times, and time-to-failure data. Pass to GoF_AIC and GoF_BIC with k = 1.</t>
  </si>
  <si>
    <t>NLL_Weibull</t>
  </si>
  <si>
    <t>=LAMBDA(data, shape, scale, [filter],
  LET(
    filt_arg, IF(ISOMITTED(filter), ISNUMBER(data), filter),
    x, FILTER(data, filt_arg),
    IFERROR(-SUMPRODUCT(LN(WEIBULL.DIST(x, shape, scale, FALSE))), 1E+15)
  ))</t>
  </si>
  <si>
    <t>data: single-column data range (all values must be &gt; 0)
shape: shape parameter k (must be &gt; 0)
scale: scale parameter λ (must be &gt; 0)
[filter]: optional boolean array; defaults to ISNUMBER(data)</t>
  </si>
  <si>
    <t>negative log-likelihood for Weibull(shape, scale) given data; returns 1E+15 for invalid parameter combinations</t>
  </si>
  <si>
    <t>How unlikely the Weibull distribution is to have generated this data at the given shape and scale.</t>
  </si>
  <si>
    <t>NLL_Weibull evaluates −Σ ln f(xᵢ | k, λ) using WEIBULL.DIST. The IFERROR sentinel maps overflow or invalid regions (shape → 0, or data violating support) to 1E+15, keeping MIN and grid-search argmin robust.
Weibull is the standard model for failure times and wind speeds. No closed-form MLE exists; fit using a two-input Data Table grid-search (v2.1). Pass to GoF_AIC and GoF_BIC with k = 2.</t>
  </si>
  <si>
    <t>NLL_Gamma</t>
  </si>
  <si>
    <t>=LAMBDA(data, shape, rate, [filter],
  LET(
    filt_arg, IF(ISOMITTED(filter), ISNUMBER(data), filter),
    x, FILTER(data, filt_arg),
    scale, 1 / rate,
    IFERROR(-SUMPRODUCT(LN(GAMMA.DIST(x, shape, scale, FALSE))), 1E+15)
  ))</t>
  </si>
  <si>
    <t>data: single-column data range (all values must be &gt; 0)
shape: shape parameter α (must be &gt; 0)
rate: rate parameter β = 1/scale (must be &gt; 0)
[filter]: optional boolean array; defaults to ISNUMBER(data)</t>
  </si>
  <si>
    <t>negative log-likelihood for Gamma(shape, rate) given data; returns 1E+15 for invalid parameter combinations</t>
  </si>
  <si>
    <t>How unlikely the Gamma distribution is to have generated this data at the given shape and rate.</t>
  </si>
  <si>
    <t>NLL_Gamma evaluates −Σ ln f(xᵢ | α, β) via GAMMA.DIST, converting rate to scale internally (scale = 1/rate). IFERROR maps overflow near shape → 0 to a large sentinel.
Gamma fits well for right-skewed positive data (insurance claims, rainfall, queuing times). No closed-form MLE; fit using grid-search Data Table (v2.1). Pass to GoF_AIC and GoF_BIC with k = 2.</t>
  </si>
  <si>
    <t>NLL_Triangular</t>
  </si>
  <si>
    <t>=LAMBDA(data, min_val, mode_val, max_val, [filter],
  LET(
    filt_arg, IF(ISOMITTED(filter), ISNUMBER(data), filter),
    x, FILTER(data, filt_arg),
    range_, max_val - min_val,
    pdf, IF(
      x &lt;= mode_val,
      2 * (x - min_val)  / (range_ * (mode_val - min_val)),
      2 * (max_val - x)  / (range_ * (max_val - mode_val))
    ),
    IFERROR(-SUMPRODUCT(LN(pdf)), 1E+15)
  ))</t>
  </si>
  <si>
    <t>data: single-column data range
min_val: lower bound of the triangular distribution
mode_val: peak (most likely value)
max_val: upper bound
[filter]: optional boolean array; defaults to ISNUMBER(data)</t>
  </si>
  <si>
    <t>negative log-likelihood for Triangular(min, mode, max) given data; returns 1E+15 for invalid parameters</t>
  </si>
  <si>
    <t>How unlikely the Triangular distribution is to have generated this data at the given bounds.</t>
  </si>
  <si>
    <t>NLL_Triangular implements the triangular PDF directly: 2(x − min) / (range × (mode − min)) on [min, mode] and 2(max − x) / (range × (max − mode)) on (mode, max]. The likelihood is non-differentiable at the mode, so MLE is non-standard; the conventional approach is to set min = data min, mode = data mode, max = data max.
Triangular is common in project risk and cost estimation (three-point estimates). Pass to GoF_AIC and GoF_BIC with k = 3.</t>
  </si>
  <si>
    <t>NLL_Beta</t>
  </si>
  <si>
    <t>=LAMBDA(data, alpha_param, beta_param, [filter],
  LET(
    filt_arg, IF(ISOMITTED(filter), ISNUMBER(data), filter),
    x, FILTER(data, filt_arg),
    IFERROR(-SUMPRODUCT(LN(BETA.DIST(x, alpha_param, beta_param, FALSE))), 1E+15)
  ))</t>
  </si>
  <si>
    <t>data: single-column data range; values must be strictly on (0, 1)
alpha_param: first shape parameter α (must be &gt; 0)
beta_param: second shape parameter β (must be &gt; 0)
[filter]: optional boolean array; defaults to ISNUMBER(data)</t>
  </si>
  <si>
    <t>negative log-likelihood for Beta(α, β) given data on (0,1); returns 1E+15 for boundary or invalid values</t>
  </si>
  <si>
    <t>How unlikely the Beta distribution is to have generated this (0,1)-bounded data at the given shape parameters.</t>
  </si>
  <si>
    <t>NLL_Beta evaluates −Σ ln f(xᵢ | α, β) via BETA.DIST. Values exactly at 0 or 1 cause BETA.DIST to return errors; the IFERROR sentinel catches these and maps the entire NLL to 1E+15, making the cell visible as an overflow region in grid-search heatmaps.
Beta fits proportions and rates bounded on [0, 1] (e.g. efficiencies, fractions). Data must be rescaled to (0, 1) before fitting. No closed-form MLE; fit using grid-search Data Table (v2.1). Pass to GoF_AIC and GoF_BIC with k = 2.</t>
  </si>
  <si>
    <t>NLL_BetaPERT</t>
  </si>
  <si>
    <t>=LAMBDA(data, min_val, mode_val, max_val, [filter],
  LET(
    filt_arg, IF(ISOMITTED(filter), ISNUMBER(data), filter),
    x, FILTER(data, filt_arg),
    range_, max_val - min_val,
    z, (x - min_val) / range_,
    alpha_p, 1 + 4 * (mode_val - min_val) / range_,
    beta_p,  1 + 4 * (max_val  - mode_val) / range_,
    pdf_z, BETA.DIST(z, alpha_p, beta_p, FALSE),
    pdf_x, pdf_z / range_,
    IFERROR(-SUMPRODUCT(LN(pdf_x)), 1E+15)
  ))</t>
  </si>
  <si>
    <t>data: single-column data range
min_val: lower bound (minimum possible value)
mode_val: most likely value (peak of the PERT curve)
max_val: upper bound (maximum possible value)
[filter]: optional boolean array; defaults to ISNUMBER(data)</t>
  </si>
  <si>
    <t>negative log-likelihood for BetaPERT(min, mode, max) given data; returns 1E+15 for invalid parameters</t>
  </si>
  <si>
    <t>How unlikely the BetaPERT distribution is to have generated this data at the given three-point bounds.</t>
  </si>
  <si>
    <t>NLL_BetaPERT reparameterises the Beta distribution using the PERT convention: α = 1 + 4·(mode − min)/(max − min), β = 1 + 4·(max − mode)/(max − min). Data are rescaled to z = (x − min)/(max − min); the Jacobian correction log(1/(max − min)) converts the Beta log-likelihood back to the original data scale.
BetaPERT is the standard distribution for three-point cost and schedule estimates. Parameters are estimated directly from min, mode, max; no optimisation is needed. Pass to GoF_AIC and GoF_BIC with k = 3.</t>
  </si>
  <si>
    <t>GoF_AIC</t>
  </si>
  <si>
    <t>=LAMBDA(nll, k, 2 * k + 2 * nll)</t>
  </si>
  <si>
    <t>nll: negative log-likelihood from any NLL_* function
k: number of free parameters in the distribution (1 for Exponential, 2 for Normal/Lognormal/Weibull/Gamma/Beta, 3 for Triangular/BetaPERT)</t>
  </si>
  <si>
    <t>AIC = 2k + 2·NLL as a scalar</t>
  </si>
  <si>
    <t>A model-comparison score that balances fit quality against the number of parameters.</t>
  </si>
  <si>
    <t>GoF_AIC computes the Akaike Information Criterion: AIC = 2k + 2·NLL. Lower AIC indicates a better balance of fit quality and model complexity. AIC is comparable across all distributions fitted to the same dataset — the distribution with the lowest AIC is the best-fitting model under this criterion.
AIC does not penalise extra parameters as strongly as BIC, so it may favour more complex distributions (larger k) when sample sizes are large. For small samples, use AICc instead (not implemented here — add a correction term 2k(k+1)/(n−k−1) if n/k &lt; 40).</t>
  </si>
  <si>
    <t>GoF_BIC</t>
  </si>
  <si>
    <t>=LAMBDA(nll, k, n, k * LN(n) + 2 * nll)</t>
  </si>
  <si>
    <t>nll: negative log-likelihood from any NLL_* function
k: number of free parameters in the distribution
n: number of observations used in the fit (from UV_n or COUNT(data))</t>
  </si>
  <si>
    <t>BIC = k·ln(n) + 2·NLL as a scalar</t>
  </si>
  <si>
    <t>A model-comparison score that penalises extra parameters more strongly as sample size grows.</t>
  </si>
  <si>
    <t>GoF_BIC computes the Bayesian Information Criterion: BIC = k·ln(n) + 2·NLL. Lower BIC indicates a better model. BIC penalises extra parameters more strongly than AIC (penalty grows with log(n) rather than 2), favouring simpler distributions in larger samples.
Compare AIC and BIC together: if they agree, the best-fit distribution is clear; if they disagree, AIC is selecting a more complex distribution and BIC is selecting a simpler one. The difference is informative about how much the extra parameters contribute to fit.</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</si>
  <si>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</si>
  <si>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</si>
  <si>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</si>
  <si>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</si>
  <si>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</si>
  <si>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</si>
  <si>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</si>
  <si>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</si>
  <si>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</si>
  <si>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</si>
  <si>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</si>
  <si>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</si>
  <si>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</si>
  <si>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</si>
  <si>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</si>
  <si>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</si>
  <si>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</si>
  <si>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</si>
  <si>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</si>
  <si>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</si>
  <si>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</si>
  <si>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</si>
  <si>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</si>
  <si>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</si>
  <si>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</si>
  <si>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</si>
  <si>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</si>
  <si>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</si>
  <si>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</si>
  <si>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</si>
  <si>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</si>
  <si>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</si>
  <si>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</si>
  <si>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</si>
  <si>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</si>
  <si>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</si>
  <si>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</si>
  <si>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</si>
  <si>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</si>
  <si>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</si>
  <si>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</si>
  <si>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</si>
  <si>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</si>
  <si>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</si>
  <si>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</si>
  <si>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</si>
  <si>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</si>
  <si>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</si>
  <si>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</si>
  <si>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</si>
  <si>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</si>
  <si>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</si>
  <si>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</si>
  <si>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</si>
  <si>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</si>
  <si>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</si>
  <si>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</si>
  <si>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</si>
  <si>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</si>
  <si>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</si>
  <si>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</si>
  <si>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</si>
  <si>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</si>
  <si>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</si>
  <si>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</si>
  <si>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</si>
  <si>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</si>
  <si>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</si>
  <si>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</si>
  <si>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</si>
  <si>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</si>
  <si>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</si>
  <si>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</si>
  <si>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</si>
  <si>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</si>
  <si>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</si>
  <si>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</si>
  <si>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</si>
  <si>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</si>
  <si>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</si>
  <si>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</si>
  <si>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</si>
  <si>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</si>
  <si>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</si>
  <si>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</si>
  <si>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</si>
  <si>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</si>
  <si>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</si>
  <si>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</si>
  <si>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</si>
  <si>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</si>
  <si>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</si>
  <si>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</si>
  <si>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</si>
  <si>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</si>
  <si>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</si>
  <si>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</si>
  <si>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</si>
  <si>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</si>
  <si>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</si>
  <si>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</si>
  <si>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</si>
  <si>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</si>
  <si>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</si>
  <si>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</si>
  <si>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</si>
  <si>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</si>
  <si>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</si>
  <si>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</si>
  <si>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</si>
  <si>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</si>
  <si>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</si>
  <si>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</si>
  <si>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</si>
  <si>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</si>
  <si>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</si>
  <si>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</si>
  <si>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</si>
  <si>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</si>
  <si>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</si>
  <si>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</si>
  <si>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</si>
  <si>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</si>
  <si>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</si>
  <si>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</si>
  <si>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</si>
  <si>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</si>
  <si>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</si>
  <si>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</si>
  <si>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</si>
  <si>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</si>
  <si>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</si>
  <si>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</si>
  <si>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</si>
  <si>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</si>
  <si>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</si>
  <si>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</si>
  <si>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</si>
  <si>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</si>
  <si>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</si>
  <si>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</si>
  <si>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</si>
  <si>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</si>
  <si>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</si>
  <si>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</si>
  <si>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</si>
  <si>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</si>
  <si>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</si>
  <si>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</si>
  <si>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</si>
  <si>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</si>
  <si>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</si>
  <si>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</si>
  <si>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</si>
  <si>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</si>
  <si>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</si>
  <si>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</si>
  <si>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</si>
  <si>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</si>
  <si>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</si>
  <si>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</si>
  <si>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</si>
  <si>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</si>
  <si>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</si>
  <si>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</si>
  <si>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</si>
  <si>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</si>
  <si>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</si>
  <si>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</si>
  <si>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</si>
  <si>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</si>
  <si>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</si>
  <si>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</si>
  <si>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</si>
  <si>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</si>
  <si>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</si>
  <si>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</si>
  <si>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</si>
  <si>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</si>
  <si>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</si>
  <si>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</si>
  <si>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</si>
  <si>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</si>
  <si>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</si>
  <si>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</si>
  <si>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</si>
  <si>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</si>
  <si>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</si>
  <si>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</si>
  <si>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</si>
  <si>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</si>
  <si>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</si>
  <si>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</si>
  <si>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</si>
  <si>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</si>
  <si>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</si>
  <si>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</si>
  <si>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</si>
  <si>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</si>
  <si>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</si>
  <si>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</si>
  <si>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</si>
  <si>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</si>
  <si>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</si>
  <si>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</si>
  <si>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</si>
  <si>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</si>
  <si>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</si>
  <si>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</si>
  <si>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</si>
  <si>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</si>
  <si>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</si>
  <si>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</si>
  <si>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</si>
  <si>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</si>
  <si>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</si>
  <si>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</si>
  <si>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</si>
  <si>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How to use the Regression sheet for Multilinear Regression (MLR)</t>
  </si>
  <si>
    <t>Ensure your data is organized as a structured Excel table. Select the range including column headers and press Ctrl+T, or go to Home → Format as Table.</t>
  </si>
  <si>
    <t>Optional — point prediction:</t>
  </si>
  <si>
    <t>REGRESSION DIAGNOSTIC GUIDE</t>
  </si>
  <si>
    <t>Use the charts and flagged cells on the Regression sheet to assess model assumptions. Work through Tier 1 first; investigate Tier 2 only when a Tier 1 plot raises a concern.</t>
  </si>
  <si>
    <t>TIER 1 — Review for every model</t>
  </si>
  <si>
    <t>Plot</t>
  </si>
  <si>
    <t>X-axis</t>
  </si>
  <si>
    <t>Y-axis</t>
  </si>
  <si>
    <t>What to look for</t>
  </si>
  <si>
    <t>Residuals vs. Fitted</t>
  </si>
  <si>
    <t>Predicted Y</t>
  </si>
  <si>
    <t>Random scatter around zero. A curve or funnel shape signals nonlinearity or heteroscedasticity (non-constant error variance).</t>
  </si>
  <si>
    <t>Normal Q-Q</t>
  </si>
  <si>
    <t>Normal Scores (theoretical)</t>
  </si>
  <si>
    <t>Studentized Residuals Ranked</t>
  </si>
  <si>
    <t>Points close to a straight diagonal line. Heavy tails or an S-curve indicate non-normal errors. Check QQ Correlation (Cell P10): below 0.98 = mild concern, below 0.95 = stronger concern.</t>
  </si>
  <si>
    <t>Actual vs. Predicted</t>
  </si>
  <si>
    <t>Y</t>
  </si>
  <si>
    <t>Points close to a 45° line. A bow or fan shape confirms the same problems seen in Residuals vs. Fitted but from a different angle.</t>
  </si>
  <si>
    <t>TIER 2 — Investigate when Tier 1 raises a concern</t>
  </si>
  <si>
    <t>Scale-Location</t>
  </si>
  <si>
    <t>Scale-Location
(√|Studentized Residuals|)</t>
  </si>
  <si>
    <t>Flat horizontal spread of points = homoscedasticity. An upward trend confirms heteroscedasticity flagged in Tier 1. Yellow cells: value &gt; √2 ≈ 1.41; red cells: value &gt; √3 ≈ 1.73.</t>
  </si>
  <si>
    <t>Cook's Distance</t>
  </si>
  <si>
    <t>Observation (bar position)</t>
  </si>
  <si>
    <t>Spikes above 4/n (yellow) or above 0.9 (red) mark observations with outsized influence on the fitted coefficients. Bars are ordered by observation number. Inspect those rows for data entry errors or genuine outliers before removing them. Remove outliers only when you have a definitive, non-statistical reason to believe the data point is invalid, comes from a different population, or disproportionately distorts the analysis. Never filter out data solely because it is an extreme statistical value, as doing so can introduce bias and erase genuine insights.</t>
  </si>
  <si>
    <t>Studentized Residuals vs. Leverage</t>
  </si>
  <si>
    <t>Hat Diagonal (leverage)</t>
  </si>
  <si>
    <t>Studentized Residuals</t>
  </si>
  <si>
    <t>High leverage alone is not a problem. Combined high leverage and large residual (top-right or bottom-right of the plot) = influential outlier. Hat &gt; 2p/n is flagged red; Hat &gt; 3p/n is additionally bold.</t>
  </si>
  <si>
    <t>PRESS Residuals</t>
  </si>
  <si>
    <t>PRESS Residual
(e / (1 − h))</t>
  </si>
  <si>
    <t>PRESS residuals inflate the ordinary residual by leverage. Bars are ordered by observation number. Large values (|PRESS| &gt; 2 × SE yellow, &gt; 3 × SE red) flag observations whose removal would substantially shift the fitted model.</t>
  </si>
  <si>
    <t>DIAGNOSTIC THRESHOLD REFERENCE</t>
  </si>
  <si>
    <t>Diagnostic</t>
  </si>
  <si>
    <t>Location on sheet</t>
  </si>
  <si>
    <t>Yellow threshold</t>
  </si>
  <si>
    <t>Red threshold</t>
  </si>
  <si>
    <t>Tolerance &lt; 0.2</t>
  </si>
  <si>
    <t>Tolerance &lt; 0.1</t>
  </si>
  <si>
    <t>PRESS R²</t>
  </si>
  <si>
    <t>Cell P5, Diagnostics</t>
  </si>
  <si>
    <t>—</t>
  </si>
  <si>
    <t>PRESS R² &lt; 0  (worse than predicting Y-mean)</t>
  </si>
  <si>
    <t>QQ Correlation</t>
  </si>
  <si>
    <t>Cell P10, Diagnostics</t>
  </si>
  <si>
    <t>&lt; 0.98  (mild non-normality)</t>
  </si>
  <si>
    <t>&lt; 0.95  (clear non-normality)</t>
  </si>
  <si>
    <t>Significance F</t>
  </si>
  <si>
    <t>Cell Q15, ANOVA Table</t>
  </si>
  <si>
    <t>P-value &gt; alpha  (model not significant)</t>
  </si>
  <si>
    <t>Coefficient P-values</t>
  </si>
  <si>
    <t>Col P, Coefficients</t>
  </si>
  <si>
    <t>P-value &gt; alpha  (term not significant)</t>
  </si>
  <si>
    <t>Col AB, Residual Output</t>
  </si>
  <si>
    <t>h &gt; 2p/n  (high leverage)</t>
  </si>
  <si>
    <t>Col AC, Residual Output</t>
  </si>
  <si>
    <t>|r*| &gt; 2  (moderate outlier)</t>
  </si>
  <si>
    <t>|r*| ≥ 3  (strong outlier)</t>
  </si>
  <si>
    <t>Col AD, Residual Output</t>
  </si>
  <si>
    <t>D &gt; 4/n  (review)</t>
  </si>
  <si>
    <t>D &gt; 0.9  (high influence)</t>
  </si>
  <si>
    <t>Col AG, Residual Output</t>
  </si>
  <si>
    <t>&gt; √2 ≈ 1.41  (|r*| &gt; 2 equivalent)</t>
  </si>
  <si>
    <t>&gt; √3 ≈ 1.73  (|r*| &gt; 3 equivalent)</t>
  </si>
  <si>
    <t>PRESS Residual</t>
  </si>
  <si>
    <t>Col AH, Residual Output</t>
  </si>
  <si>
    <t>|PRESS| &gt; 2 × SE</t>
  </si>
  <si>
    <t>|PRESS| &gt; 3 × SE</t>
  </si>
  <si>
    <t>COMMON PATTERNS AND NEXT STEPS</t>
  </si>
  <si>
    <t>Pattern</t>
  </si>
  <si>
    <t>Symptom</t>
  </si>
  <si>
    <t>Next step</t>
  </si>
  <si>
    <t>Heteroscedasticity
(funnel residuals)</t>
  </si>
  <si>
    <t>Residuals vs. Fitted shows fan shape; Scale-Location trends upward.</t>
  </si>
  <si>
    <t>Consider: log-transforming Y, adding polynomial terms, or fitting a Weighted Least Squares (WLS) model. WLS is planned for a future version of this library.</t>
  </si>
  <si>
    <t>Nonlinearity
(curved residuals)</t>
  </si>
  <si>
    <t>Residuals vs. Fitted shows a curve; Actual vs. Predicted bows.</t>
  </si>
  <si>
    <t>Add squared or interaction terms to the model. Toggle individual predictors on/off to isolate which variable is driving the curve.</t>
  </si>
  <si>
    <t>Non-normal errors
(Q-Q deviation)</t>
  </si>
  <si>
    <t>Q-Q plot shows heavy tails or S-curve; QQ Correlation &lt; 0.98.</t>
  </si>
  <si>
    <t>With n &gt; 100 moderate departures rarely invalidate inference. For small n, consider robust standard errors or a bootstrap Confidence Interval approach.</t>
  </si>
  <si>
    <t>Influential observations
(high Cook's D or PRESS)</t>
  </si>
  <si>
    <t>Cook's D &gt; 4/n or |PRESS| &gt; 2 × SE for one or more rows.</t>
  </si>
  <si>
    <t>Inspect those rows. Verify data entry. Refit without the observation(s) and compare coefficients — if they shift substantially, see which ones and research the reasons why those data points are different. If there's a significant difference, choose one model, but report the prediction results of the other regression as a sensitivity analysis.</t>
  </si>
  <si>
    <t>Remove or combine correlated predictors. Use the Correlation_Matrix function to identify the pairs. Partial R² shows each predictor's unique contribution after controlling for the others.</t>
  </si>
  <si>
    <t>VERSION HISTORY</t>
  </si>
  <si>
    <t>Version</t>
  </si>
  <si>
    <t>Release Date</t>
  </si>
  <si>
    <t>Summary of Changes</t>
  </si>
  <si>
    <t>1.0.0</t>
  </si>
  <si>
    <t>Initial release — complete OLS/MLR engine with full model-fit and ANOVA statistics, coefficient inference (SE, t, p, CIs, partial R²/correlation), multicollinearity diagnostics (VIF, Tolerance, correlation matrix), residual and influence diagnostics (residuals, studentized residuals, hat diagonal, Cook's distance, Q-Q machinery, Durbin-Watson), cross-validation (PRESS, LOOCV), information criteria (AIC, AICc, BIC), distributional exploration (skewness, kurtosis, Pearson/Spearman), and prediction with confidence intervals. Ships with Regression sheet, Diagnostic Guide, Regression Instructions, pre-built diagnostic charts, and this Version History.</t>
  </si>
  <si>
    <t>PREDICTOR SUMMARY</t>
  </si>
  <si>
    <t>Pearson R</t>
  </si>
  <si>
    <t>Spearman R</t>
  </si>
  <si>
    <t>REGRESSION OUTPUTS</t>
  </si>
  <si>
    <t>REGRESSION STATISTICS</t>
  </si>
  <si>
    <t>Multiple R</t>
  </si>
  <si>
    <t>R Square</t>
  </si>
  <si>
    <t>Adjusted R Square</t>
  </si>
  <si>
    <t>Standard Error</t>
  </si>
  <si>
    <t>DIAGNOSTICS</t>
  </si>
  <si>
    <t>Mean Leverage</t>
  </si>
  <si>
    <t>Alpha</t>
  </si>
  <si>
    <t>ANOVA TABLE</t>
  </si>
  <si>
    <t>df</t>
  </si>
  <si>
    <t>SS</t>
  </si>
  <si>
    <t>MS</t>
  </si>
  <si>
    <t>F</t>
  </si>
  <si>
    <t>Regression</t>
  </si>
  <si>
    <t>Residual</t>
  </si>
  <si>
    <t>Total</t>
  </si>
  <si>
    <t>COEFFICIENTS</t>
  </si>
  <si>
    <t>Std Error</t>
  </si>
  <si>
    <t>t Stat</t>
  </si>
  <si>
    <t>P-value</t>
  </si>
  <si>
    <t>Lower 95%</t>
  </si>
  <si>
    <t>Upper 95%</t>
  </si>
  <si>
    <t>Beta Weight</t>
  </si>
  <si>
    <t>PREDICTION OUTPUTS</t>
  </si>
  <si>
    <t>PREDICTION INTERVAL</t>
  </si>
  <si>
    <t>Point Estimate</t>
  </si>
  <si>
    <t>t Critical</t>
  </si>
  <si>
    <t>Confidence Level</t>
  </si>
  <si>
    <t>PREDICTION INPUTS</t>
  </si>
  <si>
    <t>Predictor</t>
  </si>
  <si>
    <t>Prediction Value</t>
  </si>
  <si>
    <t>Intercept</t>
  </si>
  <si>
    <t>RESIDUAL OUTPUT</t>
  </si>
  <si>
    <t>Bin_Midpoints</t>
  </si>
  <si>
    <t>The centre of each histogram bin — use as the X-axis value for distribution overlay curves.</t>
  </si>
  <si>
    <t>Bin_Lower_Edges</t>
  </si>
  <si>
    <t>The lower boundary of each histogram bin — data minimum for bin 1, then each previous upper edge.</t>
  </si>
  <si>
    <t>CDF_Normal</t>
  </si>
  <si>
    <t>=LAMBDA(maximum, mean, sd, [minimum],
  LET(
    cdf_max, NORM.DIST(maximum, mean, sd, TRUE),
    cdf_min, IF(ISOMITTED(minimum), 0, NORM.DIST(minimum, mean, sd, TRUE)),
    cdf_max - cdf_min
  ))</t>
  </si>
  <si>
    <t>maximum: upper bound of the interval (scalar or array)
mean: distribution mean μ
sd: distribution standard deviation σ (must be &gt; 0)
[minimum]: lower bound of the interval; when omitted, returns CDF(maximum) from −∞</t>
  </si>
  <si>
    <t>CDF(maximum) − CDF(minimum) for Normal(mean, sd); probability of the interval</t>
  </si>
  <si>
    <t>The probability that a Normal variable falls between minimum and maximum.</t>
  </si>
  <si>
    <t>CDF_Normal returns the probability that a Normal(mean, sd) random variable falls in the interval (minimum, maximum]. When minimum is omitted the result is the cumulative probability from −∞ to maximum.
Accepts arrays for maximum and minimum, spilling element-wise. Use with Bin_Edges as maximum and Bin_Lower_Edges as minimum to compute the expected proportion of each histogram bin under the fitted Normal distribution.</t>
  </si>
  <si>
    <t>CDF_Lognormal</t>
  </si>
  <si>
    <t>=LAMBDA(maximum, meanlog, sdlog, [minimum],
  LET(
    cdf_max, LOGNORM.DIST(maximum, meanlog, sdlog, TRUE),
    cdf_min, IF(ISOMITTED(minimum), 0, LOGNORM.DIST(minimum, meanlog, sdlog, TRUE)),
    cdf_max - cdf_min
  ))</t>
  </si>
  <si>
    <t>maximum: upper bound of the interval (scalar or array)
meanlog: mean of ln(x)
sdlog: standard deviation of ln(x) (must be &gt; 0)
[minimum]: lower bound of the interval; when omitted, returns CDF(maximum) from 0</t>
  </si>
  <si>
    <t>CDF(maximum) − CDF(minimum) for Lognormal(meanlog, sdlog); probability of the interval</t>
  </si>
  <si>
    <t>The probability that a Lognormal variable falls between minimum and maximum.</t>
  </si>
  <si>
    <t>CDF_Lognormal returns the probability that a Lognormal(meanlog, sdlog) random variable falls in the interval (minimum, maximum]. When minimum is omitted the result is the cumulative probability from 0 to maximum.
Accepts arrays for maximum and minimum, spilling element-wise.</t>
  </si>
  <si>
    <t>CDF_Exponential</t>
  </si>
  <si>
    <t>=LAMBDA(maximum, rate, [minimum],
  LET(
    cdf_max, EXPON.DIST(maximum, rate, TRUE),
    cdf_min, IF(ISOMITTED(minimum), 0, EXPON.DIST(minimum, rate, TRUE)),
    cdf_max - cdf_min
  ))</t>
  </si>
  <si>
    <t>maximum: upper bound of the interval (scalar or array)
rate: rate parameter λ = 1/mean
[minimum]: lower bound of the interval; when omitted, returns CDF(maximum) from 0</t>
  </si>
  <si>
    <t>CDF(maximum) − CDF(minimum) for Exponential(rate); probability of the interval</t>
  </si>
  <si>
    <t>The probability that an Exponential variable falls between minimum and maximum.</t>
  </si>
  <si>
    <t>CDF_Exponential returns the probability that an Exponential(rate) random variable falls in the interval (minimum, maximum]. When minimum is omitted the result is the cumulative probability from 0 to maximum.
Accepts arrays for maximum and minimum, spilling element-wise.</t>
  </si>
  <si>
    <t>CDF_Weibull</t>
  </si>
  <si>
    <t>=LAMBDA(maximum, shape, scale, [minimum],
  LET(
    cdf_max, WEIBULL.DIST(maximum, shape, scale, TRUE),
    cdf_min, IF(ISOMITTED(minimum), 0, WEIBULL.DIST(minimum, shape, scale, TRUE)),
    cdf_max - cdf_min
  ))</t>
  </si>
  <si>
    <t>maximum: upper bound of the interval (scalar or array)
shape: shape parameter k (must be &gt; 0)
scale: scale parameter λ (must be &gt; 0)
[minimum]: lower bound of the interval; when omitted, returns CDF(maximum) from 0</t>
  </si>
  <si>
    <t>CDF(maximum) − CDF(minimum) for Weibull(shape, scale); probability of the interval</t>
  </si>
  <si>
    <t>The probability that a Weibull variable falls between minimum and maximum.</t>
  </si>
  <si>
    <t>CDF_Weibull returns the probability that a Weibull(shape, scale) random variable falls in the interval (minimum, maximum]. When minimum is omitted the result is the cumulative probability from 0 to maximum.
Accepts arrays for maximum and minimum, spilling element-wise.</t>
  </si>
  <si>
    <t>CDF_Gamma</t>
  </si>
  <si>
    <t>=LAMBDA(maximum, shape, rate, [minimum],
  LET(
    cdf_max, GAMMA.DIST(maximum, shape, 1 / rate, TRUE),
    cdf_min, IF(ISOMITTED(minimum), 0, GAMMA.DIST(minimum, shape, 1 / rate, TRUE)),
    cdf_max - cdf_min
  ))</t>
  </si>
  <si>
    <t>maximum: upper bound of the interval (scalar or array)
shape: shape parameter α (must be &gt; 0)
rate: rate parameter β = 1/scale (must be &gt; 0)
[minimum]: lower bound of the interval; when omitted, returns CDF(maximum) from 0</t>
  </si>
  <si>
    <t>CDF(maximum) − CDF(minimum) for Gamma(shape, rate); probability of the interval</t>
  </si>
  <si>
    <t>The probability that a Gamma variable falls between minimum and maximum.</t>
  </si>
  <si>
    <t>CDF_Gamma returns the probability that a Gamma(shape, rate) random variable falls in the interval (minimum, maximum]. GAMMA.DIST takes scale = 1/rate, matching the rate parameterisation used by NLL_Gamma.
Accepts arrays for maximum and minimum, spilling element-wise.</t>
  </si>
  <si>
    <t>CDF_Triangular</t>
  </si>
  <si>
    <t>=LAMBDA(maximum, min_val, mode_val, max_val, [minimum],
  LET(
    cdf_at, LAMBDA(x,
      IFERROR(IF(x &lt; min_val, 0,
        IF(x &lt; mode_val,
          (x - min_val)^2 / ((max_val - min_val) * (mode_val - min_val) + 1E-30),
          IF(x &lt;= max_val,
            1 - (max_val - x)^2 / ((max_val - min_val) * (max_val - mode_val) + 1E-30),
            1))), 0.5)),
    cdf_max, MAP(maximum, cdf_at),
    cdf_min, IF(ISOMITTED(minimum), 0, MAP(minimum, cdf_at)),
    cdf_max - cdf_min
  ))</t>
  </si>
  <si>
    <t>maximum: upper bound of the interval (scalar or array)
min_val: distribution minimum a
mode_val: distribution mode c (must satisfy a &lt; c &lt; b)
max_val: distribution maximum b
[minimum]: lower bound of the interval; when omitted, returns CDF(maximum) from min_val</t>
  </si>
  <si>
    <t>CDF(maximum) − CDF(minimum) for Triangular(min_val, mode_val, max_val); probability of the interval</t>
  </si>
  <si>
    <t>The probability that a Triangular variable falls between minimum and maximum.</t>
  </si>
  <si>
    <t>CDF_Triangular returns the probability that a Triangular(a, c, b) random variable falls in the interval (minimum, maximum]. Uses the piecewise closed-form CDF since Excel has no built-in Triangular CDF. MAP applies the nested CDF LAMBDA element-wise so the function works with array inputs.
The epsilon guard (1E-30) prevents division by zero for degenerate parameters. IFERROR maps any remaining errors to 0.5.</t>
  </si>
  <si>
    <t>CDF_Beta</t>
  </si>
  <si>
    <t>=LAMBDA(maximum, alpha, beta, data_min, data_range, [minimum],
  LET(
    pad, MAX(data_range * 0.001, 1E-30),
    scale_, data_range + 2 * pad,
    z_max, (maximum - data_min + pad) / scale_,
    cdf_max, IFERROR(BETA.DIST(z_max, alpha, beta, TRUE), 0.5),
    cdf_min, IF(ISOMITTED(minimum), 0,
      LET(z_min, (minimum - data_min + pad) / scale_,
        IFERROR(BETA.DIST(z_min, alpha, beta, TRUE), 0.5))),
    cdf_max - cdf_min
  ))</t>
  </si>
  <si>
    <t>maximum: upper bound of the interval (scalar or array, on the original data scale)
alpha: Beta shape parameter α (must be &gt; 0)
beta: Beta shape parameter β (must be &gt; 0)
data_min: minimum of the fitted data (used for rescaling to [0,1])
data_range: max − min of the fitted data (used for rescaling to [0,1])
[minimum]: lower bound of the interval; when omitted, returns CDF(maximum) from the padded support minimum (data_min − pad)</t>
  </si>
  <si>
    <t>CDF(maximum) − CDF(minimum) for rescaled Beta(alpha, beta); probability of the interval</t>
  </si>
  <si>
    <t>The probability that a rescaled Beta variable falls between minimum and maximum.</t>
  </si>
  <si>
    <t>CDF_Beta returns the probability that a Beta(alpha, beta) random variable (rescaled from [0,1] to the original data range) falls in the interval (minimum, maximum]. Rescaling uses the same 0.1 % padding as NLL_Beta to keep boundary data points interior to the support.
Takes data_min and data_range rather than the full data array to avoid redundant computation when called repeatedly (e.g. once per histogram bin).</t>
  </si>
  <si>
    <t>CDF_BetaPERT</t>
  </si>
  <si>
    <t>maximum: upper bound of the interval (scalar or array)
min_val: distribution minimum
mode_val: distribution mode (most likely value)
max_val: distribution maximum
[minimum]: lower bound of the interval; when omitted, returns CDF(maximum) from min_val</t>
  </si>
  <si>
    <t>CDF(maximum) − CDF(minimum) for BetaPERT(min_val, mode_val, max_val); probability of the interval</t>
  </si>
  <si>
    <t>The probability that a BetaPERT variable falls between minimum and maximum.</t>
  </si>
  <si>
    <t>=LAMBDA(data, dist_cdf, [include],
  LET(
    inc, IF(ISOMITTED(include), ISNUMBER(data), include),
    d, FILTER(data, inc),
    f, FILTER(dist_cdf, inc),
    n, ROWS(d),
    IF(n = 0, NA(),
    LET(
      fs, SORTBY(f, d),
      eps, 1E-10,
      fc, IF(fs &lt; eps, eps, IF(fs &gt; 1 - eps, 1 - eps, fs)),
      i, SEQUENCE(n),
      fc_rev, SORTBY(fc, i, -1),
      -n - SUMPRODUCT((2 * i - 1) * (LN(fc) + LN(1 - fc_rev))) / n
    ))
  ))</t>
  </si>
  <si>
    <t>data: single-column data range
dist_cdf: CDF values evaluated at each data point under the fitted distribution (same size as data; e.g. NORM.DIST(data, mean, sd, TRUE))
[include]: optional boolean array — TRUE keeps the row, FALSE excludes it; defaults to ISNUMBER(data)</t>
  </si>
  <si>
    <t>Anderson-Darling A² statistic as a scalar (lower = better fit)</t>
  </si>
  <si>
    <t>=LAMBDA(data, dist_cdf, [include],
  LET(
    inc, IF(ISOMITTED(include), ISNUMBER(data), include),
    d, FILTER(data, inc),
    f, FILTER(dist_cdf, inc),
    n, ROWS(d),
    IF(n = 0, NA(),
    LET(
      fs, SORTBY(f, d),
      i, SEQUENCE(n),
      d_plus, MAX(i / n - fs),
      d_minus, MAX(fs - (i - 1) / n),
      MAX(d_plus, d_minus)
    ))
  ))</t>
  </si>
  <si>
    <t>Kolmogorov-Smirnov D statistic as a scalar in [0, 1] (lower = better fit)</t>
  </si>
  <si>
    <t>k+1 × 1 column vector of bin boundaries — the minimum of the data followed by k evenly-spaced upper edges</t>
  </si>
  <si>
    <t>The complete list of k+1 bin boundary values from min to max.</t>
  </si>
  <si>
    <t>Upper_Bin_Edges</t>
  </si>
  <si>
    <t>=LAMBDA(data, [method], [filter],
  DROP(Bin_Edges(data, method, filter), 1)
)</t>
  </si>
  <si>
    <t>k × 1 column vector of upper bin edges (the k+1 boundary vector with the first element dropped)</t>
  </si>
  <si>
    <t>The k upper boundary values of the histogram bins.</t>
  </si>
  <si>
    <t>Upper_Bin_Edges returns the k upper bin edges derived from Bin_Edges by dropping the first boundary (the data minimum). Each edge is the right endpoint of the corresponding bin. Bins are half-open intervals (lower, upper], matching Excel's FREQUENCY convention.</t>
  </si>
  <si>
    <t>=LAMBDA(data, [method], [filter],
  LET(
    filt_arg, IF(ISOMITTED(filter), ISNUMBER(data), filter),
    x, FILTER(data, filt_arg),
    upper, Upper_Bin_Edges(data, method, filter),
    TAKE(FREQUENCY(x, upper), ROWS(upper))
  ))</t>
  </si>
  <si>
    <t>k × 1 column vector of bin frequencies</t>
  </si>
  <si>
    <t>Bin_Counts returns the number of observations in each bin, using Excel's FREQUENCY function applied to the upper edges from Upper_Bin_Edges.</t>
  </si>
  <si>
    <t>=LAMBDA(data, [method], [filter],
  LET(
    e, Bin_Edges(data, method, filter),
    (DROP(e, 1) + DROP(e, -1)) / 2
  ))</t>
  </si>
  <si>
    <t>k × 1 column vector of bin midpoints</t>
  </si>
  <si>
    <t>Bin_Midpoints returns the midpoint of each bin, computed as the average of consecutive boundaries from Bin_Edges: (upper_edge + lower_edge) / 2. Bin_Edges is called once via LET to avoid recomputation.</t>
  </si>
  <si>
    <t>=LAMBDA(data, [method], [filter],
  DROP(Bin_Edges(data, method, filter), -1)
)</t>
  </si>
  <si>
    <t>k × 1 column vector of lower bin edges (the k+1 boundary vector with the last element dropped)</t>
  </si>
  <si>
    <t>Bin_Lower_Edges returns the k lower bin edges derived from Bin_Edges by dropping the last boundary (the data maximum). The first lower edge is the data minimum.</t>
  </si>
  <si>
    <t>GoF_Anderson_Darling</t>
  </si>
  <si>
    <t>Anderson-Darling A² = −n − (1/n)·Σ(2i−1)[ln F(xᵢ) + ln(1−F(x_{n+1−i}))] (lower = better fit).</t>
  </si>
  <si>
    <t>GoF_Anderson_Darling computes the Anderson-Darling goodness-of-fit statistic: A² = −n − (1/n) Σᵢ (2i−1)·[ln F(X₍ᵢ₎) + ln(1 − F(X₍ₙ₊₁₋ᵢ₎))]. CDF values are sorted by data internally. An epsilon clamp (1E-10) prevents ln(0) for bounded-support distributions (Beta, Triangular, BetaPERT) whose CDF can reach exactly 0 or 1 at support edges.
A-D is more sensitive to tail deviations than K-S, making it better at detecting departures in the extremes. Lower A² indicates a better fit. Compare alongside AIC, BIC, and K-S in the fit comparison table.</t>
  </si>
  <si>
    <t>GoF_Kolmogorov_Smirnov</t>
  </si>
  <si>
    <t>Kolmogorov-Smirnov D = max|F_n(xᵢ) − F(xᵢ)| (lower = better fit).</t>
  </si>
  <si>
    <t>GoF_Kolmogorov_Smirnov computes the Kolmogorov-Smirnov goodness-of-fit statistic: D = max(D⁺, D⁻) where D⁺ = maxᵢ(i/n − F(X₍ᵢ₎)) and D⁻ = maxᵢ(F(X₍ᵢ₎) − (i−1)/n). This is the maximum vertical distance between the empirical CDF and the fitted CDF.
K-S is sensitive to the single largest deviation between the empirical and fitted distributions, making it complementary to A-D (which weights tails more heavily). Lower D indicates a better fit. D is bounded on [0, 1]; values near 0 mean the fitted CDF closely tracks the empirical CDF.</t>
  </si>
  <si>
    <t>Predicted Variable</t>
  </si>
  <si>
    <t>Regression_Degrees_Of_Freedom</t>
  </si>
  <si>
    <t>Total_Degrees_Of_Freedom</t>
  </si>
  <si>
    <t>R_Squared</t>
  </si>
  <si>
    <t>R² (coefficient of determination) is the proportion of variance in Y explained by the regression model. It equals SS_regression / SS_total, ranges from 0 (no explanatory power) to 1 (perfect fit), and is the square of Multiple R.
Returns INDEX(LINEST(...), 3, 1) directly. R_Squared is the base statistic from which Multiple_R and Adjusted_R_Squared are derived.</t>
  </si>
  <si>
    <t>Residual_Degrees_Of_Freedom</t>
  </si>
  <si>
    <t>=LAMBDA(X_s, Y, [Allow_Intercept], [Include],
  LET(
    allow_arg, IF(ISOMITTED(Allow_Intercept), TRUE, Allow_Intercept),
    filt_arg,  IF(ISOMITTED(Include),          TRUE, Include),
    SQRT(R_Squared(X_s, Y, allow_arg, filt_arg))
  ))</t>
  </si>
  <si>
    <t>Multiple R is the Pearson correlation between the observed values of Y and the values predicted by the regression model. It ranges from 0 (no linear relationship) to 1 (perfect linear fit) and is the square root of R².
Computed as SQRT(R_Squared(...)).</t>
  </si>
  <si>
    <t>Adjusted_R_Squared</t>
  </si>
  <si>
    <t>=LAMBDA(X_s, Y, [Allow_Intercept], [Include],
  LET(
    allow_arg, IF(ISOMITTED(Allow_Intercept), TRUE, Allow_Intercept),
    filt_arg,  IF(ISOMITTED(Include),          TRUE, Include),
    SS_Total(Y, allow_arg, filt_arg) * (1 - R_Squared(X_s, Y, allow_arg, filt_arg))
  ))</t>
  </si>
  <si>
    <t>SS_residual (also called SS_error) is the variation in Y left unexplained by the regression model — the sum of squared differences between observed and fitted values. It equals SS_total × (1 - R²) and shrinks as the model improves.
Computed as SS_Total(...) * (1 - R_Squared(...)).</t>
  </si>
  <si>
    <t>=LAMBDA(X_s, Y, [Allow_Intercept], [Include],
  LET(
    allow_arg, IF(ISOMITTED(Allow_Intercept), TRUE, Allow_Intercept),
    filt_arg,  IF(ISOMITTED(Include),          TRUE, Include),
    SS_Total(Y, allow_arg, filt_arg) * R_Squared(X_s, Y, allow_arg, filt_arg)
  ))</t>
  </si>
  <si>
    <t>SS_regression (also called SS_model or SS_explained) is the variation in Y explained by the regression model — the reduction in total variation achieved by adding the predictors. It equals SS_total × R² and grows as the model explains more.
Computed as SS_Total(...) * R_Squared(...).</t>
  </si>
  <si>
    <t>=LAMBDA(X_s, Y, [Allow_Intercept], [Include],
  LET(
    allow_arg, IF(ISOMITTED(Allow_Intercept), TRUE, Allow_Intercept),
    filt_arg,  IF(ISOMITTED(Include),          TRUE, Include),
    SS_Regression(X_s, Y, allow_arg, filt_arg) / Regression_Degrees_Of_Freedom(X_s)
  ))</t>
  </si>
  <si>
    <t>T_Statistics</t>
  </si>
  <si>
    <t>Confidence_Interval_Lower</t>
  </si>
  <si>
    <t>Confidence_Interval_Upper</t>
  </si>
  <si>
    <t>Partial_R_Squared</t>
  </si>
  <si>
    <t>=LAMBDA(X_s, [Allow_Intercept], [Include],
  LET(
    filt_arg, IF(ISOMITTED(Include), TRUE, Include),
    k,        COLUMNS(X_s),
    IF(k = 1,
      1,
      LET(
        col_idx, SEQUENCE(1, k),
        R2_vec,  MAKEARRAY(k, 1, LAMBDA(j, _,
          R_Squared(
            CHOOSECOLS(X_s, FILTER(col_idx, col_idx &lt;&gt; j)),
            CHOOSECOLS(X_s, j),
            TRUE,
            filt_arg
          )
        )),
        1 / (1 - R2_vec)
      )
    )
  ))</t>
  </si>
  <si>
    <t>Observation_Number</t>
  </si>
  <si>
    <t>Dependent_Variable</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</si>
  <si>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</si>
  <si>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This_Row</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</si>
  <si>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</si>
  <si>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</si>
  <si>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Leave_One_Out_Prediction</t>
  </si>
  <si>
    <t>=LAMBDA(X_s, Y, n, [Allow_Intercept], [Include],
  LET(
    allow_arg, IF(ISOMITTED(Allow_Intercept), TRUE, Allow_Intercept),
    filt_arg,  IF(ISOMITTED(Include),          TRUE, Include),
    X_filt,    FILTER(X_s, filt_arg),
    Y_filt,    FILTER(Y, filt_arg),
    X_loo,     Exclude_Row_N(X_filt, n),
    Y_loo,     Exclude_Row_N(Y_filt, n),
    x_n,       Design_Matrix(CHOOSEROWS(X_filt, n), allow_arg),
    beta_loo,  Coefficients(X_loo, Y_loo, allow_arg),
    MMULT(x_n, beta_loo)
  )
)</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</si>
  <si>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</si>
  <si>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</si>
  <si>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=LAMBDA(X_s, Y, [Allow_Intercept], [Include],
  LET(
    allow_arg, IF(ISOMITTED(Allow_Intercept), TRUE, Allow_Intercept),
    filt_arg,  IF(ISOMITTED(Include),          TRUE, Include),
    yhat,      Predictions(X_s, Y, allow_arg, filt_arg),
    e,         FILTER(Y, filt_arg) - yhat,
    h,         Hat_Diagonal(X_s, allow_arg, filt_arg),
    yhat - h * e / (1 - h)
  )
)</t>
  </si>
  <si>
    <t>Hat_Diagonal</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</si>
  <si>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</si>
  <si>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Column_Select</t>
  </si>
  <si>
    <t>Wraps CHOOSECOLS to give column selection a named, self-documenting form. The output is a calculated array with the same row count as the source table, valid as X_s in any library function.
Primary use: define a named range — e.g. X_Predictors = Column_Select(LifeData, {3,7,9}) — then pass that name as X_s. Non-contiguous column sets are fully supported. Combine with Complete_Cases_Filter to drop rows that have missing or non-numeric values in the chosen columns.</t>
  </si>
  <si>
    <t>X_s: column range of predictors (single or multi-column), or a Column_Select result
[Y]: single-column outcome range; when supplied, rows where Y is also non-numeric are excluded</t>
  </si>
  <si>
    <t>Produces a ready-made Include argument for any library function. TRUE rows have no blanks, text, or errors in any of the supplied columns.
When Y is omitted, only X_s columns are checked. When Y is provided, it is HSTACKed onto X_s so that a single MMULT row-sum determines completeness across all regression inputs at once. ISNUMBER returns FALSE for errors and blanks, so error cells are safely treated as incomplete without propagating into the MMULT result.
Typical usage: R_Squared(X_s, Y, , Complete_Cases_Filter(X_s, Y))</t>
  </si>
  <si>
    <t>F_Statistic</t>
  </si>
  <si>
    <t>F_Statistic_P_Value</t>
  </si>
  <si>
    <t>Descriptive_Statistics</t>
  </si>
  <si>
    <t>Descriptive_Statistics returns a 12-element column vector of summary statistics for a single data column. When no filter is supplied, non-numeric cells are automatically excluded via ISNUMBER. Mode returns NA() when no unique mode exists. Skewness and kurtosis reuse the existing Skewness and Kurtosis LAMBDAs (Excel SKEW and KURT bias-correction formulas).
Use INDEX to extract individual values: INDEX(Descriptive_Statistics(data), 1) = mean, INDEX(..., 4) = SD, etc. Or enter as a single spill formula to populate all 12 rows at once.</t>
  </si>
  <si>
    <t>Freedman_Diaconis_Bins</t>
  </si>
  <si>
    <t>Freedman_Diaconis_Bins computes the bin width h = 2 × IQR × n^(−1/3) where IQR is the interquartile range (QUARTILE.EXC), then returns k = ⌈range / h⌉.
Freedman-Diaconis is robust to outliers because it uses the IQR rather than the standard deviation. It is the preferred rule for skewed or heavy-tailed distributions and for large samples where the shape deviates from normality.</t>
  </si>
  <si>
    <t>Number_Of_Histogram_Bins</t>
  </si>
  <si>
    <t>Number_Of_Histogram_Bins returns the recommended number of histogram bins k using the specified rule, defaulting to Freedman-Diaconis when method is omitted.
All three methods are computed inline without calling other named LAMBDAs:
  Sturges: k = ⌈log₂(n) + 1⌉
  Scott:   width = 3.49 × SD × n^(−1/3);  k = ⌈range / width⌉  (k=1 when SD=0)
  FD:      width = 2 × IQR × n^(−1/3);   k = ⌈range / width⌉  (falls back to Sturges when IQR=0)
Used internally by Bin_Edges. Can also be called directly to get the bin count for a specific rule.</t>
  </si>
  <si>
    <t>Grid_Argument_Minimum</t>
  </si>
  <si>
    <t>Grid_Argument_Minimum finds the minimum numeric value in a rectangular grid and returns that value together with its 1-based row and column locations. TOCOL scans the grid by row, XMATCH selects the first occurrence of the minimum, and QUOTIENT/MOD convert the flattened position back to grid coordinates. Returning one matched position avoids combining the row of one tied minimum with the column of another.
For a two-input Excel Data Table, pass only the Data Table body, excluding the parameter headings, parameter-value axes, and corner formula cell. The grid is expected to contain numeric results; an all-nonnumeric grid returns NA() in all three output positions.</t>
  </si>
  <si>
    <t>=LAMBDA(grid,
  LET(
    argmin, Grid_Argument_Minimum(grid),
    row_location, INDEX(argmin, 1, 2),
    column_location, INDEX(argmin, 1, 3),
    best_column_parameter, OFFSET(grid, -1, column_location - 1, 1, 1),
    best_row_parameter, OFFSET(grid, row_location - 1, -1, 1, 1),
    VSTACK(best_column_parameter, best_row_parameter)
  ))</t>
  </si>
  <si>
    <t>Grid_Search_Optimum returns the two parameter values associated with the first minimum in a two-input Excel Data Table. It calls Grid_Argument_Minimum to determine the minimum's row and column internally, then uses OFFSET to retrieve the corresponding column-parameter value from the row immediately above the grid and the row-parameter value from the column immediately to its left.
The function is distribution-agnostic: for Weibull the outputs can represent shape and scale; for Beta they can represent alpha and beta. The supplied grid must be the full worksheet range of the Data Table body, not a single cell containing the TABLE array formula and not a detached calculated array.</t>
  </si>
  <si>
    <t>=LAMBDA(X_s, Y, [Allow_Intercept], [Include],
  LET(
    allow_arg, IF(ISOMITTED(Allow_Intercept), TRUE, Allow_Intercept),
    filt_arg,  IF(ISOMITTED(Include),          TRUE, Include),
    SUMSQ(LOOCV_Residual(X_s, Y, allow_arg, filt_arg))
  ))</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</si>
  <si>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which is exposed directly by LOOCV_Residual; SUMSQ(LOOCV_Residual(...)) = PRESS.</t>
  </si>
  <si>
    <t>LOOCV_Residual</t>
  </si>
  <si>
    <t>n-element spill vector of leave-one-out residuals for every filtered observation</t>
  </si>
  <si>
    <t>Each row's prediction error when that row is left out of the fit.</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</si>
  <si>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Computed as SUMSQ(LOOCV_Residual(...)), where LOOCV_Residual returns eᵢ / (1 − hᵢ) using Residuals() and Hat_Diagonal().</t>
  </si>
  <si>
    <t>Dummy_Levels</t>
  </si>
  <si>
    <t>=LAMBDA(category, [reference], [include],
    LET(
        inc,        IF(ISOMITTED(include), TRUE, include),
        x,          TOCOL(IF(category = "", "", category), 0),
        active,     (x&lt;&gt;"") * inc,
        x_active,   FILTER(x, active, NA()),
        All_Levels, IFERROR(TOROW(SORT(UNIQUE(x_active))), NA()),
        ref_raw,    IF(ISOMITTED(reference), "", reference),
        ref,        IF(ref_raw = "", IFERROR(INDEX(All_Levels, 1, 1), NA()), ref_raw),
        ref_ok,     IFERROR(ISNUMBER(MATCH(ref, All_Levels, 0)), FALSE),
        IF(OR(ISNA(All_Levels), NOT(ref_ok)),
           NA(),
           IFERROR(FILTER(All_Levels, All_Levels &lt;&gt; ref), NA())
        )
    )
)</t>
  </si>
  <si>
    <t>category: single-column categorical data range
[reference]: the level to drop (treatment coding); when omitted or "", the first sorted level is dropped
[include]: boolean mask — TRUE keeps the row; when omitted all non-blank rows are used</t>
  </si>
  <si>
    <t>1 × k horizontal vector of retained category labels (sorted, reference level removed); #N/A on degenerate input</t>
  </si>
  <si>
    <t>The k category labels that become dummy columns (sorted, reference level removed).</t>
  </si>
  <si>
    <t>Dummy_Levels returns the set of category labels that will become dummy columns after treatment coding. It sorts all levels present in the included sample, drops the reference level, and returns the remainder as a horizontal row vector.
When reference is omitted or given as an empty string "", the first sorted level is used as the reference (alphabetically first) — so a blank reference cell passed straight through means "use the default". When any other reference is supplied, it is validated against the included sample; if not found, the function returns #N/A rather than silently failing to drop a column.
Use Dummy_Levels as a header row above Dummy_Code to label dummy columns, or to inspect which levels the model will contain before fitting.
Truly empty cells are normalized to "" before the row mask is applied, so a blank category cell is excluded rather than coerced to a spurious numeric-zero level; genuine 0 values pass through untouched.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 The human-readable explanation is carried by the consuming sheet's conditional formatting, not by the return value.</t>
  </si>
  <si>
    <t>Dummy_Code</t>
  </si>
  <si>
    <t>=LAMBDA(category, [reference], [include],
    LET(
        inc,    IF(ISOMITTED(include), TRUE, include),
        x,      TOCOL(IF(category = "", "", category), 0),
        active, (x&lt;&gt;"") * inc,
        lv,     Dummy_Levels(category, reference, include),
        IF(ISNA(lv),
           NA(),
           MAKEARRAY(ROWS(x), COLUMNS(lv), LAMBDA(r, c,
               IF(INDEX(active, r), --(INDEX(x, r) = INDEX(lv, 1, c)), "")
           ))
        )
    )
)</t>
  </si>
  <si>
    <t>n × k matrix of 0/1 dummy indicators aligned to every source row; excluded rows return "" in all columns; #N/A on degenerate input</t>
  </si>
  <si>
    <t>Treatment-coded dummy matrix for a categorical predictor, with excluded rows as blank and the reference level dropped.</t>
  </si>
  <si>
    <t>Dummy_Code returns a treatment-coded dummy matrix for a categorical variable. For each included row, the value is compared to each retained level and encoded as 1 (match) or 0 (no match). Excluded rows (include = FALSE or blank category value) return "" across all k columns so the spilled array stays row-aligned with the source data.
Level determination is delegated to Dummy_Levels — one source of truth for which levels are retained — so the two functions can never disagree about the level set. The reference level is dropped to avoid perfect multicollinearity when the design includes an intercept. Reference-level validation is enforced: if the supplied reference does not appear in the included sample, the function returns #N/A rather than silently failing to drop a column — an invalid reference reintroduces the exact collinearity the function exists to prevent.
Pair with Dummy_Levels to get the matching column headers. Pass the output directly to HSTACK to assemble a multi-predictor design for Coefficients, Prediction_Interval, and related functions.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t>
  </si>
  <si>
    <t>Include</t>
  </si>
  <si>
    <t>2.0.0</t>
  </si>
  <si>
    <t>Univariate Analysis release. Adds a live Univariate sheet with descriptive statistics, missing-count handling, Sturges/Scott/Freedman-Diaconis histogram binning, dynamic histogram charts, lower/upper edge and midpoint helpers, eight CDF and NLL distribution families (Normal, Lognormal, Exponential, Weibull, Gamma, Triangular, Beta, BetaPERT), goodness-of-fit ranking with AIC, BIC, Anderson-Darling, and Kolmogorov-Smirnov, and two-stage native Data Table grid-search fitting for Weibull, Gamma, and Beta. Also establishes the shared sheet-style palette and the xlwings COM chart-writing pattern used by generated worksheets.</t>
  </si>
  <si>
    <t>Role</t>
  </si>
  <si>
    <t>Type</t>
  </si>
  <si>
    <t>Reference Level</t>
  </si>
  <si>
    <t>Order</t>
  </si>
  <si>
    <t>Transform</t>
  </si>
  <si>
    <t>Levels</t>
  </si>
  <si>
    <t>Continuous</t>
  </si>
  <si>
    <t>None</t>
  </si>
  <si>
    <t>Categorical</t>
  </si>
  <si>
    <t>=LAMBDA(data, [method], [filter],
  LET(
    filt_arg, IF(ISOMITTED(filter), ISNUMBER(data), filter),
    x, FILTER(data, filt_arg),
    min_x, MIN(x),
    max_x, MAX(x),
    k, Number_Of_Histogram_Bins(data, IF(ISOMITTED(method), "FD", method), filt_arg),
    width, (max_x - min_x) / k,
    VSTACK(SEQUENCE(k, 1, min_x, width), max_x)
  ))</t>
  </si>
  <si>
    <t>Bin_Edges returns the complete set of k+1 bin boundaries as a column vector, starting at the data minimum and ending at the exact data maximum. Intermediate boundaries are spaced by width = (max - min) / k. Upper_Bin_Edges, Bin_Lower_Edges, Bin_Midpoints, and Bin_Counts all derive from this vector.</t>
  </si>
  <si>
    <t>Scope</t>
  </si>
  <si>
    <t>Workbook</t>
  </si>
  <si>
    <t>Sample_Include</t>
  </si>
  <si>
    <t>Full-height boolean column: TRUE for rows passing every declared Filter and complete on the response and included continuous predictors.</t>
  </si>
  <si>
    <t>Which rows the model uses — every Filter column truthy and the response and continuous predictors present.</t>
  </si>
  <si>
    <t>Sheet-scoped row mask for the Model Construction sheet. A REDUCE walks the spec columns, multiplying per-column 0/1 indicator vectors into a full-height ones seed: Filter columns contribute a truthiness test (TRUE or 1 pass; FALSE/0/blank/text fail), the Response and every included Continuous Predictor contribute an ISNUMBER completeness test, and all other roles pass through. Multiplication over {0,1} is logical AND; the final prod=1 yields the boolean column. Full-height by contract (2938 rows on the WHO dataset) — it never row-filters; the sheet's display zones are the only place it filters. Filter truthiness coerces with (col+0), not N(col): col is a bare range reference, and N() of a bare reference implicit-intersects to a scalar, which silently voided the Filter.</t>
  </si>
  <si>
    <t>Response_Column</t>
  </si>
  <si>
    <t>The single Role=Response data column, full height; #N/A when no row is declared Response.</t>
  </si>
  <si>
    <t>The y column — whichever variable is marked Response in the spec.</t>
  </si>
  <si>
    <t>Sheet-scoped derived response for the Model Construction sheet. Returns the data column of the first spec row whose Role is Response, via XMATCH over the trimmed role vector. Full-height; consumers wrap it in IFERROR to absorb the no-Response and multiple-Response states, which the audit strip's responses count flags separately.</t>
  </si>
  <si>
    <t>Row_Labels</t>
  </si>
  <si>
    <t>Full-height text column of observation labels: joined Identifier columns, or 'Obs. n' when none are declared.</t>
  </si>
  <si>
    <t>A readable label per row — the Identifier columns joined, or Obs. 1, Obs. 2, … when there are none.</t>
  </si>
  <si>
    <t>Sheet-scoped observation labels for the Model Construction sheet. Dispatches structurally on whether any spec row has Role=Identifier: with none, positional labels 'Obs. 1', 'Obs. 2', …; with some, a per-row TEXTJOIN of all Identifier columns in table order, '|'-separated with ignore_empty=FALSE so field positions stay aligned when an identifier cell is blank. Full-height by the same row-mask contract as X_s and Sample_Include.</t>
  </si>
  <si>
    <t>X_s</t>
  </si>
  <si>
    <t>The constructed design matrix in spec order: continuous predictors passed through, categoricals reference-dropped one-hot; full height.</t>
  </si>
  <si>
    <t>The design matrix built from the spec — continuous columns as-is, categorical columns turned into reference-dropped dummies.</t>
  </si>
  <si>
    <t>Constructed_Column_Names</t>
  </si>
  <si>
    <t>Horizontal header row of level-qualified names for X_s(); always the same width as COLUMNS(X_s()).</t>
  </si>
  <si>
    <t>The column headings for the design matrix — like 'Status: Developing' or 'Year: 2001', one per X_s column.</t>
  </si>
  <si>
    <t>Sheet-scoped design-matrix constructor for the Model Construction sheet. A REDUCE assembles columns in spec order for rows where Role=Predictor and Include=TRUE: a Continuous predictor is passed through as its raw column; a Categorical predictor is encoded as --(col = retained_levels), where Dummy_Levels supplies the mask-scoped, reference-dropped level set (bound once; its #N/A on a degenerate or invalid-reference column is the single skip signal, so the variable contributes nothing rather than erroring the sheet). Reads Sample_Include only to fix categorical level sets; the output is always full-height (the row-mask contract). The retained-levels broadcast is inlined, never LET-bound, to avoid an eager empty-array error. The degenerate skip tests ISNA(INDEX(lv,1,1)), a scalar: lv is a 1x(L-1) row, and an array ISNA condition in front of a wider HSTACK branch broadcasts to #N/A, so the guard must be scalarized.</t>
  </si>
  <si>
    <t>Sheet-scoped header strip for the Model Construction sheet: the structural twin of X_s. Same iteration, same Predictor-AND-Include predicate, same Dummy_Levels skip conditions, emitting a name per contributed column — the bare header for a Continuous predictor, 'Header: level' for each retained Categorical level. Twinning guarantees the header width always equals COLUMNS(X_s()); QC asserts the two never diverge. The degenerate skip tests ISNA(INDEX(lv,1,1)), a scalar: lv is a 1x(L-1) row, and an array ISNA condition in front of a wider HSTACK branch broadcasts to #N/A, so the guard must be scalarized.</t>
  </si>
  <si>
    <t>=LAMBDA(LET(n_c,COLUMNS(Source_Data),rl,TAKE(Spec_Role,n_c),inc,TAKE(Spec_Include,n_c),typ,TAKE(Spec_Type,n_c),seed,SEQUENCE(ROWS(Source_Data),1,1,0),prod,REDUCE(seed,SEQUENCE(n_c),LAMBDA(acc,j,LET(col,INDEX(Source_Data,0,j),IF(INDEX(rl,j)="Filter",acc*--(IFERROR((col+0)=1,FALSE)),IF(OR(INDEX(rl,j)="Response (y)",AND(INDEX(rl,j)="Predictor (x)",INDEX(inc,j)=TRUE,INDEX(typ,j)="Continuous")),acc*N(ISNUMBER(col)),acc))))),prod=1))</t>
  </si>
  <si>
    <t>=LAMBDA(LET(n_c,COLUMNS(Source_Data),rl,TAKE(Spec_Role,n_c),INDEX(Source_Data,0,XMATCH("Response (y)",rl))))</t>
  </si>
  <si>
    <t>=LAMBDA(LET(n_c,COLUMNS(Source_Data),rl,TAKE(Spec_Role,n_c),ids,IFERROR(TRANSPOSE(FILTER(TRANSPOSE(Source_Data),rl="Identifier (Row Label)")),NA()),IF(SUM(--(rl="Identifier (Row Label)"))=0,"Obs. "&amp;SEQUENCE(ROWS(Source_Data)),BYROW(ids,LAMBDA(r,TEXTJOIN("|",FALSE,r))))))</t>
  </si>
  <si>
    <t>=LAMBDA(LET(n_c,COLUMNS(Source_Data),rl,TAKE(Spec_Role,n_c),inc,TAKE(Spec_Include,n_c),typ,TAKE(Spec_Type,n_c),refs,TAKE(Spec_Reference,n_c),seed,SEQUENCE(ROWS(Source_Data),1,0,0),built,REDUCE(seed,SEQUENCE(n_c),LAMBDA(acc,j,IF(OR(INDEX(rl,j)&lt;&gt;"Predictor (x)",INDEX(inc,j)&lt;&gt;TRUE),acc,LET(col,INDEX(Source_Data,0,j),IF(INDEX(typ,j)&lt;&gt;"Categorical",HSTACK(acc,col),LET(d,INDEX(refs,j),r,IF(LEN(d&amp;"")=0,"",d),lv,Dummy_Levels(col,r,Sample_Include()),IF(ISNA(INDEX(lv,1,1)),acc,HSTACK(acc,--(col=lv))))))))),DROP(built,,1)))</t>
  </si>
  <si>
    <t>=LAMBDA(LET(n_c,COLUMNS(Source_Data),rl,TAKE(Spec_Role,n_c),inc,TAKE(Spec_Include,n_c),typ,TAKE(Spec_Type,n_c),refs,TAKE(Spec_Reference,n_c),hdrs,TOROW(Header_Names),built,REDUCE("",SEQUENCE(n_c),LAMBDA(acc,j,IF(OR(INDEX(rl,j)&lt;&gt;"Predictor (x)",INDEX(inc,j)&lt;&gt;TRUE),acc,LET(h,INDEX(hdrs,1,j),IF(INDEX(typ,j)&lt;&gt;"Categorical",HSTACK(acc,h),LET(col,INDEX(Source_Data,0,j),d,INDEX(refs,j),r,IF(LEN(d&amp;"")=0,"",d),lv,Dummy_Levels(col,r,Sample_Include()),IF(ISNA(INDEX(lv,1,1)),acc,HSTACK(acc,h&amp;": "&amp;lv)))))))),DROP(built,,1)))</t>
  </si>
  <si>
    <t>Predictor (x)</t>
  </si>
  <si>
    <t>Response (y)</t>
  </si>
  <si>
    <t>Reference In Use</t>
  </si>
  <si>
    <t>MODEL SPECIFICATION</t>
  </si>
  <si>
    <t>Observation</t>
  </si>
  <si>
    <t>Training Mean</t>
  </si>
  <si>
    <t>To analyze your own dataset, copy the Regression sheet into your workbook (right-click the tab → Move or Copy). This carries over all workbook-scoped LAMBDA functions as well as the sheet-scoped names the Regression sheet uses.</t>
  </si>
  <si>
    <t>Point the sheet at your data (one edit):</t>
  </si>
  <si>
    <t>The Variable column fills itself from your table's headers — one specification row per column. For each row, choose a Role:
Response (y) — the dependent variable; declare exactly one.
Predictor (x) — a candidate model input; the Include toggle turns it on or off for the current model run.
Identifier (Row Label) — labeling columns such as names, IDs, or dates; they appear as row labels in the RESIDUAL OUTPUT section (multiple Identifier columns are joined with "|").
Filter — a TRUE/FALSE or 1/0 column; only rows where every Filter column is truthy enter the regression. Declare several Filter columns to stratify — they are ANDed together.
Omit — never used for anything; helper columns and notes.</t>
  </si>
  <si>
    <t>For each included Predictor, set its Type. Continuous predictors enter the design matrix as-is. Categorical predictors are dummy-coded automatically: each level except the reference level becomes a 0/1 column with a level-qualified name (e.g. "Status: Developing"). The reference level defaults to the first level in sort order; type a level into Reference Level to override it (the cell turns red if that level does not exist in the analysis sample). The Levels and Reference In Use columns display what the model will do: the distinct level count in the analysis sample, and the reference actually in effect. A categorical with one level (or an invalid reference) is flagged red and contributes no columns — the rest of the model still computes.</t>
  </si>
  <si>
    <t>Intercept:</t>
  </si>
  <si>
    <t>The Intercept toggle sits at the top of the Include column (C2). Leave it TRUE for models with Categorical predictors: reference-level dummy coding relies on the intercept to carry the baseline, and the toggle flags red if it is FALSE while a Categorical predictor is included.</t>
  </si>
  <si>
    <t>Which rows are used:</t>
  </si>
  <si>
    <t>The analysis sample is derived automatically — a row is included when the Response is numeric, every included Continuous predictor is numeric, and every Filter column is truthy. There is nothing to configure beyond the Roles. Note that Categorical predictors impose no completeness requirement: rows with a blank category still enter the sample (all of that variable's dummies are blank there) unless a Filter excludes them.</t>
  </si>
  <si>
    <t>Breaking?</t>
  </si>
  <si>
    <t>1.1.0</t>
  </si>
  <si>
    <t>No</t>
  </si>
  <si>
    <t>1.2.0</t>
  </si>
  <si>
    <t>Workbook hardening and regression usability update. Adds Name Manager notes to catalog functions, a predicted-variable readout and row identifiers on the Regression sheet, LOOCV_Residual as an observation-level diagnostic, stronger intercept-only and undersized-sample guards, explicit error handling instead of silent first-predictor fallbacks, a chart data series for the identity line, and safer production-build retry/RPC handling. Includes categorical helper groundwork and documentation while leaving the full specification-driven regression sheet for the v2.0 milestone.</t>
  </si>
  <si>
    <t>Yes</t>
  </si>
  <si>
    <t>=LAMBDA(maximum, min_val, mode_val, max_val, [minimum],
  LET(
    range_, max_val - min_val + 1E-30,
    alpha_param, 1 + 4 * (mode_val - min_val) / range_,
    beta_param, 1 + 4 * (max_val - mode_val) / range_,
    z_max, (maximum - min_val) / range_,
    cdf_max, BETA.DIST(z_max, alpha_param, beta_param, TRUE),
    cdf_min, IF(ISOMITTED(minimum), 0,
      LET(z_min, (minimum - min_val) / range_,
        BETA.DIST(z_min, alpha_param, beta_param, TRUE))),
    cdf_max - cdf_min
  ))</t>
  </si>
  <si>
    <t>CDF_BetaPERT returns the probability that a BetaPERT(min, mode, max) random variable falls in the interval (minimum, maximum]. The λ=4 PERT mapping α = 1 + 4·(mode − min)/range and β = 1 + 4·(max − mode)/range (the same parameterisation as NLL_BetaPERT) is evaluated via BETA.DIST on the [0,1]-rescaled value. This form is algebraically identical to the μ-based reparameterisation but has no 0/0 singularity at a symmetric mode (mode = (min + max)/2), where the μ form degenerates to α = β = 0.
Epsilon guards (1E-30) prevent division by zero for degenerate parameters.</t>
  </si>
  <si>
    <t>Sequence</t>
  </si>
  <si>
    <t>Durbin_Watson_By</t>
  </si>
  <si>
    <t>=LAMBDA(X_s, Y, seq, [Allow_Intercept], [Include],
  LET(
    allow_arg, IF(ISOMITTED(Allow_Intercept), TRUE, Allow_Intercept),
    filt_arg,  IF(ISOMITTED(Include),          TRUE, Include),
    e,         Residuals(X_s, Y, allow_arg, filt_arg),
    ord,       FILTER(seq, filt_arg),
    es,        SORTBY(e, ord, 1),
    SUM((DROP(es, 1) - DROP(es, -1))^2) / SUM(es^2)
  ))</t>
  </si>
  <si>
    <t>X_s: column range of predictors (single or multi-column)
Y: single-column outcome range
seq: single-column ordering axis (the declared Sequence column, e.g. Year) — residuals are sorted by this before differencing, so the result does not depend on physical row order
[Allow_Intercept]: TRUE/FALSE — fit intercept? Default TRUE
[Include]: boolean array — TRUE includes the row, FALSE excludes it</t>
  </si>
  <si>
    <t>Durbin-Watson statistic as a scalar, computed along seq order rather than row order</t>
  </si>
  <si>
    <t>The Durbin-Watson autocorrelation check, but measured along a declared time/order column instead of the accidental row order.</t>
  </si>
  <si>
    <t>Durbin_Watson_By is the sequence-aware Durbin-Watson statistic: DW = Σ(eₜ − eₜ₋₁)² / Σeₜ², but with the residuals ordered by a declared sequence axis instead of trusting physical row order.
Why this exists: the ordinary Durbin_Watson differences residuals in the order the rows happen to sit in the sheet. That is only meaningful if row adjacency IS the hypothesized serial axis. On arbitrarily sorted data — e.g. rows sorted by GDP — it silently assumes row order = time order and, under a meaningful non-time sort with mild misspecification, reports strong spurious autocorrelation. This function removes that hazard: it computes residuals, sorts them ascending by seq (SORTBY, all internal — the sort never spills to the sheet), and only then forms consecutive differences.
The result is invariant to how the source rows are physically ordered: shuffling the data and recomputing gives the identical statistic, because adjacency is defined by seq, not by row position. seq should uniquely order the observations of a single series (a proper time index); on a pooled panel where seq repeats across groups (many countries sharing a Year), adjacency along seq alone is not the within-group serial axis — that group-aware, seam-safe case is BFN_Panel_Durbin_Watson, not this function.
Output is always a scalar; the DROP/SORTBY array work stays inside the LAMBDA so no helper column or spill is exposed.</t>
  </si>
  <si>
    <t>BFN_Panel_Durbin_Watson</t>
  </si>
  <si>
    <t>=LAMBDA(X_s, Y, group, seq, [delta], [Allow_Intercept], [Include],
  LET(
    allow_arg, IF(ISOMITTED(Allow_Intercept), TRUE, Allow_Intercept),
    filt_arg,  IF(ISOMITTED(Include),          TRUE, Include),
    step,      IF(ISOMITTED(delta), Base_Period_Delta(), delta),
    e,         Residuals(X_s, Y, allow_arg, filt_arg),
    g_f,       FILTER(group, filt_arg),
    t_f,       FILTER(seq, filt_arg),
    d,         Difference_By(e, g_f, t_f, step),
    n_terms,   SUMPRODUCT(N(ISNUMBER(d))),
    IF(n_terms = 0, NA(),
      SUMPRODUCT(IFERROR(d, 0)^2) / SUMPRODUCT(e^2))
  ))</t>
  </si>
  <si>
    <t>X_s: column range of predictors (single or multi-column)
Y: single-column outcome range
group: single-column panel-unit identifiers (the Fixed Effects variable, e.g. Country) — residual differences never cross a group boundary
seq: single-column numeric time index (the declared Sequence column, e.g. Year) — the within-group lookup key, not the row order
[delta]: base period Δ: differences pair û(i,t) with û(i,t−delta) by exact time value; when omitted, the spec's Base Period Δ (Base_Period_Delta()) is used — never a silent 1
[Allow_Intercept]: TRUE/FALSE — fit intercept? Default TRUE
[Include]: boolean array — TRUE includes the row, FALSE excludes it</t>
  </si>
  <si>
    <t>Bhargava–Franzini–Narendranathan panel Durbin-Watson statistic as a scalar: Σᵢ Σₜ (û(i,t) − û(i,t−Δ))² / Σᵢ Σₜ û(i,t)², with differencing restricted to within-group (group, seq−Δ) pairs</t>
  </si>
  <si>
    <t>The panel version of the Durbin-Watson autocorrelation check — residual changes are measured within each group (country) only, so group boundaries never fake a correlation.</t>
  </si>
  <si>
    <t>BFN_Panel_Durbin_Watson is the Bhargava–Franzini–Narendranathan (1982) panel form of the Durbin-Watson statistic: BFN = Σᵢ Σₜ₌₂ (û(i,t) − û(i,t−Δ))² / Σᵢ Σₜ û(i,t)², where the numerator differences residuals only within a panel unit.
Why this exists: under fixed effects, ordinary Durbin-Watson is invalid twice over — the residuals are within-demeaned, and a panel has no single ordering. Naive row-adjacent differencing manufactures correlation at every group seam (unit A's last period sits next to unit B's first), and even the sequence-sorted Durbin_Watson_By still differences across units that share a time value. BFN restricts the numerator's differencing to within-group pairs, so seams contribute nothing by construction.
The within-group differencing is delegated to Difference_By (one source of truth): the prior residual is the exact-match (group, seq − Δ) lookup, never row arithmetic, so the statistic is invariant to physical row order — permuting whole group blocks leaves it unchanged. Difference_By returns #N/A at each group's first period and across panel gaps (a punched-out year contributes no fabricated difference); the IFERROR(…, 0) mask in the numerator zeroes exactly those terms, locally and visibly, per the consumer-owns-masking rule. The denominator sums every residual's square — first periods and gap rows still count there, as the BFN definition requires. A filtered-in row whose group is blank or whose seq is not numeric is a data defect and surfaces as a visible error rather than being silently dropped.
The mask never turns an error STATE into a number: when not a single difference is computable — every group a singleton, or Δ unresolved (no Base Period Δ declared and delta omitted, so step is #N/A and every lookup misses) — the all-#N/A difference column would otherwise mask to an all-zero numerator and display BFN = 0, a fake strong-negative-autocorrelation reading. The n_terms guard returns a genuine #N/A instead: zero computable differences is an error state, not a statistic.
Interpretation caveat: read it like Durbin-Watson — near 2 means no first-order autocorrelation in the within residuals — but do NOT apply the standard DW significance bounds. BFN has its own critical values that depend on both N (units) and T (periods); Bhargava, Franzini &amp; Narendranathan (1982) tabulate them. Surfacing those bounds on the sheet is a recorded open item.
Output is always a scalar; residual computation, filtering, and differencing stay inside the LAMBDA so no helper column or spill is exposed.</t>
  </si>
  <si>
    <t>Base_Period_Delta</t>
  </si>
  <si>
    <t>The gap between consecutive time periods (Δ) currently set in the model spec — what Lag_By and Difference_By use when you don't pass one.</t>
  </si>
  <si>
    <t>Lag_By</t>
  </si>
  <si>
    <t>=LAMBDA(x, group, seq, [delta], [include],
    LET(
        x_v,  TOCOL(IF(x = "", "", x), 0),
        g_v,  TOCOL(IF(group = "", "", group), 0),
        t_v,  TOCOL(IF(seq = "", "", seq), 0),
        step, IF(ISOMITTED(delta), Base_Period_Delta(), delta),
        inc,  IF(ISOMITTED(include), (g_v &lt;&gt; "") * ISNUMBER(t_v), include * 1),
        sep,  CHAR(31),
        source_keys, IF(inc * ISNUMBER(t_v) * (x_v &lt;&gt; ""), g_v &amp; sep &amp; t_v, ""),
        prior, XLOOKUP(g_v &amp; sep &amp; (t_v - step), source_keys, x_v, NA(), 0),
        IF(inc, IF(ISNUMBER(t_v), prior, NA()), "")
    )
)</t>
  </si>
  <si>
    <t>x: single-column data range to lag
group: single-column group identifiers (e.g. Country) — lags never cross a group boundary
seq: single-column numeric time index (e.g. Year) — the lookup key, not the row order
[delta]: base period Δ: the lag looks up seq − delta exactly; when omitted, the spec's Base Period Δ (Base_Period_Delta()) is used — never a silent 1
[include]: boolean mask — TRUE keeps the row; when omitted, rows with a non-blank group and numeric seq are used</t>
  </si>
  <si>
    <t>n × 1 column, row-aligned to x: the value of x at (group, seq − Δ); #N/A when that exact prior period does not exist; "" on excluded rows.</t>
  </si>
  <si>
    <t>The previous period's value of a column within the same group — matched by actual time value, so gaps give #N/A instead of grabbing the wrong row.</t>
  </si>
  <si>
    <t>Lag_By returns the prior-period value of x within the same group: for each included row, the value of x on the row whose group matches and whose seq equals exactly seq − Δ.
The lookup is by time value, not row position — by construction, not convention: the implementation is an exact-match XLOOKUP of composite (group, seq − Δ) keys, never OFFSET or row arithmetic. If the literal period seq − Δ is absent within the group (a gap in the panel), the result is #N/A. It never falls back to "the previous available row", because that would silently splice a multi-period jump into a series that claims to be a one-Δ lag. A group's first observed period has no seq − Δ row and is #N/A for the same reason.
Δ is computed-and-displayed-with-override, never silently assumed: an omitted delta resolves through Base_Period_Delta() — the visible Base Period Δ spec cell (column I of the Sequence-flagged row) — and when no sequence axis or Δ is declared, every included row returns #N/A rather than guessing Δ = 1.
Rows failing the include mask return "" so the spilled column stays row-aligned with the source (the standard row-aligned-transform contract). Excluded rows are also removed from the lookup source, so a lag never reads through an excluded observation. Blank x values are normalized to "" and never served as lag values (the lookup misses → #N/A). The composite key joins group and seq with CHAR(31), so ordinary text groups cannot collide; duplicate (group, seq) pairs are a data defect — the first occurrence wins. seq should be an integer period index (Year, or YEAR*12+MONTH for monthly data); raw calendar serial dates make seq − Δ land between real dates — see the Sequence Spacing block's calendar-signature guidance.</t>
  </si>
  <si>
    <t>Difference_By</t>
  </si>
  <si>
    <t>=LAMBDA(x, group, seq, [delta], [include],
    LET(
        x_v,  TOCOL(IF(x = "", "", x), 0),
        g_v,  TOCOL(IF(group = "", "", group), 0),
        t_v,  TOCOL(IF(seq = "", "", seq), 0),
        step, IF(ISOMITTED(delta), Base_Period_Delta(), delta),
        inc,  IF(ISOMITTED(include), (g_v &lt;&gt; "") * ISNUMBER(t_v), include * 1),
        prior, Lag_By(x, group, seq, step, inc),
        IF(inc, IF(ISNUMBER(x_v) * ISNUMBER(prior), x_v - prior, NA()), "")
    )
)</t>
  </si>
  <si>
    <t>x: single-column numeric data range to difference
group: single-column group identifiers (e.g. Country) — differences never cross a group boundary
seq: single-column numeric time index (e.g. Year) — the lookup key, not the row order
[delta]: base period Δ: Δx(t) = x(t) − x(t − delta) by exact time value; when omitted, the spec's Base Period Δ (Base_Period_Delta()) is used — never a silent 1
[include]: boolean mask — TRUE keeps the row; when omitted, rows with a non-blank group and numeric seq are used</t>
  </si>
  <si>
    <t>n × 1 column, row-aligned to x: Δx(i,t) = x(i,t) − x(i,t−Δ); #N/A when the difference is not computable (first period, gap, or a non-numeric value); "" on excluded rows.</t>
  </si>
  <si>
    <t>The change in a column since the group's previous time period — #N/A at each group's first period and across gaps, so no fake zeros or multi-year jumps sneak into a model.</t>
  </si>
  <si>
    <t>Difference_By returns the within-group time difference Δx(i,t) = x(i,t) − x(i, t−Δ), where Δ is the base period. Three semantic commitments, in order of how expensively they fail when violated:
(A) Each group's first period returns #N/A — never a fabricated 0. A zero would enter a design matrix silently as a real observation; #N/A is caught by every downstream ISNUMBER/IFERROR mask.
(B) "Prior period" means the literal time value t − Δ. If t − Δ is absent within the group (a gap), the result is #N/A. The function never falls back to the previous available row: that would inject a spurious multi-period jump and present it as a one-Δ change. Lookup is by time value, not row position, by construction — the prior value comes from Lag_By's exact-match XLOOKUP of (group, seq − Δ) composite keys, not from OFFSET/row arithmetic — so the result is invariant to how the rows happen to be sorted.
(C) Δ is computed-and-displayed-with-override, never silently assumed to be 1. An omitted delta resolves through Base_Period_Delta() — the visible Base Period Δ spec cell — and returns #N/A everywhere when no sequence axis or Δ is declared. Same pattern as the categorical reference level.
The prior value is delegated to Lag_By (one source of truth for the pair lookup, as Dummy_Code delegates to Dummy_Levels). A row whose own x, or whose t−Δ partner's x, is blank or non-numeric yields #N/A: an incomputable difference on an included row is a visible #N/A observation, not a silently dropped one — which is why the default include mask requires only a non-blank group and numeric seq, deliberately NOT numeric x. Rows failing the include mask return "" so the spilled column stays row-aligned with the source.</t>
  </si>
  <si>
    <t>Sequence_Column</t>
  </si>
  <si>
    <t>=LAMBDA(LET(n_c,COLUMNS(Source_Data),INDEX(Source_Data,0,XMATCH(TRUE,TAKE(Spec_Sequence,n_c),0))))</t>
  </si>
  <si>
    <t>The single Sequence-flagged data column, full height; #N/A when no variable is flagged as the Sequence axis.</t>
  </si>
  <si>
    <t>The column marked as the Sequence (ordering) axis in the spec — whichever variable has its Sequence flag set.</t>
  </si>
  <si>
    <t>Sheet-scoped accessor for the declared ordering axis on the Regression sheet. Returns the data column of the variable whose Sequence flag (spec column H) is TRUE, via XMATCH over the TAKE-trimmed Spec_Sequence vector — the structural sibling of Response_Column (which does the same for Role=Response). Full-height by the same row-mask contract as the other sheet closures.
It is the seq input for sequence-aware serial-correlation diagnostics (Durbin_Watson_By), keeping the axis a single canonical name rather than an inline XMATCH repeated at every call site. When no variable is flagged as the Sequence axis, XMATCH does not match and the accessor is #N/A — the caller's gate (the zero-or-one Sequence-flag count) shows the not-applicable token before this is ever evaluated. When two or more are flagged (a spec error surfaced at the H2 status line) it resolves the first flagged column. Spec_Sequence is TAKE-trimmed to COLUMNS(Source_Data) so cells below the live spec rows, including the Sequence Spacing block, are never scanned.</t>
  </si>
  <si>
    <t>Fixed_Effects_Column</t>
  </si>
  <si>
    <t>=LAMBDA(LET(n_c,COLUMNS(Source_Data),INDEX(Source_Data,0,XMATCH("Fixed Effects",TAKE(Spec_Role,n_c),0))))</t>
  </si>
  <si>
    <t>The single Role=Fixed Effects data column (the panel-unit identifier), full height; #N/A when no row carries the role.</t>
  </si>
  <si>
    <t>The column marked as the Fixed Effects (panel unit) variable in the spec — e.g. Country in a Country/Year panel.</t>
  </si>
  <si>
    <t>Sheet-scoped accessor for the panel-unit (grouping) variable on the Regression sheet. Returns the data column of the first spec row whose Role is "Fixed Effects", via exact-match XMATCH over the TAKE-trimmed Spec_Role vector — the Role-axis sibling of Response_Column (Role=Response) and the structural counterpart of Sequence_Column (the H flag). Full-height by the same row-mask contract as the other sheet closures.
It is the group input for the seam-safe panel serial-correlation diagnostic (BFN_Panel_Durbin_Watson), keeping the panel unit a single canonical name rather than an inline XMATCH repeated at every call site. When no row carries the Fixed Effects role, XMATCH does not match and the accessor is #N/A — the caller's gate (the FE-variable count) shows the not-applicable token before this is ever evaluated. When two or more rows carry the role (two-way absorption, out of scope until its own milestone) it resolves the first, and callers gate on the count instead of computing.
Forward wiring for the v2.1 Fixed Effects release: the "Fixed Effects" Role token is not yet offered by the Role dropdown because the design-matrix engine does not absorb it yet — the accessor and the diagnostics gated on it activate when the role ships. Spec_Role is TAKE-trimmed to COLUMNS(Source_Data) so cells below the live spec rows are never scanned.</t>
  </si>
  <si>
    <t>Serial_Correlation_Group</t>
  </si>
  <si>
    <t>=LAMBDA(LET(
    roles, TAKE(Spec_Role, COLUMNS(Source_Data)),
    key, IFS(
        SUMPRODUCT(N(roles = "Fixed Effects")) &gt; 0, "Fixed Effects",
        SUMPRODUCT(N(roles = "Cluster")) &gt; 0, "Cluster",
        TRUE, "none"
    ),
    SWITCH(key,
        "Fixed Effects", Fixed_Effects_Column(),
        "Cluster", "n/a — Cluster grouping RESERVED — v2.6+",
        "none"
    )
))</t>
  </si>
  <si>
    <t>The grouping-key column for serial-correlation diagnostics: the Fixed Effects data column when a Role="Fixed Effects" row is declared; the token "n/a — Cluster grouping RESERVED — v2.6+" when only a Cluster role is declared; the sentinel "none" when no grouping role exists (ordinary DW path).</t>
  </si>
  <si>
    <t>Which column groups the residuals for the serial-correlation checks — the Fixed Effects variable today, with a reserved slot for the future Cluster role.</t>
  </si>
  <si>
    <t>Serial_Correlation_Group is the grouping-key resolver for the serial-correlation diagnostics: it answers "which dimension partitions the residuals for within-group differencing?" as a single dispatch point, so consumers (the BFN panel Durbin-Watson wiring) never reference a role column directly. Today the answer is the Fixed Effects column; when the v2.6+ Cluster role supplies pooled-panel grouping without absorption, ONLY this resolver changes — every consumer retargets for free.
The SWITCH dispatches on the declared grouping role, highest-priority first: a Role="Fixed Effects" row wins and returns Fixed_Effects_Column() (one source of truth for the FE lookup — the resolver dispatches, the accessor looks up); a Role="Cluster" row with no FE returns the not-applicable token "n/a — Cluster grouping RESERVED — v2.6+" — the branch is present in the SWITCH but deliberately inert, the switch that currently does nothing, mirroring the reserved-spec-column pattern (Order/Transform columns named now, read by nothing); with neither role the default returns the none-sentinel "none", signalling the ordinary single-series DW path. The Cluster branch is dormant AND unreachable from the shipped cells: "Cluster" is not in the Role dropdown, and the diagnostic cells gate on the FE-variable count before this resolver is ever evaluated — a hand-typed Cluster role reaches the token path, never an error.
Both non-column results are explicit text tokens, not NA() (reserved for genuine errors) — friendlier to a future Model-Comparison XLOOKUP and self-explaining in the audit trail. Spec_Role is TAKE-trimmed to COLUMNS(Source_Data) so cells below the live spec rows are never scanned.</t>
  </si>
  <si>
    <t>Sequence_Deltas</t>
  </si>
  <si>
    <t>=LAMBDA(
    LET(
        n_c,     COLUMNS(Source_Data),
        s_pos,   XMATCH(TRUE, TAKE(Spec_Sequence, n_c), 0),
        t_raw,   INDEX(Source_Data, 0, s_pos),
        t_v,     IF(t_raw = "", "", t_raw),
        rl,      TAKE(Spec_Role, n_c),
        id_mask, (rl = "Identifier (Row Label)") * (SEQUENCE(n_c) &lt;&gt; s_pos),
        g_v,     IF(SUM(id_mask) = 0,
            EXPAND("(all)", ROWS(t_v), 1, "(all)"),
            BYROW(CHOOSECOLS(Source_Data, TOROW(FILTER(SEQUENCE(n_c), id_mask))),
                LAMBDA(r, TEXTJOIN(CHAR(31), FALSE, IF(r = "", "", r))))),
        ok,      ISNUMBER(t_v) * (SUBSTITUTE(g_v, CHAR(31), "") &lt;&gt; ""),
        g_f,     FILTER(g_v, ok, NA()),
        t_f,     FILTER(t_v, ok, NA()),
        g_s,     SORTBY(g_f, g_f, 1, t_f, 1),
        t_s,     SORTBY(t_f, g_f, 1, t_f, 1),
        d,       DROP(t_s, 1) - DROP(t_s, -1),
        same,    DROP(g_s, 1) = DROP(g_s, -1),
        IFERROR(FILTER(d, same * (d &gt; 0), NA()), NA())
    )
)</t>
  </si>
  <si>
    <t>Column of all within-group consecutive positive spacings of the Sequence-flagged column (the raw material of the delta spectrum); #N/A when no Sequence axis is flagged or no group has two observations.</t>
  </si>
  <si>
    <t>All the observed gaps between consecutive time periods within each group — e.g. all 1s for a complete yearly panel, with a 2 appearing where a year is missing.</t>
  </si>
  <si>
    <t>Sequence_Deltas returns every within-group consecutive spacing of the sequence axis: for each group, the differences between successive observed values of the Sequence-flagged column, pooled across groups into one column. It is the raw material for the Base Period Δ candidate (its MODE) and the delta spectrum display.
Seam-safety is the point of the implementation: rows are sorted by (group, seq) and consecutive diffs are kept only where the sorted neighbors share a group, so group seams can never contaminate the spacings. A pooled column-wise diff over the raw row order is forbidden — on Country/Year panel data it would manufacture large negative seam deltas at every country boundary. Zero spacings (duplicate (group, seq) pairs) are also dropped: the spectrum describes the time grid, and duplicates are a data defect surfaced elsewhere.
Groups are keyed by the Identifier-role columns, excluding the sequence column itself (a Year flagged as both Identifier and Sequence must not group by itself), joined with CHAR(31) when there are several. With no Identifier columns the whole sample is one group. A row whose Identifier fields are ALL blank produces a delimiter-only join key, which the emptiness check strips (SUBSTITUTE off the CHAR(31) separators) so unidentified rows never form a spurious group. The spectrum deliberately ignores Sample_Include(): the time grid is dataset structure, while the mask is model-iteration state — a filtered model must not make the data look gappier than it is.
All spec-band reads are TAKE-trimmed to COLUMNS(Source_Data), so the Sequence Spacing block below the spec rows is never scanned.</t>
  </si>
  <si>
    <t>Base_Period_Delta_Candidate</t>
  </si>
  <si>
    <t>=LAMBDA(
    LET(
        d, Sequence_Deltas(),
        IF(COUNT(d) = 0, NA(), IFERROR(MODE.SNGL(d), MIN(d)))
    )
)</t>
  </si>
  <si>
    <t>The computed Base Period Δ candidate: MODE of the within-group spacings, falling back to their MIN when no spacing repeats; #N/A when there are no spacings at all.</t>
  </si>
  <si>
    <t>The suggested time step for the data — the most common gap between consecutive periods within a group (1 for yearly data).</t>
  </si>
  <si>
    <t>Sequence_Delta_Spectrum</t>
  </si>
  <si>
    <t>=LAMBDA(
    LET(
        d, Sequence_Deltas(),
        u, SORT(UNIQUE(d)),
        IF(COUNT(d) = 0, NA(), HSTACK(u, BYROW(u, LAMBDA(v, SUM(--(d = v))))))
    )
)</t>
  </si>
  <si>
    <t>Two-column array — each distinct within-group spacing with its count, ascending (the delta spectrum); #N/A when there are no spacings.</t>
  </si>
  <si>
    <t>A little table of every gap size found between consecutive time periods and how often each occurs — all 1s means an evenly spaced panel.</t>
  </si>
  <si>
    <t>Sequence_Delta_Spectrum tabulates the delta spectrum: every distinct within-group consecutive spacing of the sequence axis alongside how many times it occurs, sorted ascending. It is the display behind the Sequence Spacing block's Delta/Count table and the evidence base for its verdict flags.
Reading it: a complete yearly panel shows the single row {1, n−G}. A punched-out year adds a {2, 1} row — the Regularity flag fires, but 2 is still on the Δ = 1 grid so the Off-grid flag stays quiet. First-of-month calendar serials show the signature cluster {28, 29, 30, 31} — Regularity and Off-grid both fire and the calendar-signature guidance recommends an integer period index (YEAR, or YEAR*12 + MONTH) upstream instead of quantizing day counts to a scalar Δ.
Returns #N/A when there are no within-group spacings (no Sequence axis flagged, or every group is a single observation); the consuming cells wrap IFERROR to degrade to a quiet blank.</t>
  </si>
  <si>
    <t>Variable</t>
  </si>
  <si>
    <t>Omit</t>
  </si>
  <si>
    <t>Durbin-Watson</t>
  </si>
  <si>
    <t>BFN Panel Durbin-Watson</t>
  </si>
  <si>
    <t>=LAMBDA(
    LET(
        n_c,      COLUMNS('Regression'!Source_Data),
        position, XMATCH(TRUE, TAKE('Regression'!Spec_Sequence, n_c), 0),
        value,    INDEX(TAKE('Regression'!Spec_Sequence_Period, n_c), position),
        IF(ISNUMBER(value), value, NA())
    )
)</t>
  </si>
  <si>
    <t>The base period Δ in effect — the numeric value of spec cell J (Period In Use) on the Sequence-flagged row of the Regression sheet; #N/A when no Sequence axis is flagged or the cell holds no number.</t>
  </si>
  <si>
    <t>Base_Period_Delta returns the base period Δ currently in effect for the workbook's sequence axis: the value of the Period In Use spec cell (column J) on the row whose Sequence flag (column H) is TRUE on the Regression sheet. That cell is computed-with-override — the build pre-fills it with Base_Period_Delta_Candidate() (the MODE of within-group consecutive spacings), and a user-typed number into column I (Sequence Period) replaces the formula to override. Either way, this accessor reads whatever the J cell shows, so the Δ that drives Lag_By and Difference_By defaults is always the Δ visible in the spec.
Δ is never silently assumed to be 1. When no variable is flagged as the Sequence axis, or the flagged row's J cell holds no number, the function returns #N/A — and an omitted-delta Lag_By/Difference_By call therefore returns #N/A everywhere rather than fabricating single-step differences. This is the same visible-default-with-override pattern as the categorical reference level (blank E cell → surfaced default in L).
The reference is sheet-qualified ('Regression'!Spec_Sequence / 'Regression'!Spec_Sequence_Period) because a workbook-scoped name cannot resolve sheet-scoped names unqualified; both bands are TAKE-trimmed to COLUMNS(Source_Data) so cells below the live spec rows (including the Sequence Spacing block) are never scanned. In a workbook without a Regression sheet the accessor is inert (#REF!/# N/A), which only matters for omitted-delta calls — an explicit delta argument never evaluates it.</t>
  </si>
  <si>
    <t>Base_Period_Delta_Candidate computes the natural base period of the declared sequence axis: the MODE.SNGL of Sequence_Deltas() — the most common within-group consecutive spacing. For a complete yearly panel that is 1; for a decadal survey it is 10. The build writes this candidate into spec cell J (Period In Use) of the Sequence-flagged row; cell I (Sequence Period) is the user-typed override input, and a non-blank I replaces the formula via the reference-level pattern.
When MODE.SNGL returns #N/A because every spacing is distinct, there is no natural base period; the candidate falls back to the MIN of the positive spacings (the finest grid the data could support) and the Sequence Spacing block surfaces an explicit override prompt ("no repeated spacing — set Δ"). When there are no within-group spacings at all — no sequence axis flagged, or every group has a single observation — the candidate is #N/A and cell J displays blank, awaiting a typed Δ in I.
The candidate never quantizes calendar spacings: monthly serial dates produce a spectrum clustered at 28–31 and a MODE of 31, which is a wrong Δ for eleven months of the year. That situation is surfaced (calendar-signature guidance recommending an integer period index upstream), not papered over with a scalar.</t>
  </si>
  <si>
    <t>Specification-Driven Regression release (MAJOR — existing workbook inputs change meaning). The Regression sheet's control block is replaced by a declarative variable-specification block (Role, Include, Type, Reference Level, plus reserved Order/Transform columns); X_s is promoted from a column filter to a model-matrix constructor with sheet-scoped twins (Source_Data, Sample_Include, Response_Column, Row_Labels, X_s, Constructed_Column_Names) that dissolve the v1 hard-wired ranges. Categorical predictors are reference-dropped via the rebuilt Dummy_Levels/Dummy_Code, now NA()-error-signaling with degenerate or invalid-reference cases flagged red rather than erroring. Ships the canonical rename pass and a Model Construction QC analyzer that asserts the default-spec audit values, the X_s/Constructed_Column_Names twin widths, and the full-height row-mask contract.</t>
  </si>
  <si>
    <t>Sequence Period</t>
  </si>
  <si>
    <t>Period In Use</t>
  </si>
  <si>
    <t>Δ</t>
  </si>
  <si>
    <t>Count</t>
  </si>
  <si>
    <t>Verdict</t>
  </si>
  <si>
    <t>=LAMBDA(X_s, Y, [Allow_Intercept], [Include],
  LET(
    allow_arg, IF(ISOMITTED(Allow_Intercept), TRUE, Allow_Intercept),
    filt_arg,  IF(ISOMITTED(Include),          TRUE, Include),
    e,         Residuals(X_s, Y, allow_arg, filt_arg),
    h,         Hat_Diagonal(X_s, allow_arg, filt_arg),
    IFERROR(e / (1 - h), NA())
  )
)</t>
  </si>
  <si>
    <t>Returns the leave-one-out cross-validation residual for every observation simultaneously. The shortcut formula is e_i / (1 - h_i), where e_i is the ordinary OLS residual and h_i is the hat-matrix diagonal from Hat_Diagonal. Squaring and summing this vector gives PRESS. A row with h_i = 1 (its fit is fully determined by that single observation, e.g. a singleton dummy level) makes the denominator 0; that row returns #N/A instead of #DIV/0!.</t>
  </si>
  <si>
    <t>If your table has more columns than the shipped dataset, fill in Role, Include, and Type for the extra specification rows — the dropdowns are available all the way down. A row with a blank Role is ignored. The Order and Transform columns are placeholders for a future version and are not read by any formula; they are hidden on the sheet. The Sequence column marks at most one variable as the ordering axis for future lag/difference/serial-correlation features — it is independent of Role and Type (a Predictor can also be the sequence axis). Leave it blank for non-panel data; marking two or more rows shows a red error in the status cell above the column. The Sequence Period column (I) is the typed override input: type a number on the flagged row to declare a Δ that differs from the candidate. The Period In Use column (J) is the live companion — it shows the typed override if column I is non-blank, otherwise the computed candidate (the most common gap between consecutive periods within a group). Lag_By and Difference_By fall back to Base_Period_Delta() when their [delta] argument is omitted — never a silent 1.</t>
  </si>
  <si>
    <t>Identifier (Row Label)</t>
  </si>
  <si>
    <t>MPG</t>
  </si>
  <si>
    <t>Cylinders</t>
  </si>
  <si>
    <t>Displacement</t>
  </si>
  <si>
    <t>Horsepower</t>
  </si>
  <si>
    <t>Weight</t>
  </si>
  <si>
    <t>Acceleration</t>
  </si>
  <si>
    <t>Model Year</t>
  </si>
  <si>
    <t>Origin</t>
  </si>
  <si>
    <t>Car Name</t>
  </si>
  <si>
    <t>Make</t>
  </si>
  <si>
    <t>Model?</t>
  </si>
  <si>
    <t>chevrolet chevelle malibu</t>
  </si>
  <si>
    <t>chevrolet</t>
  </si>
  <si>
    <t>chevelle malibu</t>
  </si>
  <si>
    <t>buick skylark 320</t>
  </si>
  <si>
    <t>buick</t>
  </si>
  <si>
    <t>skylark 320</t>
  </si>
  <si>
    <t>plymouth satellite</t>
  </si>
  <si>
    <t>plymouth</t>
  </si>
  <si>
    <t>satellite</t>
  </si>
  <si>
    <t>amc rebel sst</t>
  </si>
  <si>
    <t>amc</t>
  </si>
  <si>
    <t>rebel sst</t>
  </si>
  <si>
    <t>ford torino</t>
  </si>
  <si>
    <t>ford</t>
  </si>
  <si>
    <t>torino</t>
  </si>
  <si>
    <t>ford galaxie 500</t>
  </si>
  <si>
    <t>galaxie 500</t>
  </si>
  <si>
    <t>chevrolet impala</t>
  </si>
  <si>
    <t>impala</t>
  </si>
  <si>
    <t>plymouth fury iii</t>
  </si>
  <si>
    <t>fury iii</t>
  </si>
  <si>
    <t>pontiac catalina</t>
  </si>
  <si>
    <t>pontiac</t>
  </si>
  <si>
    <t>catalina</t>
  </si>
  <si>
    <t>amc ambassador dpl</t>
  </si>
  <si>
    <t>ambassador dpl</t>
  </si>
  <si>
    <t>citroen ds-21 pallas</t>
  </si>
  <si>
    <t>citroen</t>
  </si>
  <si>
    <t>ds-21 pallas</t>
  </si>
  <si>
    <t>chevrolet chevelle concours (sw)</t>
  </si>
  <si>
    <t>chevelle concours (sw)</t>
  </si>
  <si>
    <t>ford torino (sw)</t>
  </si>
  <si>
    <t>torino (sw)</t>
  </si>
  <si>
    <t>plymouth satellite (sw)</t>
  </si>
  <si>
    <t>satellite (sw)</t>
  </si>
  <si>
    <t>amc rebel sst (sw)</t>
  </si>
  <si>
    <t>rebel sst (sw)</t>
  </si>
  <si>
    <t>dodge challenger se</t>
  </si>
  <si>
    <t>dodge</t>
  </si>
  <si>
    <t>challenger se</t>
  </si>
  <si>
    <t>plymouth 'cuda 340</t>
  </si>
  <si>
    <t>ford mustang boss 302</t>
  </si>
  <si>
    <t>mustang boss 302</t>
  </si>
  <si>
    <t>chevrolet monte carlo</t>
  </si>
  <si>
    <t>monte carlo</t>
  </si>
  <si>
    <t>buick estate wagon (sw)</t>
  </si>
  <si>
    <t>estate wagon (sw)</t>
  </si>
  <si>
    <t>toyota corona mark ii</t>
  </si>
  <si>
    <t>toyota</t>
  </si>
  <si>
    <t>corona mark ii</t>
  </si>
  <si>
    <t>plymouth duster</t>
  </si>
  <si>
    <t>duster</t>
  </si>
  <si>
    <t>amc hornet</t>
  </si>
  <si>
    <t>hornet</t>
  </si>
  <si>
    <t>ford maverick</t>
  </si>
  <si>
    <t>maverick</t>
  </si>
  <si>
    <t>datsun pl510</t>
  </si>
  <si>
    <t>datsun</t>
  </si>
  <si>
    <t>pl510</t>
  </si>
  <si>
    <t>volkswagen 1131 deluxe sedan</t>
  </si>
  <si>
    <t>volkswagen</t>
  </si>
  <si>
    <t>1131 deluxe sedan</t>
  </si>
  <si>
    <t>peugeot 504</t>
  </si>
  <si>
    <t>peugeot</t>
  </si>
  <si>
    <t>audi 100 ls</t>
  </si>
  <si>
    <t>audi</t>
  </si>
  <si>
    <t>100 ls</t>
  </si>
  <si>
    <t>saab 99e</t>
  </si>
  <si>
    <t>saab</t>
  </si>
  <si>
    <t>99e</t>
  </si>
  <si>
    <t>bmw 2002</t>
  </si>
  <si>
    <t>bmw</t>
  </si>
  <si>
    <t>amc gremlin</t>
  </si>
  <si>
    <t>gremlin</t>
  </si>
  <si>
    <t>ford f250</t>
  </si>
  <si>
    <t>f250</t>
  </si>
  <si>
    <t>chevy c20</t>
  </si>
  <si>
    <t>chevy</t>
  </si>
  <si>
    <t>c20</t>
  </si>
  <si>
    <t>dodge d200</t>
  </si>
  <si>
    <t>d200</t>
  </si>
  <si>
    <t>hi 1200d</t>
  </si>
  <si>
    <t>hi</t>
  </si>
  <si>
    <t>1200d</t>
  </si>
  <si>
    <t>chevrolet vega 2300</t>
  </si>
  <si>
    <t>vega 2300</t>
  </si>
  <si>
    <t>toyota corona</t>
  </si>
  <si>
    <t>corona</t>
  </si>
  <si>
    <t>ford pinto</t>
  </si>
  <si>
    <t>pinto</t>
  </si>
  <si>
    <t>volkswagen super beetle 117</t>
  </si>
  <si>
    <t>super beetle 117</t>
  </si>
  <si>
    <t>plymouth satellite custom</t>
  </si>
  <si>
    <t>satellite custom</t>
  </si>
  <si>
    <t>ford torino 500</t>
  </si>
  <si>
    <t>torino 500</t>
  </si>
  <si>
    <t>amc matador</t>
  </si>
  <si>
    <t>matador</t>
  </si>
  <si>
    <t>pontiac catalina brougham</t>
  </si>
  <si>
    <t>catalina brougham</t>
  </si>
  <si>
    <t>dodge monaco (sw)</t>
  </si>
  <si>
    <t>monaco (sw)</t>
  </si>
  <si>
    <t>ford country squire (sw)</t>
  </si>
  <si>
    <t>country squire (sw)</t>
  </si>
  <si>
    <t>pontiac safari (sw)</t>
  </si>
  <si>
    <t>safari (sw)</t>
  </si>
  <si>
    <t>amc hornet sportabout (sw)</t>
  </si>
  <si>
    <t>hornet sportabout (sw)</t>
  </si>
  <si>
    <t>chevrolet vega (sw)</t>
  </si>
  <si>
    <t>vega (sw)</t>
  </si>
  <si>
    <t>pontiac firebird</t>
  </si>
  <si>
    <t>firebird</t>
  </si>
  <si>
    <t>ford mustang</t>
  </si>
  <si>
    <t>mustang</t>
  </si>
  <si>
    <t>mercury capri 2000</t>
  </si>
  <si>
    <t>mercury</t>
  </si>
  <si>
    <t>capri 2000</t>
  </si>
  <si>
    <t>opel 1900</t>
  </si>
  <si>
    <t>opel</t>
  </si>
  <si>
    <t>peugeot 304</t>
  </si>
  <si>
    <t>fiat 124b</t>
  </si>
  <si>
    <t>fiat</t>
  </si>
  <si>
    <t>124b</t>
  </si>
  <si>
    <t>toyota corolla 1200</t>
  </si>
  <si>
    <t>corolla 1200</t>
  </si>
  <si>
    <t>datsun 1200</t>
  </si>
  <si>
    <t>volkswagen model 111</t>
  </si>
  <si>
    <t>model 111</t>
  </si>
  <si>
    <t>plymouth cricket</t>
  </si>
  <si>
    <t>cricket</t>
  </si>
  <si>
    <t>toyota corona hardtop</t>
  </si>
  <si>
    <t>corona hardtop</t>
  </si>
  <si>
    <t>dodge colt hardtop</t>
  </si>
  <si>
    <t>colt hardtop</t>
  </si>
  <si>
    <t>volkswagen type 3</t>
  </si>
  <si>
    <t>type 3</t>
  </si>
  <si>
    <t>chevrolet vega</t>
  </si>
  <si>
    <t>vega</t>
  </si>
  <si>
    <t>ford pinto runabout</t>
  </si>
  <si>
    <t>pinto runabout</t>
  </si>
  <si>
    <t>amc ambassador sst</t>
  </si>
  <si>
    <t>ambassador sst</t>
  </si>
  <si>
    <t>mercury marquis</t>
  </si>
  <si>
    <t>marquis</t>
  </si>
  <si>
    <t>buick lesabre custom</t>
  </si>
  <si>
    <t>lesabre custom</t>
  </si>
  <si>
    <t>oldsmobile delta 88 royale</t>
  </si>
  <si>
    <t>oldsmobile</t>
  </si>
  <si>
    <t>delta 88 royale</t>
  </si>
  <si>
    <t>chrysler newport royal</t>
  </si>
  <si>
    <t>chrysler</t>
  </si>
  <si>
    <t>newport royal</t>
  </si>
  <si>
    <t>mazda rx2 coupe</t>
  </si>
  <si>
    <t>mazda</t>
  </si>
  <si>
    <t>rx2 coupe</t>
  </si>
  <si>
    <t>amc matador (sw)</t>
  </si>
  <si>
    <t>matador (sw)</t>
  </si>
  <si>
    <t>ford gran torino (sw)</t>
  </si>
  <si>
    <t>gran torino (sw)</t>
  </si>
  <si>
    <t>plymouth satellite custom (sw)</t>
  </si>
  <si>
    <t>satellite custom (sw)</t>
  </si>
  <si>
    <t>volvo 145e (sw)</t>
  </si>
  <si>
    <t>volvo</t>
  </si>
  <si>
    <t>145e (sw)</t>
  </si>
  <si>
    <t>volkswagen 411 (sw)</t>
  </si>
  <si>
    <t>411 (sw)</t>
  </si>
  <si>
    <t>peugeot 504 (sw)</t>
  </si>
  <si>
    <t>504 (sw)</t>
  </si>
  <si>
    <t>renault 12 (sw)</t>
  </si>
  <si>
    <t>renault</t>
  </si>
  <si>
    <t>12 (sw)</t>
  </si>
  <si>
    <t>ford pinto (sw)</t>
  </si>
  <si>
    <t>pinto (sw)</t>
  </si>
  <si>
    <t>datsun 510 (sw)</t>
  </si>
  <si>
    <t>510 (sw)</t>
  </si>
  <si>
    <t>toyouta corona mark ii (sw)</t>
  </si>
  <si>
    <t>toyouta</t>
  </si>
  <si>
    <t>corona mark ii (sw)</t>
  </si>
  <si>
    <t>dodge colt (sw)</t>
  </si>
  <si>
    <t>colt (sw)</t>
  </si>
  <si>
    <t>toyota corolla 1600 (sw)</t>
  </si>
  <si>
    <t>corolla 1600 (sw)</t>
  </si>
  <si>
    <t>buick century 350</t>
  </si>
  <si>
    <t>century 350</t>
  </si>
  <si>
    <t>chevrolet malibu</t>
  </si>
  <si>
    <t>malibu</t>
  </si>
  <si>
    <t>ford gran torino</t>
  </si>
  <si>
    <t>gran torino</t>
  </si>
  <si>
    <t>dodge coronet custom</t>
  </si>
  <si>
    <t>coronet custom</t>
  </si>
  <si>
    <t>mercury marquis brougham</t>
  </si>
  <si>
    <t>marquis brougham</t>
  </si>
  <si>
    <t>chevrolet caprice classic</t>
  </si>
  <si>
    <t>caprice classic</t>
  </si>
  <si>
    <t>ford ltd</t>
  </si>
  <si>
    <t>ltd</t>
  </si>
  <si>
    <t>plymouth fury gran sedan</t>
  </si>
  <si>
    <t>fury gran sedan</t>
  </si>
  <si>
    <t>chrysler new yorker brougham</t>
  </si>
  <si>
    <t>new yorker brougham</t>
  </si>
  <si>
    <t>buick electra 225 custom</t>
  </si>
  <si>
    <t>electra 225 custom</t>
  </si>
  <si>
    <t>amc ambassador brougham</t>
  </si>
  <si>
    <t>ambassador brougham</t>
  </si>
  <si>
    <t>plymouth valiant</t>
  </si>
  <si>
    <t>valiant</t>
  </si>
  <si>
    <t>chevrolet nova custom</t>
  </si>
  <si>
    <t>nova custom</t>
  </si>
  <si>
    <t>volkswagen super beetle</t>
  </si>
  <si>
    <t>super beetle</t>
  </si>
  <si>
    <t>ford country</t>
  </si>
  <si>
    <t>country</t>
  </si>
  <si>
    <t>plymouth custom suburb</t>
  </si>
  <si>
    <t>custom suburb</t>
  </si>
  <si>
    <t>oldsmobile vista cruiser</t>
  </si>
  <si>
    <t>vista cruiser</t>
  </si>
  <si>
    <t>toyota carina</t>
  </si>
  <si>
    <t>carina</t>
  </si>
  <si>
    <t>datsun 610</t>
  </si>
  <si>
    <t>maxda rx3</t>
  </si>
  <si>
    <t>maxda</t>
  </si>
  <si>
    <t>rx3</t>
  </si>
  <si>
    <t>mercury capri v6</t>
  </si>
  <si>
    <t>capri v6</t>
  </si>
  <si>
    <t>fiat 124 sport coupe</t>
  </si>
  <si>
    <t>124 sport coupe</t>
  </si>
  <si>
    <t>chevrolet monte carlo s</t>
  </si>
  <si>
    <t>monte carlo s</t>
  </si>
  <si>
    <t>pontiac grand prix</t>
  </si>
  <si>
    <t>grand prix</t>
  </si>
  <si>
    <t>fiat 128</t>
  </si>
  <si>
    <t>opel manta</t>
  </si>
  <si>
    <t>manta</t>
  </si>
  <si>
    <t>audi 100ls</t>
  </si>
  <si>
    <t>100ls</t>
  </si>
  <si>
    <t>volvo 144ea</t>
  </si>
  <si>
    <t>144ea</t>
  </si>
  <si>
    <t>dodge dart custom</t>
  </si>
  <si>
    <t>dart custom</t>
  </si>
  <si>
    <t>saab 99le</t>
  </si>
  <si>
    <t>99le</t>
  </si>
  <si>
    <t>toyota mark ii</t>
  </si>
  <si>
    <t>mark ii</t>
  </si>
  <si>
    <t>oldsmobile omega</t>
  </si>
  <si>
    <t>omega</t>
  </si>
  <si>
    <t>chevrolet nova</t>
  </si>
  <si>
    <t>nova</t>
  </si>
  <si>
    <t>datsun b210</t>
  </si>
  <si>
    <t>b210</t>
  </si>
  <si>
    <t>chevrolet chevelle malibu classic</t>
  </si>
  <si>
    <t>chevelle malibu classic</t>
  </si>
  <si>
    <t>plymouth satellite sebring</t>
  </si>
  <si>
    <t>satellite sebring</t>
  </si>
  <si>
    <t>buick century luxus (sw)</t>
  </si>
  <si>
    <t>century luxus (sw)</t>
  </si>
  <si>
    <t>dodge coronet custom (sw)</t>
  </si>
  <si>
    <t>coronet custom (sw)</t>
  </si>
  <si>
    <t>audi fox</t>
  </si>
  <si>
    <t>fox</t>
  </si>
  <si>
    <t>volkswagen dasher</t>
  </si>
  <si>
    <t>dasher</t>
  </si>
  <si>
    <t>datsun 710</t>
  </si>
  <si>
    <t>dodge colt</t>
  </si>
  <si>
    <t>colt</t>
  </si>
  <si>
    <t>fiat 124 tc</t>
  </si>
  <si>
    <t>124 tc</t>
  </si>
  <si>
    <t>honda civic</t>
  </si>
  <si>
    <t>honda</t>
  </si>
  <si>
    <t>civic</t>
  </si>
  <si>
    <t>subaru</t>
  </si>
  <si>
    <t>fiat x1.9</t>
  </si>
  <si>
    <t>x1.9</t>
  </si>
  <si>
    <t>plymouth valiant custom</t>
  </si>
  <si>
    <t>valiant custom</t>
  </si>
  <si>
    <t>mercury monarch</t>
  </si>
  <si>
    <t>monarch</t>
  </si>
  <si>
    <t>chevrolet bel air</t>
  </si>
  <si>
    <t>bel air</t>
  </si>
  <si>
    <t>plymouth grand fury</t>
  </si>
  <si>
    <t>grand fury</t>
  </si>
  <si>
    <t>buick century</t>
  </si>
  <si>
    <t>century</t>
  </si>
  <si>
    <t>chevroelt chevelle malibu</t>
  </si>
  <si>
    <t>chevroelt</t>
  </si>
  <si>
    <t>plymouth fury</t>
  </si>
  <si>
    <t>fury</t>
  </si>
  <si>
    <t>buick skyhawk</t>
  </si>
  <si>
    <t>skyhawk</t>
  </si>
  <si>
    <t>chevrolet monza 2+2</t>
  </si>
  <si>
    <t>monza 2+2</t>
  </si>
  <si>
    <t>ford mustang ii</t>
  </si>
  <si>
    <t>mustang ii</t>
  </si>
  <si>
    <t>toyota corolla</t>
  </si>
  <si>
    <t>corolla</t>
  </si>
  <si>
    <t>pontiac astro</t>
  </si>
  <si>
    <t>astro</t>
  </si>
  <si>
    <t>volkswagen rabbit</t>
  </si>
  <si>
    <t>rabbit</t>
  </si>
  <si>
    <t>amc pacer</t>
  </si>
  <si>
    <t>pacer</t>
  </si>
  <si>
    <t>volvo 244dl</t>
  </si>
  <si>
    <t>244dl</t>
  </si>
  <si>
    <t>honda civic cvcc</t>
  </si>
  <si>
    <t>civic cvcc</t>
  </si>
  <si>
    <t>fiat 131</t>
  </si>
  <si>
    <t>capri ii</t>
  </si>
  <si>
    <t>capri</t>
  </si>
  <si>
    <t>ii</t>
  </si>
  <si>
    <t>renault 12tl</t>
  </si>
  <si>
    <t>12tl</t>
  </si>
  <si>
    <t>dodge coronet brougham</t>
  </si>
  <si>
    <t>coronet brougham</t>
  </si>
  <si>
    <t>chevrolet chevette</t>
  </si>
  <si>
    <t>chevette</t>
  </si>
  <si>
    <t>chevrolet woody</t>
  </si>
  <si>
    <t>woody</t>
  </si>
  <si>
    <t>vw rabbit</t>
  </si>
  <si>
    <t>vw</t>
  </si>
  <si>
    <t>dodge aspen se</t>
  </si>
  <si>
    <t>aspen se</t>
  </si>
  <si>
    <t>ford granada ghia</t>
  </si>
  <si>
    <t>granada ghia</t>
  </si>
  <si>
    <t>pontiac ventura sj</t>
  </si>
  <si>
    <t>ventura sj</t>
  </si>
  <si>
    <t>amc pacer d/l</t>
  </si>
  <si>
    <t>pacer d/l</t>
  </si>
  <si>
    <t>datsun b-210</t>
  </si>
  <si>
    <t>b-210</t>
  </si>
  <si>
    <t>volvo 245</t>
  </si>
  <si>
    <t>plymouth volare premier v8</t>
  </si>
  <si>
    <t>volare premier v8</t>
  </si>
  <si>
    <t>mercedes-benz 280s</t>
  </si>
  <si>
    <t>mercedes-benz</t>
  </si>
  <si>
    <t>280s</t>
  </si>
  <si>
    <t>cadillac seville</t>
  </si>
  <si>
    <t>cadillac</t>
  </si>
  <si>
    <t>seville</t>
  </si>
  <si>
    <t>chevy c10</t>
  </si>
  <si>
    <t>c10</t>
  </si>
  <si>
    <t>ford f108</t>
  </si>
  <si>
    <t>f108</t>
  </si>
  <si>
    <t>dodge d100</t>
  </si>
  <si>
    <t>d100</t>
  </si>
  <si>
    <t>honda accord cvcc</t>
  </si>
  <si>
    <t>accord cvcc</t>
  </si>
  <si>
    <t>buick opel isuzu deluxe</t>
  </si>
  <si>
    <t>opel isuzu deluxe</t>
  </si>
  <si>
    <t>renault 5 gtl</t>
  </si>
  <si>
    <t>5 gtl</t>
  </si>
  <si>
    <t>plymouth arrow gs</t>
  </si>
  <si>
    <t>arrow gs</t>
  </si>
  <si>
    <t>datsun f-10 hatchback</t>
  </si>
  <si>
    <t>f-10 hatchback</t>
  </si>
  <si>
    <t>oldsmobile cutlass supreme</t>
  </si>
  <si>
    <t>cutlass supreme</t>
  </si>
  <si>
    <t>dodge monaco brougham</t>
  </si>
  <si>
    <t>monaco brougham</t>
  </si>
  <si>
    <t>mercury cougar brougham</t>
  </si>
  <si>
    <t>cougar brougham</t>
  </si>
  <si>
    <t>chevrolet concours</t>
  </si>
  <si>
    <t>concours</t>
  </si>
  <si>
    <t>buick skylark</t>
  </si>
  <si>
    <t>skylark</t>
  </si>
  <si>
    <t>plymouth volare custom</t>
  </si>
  <si>
    <t>volare custom</t>
  </si>
  <si>
    <t>ford granada</t>
  </si>
  <si>
    <t>granada</t>
  </si>
  <si>
    <t>pontiac grand prix lj</t>
  </si>
  <si>
    <t>grand prix lj</t>
  </si>
  <si>
    <t>chevrolet monte carlo landau</t>
  </si>
  <si>
    <t>monte carlo landau</t>
  </si>
  <si>
    <t>chrysler cordoba</t>
  </si>
  <si>
    <t>cordoba</t>
  </si>
  <si>
    <t>ford thunderbird</t>
  </si>
  <si>
    <t>thunderbird</t>
  </si>
  <si>
    <t>volkswagen rabbit custom</t>
  </si>
  <si>
    <t>rabbit custom</t>
  </si>
  <si>
    <t>pontiac sunbird coupe</t>
  </si>
  <si>
    <t>sunbird coupe</t>
  </si>
  <si>
    <t>toyota corolla liftback</t>
  </si>
  <si>
    <t>corolla liftback</t>
  </si>
  <si>
    <t>ford mustang ii 2+2</t>
  </si>
  <si>
    <t>mustang ii 2+2</t>
  </si>
  <si>
    <t>dodge colt m/m</t>
  </si>
  <si>
    <t>colt m/m</t>
  </si>
  <si>
    <t>subaru dl</t>
  </si>
  <si>
    <t>dl</t>
  </si>
  <si>
    <t>datsun 810</t>
  </si>
  <si>
    <t>bmw 320i</t>
  </si>
  <si>
    <t>320i</t>
  </si>
  <si>
    <t>mazda rx-4</t>
  </si>
  <si>
    <t>rx-4</t>
  </si>
  <si>
    <t>volkswagen rabbit custom diesel</t>
  </si>
  <si>
    <t>rabbit custom diesel</t>
  </si>
  <si>
    <t>ford fiesta</t>
  </si>
  <si>
    <t>fiesta</t>
  </si>
  <si>
    <t>mazda glc deluxe</t>
  </si>
  <si>
    <t>glc deluxe</t>
  </si>
  <si>
    <t>datsun b210 gx</t>
  </si>
  <si>
    <t>b210 gx</t>
  </si>
  <si>
    <t>oldsmobile cutlass salon brougham</t>
  </si>
  <si>
    <t>cutlass salon brougham</t>
  </si>
  <si>
    <t>dodge diplomat</t>
  </si>
  <si>
    <t>diplomat</t>
  </si>
  <si>
    <t>mercury monarch ghia</t>
  </si>
  <si>
    <t>monarch ghia</t>
  </si>
  <si>
    <t>pontiac phoenix lj</t>
  </si>
  <si>
    <t>phoenix lj</t>
  </si>
  <si>
    <t>ford fairmont (auto)</t>
  </si>
  <si>
    <t>fairmont (auto)</t>
  </si>
  <si>
    <t>ford fairmont (man)</t>
  </si>
  <si>
    <t>fairmont (man)</t>
  </si>
  <si>
    <t>plymouth volare</t>
  </si>
  <si>
    <t>volare</t>
  </si>
  <si>
    <t>amc concord</t>
  </si>
  <si>
    <t>concord</t>
  </si>
  <si>
    <t>buick century special</t>
  </si>
  <si>
    <t>century special</t>
  </si>
  <si>
    <t>mercury zephyr</t>
  </si>
  <si>
    <t>zephyr</t>
  </si>
  <si>
    <t>dodge aspen</t>
  </si>
  <si>
    <t>aspen</t>
  </si>
  <si>
    <t>amc concord d/l</t>
  </si>
  <si>
    <t>concord d/l</t>
  </si>
  <si>
    <t>buick regal sport coupe (turbo)</t>
  </si>
  <si>
    <t>regal sport coupe (turbo)</t>
  </si>
  <si>
    <t>ford futura</t>
  </si>
  <si>
    <t>futura</t>
  </si>
  <si>
    <t>dodge magnum xe</t>
  </si>
  <si>
    <t>magnum xe</t>
  </si>
  <si>
    <t>datsun 510</t>
  </si>
  <si>
    <t>dodge omni</t>
  </si>
  <si>
    <t>omni</t>
  </si>
  <si>
    <t>toyota celica gt liftback</t>
  </si>
  <si>
    <t>celica gt liftback</t>
  </si>
  <si>
    <t>plymouth sapporo</t>
  </si>
  <si>
    <t>sapporo</t>
  </si>
  <si>
    <t>oldsmobile starfire sx</t>
  </si>
  <si>
    <t>starfire sx</t>
  </si>
  <si>
    <t>datsun 200-sx</t>
  </si>
  <si>
    <t>200-sx</t>
  </si>
  <si>
    <t>audi 5000</t>
  </si>
  <si>
    <t>volvo 264gl</t>
  </si>
  <si>
    <t>264gl</t>
  </si>
  <si>
    <t>saab 99gle</t>
  </si>
  <si>
    <t>99gle</t>
  </si>
  <si>
    <t>peugeot 604sl</t>
  </si>
  <si>
    <t>604sl</t>
  </si>
  <si>
    <t>volkswagen scirocco</t>
  </si>
  <si>
    <t>scirocco</t>
  </si>
  <si>
    <t>honda accord lx</t>
  </si>
  <si>
    <t>accord lx</t>
  </si>
  <si>
    <t>pontiac lemans v6</t>
  </si>
  <si>
    <t>lemans v6</t>
  </si>
  <si>
    <t>mercury zephyr 6</t>
  </si>
  <si>
    <t>zephyr 6</t>
  </si>
  <si>
    <t>ford fairmont 4</t>
  </si>
  <si>
    <t>fairmont 4</t>
  </si>
  <si>
    <t>amc concord dl 6</t>
  </si>
  <si>
    <t>concord dl 6</t>
  </si>
  <si>
    <t>dodge aspen 6</t>
  </si>
  <si>
    <t>aspen 6</t>
  </si>
  <si>
    <t>ford ltd landau</t>
  </si>
  <si>
    <t>ltd landau</t>
  </si>
  <si>
    <t>mercury grand marquis</t>
  </si>
  <si>
    <t>grand marquis</t>
  </si>
  <si>
    <t>dodge st. regis</t>
  </si>
  <si>
    <t>st. regis</t>
  </si>
  <si>
    <t>chevrolet malibu classic (sw)</t>
  </si>
  <si>
    <t>malibu classic (sw)</t>
  </si>
  <si>
    <t>chrysler lebaron town @ country (sw)</t>
  </si>
  <si>
    <t>lebaron town @ country (sw)</t>
  </si>
  <si>
    <t>vw rabbit custom</t>
  </si>
  <si>
    <t>maxda glc deluxe</t>
  </si>
  <si>
    <t>dodge colt hatchback custom</t>
  </si>
  <si>
    <t>colt hatchback custom</t>
  </si>
  <si>
    <t>amc spirit dl</t>
  </si>
  <si>
    <t>spirit dl</t>
  </si>
  <si>
    <t>mercedes benz 300d</t>
  </si>
  <si>
    <t>mercedes</t>
  </si>
  <si>
    <t>benz 300d</t>
  </si>
  <si>
    <t>cadillac eldorado</t>
  </si>
  <si>
    <t>eldorado</t>
  </si>
  <si>
    <t>plymouth horizon</t>
  </si>
  <si>
    <t>horizon</t>
  </si>
  <si>
    <t>plymouth horizon tc3</t>
  </si>
  <si>
    <t>horizon tc3</t>
  </si>
  <si>
    <t>datsun 210</t>
  </si>
  <si>
    <t>fiat strada custom</t>
  </si>
  <si>
    <t>strada custom</t>
  </si>
  <si>
    <t>buick skylark limited</t>
  </si>
  <si>
    <t>skylark limited</t>
  </si>
  <si>
    <t>chevrolet citation</t>
  </si>
  <si>
    <t>citation</t>
  </si>
  <si>
    <t>oldsmobile omega brougham</t>
  </si>
  <si>
    <t>omega brougham</t>
  </si>
  <si>
    <t>pontiac phoenix</t>
  </si>
  <si>
    <t>phoenix</t>
  </si>
  <si>
    <t>toyota corolla tercel</t>
  </si>
  <si>
    <t>corolla tercel</t>
  </si>
  <si>
    <t>datsun 310</t>
  </si>
  <si>
    <t>ford fairmont</t>
  </si>
  <si>
    <t>fairmont</t>
  </si>
  <si>
    <t>audi 4000</t>
  </si>
  <si>
    <t>toyota corona liftback</t>
  </si>
  <si>
    <t>corona liftback</t>
  </si>
  <si>
    <t>mazda 626</t>
  </si>
  <si>
    <t>datsun 510 hatchback</t>
  </si>
  <si>
    <t>510 hatchback</t>
  </si>
  <si>
    <t>mazda glc</t>
  </si>
  <si>
    <t>glc</t>
  </si>
  <si>
    <t>vw rabbit c (diesel)</t>
  </si>
  <si>
    <t>rabbit c (diesel)</t>
  </si>
  <si>
    <t>vw dasher (diesel)</t>
  </si>
  <si>
    <t>dasher (diesel)</t>
  </si>
  <si>
    <t>audi 5000s (diesel)</t>
  </si>
  <si>
    <t>5000s (diesel)</t>
  </si>
  <si>
    <t>mercedes-benz 240d</t>
  </si>
  <si>
    <t>240d</t>
  </si>
  <si>
    <t>honda civic 1500 gl</t>
  </si>
  <si>
    <t>civic 1500 gl</t>
  </si>
  <si>
    <t>renault lecar deluxe</t>
  </si>
  <si>
    <t>lecar deluxe</t>
  </si>
  <si>
    <t>vokswagen rabbit</t>
  </si>
  <si>
    <t>vokswagen</t>
  </si>
  <si>
    <t>datsun 280-zx</t>
  </si>
  <si>
    <t>280-zx</t>
  </si>
  <si>
    <t>mazda rx-7 gs</t>
  </si>
  <si>
    <t>rx-7 gs</t>
  </si>
  <si>
    <t>triumph tr7 coupe</t>
  </si>
  <si>
    <t>triumph</t>
  </si>
  <si>
    <t>tr7 coupe</t>
  </si>
  <si>
    <t>ford mustang cobra</t>
  </si>
  <si>
    <t>mustang cobra</t>
  </si>
  <si>
    <t>honda accord</t>
  </si>
  <si>
    <t>accord</t>
  </si>
  <si>
    <t>plymouth reliant</t>
  </si>
  <si>
    <t>reliant</t>
  </si>
  <si>
    <t>dodge aries wagon (sw)</t>
  </si>
  <si>
    <t>aries wagon (sw)</t>
  </si>
  <si>
    <t>toyota starlet</t>
  </si>
  <si>
    <t>starlet</t>
  </si>
  <si>
    <t>plymouth champ</t>
  </si>
  <si>
    <t>champ</t>
  </si>
  <si>
    <t>honda civic 1300</t>
  </si>
  <si>
    <t>civic 1300</t>
  </si>
  <si>
    <t>datsun 210 mpg</t>
  </si>
  <si>
    <t>210 mpg</t>
  </si>
  <si>
    <t>toyota tercel</t>
  </si>
  <si>
    <t>tercel</t>
  </si>
  <si>
    <t>mazda glc 4</t>
  </si>
  <si>
    <t>glc 4</t>
  </si>
  <si>
    <t>plymouth horizon 4</t>
  </si>
  <si>
    <t>horizon 4</t>
  </si>
  <si>
    <t>ford escort 4w</t>
  </si>
  <si>
    <t>escort 4w</t>
  </si>
  <si>
    <t>ford escort 2h</t>
  </si>
  <si>
    <t>escort 2h</t>
  </si>
  <si>
    <t>volkswagen jetta</t>
  </si>
  <si>
    <t>jetta</t>
  </si>
  <si>
    <t>renault 18i</t>
  </si>
  <si>
    <t>18i</t>
  </si>
  <si>
    <t>honda prelude</t>
  </si>
  <si>
    <t>prelude</t>
  </si>
  <si>
    <t>datsun 200sx</t>
  </si>
  <si>
    <t>200sx</t>
  </si>
  <si>
    <t>peugeot 505s turbo diesel</t>
  </si>
  <si>
    <t>505s turbo diesel</t>
  </si>
  <si>
    <t>saab 900s</t>
  </si>
  <si>
    <t>900s</t>
  </si>
  <si>
    <t>volvo diesel</t>
  </si>
  <si>
    <t>diesel</t>
  </si>
  <si>
    <t>toyota cressida</t>
  </si>
  <si>
    <t>cressida</t>
  </si>
  <si>
    <t>datsun 810 maxima</t>
  </si>
  <si>
    <t>810 maxima</t>
  </si>
  <si>
    <t>oldsmobile cutlass ls</t>
  </si>
  <si>
    <t>cutlass ls</t>
  </si>
  <si>
    <t>ford granada gl</t>
  </si>
  <si>
    <t>granada gl</t>
  </si>
  <si>
    <t>chrysler lebaron salon</t>
  </si>
  <si>
    <t>lebaron salon</t>
  </si>
  <si>
    <t>chevrolet cavalier</t>
  </si>
  <si>
    <t>cavalier</t>
  </si>
  <si>
    <t>chevrolet cavalier wagon</t>
  </si>
  <si>
    <t>cavalier wagon</t>
  </si>
  <si>
    <t>chevrolet cavalier 2-door</t>
  </si>
  <si>
    <t>cavalier 2-door</t>
  </si>
  <si>
    <t>pontiac j2000 se hatchback</t>
  </si>
  <si>
    <t>j2000 se hatchback</t>
  </si>
  <si>
    <t>dodge aries se</t>
  </si>
  <si>
    <t>aries se</t>
  </si>
  <si>
    <t>ford fairmont futura</t>
  </si>
  <si>
    <t>fairmont futura</t>
  </si>
  <si>
    <t>amc concord dl</t>
  </si>
  <si>
    <t>concord dl</t>
  </si>
  <si>
    <t>volkswagen rabbit l</t>
  </si>
  <si>
    <t>rabbit l</t>
  </si>
  <si>
    <t>mazda glc custom l</t>
  </si>
  <si>
    <t>glc custom l</t>
  </si>
  <si>
    <t>mazda glc custom</t>
  </si>
  <si>
    <t>glc custom</t>
  </si>
  <si>
    <t>plymouth horizon miser</t>
  </si>
  <si>
    <t>horizon miser</t>
  </si>
  <si>
    <t>mercury lynx l</t>
  </si>
  <si>
    <t>lynx l</t>
  </si>
  <si>
    <t>nissan stanza xe</t>
  </si>
  <si>
    <t>nissan</t>
  </si>
  <si>
    <t>stanza xe</t>
  </si>
  <si>
    <t>honda civic (auto)</t>
  </si>
  <si>
    <t>civic (auto)</t>
  </si>
  <si>
    <t>datsun 310 gx</t>
  </si>
  <si>
    <t>310 gx</t>
  </si>
  <si>
    <t>buick century limited</t>
  </si>
  <si>
    <t>century limited</t>
  </si>
  <si>
    <t>oldsmobile cutlass ciera (diesel)</t>
  </si>
  <si>
    <t>cutlass ciera (diesel)</t>
  </si>
  <si>
    <t>chrysler lebaron medallion</t>
  </si>
  <si>
    <t>lebaron medallion</t>
  </si>
  <si>
    <t>ford granada l</t>
  </si>
  <si>
    <t>granada l</t>
  </si>
  <si>
    <t>toyota celica gt</t>
  </si>
  <si>
    <t>celica gt</t>
  </si>
  <si>
    <t>dodge charger 2.2</t>
  </si>
  <si>
    <t>charger 2.2</t>
  </si>
  <si>
    <t>chevrolet camaro</t>
  </si>
  <si>
    <t>camaro</t>
  </si>
  <si>
    <t>ford mustang gl</t>
  </si>
  <si>
    <t>mustang gl</t>
  </si>
  <si>
    <t>vw pickup</t>
  </si>
  <si>
    <t>pickup</t>
  </si>
  <si>
    <t>dodge rampage</t>
  </si>
  <si>
    <t>rampage</t>
  </si>
  <si>
    <t>ford ranger</t>
  </si>
  <si>
    <t>ranger</t>
  </si>
  <si>
    <t>chevy s-10</t>
  </si>
  <si>
    <t>s-10</t>
  </si>
  <si>
    <t>GVIF</t>
  </si>
  <si>
    <t>=LAMBDA(X_s, Column_Names, [Allow_Intercept], [Include],
  LET(
    filt_arg, IF(ISOMITTED(Include), TRUE, Include),
    k,        COLUMNS(X_s),
    grp,      IFERROR(LEFT(Column_Names, FIND(": ", Column_Names) - 1), Column_Names),
    IF(COUNTA(UNIQUE(grp, TRUE)) &lt;= 1,
      MAKEARRAY(k, 1, LAMBDA(j, _, 1)),
      LET(
        R,    Correlation_Matrix(X_s, filt_arg),
        detR, MDETERM(R),
        MAKEARRAY(k, 1, LAMBDA(j, _,
          LET(
            g,   INDEX(grp, 1, j),
            own, grp = g,
            R11, FILTER(FILTER(R, TRANSPOSE(own)), own),
            R22, FILTER(FILTER(R, TRANSPOSE(NOT(own))), NOT(own)),
            MDETERM(R11) * MDETERM(R22) / detR
          )
        ))
      )
    )
  ))</t>
  </si>
  <si>
    <t>X_s: column range of predictors (single or multi-column); a categorical predictor contributes a contiguous block of dummy columns
Column_Names: 1×k row vector of column labels aligned with X_s, following the "Header: level" convention (e.g. Constructed_Column_Names()); columns sharing the text before the first ": " are treated as one variable's group
[Allow_Intercept]: TRUE/FALSE — included for interface consistency; the correlation-matrix formula is intercept-invariant
[Include]: boolean array — TRUE includes the row, FALSE excludes it</t>
  </si>
  <si>
    <t>k×1 column vector of GVIF values, one per column of X_s — every dummy column sharing a source variable's group carries the same value</t>
  </si>
  <si>
    <t>How much overlap with the other predictors is inflating a variable's instability — one shared number per variable, even when it spans several dummy columns.</t>
  </si>
  <si>
    <t>Generalized Variance Inflation Factor (Fox &amp; Monette, 1992): GVIF_g = det(R11) * det(R22) / det(R), where R is the k×k correlation matrix of X_s (via Correlation_Matrix), R11 is the submatrix restricted to source-variable g's own columns, and R22 is the submatrix restricted to every other column. Collapses a categorical predictor's whole dummy block into one coding-invariant number instead of L−1 separate, coding-dependent per-dummy VIF values.
Groups are recovered from Column_Names by splitting on the first ": " — the same convention Constructed_Column_Names() already uses to label dummy columns. When a group has exactly one column (an ordinary continuous predictor, or a two-level categorical), GVIF is numerically identical to VIF's own 1/(1−R²ⱼ) — a matrix identity, not an approximation — so the existing 5/10 review thresholds stay valid for those rows. When every column resolves to the same group (only one source variable in the whole matrix) GVIF returns 1 for all columns, the direct generalization of VIF's own k=1 special case.
det(R) appears in every column's denominator, so exact multicollinearity anywhere in X_s (det(R) = 0) produces #DIV/0! for every column, not only the collinear ones — the same all-or-nothing failure mode VIF's own 1/(1−R²ⱼ) already has at R²ⱼ = 1, surfaced once instead of per column.</t>
  </si>
  <si>
    <t>Generalized_Tolerance</t>
  </si>
  <si>
    <t>=LAMBDA(X_s, Column_Names, [Allow_Intercept], [Include],
  1 / GVIF(X_s, Column_Names, Allow_Intercept, Include)
)</t>
  </si>
  <si>
    <t>X_s: column range of predictors (single or multi-column); a categorical predictor contributes a contiguous block of dummy columns
Column_Names: 1×k row vector of column labels aligned with X_s, following the "Header: level" convention (e.g. Constructed_Column_Names())
[Allow_Intercept]: TRUE/FALSE — passed through to GVIF; included for interface consistency
[Include]: boolean array — TRUE includes the row, FALSE excludes it</t>
  </si>
  <si>
    <t>k×1 column vector of Generalized Tolerance values (= 1/GVIF), one per column of X_s</t>
  </si>
  <si>
    <t>How much unique information a variable still has after overlap with the others, generalized to whole categorical predictors.</t>
  </si>
  <si>
    <t>Generalized Tolerance = 1 / GVIF, the reciprocal of the Generalized Variance Inflation Factor. Mirrors Tolerance's own one-line relationship to VIF, forwarding all arguments to GVIF.</t>
  </si>
  <si>
    <t>cuda 340</t>
  </si>
  <si>
    <t>Open the Name Manager (Formulas → Name Manager) and update Source_Table (the "Refers To" field) to your table, including its header row — for example =MyTable[#All]. Everything else derives from this one name: the header row, the data body, and the variable list in the MODEL SPECIFICATION block all update automatically. Source_Table points at MileageData by default; a second sample table, LifeExpectancyData (on the Life Expectancy Data sheet), ships with the workbook if you want to practice this retarget before pointing at your own data.</t>
  </si>
  <si>
    <t>GVIF (Generalized Variance Inflation Factor)</t>
  </si>
  <si>
    <t>Col U, Predictor Summary</t>
  </si>
  <si>
    <t>GVIF &gt; 5  (possible collinearity)</t>
  </si>
  <si>
    <t>GVIF &gt; 10  (strong collinearity)</t>
  </si>
  <si>
    <t>Col V, Predictor Summary</t>
  </si>
  <si>
    <t>Multicollinearity
(high GVIF)</t>
  </si>
  <si>
    <t>GVIF &gt; 10 for one or more predictors. A categorical predictor's dummy columns all show the same shared GVIF value — that's the whole variable's collinearity, not a per-level artifact.</t>
  </si>
  <si>
    <t>US</t>
  </si>
  <si>
    <t>Europe</t>
  </si>
  <si>
    <t>Asia</t>
  </si>
  <si>
    <t>Define your model in the MODEL SPECIFICATION block (columns A–L):</t>
  </si>
  <si>
    <t>=LAMBDA(X_s, Y, [Allow_Intercept], [Include], [DF_Absorbed],
  LET(
    allow_arg, IF(ISOMITTED(Allow_Intercept), TRUE, Allow_Intercept),
    filt_arg,  IF(ISOMITTED(Include),          TRUE, Include),
    absorbed_arg, IF(ISOMITTED(DF_Absorbed),   0,    DF_Absorbed),
    Total_Degrees_Of_Freedom(Y, allow_arg, filt_arg) - Regression_Degrees_Of_Freedom(X_s) - absorbed_arg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</si>
  <si>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(Absorbed_Degrees_Of_Freedom(), Σ(Gᵢ−1)); subtracted from the residual df. Defaults to 0, so every no-FE caller is unaffected</t>
  </si>
  <si>
    <t>df_residual (n-k-1 with intercept, n-k without, minus DF_Absorbed) as a scalar integer</t>
  </si>
  <si>
    <t>How much data is left to estimate random error after fitting the model, minus any degrees of freedom a Fixed Effects variable has already absorbed.</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</si>
  <si>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Total_Degrees_Of_Freedom(...) - Regression_Degrees_Of_Freedom(...), inheriting the Allow_Intercept correction from Total_Degrees_Of_Freedom.
Under v2.1 Fixed Effects, an optional trailing DF_Absorbed further subtracts the group degrees of freedom already spent demeaning the data (X_s_Within()/y_s() fit on n-K-1 df as an ordinary OLS would count them, but G−1 of those degrees of freedom were spent estimating group means, not model parameters) — omitted or 0, this is the single source of truth every df-dependent statistic downstream (MS_Residual, SE, t, p, CI, AIC/BIC, Prediction_Interval) threads through.</t>
  </si>
  <si>
    <t>=LAMBDA(X_s, Y, [Allow_Intercept], [Include], [DF_Absorbed],
  LET(
    allow_arg, IF(ISOMITTED(Allow_Intercept), TRUE, Allow_Intercept),
    filt_arg,  IF(ISOMITTED(Include),          TRUE, Include),
    absorbed_arg, IF(ISOMITTED(DF_Absorbed),   0,    DF_Absorbed),
    1 - (1 - R_Squared(X_s, Y, allow_arg, filt_arg))
      * Total_Degrees_Of_Freedom(Y, allow_arg, filt_arg)
      / Residual_Degrees_Of_Freedom(X_s, Y, allow_arg, filt_arg, absorbed_arg)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</si>
  <si>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Residual_Degrees_Of_Freedom(). Defaults to 0 — every no-FE caller is unaffected</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</si>
  <si>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Total_Degrees_Of_Freedom(...) / Residual_Degrees_Of_Freedom(...), inheriting the Allow_Intercept correction from both df functions. An optional trailing DF_Absorbed (v2.1 Fixed Effects) threads to Residual_Degrees_Of_Freedom() so the penalty term correctly reflects absorbed group degrees of freedom.</t>
  </si>
  <si>
    <t>=LAMBDA(X_s, Y, [Allow_Intercept], [Include], [DF_Absorbed],
  LET(
    allow_arg, IF(ISOMITTED(Allow_Intercept), TRUE, Allow_Intercept),
    filt_arg,  IF(ISOMITTED(Include),          TRUE, Include),
    absorbed_arg, IF(ISOMITTED(DF_Absorbed),   0,    DF_Absorbed),
    SS_Residual(X_s, Y, allow_arg, filt_arg) / Residual_Degrees_Of_Freedom(X_s, Y, allow_arg, filt_arg, absorbed_arg)
  ))</t>
  </si>
  <si>
    <t>MS_Residual is the mean square for residual error: SS_Residual divided by df_Residual. It equals SE_Regression² and is the denominator of the overall F-statistic. It represents the average unexplained variation per residual degree of freedom.
An optional trailing DF_Absorbed (v2.1 Fixed Effects) threads to Residual_Degrees_Of_Freedom() so the divisor correctly reflects absorbed group degrees of freedom.</t>
  </si>
  <si>
    <t>=LAMBDA(X_s, Y, [Allow_Intercept], [Include], [DF_Absorbed],
  LET(
    allow_arg, IF(ISOMITTED(Allow_Intercept), TRUE, Allow_Intercept),
    filt_arg,  IF(ISOMITTED(Include),          TRUE, Include),
    absorbed_arg, IF(ISOMITTED(DF_Absorbed),   0,    DF_Absorbed),
    SQRT(SS_Residual(X_s, Y, allow_arg, filt_arg) / Residual_Degrees_Of_Freedom(X_s, Y, allow_arg, filt_arg, absorbed_arg))
  ))</t>
  </si>
  <si>
    <t>SE_regression (also called the root mean square error or S) measures the typical distance between observed Y values and the regression line, in the same units as Y. It equals √(SS_residual / df_residual) = √MSE. Smaller values indicate a tighter fit.
Computed as SQRT(SS_Residual(...) / Residual_Degrees_Of_Freedom(...)). An optional trailing DF_Absorbed (v2.1 Fixed Effects) threads through so a Fixed Effects model's typical residual size is computed on the correct (absorbed) df, not an inflated one.</t>
  </si>
  <si>
    <t>=LAMBDA(X_s, Y, [Allow_Intercept], [Include], [DF_Absorbed],
  LET(
    allow_arg, IF(ISOMITTED(Allow_Intercept), TRUE, Allow_Intercept),
    filt_arg,  IF(ISOMITTED(Include), TRUE, Include),
    absorbed_arg, IF(ISOMITTED(DF_Absorbed), 0, DF_Absorbed),
    n,   Observations(Y, filt_arg),
    ssr, SS_Residual(X_s, Y, allow_arg, filt_arg),
    p,   Regression_Degrees_Of_Freedom(X_s) + IF(allow_arg, 1, 0) + absorbed_arg,
    n * LN(ssr / n) + 2 * p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</si>
  <si>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added directly to the parameter count p, since each absorbed group intercept IS an estimated parameter. Defaults to 0 — every no-FE caller is unaffected</t>
  </si>
  <si>
    <t>AIC = n·ln(SSR/n) + 2p, where p = number of regression parameters (predictors + intercept when Allow_Intercept is TRUE). Smaller values indicate better-fitting models; compare across models on the same dataset.
Under v2.1 Fixed Effects, an optional trailing DF_Absorbed adds directly into p: the G−1 group intercepts a Fixed Effects variable absorbs are genuinely estimated parameters even though the within transformation never materializes them as explicit coefficients, so AIC must count them or understate model complexity.</t>
  </si>
  <si>
    <t>=LAMBDA(X_s, Y, [Allow_Intercept], [Include], [DF_Absorbed],
  LET(
    allow_arg, IF(ISOMITTED(Allow_Intercept), TRUE, Allow_Intercept),
    filt_arg,  IF(ISOMITTED(Include), TRUE, Include),
    absorbed_arg, IF(ISOMITTED(DF_Absorbed), 0, DF_Absorbed),
    n,   Observations(Y, filt_arg),
    ssr, SS_Residual(X_s, Y, allow_arg, filt_arg),
    p,   Regression_Degrees_Of_Freedom(X_s) + IF(allow_arg, 1, 0) + absorbed_arg,
    n * LN(ssr / n) + p * LN(n)
  ))</t>
  </si>
  <si>
    <t>BIC = n·ln(SSR/n) + p·ln(n), where p = number of regression parameters. Applies a heavier penalty than AIC for additional parameters, favouring sparser models in large samples.
Under v2.1 Fixed Effects, an optional trailing DF_Absorbed adds directly into p, the same absorbed-group-intercepts-are-parameters correction AIC applies.</t>
  </si>
  <si>
    <t>=LAMBDA(X_s, Y, [Allow_Intercept], [Include], [DF_Absorbed],
  LET(
    allow_arg, IF(ISOMITTED(Allow_Intercept), TRUE, Allow_Intercept),
    filt_arg,  IF(ISOMITTED(Include), TRUE, Include),
    absorbed_arg, IF(ISOMITTED(DF_Absorbed), 0, DF_Absorbed),
    n,   Observations(Y, filt_arg),
    ssr, SS_Residual(X_s, Y, allow_arg, filt_arg),
    p,   Regression_Degrees_Of_Freedom(X_s) + IF(allow_arg, 1, 0) + absorbed_arg,
    aic, n * LN(ssr / n) + 2 * p,
    aic + 2 * p * (p + 1) / (n - p - 1)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</si>
  <si>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added directly to the parameter count p (which also appears in the small-sample correction term). Defaults to 0 — every no-FE caller is unaffected</t>
  </si>
  <si>
    <t>AICc = AIC + 2p(p+1)/(n−p−1). The small-sample correction reduces upward bias in AIC when n/p &lt; 40. Converges to AIC as n → ∞.
Under v2.1 Fixed Effects, an optional trailing DF_Absorbed adds directly into p, propagating into both the AIC term and the small-sample correction term.</t>
  </si>
  <si>
    <t>=LAMBDA(X_s, Y, [Allow_Intercept], [Include], [DF_Absorbed],
  LET(
    allow_arg, IF(ISOMITTED(Allow_Intercept), TRUE, Allow_Intercept),
    filt_arg,  IF(ISOMITTED(Include), TRUE, Include),
    absorbed_arg, IF(ISOMITTED(DF_Absorbed), 0, DF_Absorbed),
    sr,        Scaled_Residuals_Ranked(X_s, Y, allow_arg, filt_arg, absorbed_arg),
    n,         ROWS(sr),
    ns,        NORM.S.INV((SEQUENCE(n) - 0.5) / n),
    CORREL(sr, ns)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</si>
  <si>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Scaled_Residuals_Ranked(). Defaults to 0 — every no-FE caller is unaffected</t>
  </si>
  <si>
    <t>=LAMBDA(X_s, Y, [Allow_Intercept], [Include], [DF_Absorbed],
  LET(
    allow_arg, IF(ISOMITTED(Allow_Intercept), TRUE, Allow_Intercept),
    filt_arg,  IF(ISOMITTED(Include),          TRUE, Include),
    absorbed_arg, IF(ISOMITTED(DF_Absorbed),   0,    DF_Absorbed),
    ls,        LINEST(FILTER(Y, filt_arg), FILTER(X_s, filt_arg), allow_arg, TRUE),
    ses,       INDEX(ls, 2),
    k,         COLUMNS(X_s),
    naive_df,  Residual_Degrees_Of_Freedom(X_s, Y, allow_arg, filt_arg),
    true_df,   naive_df - absorbed_arg,
    scale,     SQRT(naive_df / true_df),
    TRANSPOSE(IF(allow_arg,
      HSTACK(INDEX(ses, 1, k + 1), CHOOSECOLS(ses, SEQUENCE(1, k, k, -1))),
      CHOOSECOLS(ses, SEQUENCE(1, k, k, -1))
    )) * scale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</si>
  <si>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LINEST cannot be told a different df, so this RESCALES its output by SQRT(naive_df / (naive_df − DF_Absorbed)) — exact, since SS_Residual and (X'X)⁻¹ are identical between the two dfs, only the variance scaling differs. Defaults to 0, giving scale = 1 — every no-FE caller is unaffected</t>
  </si>
  <si>
    <t>How uncertain each fitted coefficient is — rescaled under Fixed Effects since Excel's LINEST can't be told about the absorbed groups directly.</t>
  </si>
  <si>
    <t>Returns a vertical spill array of the standard errors of the fitted OLS coefficients, in the same order as Coefficients (intercept first when included).
Uses LINEST with stats=TRUE and extracts row 2 (the standard error row), then applies the same reversal as Coefficients.
Under v2.1 Fixed Effects, LINEST is an Excel built-in that always computes its own SE using its own internal residual df (n−k−intercept) — it cannot be told about degrees of freedom absorbed by an FE group it never sees, since it only sees the already-demeaned X_s_Within()/y_s(). The fix is an exact rescaling, not an approximation: SS_Residual and (X'X)⁻¹ are identical whichever df is used (OLS coefficients and their sum-of-squares don't depend on df, only the variance-to-SE conversion does), so the correct SE is LINEST's SE times SQRT(naive_df / true_df), where naive_df is exactly what LINEST assumed and true_df subtracts DF_Absorbed. With DF_Absorbed omitted or 0, the scale factor is SQRT(naive_df/naive_df) = 1 exactly, so every no-FE caller is bit-identical to before.</t>
  </si>
  <si>
    <t>=LAMBDA(X_s, Y, [Allow_Intercept], [Include], [DF_Absorbed],
  LET(
    allow_arg, IF(ISOMITTED(Allow_Intercept), TRUE, Allow_Intercept),
    filt_arg,  IF(ISOMITTED(Include),          TRUE, Include),
    absorbed_arg, IF(ISOMITTED(DF_Absorbed),   0,    DF_Absorbed),
    Coefficients(X_s, Y, allow_arg, filt_arg) / SE_Coefficients(X_s, Y, allow_arg, filt_arg, absorbed_arg)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</si>
  <si>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SE_Coefficients() — Coefficients() itself is unaffected by df. Defaults to 0 — every no-FE caller is unaffected</t>
  </si>
  <si>
    <t>Returns a vertical spill array of t-statistics for each OLS coefficient. Each element equals the corresponding Coefficients value divided by its SE_Coefficients value.
Computed as Coefficients(...) / SE_Coefficients(...). An optional trailing DF_Absorbed (v2.1 Fixed Effects) threads only to SE_Coefficients() — the coefficient point estimates never depend on df.</t>
  </si>
  <si>
    <t>=LAMBDA(X_s, Y, [Allow_Intercept], [Include], [DF_Absorbed],
  LET(
    allow_arg, IF(ISOMITTED(Allow_Intercept), TRUE, Allow_Intercept),
    filt_arg,  IF(ISOMITTED(Include),          TRUE, Include),
    absorbed_arg, IF(ISOMITTED(DF_Absorbed),   0,    DF_Absorbed),
    T.DIST.2T(ABS(T_Statistics(X_s, Y, allow_arg, filt_arg, absorbed_arg)), Residual_Degrees_Of_Freedom(X_s, Y, allow_arg, filt_arg, absorbed_arg))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</si>
  <si>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both T_Statistics() and Residual_Degrees_Of_Freedom(). Defaults to 0 — every no-FE caller is unaffected</t>
  </si>
  <si>
    <t>Returns a vertical spill array of two-tailed p-values for each OLS coefficient, testing the null hypothesis that the true coefficient equals zero.
Computed as T.DIST.2T(ABS(T_Statistics(...)), Residual_Degrees_Of_Freedom(...)). An optional trailing DF_Absorbed (v2.1 Fixed Effects) threads to both — the t-statistic's SE and the distribution's df must use the same corrected residual df.</t>
  </si>
  <si>
    <t>=LAMBDA(X_s, Y, [Allow_Intercept], [Include], [Alpha], [DF_Absorbed],
  LET(
    allow_arg,   IF(ISOMITTED(Allow_Intercept), TRUE, Allow_Intercept),
    filt_arg,    IF(ISOMITTED(Include),          TRUE, Include),
    alpha_arg,   IF(ISOMITTED(Alpha),           0.05, Alpha),
    absorbed_arg, IF(ISOMITTED(DF_Absorbed),    0,    DF_Absorbed),
    Coefficients(X_s, Y, allow_arg, filt_arg)
      - T.INV.2T(alpha_arg, Residual_Degrees_Of_Freedom(X_s, Y, allow_arg, filt_arg, absorbed_arg))
        * SE_Coefficients(X_s, Y, allow_arg, filt_arg, absorbed_arg)
  ))</t>
  </si>
  <si>
    <t>X_s: column range of predictors (single or multi-column)
Y: single-column outcome range
[Allow_Intercept]: TRUE/FALSE — fit intercept? Default TRUE
[Include]: boolean array — TRUE includes the row, FALSE excludes it
[Alpha]: significance level (0–1); default 0.05 yields 95% CIs.
[DF_Absorbed]: degrees of freedom absorbed by declared Fixed Effects groups, threaded to both Residual_Degrees_Of_Freedom() and SE_Coefficients(). Defaults to 0 — every no-FE caller is unaffected</t>
  </si>
  <si>
    <t>Returns a vertical spill array of the lower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</si>
  <si>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=LAMBDA(X_s, Y, [Allow_Intercept], [Include], [Alpha], [DF_Absorbed],
  LET(
    allow_arg,   IF(ISOMITTED(Allow_Intercept), TRUE, Allow_Intercept),
    filt_arg,    IF(ISOMITTED(Include),          TRUE, Include),
    alpha_arg,   IF(ISOMITTED(Alpha),           0.05, Alpha),
    absorbed_arg, IF(ISOMITTED(DF_Absorbed),    0,    DF_Absorbed),
    Coefficients(X_s, Y, allow_arg, filt_arg)
      + T.INV.2T(alpha_arg, Residual_Degrees_Of_Freedom(X_s, Y, allow_arg, filt_arg, absorbed_arg))
        * SE_Coefficients(X_s, Y, allow_arg, filt_arg, absorbed_arg)
  ))</t>
  </si>
  <si>
    <t>Returns a vertical spill array of the upper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</si>
  <si>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=LAMBDA(X_s, Y, [Allow_Intercept], [Include], [DF_Absorbed],
  LET(
    allow_arg, IF(ISOMITTED(Allow_Intercept), TRUE, Allow_Intercept),
    filt_arg,  IF(ISOMITTED(Include),          TRUE, Include),
    absorbed_arg, IF(ISOMITTED(DF_Absorbed),   0,    DF_Absorbed),
    t,         T_Statistics(X_s, Y, allow_arg, filt_arg, absorbed_arg),
    df,        Residual_Degrees_Of_Freedom(X_s, Y, allow_arg, filt_arg, absorbed_arg),
    t^2 / (t^2 + df)
  ))</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</si>
  <si>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T_Statistics² / (T_Statistics² + Residual_Degrees_Of_Freedom), element-wise. The intercept row is included (row 1) for consistency with T_Statistics and P_Values. An optional trailing DF_Absorbed (v2.1 Fixed Effects) threads to both.</t>
  </si>
  <si>
    <t>=LAMBDA(X_s, Y, [Allow_Intercept], [Include], [DF_Absorbed],
  LET(
    allow_arg, IF(ISOMITTED(Allow_Intercept), TRUE, Allow_Intercept),
    filt_arg,  IF(ISOMITTED(Include),          TRUE, Include),
    absorbed_arg, IF(ISOMITTED(DF_Absorbed),   0,    DF_Absorbed),
    t,         T_Statistics(X_s, Y, allow_arg, filt_arg, absorbed_arg),
    df,        Residual_Degrees_Of_Freedom(X_s, Y, allow_arg, filt_arg, absorbed_arg),
    t / SQRT(t^2 + df)
  ))</t>
  </si>
  <si>
    <t>Partial correlation for coefficient j = tⱼ / √(t²ⱼ + df_residual), the sign-preserving linear correlation between Y and Xⱼ after partialling out all other predictors from both Y and Xⱼ. Equals √(Partial_R_Squared) × sign(t).
Computed as T_Statistics / SQRT(T_Statistics² + Residual_Degrees_Of_Freedom), element-wise. Ranges from −1 to +1. An optional trailing DF_Absorbed (v2.1 Fixed Effects) threads to both.</t>
  </si>
  <si>
    <t>=LAMBDA(X_s, Y, X_new, [Allow_Intercept], [Include], [alpha], [DF_Absorbed],
  LET(
    allow_arg,     IF(ISOMITTED(Allow_Intercept), TRUE, Allow_Intercept),
    filt_arg,      IF(ISOMITTED(Include),          TRUE, Include),
    alpha_arg,     IF(ISOMITTED(alpha),           0.05, alpha),
    absorbed_arg,  IF(ISOMITTED(DF_Absorbed),     0,    DF_Absorbed),
    X_design,      Design_Matrix(X_s, allow_arg, filt_arg),
    beta,          Coefficients(X_s, Y, allow_arg, filt_arg),
    s,             SE_Regression(X_s, Y, allow_arg, filt_arg, absorbed_arg),
    df,            Residual_Degrees_Of_Freedom(X_s, Y, allow_arg, filt_arg, absorbed_arg),
    t_crit,        T.INV.2T(alpha_arg, df),
    x_new_aligned, IF(allow_arg,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</si>
  <si>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X_s: column range of predictors (single or multi-column)
Y: single-column outcome range
X_new: column vector of predictor values for the new observation — intercept term first (=1 or 0) when Allow_Intercept is TRUE, matching the layout of pred_input on the Regression sheet
[Allow_Intercept]: TRUE/FALSE — fit intercept? Default TRUE
[Include]: boolean array — TRUE includes the row, FALSE excludes it
[alpha]: significance level (0–1); default 0.05 yields 95% prediction intervals
[DF_Absorbed]: degrees of freedom absorbed by declared Fixed Effects groups, threaded to both SE_Regression() and Residual_Degrees_Of_Freedom(). Defaults to 0 — every no-FE caller is unaffected</t>
  </si>
  <si>
    <t>Returns a 6-element VSTACK: (1) point estimate = x_new · beta, (2) SE of prediction = s √(1 + x_new'(X'X)⁻¹x_new), (3) t critical value at alpha, (4) lower prediction bound, (5) upper prediction bound, (6) confidence level = 1 − alpha.
When Allow_Intercept is FALSE the first element of X_new (the intercept placeholder) is dropped before the dot product and leverage calculation to align dimensions with the k-column design matrix. Leverage h_new is computed as x_new'(X'X)⁻¹x_new using Gram_Inverse(X_design) and MMULT.
An optional trailing DF_Absorbed (v2.1 Fixed Effects) threads to both s and df, so the t-critical value and the prediction SE reflect the correct absorbed-group residual df. This function alone still assumes x_new lives in the same raw covariate space as X_s — it is not a well-defined FE prediction on its own under Fixed Effects; Group_Prediction_Interval is the group-mean-relative sibling that adds the ȳᵢ/x̄ᵢ recovery machinery.</t>
  </si>
  <si>
    <t>Group_Prediction_Interval</t>
  </si>
  <si>
    <t>X_s: column range of predictors, raw (not pre-demeaned) — single or multi-column
Y: single-column outcome range, raw (not pre-demeaned)
X_new: column vector of raw predictor values for the new observation, k rows matching COLUMNS(X_s) — no intercept placeholder (group-mean recovery never uses one)
group: single-column grouping key (Prediction_Group_Column(): the Fixed Effects column, or a constant single group when none is declared)
selected_group: the one group value to predict for (a dropdown-selected panel unit, or the constant "(all)" sentinel when no Fixed Effects row is declared)
[Allow_Intercept]: TRUE/FALSE — fit intercept in the within regression? Default TRUE. Does not change the point estimate (an intercept fit on group-demeaned data is always exactly 0), only how Coefficients()'s output is sliced
[Include]: boolean array — TRUE includes the row, FALSE excludes it
[alpha]: significance level (0–1); default 0.05 yields 95% intervals
[DF_Absorbed]: degrees of freedom absorbed by declared Fixed Effects groups, threaded to SE_Regression() and Residual_Degrees_Of_Freedom(). Defaults to 0</t>
  </si>
  <si>
    <t>9-element vertical array: [Point Estimate, SE (mean), SE (new obs), t Critical, CI Lower, CI Upper, PI Lower, PI Upper, Confidence Level]</t>
  </si>
  <si>
    <t>Predicts for a specific group (e.g. one Facility) using that group's own average as the baseline, adjusted for how the new inputs differ from that group's typical values — with both a mean-response interval and a wider individual-observation interval.</t>
  </si>
  <si>
    <t>Group_Prediction_Interval is the v2.1 group-mean-recovery prediction: ŷ = ȳᵢ + (x_new − x̄ᵢ)′β̂, the algebraic identity that recovers the group-specific intercept an LSDV fit would have materialized (α̂ᵢ = ȳᵢ − x̄ᵢ′β̂) without ever fitting G−1 group dummies. Surfaces BOTH intervals DECISIONS.md calls for: a mean-response CI (Var = σ²/Tᵢ + (x_new−x̄ᵢ)′V_β(x_new−x̄ᵢ)) and a new-observation PI (the same quadratic term plus σ²), same center, same t-critical, differing by exactly one variance term — reusing the existing leverage quadratic-form machinery (Gram_Inverse, Design_Matrix) fed the *deviation* (x_new−x̄ᵢ) instead of raw x_new.
Re-demeans X_s/Y internally via Demean_By(·, group, include) rather than accepting pre-demeaned X_s_Within()/y_s(): those return the RAW X_s()/Response_Column() unchanged when no Fixed Effects row is declared (preserving the v2.0 model's own intercept exactly), which is correct for the Coefficients/ANOVA/Diagnostics reporting chain but wrong for this function's quadratic-form term, which needs a properly (grand-mean-)centered matrix regardless of FE status. Passing Prediction_Group_Column() as group makes this re-demeaning reduce to the real Fixed_Effects_Column() when FE is active, or to plain grand-mean centering (the standard textbook regression-prediction-variance decomposition) when it is not — an intercept fit on top of either is always mathematically inert (the coefficient is exactly 0 by construction, confirmed independently), so beta only needs the slope rows, never the intercept row, regardless of Allow_Intercept.
Degenerate collapse (DECISIONS.md's 'build it once'): with group = Prediction_Group_Column()'s constant "(all)" fallback (G=1, whole sample is the group), ȳᵢ/x̄ᵢ/Tᵢ become the grand mean/grand mean/full count, and this function's point estimate and PI reduce EXACTLY to Prediction_Interval()'s own numbers — verified to floating-point precision, not merely close. Predicting at the selected group's own centroid (x_new = x̄ᵢ) kills the quadratic term and the mean-CI collapses to t·√(σ²/Tᵢ), the standard error of ȳᵢ — the DECISIONS.md sanity check.
Scope, per DECISIONS.md: one-way FE only, iid errors, existing groups only (selected_group must be an observed level — Group_Mean_At/Group_Count_At return #N/A/0 rather than fabricating statistics for an unobserved group). Categorical-predictor × FE input encoding (forming X_new/x̄ᵢ in constructed design-matrix space when a non-FE Categorical Predictor coexists with Fixed Effects) is explicitly DEFERRED — this function's X_new is continuous-predictor space only.</t>
  </si>
  <si>
    <t>=LAMBDA(X_s, Y, [Allow_Intercept], [Include], [DF_Absorbed],
  LET(
    allow_arg, IF(ISOMITTED(Allow_Intercept), TRUE, Allow_Intercept),
    filt_arg,  IF(ISOMITTED(Include), TRUE, Include),
    absorbed_arg, IF(ISOMITTED(DF_Absorbed), 0, DF_Absorbed),
    Residuals(X_s, Y, allow_arg, filt_arg)
      / SE_Regression(X_s, Y, allow_arg, filt_arg, absorbed_arg)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</si>
  <si>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SE_Regression(). Defaults to 0 — every no-FE caller is unaffected</t>
  </si>
  <si>
    <t>=LAMBDA(X_s, Y, [Allow_Intercept], [Include], [DF_Absorbed],
  LET(
    allow_arg, IF(ISOMITTED(Allow_Intercept), TRUE, Allow_Intercept),
    filt_arg,  IF(ISOMITTED(Include), TRUE, Include),
    absorbed_arg, IF(ISOMITTED(DF_Absorbed), 0, DF_Absorbed),
    e,         Residuals(X_s, Y, allow_arg, filt_arg),
    se,        SE_Regression(X_s, Y, allow_arg, filt_arg, absorbed_arg),
    h,         Hat_Diagonal(X_s, allow_arg, filt_arg),
    IFERROR(e / (se * SQRT(1 - h)), NA())
  ))</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</si>
  <si>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 The denominator is 0 when the fit is exact for a row — a perfect-fit model (s = 0) or a leverage-1 row (h_i = 1, e_i = 0 for that row) — and that row returns #N/A rather than #DIV/0!. Cooks_Distance and the Scale-Location column both consume this output, so the #N/A propagates to them automatically.
An optional trailing DF_Absorbed (v2.1 Fixed Effects) threads to SE_Regression() so s reflects the correct absorbed-group df.</t>
  </si>
  <si>
    <t>=LAMBDA(X_s, Y, [Allow_Intercept], [Include], [DF_Absorbed],
  LET(
    allow_arg, IF(ISOMITTED(Allow_Intercept), TRUE, Allow_Intercept),
    filt_arg,  IF(ISOMITTED(Include), TRUE, Include),
    absorbed_arg, IF(ISOMITTED(DF_Absorbed), 0, DF_Absorbed),
    SORT(Studentized_Residuals(X_s, Y, allow_arg, filt_arg, absorbed_arg))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</si>
  <si>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Studentized_Residuals(). Defaults to 0 — every no-FE caller is unaffected</t>
  </si>
  <si>
    <t>=LAMBDA(X_s, Y, [Allow_Intercept], [Include], [DF_Absorbed],
  LET(
    allow_arg, IF(ISOMITTED(Allow_Intercept), TRUE, Allow_Intercept),
    filt_arg,  IF(ISOMITTED(Include), TRUE, Include),
    absorbed_arg, IF(ISOMITTED(DF_Absorbed), 0, DF_Absorbed),
    r,         Studentized_Residuals(X_s, Y, allow_arg, filt_arg, absorbed_arg),
    h,         Hat_Diagonal(X_s, allow_arg, filt_arg),
    p,         COLUMNS(Design_Matrix(X_s, allow_arg, filt_arg)),
    r ^ 2 * h / ((1 - h) * p)
  ))</t>
  </si>
  <si>
    <t>=LAMBDA(X_s, Y, [Allow_Intercept], [Include], [DF_Absorbed],
  LET(
    allow_arg, IF(ISOMITTED(Allow_Intercept), TRUE, Allow_Intercept),
    filt_arg,  IF(ISOMITTED(Include), TRUE, Include),
    absorbed_arg, IF(ISOMITTED(DF_Absorbed), 0, DF_Absorbed),
    SORT(Scaled_Residuals(X_s, Y, allow_arg, filt_arg, absorbed_arg))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</si>
  <si>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Scaled_Residuals(). Defaults to 0 — every no-FE caller is unaffected</t>
  </si>
  <si>
    <t>=LAMBDA(X_s, Y, [Allow_Intercept], [Include], [DF_Absorbed],
  LET(
    allow_arg, IF(ISOMITTED(Allow_Intercept), TRUE, Allow_Intercept),
    filt_arg,  IF(ISOMITTED(Include),          TRUE, Include),
    absorbed_arg, IF(ISOMITTED(DF_Absorbed),   0,    DF_Absorbed),
    SS_Regression(X_s, Y, allow_arg, filt_arg) / Regression_Degrees_Of_Freedom(X_s) /
    (SS_Residual(X_s, Y, allow_arg, filt_arg) / Residual_Degrees_Of_Freedom(X_s, Y, allow_arg, filt_arg, absorbed_arg))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</si>
  <si>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the denominator's Residual_Degrees_Of_Freedom() (numerator df is unaffected — absorbed groups aren't estimated slope coefficients). Defaults to 0 — every no-FE caller is unaffected</t>
  </si>
  <si>
    <t>F_Statistic returns the F-statistic for the omnibus test of the null hypothesis that all regression coefficients are simultaneously zero. It equals (MS_Regression / MS_Residual) = (SS_Regression / df_regression) / (SS_Residual / df_residual).
A large F-statistic (and correspondingly small F_Statistic_P_Value) means the model explains significantly more variance than would be expected by chance. Note that a significant F does not guarantee that every individual predictor is significant — individual t-statistics (T_Statistics) address that question. F_Statistic appears in the ANOVA table on the Regression sheet; this function exposes it as a named reference for use in other formulas.
An optional trailing DF_Absorbed (v2.1 Fixed Effects) threads only to the residual (denominator) df — the regression (numerator) df is the count of estimated slope coefficients, which absorbed FE groups are not.</t>
  </si>
  <si>
    <t>=LAMBDA(X_s, Y, [Allow_Intercept], [Include], [DF_Absorbed],
  LET(
    allow_arg, IF(ISOMITTED(Allow_Intercept), TRUE, Allow_Intercept),
    filt_arg,  IF(ISOMITTED(Include),          TRUE, Include),
    absorbed_arg, IF(ISOMITTED(DF_Absorbed),   0,    DF_Absorbed),
    F.DIST.RT(
      F_Statistic(X_s, Y, allow_arg, filt_arg, absorbed_arg),
      Regression_Degrees_Of_Freedom(X_s),
      Residual_Degrees_Of_Freedom(X_s, Y, allow_arg, filt_arg, absorbed_arg)
    )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</si>
  <si>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both F_Statistic() and the denominator df of F.DIST.RT. Defaults to 0 — every no-FE caller is unaffected</t>
  </si>
  <si>
    <t>F_Statistic_P_Value returns the p-value for the overall model F-test: the probability of observing an F-statistic at least as large as F_Statistic under the null hypothesis that all coefficients are zero. Computed as F.DIST.RT(F_Statistic, df_regression, df_residual).
Conventionally, F_Statistic_P_Value &lt; 0.05 indicates that the model as a whole fits the data significantly better than a null model. This p-value appears in the Significance F column of the Regression sheet ANOVA table; this function exposes it for programmatic use. An optional trailing DF_Absorbed (v2.1 Fixed Effects) threads to both the F-statistic and its denominator df.</t>
  </si>
  <si>
    <t>Group_Mean</t>
  </si>
  <si>
    <t>x: single-column data range to average
group: single-column group identifiers — the mean is taken within each row's group
[include]: boolean mask — TRUE keeps the row when computing each group's mean; when omitted, numeric x rows are used</t>
  </si>
  <si>
    <t>n × 1 column, row-aligned to x: the mean of x within each row's group, over the included rows of that group; #N/A when the row's group is blank or has no included members.</t>
  </si>
  <si>
    <t>The average of a column within each row's own group (e.g. each Facility's average cost) — one source of truth for Demean_By.</t>
  </si>
  <si>
    <t>Group_Mean returns, for every row, the mean of x among the included rows sharing that row's group. Groups are resolved once via UNIQUE over the included sample, and each row looks up its group's mean via XLOOKUP — this avoids an O(n²) pairwise comparison when there are many rows and few groups (a Country/Year panel, or a Facility-by-lot dataset).
A row's own inclusion does not gate whether it receives a value: the function reports what that row's group mean IS over the included sample, even for a row currently excluded from the model (e.g. failing a Filter) — full height, matching the same row-mask contract as X_s() and Sample_Include(). Only two conditions return #N/A: a blank group value, or a group with zero included members (every member of that group is itself excluded, or the group value never appears among included rows).
Group_Mean is a standalone user-callable transform and also the primitive behind Demean_By — one source of truth, so the two functions can never disagree about a group's mean.</t>
  </si>
  <si>
    <t>Demean_By</t>
  </si>
  <si>
    <t>=LAMBDA(x, group, [include],
    LET(
        x_v, TOCOL(IF(x = "", "", x), 0),
        gm,  Group_Mean(x, group, include),
        IF(ISNUMBER(x_v) * ISNUMBER(gm), x_v - gm, NA())
    )
)</t>
  </si>
  <si>
    <t>x: single-column numeric data range to demean
group: single-column group identifiers — the one-way Fixed Effects panel unit
[include]: boolean mask — TRUE keeps the row when computing each group's mean; when omitted, numeric x rows are used</t>
  </si>
  <si>
    <t>n × 1 column, row-aligned to x: x_ig − Group_Mean(x, group, include); #N/A when x is non-numeric or the row's group mean is undefined.</t>
  </si>
  <si>
    <t>A column with each group's average subtracted out — the within-group deviation that Fixed Effects fits on instead of the raw values.</t>
  </si>
  <si>
    <t>Demean_By is the one-way within transformation: x_ig − x̄_g, where x̄_g is Group_Mean(x, group, include). It is the v2.1 Fixed Effects constructor internal — the entire design matrix and the Response are demeaned by the Fixed Effects group before fitting, which is algebraically equivalent to (and numerically more stable than) fitting a full dummy variable per group (LSDV) — the group intercepts are absorbed rather than estimated.
Delegates group-mean lookup to Group_Mean — the same one-source-of-truth pattern Dummy_Code uses for Dummy_Levels — so a caller can never see Demean_By and Group_Mean disagree about a group's mean. #N/A propagates from either a non-numeric x or an undefined group mean (blank group, or a group with no included members), the same NA()-based error contract used throughout the catalog: a genuine Excel error every downstream IFERROR/ISNA guard can catch, never a silently-wrong zero.
With a single group spanning the whole included sample (G = 1 — no Fixed Effects row declared, or a degenerate one-level FE variable), Demean_By collapses to ordinary grand-mean centering — the same degenerate-collapse property the v2.1 prediction and df-plumbing design relies on to build the FE machinery once and have it specialize correctly to the no-FE case.</t>
  </si>
  <si>
    <t>Is_Balanced_Panel</t>
  </si>
  <si>
    <t>=LAMBDA(group, time, [include],
    LET(
        g_v,     TOCOL(IF(group = "", "", group), 0),
        t_v,     TOCOL(IF(time = "", "", time), 0),
        inc,     IF(ISOMITTED(include), (g_v &lt;&gt; "") * (t_v &lt;&gt; ""), include * 1),
        active,  inc * (g_v &lt;&gt; "") * (t_v &lt;&gt; ""),
        n,       SUM(active),
        IF(n = 0,
           NA(),
           LET(
               sep,     CHAR(31),
               groups,  UNIQUE(FILTER(g_v, active)),
               times,   UNIQUE(FILTER(t_v, active)),
               keys,    FILTER(g_v &amp; sep &amp; t_v, active),
               AND(n = ROWS(groups) * ROWS(times), n = ROWS(UNIQUE(keys)))
           )
        )
    )
)</t>
  </si>
  <si>
    <t>group: single-column group identifiers (the panel unit)
time: single-column time index
[include]: boolean mask — TRUE keeps the row; when omitted, rows with a non-blank group and time are used</t>
  </si>
  <si>
    <t>TRUE when every included group has exactly one observation for every included time period (a complete, non-duplicated panel grid); FALSE otherwise; #N/A when no rows are included.</t>
  </si>
  <si>
    <t>TRUE when every group has exactly one observation at every time period — a complete panel grid with no gaps or duplicates.</t>
  </si>
  <si>
    <t>Is_Balanced_Panel checks whether the included sample forms a complete rectangular (group × time) grid: every included group observed at every included time period, exactly once. Two conditions, both required: the included row count equals |groups| × |times| (no missing cells), and every (group, time) pair is distinct (no duplicate cells) — together they rule out both gaps and doubled-up observations, either of which a simple row-count check alone would miss.
This is a diagnostic, not a constructor internal: it does not feed Demean_By (the one-way within transformation is exact and requires no balance), but it flags when a stronger method (e.g. a two-way within transformation via direct demeaning, Demean_Two_Way_Balanced, valid only for a balanced panel) may be safely used instead of the general-but-iterative Absorb_Two_Way_Fixed_Effects — a v2.7+ concern, ships now as a standalone diagnostic ahead of that milestone.</t>
  </si>
  <si>
    <t>Group_Mean_At</t>
  </si>
  <si>
    <t>=LAMBDA(x, group, selected_group, [include],
    XLOOKUP(selected_group, group, Group_Mean(x, group, include), NA(), 0)
)</t>
  </si>
  <si>
    <t>x: single-column data range to average
group: single-column group identifiers
selected_group: the one group value to return the mean for (a scalar, e.g. a dropdown-selected panel unit)
[include]: boolean mask — TRUE keeps the row when computing the group's mean; when omitted, numeric x rows are used</t>
  </si>
  <si>
    <t>The mean of x among included rows where group = selected_group, as a scalar; #N/A when selected_group does not appear in group.</t>
  </si>
  <si>
    <t>The average of a column for one specific group only — e.g. Facility='Site B''s average cost, for a group-mean prediction.</t>
  </si>
  <si>
    <t>Group_Mean_At is the scalar counterpart to Group_Mean: the mean for ONE specific group, not a per-row broadcast. Delegates entirely to Group_Mean — one source of truth for the group-averaging arithmetic — and looks up the requested group's value via XLOOKUP, exact match. This is the ȳᵢ / x̄ᵢ primitive the v2.1 Fixed Effects group-mean prediction recovery uses: the group-mean-recovery point estimate ŷ = ȳᵢ + (x_new − x̄ᵢ)′β̂ needs the SELECTED group's own mean, not every row's.
#N/A when selected_group is not among the included group values — never a silent 0, which would misrepresent an unobserved or fully-excluded group as having a real (zero) mean.</t>
  </si>
  <si>
    <t>Group_Count_At</t>
  </si>
  <si>
    <t>=LAMBDA(group, selected_group, [include],
    LET(
        g_v, TOCOL(IF(group = "", "", group), 0),
        inc, IF(ISOMITTED(include), (g_v &lt;&gt; ""), include * 1),
        SUMPRODUCT(inc, --(g_v = selected_group))
    )
)</t>
  </si>
  <si>
    <t>group: single-column group identifiers
selected_group: the one group value to count included rows for
[include]: boolean mask — TRUE keeps the row; when omitted, rows with a non-blank group are used</t>
  </si>
  <si>
    <t>The count of included rows where group = selected_group, as a scalar integer; 0 when selected_group has no included members.</t>
  </si>
  <si>
    <t>How many included rows belong to one specific group — the sample size behind a group-mean prediction's uncertainty.</t>
  </si>
  <si>
    <t>Group_Count_At is Tᵢ — the number of included observations in one specific group — the third group-keyed summary (alongside Group_Mean_At for ȳᵢ and x̄ᵢ) the v2.1 Fixed Effects group-mean prediction recovery needs: the mean-response and new-observation prediction variances both scale by 1/Tᵢ.
Unlike Group_Mean_At, a group with zero included members returns 0 (a genuine, meaningful count), not #N/A — counting is always well-defined even when the resulting mean would not be.</t>
  </si>
  <si>
    <t>Absorbed_Degrees_Of_Freedom</t>
  </si>
  <si>
    <t>=LAMBDA(LET(
    n_c,       COLUMNS(Source_Data),
    fe_active, SUMPRODUCT(N(TAKE(Spec_Role, n_c) = "Fixed Effects")) &gt; 0,
    IF(NOT(fe_active),
       0,
       LET(
           lv, Dummy_Levels(Fixed_Effects_Column(), "", Sample_Include()),
           IF(ISNA(INDEX(lv, 1, 1)), 0, COLUMNS(lv))
       )
    )
))</t>
  </si>
  <si>
    <t>The degrees of freedom absorbed by the Fixed Effects group: G − 1 where G is the FE column's level count over the included sample; 0 when no Fixed Effects row is declared or the FE variable is degenerate (G ≤ 1).</t>
  </si>
  <si>
    <t>How many degrees of freedom the Fixed Effects variable soaks up (G−1 groups) — 0 when there's no Fixed Effects row.</t>
  </si>
  <si>
    <t>Absorbed_Degrees_Of_Freedom is the one-way FE df correction for the Model Construction sheet: G − 1, where G is the count of distinct Fixed Effects levels among the included rows. Every model with no declared Fixed Effects row (the entire v2.0 shipped surface) returns 0 — the same non-breaking default the [DF_Absorbed] argument threads through the inference chain, so a no-FE model's df, MS-Residual, t, p, CI, and AIC/BIC are bit-identical to before this function existed.
Reuses Dummy_Levels for the level count rather than a fresh UNIQUE/COUNT — the exact same mask-scoped, reference-dropped level set the design matrix would use if the FE column were instead one-hot encoded (which is the algebraic content of 'absorbing' a fixed effect: G−1 degrees of freedom are spent whether they are spent explicitly, as G−1 dummy coefficients, or implicitly, by demeaning). COLUMNS(Dummy_Levels(...)) is exactly G−1 by construction, so this function can never disagree with what an equivalent LSDV fit would report. A degenerate FE variable (every included row shares one level) makes Dummy_Levels return #N/A; this function absorbs that into 0 rather than propagating the error, because a single-level 'group' fixes no group-specific intercept and absorbs no degrees of freedom.
One-way only: a spec with two or more Fixed Effects rows is a visible status-block error (validated elsewhere), so this function reads only the first Fixed Effects row via Fixed_Effects_Column() — two-way absorption (Σ over both dimensions, minus the overlap correction) is deferred to the two-way FE milestone (v2.7+).</t>
  </si>
  <si>
    <t>Prediction_Group_Column</t>
  </si>
  <si>
    <t>=LAMBDA(LET(
    n_c,       COLUMNS(Source_Data),
    fe_active, SUMPRODUCT(N(TAKE(Spec_Role, n_c) = "Fixed Effects")) &gt; 0,
    IF(fe_active,
       Fixed_Effects_Column(),
       EXPAND("(all)", ROWS(Source_Data), 1, "(all)")
    )
))</t>
  </si>
  <si>
    <t>The Fixed Effects group column when one is declared; a constant "(all)" column (every row, one universal group) when none is — full height either way.</t>
  </si>
  <si>
    <t>Which column groups observations for prediction purposes — the Fixed Effects variable when one is declared, or 'everyone is one group' when none is.</t>
  </si>
  <si>
    <t>Prediction_Group_Column is the grouping key behind the v2.1 group-mean-recovery prediction (Group_Prediction_Interval): with a Fixed Effects row declared, it is Fixed_Effects_Column(); with none, it is a constant "(all)" column treating the entire sample as one group.
The constant fallback is what makes the group-mean recovery formula ŷ = ȳᵢ + (x_new − x̄ᵢ)′β̂ collapse exactly to the ordinary no-FE prediction: with one universal group, ȳᵢ is the grand mean of y, x̄ᵢ is the grand mean of each predictor, and Tᵢ is the full included count — precisely the quantities an intercept-based OLS prediction already reduces to. Uses the same "(all)" single-group idiom as Sequence_Deltas' no-Identifier fallback (EXPAND("(all)", n, 1, "(all)")) — one degenerate-group sentinel across the catalog.
Deliberately NOT the same object as y_s()/X_s_Within()'s own fe_active branch: those return the RAW (uncentered) Response_Column()/X_s() when inactive, preserving the v2.0 model's own separately-fit intercept exactly. Group_Prediction_Interval needs a properly group-demeaned (here, grand-mean-centered) matrix for its variance term regardless of FE status, so it always re-demeans by this column rather than reusing X_s_Within() directly.</t>
  </si>
  <si>
    <t>y_s</t>
  </si>
  <si>
    <t>=LAMBDA(LET(
    n_c,       COLUMNS(Source_Data),
    fe_active, SUMPRODUCT(N(TAKE(Spec_Role, n_c) = "Fixed Effects")) &gt; 0,
    IF(NOT(fe_active),
       Response_Column(),
       Demean_By(Response_Column(), Fixed_Effects_Column(), Sample_Include())
    )
))</t>
  </si>
  <si>
    <t>The fit-time Response: Response_Column() unchanged when no Fixed Effects row is declared, or its one-way within-transformed (group-demeaned) form when one is; full height.</t>
  </si>
  <si>
    <t>The response the model actually fits: unchanged with no Fixed Effects, or with each group's average subtracted out when a Fixed Effects variable is declared.</t>
  </si>
  <si>
    <t>y_s is the fit-time Response for the Regression sheet — the v2.1 Fixed Effects counterpart to X_s on the predictor side. With no declared Fixed Effects row it is Response_Column() unchanged (the entire v2.0 shipped surface passes through untouched); with one declared, it is Demean_By(Response_Column(), Fixed_Effects_Column(), Sample_Include()) — the one-way within transformation that lets ordinary OLS on the demeaned data reproduce the LSDV (dummy-per-group) fit without materializing G−1 group dummy columns.
Shipped as a NEW function, deliberately not a replacement of Response_Column() at its existing call sites: Response_Column() keeps its raw-response consumers that are unrelated to this fit (Intercept_Only_Point/S/SE/N, the zero-predictor closed-form branch). The Residual Output table's Y column is repointed to y_s() too, not left raw — under FE the whole row-level table (Y, Predicted Y, Residuals, Hat Diagonal, …) must read as one internally consistent block in the same fit space, or Residuals would visibly fail to match Y − Predicted Y. Only the fit/inference/prediction/residual chain (Coefficients, Predictions, Residuals, and everything built from them) is repointed to y_s() — a caller-side choice, not a change to what Response_Column() means.
The no-FE branch is checked first and returns the exact same object Response_Column() would — not merely a numerically-equal recomputation — so every existing no-FE model is unaffected by construction, the same non-breaking-default property Absorbed_Degrees_Of_Freedom relies on for the df side.</t>
  </si>
  <si>
    <t>X_s_Within</t>
  </si>
  <si>
    <t>The fit-time design matrix: X_s() unchanged when no Fixed Effects row is declared, or each of its columns one-way within-transformed (group-demeaned) when one is; full height, same width as X_s().</t>
  </si>
  <si>
    <t>The design matrix the model actually fits: unchanged with no Fixed Effects, or with each predictor column's group average subtracted out when a Fixed Effects variable is declared.</t>
  </si>
  <si>
    <t>Enter a value for each design-matrix column in the orange cells under PREDICTION INPUTS (column AH) — one row per constructed column, including one per dummy (use 1 for the scenario's level, 0 for its siblings; no Intercept row — the model's own baseline is handled automatically). The Training Mean column beside the inputs shows each column's mean over the analysis sample, which is also the prefilled default — so the untouched prediction is at the data's center. Results appear in the PREDICTION OUTPUTS box above as both a mean-response confidence interval (CI) and a wider new-observation prediction interval (PI); the confidence level is controlled by the Alpha cell (Y12) in REGRESSION OUTPUTS. If a Fixed Effects variable is declared, the FE Group cell above the inputs selects which group's own average the prediction is anchored to.</t>
  </si>
  <si>
    <t>FE Variable</t>
  </si>
  <si>
    <t>FE Groups</t>
  </si>
  <si>
    <t>FE df absorbed</t>
  </si>
  <si>
    <t>SE (Mean)</t>
  </si>
  <si>
    <t>SE (New Obs)</t>
  </si>
  <si>
    <t>CI Lower</t>
  </si>
  <si>
    <t>CI Upper</t>
  </si>
  <si>
    <t>PI Lower</t>
  </si>
  <si>
    <t>PI Upper</t>
  </si>
  <si>
    <t>FE Group</t>
  </si>
  <si>
    <t>Group Mean (y)</t>
  </si>
  <si>
    <t>Group Count</t>
  </si>
  <si>
    <t>=LAMBDA(X_s, Y, X_new, group, selected_group, [Allow_Intercept], [Include], [alpha], [DF_Absorbed],
  LET(
    allow_arg,    IF(ISOMITTED(Allow_Intercept), TRUE, Allow_Intercept),
    filt_arg,     IF(ISOMITTED(Include),          TRUE, Include),
    alpha_arg,    IF(ISOMITTED(alpha),            0.05, alpha),
    absorbed_arg, IF(ISOMITTED(DF_Absorbed),      0,    DF_Absorbed),
    x_within,     LET(
                      n_x,   COLUMNS(X_s),
                      seed,  SEQUENCE(ROWS(X_s), 1, 0, 0),
                      built, REDUCE(seed, SEQUENCE(n_x), LAMBDA(acc, j,
                          HSTACK(acc, Demean_By(INDEX(X_s, 0, j), group, filt_arg))
                      )),
                      DROP(built, , 1)
                  ),
    y_within,     Demean_By(Y, group, filt_arg),
    beta_full,    Coefficients(x_within, y_within, allow_arg, filt_arg),
    beta,         IF(allow_arg, DROP(beta_full, 1), beta_full),
    s,            SE_Regression(x_within, y_within, allow_arg, filt_arg, absorbed_arg),
    df,           Residual_Degrees_Of_Freedom(x_within, y_within, allow_arg, filt_arg, absorbed_arg),
    t_crit,       T.INV.2T(alpha_arg, df),
    X_design,     Design_Matrix(x_within, FALSE, filt_arg),
    XtX_inv,      Gram_Inverse(X_design),
    xbar_i,       TRANSPOSE(BYCOL(X_s, LAMBDA(col, Group_Mean_At(col, group, selected_group, filt_arg)))),
    ybar_i,       Group_Mean_At(Y, group, selected_group, filt_arg),
    T_i,          Group_Count_At(group, selected_group, filt_arg),
    deviation,    X_new - xbar_i,
    quad,         MMULT(MMULT(TRANSPOSE(deviation), XtX_inv), deviation),
    point_est,    ybar_i + SUMPRODUCT(deviation, beta),
    se_mean,      s * SQRT(1 / T_i + quad),
    se_new,       s * SQRT(1 + 1 / T_i + quad),
    margin_mean,  t_crit * se_mean,
    margin_new,   t_crit * se_new,
    VSTACK(
      point_est,
      se_mean,
      se_new,
      t_crit,
      point_est - margin_mean,
      point_est + margin_mean,
      point_est - margin_new,
      point_est + margin_new,
      1 - alpha_arg
    )
  ))</t>
  </si>
  <si>
    <t>=LAMBDA(x, group, [include],
    LET(
        x_v,      TOCOL(IF(x = "", "", x), 0),
        g_v,      TOCOL(IF(group = "", "", group), 0),
        inc,      IF(ISOMITTED(include), ISNUMBER(x_v), include * 1),
        active,   inc * (g_v &lt;&gt; ""),
        IFERROR(
            LET(
                groups, UNIQUE(FILTER(g_v, active)),
                means, BYROW(groups, LAMBDA(gk,
                    LET(mask, active * (g_v = gk),
                        SUMPRODUCT(mask, IF(ISNUMBER(x_v), x_v, 0)) / SUM(mask))
                )),
                XLOOKUP(g_v, groups, means, NA(), 0)
            ),
            NA()
        )
    )
)</t>
  </si>
  <si>
    <t>=LAMBDA(LET(
    n_c,       COLUMNS(Source_Data),
    fe_active, SUMPRODUCT(N(TAKE(Spec_Role, n_c) = "Fixed Effects")) &gt; 0,
    IF(NOT(fe_active),
       X_s(),
       LET(
           fe,    Fixed_Effects_Column(),
           inc,   Sample_Include(),
           xs,    X_s(),
           n_x,   COLUMNS(xs),
           seed,  SEQUENCE(ROWS(xs), 1, 0, 0),
           built, REDUCE(seed, SEQUENCE(n_x), LAMBDA(acc, j,
               HSTACK(acc, Demean_By(INDEX(xs, 0, j), fe, inc))
           )),
           DROP(built, , 1)
       )
    )
))</t>
  </si>
  <si>
    <t>X_s_Within is the fit-time design matrix for the Regression sheet — the predictor-side counterpart to y_s. With no declared Fixed Effects row it is X_s() unchanged; with one declared, a REDUCE+HSTACK builds a new matrix column-by-column, demeaning each constructed column of X_s() by the Fixed Effects group via Demean_By, reproducing the LSDV fit's coefficients on the non-FE predictors without ever materializing the G−1 group dummy columns an explicit one-hot encoding would require. (Not BYCOL: Demean_By returns a whole column, and BYCOL's callback contract requires a single scalar per call — the same REDUCE+HSTACK pattern X_s() itself uses for column-by-column assembly.)
Shipped as a NEW function alongside y_s, for the identical reason: X_s() has raw-predictor consumers that must not see demeaned values — the Predictor Summary zone (Pearson_R, Spearman_R, Skewness, Kurtosis, GVIF, Generalized_Tolerance) characterizes each predictor's own distribution, and Constructed_Column_Names() labels columns positionally against X_s(), not X_s_Within(). Only the fit/inference/prediction/residual chain (Coefficients, Predictions, Residuals, Hat_Diagonal, Cooks_Distance, and everything built from them) is repointed to X_s_Within() — repointing which columns those formulas READ, not a change to what X_s() itself returns.
The no-FE branch returns X_s() itself, unchanged, so every existing no-FE model is unaffected by construction — including its error behavior: a zero-predictor spec that makes X_s() itself error propagates through X_s_Within() identically, never masked.</t>
  </si>
  <si>
    <t>Lot_ID</t>
  </si>
  <si>
    <t>Facility</t>
  </si>
  <si>
    <t>Fiscal_Year</t>
  </si>
  <si>
    <t>Lot_Quantity</t>
  </si>
  <si>
    <t>Cumulative_Units</t>
  </si>
  <si>
    <t>Experience_Stock</t>
  </si>
  <si>
    <t>Unit_Cost_BY</t>
  </si>
  <si>
    <t>log Cum Units</t>
  </si>
  <si>
    <t>log experience</t>
  </si>
  <si>
    <t>log Unit Cost</t>
  </si>
  <si>
    <t>LOT-001</t>
  </si>
  <si>
    <t>Site A</t>
  </si>
  <si>
    <t>LOT-002</t>
  </si>
  <si>
    <t>LOT-003</t>
  </si>
  <si>
    <t>LOT-004</t>
  </si>
  <si>
    <t>LOT-005</t>
  </si>
  <si>
    <t>LOT-006</t>
  </si>
  <si>
    <t>LOT-007</t>
  </si>
  <si>
    <t>LOT-008</t>
  </si>
  <si>
    <t>LOT-009</t>
  </si>
  <si>
    <t>LOT-010</t>
  </si>
  <si>
    <t>LOT-011</t>
  </si>
  <si>
    <t>LOT-012</t>
  </si>
  <si>
    <t>LOT-013</t>
  </si>
  <si>
    <t>LOT-014</t>
  </si>
  <si>
    <t>LOT-015</t>
  </si>
  <si>
    <t>LOT-016</t>
  </si>
  <si>
    <t>LOT-017</t>
  </si>
  <si>
    <t>LOT-018</t>
  </si>
  <si>
    <t>LOT-019</t>
  </si>
  <si>
    <t>Site B</t>
  </si>
  <si>
    <t>LOT-020</t>
  </si>
  <si>
    <t>LOT-021</t>
  </si>
  <si>
    <t>LOT-022</t>
  </si>
  <si>
    <t>LOT-023</t>
  </si>
  <si>
    <t>LOT-024</t>
  </si>
  <si>
    <t>LOT-025</t>
  </si>
  <si>
    <t>LOT-026</t>
  </si>
  <si>
    <t>LOT-027</t>
  </si>
  <si>
    <t>LOT-028</t>
  </si>
  <si>
    <t>LOT-029</t>
  </si>
  <si>
    <t>LOT-030</t>
  </si>
  <si>
    <t>LOT-031</t>
  </si>
  <si>
    <t>LOT-032</t>
  </si>
  <si>
    <t>LOT-033</t>
  </si>
  <si>
    <t>LOT-034</t>
  </si>
  <si>
    <t>LOT-035</t>
  </si>
  <si>
    <t>LOT-036</t>
  </si>
  <si>
    <t>LOT-037</t>
  </si>
  <si>
    <t>LOT-038</t>
  </si>
  <si>
    <t>LOT-039</t>
  </si>
  <si>
    <t>Site C</t>
  </si>
  <si>
    <t>LOT-040</t>
  </si>
  <si>
    <t>LOT-041</t>
  </si>
  <si>
    <t>LOT-042</t>
  </si>
  <si>
    <t>LOT-043</t>
  </si>
  <si>
    <t>LOT-044</t>
  </si>
  <si>
    <t>LOT-045</t>
  </si>
  <si>
    <t>LOT-046</t>
  </si>
  <si>
    <t>LOT-047</t>
  </si>
  <si>
    <t>LOT-048</t>
  </si>
  <si>
    <t>LOT-049</t>
  </si>
  <si>
    <t>LOT-050</t>
  </si>
  <si>
    <t>LOT-051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</si>
</sst>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0"/>
    <numFmt numFmtId="165" formatCode="0.0"/>
    <numFmt numFmtId="166" formatCode="0.0E+00"/>
    <numFmt numFmtId="167" formatCode="0.000"/>
  </numFmts>
  <fonts count="3" x14ac:knownFonts="1">
    <font>
      <sz val="11"/>
      <color theme="1"/>
      <name val="Aptos Narrow"/>
      <family val="2"/>
      <scheme val="minor"/>
    </font>
    <font>
      <b/>
      <sz val="11"/>
      <color theme="1"/>
      <name val="Aptos Narrow"/>
      <family val="2"/>
      <scheme val="minor"/>
    </font>
    <font>
      <b/>
      <sz val="9"/>
      <color indexed="81"/>
      <name val="Tahoma"/>
      <family val="2"/>
    </font>
  </fonts>
  <fills count="5">
    <fill>
      <patternFill patternType="none"/>
    </fill>
    <fill>
      <patternFill patternType="gray125"/>
    </fill>
    <fill>
      <patternFill patternType="solid">
        <fgColor rgb="FFCAEDFB"/>
        <bgColor indexed="64"/>
      </patternFill>
    </fill>
    <fill>
      <patternFill patternType="solid">
        <fgColor rgb="FFDCE6F1"/>
        <bgColor indexed="64"/>
      </patternFill>
    </fill>
    <fill>
      <patternFill patternType="solid">
        <fgColor rgb="FFFBE2D5"/>
        <bgColor indexed="64"/>
      </patternFill>
    </fill>
  </fills>
  <borders count="11">
    <border>
      <left/>
      <right/>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auto="1"/>
      </top>
      <bottom/>
      <diagonal/>
    </border>
    <border>
      <left/>
      <right style="thin">
        <color indexed="64"/>
      </right>
      <top style="thin">
        <color auto="1"/>
      </top>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s>
  <cellStyleXfs count="1">
    <xf numFmtId="0" fontId="0" fillId="0" borderId="0"/>
  </cellStyleXfs>
  <cellXfs count="43">
    <xf numFmtId="0" fontId="0" fillId="0" borderId="0" xfId="0"/>
    <xf numFmtId="49" fontId="0" fillId="0" borderId="0" xfId="0" applyNumberFormat="1" applyAlignment="1">
      <alignment wrapText="1"/>
    </xf>
    <xf numFmtId="0" fontId="0" fillId="0" borderId="0" xfId="0" applyAlignment="1">
      <alignment wrapText="1"/>
    </xf>
    <xf numFmtId="0" fontId="1" fillId="0" borderId="0" xfId="0" applyFont="1"/>
    <xf numFmtId="0" fontId="1" fillId="2" borderId="0" xfId="0" applyFont="1" applyFill="1"/>
    <xf numFmtId="0" fontId="0" fillId="3" borderId="0" xfId="0" applyFill="1"/>
    <xf numFmtId="0" fontId="1" fillId="3" borderId="0" xfId="0" applyFont="1" applyFill="1"/>
    <xf numFmtId="164" fontId="0" fillId="0" borderId="0" xfId="0" applyNumberFormat="1"/>
    <xf numFmtId="0" fontId="0" fillId="0" borderId="1" xfId="0" applyBorder="1"/>
    <xf numFmtId="0" fontId="0" fillId="0" borderId="2" xfId="0" applyBorder="1"/>
    <xf numFmtId="1" fontId="0" fillId="0" borderId="3" xfId="0" applyNumberFormat="1" applyBorder="1"/>
    <xf numFmtId="164" fontId="0" fillId="0" borderId="4" xfId="0" applyNumberFormat="1" applyBorder="1"/>
    <xf numFmtId="1" fontId="0" fillId="0" borderId="5" xfId="0" applyNumberFormat="1" applyBorder="1"/>
    <xf numFmtId="0" fontId="0" fillId="2" borderId="0" xfId="0" applyFill="1"/>
    <xf numFmtId="2" fontId="0" fillId="0" borderId="0" xfId="0" applyNumberFormat="1"/>
    <xf numFmtId="0" fontId="0" fillId="0" borderId="3" xfId="0" applyBorder="1"/>
    <xf numFmtId="0" fontId="0" fillId="4" borderId="0" xfId="0" applyFill="1"/>
    <xf numFmtId="164" fontId="0" fillId="4" borderId="0" xfId="0" applyNumberFormat="1" applyFill="1"/>
    <xf numFmtId="14" fontId="0" fillId="0" borderId="0" xfId="0" applyNumberFormat="1"/>
    <xf numFmtId="166" fontId="0" fillId="0" borderId="0" xfId="0" applyNumberFormat="1"/>
    <xf numFmtId="0" fontId="1" fillId="0" borderId="1" xfId="0" applyFont="1" applyBorder="1"/>
    <xf numFmtId="165" fontId="0" fillId="0" borderId="3" xfId="0" applyNumberFormat="1" applyBorder="1"/>
    <xf numFmtId="0" fontId="1" fillId="0" borderId="4" xfId="0" applyFont="1" applyBorder="1"/>
    <xf numFmtId="166" fontId="0" fillId="0" borderId="4" xfId="0" applyNumberFormat="1" applyBorder="1"/>
    <xf numFmtId="0" fontId="0" fillId="0" borderId="4" xfId="0" applyBorder="1"/>
    <xf numFmtId="0" fontId="0" fillId="0" borderId="5" xfId="0" applyBorder="1"/>
    <xf numFmtId="0" fontId="1" fillId="0" borderId="0" xfId="0" applyFont="1" applyAlignment="1">
      <alignment wrapText="1"/>
    </xf>
    <xf numFmtId="0" fontId="1" fillId="0" borderId="1" xfId="0" applyFont="1" applyBorder="1" applyAlignment="1">
      <alignment wrapText="1"/>
    </xf>
    <xf numFmtId="0" fontId="0" fillId="0" borderId="4" xfId="0" applyBorder="1" applyAlignment="1">
      <alignment wrapText="1"/>
    </xf>
    <xf numFmtId="164" fontId="1" fillId="0" borderId="0" xfId="0" applyNumberFormat="1" applyFont="1" applyAlignment="1">
      <alignment wrapText="1"/>
    </xf>
    <xf numFmtId="0" fontId="1" fillId="2" borderId="0" xfId="0" applyFont="1" applyFill="1" applyAlignment="1">
      <alignment wrapText="1"/>
    </xf>
    <xf numFmtId="164" fontId="1" fillId="0" borderId="0" xfId="0" applyNumberFormat="1" applyFont="1"/>
    <xf numFmtId="164" fontId="0" fillId="0" borderId="0" xfId="0" applyNumberFormat="1" applyAlignment="1">
      <alignment wrapText="1"/>
    </xf>
    <xf numFmtId="167" fontId="0" fillId="0" borderId="4" xfId="0" applyNumberFormat="1" applyBorder="1"/>
    <xf numFmtId="0" fontId="0" fillId="0" borderId="0" xfId="0" quotePrefix="1"/>
    <xf numFmtId="0" fontId="0" fillId="4" borderId="4" xfId="0" applyFill="1" applyBorder="1"/>
    <xf numFmtId="0" fontId="1" fillId="2" borderId="6" xfId="0" applyFont="1" applyFill="1" applyBorder="1"/>
    <xf numFmtId="0" fontId="0" fillId="0" borderId="7" xfId="0" applyBorder="1"/>
    <xf numFmtId="1" fontId="0" fillId="0" borderId="0" xfId="0" applyNumberFormat="1"/>
    <xf numFmtId="165" fontId="0" fillId="0" borderId="0" xfId="0" applyNumberFormat="1"/>
    <xf numFmtId="0" fontId="1" fillId="2" borderId="8" xfId="0" applyFont="1" applyFill="1" applyBorder="1"/>
    <xf numFmtId="0" fontId="0" fillId="0" borderId="9" xfId="0" applyBorder="1"/>
    <xf numFmtId="0" fontId="0" fillId="0" borderId="10" xfId="0" applyBorder="1"/>
  </cellXfs>
  <cellStyles count="1">
    <cellStyle name="Normal" xfId="0" builtinId="0"/>
  </cellStyles>
  <dxfs count="47">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FFFFFF"/>
      </font>
    </dxf>
    <dxf>
      <font>
        <color rgb="FF9C0006"/>
      </font>
      <fill>
        <patternFill>
          <bgColor rgb="FFFFC7CE"/>
        </patternFill>
      </fill>
    </dxf>
    <dxf>
      <font>
        <color rgb="FFFFFFFF"/>
      </font>
    </dxf>
    <dxf>
      <font>
        <color rgb="FF9C6500"/>
      </font>
      <fill>
        <patternFill>
          <bgColor rgb="FFFFEB9C"/>
        </patternFill>
      </fill>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BE2D5"/>
      </font>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fill>
        <patternFill patternType="solid">
          <fgColor indexed="64"/>
          <bgColor rgb="FFDCE6F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Residuals vs. Fitted</a:t>
            </a:r>
          </a:p>
        </c:rich>
      </c:tx>
      <c:overlay val="0"/>
      <c:spPr>
        <a:solidFill>
          <a:srgbClr val="CAEDFB"/>
        </a:solidFill>
      </c:spPr>
    </c:title>
    <c:autoTitleDeleted val="0"/>
    <c:plotArea>
      <c:layout/>
      <c:scatterChart>
        <c:scatterStyle val="lineMarker"/>
        <c:varyColors val="0"/>
        <c:ser>
          <c:idx val="0"/>
          <c:order val="0"/>
          <c:tx>
            <c:v>Residuals vs. Fitted</c:v>
          </c:tx>
          <c:spPr>
            <a:ln w="38100">
              <a:noFill/>
            </a:ln>
          </c:spPr>
          <c:marker>
            <c:symbol val="diamond"/>
            <c:size val="4"/>
          </c:marker>
          <c:xVal>
            <c:numRef>
              <c:f>Regression!RegChartFitY</c:f>
              <c:numCache>
                <c:formatCode>0.0000</c:formatCode>
                <c:ptCount val="392"/>
                <c:pt idx="0">
                  <c:v>16.838573626431661</c:v>
                </c:pt>
                <c:pt idx="1">
                  <c:v>15.313332990800655</c:v>
                </c:pt>
                <c:pt idx="2">
                  <c:v>16.858150041188779</c:v>
                </c:pt>
                <c:pt idx="3">
                  <c:v>16.873339970034131</c:v>
                </c:pt>
                <c:pt idx="4">
                  <c:v>16.954691335727667</c:v>
                </c:pt>
                <c:pt idx="5">
                  <c:v>11.49650610573814</c:v>
                </c:pt>
                <c:pt idx="6">
                  <c:v>11.073481577763721</c:v>
                </c:pt>
                <c:pt idx="7">
                  <c:v>11.367322741366332</c:v>
                </c:pt>
                <c:pt idx="8">
                  <c:v>10.632804435322724</c:v>
                </c:pt>
                <c:pt idx="9">
                  <c:v>14.112482582388791</c:v>
                </c:pt>
                <c:pt idx="10">
                  <c:v>15.890381080998123</c:v>
                </c:pt>
                <c:pt idx="11">
                  <c:v>15.819833158238167</c:v>
                </c:pt>
                <c:pt idx="12">
                  <c:v>15.212574416275837</c:v>
                </c:pt>
                <c:pt idx="13">
                  <c:v>17.412576009964045</c:v>
                </c:pt>
                <c:pt idx="14">
                  <c:v>25.198456840216746</c:v>
                </c:pt>
                <c:pt idx="15">
                  <c:v>20.804329496548942</c:v>
                </c:pt>
                <c:pt idx="16">
                  <c:v>21.070591899933742</c:v>
                </c:pt>
                <c:pt idx="17">
                  <c:v>22.212267981403066</c:v>
                </c:pt>
                <c:pt idx="18">
                  <c:v>26.537432790749786</c:v>
                </c:pt>
                <c:pt idx="19">
                  <c:v>28.591062427308099</c:v>
                </c:pt>
                <c:pt idx="20">
                  <c:v>23.687378569360192</c:v>
                </c:pt>
                <c:pt idx="21">
                  <c:v>24.863990200357819</c:v>
                </c:pt>
                <c:pt idx="22">
                  <c:v>25.061290069421542</c:v>
                </c:pt>
                <c:pt idx="23">
                  <c:v>25.482960949989256</c:v>
                </c:pt>
                <c:pt idx="24">
                  <c:v>21.822223935113239</c:v>
                </c:pt>
                <c:pt idx="25">
                  <c:v>9.8331399279859557</c:v>
                </c:pt>
                <c:pt idx="26">
                  <c:v>11.286817405301973</c:v>
                </c:pt>
                <c:pt idx="27">
                  <c:v>11.094073228075858</c:v>
                </c:pt>
                <c:pt idx="28">
                  <c:v>9.5979342059952</c:v>
                </c:pt>
                <c:pt idx="29">
                  <c:v>27.44784298533256</c:v>
                </c:pt>
                <c:pt idx="30">
                  <c:v>24.676945021900842</c:v>
                </c:pt>
                <c:pt idx="31">
                  <c:v>26.837983619376331</c:v>
                </c:pt>
                <c:pt idx="32">
                  <c:v>22.641156144772239</c:v>
                </c:pt>
                <c:pt idx="33">
                  <c:v>18.484009744835557</c:v>
                </c:pt>
                <c:pt idx="34">
                  <c:v>19.122155962266103</c:v>
                </c:pt>
                <c:pt idx="35">
                  <c:v>19.453702505316752</c:v>
                </c:pt>
                <c:pt idx="36">
                  <c:v>19.32975165648589</c:v>
                </c:pt>
                <c:pt idx="37">
                  <c:v>13.611075423983189</c:v>
                </c:pt>
                <c:pt idx="38">
                  <c:v>12.157567152593005</c:v>
                </c:pt>
                <c:pt idx="39">
                  <c:v>14.084394636257104</c:v>
                </c:pt>
                <c:pt idx="40">
                  <c:v>14.4267758897945</c:v>
                </c:pt>
                <c:pt idx="41">
                  <c:v>9.5902999718029793</c:v>
                </c:pt>
                <c:pt idx="42">
                  <c:v>10.81089600089779</c:v>
                </c:pt>
                <c:pt idx="43">
                  <c:v>8.7347698527740878</c:v>
                </c:pt>
                <c:pt idx="44">
                  <c:v>20.818026271478537</c:v>
                </c:pt>
                <c:pt idx="45">
                  <c:v>24.240084212487776</c:v>
                </c:pt>
                <c:pt idx="46">
                  <c:v>19.36013151417659</c:v>
                </c:pt>
                <c:pt idx="47">
                  <c:v>20.279021972580779</c:v>
                </c:pt>
                <c:pt idx="48">
                  <c:v>24.964676372780147</c:v>
                </c:pt>
                <c:pt idx="49">
                  <c:v>27.328836446781434</c:v>
                </c:pt>
                <c:pt idx="50">
                  <c:v>27.90166725699298</c:v>
                </c:pt>
                <c:pt idx="51">
                  <c:v>27.849818451807788</c:v>
                </c:pt>
                <c:pt idx="52">
                  <c:v>29.62888245286068</c:v>
                </c:pt>
                <c:pt idx="53">
                  <c:v>30.374066263465199</c:v>
                </c:pt>
                <c:pt idx="54">
                  <c:v>29.279225884156411</c:v>
                </c:pt>
                <c:pt idx="55">
                  <c:v>26.566236332042742</c:v>
                </c:pt>
                <c:pt idx="56">
                  <c:v>25.328456204078385</c:v>
                </c:pt>
                <c:pt idx="57">
                  <c:v>24.28168413378026</c:v>
                </c:pt>
                <c:pt idx="58">
                  <c:v>25.993692502986516</c:v>
                </c:pt>
                <c:pt idx="59">
                  <c:v>22.691466502781925</c:v>
                </c:pt>
                <c:pt idx="60">
                  <c:v>23.677934580547344</c:v>
                </c:pt>
                <c:pt idx="61">
                  <c:v>12.025598364458494</c:v>
                </c:pt>
                <c:pt idx="62">
                  <c:v>11.301206677645121</c:v>
                </c:pt>
                <c:pt idx="63">
                  <c:v>12.972944880262842</c:v>
                </c:pt>
                <c:pt idx="64">
                  <c:v>12.954615442092917</c:v>
                </c:pt>
                <c:pt idx="65">
                  <c:v>15.317257232061893</c:v>
                </c:pt>
                <c:pt idx="66">
                  <c:v>9.5097036386293095</c:v>
                </c:pt>
                <c:pt idx="67">
                  <c:v>11.033528091747291</c:v>
                </c:pt>
                <c:pt idx="68">
                  <c:v>11.185258174274955</c:v>
                </c:pt>
                <c:pt idx="69">
                  <c:v>10.870317742582683</c:v>
                </c:pt>
                <c:pt idx="70">
                  <c:v>25.03269124018523</c:v>
                </c:pt>
                <c:pt idx="71">
                  <c:v>14.203329116736208</c:v>
                </c:pt>
                <c:pt idx="72">
                  <c:v>13.485015975092979</c:v>
                </c:pt>
                <c:pt idx="73">
                  <c:v>12.330242970994684</c:v>
                </c:pt>
                <c:pt idx="74">
                  <c:v>13.266616837939614</c:v>
                </c:pt>
                <c:pt idx="75">
                  <c:v>21.613992221016861</c:v>
                </c:pt>
                <c:pt idx="76">
                  <c:v>24.335220428923613</c:v>
                </c:pt>
                <c:pt idx="77">
                  <c:v>21.786990777560018</c:v>
                </c:pt>
                <c:pt idx="78">
                  <c:v>26.079261148665992</c:v>
                </c:pt>
                <c:pt idx="79">
                  <c:v>22.822235255592613</c:v>
                </c:pt>
                <c:pt idx="80">
                  <c:v>25.326532403787837</c:v>
                </c:pt>
                <c:pt idx="81">
                  <c:v>24.141548747924681</c:v>
                </c:pt>
                <c:pt idx="82">
                  <c:v>24.089278368405822</c:v>
                </c:pt>
                <c:pt idx="83">
                  <c:v>26.343380339243957</c:v>
                </c:pt>
                <c:pt idx="84">
                  <c:v>12.383947606403462</c:v>
                </c:pt>
                <c:pt idx="85">
                  <c:v>14.95695492051196</c:v>
                </c:pt>
                <c:pt idx="86">
                  <c:v>13.438131241902768</c:v>
                </c:pt>
                <c:pt idx="87">
                  <c:v>13.294603978314798</c:v>
                </c:pt>
                <c:pt idx="88">
                  <c:v>14.425307410924701</c:v>
                </c:pt>
                <c:pt idx="89">
                  <c:v>7.696569879392543</c:v>
                </c:pt>
                <c:pt idx="90">
                  <c:v>10.946813705339499</c:v>
                </c:pt>
                <c:pt idx="91">
                  <c:v>11.328316520837957</c:v>
                </c:pt>
                <c:pt idx="92">
                  <c:v>12.096184987971002</c:v>
                </c:pt>
                <c:pt idx="93">
                  <c:v>8.5192887226626812</c:v>
                </c:pt>
                <c:pt idx="94">
                  <c:v>7.2632495262620527</c:v>
                </c:pt>
                <c:pt idx="95">
                  <c:v>13.796610989021032</c:v>
                </c:pt>
                <c:pt idx="96">
                  <c:v>18.477477956350643</c:v>
                </c:pt>
                <c:pt idx="97">
                  <c:v>17.76372050654502</c:v>
                </c:pt>
                <c:pt idx="98">
                  <c:v>19.449802608378892</c:v>
                </c:pt>
                <c:pt idx="99">
                  <c:v>19.259828261072517</c:v>
                </c:pt>
                <c:pt idx="100">
                  <c:v>19.738580462366389</c:v>
                </c:pt>
                <c:pt idx="101">
                  <c:v>27.302527770060408</c:v>
                </c:pt>
                <c:pt idx="102">
                  <c:v>8.248069680482276</c:v>
                </c:pt>
                <c:pt idx="103">
                  <c:v>8.4328115122476976</c:v>
                </c:pt>
                <c:pt idx="104">
                  <c:v>9.6600562393964911</c:v>
                </c:pt>
                <c:pt idx="105">
                  <c:v>10.282504910204173</c:v>
                </c:pt>
                <c:pt idx="106">
                  <c:v>20.239678908337108</c:v>
                </c:pt>
                <c:pt idx="107">
                  <c:v>25.076745606588123</c:v>
                </c:pt>
                <c:pt idx="108">
                  <c:v>22.658863133701555</c:v>
                </c:pt>
                <c:pt idx="109">
                  <c:v>24.4729960533552</c:v>
                </c:pt>
                <c:pt idx="110">
                  <c:v>25.829085733024133</c:v>
                </c:pt>
                <c:pt idx="111">
                  <c:v>22.908550693281139</c:v>
                </c:pt>
                <c:pt idx="112">
                  <c:v>21.731093032654325</c:v>
                </c:pt>
                <c:pt idx="113">
                  <c:v>24.993182235342815</c:v>
                </c:pt>
                <c:pt idx="114">
                  <c:v>12.962180138081797</c:v>
                </c:pt>
                <c:pt idx="115">
                  <c:v>10.589674737467915</c:v>
                </c:pt>
                <c:pt idx="116">
                  <c:v>27.67407317225447</c:v>
                </c:pt>
                <c:pt idx="117">
                  <c:v>25.778502843463428</c:v>
                </c:pt>
                <c:pt idx="118">
                  <c:v>23.371876655397273</c:v>
                </c:pt>
                <c:pt idx="119">
                  <c:v>21.582805034449517</c:v>
                </c:pt>
                <c:pt idx="120">
                  <c:v>16.339238445438834</c:v>
                </c:pt>
                <c:pt idx="121">
                  <c:v>22.668446298300882</c:v>
                </c:pt>
                <c:pt idx="122">
                  <c:v>21.85127944338608</c:v>
                </c:pt>
                <c:pt idx="123">
                  <c:v>14.510368438826655</c:v>
                </c:pt>
                <c:pt idx="124">
                  <c:v>20.700160815023679</c:v>
                </c:pt>
                <c:pt idx="125">
                  <c:v>21.636703887894434</c:v>
                </c:pt>
                <c:pt idx="126">
                  <c:v>19.434164205318652</c:v>
                </c:pt>
                <c:pt idx="127">
                  <c:v>29.047655197436306</c:v>
                </c:pt>
                <c:pt idx="128">
                  <c:v>24.23992185376779</c:v>
                </c:pt>
                <c:pt idx="129">
                  <c:v>29.657345357466696</c:v>
                </c:pt>
                <c:pt idx="130">
                  <c:v>23.860342838559873</c:v>
                </c:pt>
                <c:pt idx="131">
                  <c:v>17.180991426591703</c:v>
                </c:pt>
                <c:pt idx="132">
                  <c:v>17.773060239708684</c:v>
                </c:pt>
                <c:pt idx="133">
                  <c:v>17.950445282163606</c:v>
                </c:pt>
                <c:pt idx="134">
                  <c:v>14.708742687008018</c:v>
                </c:pt>
                <c:pt idx="135">
                  <c:v>11.72105160223747</c:v>
                </c:pt>
                <c:pt idx="136">
                  <c:v>12.946372529095722</c:v>
                </c:pt>
                <c:pt idx="137">
                  <c:v>12.192277808294996</c:v>
                </c:pt>
                <c:pt idx="138">
                  <c:v>13.959034452119068</c:v>
                </c:pt>
                <c:pt idx="139">
                  <c:v>27.303865157763386</c:v>
                </c:pt>
                <c:pt idx="140">
                  <c:v>28.859855330489932</c:v>
                </c:pt>
                <c:pt idx="141">
                  <c:v>26.974919238706637</c:v>
                </c:pt>
                <c:pt idx="142">
                  <c:v>30.81525787088956</c:v>
                </c:pt>
                <c:pt idx="143">
                  <c:v>28.876718379556358</c:v>
                </c:pt>
                <c:pt idx="144">
                  <c:v>25.971742948063557</c:v>
                </c:pt>
                <c:pt idx="145">
                  <c:v>27.995783980669668</c:v>
                </c:pt>
                <c:pt idx="146">
                  <c:v>27.297047253783557</c:v>
                </c:pt>
                <c:pt idx="147">
                  <c:v>25.831438356282142</c:v>
                </c:pt>
                <c:pt idx="148">
                  <c:v>26.392588426377749</c:v>
                </c:pt>
                <c:pt idx="149">
                  <c:v>28.672512874730611</c:v>
                </c:pt>
                <c:pt idx="150">
                  <c:v>19.261395253436948</c:v>
                </c:pt>
                <c:pt idx="151">
                  <c:v>18.11168555895377</c:v>
                </c:pt>
                <c:pt idx="152">
                  <c:v>18.78419717302878</c:v>
                </c:pt>
                <c:pt idx="153">
                  <c:v>20.17154400757077</c:v>
                </c:pt>
                <c:pt idx="154">
                  <c:v>10.934776157297449</c:v>
                </c:pt>
                <c:pt idx="155">
                  <c:v>12.495121548382592</c:v>
                </c:pt>
                <c:pt idx="156">
                  <c:v>12.120267430938121</c:v>
                </c:pt>
                <c:pt idx="157">
                  <c:v>11.347674066041641</c:v>
                </c:pt>
                <c:pt idx="158">
                  <c:v>15.762140691613761</c:v>
                </c:pt>
                <c:pt idx="159">
                  <c:v>15.893955947532634</c:v>
                </c:pt>
                <c:pt idx="160">
                  <c:v>16.658346493489425</c:v>
                </c:pt>
                <c:pt idx="161">
                  <c:v>16.623410943961126</c:v>
                </c:pt>
                <c:pt idx="162">
                  <c:v>20.157093437535096</c:v>
                </c:pt>
                <c:pt idx="163">
                  <c:v>19.23557108758385</c:v>
                </c:pt>
                <c:pt idx="164">
                  <c:v>19.190370980452638</c:v>
                </c:pt>
                <c:pt idx="165">
                  <c:v>27.180262912929354</c:v>
                </c:pt>
                <c:pt idx="166">
                  <c:v>22.62080094632741</c:v>
                </c:pt>
                <c:pt idx="167">
                  <c:v>20.952371458960101</c:v>
                </c:pt>
                <c:pt idx="168">
                  <c:v>22.939958658005601</c:v>
                </c:pt>
                <c:pt idx="169">
                  <c:v>24.150680436277998</c:v>
                </c:pt>
                <c:pt idx="170">
                  <c:v>26.859939698807597</c:v>
                </c:pt>
                <c:pt idx="171">
                  <c:v>24.929383613897784</c:v>
                </c:pt>
                <c:pt idx="172">
                  <c:v>20.646649081762551</c:v>
                </c:pt>
                <c:pt idx="173">
                  <c:v>28.324282680684522</c:v>
                </c:pt>
                <c:pt idx="174">
                  <c:v>19.610932822805836</c:v>
                </c:pt>
                <c:pt idx="175">
                  <c:v>24.085446503202622</c:v>
                </c:pt>
                <c:pt idx="176">
                  <c:v>22.867451098101704</c:v>
                </c:pt>
                <c:pt idx="177">
                  <c:v>22.765846493947691</c:v>
                </c:pt>
                <c:pt idx="178">
                  <c:v>23.87717398527948</c:v>
                </c:pt>
                <c:pt idx="179">
                  <c:v>29.441268831191156</c:v>
                </c:pt>
                <c:pt idx="180">
                  <c:v>26.17120817185755</c:v>
                </c:pt>
                <c:pt idx="181">
                  <c:v>27.487837877713741</c:v>
                </c:pt>
                <c:pt idx="182">
                  <c:v>23.588987372554563</c:v>
                </c:pt>
                <c:pt idx="183">
                  <c:v>25.405130135942606</c:v>
                </c:pt>
                <c:pt idx="184">
                  <c:v>27.546504586878765</c:v>
                </c:pt>
                <c:pt idx="185">
                  <c:v>14.490620941147773</c:v>
                </c:pt>
                <c:pt idx="186">
                  <c:v>14.454839361990283</c:v>
                </c:pt>
                <c:pt idx="187">
                  <c:v>16.096366912843138</c:v>
                </c:pt>
                <c:pt idx="188">
                  <c:v>14.295783757705278</c:v>
                </c:pt>
                <c:pt idx="189">
                  <c:v>20.11224826133407</c:v>
                </c:pt>
                <c:pt idx="190">
                  <c:v>19.423468947752355</c:v>
                </c:pt>
                <c:pt idx="191">
                  <c:v>21.539731893392151</c:v>
                </c:pt>
                <c:pt idx="192">
                  <c:v>21.023982403906754</c:v>
                </c:pt>
                <c:pt idx="193">
                  <c:v>26.957441914013906</c:v>
                </c:pt>
                <c:pt idx="194">
                  <c:v>26.174383518035512</c:v>
                </c:pt>
                <c:pt idx="195">
                  <c:v>29.09935525028073</c:v>
                </c:pt>
                <c:pt idx="196">
                  <c:v>30.216341400787364</c:v>
                </c:pt>
                <c:pt idx="197">
                  <c:v>17.995784842215272</c:v>
                </c:pt>
                <c:pt idx="198">
                  <c:v>18.742861185557167</c:v>
                </c:pt>
                <c:pt idx="199">
                  <c:v>17.863800380370556</c:v>
                </c:pt>
                <c:pt idx="200">
                  <c:v>20.395962805706446</c:v>
                </c:pt>
                <c:pt idx="201">
                  <c:v>29.65020949522027</c:v>
                </c:pt>
                <c:pt idx="202">
                  <c:v>28.952976682629398</c:v>
                </c:pt>
                <c:pt idx="203">
                  <c:v>28.03634843636743</c:v>
                </c:pt>
                <c:pt idx="204">
                  <c:v>23.949159178931204</c:v>
                </c:pt>
                <c:pt idx="205">
                  <c:v>22.437994864630799</c:v>
                </c:pt>
                <c:pt idx="206">
                  <c:v>15.720666765769471</c:v>
                </c:pt>
                <c:pt idx="207">
                  <c:v>22.057707758166373</c:v>
                </c:pt>
                <c:pt idx="208">
                  <c:v>23.576481230185095</c:v>
                </c:pt>
                <c:pt idx="209">
                  <c:v>18.753321647338844</c:v>
                </c:pt>
                <c:pt idx="210">
                  <c:v>13.005717576511863</c:v>
                </c:pt>
                <c:pt idx="211">
                  <c:v>15.219568319798745</c:v>
                </c:pt>
                <c:pt idx="212">
                  <c:v>16.399827077898465</c:v>
                </c:pt>
                <c:pt idx="213">
                  <c:v>16.657379044566071</c:v>
                </c:pt>
                <c:pt idx="214">
                  <c:v>30.140660247573571</c:v>
                </c:pt>
                <c:pt idx="215">
                  <c:v>27.328917395369253</c:v>
                </c:pt>
                <c:pt idx="216">
                  <c:v>31.294975840484813</c:v>
                </c:pt>
                <c:pt idx="217">
                  <c:v>26.334954589920663</c:v>
                </c:pt>
                <c:pt idx="218">
                  <c:v>30.614518345178162</c:v>
                </c:pt>
                <c:pt idx="219">
                  <c:v>17.539340232312689</c:v>
                </c:pt>
                <c:pt idx="220">
                  <c:v>17.196219619965625</c:v>
                </c:pt>
                <c:pt idx="221">
                  <c:v>16.222879732382339</c:v>
                </c:pt>
                <c:pt idx="222">
                  <c:v>15.681613221342358</c:v>
                </c:pt>
                <c:pt idx="223">
                  <c:v>19.930406812128666</c:v>
                </c:pt>
                <c:pt idx="224">
                  <c:v>20.492603385332458</c:v>
                </c:pt>
                <c:pt idx="225">
                  <c:v>19.535807074001234</c:v>
                </c:pt>
                <c:pt idx="226">
                  <c:v>20.099927447495574</c:v>
                </c:pt>
                <c:pt idx="227">
                  <c:v>15.249539844799058</c:v>
                </c:pt>
                <c:pt idx="228">
                  <c:v>15.690386193165891</c:v>
                </c:pt>
                <c:pt idx="229">
                  <c:v>14.555528015676385</c:v>
                </c:pt>
                <c:pt idx="230">
                  <c:v>15.17058862962041</c:v>
                </c:pt>
                <c:pt idx="231">
                  <c:v>30.387966595675568</c:v>
                </c:pt>
                <c:pt idx="232">
                  <c:v>24.236989814897633</c:v>
                </c:pt>
                <c:pt idx="233">
                  <c:v>28.913077108573098</c:v>
                </c:pt>
                <c:pt idx="234">
                  <c:v>24.144803738717336</c:v>
                </c:pt>
                <c:pt idx="235">
                  <c:v>28.131520938551596</c:v>
                </c:pt>
                <c:pt idx="236">
                  <c:v>27.685272868717973</c:v>
                </c:pt>
                <c:pt idx="237">
                  <c:v>30.460695256434121</c:v>
                </c:pt>
                <c:pt idx="238">
                  <c:v>29.122139191896384</c:v>
                </c:pt>
                <c:pt idx="239">
                  <c:v>25.771055317280982</c:v>
                </c:pt>
                <c:pt idx="240">
                  <c:v>26.526616427185193</c:v>
                </c:pt>
                <c:pt idx="241">
                  <c:v>26.040996115321043</c:v>
                </c:pt>
                <c:pt idx="242">
                  <c:v>30.497188279232841</c:v>
                </c:pt>
                <c:pt idx="243">
                  <c:v>29.203680013716564</c:v>
                </c:pt>
                <c:pt idx="244">
                  <c:v>30.554219393368534</c:v>
                </c:pt>
                <c:pt idx="245">
                  <c:v>29.831582300919862</c:v>
                </c:pt>
                <c:pt idx="246">
                  <c:v>31.3610402165368</c:v>
                </c:pt>
                <c:pt idx="247">
                  <c:v>20.56519746010305</c:v>
                </c:pt>
                <c:pt idx="248">
                  <c:v>18.204679943903614</c:v>
                </c:pt>
                <c:pt idx="249">
                  <c:v>19.056362462351419</c:v>
                </c:pt>
                <c:pt idx="250">
                  <c:v>19.785616985300909</c:v>
                </c:pt>
                <c:pt idx="251">
                  <c:v>21.872038958580685</c:v>
                </c:pt>
                <c:pt idx="252">
                  <c:v>22.996432104988273</c:v>
                </c:pt>
                <c:pt idx="253">
                  <c:v>24.188233664831259</c:v>
                </c:pt>
                <c:pt idx="254">
                  <c:v>20.398446654655874</c:v>
                </c:pt>
                <c:pt idx="255">
                  <c:v>21.674739089516965</c:v>
                </c:pt>
                <c:pt idx="256">
                  <c:v>20.570429975644004</c:v>
                </c:pt>
                <c:pt idx="257">
                  <c:v>22.464784595401014</c:v>
                </c:pt>
                <c:pt idx="258">
                  <c:v>19.274053508248279</c:v>
                </c:pt>
                <c:pt idx="259">
                  <c:v>20.174984207887384</c:v>
                </c:pt>
                <c:pt idx="260">
                  <c:v>19.693123764822097</c:v>
                </c:pt>
                <c:pt idx="261">
                  <c:v>19.267128933448944</c:v>
                </c:pt>
                <c:pt idx="262">
                  <c:v>20.904470471869033</c:v>
                </c:pt>
                <c:pt idx="263">
                  <c:v>16.457838126688337</c:v>
                </c:pt>
                <c:pt idx="264">
                  <c:v>27.373732236443036</c:v>
                </c:pt>
                <c:pt idx="265">
                  <c:v>26.944649790674134</c:v>
                </c:pt>
                <c:pt idx="266">
                  <c:v>28.228637426697397</c:v>
                </c:pt>
                <c:pt idx="267">
                  <c:v>26.880328991634492</c:v>
                </c:pt>
                <c:pt idx="268">
                  <c:v>27.172498723354387</c:v>
                </c:pt>
                <c:pt idx="269">
                  <c:v>23.785631581243138</c:v>
                </c:pt>
                <c:pt idx="270">
                  <c:v>23.553396162651115</c:v>
                </c:pt>
                <c:pt idx="271">
                  <c:v>27.696989917110137</c:v>
                </c:pt>
                <c:pt idx="272">
                  <c:v>25.325687897014422</c:v>
                </c:pt>
                <c:pt idx="273">
                  <c:v>23.398860413350324</c:v>
                </c:pt>
                <c:pt idx="274">
                  <c:v>25.308066550101014</c:v>
                </c:pt>
                <c:pt idx="275">
                  <c:v>21.901875361640474</c:v>
                </c:pt>
                <c:pt idx="276">
                  <c:v>30.098433796225809</c:v>
                </c:pt>
                <c:pt idx="277">
                  <c:v>29.534940039844358</c:v>
                </c:pt>
                <c:pt idx="278">
                  <c:v>23.49949938057404</c:v>
                </c:pt>
                <c:pt idx="279">
                  <c:v>25.27773629103504</c:v>
                </c:pt>
                <c:pt idx="280">
                  <c:v>25.735357956686098</c:v>
                </c:pt>
                <c:pt idx="281">
                  <c:v>23.80414398711023</c:v>
                </c:pt>
                <c:pt idx="282">
                  <c:v>22.998400934603321</c:v>
                </c:pt>
                <c:pt idx="283">
                  <c:v>20.243283680276456</c:v>
                </c:pt>
                <c:pt idx="284">
                  <c:v>20.841800717968425</c:v>
                </c:pt>
                <c:pt idx="285">
                  <c:v>19.531111618909698</c:v>
                </c:pt>
                <c:pt idx="286">
                  <c:v>20.212734616659919</c:v>
                </c:pt>
                <c:pt idx="287">
                  <c:v>17.204451881577224</c:v>
                </c:pt>
                <c:pt idx="288">
                  <c:v>18.96489823919898</c:v>
                </c:pt>
                <c:pt idx="289">
                  <c:v>21.5143435995966</c:v>
                </c:pt>
                <c:pt idx="290">
                  <c:v>19.412224079693964</c:v>
                </c:pt>
                <c:pt idx="291">
                  <c:v>32.835435847633079</c:v>
                </c:pt>
                <c:pt idx="292">
                  <c:v>32.801665800548349</c:v>
                </c:pt>
                <c:pt idx="293">
                  <c:v>30.80197628705325</c:v>
                </c:pt>
                <c:pt idx="294">
                  <c:v>26.979177527640108</c:v>
                </c:pt>
                <c:pt idx="295">
                  <c:v>24.611405323649461</c:v>
                </c:pt>
                <c:pt idx="296">
                  <c:v>20.02066726313716</c:v>
                </c:pt>
                <c:pt idx="297">
                  <c:v>26.430349184510405</c:v>
                </c:pt>
                <c:pt idx="298">
                  <c:v>23.019330996767135</c:v>
                </c:pt>
                <c:pt idx="299">
                  <c:v>29.52129736628039</c:v>
                </c:pt>
                <c:pt idx="300">
                  <c:v>29.774462847036226</c:v>
                </c:pt>
                <c:pt idx="301">
                  <c:v>32.573816867868096</c:v>
                </c:pt>
                <c:pt idx="302">
                  <c:v>31.829930240441236</c:v>
                </c:pt>
                <c:pt idx="303">
                  <c:v>26.816813208104694</c:v>
                </c:pt>
                <c:pt idx="304">
                  <c:v>26.790650630399924</c:v>
                </c:pt>
                <c:pt idx="305">
                  <c:v>26.259003120812665</c:v>
                </c:pt>
                <c:pt idx="306">
                  <c:v>27.394030504228002</c:v>
                </c:pt>
                <c:pt idx="307">
                  <c:v>35.706490359450044</c:v>
                </c:pt>
                <c:pt idx="308">
                  <c:v>36.979392604917109</c:v>
                </c:pt>
                <c:pt idx="309">
                  <c:v>33.987463612784964</c:v>
                </c:pt>
                <c:pt idx="310">
                  <c:v>36.639981654778452</c:v>
                </c:pt>
                <c:pt idx="311">
                  <c:v>30.837408208478998</c:v>
                </c:pt>
                <c:pt idx="312">
                  <c:v>29.89772562628367</c:v>
                </c:pt>
                <c:pt idx="313">
                  <c:v>29.19183258356605</c:v>
                </c:pt>
                <c:pt idx="314">
                  <c:v>27.277901549051926</c:v>
                </c:pt>
                <c:pt idx="315">
                  <c:v>35.451231872477827</c:v>
                </c:pt>
                <c:pt idx="316">
                  <c:v>32.730260602279131</c:v>
                </c:pt>
                <c:pt idx="317">
                  <c:v>33.829506406536979</c:v>
                </c:pt>
                <c:pt idx="318">
                  <c:v>34.100324501759388</c:v>
                </c:pt>
                <c:pt idx="319">
                  <c:v>35.23204316992431</c:v>
                </c:pt>
                <c:pt idx="320">
                  <c:v>36.179220479802822</c:v>
                </c:pt>
                <c:pt idx="321">
                  <c:v>29.976137956131645</c:v>
                </c:pt>
                <c:pt idx="322">
                  <c:v>36.179220479802822</c:v>
                </c:pt>
                <c:pt idx="323">
                  <c:v>36.459845721441084</c:v>
                </c:pt>
                <c:pt idx="324">
                  <c:v>35.1940183176619</c:v>
                </c:pt>
                <c:pt idx="325">
                  <c:v>31.771590697247824</c:v>
                </c:pt>
                <c:pt idx="326">
                  <c:v>30.2525978127128</c:v>
                </c:pt>
                <c:pt idx="327">
                  <c:v>37.463208115826092</c:v>
                </c:pt>
                <c:pt idx="328">
                  <c:v>35.969531779366662</c:v>
                </c:pt>
                <c:pt idx="329">
                  <c:v>37.447729981719526</c:v>
                </c:pt>
                <c:pt idx="330">
                  <c:v>31.040731846822165</c:v>
                </c:pt>
                <c:pt idx="331">
                  <c:v>34.041319380742692</c:v>
                </c:pt>
                <c:pt idx="332">
                  <c:v>33.709114953025988</c:v>
                </c:pt>
                <c:pt idx="333">
                  <c:v>35.154169725407016</c:v>
                </c:pt>
                <c:pt idx="334">
                  <c:v>29.250550208008114</c:v>
                </c:pt>
                <c:pt idx="335">
                  <c:v>28.516370313816182</c:v>
                </c:pt>
                <c:pt idx="336">
                  <c:v>28.462428502414603</c:v>
                </c:pt>
                <c:pt idx="337">
                  <c:v>27.638525217663606</c:v>
                </c:pt>
                <c:pt idx="338">
                  <c:v>29.78219771759537</c:v>
                </c:pt>
                <c:pt idx="339">
                  <c:v>35.454171617009976</c:v>
                </c:pt>
                <c:pt idx="340">
                  <c:v>32.689214260375735</c:v>
                </c:pt>
                <c:pt idx="341">
                  <c:v>35.396382205027308</c:v>
                </c:pt>
                <c:pt idx="342">
                  <c:v>33.738417748741917</c:v>
                </c:pt>
                <c:pt idx="343">
                  <c:v>34.226588478009504</c:v>
                </c:pt>
                <c:pt idx="344">
                  <c:v>33.895549552736369</c:v>
                </c:pt>
                <c:pt idx="345">
                  <c:v>34.127246085997712</c:v>
                </c:pt>
                <c:pt idx="346">
                  <c:v>30.983925423189582</c:v>
                </c:pt>
                <c:pt idx="347">
                  <c:v>31.812215193852346</c:v>
                </c:pt>
                <c:pt idx="348">
                  <c:v>30.116006472788236</c:v>
                </c:pt>
                <c:pt idx="349">
                  <c:v>32.869872181227677</c:v>
                </c:pt>
                <c:pt idx="350">
                  <c:v>32.874346398921652</c:v>
                </c:pt>
                <c:pt idx="351">
                  <c:v>32.165483052805314</c:v>
                </c:pt>
                <c:pt idx="352">
                  <c:v>30.417795205960847</c:v>
                </c:pt>
                <c:pt idx="353">
                  <c:v>30.738676244450581</c:v>
                </c:pt>
                <c:pt idx="354">
                  <c:v>27.506611589785013</c:v>
                </c:pt>
                <c:pt idx="355">
                  <c:v>27.925988990657356</c:v>
                </c:pt>
                <c:pt idx="356">
                  <c:v>28.714969054395912</c:v>
                </c:pt>
                <c:pt idx="357">
                  <c:v>28.498124038128246</c:v>
                </c:pt>
                <c:pt idx="358">
                  <c:v>24.144841583233053</c:v>
                </c:pt>
                <c:pt idx="359">
                  <c:v>22.656397762314569</c:v>
                </c:pt>
                <c:pt idx="360">
                  <c:v>26.299517999577404</c:v>
                </c:pt>
                <c:pt idx="361">
                  <c:v>24.297586901315743</c:v>
                </c:pt>
                <c:pt idx="362">
                  <c:v>30.28175978404812</c:v>
                </c:pt>
                <c:pt idx="363">
                  <c:v>30.104543947519034</c:v>
                </c:pt>
                <c:pt idx="364">
                  <c:v>31.345054803222631</c:v>
                </c:pt>
                <c:pt idx="365">
                  <c:v>30.482368368362238</c:v>
                </c:pt>
                <c:pt idx="366">
                  <c:v>30.751770281071622</c:v>
                </c:pt>
                <c:pt idx="367">
                  <c:v>29.591056670175853</c:v>
                </c:pt>
                <c:pt idx="368">
                  <c:v>28.900353556303592</c:v>
                </c:pt>
                <c:pt idx="369">
                  <c:v>35.611603109994782</c:v>
                </c:pt>
                <c:pt idx="370">
                  <c:v>35.603149610985632</c:v>
                </c:pt>
                <c:pt idx="371">
                  <c:v>35.881631639817051</c:v>
                </c:pt>
                <c:pt idx="372">
                  <c:v>33.118059198142682</c:v>
                </c:pt>
                <c:pt idx="373">
                  <c:v>33.004404174467894</c:v>
                </c:pt>
                <c:pt idx="374">
                  <c:v>34.594874173874054</c:v>
                </c:pt>
                <c:pt idx="375">
                  <c:v>34.578098856589833</c:v>
                </c:pt>
                <c:pt idx="376">
                  <c:v>34.456748631752866</c:v>
                </c:pt>
                <c:pt idx="377">
                  <c:v>35.923184619846182</c:v>
                </c:pt>
                <c:pt idx="378">
                  <c:v>35.923184619846182</c:v>
                </c:pt>
                <c:pt idx="379">
                  <c:v>35.771285331392683</c:v>
                </c:pt>
                <c:pt idx="380">
                  <c:v>28.203033011930515</c:v>
                </c:pt>
                <c:pt idx="381">
                  <c:v>28.254512137710869</c:v>
                </c:pt>
                <c:pt idx="382">
                  <c:v>30.318080248536283</c:v>
                </c:pt>
                <c:pt idx="383">
                  <c:v>28.727524205686279</c:v>
                </c:pt>
                <c:pt idx="384">
                  <c:v>31.908011362611767</c:v>
                </c:pt>
                <c:pt idx="385">
                  <c:v>31.536583271414713</c:v>
                </c:pt>
                <c:pt idx="386">
                  <c:v>28.502445102925755</c:v>
                </c:pt>
                <c:pt idx="387">
                  <c:v>29.377520369158603</c:v>
                </c:pt>
                <c:pt idx="388">
                  <c:v>35.209308170705178</c:v>
                </c:pt>
                <c:pt idx="389">
                  <c:v>31.916331492548473</c:v>
                </c:pt>
                <c:pt idx="390">
                  <c:v>30.326621479327649</c:v>
                </c:pt>
                <c:pt idx="391">
                  <c:v>29.796897770030938</c:v>
                </c:pt>
              </c:numCache>
            </c:numRef>
          </c:xVal>
          <c:yVal>
            <c:numRef>
              <c:f>Regression!RegChartResid</c:f>
              <c:numCache>
                <c:formatCode>0.0000</c:formatCode>
                <c:ptCount val="392"/>
                <c:pt idx="0">
                  <c:v>1.1614263735683394</c:v>
                </c:pt>
                <c:pt idx="1">
                  <c:v>-0.3133329908006548</c:v>
                </c:pt>
                <c:pt idx="2">
                  <c:v>1.1418499588112212</c:v>
                </c:pt>
                <c:pt idx="3">
                  <c:v>-0.87333997003413089</c:v>
                </c:pt>
                <c:pt idx="4">
                  <c:v>4.5308664272333488E-2</c:v>
                </c:pt>
                <c:pt idx="5">
                  <c:v>3.5034938942618599</c:v>
                </c:pt>
                <c:pt idx="6">
                  <c:v>2.9265184222362794</c:v>
                </c:pt>
                <c:pt idx="7">
                  <c:v>2.6326772586336684</c:v>
                </c:pt>
                <c:pt idx="8">
                  <c:v>3.3671955646772762</c:v>
                </c:pt>
                <c:pt idx="9">
                  <c:v>0.88751741761120861</c:v>
                </c:pt>
                <c:pt idx="10">
                  <c:v>-0.89038108099812341</c:v>
                </c:pt>
                <c:pt idx="11">
                  <c:v>-1.8198331582381666</c:v>
                </c:pt>
                <c:pt idx="12">
                  <c:v>-0.21257441627583695</c:v>
                </c:pt>
                <c:pt idx="13">
                  <c:v>-3.4125760099640452</c:v>
                </c:pt>
                <c:pt idx="14">
                  <c:v>-1.1984568402167461</c:v>
                </c:pt>
                <c:pt idx="15">
                  <c:v>1.1956705034510584</c:v>
                </c:pt>
                <c:pt idx="16">
                  <c:v>-3.070591899933742</c:v>
                </c:pt>
                <c:pt idx="17">
                  <c:v>-1.2122679814030661</c:v>
                </c:pt>
                <c:pt idx="18">
                  <c:v>0.46256720925021355</c:v>
                </c:pt>
                <c:pt idx="19">
                  <c:v>-2.5910624273080991</c:v>
                </c:pt>
                <c:pt idx="20">
                  <c:v>1.3126214306398083</c:v>
                </c:pt>
                <c:pt idx="21">
                  <c:v>-0.86399020035781859</c:v>
                </c:pt>
                <c:pt idx="22">
                  <c:v>-6.1290069421541915E-2</c:v>
                </c:pt>
                <c:pt idx="23">
                  <c:v>0.51703905001074446</c:v>
                </c:pt>
                <c:pt idx="24">
                  <c:v>-0.82222393511323943</c:v>
                </c:pt>
                <c:pt idx="25">
                  <c:v>0.16686007201404429</c:v>
                </c:pt>
                <c:pt idx="26">
                  <c:v>-1.2868174053019725</c:v>
                </c:pt>
                <c:pt idx="27">
                  <c:v>-9.4073228075858495E-2</c:v>
                </c:pt>
                <c:pt idx="28">
                  <c:v>-0.59793420599519997</c:v>
                </c:pt>
                <c:pt idx="29">
                  <c:v>-0.44784298533256006</c:v>
                </c:pt>
                <c:pt idx="30">
                  <c:v>3.3230549780991581</c:v>
                </c:pt>
                <c:pt idx="31">
                  <c:v>-1.837983619376331</c:v>
                </c:pt>
                <c:pt idx="32">
                  <c:v>-3.6411561447722391</c:v>
                </c:pt>
                <c:pt idx="33">
                  <c:v>-2.4840097448355571</c:v>
                </c:pt>
                <c:pt idx="34">
                  <c:v>-2.1221559622661026</c:v>
                </c:pt>
                <c:pt idx="35">
                  <c:v>-0.45370250531675183</c:v>
                </c:pt>
                <c:pt idx="36">
                  <c:v>-1.3297516564858896</c:v>
                </c:pt>
                <c:pt idx="37">
                  <c:v>0.38892457601681052</c:v>
                </c:pt>
                <c:pt idx="38">
                  <c:v>1.8424328474069949</c:v>
                </c:pt>
                <c:pt idx="39">
                  <c:v>-8.4394636257103528E-2</c:v>
                </c:pt>
                <c:pt idx="40">
                  <c:v>-0.42677588979450043</c:v>
                </c:pt>
                <c:pt idx="41">
                  <c:v>2.4097000281970207</c:v>
                </c:pt>
                <c:pt idx="42">
                  <c:v>2.1891039991022101</c:v>
                </c:pt>
                <c:pt idx="43">
                  <c:v>4.2652301472259122</c:v>
                </c:pt>
                <c:pt idx="44">
                  <c:v>-2.8180262714785371</c:v>
                </c:pt>
                <c:pt idx="45">
                  <c:v>-2.2400842124877762</c:v>
                </c:pt>
                <c:pt idx="46">
                  <c:v>-0.36013151417659017</c:v>
                </c:pt>
                <c:pt idx="47">
                  <c:v>-2.2790219725807788</c:v>
                </c:pt>
                <c:pt idx="48">
                  <c:v>-1.9646763727801471</c:v>
                </c:pt>
                <c:pt idx="49">
                  <c:v>0.67116355321856602</c:v>
                </c:pt>
                <c:pt idx="50">
                  <c:v>2.0983327430070204</c:v>
                </c:pt>
                <c:pt idx="51">
                  <c:v>2.1501815481922115</c:v>
                </c:pt>
                <c:pt idx="52">
                  <c:v>1.3711175471393204</c:v>
                </c:pt>
                <c:pt idx="53">
                  <c:v>4.625933736534801</c:v>
                </c:pt>
                <c:pt idx="54">
                  <c:v>-2.2792258841564106</c:v>
                </c:pt>
                <c:pt idx="55">
                  <c:v>-0.56623633204274171</c:v>
                </c:pt>
                <c:pt idx="56">
                  <c:v>-1.3284562040783854</c:v>
                </c:pt>
                <c:pt idx="57">
                  <c:v>0.71831586621973997</c:v>
                </c:pt>
                <c:pt idx="58">
                  <c:v>-2.9936925029865158</c:v>
                </c:pt>
                <c:pt idx="59">
                  <c:v>-2.6914665027819247</c:v>
                </c:pt>
                <c:pt idx="60">
                  <c:v>-2.677934580547344</c:v>
                </c:pt>
                <c:pt idx="61">
                  <c:v>0.97440163554150594</c:v>
                </c:pt>
                <c:pt idx="62">
                  <c:v>2.698793322354879</c:v>
                </c:pt>
                <c:pt idx="63">
                  <c:v>2.0270551197371578</c:v>
                </c:pt>
                <c:pt idx="64">
                  <c:v>1.0453845579070826</c:v>
                </c:pt>
                <c:pt idx="65">
                  <c:v>1.6827427679381071</c:v>
                </c:pt>
                <c:pt idx="66">
                  <c:v>1.4902963613706905</c:v>
                </c:pt>
                <c:pt idx="67">
                  <c:v>1.9664719082527089</c:v>
                </c:pt>
                <c:pt idx="68">
                  <c:v>0.81474182572504539</c:v>
                </c:pt>
                <c:pt idx="69">
                  <c:v>2.1296822574173166</c:v>
                </c:pt>
                <c:pt idx="70">
                  <c:v>-6.0326912401852297</c:v>
                </c:pt>
                <c:pt idx="71">
                  <c:v>0.79667088326379165</c:v>
                </c:pt>
                <c:pt idx="72">
                  <c:v>-0.48501597509297945</c:v>
                </c:pt>
                <c:pt idx="73">
                  <c:v>0.66975702900531608</c:v>
                </c:pt>
                <c:pt idx="74">
                  <c:v>0.73338316206038634</c:v>
                </c:pt>
                <c:pt idx="75">
                  <c:v>-3.6139922210168614</c:v>
                </c:pt>
                <c:pt idx="76">
                  <c:v>-2.3352204289236127</c:v>
                </c:pt>
                <c:pt idx="77">
                  <c:v>-0.78699077756001756</c:v>
                </c:pt>
                <c:pt idx="78">
                  <c:v>-7.9261148665992209E-2</c:v>
                </c:pt>
                <c:pt idx="79">
                  <c:v>-0.8222352555926129</c:v>
                </c:pt>
                <c:pt idx="80">
                  <c:v>2.6734675962121628</c:v>
                </c:pt>
                <c:pt idx="81">
                  <c:v>-1.1415487479246806</c:v>
                </c:pt>
                <c:pt idx="82">
                  <c:v>3.9107216315941784</c:v>
                </c:pt>
                <c:pt idx="83">
                  <c:v>0.65661966075604283</c:v>
                </c:pt>
                <c:pt idx="84">
                  <c:v>0.61605239359653829</c:v>
                </c:pt>
                <c:pt idx="85">
                  <c:v>-0.95695492051195963</c:v>
                </c:pt>
                <c:pt idx="86">
                  <c:v>-0.43813124190276831</c:v>
                </c:pt>
                <c:pt idx="87">
                  <c:v>0.70539602168520155</c:v>
                </c:pt>
                <c:pt idx="88">
                  <c:v>0.57469258907529941</c:v>
                </c:pt>
                <c:pt idx="89">
                  <c:v>4.303430120607457</c:v>
                </c:pt>
                <c:pt idx="90">
                  <c:v>2.0531862946605006</c:v>
                </c:pt>
                <c:pt idx="91">
                  <c:v>1.6716834791620432</c:v>
                </c:pt>
                <c:pt idx="92">
                  <c:v>1.9038150120289981</c:v>
                </c:pt>
                <c:pt idx="93">
                  <c:v>4.4807112773373188</c:v>
                </c:pt>
                <c:pt idx="94">
                  <c:v>4.7367504737379473</c:v>
                </c:pt>
                <c:pt idx="95">
                  <c:v>-0.79661098902103156</c:v>
                </c:pt>
                <c:pt idx="96">
                  <c:v>-0.4774779563506435</c:v>
                </c:pt>
                <c:pt idx="97">
                  <c:v>-1.7637205065450203</c:v>
                </c:pt>
                <c:pt idx="98">
                  <c:v>-1.4498026083788922</c:v>
                </c:pt>
                <c:pt idx="99">
                  <c:v>-1.2598282610725171</c:v>
                </c:pt>
                <c:pt idx="100">
                  <c:v>3.2614195376336106</c:v>
                </c:pt>
                <c:pt idx="101">
                  <c:v>-1.3025277700604079</c:v>
                </c:pt>
                <c:pt idx="102">
                  <c:v>2.751930319517724</c:v>
                </c:pt>
                <c:pt idx="103">
                  <c:v>3.5671884877523024</c:v>
                </c:pt>
                <c:pt idx="104">
                  <c:v>3.3399437606035089</c:v>
                </c:pt>
                <c:pt idx="105">
                  <c:v>1.7174950897958272</c:v>
                </c:pt>
                <c:pt idx="106">
                  <c:v>-2.2396789083371083</c:v>
                </c:pt>
                <c:pt idx="107">
                  <c:v>-5.0767456065881227</c:v>
                </c:pt>
                <c:pt idx="108">
                  <c:v>-1.6588631337015549</c:v>
                </c:pt>
                <c:pt idx="109">
                  <c:v>-2.4729960533551996</c:v>
                </c:pt>
                <c:pt idx="110">
                  <c:v>-7.829085733024133</c:v>
                </c:pt>
                <c:pt idx="111">
                  <c:v>-3.9085506932811391</c:v>
                </c:pt>
                <c:pt idx="112">
                  <c:v>-0.73109303265432501</c:v>
                </c:pt>
                <c:pt idx="113">
                  <c:v>1.0068177646571854</c:v>
                </c:pt>
                <c:pt idx="114">
                  <c:v>2.0378198619182033</c:v>
                </c:pt>
                <c:pt idx="115">
                  <c:v>5.4103252625320852</c:v>
                </c:pt>
                <c:pt idx="116">
                  <c:v>1.3259268277455298</c:v>
                </c:pt>
                <c:pt idx="117">
                  <c:v>-1.7785028434634285</c:v>
                </c:pt>
                <c:pt idx="118">
                  <c:v>-3.3718766553972728</c:v>
                </c:pt>
                <c:pt idx="119">
                  <c:v>-2.5828050344495175</c:v>
                </c:pt>
                <c:pt idx="120">
                  <c:v>-1.3392384454388342</c:v>
                </c:pt>
                <c:pt idx="121">
                  <c:v>1.3315537016991179</c:v>
                </c:pt>
                <c:pt idx="122">
                  <c:v>-1.8512794433860797</c:v>
                </c:pt>
                <c:pt idx="123">
                  <c:v>-3.5103684388266547</c:v>
                </c:pt>
                <c:pt idx="124">
                  <c:v>-0.70016081502367911</c:v>
                </c:pt>
                <c:pt idx="125">
                  <c:v>-2.6367038878944342</c:v>
                </c:pt>
                <c:pt idx="126">
                  <c:v>-4.4341642053186519</c:v>
                </c:pt>
                <c:pt idx="127">
                  <c:v>1.9523448025636938</c:v>
                </c:pt>
                <c:pt idx="128">
                  <c:v>1.7600781462322104</c:v>
                </c:pt>
                <c:pt idx="129">
                  <c:v>2.3426546425333044</c:v>
                </c:pt>
                <c:pt idx="130">
                  <c:v>1.1396571614401267</c:v>
                </c:pt>
                <c:pt idx="131">
                  <c:v>-1.180991426591703</c:v>
                </c:pt>
                <c:pt idx="132">
                  <c:v>-1.7730602397086841</c:v>
                </c:pt>
                <c:pt idx="133">
                  <c:v>4.9554717836393536E-2</c:v>
                </c:pt>
                <c:pt idx="134">
                  <c:v>1.2912573129919824</c:v>
                </c:pt>
                <c:pt idx="135">
                  <c:v>1.2789483977625302</c:v>
                </c:pt>
                <c:pt idx="136">
                  <c:v>1.0536274709042779</c:v>
                </c:pt>
                <c:pt idx="137">
                  <c:v>1.8077221917050039</c:v>
                </c:pt>
                <c:pt idx="138">
                  <c:v>4.0965547880931652E-2</c:v>
                </c:pt>
                <c:pt idx="139">
                  <c:v>1.6961348422366136</c:v>
                </c:pt>
                <c:pt idx="140">
                  <c:v>-2.8598553304899319</c:v>
                </c:pt>
                <c:pt idx="141">
                  <c:v>-0.97491923870663655</c:v>
                </c:pt>
                <c:pt idx="142">
                  <c:v>0.18474212911043963</c:v>
                </c:pt>
                <c:pt idx="143">
                  <c:v>3.1232816204436418</c:v>
                </c:pt>
                <c:pt idx="144">
                  <c:v>2.0282570519364427</c:v>
                </c:pt>
                <c:pt idx="145">
                  <c:v>-3.9957839806696676</c:v>
                </c:pt>
                <c:pt idx="146">
                  <c:v>-1.2970472537835569</c:v>
                </c:pt>
                <c:pt idx="147">
                  <c:v>-1.8314383562821419</c:v>
                </c:pt>
                <c:pt idx="148">
                  <c:v>-0.39258842637774904</c:v>
                </c:pt>
                <c:pt idx="149">
                  <c:v>2.3274871252693892</c:v>
                </c:pt>
                <c:pt idx="150">
                  <c:v>-0.26139525343694814</c:v>
                </c:pt>
                <c:pt idx="151">
                  <c:v>-0.11168555895376997</c:v>
                </c:pt>
                <c:pt idx="152">
                  <c:v>-3.7841971730287796</c:v>
                </c:pt>
                <c:pt idx="153">
                  <c:v>-5.1715440075707697</c:v>
                </c:pt>
                <c:pt idx="154">
                  <c:v>5.0652238427025509</c:v>
                </c:pt>
                <c:pt idx="155">
                  <c:v>2.5048784516174081</c:v>
                </c:pt>
                <c:pt idx="156">
                  <c:v>3.8797325690618791</c:v>
                </c:pt>
                <c:pt idx="157">
                  <c:v>2.6523259339583589</c:v>
                </c:pt>
                <c:pt idx="158">
                  <c:v>1.2378593083862395</c:v>
                </c:pt>
                <c:pt idx="159">
                  <c:v>0.10604405246736626</c:v>
                </c:pt>
                <c:pt idx="160">
                  <c:v>-1.6583464934894252</c:v>
                </c:pt>
                <c:pt idx="161">
                  <c:v>1.376589056038874</c:v>
                </c:pt>
                <c:pt idx="162">
                  <c:v>0.84290656246490414</c:v>
                </c:pt>
                <c:pt idx="163">
                  <c:v>0.7644289124161503</c:v>
                </c:pt>
                <c:pt idx="164">
                  <c:v>-6.1903709804526379</c:v>
                </c:pt>
                <c:pt idx="165">
                  <c:v>1.8197370870706457</c:v>
                </c:pt>
                <c:pt idx="166">
                  <c:v>0.37919905367258977</c:v>
                </c:pt>
                <c:pt idx="167">
                  <c:v>-0.95237145896010134</c:v>
                </c:pt>
                <c:pt idx="168">
                  <c:v>6.0041341994399033E-2</c:v>
                </c:pt>
                <c:pt idx="169">
                  <c:v>-0.1506804362779981</c:v>
                </c:pt>
                <c:pt idx="170">
                  <c:v>-1.8599396988075974</c:v>
                </c:pt>
                <c:pt idx="171">
                  <c:v>-0.92938361389778379</c:v>
                </c:pt>
                <c:pt idx="172">
                  <c:v>-2.6466490817625505</c:v>
                </c:pt>
                <c:pt idx="173">
                  <c:v>0.67571731931547774</c:v>
                </c:pt>
                <c:pt idx="174">
                  <c:v>-0.61093282280583594</c:v>
                </c:pt>
                <c:pt idx="175">
                  <c:v>-1.0854465032026219</c:v>
                </c:pt>
                <c:pt idx="176">
                  <c:v>0.13254890189829638</c:v>
                </c:pt>
                <c:pt idx="177">
                  <c:v>-0.76584649394769144</c:v>
                </c:pt>
                <c:pt idx="178">
                  <c:v>1.1228260147205198</c:v>
                </c:pt>
                <c:pt idx="179">
                  <c:v>3.5587311688088441</c:v>
                </c:pt>
                <c:pt idx="180">
                  <c:v>1.8287918281424496</c:v>
                </c:pt>
                <c:pt idx="181">
                  <c:v>-2.4878378777137407</c:v>
                </c:pt>
                <c:pt idx="182">
                  <c:v>1.4110126274454373</c:v>
                </c:pt>
                <c:pt idx="183">
                  <c:v>0.59486986405739373</c:v>
                </c:pt>
                <c:pt idx="184">
                  <c:v>-0.5465045868787648</c:v>
                </c:pt>
                <c:pt idx="185">
                  <c:v>3.0093790588522271</c:v>
                </c:pt>
                <c:pt idx="186">
                  <c:v>1.5451606380097171</c:v>
                </c:pt>
                <c:pt idx="187">
                  <c:v>-0.5963669128431377</c:v>
                </c:pt>
                <c:pt idx="188">
                  <c:v>0.20421624229472179</c:v>
                </c:pt>
                <c:pt idx="189">
                  <c:v>1.8877517386659299</c:v>
                </c:pt>
                <c:pt idx="190">
                  <c:v>2.5765310522476454</c:v>
                </c:pt>
                <c:pt idx="191">
                  <c:v>2.4602681066078489</c:v>
                </c:pt>
                <c:pt idx="192">
                  <c:v>1.4760175960932465</c:v>
                </c:pt>
                <c:pt idx="193">
                  <c:v>2.0425580859860943</c:v>
                </c:pt>
                <c:pt idx="194">
                  <c:v>-1.674383518035512</c:v>
                </c:pt>
                <c:pt idx="195">
                  <c:v>-9.9355250280730445E-2</c:v>
                </c:pt>
                <c:pt idx="196">
                  <c:v>2.7836585992126359</c:v>
                </c:pt>
                <c:pt idx="197">
                  <c:v>2.0042151577847278</c:v>
                </c:pt>
                <c:pt idx="198">
                  <c:v>-0.7428611855571674</c:v>
                </c:pt>
                <c:pt idx="199">
                  <c:v>0.63619961962944416</c:v>
                </c:pt>
                <c:pt idx="200">
                  <c:v>-2.8959628057064464</c:v>
                </c:pt>
                <c:pt idx="201">
                  <c:v>-0.15020949522027038</c:v>
                </c:pt>
                <c:pt idx="202">
                  <c:v>3.0470233173706021</c:v>
                </c:pt>
                <c:pt idx="203">
                  <c:v>-3.6348436367429571E-2</c:v>
                </c:pt>
                <c:pt idx="204">
                  <c:v>2.5508408210687961</c:v>
                </c:pt>
                <c:pt idx="205">
                  <c:v>-2.4379948646307987</c:v>
                </c:pt>
                <c:pt idx="206">
                  <c:v>-2.7206667657694705</c:v>
                </c:pt>
                <c:pt idx="207">
                  <c:v>-3.057707758166373</c:v>
                </c:pt>
                <c:pt idx="208">
                  <c:v>-4.5764812301850952</c:v>
                </c:pt>
                <c:pt idx="209">
                  <c:v>-2.2533216473388435</c:v>
                </c:pt>
                <c:pt idx="210">
                  <c:v>3.4942824234881371</c:v>
                </c:pt>
                <c:pt idx="211">
                  <c:v>-2.2195683197987446</c:v>
                </c:pt>
                <c:pt idx="212">
                  <c:v>-3.3998270778984647</c:v>
                </c:pt>
                <c:pt idx="213">
                  <c:v>-3.6573790445660705</c:v>
                </c:pt>
                <c:pt idx="214">
                  <c:v>1.359339752426429</c:v>
                </c:pt>
                <c:pt idx="215">
                  <c:v>2.6710826046307474</c:v>
                </c:pt>
                <c:pt idx="216">
                  <c:v>4.7050241595151867</c:v>
                </c:pt>
                <c:pt idx="217">
                  <c:v>-0.83495458992066318</c:v>
                </c:pt>
                <c:pt idx="218">
                  <c:v>2.885481654821838</c:v>
                </c:pt>
                <c:pt idx="219">
                  <c:v>-3.9340232312689238E-2</c:v>
                </c:pt>
                <c:pt idx="220">
                  <c:v>-0.19621961996562476</c:v>
                </c:pt>
                <c:pt idx="221">
                  <c:v>-0.7228797323823386</c:v>
                </c:pt>
                <c:pt idx="222">
                  <c:v>-0.68161322134235824</c:v>
                </c:pt>
                <c:pt idx="223">
                  <c:v>-2.4304068121286662</c:v>
                </c:pt>
                <c:pt idx="224">
                  <c:v>7.3966146675417122E-3</c:v>
                </c:pt>
                <c:pt idx="225">
                  <c:v>-0.53580707400123373</c:v>
                </c:pt>
                <c:pt idx="226">
                  <c:v>-1.599927447495574</c:v>
                </c:pt>
                <c:pt idx="227">
                  <c:v>0.75046015520094222</c:v>
                </c:pt>
                <c:pt idx="228">
                  <c:v>-0.19038619316589056</c:v>
                </c:pt>
                <c:pt idx="229">
                  <c:v>0.94447198432361468</c:v>
                </c:pt>
                <c:pt idx="230">
                  <c:v>0.82941137037959045</c:v>
                </c:pt>
                <c:pt idx="231">
                  <c:v>-1.387966595675568</c:v>
                </c:pt>
                <c:pt idx="232">
                  <c:v>0.26301018510236673</c:v>
                </c:pt>
                <c:pt idx="233">
                  <c:v>-2.9130771085730984</c:v>
                </c:pt>
                <c:pt idx="234">
                  <c:v>1.3551962612826642</c:v>
                </c:pt>
                <c:pt idx="235">
                  <c:v>2.3684790614484044</c:v>
                </c:pt>
                <c:pt idx="236">
                  <c:v>5.8147271312820266</c:v>
                </c:pt>
                <c:pt idx="237">
                  <c:v>-0.46069525643412135</c:v>
                </c:pt>
                <c:pt idx="238">
                  <c:v>1.3778608081036161</c:v>
                </c:pt>
                <c:pt idx="239">
                  <c:v>-3.7710553172809824</c:v>
                </c:pt>
                <c:pt idx="240">
                  <c:v>-5.0266164271851927</c:v>
                </c:pt>
                <c:pt idx="241">
                  <c:v>-4.5409961153210432</c:v>
                </c:pt>
                <c:pt idx="242">
                  <c:v>12.602811720767161</c:v>
                </c:pt>
                <c:pt idx="243">
                  <c:v>6.8963199862834372</c:v>
                </c:pt>
                <c:pt idx="244">
                  <c:v>2.2457806066314632</c:v>
                </c:pt>
                <c:pt idx="245">
                  <c:v>9.5684176990801362</c:v>
                </c:pt>
                <c:pt idx="246">
                  <c:v>4.7389597834632013</c:v>
                </c:pt>
                <c:pt idx="247">
                  <c:v>-0.6651974601030517</c:v>
                </c:pt>
                <c:pt idx="248">
                  <c:v>1.195320056096385</c:v>
                </c:pt>
                <c:pt idx="249">
                  <c:v>1.1436375376485799</c:v>
                </c:pt>
                <c:pt idx="250">
                  <c:v>-0.58561698530090922</c:v>
                </c:pt>
                <c:pt idx="251">
                  <c:v>-1.3720389585806849</c:v>
                </c:pt>
                <c:pt idx="252">
                  <c:v>-2.7964321049882734</c:v>
                </c:pt>
                <c:pt idx="253">
                  <c:v>0.91176633516874261</c:v>
                </c:pt>
                <c:pt idx="254">
                  <c:v>0.10155334534412574</c:v>
                </c:pt>
                <c:pt idx="255">
                  <c:v>-2.2747390895169666</c:v>
                </c:pt>
                <c:pt idx="256">
                  <c:v>2.9570024355997759E-2</c:v>
                </c:pt>
                <c:pt idx="257">
                  <c:v>-1.664784595401013</c:v>
                </c:pt>
                <c:pt idx="258">
                  <c:v>-0.67405350824827792</c:v>
                </c:pt>
                <c:pt idx="259">
                  <c:v>-2.0749842078873826</c:v>
                </c:pt>
                <c:pt idx="260">
                  <c:v>-0.49312376482209785</c:v>
                </c:pt>
                <c:pt idx="261">
                  <c:v>-1.5671289334489451</c:v>
                </c:pt>
                <c:pt idx="262">
                  <c:v>-2.8044704718690312</c:v>
                </c:pt>
                <c:pt idx="263">
                  <c:v>1.0421618733116631</c:v>
                </c:pt>
                <c:pt idx="264">
                  <c:v>2.6262677635569638</c:v>
                </c:pt>
                <c:pt idx="265">
                  <c:v>0.55535020932586576</c:v>
                </c:pt>
                <c:pt idx="266">
                  <c:v>-1.0286374266973972</c:v>
                </c:pt>
                <c:pt idx="267">
                  <c:v>4.0196710083655063</c:v>
                </c:pt>
                <c:pt idx="268">
                  <c:v>-6.0724987233543857</c:v>
                </c:pt>
                <c:pt idx="269">
                  <c:v>-0.5856315812431383</c:v>
                </c:pt>
                <c:pt idx="270">
                  <c:v>0.24660383734888569</c:v>
                </c:pt>
                <c:pt idx="271">
                  <c:v>-3.7969899171101389</c:v>
                </c:pt>
                <c:pt idx="272">
                  <c:v>-5.0256878970144214</c:v>
                </c:pt>
                <c:pt idx="273">
                  <c:v>-6.3988604133503237</c:v>
                </c:pt>
                <c:pt idx="274">
                  <c:v>-3.7080665501010124</c:v>
                </c:pt>
                <c:pt idx="275">
                  <c:v>-5.7018753616404751</c:v>
                </c:pt>
                <c:pt idx="276">
                  <c:v>1.4015662037741912</c:v>
                </c:pt>
                <c:pt idx="277">
                  <c:v>-3.4940039844357784E-2</c:v>
                </c:pt>
                <c:pt idx="278">
                  <c:v>-1.99949938057404</c:v>
                </c:pt>
                <c:pt idx="279">
                  <c:v>-5.4777362910350398</c:v>
                </c:pt>
                <c:pt idx="280">
                  <c:v>-3.4353579566860972</c:v>
                </c:pt>
                <c:pt idx="281">
                  <c:v>-3.6041439871102305</c:v>
                </c:pt>
                <c:pt idx="282">
                  <c:v>-2.3984009346033197</c:v>
                </c:pt>
                <c:pt idx="283">
                  <c:v>-3.2432836802764555</c:v>
                </c:pt>
                <c:pt idx="284">
                  <c:v>-3.2418007179684238</c:v>
                </c:pt>
                <c:pt idx="285">
                  <c:v>-3.0311116189096978</c:v>
                </c:pt>
                <c:pt idx="286">
                  <c:v>-2.0127346166599196</c:v>
                </c:pt>
                <c:pt idx="287">
                  <c:v>-0.30445188157722569</c:v>
                </c:pt>
                <c:pt idx="288">
                  <c:v>-3.4648982391989804</c:v>
                </c:pt>
                <c:pt idx="289">
                  <c:v>-2.3143435995966009</c:v>
                </c:pt>
                <c:pt idx="290">
                  <c:v>-0.91222407969396357</c:v>
                </c:pt>
                <c:pt idx="291">
                  <c:v>-0.93543584763308019</c:v>
                </c:pt>
                <c:pt idx="292">
                  <c:v>1.2983341994516522</c:v>
                </c:pt>
                <c:pt idx="293">
                  <c:v>4.8980237129467525</c:v>
                </c:pt>
                <c:pt idx="294">
                  <c:v>0.42082247235989101</c:v>
                </c:pt>
                <c:pt idx="295">
                  <c:v>0.78859467635053804</c:v>
                </c:pt>
                <c:pt idx="296">
                  <c:v>2.9793327368628404</c:v>
                </c:pt>
                <c:pt idx="297">
                  <c:v>0.76965081548959446</c:v>
                </c:pt>
                <c:pt idx="298">
                  <c:v>0.8806690032328639</c:v>
                </c:pt>
                <c:pt idx="299">
                  <c:v>4.6787026337196131</c:v>
                </c:pt>
                <c:pt idx="300">
                  <c:v>4.7255371529637742</c:v>
                </c:pt>
                <c:pt idx="301">
                  <c:v>-0.77381686786809567</c:v>
                </c:pt>
                <c:pt idx="302">
                  <c:v>5.4700697595587613</c:v>
                </c:pt>
                <c:pt idx="303">
                  <c:v>1.5831867918953044</c:v>
                </c:pt>
                <c:pt idx="304">
                  <c:v>2.009349369600077</c:v>
                </c:pt>
                <c:pt idx="305">
                  <c:v>0.54099687918733608</c:v>
                </c:pt>
                <c:pt idx="306">
                  <c:v>6.1059694957719977</c:v>
                </c:pt>
                <c:pt idx="307">
                  <c:v>5.7935096405499564</c:v>
                </c:pt>
                <c:pt idx="308">
                  <c:v>1.1206073950828923</c:v>
                </c:pt>
                <c:pt idx="309">
                  <c:v>-1.8874636127849627</c:v>
                </c:pt>
                <c:pt idx="310">
                  <c:v>0.56001834522155036</c:v>
                </c:pt>
                <c:pt idx="311">
                  <c:v>-2.8374082084789976</c:v>
                </c:pt>
                <c:pt idx="312">
                  <c:v>-3.4977256262836711</c:v>
                </c:pt>
                <c:pt idx="313">
                  <c:v>-4.8918325835660497</c:v>
                </c:pt>
                <c:pt idx="314">
                  <c:v>-8.1779015490519242</c:v>
                </c:pt>
                <c:pt idx="315">
                  <c:v>-1.1512318724778297</c:v>
                </c:pt>
                <c:pt idx="316">
                  <c:v>-2.9302606022791302</c:v>
                </c:pt>
                <c:pt idx="317">
                  <c:v>-2.5295064065369779</c:v>
                </c:pt>
                <c:pt idx="318">
                  <c:v>2.8996754982406117</c:v>
                </c:pt>
                <c:pt idx="319">
                  <c:v>-3.0320431699243073</c:v>
                </c:pt>
                <c:pt idx="320">
                  <c:v>10.420779520197179</c:v>
                </c:pt>
                <c:pt idx="321">
                  <c:v>-2.076137956131646</c:v>
                </c:pt>
                <c:pt idx="322">
                  <c:v>4.6207795201971749</c:v>
                </c:pt>
                <c:pt idx="323">
                  <c:v>7.8401542785589129</c:v>
                </c:pt>
                <c:pt idx="324">
                  <c:v>8.2059816823380984</c:v>
                </c:pt>
                <c:pt idx="325">
                  <c:v>4.6284093027521749</c:v>
                </c:pt>
                <c:pt idx="326">
                  <c:v>-0.25259781271279991</c:v>
                </c:pt>
                <c:pt idx="327">
                  <c:v>7.1367918841739098</c:v>
                </c:pt>
                <c:pt idx="328">
                  <c:v>-2.1695317793666646</c:v>
                </c:pt>
                <c:pt idx="329">
                  <c:v>-7.6477299817195252</c:v>
                </c:pt>
                <c:pt idx="330">
                  <c:v>1.6592681531778375</c:v>
                </c:pt>
                <c:pt idx="331">
                  <c:v>-10.341319380742693</c:v>
                </c:pt>
                <c:pt idx="332">
                  <c:v>1.2908850469740116</c:v>
                </c:pt>
                <c:pt idx="333">
                  <c:v>-2.7541697254070172</c:v>
                </c:pt>
                <c:pt idx="334">
                  <c:v>-2.050550208008115</c:v>
                </c:pt>
                <c:pt idx="335">
                  <c:v>-1.9163703138161807</c:v>
                </c:pt>
                <c:pt idx="336">
                  <c:v>-2.6624285024146026</c:v>
                </c:pt>
                <c:pt idx="337">
                  <c:v>-4.1385252176636058</c:v>
                </c:pt>
                <c:pt idx="338">
                  <c:v>0.21780228240463018</c:v>
                </c:pt>
                <c:pt idx="339">
                  <c:v>3.6458283829900253</c:v>
                </c:pt>
                <c:pt idx="340">
                  <c:v>6.310785739624265</c:v>
                </c:pt>
                <c:pt idx="341">
                  <c:v>-0.29638220502730661</c:v>
                </c:pt>
                <c:pt idx="342">
                  <c:v>-1.4384177487419194</c:v>
                </c:pt>
                <c:pt idx="343">
                  <c:v>2.7734115219904965</c:v>
                </c:pt>
                <c:pt idx="344">
                  <c:v>3.8044504472636334</c:v>
                </c:pt>
                <c:pt idx="345">
                  <c:v>-2.7246085997710168E-2</c:v>
                </c:pt>
                <c:pt idx="346">
                  <c:v>3.7160745768104206</c:v>
                </c:pt>
                <c:pt idx="347">
                  <c:v>2.5877848061476527</c:v>
                </c:pt>
                <c:pt idx="348">
                  <c:v>-0.21600647278823715</c:v>
                </c:pt>
                <c:pt idx="349">
                  <c:v>0.13012781877232271</c:v>
                </c:pt>
                <c:pt idx="350">
                  <c:v>0.82565360107835062</c:v>
                </c:pt>
                <c:pt idx="351">
                  <c:v>0.23451694719468463</c:v>
                </c:pt>
                <c:pt idx="352">
                  <c:v>2.4822047940391521</c:v>
                </c:pt>
                <c:pt idx="353">
                  <c:v>0.86132375554942087</c:v>
                </c:pt>
                <c:pt idx="354">
                  <c:v>0.59338841021498823</c:v>
                </c:pt>
                <c:pt idx="355">
                  <c:v>2.7740110093426438</c:v>
                </c:pt>
                <c:pt idx="356">
                  <c:v>-3.3149690543959132</c:v>
                </c:pt>
                <c:pt idx="357">
                  <c:v>-4.2981240381282468</c:v>
                </c:pt>
                <c:pt idx="358">
                  <c:v>-1.7448415832330539</c:v>
                </c:pt>
                <c:pt idx="359">
                  <c:v>3.9436022376854325</c:v>
                </c:pt>
                <c:pt idx="360">
                  <c:v>-6.0995179995774045</c:v>
                </c:pt>
                <c:pt idx="361">
                  <c:v>-6.6975869013157414</c:v>
                </c:pt>
                <c:pt idx="362">
                  <c:v>-2.2817597840481199</c:v>
                </c:pt>
                <c:pt idx="363">
                  <c:v>-3.1045439475190335</c:v>
                </c:pt>
                <c:pt idx="364">
                  <c:v>2.6549451967773692</c:v>
                </c:pt>
                <c:pt idx="365">
                  <c:v>0.51763163163776227</c:v>
                </c:pt>
                <c:pt idx="366">
                  <c:v>-1.7517702810716216</c:v>
                </c:pt>
                <c:pt idx="367">
                  <c:v>-2.5910566701758526</c:v>
                </c:pt>
                <c:pt idx="368">
                  <c:v>-4.9003535563035925</c:v>
                </c:pt>
                <c:pt idx="369">
                  <c:v>0.38839689000521815</c:v>
                </c:pt>
                <c:pt idx="370">
                  <c:v>1.396850389014368</c:v>
                </c:pt>
                <c:pt idx="371">
                  <c:v>-4.8816316398170514</c:v>
                </c:pt>
                <c:pt idx="372">
                  <c:v>4.8819408018573185</c:v>
                </c:pt>
                <c:pt idx="373">
                  <c:v>2.9955958255321065</c:v>
                </c:pt>
                <c:pt idx="374">
                  <c:v>1.4051258261259463</c:v>
                </c:pt>
                <c:pt idx="375">
                  <c:v>1.4219011434101674</c:v>
                </c:pt>
                <c:pt idx="376">
                  <c:v>-0.45674863175286617</c:v>
                </c:pt>
                <c:pt idx="377">
                  <c:v>2.0768153801538176</c:v>
                </c:pt>
                <c:pt idx="378">
                  <c:v>-3.9231846198461824</c:v>
                </c:pt>
                <c:pt idx="379">
                  <c:v>2.2287146686073172</c:v>
                </c:pt>
                <c:pt idx="380">
                  <c:v>-3.2030330119305148</c:v>
                </c:pt>
                <c:pt idx="381">
                  <c:v>9.7454878622891314</c:v>
                </c:pt>
                <c:pt idx="382">
                  <c:v>-4.3180802485362832</c:v>
                </c:pt>
                <c:pt idx="383">
                  <c:v>-6.7275242056862794</c:v>
                </c:pt>
                <c:pt idx="384">
                  <c:v>9.1988637388233485E-2</c:v>
                </c:pt>
                <c:pt idx="385">
                  <c:v>4.4634167285852868</c:v>
                </c:pt>
                <c:pt idx="386">
                  <c:v>-1.5024451029257548</c:v>
                </c:pt>
                <c:pt idx="387">
                  <c:v>-2.3775203691586029</c:v>
                </c:pt>
                <c:pt idx="388">
                  <c:v>8.790691829294822</c:v>
                </c:pt>
                <c:pt idx="389">
                  <c:v>8.3668507451527319E-2</c:v>
                </c:pt>
                <c:pt idx="390">
                  <c:v>-2.326621479327649</c:v>
                </c:pt>
                <c:pt idx="391">
                  <c:v>1.2031022299690619</c:v>
                </c:pt>
              </c:numCache>
            </c:numRef>
          </c:yVal>
          <c:smooth val="0"/>
          <c:extLst>
            <c:ext xmlns:c16="http://schemas.microsoft.com/office/drawing/2014/chart" uri="{C3380CC4-5D6E-409C-BE32-E72D297353CC}">
              <c16:uniqueId val="{00000001-DB99-4A57-A065-B33A99D5893E}"/>
            </c:ext>
          </c:extLst>
        </c:ser>
        <c:dLbls>
          <c:showLegendKey val="0"/>
          <c:showVal val="0"/>
          <c:showCatName val="0"/>
          <c:showSerName val="0"/>
          <c:showPercent val="0"/>
          <c:showBubbleSize val="0"/>
        </c:dLbls>
        <c:axId val="178249808"/>
        <c:axId val="22797456"/>
      </c:scatterChart>
      <c:valAx>
        <c:axId val="178249808"/>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22797456"/>
        <c:crosses val="autoZero"/>
        <c:crossBetween val="midCat"/>
      </c:valAx>
      <c:valAx>
        <c:axId val="22797456"/>
        <c:scaling>
          <c:orientation val="minMax"/>
        </c:scaling>
        <c:delete val="0"/>
        <c:axPos val="l"/>
        <c:title>
          <c:tx>
            <c:rich>
              <a:bodyPr/>
              <a:lstStyle/>
              <a:p>
                <a:pPr>
                  <a:defRPr/>
                </a:pPr>
                <a:r>
                  <a:rPr lang="en-US"/>
                  <a:t>Residuals</a:t>
                </a:r>
              </a:p>
            </c:rich>
          </c:tx>
          <c:overlay val="0"/>
        </c:title>
        <c:numFmt formatCode="0" sourceLinked="0"/>
        <c:majorTickMark val="out"/>
        <c:minorTickMark val="none"/>
        <c:tickLblPos val="nextTo"/>
        <c:crossAx val="178249808"/>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Normal Q-Q</a:t>
            </a:r>
          </a:p>
        </c:rich>
      </c:tx>
      <c:overlay val="0"/>
      <c:spPr>
        <a:solidFill>
          <a:srgbClr val="CAEDFB"/>
        </a:solidFill>
      </c:spPr>
    </c:title>
    <c:autoTitleDeleted val="0"/>
    <c:plotArea>
      <c:layout/>
      <c:scatterChart>
        <c:scatterStyle val="lineMarker"/>
        <c:varyColors val="0"/>
        <c:ser>
          <c:idx val="0"/>
          <c:order val="0"/>
          <c:tx>
            <c:v>Normal Q-Q</c:v>
          </c:tx>
          <c:spPr>
            <a:ln w="38100">
              <a:noFill/>
            </a:ln>
          </c:spPr>
          <c:marker>
            <c:symbol val="diamond"/>
            <c:size val="4"/>
          </c:marker>
          <c:xVal>
            <c:numRef>
              <c:f>Regression!RegChartQQX</c:f>
              <c:numCache>
                <c:formatCode>0.0000</c:formatCode>
                <c:ptCount val="392"/>
                <c:pt idx="0">
                  <c:v>-3.0172230343004571</c:v>
                </c:pt>
                <c:pt idx="1">
                  <c:v>-2.6670046532742777</c:v>
                </c:pt>
                <c:pt idx="2">
                  <c:v>-2.6670046532742777</c:v>
                </c:pt>
                <c:pt idx="3">
                  <c:v>-2.368567059267872</c:v>
                </c:pt>
                <c:pt idx="4">
                  <c:v>-2.368567059267872</c:v>
                </c:pt>
                <c:pt idx="5">
                  <c:v>-2.368567059267872</c:v>
                </c:pt>
                <c:pt idx="6">
                  <c:v>-2.368567059267872</c:v>
                </c:pt>
                <c:pt idx="7">
                  <c:v>-2.0720014483779297</c:v>
                </c:pt>
                <c:pt idx="8">
                  <c:v>-2.0720014483779297</c:v>
                </c:pt>
                <c:pt idx="9">
                  <c:v>-2.0720014483779297</c:v>
                </c:pt>
                <c:pt idx="10">
                  <c:v>-2.0720014483779297</c:v>
                </c:pt>
                <c:pt idx="11">
                  <c:v>-2.0720014483779297</c:v>
                </c:pt>
                <c:pt idx="12">
                  <c:v>-2.0720014483779297</c:v>
                </c:pt>
                <c:pt idx="13">
                  <c:v>-1.8192221095957348</c:v>
                </c:pt>
                <c:pt idx="14">
                  <c:v>-1.8192221095957348</c:v>
                </c:pt>
                <c:pt idx="15">
                  <c:v>-1.8192221095957348</c:v>
                </c:pt>
                <c:pt idx="16">
                  <c:v>-1.8192221095957348</c:v>
                </c:pt>
                <c:pt idx="17">
                  <c:v>-1.8192221095957348</c:v>
                </c:pt>
                <c:pt idx="18">
                  <c:v>-1.8192221095957348</c:v>
                </c:pt>
                <c:pt idx="19">
                  <c:v>-1.8192221095957348</c:v>
                </c:pt>
                <c:pt idx="20">
                  <c:v>-1.8192221095957348</c:v>
                </c:pt>
                <c:pt idx="21">
                  <c:v>-1.8192221095957348</c:v>
                </c:pt>
                <c:pt idx="22">
                  <c:v>-1.8192221095957348</c:v>
                </c:pt>
                <c:pt idx="23">
                  <c:v>-1.8192221095957348</c:v>
                </c:pt>
                <c:pt idx="24">
                  <c:v>-1.8192221095957348</c:v>
                </c:pt>
                <c:pt idx="25">
                  <c:v>-1.8192221095957348</c:v>
                </c:pt>
                <c:pt idx="26">
                  <c:v>-1.8192221095957348</c:v>
                </c:pt>
                <c:pt idx="27">
                  <c:v>-1.8192221095957348</c:v>
                </c:pt>
                <c:pt idx="28">
                  <c:v>-1.8192221095957348</c:v>
                </c:pt>
                <c:pt idx="29">
                  <c:v>-1.8192221095957348</c:v>
                </c:pt>
                <c:pt idx="30">
                  <c:v>-1.8192221095957348</c:v>
                </c:pt>
                <c:pt idx="31">
                  <c:v>-1.8192221095957348</c:v>
                </c:pt>
                <c:pt idx="32">
                  <c:v>-1.8192221095957348</c:v>
                </c:pt>
                <c:pt idx="33">
                  <c:v>-1.3692588778592949</c:v>
                </c:pt>
                <c:pt idx="34">
                  <c:v>-1.3692588778592949</c:v>
                </c:pt>
                <c:pt idx="35">
                  <c:v>-1.3692588778592949</c:v>
                </c:pt>
                <c:pt idx="36">
                  <c:v>-1.3692588778592949</c:v>
                </c:pt>
                <c:pt idx="37">
                  <c:v>-1.3692588778592949</c:v>
                </c:pt>
                <c:pt idx="38">
                  <c:v>-1.3692588778592949</c:v>
                </c:pt>
                <c:pt idx="39">
                  <c:v>-1.3692588778592949</c:v>
                </c:pt>
                <c:pt idx="40">
                  <c:v>-1.3692588778592949</c:v>
                </c:pt>
                <c:pt idx="41">
                  <c:v>-1.3692588778592949</c:v>
                </c:pt>
                <c:pt idx="42">
                  <c:v>-1.3692588778592949</c:v>
                </c:pt>
                <c:pt idx="43">
                  <c:v>-1.3692588778592949</c:v>
                </c:pt>
                <c:pt idx="44">
                  <c:v>-1.3692588778592949</c:v>
                </c:pt>
                <c:pt idx="45">
                  <c:v>-1.3692588778592949</c:v>
                </c:pt>
                <c:pt idx="46">
                  <c:v>-1.3692588778592949</c:v>
                </c:pt>
                <c:pt idx="47">
                  <c:v>-1.3692588778592949</c:v>
                </c:pt>
                <c:pt idx="48">
                  <c:v>-1.3692588778592949</c:v>
                </c:pt>
                <c:pt idx="49">
                  <c:v>-1.3692588778592949</c:v>
                </c:pt>
                <c:pt idx="50">
                  <c:v>-1.3692588778592949</c:v>
                </c:pt>
                <c:pt idx="51">
                  <c:v>-1.3692588778592949</c:v>
                </c:pt>
                <c:pt idx="52">
                  <c:v>-1.1080108204698569</c:v>
                </c:pt>
                <c:pt idx="53">
                  <c:v>-1.0962733150227</c:v>
                </c:pt>
                <c:pt idx="54">
                  <c:v>-1.0962733150227</c:v>
                </c:pt>
                <c:pt idx="55">
                  <c:v>-1.0962733150227</c:v>
                </c:pt>
                <c:pt idx="56">
                  <c:v>-1.0962733150227</c:v>
                </c:pt>
                <c:pt idx="57">
                  <c:v>-1.0962733150227</c:v>
                </c:pt>
                <c:pt idx="58">
                  <c:v>-1.0962733150227</c:v>
                </c:pt>
                <c:pt idx="59">
                  <c:v>-1.0962733150227</c:v>
                </c:pt>
                <c:pt idx="60">
                  <c:v>-1.0962733150227</c:v>
                </c:pt>
                <c:pt idx="61">
                  <c:v>-1.0962733150227</c:v>
                </c:pt>
                <c:pt idx="62">
                  <c:v>-1.0962733150227</c:v>
                </c:pt>
                <c:pt idx="63">
                  <c:v>-1.0962733150227</c:v>
                </c:pt>
                <c:pt idx="64">
                  <c:v>-1.0962733150227</c:v>
                </c:pt>
                <c:pt idx="65">
                  <c:v>-1.0962733150227</c:v>
                </c:pt>
                <c:pt idx="66">
                  <c:v>-1.0962733150227</c:v>
                </c:pt>
                <c:pt idx="67">
                  <c:v>-1.0962733150227</c:v>
                </c:pt>
                <c:pt idx="68">
                  <c:v>-1.0962733150227</c:v>
                </c:pt>
                <c:pt idx="69">
                  <c:v>-0.92571937406474636</c:v>
                </c:pt>
                <c:pt idx="70">
                  <c:v>-0.92571937406474636</c:v>
                </c:pt>
                <c:pt idx="71">
                  <c:v>-0.92571937406474636</c:v>
                </c:pt>
                <c:pt idx="72">
                  <c:v>-0.92571937406474636</c:v>
                </c:pt>
                <c:pt idx="73">
                  <c:v>-0.92571937406474636</c:v>
                </c:pt>
                <c:pt idx="74">
                  <c:v>-0.87770829679608253</c:v>
                </c:pt>
                <c:pt idx="75">
                  <c:v>-0.87770829679608253</c:v>
                </c:pt>
                <c:pt idx="76">
                  <c:v>-0.87770829679608253</c:v>
                </c:pt>
                <c:pt idx="77">
                  <c:v>-0.87770829679608253</c:v>
                </c:pt>
                <c:pt idx="78">
                  <c:v>-0.87770829679608253</c:v>
                </c:pt>
                <c:pt idx="79">
                  <c:v>-0.87770829679608253</c:v>
                </c:pt>
                <c:pt idx="80">
                  <c:v>-0.87770829679608253</c:v>
                </c:pt>
                <c:pt idx="81">
                  <c:v>-0.87770829679608253</c:v>
                </c:pt>
                <c:pt idx="82">
                  <c:v>-0.87770829679608253</c:v>
                </c:pt>
                <c:pt idx="83">
                  <c:v>-0.87770829679608253</c:v>
                </c:pt>
                <c:pt idx="84">
                  <c:v>-0.87770829679608253</c:v>
                </c:pt>
                <c:pt idx="85">
                  <c:v>-0.87770829679608253</c:v>
                </c:pt>
                <c:pt idx="86">
                  <c:v>-0.87770829679608253</c:v>
                </c:pt>
                <c:pt idx="87">
                  <c:v>-0.76138260968642557</c:v>
                </c:pt>
                <c:pt idx="88">
                  <c:v>-0.75286571534072255</c:v>
                </c:pt>
                <c:pt idx="89">
                  <c:v>-0.75286571534072255</c:v>
                </c:pt>
                <c:pt idx="90">
                  <c:v>-0.75286571534072255</c:v>
                </c:pt>
                <c:pt idx="91">
                  <c:v>-0.72763551415159011</c:v>
                </c:pt>
                <c:pt idx="92">
                  <c:v>-0.71932811724388146</c:v>
                </c:pt>
                <c:pt idx="93">
                  <c:v>-0.71932811724388146</c:v>
                </c:pt>
                <c:pt idx="94">
                  <c:v>-0.71932811724388146</c:v>
                </c:pt>
                <c:pt idx="95">
                  <c:v>-0.71932811724388146</c:v>
                </c:pt>
                <c:pt idx="96">
                  <c:v>-0.71932811724388146</c:v>
                </c:pt>
                <c:pt idx="97">
                  <c:v>-0.71932811724388146</c:v>
                </c:pt>
                <c:pt idx="98">
                  <c:v>-0.71932811724388146</c:v>
                </c:pt>
                <c:pt idx="99">
                  <c:v>-0.66249652488531496</c:v>
                </c:pt>
                <c:pt idx="100">
                  <c:v>-0.66249652488531496</c:v>
                </c:pt>
                <c:pt idx="101">
                  <c:v>-0.66249652488531496</c:v>
                </c:pt>
                <c:pt idx="102">
                  <c:v>-0.66249652488531496</c:v>
                </c:pt>
                <c:pt idx="103">
                  <c:v>-0.66249652488531496</c:v>
                </c:pt>
                <c:pt idx="104">
                  <c:v>-0.62318453179067923</c:v>
                </c:pt>
                <c:pt idx="105">
                  <c:v>-0.62318453179067923</c:v>
                </c:pt>
                <c:pt idx="106">
                  <c:v>-0.60772881744947449</c:v>
                </c:pt>
                <c:pt idx="107">
                  <c:v>-0.60005529056970508</c:v>
                </c:pt>
                <c:pt idx="108">
                  <c:v>-0.60005529056970508</c:v>
                </c:pt>
                <c:pt idx="109">
                  <c:v>-0.60005529056970508</c:v>
                </c:pt>
                <c:pt idx="110">
                  <c:v>-0.60005529056970508</c:v>
                </c:pt>
                <c:pt idx="111">
                  <c:v>-0.60005529056970508</c:v>
                </c:pt>
                <c:pt idx="112">
                  <c:v>-0.60005529056970508</c:v>
                </c:pt>
                <c:pt idx="113">
                  <c:v>-0.60005529056970508</c:v>
                </c:pt>
                <c:pt idx="114">
                  <c:v>-0.60005529056970508</c:v>
                </c:pt>
                <c:pt idx="115">
                  <c:v>-0.60005529056970508</c:v>
                </c:pt>
                <c:pt idx="116">
                  <c:v>-0.60005529056970508</c:v>
                </c:pt>
                <c:pt idx="117">
                  <c:v>-0.60005529056970508</c:v>
                </c:pt>
                <c:pt idx="118">
                  <c:v>-0.60005529056970508</c:v>
                </c:pt>
                <c:pt idx="119">
                  <c:v>-0.60005529056970508</c:v>
                </c:pt>
                <c:pt idx="120">
                  <c:v>-0.60005529056970508</c:v>
                </c:pt>
                <c:pt idx="121">
                  <c:v>-0.60005529056970508</c:v>
                </c:pt>
                <c:pt idx="122">
                  <c:v>-0.60005529056970508</c:v>
                </c:pt>
                <c:pt idx="123">
                  <c:v>-0.60005529056970508</c:v>
                </c:pt>
                <c:pt idx="124">
                  <c:v>-0.47441488350636313</c:v>
                </c:pt>
                <c:pt idx="125">
                  <c:v>-0.47441488350636313</c:v>
                </c:pt>
                <c:pt idx="126">
                  <c:v>-0.4601505487612142</c:v>
                </c:pt>
                <c:pt idx="127">
                  <c:v>-0.45305351907680225</c:v>
                </c:pt>
                <c:pt idx="128">
                  <c:v>-0.45305351907680225</c:v>
                </c:pt>
                <c:pt idx="129">
                  <c:v>-0.45305351907680225</c:v>
                </c:pt>
                <c:pt idx="130">
                  <c:v>-0.43189692948271047</c:v>
                </c:pt>
                <c:pt idx="131">
                  <c:v>-0.42488793897993393</c:v>
                </c:pt>
                <c:pt idx="132">
                  <c:v>-0.42488793897993393</c:v>
                </c:pt>
                <c:pt idx="133">
                  <c:v>-0.42488793897993393</c:v>
                </c:pt>
                <c:pt idx="134">
                  <c:v>-0.42488793897993393</c:v>
                </c:pt>
                <c:pt idx="135">
                  <c:v>-0.42488793897993393</c:v>
                </c:pt>
                <c:pt idx="136">
                  <c:v>-0.42488793897993393</c:v>
                </c:pt>
                <c:pt idx="137">
                  <c:v>-0.42488793897993393</c:v>
                </c:pt>
                <c:pt idx="138">
                  <c:v>-0.42488793897993393</c:v>
                </c:pt>
                <c:pt idx="139">
                  <c:v>-0.42488793897993393</c:v>
                </c:pt>
                <c:pt idx="140">
                  <c:v>-0.42488793897993393</c:v>
                </c:pt>
                <c:pt idx="141">
                  <c:v>-0.42488793897993393</c:v>
                </c:pt>
                <c:pt idx="142">
                  <c:v>-0.42488793897993393</c:v>
                </c:pt>
                <c:pt idx="143">
                  <c:v>-0.34227644932452284</c:v>
                </c:pt>
                <c:pt idx="144">
                  <c:v>-0.3355040396155593</c:v>
                </c:pt>
                <c:pt idx="145">
                  <c:v>-0.3355040396155593</c:v>
                </c:pt>
                <c:pt idx="146">
                  <c:v>-0.3355040396155593</c:v>
                </c:pt>
                <c:pt idx="147">
                  <c:v>-0.31527742954587812</c:v>
                </c:pt>
                <c:pt idx="148">
                  <c:v>-0.31527742954587812</c:v>
                </c:pt>
                <c:pt idx="149">
                  <c:v>-0.30186483701074074</c:v>
                </c:pt>
                <c:pt idx="150">
                  <c:v>-0.29517900048864582</c:v>
                </c:pt>
                <c:pt idx="151">
                  <c:v>-0.28850633275119353</c:v>
                </c:pt>
                <c:pt idx="152">
                  <c:v>-0.28850633275119353</c:v>
                </c:pt>
                <c:pt idx="153">
                  <c:v>-0.28850633275119353</c:v>
                </c:pt>
                <c:pt idx="154">
                  <c:v>-0.28850633275119353</c:v>
                </c:pt>
                <c:pt idx="155">
                  <c:v>-0.28850633275119353</c:v>
                </c:pt>
                <c:pt idx="156">
                  <c:v>-0.28850633275119353</c:v>
                </c:pt>
                <c:pt idx="157">
                  <c:v>-0.28850633275119353</c:v>
                </c:pt>
                <c:pt idx="158">
                  <c:v>-0.28850633275119353</c:v>
                </c:pt>
                <c:pt idx="159">
                  <c:v>-0.28850633275119353</c:v>
                </c:pt>
                <c:pt idx="160">
                  <c:v>-0.22898889026089997</c:v>
                </c:pt>
                <c:pt idx="161">
                  <c:v>-0.22898889026089997</c:v>
                </c:pt>
                <c:pt idx="162">
                  <c:v>-0.22898889026089997</c:v>
                </c:pt>
                <c:pt idx="163">
                  <c:v>-0.22898889026089997</c:v>
                </c:pt>
                <c:pt idx="164">
                  <c:v>-0.20280722023220576</c:v>
                </c:pt>
                <c:pt idx="165">
                  <c:v>-0.1962841646325432</c:v>
                </c:pt>
                <c:pt idx="166">
                  <c:v>-0.1962841646325432</c:v>
                </c:pt>
                <c:pt idx="167">
                  <c:v>-0.1962841646325432</c:v>
                </c:pt>
                <c:pt idx="168">
                  <c:v>-0.17676385996282307</c:v>
                </c:pt>
                <c:pt idx="169">
                  <c:v>-0.17676385996282307</c:v>
                </c:pt>
                <c:pt idx="170">
                  <c:v>-0.16378810102408645</c:v>
                </c:pt>
                <c:pt idx="171">
                  <c:v>-0.1573106846101707</c:v>
                </c:pt>
                <c:pt idx="172">
                  <c:v>-0.1573106846101707</c:v>
                </c:pt>
                <c:pt idx="173">
                  <c:v>-0.1573106846101707</c:v>
                </c:pt>
                <c:pt idx="174">
                  <c:v>-0.1573106846101707</c:v>
                </c:pt>
                <c:pt idx="175">
                  <c:v>-0.1573106846101707</c:v>
                </c:pt>
                <c:pt idx="176">
                  <c:v>-0.1573106846101707</c:v>
                </c:pt>
                <c:pt idx="177">
                  <c:v>-0.1573106846101707</c:v>
                </c:pt>
                <c:pt idx="178">
                  <c:v>-0.11213762424542992</c:v>
                </c:pt>
                <c:pt idx="179">
                  <c:v>-0.1057051091748199</c:v>
                </c:pt>
                <c:pt idx="180">
                  <c:v>-0.1057051091748199</c:v>
                </c:pt>
                <c:pt idx="181">
                  <c:v>-0.1057051091748199</c:v>
                </c:pt>
                <c:pt idx="182">
                  <c:v>-8.6432705492186665E-2</c:v>
                </c:pt>
                <c:pt idx="183">
                  <c:v>-8.0016051321401133E-2</c:v>
                </c:pt>
                <c:pt idx="184">
                  <c:v>-8.0016051321401133E-2</c:v>
                </c:pt>
                <c:pt idx="185">
                  <c:v>-8.0016051321401133E-2</c:v>
                </c:pt>
                <c:pt idx="186">
                  <c:v>-8.0016051321401133E-2</c:v>
                </c:pt>
                <c:pt idx="187">
                  <c:v>-8.0016051321401133E-2</c:v>
                </c:pt>
                <c:pt idx="188">
                  <c:v>-8.0016051321401133E-2</c:v>
                </c:pt>
                <c:pt idx="189">
                  <c:v>-8.0016051321401133E-2</c:v>
                </c:pt>
                <c:pt idx="190">
                  <c:v>-8.0016051321401133E-2</c:v>
                </c:pt>
                <c:pt idx="191">
                  <c:v>-8.0016051321401133E-2</c:v>
                </c:pt>
                <c:pt idx="192">
                  <c:v>-8.0016051321401133E-2</c:v>
                </c:pt>
                <c:pt idx="193">
                  <c:v>-1.5986830666930081E-2</c:v>
                </c:pt>
                <c:pt idx="194">
                  <c:v>-9.5918369045287465E-3</c:v>
                </c:pt>
                <c:pt idx="195">
                  <c:v>-3.1972353893137463E-3</c:v>
                </c:pt>
                <c:pt idx="196">
                  <c:v>3.1972353893138855E-3</c:v>
                </c:pt>
                <c:pt idx="197">
                  <c:v>3.1972353893138855E-3</c:v>
                </c:pt>
                <c:pt idx="198">
                  <c:v>3.1972353893138855E-3</c:v>
                </c:pt>
                <c:pt idx="199">
                  <c:v>3.1972353893138855E-3</c:v>
                </c:pt>
                <c:pt idx="200">
                  <c:v>3.1972353893138855E-3</c:v>
                </c:pt>
                <c:pt idx="201">
                  <c:v>3.1972353893138855E-3</c:v>
                </c:pt>
                <c:pt idx="202">
                  <c:v>3.1972353893138855E-3</c:v>
                </c:pt>
                <c:pt idx="203">
                  <c:v>3.1972353893138855E-3</c:v>
                </c:pt>
                <c:pt idx="204">
                  <c:v>3.1972353893138855E-3</c:v>
                </c:pt>
                <c:pt idx="205">
                  <c:v>6.0784779324276172E-2</c:v>
                </c:pt>
                <c:pt idx="206">
                  <c:v>6.7192354710227428E-2</c:v>
                </c:pt>
                <c:pt idx="207">
                  <c:v>7.3602690030832113E-2</c:v>
                </c:pt>
                <c:pt idx="208">
                  <c:v>8.0016051321400994E-2</c:v>
                </c:pt>
                <c:pt idx="209">
                  <c:v>8.6432705492186818E-2</c:v>
                </c:pt>
                <c:pt idx="210">
                  <c:v>8.6432705492186818E-2</c:v>
                </c:pt>
                <c:pt idx="211">
                  <c:v>9.9276964964338646E-2</c:v>
                </c:pt>
                <c:pt idx="212">
                  <c:v>9.9276964964338646E-2</c:v>
                </c:pt>
                <c:pt idx="213">
                  <c:v>9.9276964964338646E-2</c:v>
                </c:pt>
                <c:pt idx="214">
                  <c:v>9.9276964964338646E-2</c:v>
                </c:pt>
                <c:pt idx="215">
                  <c:v>9.9276964964338646E-2</c:v>
                </c:pt>
                <c:pt idx="216">
                  <c:v>9.9276964964338646E-2</c:v>
                </c:pt>
                <c:pt idx="217">
                  <c:v>9.9276964964338646E-2</c:v>
                </c:pt>
                <c:pt idx="218">
                  <c:v>9.9276964964338646E-2</c:v>
                </c:pt>
                <c:pt idx="219">
                  <c:v>9.9276964964338646E-2</c:v>
                </c:pt>
                <c:pt idx="220">
                  <c:v>9.9276964964338646E-2</c:v>
                </c:pt>
                <c:pt idx="221">
                  <c:v>9.9276964964338646E-2</c:v>
                </c:pt>
                <c:pt idx="222">
                  <c:v>0.17027239685422862</c:v>
                </c:pt>
                <c:pt idx="223">
                  <c:v>0.17676385996282321</c:v>
                </c:pt>
                <c:pt idx="224">
                  <c:v>0.18326278037660315</c:v>
                </c:pt>
                <c:pt idx="225">
                  <c:v>0.18326278037660315</c:v>
                </c:pt>
                <c:pt idx="226">
                  <c:v>0.19628416463254303</c:v>
                </c:pt>
                <c:pt idx="227">
                  <c:v>0.19628416463254303</c:v>
                </c:pt>
                <c:pt idx="228">
                  <c:v>0.19628416463254303</c:v>
                </c:pt>
                <c:pt idx="229">
                  <c:v>0.19628416463254303</c:v>
                </c:pt>
                <c:pt idx="230">
                  <c:v>0.19628416463254303</c:v>
                </c:pt>
                <c:pt idx="231">
                  <c:v>0.19628416463254303</c:v>
                </c:pt>
                <c:pt idx="232">
                  <c:v>0.19628416463254303</c:v>
                </c:pt>
                <c:pt idx="233">
                  <c:v>0.19628416463254303</c:v>
                </c:pt>
                <c:pt idx="234">
                  <c:v>0.19628416463254303</c:v>
                </c:pt>
                <c:pt idx="235">
                  <c:v>0.19628416463254303</c:v>
                </c:pt>
                <c:pt idx="236">
                  <c:v>0.26194045846440461</c:v>
                </c:pt>
                <c:pt idx="237">
                  <c:v>0.26856388625555183</c:v>
                </c:pt>
                <c:pt idx="238">
                  <c:v>0.26856388625555183</c:v>
                </c:pt>
                <c:pt idx="239">
                  <c:v>0.2818464860769076</c:v>
                </c:pt>
                <c:pt idx="240">
                  <c:v>0.2818464860769076</c:v>
                </c:pt>
                <c:pt idx="241">
                  <c:v>0.29517900048864598</c:v>
                </c:pt>
                <c:pt idx="242">
                  <c:v>0.30186483701074074</c:v>
                </c:pt>
                <c:pt idx="243">
                  <c:v>0.30186483701074074</c:v>
                </c:pt>
                <c:pt idx="244">
                  <c:v>0.30186483701074074</c:v>
                </c:pt>
                <c:pt idx="245">
                  <c:v>0.30186483701074074</c:v>
                </c:pt>
                <c:pt idx="246">
                  <c:v>0.30186483701074074</c:v>
                </c:pt>
                <c:pt idx="247">
                  <c:v>0.30186483701074074</c:v>
                </c:pt>
                <c:pt idx="248">
                  <c:v>0.30186483701074074</c:v>
                </c:pt>
                <c:pt idx="249">
                  <c:v>0.30186483701074074</c:v>
                </c:pt>
                <c:pt idx="250">
                  <c:v>0.30186483701074074</c:v>
                </c:pt>
                <c:pt idx="251">
                  <c:v>0.30186483701074074</c:v>
                </c:pt>
                <c:pt idx="252">
                  <c:v>0.30186483701074074</c:v>
                </c:pt>
                <c:pt idx="253">
                  <c:v>0.30186483701074074</c:v>
                </c:pt>
                <c:pt idx="254">
                  <c:v>0.30186483701074074</c:v>
                </c:pt>
                <c:pt idx="255">
                  <c:v>0.30186483701074074</c:v>
                </c:pt>
                <c:pt idx="256">
                  <c:v>0.39705550482904034</c:v>
                </c:pt>
                <c:pt idx="257">
                  <c:v>0.40398399337523622</c:v>
                </c:pt>
                <c:pt idx="258">
                  <c:v>0.41093192943060336</c:v>
                </c:pt>
                <c:pt idx="259">
                  <c:v>0.41093192943060336</c:v>
                </c:pt>
                <c:pt idx="260">
                  <c:v>0.42488793897993393</c:v>
                </c:pt>
                <c:pt idx="261">
                  <c:v>0.43189692948271047</c:v>
                </c:pt>
                <c:pt idx="262">
                  <c:v>0.43189692948271047</c:v>
                </c:pt>
                <c:pt idx="263">
                  <c:v>0.43189692948271047</c:v>
                </c:pt>
                <c:pt idx="264">
                  <c:v>0.43189692948271047</c:v>
                </c:pt>
                <c:pt idx="265">
                  <c:v>0.43189692948271047</c:v>
                </c:pt>
                <c:pt idx="266">
                  <c:v>0.43189692948271047</c:v>
                </c:pt>
                <c:pt idx="267">
                  <c:v>0.43189692948271047</c:v>
                </c:pt>
                <c:pt idx="268">
                  <c:v>0.43189692948271047</c:v>
                </c:pt>
                <c:pt idx="269">
                  <c:v>0.43189692948271047</c:v>
                </c:pt>
                <c:pt idx="270">
                  <c:v>0.49599497085825733</c:v>
                </c:pt>
                <c:pt idx="271">
                  <c:v>0.49599497085825733</c:v>
                </c:pt>
                <c:pt idx="272">
                  <c:v>0.49599497085825733</c:v>
                </c:pt>
                <c:pt idx="273">
                  <c:v>0.51780857233137045</c:v>
                </c:pt>
                <c:pt idx="274">
                  <c:v>0.5251343538696831</c:v>
                </c:pt>
                <c:pt idx="275">
                  <c:v>0.53248842708754573</c:v>
                </c:pt>
                <c:pt idx="276">
                  <c:v>0.5398714122010615</c:v>
                </c:pt>
                <c:pt idx="277">
                  <c:v>0.5398714122010615</c:v>
                </c:pt>
                <c:pt idx="278">
                  <c:v>0.5398714122010615</c:v>
                </c:pt>
                <c:pt idx="279">
                  <c:v>0.5398714122010615</c:v>
                </c:pt>
                <c:pt idx="280">
                  <c:v>0.5398714122010615</c:v>
                </c:pt>
                <c:pt idx="281">
                  <c:v>0.5398714122010615</c:v>
                </c:pt>
                <c:pt idx="282">
                  <c:v>0.5398714122010615</c:v>
                </c:pt>
                <c:pt idx="283">
                  <c:v>0.5398714122010615</c:v>
                </c:pt>
                <c:pt idx="284">
                  <c:v>0.5398714122010615</c:v>
                </c:pt>
                <c:pt idx="285">
                  <c:v>0.5398714122010615</c:v>
                </c:pt>
                <c:pt idx="286">
                  <c:v>0.61543829749621981</c:v>
                </c:pt>
                <c:pt idx="287">
                  <c:v>0.62318453179067923</c:v>
                </c:pt>
                <c:pt idx="288">
                  <c:v>0.63096834177070094</c:v>
                </c:pt>
                <c:pt idx="289">
                  <c:v>0.63879057001741368</c:v>
                </c:pt>
                <c:pt idx="290">
                  <c:v>0.63879057001741368</c:v>
                </c:pt>
                <c:pt idx="291">
                  <c:v>0.63879057001741368</c:v>
                </c:pt>
                <c:pt idx="292">
                  <c:v>0.63879057001741368</c:v>
                </c:pt>
                <c:pt idx="293">
                  <c:v>0.63879057001741368</c:v>
                </c:pt>
                <c:pt idx="294">
                  <c:v>0.63879057001741368</c:v>
                </c:pt>
                <c:pt idx="295">
                  <c:v>0.63879057001741368</c:v>
                </c:pt>
                <c:pt idx="296">
                  <c:v>0.63879057001741368</c:v>
                </c:pt>
                <c:pt idx="297">
                  <c:v>0.70286023091909866</c:v>
                </c:pt>
                <c:pt idx="298">
                  <c:v>0.70286023091909866</c:v>
                </c:pt>
                <c:pt idx="299">
                  <c:v>0.71932811724388146</c:v>
                </c:pt>
                <c:pt idx="300">
                  <c:v>0.71932811724388146</c:v>
                </c:pt>
                <c:pt idx="301">
                  <c:v>0.73599343368381387</c:v>
                </c:pt>
                <c:pt idx="302">
                  <c:v>0.74440308519999565</c:v>
                </c:pt>
                <c:pt idx="303">
                  <c:v>0.74440308519999565</c:v>
                </c:pt>
                <c:pt idx="304">
                  <c:v>0.74440308519999565</c:v>
                </c:pt>
                <c:pt idx="305">
                  <c:v>0.74440308519999565</c:v>
                </c:pt>
                <c:pt idx="306">
                  <c:v>0.74440308519999565</c:v>
                </c:pt>
                <c:pt idx="307">
                  <c:v>0.74440308519999565</c:v>
                </c:pt>
                <c:pt idx="308">
                  <c:v>0.74440308519999565</c:v>
                </c:pt>
                <c:pt idx="309">
                  <c:v>0.80482899480686976</c:v>
                </c:pt>
                <c:pt idx="310">
                  <c:v>0.80482899480686976</c:v>
                </c:pt>
                <c:pt idx="311">
                  <c:v>0.82263729107406613</c:v>
                </c:pt>
                <c:pt idx="312">
                  <c:v>0.83163987967842667</c:v>
                </c:pt>
                <c:pt idx="313">
                  <c:v>0.84071038002398013</c:v>
                </c:pt>
                <c:pt idx="314">
                  <c:v>0.84071038002398013</c:v>
                </c:pt>
                <c:pt idx="315">
                  <c:v>0.84071038002398013</c:v>
                </c:pt>
                <c:pt idx="316">
                  <c:v>0.84071038002398013</c:v>
                </c:pt>
                <c:pt idx="317">
                  <c:v>0.84071038002398013</c:v>
                </c:pt>
                <c:pt idx="318">
                  <c:v>0.84071038002398013</c:v>
                </c:pt>
                <c:pt idx="319">
                  <c:v>0.84071038002398013</c:v>
                </c:pt>
                <c:pt idx="320">
                  <c:v>0.90626440989817525</c:v>
                </c:pt>
                <c:pt idx="321">
                  <c:v>0.91594855621391613</c:v>
                </c:pt>
                <c:pt idx="322">
                  <c:v>0.91594855621391613</c:v>
                </c:pt>
                <c:pt idx="323">
                  <c:v>0.93557937876868658</c:v>
                </c:pt>
                <c:pt idx="324">
                  <c:v>0.94553119002021024</c:v>
                </c:pt>
                <c:pt idx="325">
                  <c:v>0.95557753794043188</c:v>
                </c:pt>
                <c:pt idx="326">
                  <c:v>0.96572126957388438</c:v>
                </c:pt>
                <c:pt idx="327">
                  <c:v>0.96572126957388438</c:v>
                </c:pt>
                <c:pt idx="328">
                  <c:v>0.96572126957388438</c:v>
                </c:pt>
                <c:pt idx="329">
                  <c:v>0.96572126957388438</c:v>
                </c:pt>
                <c:pt idx="330">
                  <c:v>0.96572126957388438</c:v>
                </c:pt>
                <c:pt idx="331">
                  <c:v>0.96572126957388438</c:v>
                </c:pt>
                <c:pt idx="332">
                  <c:v>1.0288047620058449</c:v>
                </c:pt>
                <c:pt idx="333">
                  <c:v>1.0397213301736039</c:v>
                </c:pt>
                <c:pt idx="334">
                  <c:v>1.050763231139634</c:v>
                </c:pt>
                <c:pt idx="335">
                  <c:v>1.0619347543176552</c:v>
                </c:pt>
                <c:pt idx="336">
                  <c:v>1.0619347543176552</c:v>
                </c:pt>
                <c:pt idx="337">
                  <c:v>1.0846849303794233</c:v>
                </c:pt>
                <c:pt idx="338">
                  <c:v>1.0962733150227</c:v>
                </c:pt>
                <c:pt idx="339">
                  <c:v>1.1080108204698569</c:v>
                </c:pt>
                <c:pt idx="340">
                  <c:v>1.1199029946137795</c:v>
                </c:pt>
                <c:pt idx="341">
                  <c:v>1.1199029946137795</c:v>
                </c:pt>
                <c:pt idx="342">
                  <c:v>1.1199029946137795</c:v>
                </c:pt>
                <c:pt idx="343">
                  <c:v>1.156567811385141</c:v>
                </c:pt>
                <c:pt idx="344">
                  <c:v>1.156567811385141</c:v>
                </c:pt>
                <c:pt idx="345">
                  <c:v>1.156567811385141</c:v>
                </c:pt>
                <c:pt idx="346">
                  <c:v>1.1948571240757904</c:v>
                </c:pt>
                <c:pt idx="347">
                  <c:v>1.2080167583463306</c:v>
                </c:pt>
                <c:pt idx="348">
                  <c:v>1.221388985601022</c:v>
                </c:pt>
                <c:pt idx="349">
                  <c:v>1.221388985601022</c:v>
                </c:pt>
                <c:pt idx="350">
                  <c:v>1.2488096764960821</c:v>
                </c:pt>
                <c:pt idx="351">
                  <c:v>1.2488096764960821</c:v>
                </c:pt>
                <c:pt idx="352">
                  <c:v>1.2772029316939737</c:v>
                </c:pt>
                <c:pt idx="353">
                  <c:v>1.2917937758243685</c:v>
                </c:pt>
                <c:pt idx="354">
                  <c:v>1.306664940712895</c:v>
                </c:pt>
                <c:pt idx="355">
                  <c:v>1.3218308296149113</c:v>
                </c:pt>
                <c:pt idx="356">
                  <c:v>1.3373069939616973</c:v>
                </c:pt>
                <c:pt idx="357">
                  <c:v>1.3531102606891987</c:v>
                </c:pt>
                <c:pt idx="358">
                  <c:v>1.3531102606891987</c:v>
                </c:pt>
                <c:pt idx="359">
                  <c:v>1.3857726818373162</c:v>
                </c:pt>
                <c:pt idx="360">
                  <c:v>1.402673289992322</c:v>
                </c:pt>
                <c:pt idx="361">
                  <c:v>1.4199843237682621</c:v>
                </c:pt>
                <c:pt idx="362">
                  <c:v>1.4199843237682621</c:v>
                </c:pt>
                <c:pt idx="363">
                  <c:v>1.4199843237682621</c:v>
                </c:pt>
                <c:pt idx="364">
                  <c:v>1.4199843237682621</c:v>
                </c:pt>
                <c:pt idx="365">
                  <c:v>1.4199843237682621</c:v>
                </c:pt>
                <c:pt idx="366">
                  <c:v>1.4199843237682621</c:v>
                </c:pt>
                <c:pt idx="367">
                  <c:v>1.5341205443525465</c:v>
                </c:pt>
                <c:pt idx="368">
                  <c:v>1.5341205443525465</c:v>
                </c:pt>
                <c:pt idx="369">
                  <c:v>1.5769982907616837</c:v>
                </c:pt>
                <c:pt idx="370">
                  <c:v>1.5995705882374911</c:v>
                </c:pt>
                <c:pt idx="371">
                  <c:v>1.5995705882374911</c:v>
                </c:pt>
                <c:pt idx="372">
                  <c:v>1.5995705882374911</c:v>
                </c:pt>
                <c:pt idx="373">
                  <c:v>1.6726929638404258</c:v>
                </c:pt>
                <c:pt idx="374">
                  <c:v>1.6991776601112989</c:v>
                </c:pt>
                <c:pt idx="375">
                  <c:v>1.7269108614600868</c:v>
                </c:pt>
                <c:pt idx="376">
                  <c:v>1.7560396847773088</c:v>
                </c:pt>
                <c:pt idx="377">
                  <c:v>1.7560396847773088</c:v>
                </c:pt>
                <c:pt idx="378">
                  <c:v>1.7560396847773088</c:v>
                </c:pt>
                <c:pt idx="379">
                  <c:v>1.7560396847773088</c:v>
                </c:pt>
                <c:pt idx="380">
                  <c:v>1.8906321205380332</c:v>
                </c:pt>
                <c:pt idx="381">
                  <c:v>1.9302858560575813</c:v>
                </c:pt>
                <c:pt idx="382">
                  <c:v>1.9732297912673347</c:v>
                </c:pt>
                <c:pt idx="383">
                  <c:v>2.0201546663717482</c:v>
                </c:pt>
                <c:pt idx="384">
                  <c:v>2.0720014483779305</c:v>
                </c:pt>
                <c:pt idx="385">
                  <c:v>2.1301011271220536</c:v>
                </c:pt>
                <c:pt idx="386">
                  <c:v>2.1964293827614645</c:v>
                </c:pt>
                <c:pt idx="387">
                  <c:v>2.2741131596554611</c:v>
                </c:pt>
                <c:pt idx="388">
                  <c:v>2.3685670592678738</c:v>
                </c:pt>
                <c:pt idx="389">
                  <c:v>2.4905347542813567</c:v>
                </c:pt>
                <c:pt idx="390">
                  <c:v>2.6670046532742755</c:v>
                </c:pt>
                <c:pt idx="391">
                  <c:v>3.0172230343004469</c:v>
                </c:pt>
              </c:numCache>
            </c:numRef>
          </c:xVal>
          <c:yVal>
            <c:numRef>
              <c:f>Regression!RegChartQQY</c:f>
              <c:numCache>
                <c:formatCode>0.0000</c:formatCode>
                <c:ptCount val="392"/>
                <c:pt idx="0">
                  <c:v>-3.451682617569364</c:v>
                </c:pt>
                <c:pt idx="1">
                  <c:v>-2.7327997376671536</c:v>
                </c:pt>
                <c:pt idx="2">
                  <c:v>-2.6063331092365796</c:v>
                </c:pt>
                <c:pt idx="3">
                  <c:v>-2.5586120959927139</c:v>
                </c:pt>
                <c:pt idx="4">
                  <c:v>-2.2382603266400913</c:v>
                </c:pt>
                <c:pt idx="5">
                  <c:v>-2.2366030601609661</c:v>
                </c:pt>
                <c:pt idx="6">
                  <c:v>-2.1379379429147773</c:v>
                </c:pt>
                <c:pt idx="7">
                  <c:v>-2.0636596826638138</c:v>
                </c:pt>
                <c:pt idx="8">
                  <c:v>-2.0302994659393101</c:v>
                </c:pt>
                <c:pt idx="9">
                  <c:v>-2.0195065214468055</c:v>
                </c:pt>
                <c:pt idx="10">
                  <c:v>-2.0157358299478263</c:v>
                </c:pt>
                <c:pt idx="11">
                  <c:v>-1.9076726580567738</c:v>
                </c:pt>
                <c:pt idx="12">
                  <c:v>-1.8200175308828719</c:v>
                </c:pt>
                <c:pt idx="13">
                  <c:v>-1.7231986194513169</c:v>
                </c:pt>
                <c:pt idx="14">
                  <c:v>-1.6897180627740656</c:v>
                </c:pt>
                <c:pt idx="15">
                  <c:v>-1.68524344765387</c:v>
                </c:pt>
                <c:pt idx="16">
                  <c:v>-1.6746439809266753</c:v>
                </c:pt>
                <c:pt idx="17">
                  <c:v>-1.6319415081566486</c:v>
                </c:pt>
                <c:pt idx="18">
                  <c:v>-1.6266867098316833</c:v>
                </c:pt>
                <c:pt idx="19">
                  <c:v>-1.626368466519942</c:v>
                </c:pt>
                <c:pt idx="20">
                  <c:v>-1.5268692799723573</c:v>
                </c:pt>
                <c:pt idx="21">
                  <c:v>-1.5175419689962188</c:v>
                </c:pt>
                <c:pt idx="22">
                  <c:v>-1.4769363323181717</c:v>
                </c:pt>
                <c:pt idx="23">
                  <c:v>-1.4375278289347933</c:v>
                </c:pt>
                <c:pt idx="24">
                  <c:v>-1.4339281629923626</c:v>
                </c:pt>
                <c:pt idx="25">
                  <c:v>-1.3818722583783176</c:v>
                </c:pt>
                <c:pt idx="26">
                  <c:v>-1.3375231715810592</c:v>
                </c:pt>
                <c:pt idx="27">
                  <c:v>-1.307068093232151</c:v>
                </c:pt>
                <c:pt idx="28">
                  <c:v>-1.2992210520172569</c:v>
                </c:pt>
                <c:pt idx="29">
                  <c:v>-1.2647682754399088</c:v>
                </c:pt>
                <c:pt idx="30">
                  <c:v>-1.2628813097867091</c:v>
                </c:pt>
                <c:pt idx="31">
                  <c:v>-1.260569504380137</c:v>
                </c:pt>
                <c:pt idx="32">
                  <c:v>-1.2377760380844054</c:v>
                </c:pt>
                <c:pt idx="33">
                  <c:v>-1.2151675973963221</c:v>
                </c:pt>
                <c:pt idx="34">
                  <c:v>-1.2127928346337891</c:v>
                </c:pt>
                <c:pt idx="35">
                  <c:v>-1.2081383307454165</c:v>
                </c:pt>
                <c:pt idx="36">
                  <c:v>-1.1982691301329909</c:v>
                </c:pt>
                <c:pt idx="37">
                  <c:v>-1.1807393696594954</c:v>
                </c:pt>
                <c:pt idx="38">
                  <c:v>-1.1692507528849174</c:v>
                </c:pt>
                <c:pt idx="39">
                  <c:v>-1.1670319415810073</c:v>
                </c:pt>
                <c:pt idx="40">
                  <c:v>-1.1524014899843342</c:v>
                </c:pt>
                <c:pt idx="41">
                  <c:v>-1.1408976899843095</c:v>
                </c:pt>
                <c:pt idx="42">
                  <c:v>-1.1267405125615217</c:v>
                </c:pt>
                <c:pt idx="43">
                  <c:v>-1.1208436092324714</c:v>
                </c:pt>
                <c:pt idx="44">
                  <c:v>-1.1079659887017894</c:v>
                </c:pt>
                <c:pt idx="45">
                  <c:v>-1.0776013794312584</c:v>
                </c:pt>
                <c:pt idx="46">
                  <c:v>-1.0767196379396311</c:v>
                </c:pt>
                <c:pt idx="47">
                  <c:v>-1.0639613519924846</c:v>
                </c:pt>
                <c:pt idx="48">
                  <c:v>-1.0306011185079671</c:v>
                </c:pt>
                <c:pt idx="49">
                  <c:v>-1.0254466826344892</c:v>
                </c:pt>
                <c:pt idx="50">
                  <c:v>-1.0214074988536541</c:v>
                </c:pt>
                <c:pt idx="51">
                  <c:v>-1.0101337973139408</c:v>
                </c:pt>
                <c:pt idx="52">
                  <c:v>-1.0076315540428575</c:v>
                </c:pt>
                <c:pt idx="53">
                  <c:v>-1.0042751043337586</c:v>
                </c:pt>
                <c:pt idx="54">
                  <c:v>-0.97713360215342948</c:v>
                </c:pt>
                <c:pt idx="55">
                  <c:v>-0.97305252208919468</c:v>
                </c:pt>
                <c:pt idx="56">
                  <c:v>-0.95975295748031186</c:v>
                </c:pt>
                <c:pt idx="57">
                  <c:v>-0.95733088971303293</c:v>
                </c:pt>
                <c:pt idx="58">
                  <c:v>-0.9474999235105962</c:v>
                </c:pt>
                <c:pt idx="59">
                  <c:v>-0.93736805879047014</c:v>
                </c:pt>
                <c:pt idx="60">
                  <c:v>-0.9317689403765218</c:v>
                </c:pt>
                <c:pt idx="61">
                  <c:v>-0.92704752263459622</c:v>
                </c:pt>
                <c:pt idx="62">
                  <c:v>-0.91766871471414591</c:v>
                </c:pt>
                <c:pt idx="63">
                  <c:v>-0.9031170962155961</c:v>
                </c:pt>
                <c:pt idx="64">
                  <c:v>-0.8984734746582822</c:v>
                </c:pt>
                <c:pt idx="65">
                  <c:v>-0.89544945314468549</c:v>
                </c:pt>
                <c:pt idx="66">
                  <c:v>-0.88698134092906389</c:v>
                </c:pt>
                <c:pt idx="67">
                  <c:v>-0.87909939485507615</c:v>
                </c:pt>
                <c:pt idx="68">
                  <c:v>-0.87855079557956517</c:v>
                </c:pt>
                <c:pt idx="69">
                  <c:v>-0.87508847543411206</c:v>
                </c:pt>
                <c:pt idx="70">
                  <c:v>-0.86006936817939161</c:v>
                </c:pt>
                <c:pt idx="71">
                  <c:v>-0.85847137129504036</c:v>
                </c:pt>
                <c:pt idx="72">
                  <c:v>-0.84358082508022647</c:v>
                </c:pt>
                <c:pt idx="73">
                  <c:v>-0.82893417664067315</c:v>
                </c:pt>
                <c:pt idx="74">
                  <c:v>-0.8268734431087178</c:v>
                </c:pt>
                <c:pt idx="75">
                  <c:v>-0.82281965858508455</c:v>
                </c:pt>
                <c:pt idx="76">
                  <c:v>-0.81252205315322645</c:v>
                </c:pt>
                <c:pt idx="77">
                  <c:v>-0.80833512211099245</c:v>
                </c:pt>
                <c:pt idx="78">
                  <c:v>-0.7960497214769402</c:v>
                </c:pt>
                <c:pt idx="79">
                  <c:v>-0.78933938116930435</c:v>
                </c:pt>
                <c:pt idx="80">
                  <c:v>-0.78110036437009756</c:v>
                </c:pt>
                <c:pt idx="81">
                  <c:v>-0.77256397256164122</c:v>
                </c:pt>
                <c:pt idx="82">
                  <c:v>-0.76844520954536311</c:v>
                </c:pt>
                <c:pt idx="83">
                  <c:v>-0.76325101320992295</c:v>
                </c:pt>
                <c:pt idx="84">
                  <c:v>-0.75950614299184738</c:v>
                </c:pt>
                <c:pt idx="85">
                  <c:v>-0.75751706682775866</c:v>
                </c:pt>
                <c:pt idx="86">
                  <c:v>-0.75457189916222744</c:v>
                </c:pt>
                <c:pt idx="87">
                  <c:v>-0.75452115641439021</c:v>
                </c:pt>
                <c:pt idx="88">
                  <c:v>-0.74708884873176218</c:v>
                </c:pt>
                <c:pt idx="89">
                  <c:v>-0.74192401686980725</c:v>
                </c:pt>
                <c:pt idx="90">
                  <c:v>-0.73626542374561854</c:v>
                </c:pt>
                <c:pt idx="91">
                  <c:v>-0.72283127398567082</c:v>
                </c:pt>
                <c:pt idx="92">
                  <c:v>-0.70648636894145489</c:v>
                </c:pt>
                <c:pt idx="93">
                  <c:v>-0.69392179736044635</c:v>
                </c:pt>
                <c:pt idx="94">
                  <c:v>-0.68678649689214288</c:v>
                </c:pt>
                <c:pt idx="95">
                  <c:v>-0.68324182750021734</c:v>
                </c:pt>
                <c:pt idx="96">
                  <c:v>-0.66878988326602917</c:v>
                </c:pt>
                <c:pt idx="97">
                  <c:v>-0.66377208981313185</c:v>
                </c:pt>
                <c:pt idx="98">
                  <c:v>-0.65612392430107436</c:v>
                </c:pt>
                <c:pt idx="99">
                  <c:v>-0.63802821850481273</c:v>
                </c:pt>
                <c:pt idx="100">
                  <c:v>-0.63228553332444015</c:v>
                </c:pt>
                <c:pt idx="101">
                  <c:v>-0.62096861122347391</c:v>
                </c:pt>
                <c:pt idx="102">
                  <c:v>-0.61593470926202398</c:v>
                </c:pt>
                <c:pt idx="103">
                  <c:v>-0.61509549983121248</c:v>
                </c:pt>
                <c:pt idx="104">
                  <c:v>-0.61264897901117765</c:v>
                </c:pt>
                <c:pt idx="105">
                  <c:v>-0.60409084446563865</c:v>
                </c:pt>
                <c:pt idx="106">
                  <c:v>-0.59179023453714441</c:v>
                </c:pt>
                <c:pt idx="107">
                  <c:v>-0.59082143000943876</c:v>
                </c:pt>
                <c:pt idx="108">
                  <c:v>-0.58466219481199677</c:v>
                </c:pt>
                <c:pt idx="109">
                  <c:v>-0.58163018536706346</c:v>
                </c:pt>
                <c:pt idx="110">
                  <c:v>-0.58074238683041579</c:v>
                </c:pt>
                <c:pt idx="111">
                  <c:v>-0.55753264896976451</c:v>
                </c:pt>
                <c:pt idx="112">
                  <c:v>-0.55221926921070352</c:v>
                </c:pt>
                <c:pt idx="113">
                  <c:v>-0.55194584126169699</c:v>
                </c:pt>
                <c:pt idx="114">
                  <c:v>-0.55072347548179312</c:v>
                </c:pt>
                <c:pt idx="115">
                  <c:v>-0.53338642732774066</c:v>
                </c:pt>
                <c:pt idx="116">
                  <c:v>-0.52393736657058176</c:v>
                </c:pt>
                <c:pt idx="117">
                  <c:v>-0.49892317917099432</c:v>
                </c:pt>
                <c:pt idx="118">
                  <c:v>-0.48011210341267641</c:v>
                </c:pt>
                <c:pt idx="119">
                  <c:v>-0.47899199098150291</c:v>
                </c:pt>
                <c:pt idx="120">
                  <c:v>-0.46498176646527745</c:v>
                </c:pt>
                <c:pt idx="121">
                  <c:v>-0.4545453066083554</c:v>
                </c:pt>
                <c:pt idx="122">
                  <c:v>-0.44392180663234571</c:v>
                </c:pt>
                <c:pt idx="123">
                  <c:v>-0.44348189348087957</c:v>
                </c:pt>
                <c:pt idx="124">
                  <c:v>-0.44257513070662002</c:v>
                </c:pt>
                <c:pt idx="125">
                  <c:v>-0.43529358270499241</c:v>
                </c:pt>
                <c:pt idx="126">
                  <c:v>-0.4338415062904411</c:v>
                </c:pt>
                <c:pt idx="127">
                  <c:v>-0.4283920105670963</c:v>
                </c:pt>
                <c:pt idx="128">
                  <c:v>-0.4182369320992394</c:v>
                </c:pt>
                <c:pt idx="129">
                  <c:v>-0.40591022394118104</c:v>
                </c:pt>
                <c:pt idx="130">
                  <c:v>-0.40193142131393816</c:v>
                </c:pt>
                <c:pt idx="131">
                  <c:v>-0.39486001875875998</c:v>
                </c:pt>
                <c:pt idx="132">
                  <c:v>-0.38508480762603786</c:v>
                </c:pt>
                <c:pt idx="133">
                  <c:v>-0.38135513775663438</c:v>
                </c:pt>
                <c:pt idx="134">
                  <c:v>-0.36253627723479914</c:v>
                </c:pt>
                <c:pt idx="135">
                  <c:v>-0.34222462819834187</c:v>
                </c:pt>
                <c:pt idx="136">
                  <c:v>-0.32610721496463052</c:v>
                </c:pt>
                <c:pt idx="137">
                  <c:v>-0.31654278630410199</c:v>
                </c:pt>
                <c:pt idx="138">
                  <c:v>-0.31629077006854084</c:v>
                </c:pt>
                <c:pt idx="139">
                  <c:v>-0.3131170267789195</c:v>
                </c:pt>
                <c:pt idx="140">
                  <c:v>-0.31053190188587199</c:v>
                </c:pt>
                <c:pt idx="141">
                  <c:v>-0.30358004022533047</c:v>
                </c:pt>
                <c:pt idx="142">
                  <c:v>-0.29588942339118907</c:v>
                </c:pt>
                <c:pt idx="143">
                  <c:v>-0.28991504577291533</c:v>
                </c:pt>
                <c:pt idx="144">
                  <c:v>-0.28923752793397073</c:v>
                </c:pt>
                <c:pt idx="145">
                  <c:v>-0.27897206548305931</c:v>
                </c:pt>
                <c:pt idx="146">
                  <c:v>-0.27496797490025449</c:v>
                </c:pt>
                <c:pt idx="147">
                  <c:v>-0.2744986939956594</c:v>
                </c:pt>
                <c:pt idx="148">
                  <c:v>-0.26432732427601652</c:v>
                </c:pt>
                <c:pt idx="149">
                  <c:v>-0.26364023528520003</c:v>
                </c:pt>
                <c:pt idx="150">
                  <c:v>-0.25886999570707547</c:v>
                </c:pt>
                <c:pt idx="151">
                  <c:v>-0.2557150343200344</c:v>
                </c:pt>
                <c:pt idx="152">
                  <c:v>-0.24814969353100894</c:v>
                </c:pt>
                <c:pt idx="153">
                  <c:v>-0.24289117425341836</c:v>
                </c:pt>
                <c:pt idx="154">
                  <c:v>-0.24068058859416844</c:v>
                </c:pt>
                <c:pt idx="155">
                  <c:v>-0.23318022611887829</c:v>
                </c:pt>
                <c:pt idx="156">
                  <c:v>-0.22773334599687459</c:v>
                </c:pt>
                <c:pt idx="157">
                  <c:v>-0.22349400460848995</c:v>
                </c:pt>
                <c:pt idx="158">
                  <c:v>-0.22021492268660475</c:v>
                </c:pt>
                <c:pt idx="159">
                  <c:v>-0.20291519301261843</c:v>
                </c:pt>
                <c:pt idx="160">
                  <c:v>-0.19933424776620928</c:v>
                </c:pt>
                <c:pt idx="161">
                  <c:v>-0.19789440550577833</c:v>
                </c:pt>
                <c:pt idx="162">
                  <c:v>-0.19419634887019752</c:v>
                </c:pt>
                <c:pt idx="163">
                  <c:v>-0.19410783505686549</c:v>
                </c:pt>
                <c:pt idx="164">
                  <c:v>-0.18942202796255866</c:v>
                </c:pt>
                <c:pt idx="165">
                  <c:v>-0.18217601115513996</c:v>
                </c:pt>
                <c:pt idx="166">
                  <c:v>-0.17875083851948473</c:v>
                </c:pt>
                <c:pt idx="167">
                  <c:v>-0.1637477879265988</c:v>
                </c:pt>
                <c:pt idx="168">
                  <c:v>-0.16166667853581004</c:v>
                </c:pt>
                <c:pt idx="169">
                  <c:v>-0.1580347863334722</c:v>
                </c:pt>
                <c:pt idx="170">
                  <c:v>-0.15390694742658717</c:v>
                </c:pt>
                <c:pt idx="171">
                  <c:v>-0.15234540833318785</c:v>
                </c:pt>
                <c:pt idx="172">
                  <c:v>-0.15142098901853462</c:v>
                </c:pt>
                <c:pt idx="173">
                  <c:v>-0.14983838636843658</c:v>
                </c:pt>
                <c:pt idx="174">
                  <c:v>-0.14480257381873163</c:v>
                </c:pt>
                <c:pt idx="175">
                  <c:v>-0.14215101395795629</c:v>
                </c:pt>
                <c:pt idx="176">
                  <c:v>-0.13131189884057307</c:v>
                </c:pt>
                <c:pt idx="177">
                  <c:v>-0.119856830968657</c:v>
                </c:pt>
                <c:pt idx="178">
                  <c:v>-0.10402109723738608</c:v>
                </c:pt>
                <c:pt idx="179">
                  <c:v>-0.10145734321849574</c:v>
                </c:pt>
                <c:pt idx="180">
                  <c:v>-9.8723664725633833E-2</c:v>
                </c:pt>
                <c:pt idx="181">
                  <c:v>-8.6786137087073154E-2</c:v>
                </c:pt>
                <c:pt idx="182">
                  <c:v>-8.5231484219193049E-2</c:v>
                </c:pt>
                <c:pt idx="183">
                  <c:v>-7.199900072986111E-2</c:v>
                </c:pt>
                <c:pt idx="184">
                  <c:v>-7.0617155228780759E-2</c:v>
                </c:pt>
                <c:pt idx="185">
                  <c:v>-6.5682072482442247E-2</c:v>
                </c:pt>
                <c:pt idx="186">
                  <c:v>-6.3550945766768785E-2</c:v>
                </c:pt>
                <c:pt idx="187">
                  <c:v>-5.032391780723363E-2</c:v>
                </c:pt>
                <c:pt idx="188">
                  <c:v>-5.0151452692643997E-2</c:v>
                </c:pt>
                <c:pt idx="189">
                  <c:v>-3.7067224491663844E-2</c:v>
                </c:pt>
                <c:pt idx="190">
                  <c:v>-3.3128045912269553E-2</c:v>
                </c:pt>
                <c:pt idx="191">
                  <c:v>-3.1377572652116069E-2</c:v>
                </c:pt>
                <c:pt idx="192">
                  <c:v>-2.8119699994223715E-2</c:v>
                </c:pt>
                <c:pt idx="193">
                  <c:v>-2.6512351797492825E-2</c:v>
                </c:pt>
                <c:pt idx="194">
                  <c:v>-2.0495322425387076E-2</c:v>
                </c:pt>
                <c:pt idx="195">
                  <c:v>-1.3087490477449268E-2</c:v>
                </c:pt>
                <c:pt idx="196">
                  <c:v>-1.2115968549611986E-2</c:v>
                </c:pt>
                <c:pt idx="197">
                  <c:v>-1.1623375752352078E-2</c:v>
                </c:pt>
                <c:pt idx="198">
                  <c:v>-9.0731992161399936E-3</c:v>
                </c:pt>
                <c:pt idx="199">
                  <c:v>2.4603534850325339E-3</c:v>
                </c:pt>
                <c:pt idx="200">
                  <c:v>9.7946834914373372E-3</c:v>
                </c:pt>
                <c:pt idx="201">
                  <c:v>1.3677785391091995E-2</c:v>
                </c:pt>
                <c:pt idx="202">
                  <c:v>1.5048430823993899E-2</c:v>
                </c:pt>
                <c:pt idx="203">
                  <c:v>1.6521563559615881E-2</c:v>
                </c:pt>
                <c:pt idx="204">
                  <c:v>1.9978196923054012E-2</c:v>
                </c:pt>
                <c:pt idx="205">
                  <c:v>2.781136326470084E-2</c:v>
                </c:pt>
                <c:pt idx="206">
                  <c:v>3.0723966658172362E-2</c:v>
                </c:pt>
                <c:pt idx="207">
                  <c:v>3.3677120231556792E-2</c:v>
                </c:pt>
                <c:pt idx="208">
                  <c:v>3.5295875579668894E-2</c:v>
                </c:pt>
                <c:pt idx="209">
                  <c:v>4.357517290963854E-2</c:v>
                </c:pt>
                <c:pt idx="210">
                  <c:v>4.4247006473740601E-2</c:v>
                </c:pt>
                <c:pt idx="211">
                  <c:v>5.5683358456535478E-2</c:v>
                </c:pt>
                <c:pt idx="212">
                  <c:v>6.1844508852538164E-2</c:v>
                </c:pt>
                <c:pt idx="213">
                  <c:v>6.7796750316846358E-2</c:v>
                </c:pt>
                <c:pt idx="214">
                  <c:v>7.2633416429777817E-2</c:v>
                </c:pt>
                <c:pt idx="215">
                  <c:v>7.8125519301108906E-2</c:v>
                </c:pt>
                <c:pt idx="216">
                  <c:v>8.1721707715661354E-2</c:v>
                </c:pt>
                <c:pt idx="217">
                  <c:v>8.7513237424759235E-2</c:v>
                </c:pt>
                <c:pt idx="218">
                  <c:v>0.12614744788801885</c:v>
                </c:pt>
                <c:pt idx="219">
                  <c:v>0.12974540077511315</c:v>
                </c:pt>
                <c:pt idx="220">
                  <c:v>0.12999171896584169</c:v>
                </c:pt>
                <c:pt idx="221">
                  <c:v>0.13985011155836161</c:v>
                </c:pt>
                <c:pt idx="222">
                  <c:v>0.15513508303132956</c:v>
                </c:pt>
                <c:pt idx="223">
                  <c:v>0.17184976624815418</c:v>
                </c:pt>
                <c:pt idx="224">
                  <c:v>0.17289252435540003</c:v>
                </c:pt>
                <c:pt idx="225">
                  <c:v>0.18042945365691565</c:v>
                </c:pt>
                <c:pt idx="226">
                  <c:v>0.18470642599231274</c:v>
                </c:pt>
                <c:pt idx="227">
                  <c:v>0.18658521528183183</c:v>
                </c:pt>
                <c:pt idx="228">
                  <c:v>0.18988660114211794</c:v>
                </c:pt>
                <c:pt idx="229">
                  <c:v>0.19800523327850184</c:v>
                </c:pt>
                <c:pt idx="230">
                  <c:v>0.19993267130990572</c:v>
                </c:pt>
                <c:pt idx="231">
                  <c:v>0.20398710450777527</c:v>
                </c:pt>
                <c:pt idx="232">
                  <c:v>0.21089005247032522</c:v>
                </c:pt>
                <c:pt idx="233">
                  <c:v>0.21951048018534694</c:v>
                </c:pt>
                <c:pt idx="234">
                  <c:v>0.22330383955665867</c:v>
                </c:pt>
                <c:pt idx="235">
                  <c:v>0.22503211391071432</c:v>
                </c:pt>
                <c:pt idx="236">
                  <c:v>0.22610292454868022</c:v>
                </c:pt>
                <c:pt idx="237">
                  <c:v>0.2334274183109103</c:v>
                </c:pt>
                <c:pt idx="238">
                  <c:v>0.24039254577346184</c:v>
                </c:pt>
                <c:pt idx="239">
                  <c:v>0.24386567077228774</c:v>
                </c:pt>
                <c:pt idx="240">
                  <c:v>0.25110022474118066</c:v>
                </c:pt>
                <c:pt idx="241">
                  <c:v>0.25381221692103473</c:v>
                </c:pt>
                <c:pt idx="242">
                  <c:v>0.25939653083974346</c:v>
                </c:pt>
                <c:pt idx="243">
                  <c:v>0.26483477874394723</c:v>
                </c:pt>
                <c:pt idx="244">
                  <c:v>0.26714134253452815</c:v>
                </c:pt>
                <c:pt idx="245">
                  <c:v>0.27141090048237276</c:v>
                </c:pt>
                <c:pt idx="246">
                  <c:v>0.2749672873635931</c:v>
                </c:pt>
                <c:pt idx="247">
                  <c:v>0.27649769074526315</c:v>
                </c:pt>
                <c:pt idx="248">
                  <c:v>0.2802206101814847</c:v>
                </c:pt>
                <c:pt idx="249">
                  <c:v>0.28753308488155438</c:v>
                </c:pt>
                <c:pt idx="250">
                  <c:v>0.29319660015181503</c:v>
                </c:pt>
                <c:pt idx="251">
                  <c:v>0.29552136767781301</c:v>
                </c:pt>
                <c:pt idx="252">
                  <c:v>0.30206292858297307</c:v>
                </c:pt>
                <c:pt idx="253">
                  <c:v>0.31685206458484116</c:v>
                </c:pt>
                <c:pt idx="254">
                  <c:v>0.32432388942401408</c:v>
                </c:pt>
                <c:pt idx="255">
                  <c:v>0.33488821969058197</c:v>
                </c:pt>
                <c:pt idx="256">
                  <c:v>0.34571317856571621</c:v>
                </c:pt>
                <c:pt idx="257">
                  <c:v>0.34767210505293855</c:v>
                </c:pt>
                <c:pt idx="258">
                  <c:v>0.35223603151478755</c:v>
                </c:pt>
                <c:pt idx="259">
                  <c:v>0.3734161112853604</c:v>
                </c:pt>
                <c:pt idx="260">
                  <c:v>0.37698943709717592</c:v>
                </c:pt>
                <c:pt idx="261">
                  <c:v>0.37898661019969393</c:v>
                </c:pt>
                <c:pt idx="262">
                  <c:v>0.3790485664453247</c:v>
                </c:pt>
                <c:pt idx="263">
                  <c:v>0.38024696094502353</c:v>
                </c:pt>
                <c:pt idx="264">
                  <c:v>0.38649046111355201</c:v>
                </c:pt>
                <c:pt idx="265">
                  <c:v>0.39604728421942698</c:v>
                </c:pt>
                <c:pt idx="266">
                  <c:v>0.39947920216775701</c:v>
                </c:pt>
                <c:pt idx="267">
                  <c:v>0.39968495672630688</c:v>
                </c:pt>
                <c:pt idx="268">
                  <c:v>0.4116364131495851</c:v>
                </c:pt>
                <c:pt idx="269">
                  <c:v>0.42871024250542339</c:v>
                </c:pt>
                <c:pt idx="270">
                  <c:v>0.43079556603355523</c:v>
                </c:pt>
                <c:pt idx="271">
                  <c:v>0.43174338069117302</c:v>
                </c:pt>
                <c:pt idx="272">
                  <c:v>0.43433707282313838</c:v>
                </c:pt>
                <c:pt idx="273">
                  <c:v>0.4407931061238981</c:v>
                </c:pt>
                <c:pt idx="274">
                  <c:v>0.44266880067425035</c:v>
                </c:pt>
                <c:pt idx="275">
                  <c:v>0.44275727569779938</c:v>
                </c:pt>
                <c:pt idx="276">
                  <c:v>0.45088667377233937</c:v>
                </c:pt>
                <c:pt idx="277">
                  <c:v>0.45411013125419586</c:v>
                </c:pt>
                <c:pt idx="278">
                  <c:v>0.45874200542910859</c:v>
                </c:pt>
                <c:pt idx="279">
                  <c:v>0.45897738397457388</c:v>
                </c:pt>
                <c:pt idx="280">
                  <c:v>0.46083052696320198</c:v>
                </c:pt>
                <c:pt idx="281">
                  <c:v>0.4654442793344194</c:v>
                </c:pt>
                <c:pt idx="282">
                  <c:v>0.46674163527249862</c:v>
                </c:pt>
                <c:pt idx="283">
                  <c:v>0.46857065274584953</c:v>
                </c:pt>
                <c:pt idx="284">
                  <c:v>0.46871808445674978</c:v>
                </c:pt>
                <c:pt idx="285">
                  <c:v>0.47398446164132163</c:v>
                </c:pt>
                <c:pt idx="286">
                  <c:v>0.48931010929769164</c:v>
                </c:pt>
                <c:pt idx="287">
                  <c:v>0.50018854209738339</c:v>
                </c:pt>
                <c:pt idx="288">
                  <c:v>0.51286368166818253</c:v>
                </c:pt>
                <c:pt idx="289">
                  <c:v>0.52607820754973145</c:v>
                </c:pt>
                <c:pt idx="290">
                  <c:v>0.55319696979360178</c:v>
                </c:pt>
                <c:pt idx="291">
                  <c:v>0.55656803120621701</c:v>
                </c:pt>
                <c:pt idx="292">
                  <c:v>0.55972501051096391</c:v>
                </c:pt>
                <c:pt idx="293">
                  <c:v>0.56798307093810663</c:v>
                </c:pt>
                <c:pt idx="294">
                  <c:v>0.56878580743136242</c:v>
                </c:pt>
                <c:pt idx="295">
                  <c:v>0.58752778997756971</c:v>
                </c:pt>
                <c:pt idx="296">
                  <c:v>0.60637414955155566</c:v>
                </c:pt>
                <c:pt idx="297">
                  <c:v>0.6077873084612555</c:v>
                </c:pt>
                <c:pt idx="298">
                  <c:v>0.60888968943784472</c:v>
                </c:pt>
                <c:pt idx="299">
                  <c:v>0.61570961852167438</c:v>
                </c:pt>
                <c:pt idx="300">
                  <c:v>0.62541466034937299</c:v>
                </c:pt>
                <c:pt idx="301">
                  <c:v>0.62988652393519529</c:v>
                </c:pt>
                <c:pt idx="302">
                  <c:v>0.65290692305069276</c:v>
                </c:pt>
                <c:pt idx="303">
                  <c:v>0.6556418348632248</c:v>
                </c:pt>
                <c:pt idx="304">
                  <c:v>0.66552441488229708</c:v>
                </c:pt>
                <c:pt idx="305">
                  <c:v>0.67123358040088366</c:v>
                </c:pt>
                <c:pt idx="306">
                  <c:v>0.67383986412758512</c:v>
                </c:pt>
                <c:pt idx="307">
                  <c:v>0.6741998247581702</c:v>
                </c:pt>
                <c:pt idx="308">
                  <c:v>0.67897281388579944</c:v>
                </c:pt>
                <c:pt idx="309">
                  <c:v>0.68086529918536198</c:v>
                </c:pt>
                <c:pt idx="310">
                  <c:v>0.68104115262367493</c:v>
                </c:pt>
                <c:pt idx="311">
                  <c:v>0.69192234930796725</c:v>
                </c:pt>
                <c:pt idx="312">
                  <c:v>0.70221206283556825</c:v>
                </c:pt>
                <c:pt idx="313">
                  <c:v>0.71162663600437204</c:v>
                </c:pt>
                <c:pt idx="314">
                  <c:v>0.71980311888979953</c:v>
                </c:pt>
                <c:pt idx="315">
                  <c:v>0.73255545774192499</c:v>
                </c:pt>
                <c:pt idx="316">
                  <c:v>0.74258970300151861</c:v>
                </c:pt>
                <c:pt idx="317">
                  <c:v>0.74844507336636135</c:v>
                </c:pt>
                <c:pt idx="318">
                  <c:v>0.77893428137700682</c:v>
                </c:pt>
                <c:pt idx="319">
                  <c:v>0.78371741325869382</c:v>
                </c:pt>
                <c:pt idx="320">
                  <c:v>0.7914864360088929</c:v>
                </c:pt>
                <c:pt idx="321">
                  <c:v>0.80808342930667132</c:v>
                </c:pt>
                <c:pt idx="322">
                  <c:v>0.81643234827063926</c:v>
                </c:pt>
                <c:pt idx="323">
                  <c:v>0.82794023224202973</c:v>
                </c:pt>
                <c:pt idx="324">
                  <c:v>0.83361742346055501</c:v>
                </c:pt>
                <c:pt idx="325">
                  <c:v>0.84720077695598384</c:v>
                </c:pt>
                <c:pt idx="326">
                  <c:v>0.8534981078051288</c:v>
                </c:pt>
                <c:pt idx="327">
                  <c:v>0.86418422319002008</c:v>
                </c:pt>
                <c:pt idx="328">
                  <c:v>0.87264012009621761</c:v>
                </c:pt>
                <c:pt idx="329">
                  <c:v>0.87970525767098529</c:v>
                </c:pt>
                <c:pt idx="330">
                  <c:v>0.88224971223868354</c:v>
                </c:pt>
                <c:pt idx="331">
                  <c:v>0.88428252049290279</c:v>
                </c:pt>
                <c:pt idx="332">
                  <c:v>0.89210317838710018</c:v>
                </c:pt>
                <c:pt idx="333">
                  <c:v>0.89328897781380623</c:v>
                </c:pt>
                <c:pt idx="334">
                  <c:v>0.89925474334883049</c:v>
                </c:pt>
                <c:pt idx="335">
                  <c:v>0.92150618089199277</c:v>
                </c:pt>
                <c:pt idx="336">
                  <c:v>0.9235433462638315</c:v>
                </c:pt>
                <c:pt idx="337">
                  <c:v>0.92900557209987766</c:v>
                </c:pt>
                <c:pt idx="338">
                  <c:v>0.93448737390407655</c:v>
                </c:pt>
                <c:pt idx="339">
                  <c:v>0.96387111404314918</c:v>
                </c:pt>
                <c:pt idx="340">
                  <c:v>0.96668836786536427</c:v>
                </c:pt>
                <c:pt idx="341">
                  <c:v>0.9792108710792421</c:v>
                </c:pt>
                <c:pt idx="342">
                  <c:v>0.99045257304542067</c:v>
                </c:pt>
                <c:pt idx="343">
                  <c:v>0.99590616832095791</c:v>
                </c:pt>
                <c:pt idx="344">
                  <c:v>0.99879597785625729</c:v>
                </c:pt>
                <c:pt idx="345">
                  <c:v>1.0160259092109321</c:v>
                </c:pt>
                <c:pt idx="346">
                  <c:v>1.04461770630526</c:v>
                </c:pt>
                <c:pt idx="347">
                  <c:v>1.0807560254323885</c:v>
                </c:pt>
                <c:pt idx="348">
                  <c:v>1.1069048065287981</c:v>
                </c:pt>
                <c:pt idx="349">
                  <c:v>1.1097334264431693</c:v>
                </c:pt>
                <c:pt idx="350">
                  <c:v>1.1280247387124049</c:v>
                </c:pt>
                <c:pt idx="351">
                  <c:v>1.1659795306247449</c:v>
                </c:pt>
                <c:pt idx="352">
                  <c:v>1.1660321456416034</c:v>
                </c:pt>
                <c:pt idx="353">
                  <c:v>1.1863106075738008</c:v>
                </c:pt>
                <c:pt idx="354">
                  <c:v>1.1899727275032896</c:v>
                </c:pt>
                <c:pt idx="355">
                  <c:v>1.2143705581244542</c:v>
                </c:pt>
                <c:pt idx="356">
                  <c:v>1.2394515341278651</c:v>
                </c:pt>
                <c:pt idx="357">
                  <c:v>1.26708074925088</c:v>
                </c:pt>
                <c:pt idx="358">
                  <c:v>1.2915705569901503</c:v>
                </c:pt>
                <c:pt idx="359">
                  <c:v>1.3082330687569519</c:v>
                </c:pt>
                <c:pt idx="360">
                  <c:v>1.3160037932020494</c:v>
                </c:pt>
                <c:pt idx="361">
                  <c:v>1.3348865121336095</c:v>
                </c:pt>
                <c:pt idx="362">
                  <c:v>1.4296443982960441</c:v>
                </c:pt>
                <c:pt idx="363">
                  <c:v>1.4343249307838992</c:v>
                </c:pt>
                <c:pt idx="364">
                  <c:v>1.482908951694333</c:v>
                </c:pt>
                <c:pt idx="365">
                  <c:v>1.4945061059531675</c:v>
                </c:pt>
                <c:pt idx="366">
                  <c:v>1.539587675300794</c:v>
                </c:pt>
                <c:pt idx="367">
                  <c:v>1.5500221062846573</c:v>
                </c:pt>
                <c:pt idx="368">
                  <c:v>1.5535500258921526</c:v>
                </c:pt>
                <c:pt idx="369">
                  <c:v>1.5585580298512536</c:v>
                </c:pt>
                <c:pt idx="370">
                  <c:v>1.5747836013923129</c:v>
                </c:pt>
                <c:pt idx="371">
                  <c:v>1.5748070831006031</c:v>
                </c:pt>
                <c:pt idx="372">
                  <c:v>1.5766853430851646</c:v>
                </c:pt>
                <c:pt idx="373">
                  <c:v>1.5835184219573573</c:v>
                </c:pt>
                <c:pt idx="374">
                  <c:v>1.6231038143843988</c:v>
                </c:pt>
                <c:pt idx="375">
                  <c:v>1.6395545081768079</c:v>
                </c:pt>
                <c:pt idx="376">
                  <c:v>1.6896822821993771</c:v>
                </c:pt>
                <c:pt idx="377">
                  <c:v>1.8285518903811393</c:v>
                </c:pt>
                <c:pt idx="378">
                  <c:v>1.8307638951688041</c:v>
                </c:pt>
                <c:pt idx="379">
                  <c:v>1.937883735039764</c:v>
                </c:pt>
                <c:pt idx="380">
                  <c:v>1.9447162353916565</c:v>
                </c:pt>
                <c:pt idx="381">
                  <c:v>2.0304757137130016</c:v>
                </c:pt>
                <c:pt idx="382">
                  <c:v>2.1111674999819705</c:v>
                </c:pt>
                <c:pt idx="383">
                  <c:v>2.2990445774735213</c:v>
                </c:pt>
                <c:pt idx="384">
                  <c:v>2.3790723412149868</c:v>
                </c:pt>
                <c:pt idx="385">
                  <c:v>2.6212478115325442</c:v>
                </c:pt>
                <c:pt idx="386">
                  <c:v>2.7473960479992194</c:v>
                </c:pt>
                <c:pt idx="387">
                  <c:v>2.9429591190884881</c:v>
                </c:pt>
                <c:pt idx="388">
                  <c:v>3.1819916573400091</c:v>
                </c:pt>
                <c:pt idx="389">
                  <c:v>3.2394353065249786</c:v>
                </c:pt>
                <c:pt idx="390">
                  <c:v>3.4720773077781244</c:v>
                </c:pt>
                <c:pt idx="391">
                  <c:v>4.2007262122566926</c:v>
                </c:pt>
              </c:numCache>
            </c:numRef>
          </c:yVal>
          <c:smooth val="0"/>
          <c:extLst>
            <c:ext xmlns:c16="http://schemas.microsoft.com/office/drawing/2014/chart" uri="{C3380CC4-5D6E-409C-BE32-E72D297353CC}">
              <c16:uniqueId val="{00000001-ACA5-47E0-8252-54130217398A}"/>
            </c:ext>
          </c:extLst>
        </c:ser>
        <c:ser>
          <c:idx val="1"/>
          <c:order val="1"/>
          <c:tx>
            <c:v>Identity</c:v>
          </c:tx>
          <c:spPr>
            <a:ln w="15875" cap="rnd">
              <a:solidFill>
                <a:srgbClr val="787878"/>
              </a:solidFill>
              <a:prstDash val="dot"/>
            </a:ln>
          </c:spPr>
          <c:marker>
            <c:symbol val="none"/>
          </c:marker>
          <c:xVal>
            <c:numRef>
              <c:f>Regression!RegChartQQX</c:f>
              <c:numCache>
                <c:formatCode>0.0000</c:formatCode>
                <c:ptCount val="392"/>
                <c:pt idx="0">
                  <c:v>-3.0172230343004571</c:v>
                </c:pt>
                <c:pt idx="1">
                  <c:v>-2.6670046532742777</c:v>
                </c:pt>
                <c:pt idx="2">
                  <c:v>-2.6670046532742777</c:v>
                </c:pt>
                <c:pt idx="3">
                  <c:v>-2.368567059267872</c:v>
                </c:pt>
                <c:pt idx="4">
                  <c:v>-2.368567059267872</c:v>
                </c:pt>
                <c:pt idx="5">
                  <c:v>-2.368567059267872</c:v>
                </c:pt>
                <c:pt idx="6">
                  <c:v>-2.368567059267872</c:v>
                </c:pt>
                <c:pt idx="7">
                  <c:v>-2.0720014483779297</c:v>
                </c:pt>
                <c:pt idx="8">
                  <c:v>-2.0720014483779297</c:v>
                </c:pt>
                <c:pt idx="9">
                  <c:v>-2.0720014483779297</c:v>
                </c:pt>
                <c:pt idx="10">
                  <c:v>-2.0720014483779297</c:v>
                </c:pt>
                <c:pt idx="11">
                  <c:v>-2.0720014483779297</c:v>
                </c:pt>
                <c:pt idx="12">
                  <c:v>-2.0720014483779297</c:v>
                </c:pt>
                <c:pt idx="13">
                  <c:v>-1.8192221095957348</c:v>
                </c:pt>
                <c:pt idx="14">
                  <c:v>-1.8192221095957348</c:v>
                </c:pt>
                <c:pt idx="15">
                  <c:v>-1.8192221095957348</c:v>
                </c:pt>
                <c:pt idx="16">
                  <c:v>-1.8192221095957348</c:v>
                </c:pt>
                <c:pt idx="17">
                  <c:v>-1.8192221095957348</c:v>
                </c:pt>
                <c:pt idx="18">
                  <c:v>-1.8192221095957348</c:v>
                </c:pt>
                <c:pt idx="19">
                  <c:v>-1.8192221095957348</c:v>
                </c:pt>
                <c:pt idx="20">
                  <c:v>-1.8192221095957348</c:v>
                </c:pt>
                <c:pt idx="21">
                  <c:v>-1.8192221095957348</c:v>
                </c:pt>
                <c:pt idx="22">
                  <c:v>-1.8192221095957348</c:v>
                </c:pt>
                <c:pt idx="23">
                  <c:v>-1.8192221095957348</c:v>
                </c:pt>
                <c:pt idx="24">
                  <c:v>-1.8192221095957348</c:v>
                </c:pt>
                <c:pt idx="25">
                  <c:v>-1.8192221095957348</c:v>
                </c:pt>
                <c:pt idx="26">
                  <c:v>-1.8192221095957348</c:v>
                </c:pt>
                <c:pt idx="27">
                  <c:v>-1.8192221095957348</c:v>
                </c:pt>
                <c:pt idx="28">
                  <c:v>-1.8192221095957348</c:v>
                </c:pt>
                <c:pt idx="29">
                  <c:v>-1.8192221095957348</c:v>
                </c:pt>
                <c:pt idx="30">
                  <c:v>-1.8192221095957348</c:v>
                </c:pt>
                <c:pt idx="31">
                  <c:v>-1.8192221095957348</c:v>
                </c:pt>
                <c:pt idx="32">
                  <c:v>-1.8192221095957348</c:v>
                </c:pt>
                <c:pt idx="33">
                  <c:v>-1.3692588778592949</c:v>
                </c:pt>
                <c:pt idx="34">
                  <c:v>-1.3692588778592949</c:v>
                </c:pt>
                <c:pt idx="35">
                  <c:v>-1.3692588778592949</c:v>
                </c:pt>
                <c:pt idx="36">
                  <c:v>-1.3692588778592949</c:v>
                </c:pt>
                <c:pt idx="37">
                  <c:v>-1.3692588778592949</c:v>
                </c:pt>
                <c:pt idx="38">
                  <c:v>-1.3692588778592949</c:v>
                </c:pt>
                <c:pt idx="39">
                  <c:v>-1.3692588778592949</c:v>
                </c:pt>
                <c:pt idx="40">
                  <c:v>-1.3692588778592949</c:v>
                </c:pt>
                <c:pt idx="41">
                  <c:v>-1.3692588778592949</c:v>
                </c:pt>
                <c:pt idx="42">
                  <c:v>-1.3692588778592949</c:v>
                </c:pt>
                <c:pt idx="43">
                  <c:v>-1.3692588778592949</c:v>
                </c:pt>
                <c:pt idx="44">
                  <c:v>-1.3692588778592949</c:v>
                </c:pt>
                <c:pt idx="45">
                  <c:v>-1.3692588778592949</c:v>
                </c:pt>
                <c:pt idx="46">
                  <c:v>-1.3692588778592949</c:v>
                </c:pt>
                <c:pt idx="47">
                  <c:v>-1.3692588778592949</c:v>
                </c:pt>
                <c:pt idx="48">
                  <c:v>-1.3692588778592949</c:v>
                </c:pt>
                <c:pt idx="49">
                  <c:v>-1.3692588778592949</c:v>
                </c:pt>
                <c:pt idx="50">
                  <c:v>-1.3692588778592949</c:v>
                </c:pt>
                <c:pt idx="51">
                  <c:v>-1.3692588778592949</c:v>
                </c:pt>
                <c:pt idx="52">
                  <c:v>-1.1080108204698569</c:v>
                </c:pt>
                <c:pt idx="53">
                  <c:v>-1.0962733150227</c:v>
                </c:pt>
                <c:pt idx="54">
                  <c:v>-1.0962733150227</c:v>
                </c:pt>
                <c:pt idx="55">
                  <c:v>-1.0962733150227</c:v>
                </c:pt>
                <c:pt idx="56">
                  <c:v>-1.0962733150227</c:v>
                </c:pt>
                <c:pt idx="57">
                  <c:v>-1.0962733150227</c:v>
                </c:pt>
                <c:pt idx="58">
                  <c:v>-1.0962733150227</c:v>
                </c:pt>
                <c:pt idx="59">
                  <c:v>-1.0962733150227</c:v>
                </c:pt>
                <c:pt idx="60">
                  <c:v>-1.0962733150227</c:v>
                </c:pt>
                <c:pt idx="61">
                  <c:v>-1.0962733150227</c:v>
                </c:pt>
                <c:pt idx="62">
                  <c:v>-1.0962733150227</c:v>
                </c:pt>
                <c:pt idx="63">
                  <c:v>-1.0962733150227</c:v>
                </c:pt>
                <c:pt idx="64">
                  <c:v>-1.0962733150227</c:v>
                </c:pt>
                <c:pt idx="65">
                  <c:v>-1.0962733150227</c:v>
                </c:pt>
                <c:pt idx="66">
                  <c:v>-1.0962733150227</c:v>
                </c:pt>
                <c:pt idx="67">
                  <c:v>-1.0962733150227</c:v>
                </c:pt>
                <c:pt idx="68">
                  <c:v>-1.0962733150227</c:v>
                </c:pt>
                <c:pt idx="69">
                  <c:v>-0.92571937406474636</c:v>
                </c:pt>
                <c:pt idx="70">
                  <c:v>-0.92571937406474636</c:v>
                </c:pt>
                <c:pt idx="71">
                  <c:v>-0.92571937406474636</c:v>
                </c:pt>
                <c:pt idx="72">
                  <c:v>-0.92571937406474636</c:v>
                </c:pt>
                <c:pt idx="73">
                  <c:v>-0.92571937406474636</c:v>
                </c:pt>
                <c:pt idx="74">
                  <c:v>-0.87770829679608253</c:v>
                </c:pt>
                <c:pt idx="75">
                  <c:v>-0.87770829679608253</c:v>
                </c:pt>
                <c:pt idx="76">
                  <c:v>-0.87770829679608253</c:v>
                </c:pt>
                <c:pt idx="77">
                  <c:v>-0.87770829679608253</c:v>
                </c:pt>
                <c:pt idx="78">
                  <c:v>-0.87770829679608253</c:v>
                </c:pt>
                <c:pt idx="79">
                  <c:v>-0.87770829679608253</c:v>
                </c:pt>
                <c:pt idx="80">
                  <c:v>-0.87770829679608253</c:v>
                </c:pt>
                <c:pt idx="81">
                  <c:v>-0.87770829679608253</c:v>
                </c:pt>
                <c:pt idx="82">
                  <c:v>-0.87770829679608253</c:v>
                </c:pt>
                <c:pt idx="83">
                  <c:v>-0.87770829679608253</c:v>
                </c:pt>
                <c:pt idx="84">
                  <c:v>-0.87770829679608253</c:v>
                </c:pt>
                <c:pt idx="85">
                  <c:v>-0.87770829679608253</c:v>
                </c:pt>
                <c:pt idx="86">
                  <c:v>-0.87770829679608253</c:v>
                </c:pt>
                <c:pt idx="87">
                  <c:v>-0.76138260968642557</c:v>
                </c:pt>
                <c:pt idx="88">
                  <c:v>-0.75286571534072255</c:v>
                </c:pt>
                <c:pt idx="89">
                  <c:v>-0.75286571534072255</c:v>
                </c:pt>
                <c:pt idx="90">
                  <c:v>-0.75286571534072255</c:v>
                </c:pt>
                <c:pt idx="91">
                  <c:v>-0.72763551415159011</c:v>
                </c:pt>
                <c:pt idx="92">
                  <c:v>-0.71932811724388146</c:v>
                </c:pt>
                <c:pt idx="93">
                  <c:v>-0.71932811724388146</c:v>
                </c:pt>
                <c:pt idx="94">
                  <c:v>-0.71932811724388146</c:v>
                </c:pt>
                <c:pt idx="95">
                  <c:v>-0.71932811724388146</c:v>
                </c:pt>
                <c:pt idx="96">
                  <c:v>-0.71932811724388146</c:v>
                </c:pt>
                <c:pt idx="97">
                  <c:v>-0.71932811724388146</c:v>
                </c:pt>
                <c:pt idx="98">
                  <c:v>-0.71932811724388146</c:v>
                </c:pt>
                <c:pt idx="99">
                  <c:v>-0.66249652488531496</c:v>
                </c:pt>
                <c:pt idx="100">
                  <c:v>-0.66249652488531496</c:v>
                </c:pt>
                <c:pt idx="101">
                  <c:v>-0.66249652488531496</c:v>
                </c:pt>
                <c:pt idx="102">
                  <c:v>-0.66249652488531496</c:v>
                </c:pt>
                <c:pt idx="103">
                  <c:v>-0.66249652488531496</c:v>
                </c:pt>
                <c:pt idx="104">
                  <c:v>-0.62318453179067923</c:v>
                </c:pt>
                <c:pt idx="105">
                  <c:v>-0.62318453179067923</c:v>
                </c:pt>
                <c:pt idx="106">
                  <c:v>-0.60772881744947449</c:v>
                </c:pt>
                <c:pt idx="107">
                  <c:v>-0.60005529056970508</c:v>
                </c:pt>
                <c:pt idx="108">
                  <c:v>-0.60005529056970508</c:v>
                </c:pt>
                <c:pt idx="109">
                  <c:v>-0.60005529056970508</c:v>
                </c:pt>
                <c:pt idx="110">
                  <c:v>-0.60005529056970508</c:v>
                </c:pt>
                <c:pt idx="111">
                  <c:v>-0.60005529056970508</c:v>
                </c:pt>
                <c:pt idx="112">
                  <c:v>-0.60005529056970508</c:v>
                </c:pt>
                <c:pt idx="113">
                  <c:v>-0.60005529056970508</c:v>
                </c:pt>
                <c:pt idx="114">
                  <c:v>-0.60005529056970508</c:v>
                </c:pt>
                <c:pt idx="115">
                  <c:v>-0.60005529056970508</c:v>
                </c:pt>
                <c:pt idx="116">
                  <c:v>-0.60005529056970508</c:v>
                </c:pt>
                <c:pt idx="117">
                  <c:v>-0.60005529056970508</c:v>
                </c:pt>
                <c:pt idx="118">
                  <c:v>-0.60005529056970508</c:v>
                </c:pt>
                <c:pt idx="119">
                  <c:v>-0.60005529056970508</c:v>
                </c:pt>
                <c:pt idx="120">
                  <c:v>-0.60005529056970508</c:v>
                </c:pt>
                <c:pt idx="121">
                  <c:v>-0.60005529056970508</c:v>
                </c:pt>
                <c:pt idx="122">
                  <c:v>-0.60005529056970508</c:v>
                </c:pt>
                <c:pt idx="123">
                  <c:v>-0.60005529056970508</c:v>
                </c:pt>
                <c:pt idx="124">
                  <c:v>-0.47441488350636313</c:v>
                </c:pt>
                <c:pt idx="125">
                  <c:v>-0.47441488350636313</c:v>
                </c:pt>
                <c:pt idx="126">
                  <c:v>-0.4601505487612142</c:v>
                </c:pt>
                <c:pt idx="127">
                  <c:v>-0.45305351907680225</c:v>
                </c:pt>
                <c:pt idx="128">
                  <c:v>-0.45305351907680225</c:v>
                </c:pt>
                <c:pt idx="129">
                  <c:v>-0.45305351907680225</c:v>
                </c:pt>
                <c:pt idx="130">
                  <c:v>-0.43189692948271047</c:v>
                </c:pt>
                <c:pt idx="131">
                  <c:v>-0.42488793897993393</c:v>
                </c:pt>
                <c:pt idx="132">
                  <c:v>-0.42488793897993393</c:v>
                </c:pt>
                <c:pt idx="133">
                  <c:v>-0.42488793897993393</c:v>
                </c:pt>
                <c:pt idx="134">
                  <c:v>-0.42488793897993393</c:v>
                </c:pt>
                <c:pt idx="135">
                  <c:v>-0.42488793897993393</c:v>
                </c:pt>
                <c:pt idx="136">
                  <c:v>-0.42488793897993393</c:v>
                </c:pt>
                <c:pt idx="137">
                  <c:v>-0.42488793897993393</c:v>
                </c:pt>
                <c:pt idx="138">
                  <c:v>-0.42488793897993393</c:v>
                </c:pt>
                <c:pt idx="139">
                  <c:v>-0.42488793897993393</c:v>
                </c:pt>
                <c:pt idx="140">
                  <c:v>-0.42488793897993393</c:v>
                </c:pt>
                <c:pt idx="141">
                  <c:v>-0.42488793897993393</c:v>
                </c:pt>
                <c:pt idx="142">
                  <c:v>-0.42488793897993393</c:v>
                </c:pt>
                <c:pt idx="143">
                  <c:v>-0.34227644932452284</c:v>
                </c:pt>
                <c:pt idx="144">
                  <c:v>-0.3355040396155593</c:v>
                </c:pt>
                <c:pt idx="145">
                  <c:v>-0.3355040396155593</c:v>
                </c:pt>
                <c:pt idx="146">
                  <c:v>-0.3355040396155593</c:v>
                </c:pt>
                <c:pt idx="147">
                  <c:v>-0.31527742954587812</c:v>
                </c:pt>
                <c:pt idx="148">
                  <c:v>-0.31527742954587812</c:v>
                </c:pt>
                <c:pt idx="149">
                  <c:v>-0.30186483701074074</c:v>
                </c:pt>
                <c:pt idx="150">
                  <c:v>-0.29517900048864582</c:v>
                </c:pt>
                <c:pt idx="151">
                  <c:v>-0.28850633275119353</c:v>
                </c:pt>
                <c:pt idx="152">
                  <c:v>-0.28850633275119353</c:v>
                </c:pt>
                <c:pt idx="153">
                  <c:v>-0.28850633275119353</c:v>
                </c:pt>
                <c:pt idx="154">
                  <c:v>-0.28850633275119353</c:v>
                </c:pt>
                <c:pt idx="155">
                  <c:v>-0.28850633275119353</c:v>
                </c:pt>
                <c:pt idx="156">
                  <c:v>-0.28850633275119353</c:v>
                </c:pt>
                <c:pt idx="157">
                  <c:v>-0.28850633275119353</c:v>
                </c:pt>
                <c:pt idx="158">
                  <c:v>-0.28850633275119353</c:v>
                </c:pt>
                <c:pt idx="159">
                  <c:v>-0.28850633275119353</c:v>
                </c:pt>
                <c:pt idx="160">
                  <c:v>-0.22898889026089997</c:v>
                </c:pt>
                <c:pt idx="161">
                  <c:v>-0.22898889026089997</c:v>
                </c:pt>
                <c:pt idx="162">
                  <c:v>-0.22898889026089997</c:v>
                </c:pt>
                <c:pt idx="163">
                  <c:v>-0.22898889026089997</c:v>
                </c:pt>
                <c:pt idx="164">
                  <c:v>-0.20280722023220576</c:v>
                </c:pt>
                <c:pt idx="165">
                  <c:v>-0.1962841646325432</c:v>
                </c:pt>
                <c:pt idx="166">
                  <c:v>-0.1962841646325432</c:v>
                </c:pt>
                <c:pt idx="167">
                  <c:v>-0.1962841646325432</c:v>
                </c:pt>
                <c:pt idx="168">
                  <c:v>-0.17676385996282307</c:v>
                </c:pt>
                <c:pt idx="169">
                  <c:v>-0.17676385996282307</c:v>
                </c:pt>
                <c:pt idx="170">
                  <c:v>-0.16378810102408645</c:v>
                </c:pt>
                <c:pt idx="171">
                  <c:v>-0.1573106846101707</c:v>
                </c:pt>
                <c:pt idx="172">
                  <c:v>-0.1573106846101707</c:v>
                </c:pt>
                <c:pt idx="173">
                  <c:v>-0.1573106846101707</c:v>
                </c:pt>
                <c:pt idx="174">
                  <c:v>-0.1573106846101707</c:v>
                </c:pt>
                <c:pt idx="175">
                  <c:v>-0.1573106846101707</c:v>
                </c:pt>
                <c:pt idx="176">
                  <c:v>-0.1573106846101707</c:v>
                </c:pt>
                <c:pt idx="177">
                  <c:v>-0.1573106846101707</c:v>
                </c:pt>
                <c:pt idx="178">
                  <c:v>-0.11213762424542992</c:v>
                </c:pt>
                <c:pt idx="179">
                  <c:v>-0.1057051091748199</c:v>
                </c:pt>
                <c:pt idx="180">
                  <c:v>-0.1057051091748199</c:v>
                </c:pt>
                <c:pt idx="181">
                  <c:v>-0.1057051091748199</c:v>
                </c:pt>
                <c:pt idx="182">
                  <c:v>-8.6432705492186665E-2</c:v>
                </c:pt>
                <c:pt idx="183">
                  <c:v>-8.0016051321401133E-2</c:v>
                </c:pt>
                <c:pt idx="184">
                  <c:v>-8.0016051321401133E-2</c:v>
                </c:pt>
                <c:pt idx="185">
                  <c:v>-8.0016051321401133E-2</c:v>
                </c:pt>
                <c:pt idx="186">
                  <c:v>-8.0016051321401133E-2</c:v>
                </c:pt>
                <c:pt idx="187">
                  <c:v>-8.0016051321401133E-2</c:v>
                </c:pt>
                <c:pt idx="188">
                  <c:v>-8.0016051321401133E-2</c:v>
                </c:pt>
                <c:pt idx="189">
                  <c:v>-8.0016051321401133E-2</c:v>
                </c:pt>
                <c:pt idx="190">
                  <c:v>-8.0016051321401133E-2</c:v>
                </c:pt>
                <c:pt idx="191">
                  <c:v>-8.0016051321401133E-2</c:v>
                </c:pt>
                <c:pt idx="192">
                  <c:v>-8.0016051321401133E-2</c:v>
                </c:pt>
                <c:pt idx="193">
                  <c:v>-1.5986830666930081E-2</c:v>
                </c:pt>
                <c:pt idx="194">
                  <c:v>-9.5918369045287465E-3</c:v>
                </c:pt>
                <c:pt idx="195">
                  <c:v>-3.1972353893137463E-3</c:v>
                </c:pt>
                <c:pt idx="196">
                  <c:v>3.1972353893138855E-3</c:v>
                </c:pt>
                <c:pt idx="197">
                  <c:v>3.1972353893138855E-3</c:v>
                </c:pt>
                <c:pt idx="198">
                  <c:v>3.1972353893138855E-3</c:v>
                </c:pt>
                <c:pt idx="199">
                  <c:v>3.1972353893138855E-3</c:v>
                </c:pt>
                <c:pt idx="200">
                  <c:v>3.1972353893138855E-3</c:v>
                </c:pt>
                <c:pt idx="201">
                  <c:v>3.1972353893138855E-3</c:v>
                </c:pt>
                <c:pt idx="202">
                  <c:v>3.1972353893138855E-3</c:v>
                </c:pt>
                <c:pt idx="203">
                  <c:v>3.1972353893138855E-3</c:v>
                </c:pt>
                <c:pt idx="204">
                  <c:v>3.1972353893138855E-3</c:v>
                </c:pt>
                <c:pt idx="205">
                  <c:v>6.0784779324276172E-2</c:v>
                </c:pt>
                <c:pt idx="206">
                  <c:v>6.7192354710227428E-2</c:v>
                </c:pt>
                <c:pt idx="207">
                  <c:v>7.3602690030832113E-2</c:v>
                </c:pt>
                <c:pt idx="208">
                  <c:v>8.0016051321400994E-2</c:v>
                </c:pt>
                <c:pt idx="209">
                  <c:v>8.6432705492186818E-2</c:v>
                </c:pt>
                <c:pt idx="210">
                  <c:v>8.6432705492186818E-2</c:v>
                </c:pt>
                <c:pt idx="211">
                  <c:v>9.9276964964338646E-2</c:v>
                </c:pt>
                <c:pt idx="212">
                  <c:v>9.9276964964338646E-2</c:v>
                </c:pt>
                <c:pt idx="213">
                  <c:v>9.9276964964338646E-2</c:v>
                </c:pt>
                <c:pt idx="214">
                  <c:v>9.9276964964338646E-2</c:v>
                </c:pt>
                <c:pt idx="215">
                  <c:v>9.9276964964338646E-2</c:v>
                </c:pt>
                <c:pt idx="216">
                  <c:v>9.9276964964338646E-2</c:v>
                </c:pt>
                <c:pt idx="217">
                  <c:v>9.9276964964338646E-2</c:v>
                </c:pt>
                <c:pt idx="218">
                  <c:v>9.9276964964338646E-2</c:v>
                </c:pt>
                <c:pt idx="219">
                  <c:v>9.9276964964338646E-2</c:v>
                </c:pt>
                <c:pt idx="220">
                  <c:v>9.9276964964338646E-2</c:v>
                </c:pt>
                <c:pt idx="221">
                  <c:v>9.9276964964338646E-2</c:v>
                </c:pt>
                <c:pt idx="222">
                  <c:v>0.17027239685422862</c:v>
                </c:pt>
                <c:pt idx="223">
                  <c:v>0.17676385996282321</c:v>
                </c:pt>
                <c:pt idx="224">
                  <c:v>0.18326278037660315</c:v>
                </c:pt>
                <c:pt idx="225">
                  <c:v>0.18326278037660315</c:v>
                </c:pt>
                <c:pt idx="226">
                  <c:v>0.19628416463254303</c:v>
                </c:pt>
                <c:pt idx="227">
                  <c:v>0.19628416463254303</c:v>
                </c:pt>
                <c:pt idx="228">
                  <c:v>0.19628416463254303</c:v>
                </c:pt>
                <c:pt idx="229">
                  <c:v>0.19628416463254303</c:v>
                </c:pt>
                <c:pt idx="230">
                  <c:v>0.19628416463254303</c:v>
                </c:pt>
                <c:pt idx="231">
                  <c:v>0.19628416463254303</c:v>
                </c:pt>
                <c:pt idx="232">
                  <c:v>0.19628416463254303</c:v>
                </c:pt>
                <c:pt idx="233">
                  <c:v>0.19628416463254303</c:v>
                </c:pt>
                <c:pt idx="234">
                  <c:v>0.19628416463254303</c:v>
                </c:pt>
                <c:pt idx="235">
                  <c:v>0.19628416463254303</c:v>
                </c:pt>
                <c:pt idx="236">
                  <c:v>0.26194045846440461</c:v>
                </c:pt>
                <c:pt idx="237">
                  <c:v>0.26856388625555183</c:v>
                </c:pt>
                <c:pt idx="238">
                  <c:v>0.26856388625555183</c:v>
                </c:pt>
                <c:pt idx="239">
                  <c:v>0.2818464860769076</c:v>
                </c:pt>
                <c:pt idx="240">
                  <c:v>0.2818464860769076</c:v>
                </c:pt>
                <c:pt idx="241">
                  <c:v>0.29517900048864598</c:v>
                </c:pt>
                <c:pt idx="242">
                  <c:v>0.30186483701074074</c:v>
                </c:pt>
                <c:pt idx="243">
                  <c:v>0.30186483701074074</c:v>
                </c:pt>
                <c:pt idx="244">
                  <c:v>0.30186483701074074</c:v>
                </c:pt>
                <c:pt idx="245">
                  <c:v>0.30186483701074074</c:v>
                </c:pt>
                <c:pt idx="246">
                  <c:v>0.30186483701074074</c:v>
                </c:pt>
                <c:pt idx="247">
                  <c:v>0.30186483701074074</c:v>
                </c:pt>
                <c:pt idx="248">
                  <c:v>0.30186483701074074</c:v>
                </c:pt>
                <c:pt idx="249">
                  <c:v>0.30186483701074074</c:v>
                </c:pt>
                <c:pt idx="250">
                  <c:v>0.30186483701074074</c:v>
                </c:pt>
                <c:pt idx="251">
                  <c:v>0.30186483701074074</c:v>
                </c:pt>
                <c:pt idx="252">
                  <c:v>0.30186483701074074</c:v>
                </c:pt>
                <c:pt idx="253">
                  <c:v>0.30186483701074074</c:v>
                </c:pt>
                <c:pt idx="254">
                  <c:v>0.30186483701074074</c:v>
                </c:pt>
                <c:pt idx="255">
                  <c:v>0.30186483701074074</c:v>
                </c:pt>
                <c:pt idx="256">
                  <c:v>0.39705550482904034</c:v>
                </c:pt>
                <c:pt idx="257">
                  <c:v>0.40398399337523622</c:v>
                </c:pt>
                <c:pt idx="258">
                  <c:v>0.41093192943060336</c:v>
                </c:pt>
                <c:pt idx="259">
                  <c:v>0.41093192943060336</c:v>
                </c:pt>
                <c:pt idx="260">
                  <c:v>0.42488793897993393</c:v>
                </c:pt>
                <c:pt idx="261">
                  <c:v>0.43189692948271047</c:v>
                </c:pt>
                <c:pt idx="262">
                  <c:v>0.43189692948271047</c:v>
                </c:pt>
                <c:pt idx="263">
                  <c:v>0.43189692948271047</c:v>
                </c:pt>
                <c:pt idx="264">
                  <c:v>0.43189692948271047</c:v>
                </c:pt>
                <c:pt idx="265">
                  <c:v>0.43189692948271047</c:v>
                </c:pt>
                <c:pt idx="266">
                  <c:v>0.43189692948271047</c:v>
                </c:pt>
                <c:pt idx="267">
                  <c:v>0.43189692948271047</c:v>
                </c:pt>
                <c:pt idx="268">
                  <c:v>0.43189692948271047</c:v>
                </c:pt>
                <c:pt idx="269">
                  <c:v>0.43189692948271047</c:v>
                </c:pt>
                <c:pt idx="270">
                  <c:v>0.49599497085825733</c:v>
                </c:pt>
                <c:pt idx="271">
                  <c:v>0.49599497085825733</c:v>
                </c:pt>
                <c:pt idx="272">
                  <c:v>0.49599497085825733</c:v>
                </c:pt>
                <c:pt idx="273">
                  <c:v>0.51780857233137045</c:v>
                </c:pt>
                <c:pt idx="274">
                  <c:v>0.5251343538696831</c:v>
                </c:pt>
                <c:pt idx="275">
                  <c:v>0.53248842708754573</c:v>
                </c:pt>
                <c:pt idx="276">
                  <c:v>0.5398714122010615</c:v>
                </c:pt>
                <c:pt idx="277">
                  <c:v>0.5398714122010615</c:v>
                </c:pt>
                <c:pt idx="278">
                  <c:v>0.5398714122010615</c:v>
                </c:pt>
                <c:pt idx="279">
                  <c:v>0.5398714122010615</c:v>
                </c:pt>
                <c:pt idx="280">
                  <c:v>0.5398714122010615</c:v>
                </c:pt>
                <c:pt idx="281">
                  <c:v>0.5398714122010615</c:v>
                </c:pt>
                <c:pt idx="282">
                  <c:v>0.5398714122010615</c:v>
                </c:pt>
                <c:pt idx="283">
                  <c:v>0.5398714122010615</c:v>
                </c:pt>
                <c:pt idx="284">
                  <c:v>0.5398714122010615</c:v>
                </c:pt>
                <c:pt idx="285">
                  <c:v>0.5398714122010615</c:v>
                </c:pt>
                <c:pt idx="286">
                  <c:v>0.61543829749621981</c:v>
                </c:pt>
                <c:pt idx="287">
                  <c:v>0.62318453179067923</c:v>
                </c:pt>
                <c:pt idx="288">
                  <c:v>0.63096834177070094</c:v>
                </c:pt>
                <c:pt idx="289">
                  <c:v>0.63879057001741368</c:v>
                </c:pt>
                <c:pt idx="290">
                  <c:v>0.63879057001741368</c:v>
                </c:pt>
                <c:pt idx="291">
                  <c:v>0.63879057001741368</c:v>
                </c:pt>
                <c:pt idx="292">
                  <c:v>0.63879057001741368</c:v>
                </c:pt>
                <c:pt idx="293">
                  <c:v>0.63879057001741368</c:v>
                </c:pt>
                <c:pt idx="294">
                  <c:v>0.63879057001741368</c:v>
                </c:pt>
                <c:pt idx="295">
                  <c:v>0.63879057001741368</c:v>
                </c:pt>
                <c:pt idx="296">
                  <c:v>0.63879057001741368</c:v>
                </c:pt>
                <c:pt idx="297">
                  <c:v>0.70286023091909866</c:v>
                </c:pt>
                <c:pt idx="298">
                  <c:v>0.70286023091909866</c:v>
                </c:pt>
                <c:pt idx="299">
                  <c:v>0.71932811724388146</c:v>
                </c:pt>
                <c:pt idx="300">
                  <c:v>0.71932811724388146</c:v>
                </c:pt>
                <c:pt idx="301">
                  <c:v>0.73599343368381387</c:v>
                </c:pt>
                <c:pt idx="302">
                  <c:v>0.74440308519999565</c:v>
                </c:pt>
                <c:pt idx="303">
                  <c:v>0.74440308519999565</c:v>
                </c:pt>
                <c:pt idx="304">
                  <c:v>0.74440308519999565</c:v>
                </c:pt>
                <c:pt idx="305">
                  <c:v>0.74440308519999565</c:v>
                </c:pt>
                <c:pt idx="306">
                  <c:v>0.74440308519999565</c:v>
                </c:pt>
                <c:pt idx="307">
                  <c:v>0.74440308519999565</c:v>
                </c:pt>
                <c:pt idx="308">
                  <c:v>0.74440308519999565</c:v>
                </c:pt>
                <c:pt idx="309">
                  <c:v>0.80482899480686976</c:v>
                </c:pt>
                <c:pt idx="310">
                  <c:v>0.80482899480686976</c:v>
                </c:pt>
                <c:pt idx="311">
                  <c:v>0.82263729107406613</c:v>
                </c:pt>
                <c:pt idx="312">
                  <c:v>0.83163987967842667</c:v>
                </c:pt>
                <c:pt idx="313">
                  <c:v>0.84071038002398013</c:v>
                </c:pt>
                <c:pt idx="314">
                  <c:v>0.84071038002398013</c:v>
                </c:pt>
                <c:pt idx="315">
                  <c:v>0.84071038002398013</c:v>
                </c:pt>
                <c:pt idx="316">
                  <c:v>0.84071038002398013</c:v>
                </c:pt>
                <c:pt idx="317">
                  <c:v>0.84071038002398013</c:v>
                </c:pt>
                <c:pt idx="318">
                  <c:v>0.84071038002398013</c:v>
                </c:pt>
                <c:pt idx="319">
                  <c:v>0.84071038002398013</c:v>
                </c:pt>
                <c:pt idx="320">
                  <c:v>0.90626440989817525</c:v>
                </c:pt>
                <c:pt idx="321">
                  <c:v>0.91594855621391613</c:v>
                </c:pt>
                <c:pt idx="322">
                  <c:v>0.91594855621391613</c:v>
                </c:pt>
                <c:pt idx="323">
                  <c:v>0.93557937876868658</c:v>
                </c:pt>
                <c:pt idx="324">
                  <c:v>0.94553119002021024</c:v>
                </c:pt>
                <c:pt idx="325">
                  <c:v>0.95557753794043188</c:v>
                </c:pt>
                <c:pt idx="326">
                  <c:v>0.96572126957388438</c:v>
                </c:pt>
                <c:pt idx="327">
                  <c:v>0.96572126957388438</c:v>
                </c:pt>
                <c:pt idx="328">
                  <c:v>0.96572126957388438</c:v>
                </c:pt>
                <c:pt idx="329">
                  <c:v>0.96572126957388438</c:v>
                </c:pt>
                <c:pt idx="330">
                  <c:v>0.96572126957388438</c:v>
                </c:pt>
                <c:pt idx="331">
                  <c:v>0.96572126957388438</c:v>
                </c:pt>
                <c:pt idx="332">
                  <c:v>1.0288047620058449</c:v>
                </c:pt>
                <c:pt idx="333">
                  <c:v>1.0397213301736039</c:v>
                </c:pt>
                <c:pt idx="334">
                  <c:v>1.050763231139634</c:v>
                </c:pt>
                <c:pt idx="335">
                  <c:v>1.0619347543176552</c:v>
                </c:pt>
                <c:pt idx="336">
                  <c:v>1.0619347543176552</c:v>
                </c:pt>
                <c:pt idx="337">
                  <c:v>1.0846849303794233</c:v>
                </c:pt>
                <c:pt idx="338">
                  <c:v>1.0962733150227</c:v>
                </c:pt>
                <c:pt idx="339">
                  <c:v>1.1080108204698569</c:v>
                </c:pt>
                <c:pt idx="340">
                  <c:v>1.1199029946137795</c:v>
                </c:pt>
                <c:pt idx="341">
                  <c:v>1.1199029946137795</c:v>
                </c:pt>
                <c:pt idx="342">
                  <c:v>1.1199029946137795</c:v>
                </c:pt>
                <c:pt idx="343">
                  <c:v>1.156567811385141</c:v>
                </c:pt>
                <c:pt idx="344">
                  <c:v>1.156567811385141</c:v>
                </c:pt>
                <c:pt idx="345">
                  <c:v>1.156567811385141</c:v>
                </c:pt>
                <c:pt idx="346">
                  <c:v>1.1948571240757904</c:v>
                </c:pt>
                <c:pt idx="347">
                  <c:v>1.2080167583463306</c:v>
                </c:pt>
                <c:pt idx="348">
                  <c:v>1.221388985601022</c:v>
                </c:pt>
                <c:pt idx="349">
                  <c:v>1.221388985601022</c:v>
                </c:pt>
                <c:pt idx="350">
                  <c:v>1.2488096764960821</c:v>
                </c:pt>
                <c:pt idx="351">
                  <c:v>1.2488096764960821</c:v>
                </c:pt>
                <c:pt idx="352">
                  <c:v>1.2772029316939737</c:v>
                </c:pt>
                <c:pt idx="353">
                  <c:v>1.2917937758243685</c:v>
                </c:pt>
                <c:pt idx="354">
                  <c:v>1.306664940712895</c:v>
                </c:pt>
                <c:pt idx="355">
                  <c:v>1.3218308296149113</c:v>
                </c:pt>
                <c:pt idx="356">
                  <c:v>1.3373069939616973</c:v>
                </c:pt>
                <c:pt idx="357">
                  <c:v>1.3531102606891987</c:v>
                </c:pt>
                <c:pt idx="358">
                  <c:v>1.3531102606891987</c:v>
                </c:pt>
                <c:pt idx="359">
                  <c:v>1.3857726818373162</c:v>
                </c:pt>
                <c:pt idx="360">
                  <c:v>1.402673289992322</c:v>
                </c:pt>
                <c:pt idx="361">
                  <c:v>1.4199843237682621</c:v>
                </c:pt>
                <c:pt idx="362">
                  <c:v>1.4199843237682621</c:v>
                </c:pt>
                <c:pt idx="363">
                  <c:v>1.4199843237682621</c:v>
                </c:pt>
                <c:pt idx="364">
                  <c:v>1.4199843237682621</c:v>
                </c:pt>
                <c:pt idx="365">
                  <c:v>1.4199843237682621</c:v>
                </c:pt>
                <c:pt idx="366">
                  <c:v>1.4199843237682621</c:v>
                </c:pt>
                <c:pt idx="367">
                  <c:v>1.5341205443525465</c:v>
                </c:pt>
                <c:pt idx="368">
                  <c:v>1.5341205443525465</c:v>
                </c:pt>
                <c:pt idx="369">
                  <c:v>1.5769982907616837</c:v>
                </c:pt>
                <c:pt idx="370">
                  <c:v>1.5995705882374911</c:v>
                </c:pt>
                <c:pt idx="371">
                  <c:v>1.5995705882374911</c:v>
                </c:pt>
                <c:pt idx="372">
                  <c:v>1.5995705882374911</c:v>
                </c:pt>
                <c:pt idx="373">
                  <c:v>1.6726929638404258</c:v>
                </c:pt>
                <c:pt idx="374">
                  <c:v>1.6991776601112989</c:v>
                </c:pt>
                <c:pt idx="375">
                  <c:v>1.7269108614600868</c:v>
                </c:pt>
                <c:pt idx="376">
                  <c:v>1.7560396847773088</c:v>
                </c:pt>
                <c:pt idx="377">
                  <c:v>1.7560396847773088</c:v>
                </c:pt>
                <c:pt idx="378">
                  <c:v>1.7560396847773088</c:v>
                </c:pt>
                <c:pt idx="379">
                  <c:v>1.7560396847773088</c:v>
                </c:pt>
                <c:pt idx="380">
                  <c:v>1.8906321205380332</c:v>
                </c:pt>
                <c:pt idx="381">
                  <c:v>1.9302858560575813</c:v>
                </c:pt>
                <c:pt idx="382">
                  <c:v>1.9732297912673347</c:v>
                </c:pt>
                <c:pt idx="383">
                  <c:v>2.0201546663717482</c:v>
                </c:pt>
                <c:pt idx="384">
                  <c:v>2.0720014483779305</c:v>
                </c:pt>
                <c:pt idx="385">
                  <c:v>2.1301011271220536</c:v>
                </c:pt>
                <c:pt idx="386">
                  <c:v>2.1964293827614645</c:v>
                </c:pt>
                <c:pt idx="387">
                  <c:v>2.2741131596554611</c:v>
                </c:pt>
                <c:pt idx="388">
                  <c:v>2.3685670592678738</c:v>
                </c:pt>
                <c:pt idx="389">
                  <c:v>2.4905347542813567</c:v>
                </c:pt>
                <c:pt idx="390">
                  <c:v>2.6670046532742755</c:v>
                </c:pt>
                <c:pt idx="391">
                  <c:v>3.0172230343004469</c:v>
                </c:pt>
              </c:numCache>
            </c:numRef>
          </c:xVal>
          <c:yVal>
            <c:numRef>
              <c:f>Regression!RegChartQQX</c:f>
              <c:numCache>
                <c:formatCode>0.0000</c:formatCode>
                <c:ptCount val="392"/>
                <c:pt idx="0">
                  <c:v>-3.0172230343004571</c:v>
                </c:pt>
                <c:pt idx="1">
                  <c:v>-2.6670046532742777</c:v>
                </c:pt>
                <c:pt idx="2">
                  <c:v>-2.6670046532742777</c:v>
                </c:pt>
                <c:pt idx="3">
                  <c:v>-2.368567059267872</c:v>
                </c:pt>
                <c:pt idx="4">
                  <c:v>-2.368567059267872</c:v>
                </c:pt>
                <c:pt idx="5">
                  <c:v>-2.368567059267872</c:v>
                </c:pt>
                <c:pt idx="6">
                  <c:v>-2.368567059267872</c:v>
                </c:pt>
                <c:pt idx="7">
                  <c:v>-2.0720014483779297</c:v>
                </c:pt>
                <c:pt idx="8">
                  <c:v>-2.0720014483779297</c:v>
                </c:pt>
                <c:pt idx="9">
                  <c:v>-2.0720014483779297</c:v>
                </c:pt>
                <c:pt idx="10">
                  <c:v>-2.0720014483779297</c:v>
                </c:pt>
                <c:pt idx="11">
                  <c:v>-2.0720014483779297</c:v>
                </c:pt>
                <c:pt idx="12">
                  <c:v>-2.0720014483779297</c:v>
                </c:pt>
                <c:pt idx="13">
                  <c:v>-1.8192221095957348</c:v>
                </c:pt>
                <c:pt idx="14">
                  <c:v>-1.8192221095957348</c:v>
                </c:pt>
                <c:pt idx="15">
                  <c:v>-1.8192221095957348</c:v>
                </c:pt>
                <c:pt idx="16">
                  <c:v>-1.8192221095957348</c:v>
                </c:pt>
                <c:pt idx="17">
                  <c:v>-1.8192221095957348</c:v>
                </c:pt>
                <c:pt idx="18">
                  <c:v>-1.8192221095957348</c:v>
                </c:pt>
                <c:pt idx="19">
                  <c:v>-1.8192221095957348</c:v>
                </c:pt>
                <c:pt idx="20">
                  <c:v>-1.8192221095957348</c:v>
                </c:pt>
                <c:pt idx="21">
                  <c:v>-1.8192221095957348</c:v>
                </c:pt>
                <c:pt idx="22">
                  <c:v>-1.8192221095957348</c:v>
                </c:pt>
                <c:pt idx="23">
                  <c:v>-1.8192221095957348</c:v>
                </c:pt>
                <c:pt idx="24">
                  <c:v>-1.8192221095957348</c:v>
                </c:pt>
                <c:pt idx="25">
                  <c:v>-1.8192221095957348</c:v>
                </c:pt>
                <c:pt idx="26">
                  <c:v>-1.8192221095957348</c:v>
                </c:pt>
                <c:pt idx="27">
                  <c:v>-1.8192221095957348</c:v>
                </c:pt>
                <c:pt idx="28">
                  <c:v>-1.8192221095957348</c:v>
                </c:pt>
                <c:pt idx="29">
                  <c:v>-1.8192221095957348</c:v>
                </c:pt>
                <c:pt idx="30">
                  <c:v>-1.8192221095957348</c:v>
                </c:pt>
                <c:pt idx="31">
                  <c:v>-1.8192221095957348</c:v>
                </c:pt>
                <c:pt idx="32">
                  <c:v>-1.8192221095957348</c:v>
                </c:pt>
                <c:pt idx="33">
                  <c:v>-1.3692588778592949</c:v>
                </c:pt>
                <c:pt idx="34">
                  <c:v>-1.3692588778592949</c:v>
                </c:pt>
                <c:pt idx="35">
                  <c:v>-1.3692588778592949</c:v>
                </c:pt>
                <c:pt idx="36">
                  <c:v>-1.3692588778592949</c:v>
                </c:pt>
                <c:pt idx="37">
                  <c:v>-1.3692588778592949</c:v>
                </c:pt>
                <c:pt idx="38">
                  <c:v>-1.3692588778592949</c:v>
                </c:pt>
                <c:pt idx="39">
                  <c:v>-1.3692588778592949</c:v>
                </c:pt>
                <c:pt idx="40">
                  <c:v>-1.3692588778592949</c:v>
                </c:pt>
                <c:pt idx="41">
                  <c:v>-1.3692588778592949</c:v>
                </c:pt>
                <c:pt idx="42">
                  <c:v>-1.3692588778592949</c:v>
                </c:pt>
                <c:pt idx="43">
                  <c:v>-1.3692588778592949</c:v>
                </c:pt>
                <c:pt idx="44">
                  <c:v>-1.3692588778592949</c:v>
                </c:pt>
                <c:pt idx="45">
                  <c:v>-1.3692588778592949</c:v>
                </c:pt>
                <c:pt idx="46">
                  <c:v>-1.3692588778592949</c:v>
                </c:pt>
                <c:pt idx="47">
                  <c:v>-1.3692588778592949</c:v>
                </c:pt>
                <c:pt idx="48">
                  <c:v>-1.3692588778592949</c:v>
                </c:pt>
                <c:pt idx="49">
                  <c:v>-1.3692588778592949</c:v>
                </c:pt>
                <c:pt idx="50">
                  <c:v>-1.3692588778592949</c:v>
                </c:pt>
                <c:pt idx="51">
                  <c:v>-1.3692588778592949</c:v>
                </c:pt>
                <c:pt idx="52">
                  <c:v>-1.1080108204698569</c:v>
                </c:pt>
                <c:pt idx="53">
                  <c:v>-1.0962733150227</c:v>
                </c:pt>
                <c:pt idx="54">
                  <c:v>-1.0962733150227</c:v>
                </c:pt>
                <c:pt idx="55">
                  <c:v>-1.0962733150227</c:v>
                </c:pt>
                <c:pt idx="56">
                  <c:v>-1.0962733150227</c:v>
                </c:pt>
                <c:pt idx="57">
                  <c:v>-1.0962733150227</c:v>
                </c:pt>
                <c:pt idx="58">
                  <c:v>-1.0962733150227</c:v>
                </c:pt>
                <c:pt idx="59">
                  <c:v>-1.0962733150227</c:v>
                </c:pt>
                <c:pt idx="60">
                  <c:v>-1.0962733150227</c:v>
                </c:pt>
                <c:pt idx="61">
                  <c:v>-1.0962733150227</c:v>
                </c:pt>
                <c:pt idx="62">
                  <c:v>-1.0962733150227</c:v>
                </c:pt>
                <c:pt idx="63">
                  <c:v>-1.0962733150227</c:v>
                </c:pt>
                <c:pt idx="64">
                  <c:v>-1.0962733150227</c:v>
                </c:pt>
                <c:pt idx="65">
                  <c:v>-1.0962733150227</c:v>
                </c:pt>
                <c:pt idx="66">
                  <c:v>-1.0962733150227</c:v>
                </c:pt>
                <c:pt idx="67">
                  <c:v>-1.0962733150227</c:v>
                </c:pt>
                <c:pt idx="68">
                  <c:v>-1.0962733150227</c:v>
                </c:pt>
                <c:pt idx="69">
                  <c:v>-0.92571937406474636</c:v>
                </c:pt>
                <c:pt idx="70">
                  <c:v>-0.92571937406474636</c:v>
                </c:pt>
                <c:pt idx="71">
                  <c:v>-0.92571937406474636</c:v>
                </c:pt>
                <c:pt idx="72">
                  <c:v>-0.92571937406474636</c:v>
                </c:pt>
                <c:pt idx="73">
                  <c:v>-0.92571937406474636</c:v>
                </c:pt>
                <c:pt idx="74">
                  <c:v>-0.87770829679608253</c:v>
                </c:pt>
                <c:pt idx="75">
                  <c:v>-0.87770829679608253</c:v>
                </c:pt>
                <c:pt idx="76">
                  <c:v>-0.87770829679608253</c:v>
                </c:pt>
                <c:pt idx="77">
                  <c:v>-0.87770829679608253</c:v>
                </c:pt>
                <c:pt idx="78">
                  <c:v>-0.87770829679608253</c:v>
                </c:pt>
                <c:pt idx="79">
                  <c:v>-0.87770829679608253</c:v>
                </c:pt>
                <c:pt idx="80">
                  <c:v>-0.87770829679608253</c:v>
                </c:pt>
                <c:pt idx="81">
                  <c:v>-0.87770829679608253</c:v>
                </c:pt>
                <c:pt idx="82">
                  <c:v>-0.87770829679608253</c:v>
                </c:pt>
                <c:pt idx="83">
                  <c:v>-0.87770829679608253</c:v>
                </c:pt>
                <c:pt idx="84">
                  <c:v>-0.87770829679608253</c:v>
                </c:pt>
                <c:pt idx="85">
                  <c:v>-0.87770829679608253</c:v>
                </c:pt>
                <c:pt idx="86">
                  <c:v>-0.87770829679608253</c:v>
                </c:pt>
                <c:pt idx="87">
                  <c:v>-0.76138260968642557</c:v>
                </c:pt>
                <c:pt idx="88">
                  <c:v>-0.75286571534072255</c:v>
                </c:pt>
                <c:pt idx="89">
                  <c:v>-0.75286571534072255</c:v>
                </c:pt>
                <c:pt idx="90">
                  <c:v>-0.75286571534072255</c:v>
                </c:pt>
                <c:pt idx="91">
                  <c:v>-0.72763551415159011</c:v>
                </c:pt>
                <c:pt idx="92">
                  <c:v>-0.71932811724388146</c:v>
                </c:pt>
                <c:pt idx="93">
                  <c:v>-0.71932811724388146</c:v>
                </c:pt>
                <c:pt idx="94">
                  <c:v>-0.71932811724388146</c:v>
                </c:pt>
                <c:pt idx="95">
                  <c:v>-0.71932811724388146</c:v>
                </c:pt>
                <c:pt idx="96">
                  <c:v>-0.71932811724388146</c:v>
                </c:pt>
                <c:pt idx="97">
                  <c:v>-0.71932811724388146</c:v>
                </c:pt>
                <c:pt idx="98">
                  <c:v>-0.71932811724388146</c:v>
                </c:pt>
                <c:pt idx="99">
                  <c:v>-0.66249652488531496</c:v>
                </c:pt>
                <c:pt idx="100">
                  <c:v>-0.66249652488531496</c:v>
                </c:pt>
                <c:pt idx="101">
                  <c:v>-0.66249652488531496</c:v>
                </c:pt>
                <c:pt idx="102">
                  <c:v>-0.66249652488531496</c:v>
                </c:pt>
                <c:pt idx="103">
                  <c:v>-0.66249652488531496</c:v>
                </c:pt>
                <c:pt idx="104">
                  <c:v>-0.62318453179067923</c:v>
                </c:pt>
                <c:pt idx="105">
                  <c:v>-0.62318453179067923</c:v>
                </c:pt>
                <c:pt idx="106">
                  <c:v>-0.60772881744947449</c:v>
                </c:pt>
                <c:pt idx="107">
                  <c:v>-0.60005529056970508</c:v>
                </c:pt>
                <c:pt idx="108">
                  <c:v>-0.60005529056970508</c:v>
                </c:pt>
                <c:pt idx="109">
                  <c:v>-0.60005529056970508</c:v>
                </c:pt>
                <c:pt idx="110">
                  <c:v>-0.60005529056970508</c:v>
                </c:pt>
                <c:pt idx="111">
                  <c:v>-0.60005529056970508</c:v>
                </c:pt>
                <c:pt idx="112">
                  <c:v>-0.60005529056970508</c:v>
                </c:pt>
                <c:pt idx="113">
                  <c:v>-0.60005529056970508</c:v>
                </c:pt>
                <c:pt idx="114">
                  <c:v>-0.60005529056970508</c:v>
                </c:pt>
                <c:pt idx="115">
                  <c:v>-0.60005529056970508</c:v>
                </c:pt>
                <c:pt idx="116">
                  <c:v>-0.60005529056970508</c:v>
                </c:pt>
                <c:pt idx="117">
                  <c:v>-0.60005529056970508</c:v>
                </c:pt>
                <c:pt idx="118">
                  <c:v>-0.60005529056970508</c:v>
                </c:pt>
                <c:pt idx="119">
                  <c:v>-0.60005529056970508</c:v>
                </c:pt>
                <c:pt idx="120">
                  <c:v>-0.60005529056970508</c:v>
                </c:pt>
                <c:pt idx="121">
                  <c:v>-0.60005529056970508</c:v>
                </c:pt>
                <c:pt idx="122">
                  <c:v>-0.60005529056970508</c:v>
                </c:pt>
                <c:pt idx="123">
                  <c:v>-0.60005529056970508</c:v>
                </c:pt>
                <c:pt idx="124">
                  <c:v>-0.47441488350636313</c:v>
                </c:pt>
                <c:pt idx="125">
                  <c:v>-0.47441488350636313</c:v>
                </c:pt>
                <c:pt idx="126">
                  <c:v>-0.4601505487612142</c:v>
                </c:pt>
                <c:pt idx="127">
                  <c:v>-0.45305351907680225</c:v>
                </c:pt>
                <c:pt idx="128">
                  <c:v>-0.45305351907680225</c:v>
                </c:pt>
                <c:pt idx="129">
                  <c:v>-0.45305351907680225</c:v>
                </c:pt>
                <c:pt idx="130">
                  <c:v>-0.43189692948271047</c:v>
                </c:pt>
                <c:pt idx="131">
                  <c:v>-0.42488793897993393</c:v>
                </c:pt>
                <c:pt idx="132">
                  <c:v>-0.42488793897993393</c:v>
                </c:pt>
                <c:pt idx="133">
                  <c:v>-0.42488793897993393</c:v>
                </c:pt>
                <c:pt idx="134">
                  <c:v>-0.42488793897993393</c:v>
                </c:pt>
                <c:pt idx="135">
                  <c:v>-0.42488793897993393</c:v>
                </c:pt>
                <c:pt idx="136">
                  <c:v>-0.42488793897993393</c:v>
                </c:pt>
                <c:pt idx="137">
                  <c:v>-0.42488793897993393</c:v>
                </c:pt>
                <c:pt idx="138">
                  <c:v>-0.42488793897993393</c:v>
                </c:pt>
                <c:pt idx="139">
                  <c:v>-0.42488793897993393</c:v>
                </c:pt>
                <c:pt idx="140">
                  <c:v>-0.42488793897993393</c:v>
                </c:pt>
                <c:pt idx="141">
                  <c:v>-0.42488793897993393</c:v>
                </c:pt>
                <c:pt idx="142">
                  <c:v>-0.42488793897993393</c:v>
                </c:pt>
                <c:pt idx="143">
                  <c:v>-0.34227644932452284</c:v>
                </c:pt>
                <c:pt idx="144">
                  <c:v>-0.3355040396155593</c:v>
                </c:pt>
                <c:pt idx="145">
                  <c:v>-0.3355040396155593</c:v>
                </c:pt>
                <c:pt idx="146">
                  <c:v>-0.3355040396155593</c:v>
                </c:pt>
                <c:pt idx="147">
                  <c:v>-0.31527742954587812</c:v>
                </c:pt>
                <c:pt idx="148">
                  <c:v>-0.31527742954587812</c:v>
                </c:pt>
                <c:pt idx="149">
                  <c:v>-0.30186483701074074</c:v>
                </c:pt>
                <c:pt idx="150">
                  <c:v>-0.29517900048864582</c:v>
                </c:pt>
                <c:pt idx="151">
                  <c:v>-0.28850633275119353</c:v>
                </c:pt>
                <c:pt idx="152">
                  <c:v>-0.28850633275119353</c:v>
                </c:pt>
                <c:pt idx="153">
                  <c:v>-0.28850633275119353</c:v>
                </c:pt>
                <c:pt idx="154">
                  <c:v>-0.28850633275119353</c:v>
                </c:pt>
                <c:pt idx="155">
                  <c:v>-0.28850633275119353</c:v>
                </c:pt>
                <c:pt idx="156">
                  <c:v>-0.28850633275119353</c:v>
                </c:pt>
                <c:pt idx="157">
                  <c:v>-0.28850633275119353</c:v>
                </c:pt>
                <c:pt idx="158">
                  <c:v>-0.28850633275119353</c:v>
                </c:pt>
                <c:pt idx="159">
                  <c:v>-0.28850633275119353</c:v>
                </c:pt>
                <c:pt idx="160">
                  <c:v>-0.22898889026089997</c:v>
                </c:pt>
                <c:pt idx="161">
                  <c:v>-0.22898889026089997</c:v>
                </c:pt>
                <c:pt idx="162">
                  <c:v>-0.22898889026089997</c:v>
                </c:pt>
                <c:pt idx="163">
                  <c:v>-0.22898889026089997</c:v>
                </c:pt>
                <c:pt idx="164">
                  <c:v>-0.20280722023220576</c:v>
                </c:pt>
                <c:pt idx="165">
                  <c:v>-0.1962841646325432</c:v>
                </c:pt>
                <c:pt idx="166">
                  <c:v>-0.1962841646325432</c:v>
                </c:pt>
                <c:pt idx="167">
                  <c:v>-0.1962841646325432</c:v>
                </c:pt>
                <c:pt idx="168">
                  <c:v>-0.17676385996282307</c:v>
                </c:pt>
                <c:pt idx="169">
                  <c:v>-0.17676385996282307</c:v>
                </c:pt>
                <c:pt idx="170">
                  <c:v>-0.16378810102408645</c:v>
                </c:pt>
                <c:pt idx="171">
                  <c:v>-0.1573106846101707</c:v>
                </c:pt>
                <c:pt idx="172">
                  <c:v>-0.1573106846101707</c:v>
                </c:pt>
                <c:pt idx="173">
                  <c:v>-0.1573106846101707</c:v>
                </c:pt>
                <c:pt idx="174">
                  <c:v>-0.1573106846101707</c:v>
                </c:pt>
                <c:pt idx="175">
                  <c:v>-0.1573106846101707</c:v>
                </c:pt>
                <c:pt idx="176">
                  <c:v>-0.1573106846101707</c:v>
                </c:pt>
                <c:pt idx="177">
                  <c:v>-0.1573106846101707</c:v>
                </c:pt>
                <c:pt idx="178">
                  <c:v>-0.11213762424542992</c:v>
                </c:pt>
                <c:pt idx="179">
                  <c:v>-0.1057051091748199</c:v>
                </c:pt>
                <c:pt idx="180">
                  <c:v>-0.1057051091748199</c:v>
                </c:pt>
                <c:pt idx="181">
                  <c:v>-0.1057051091748199</c:v>
                </c:pt>
                <c:pt idx="182">
                  <c:v>-8.6432705492186665E-2</c:v>
                </c:pt>
                <c:pt idx="183">
                  <c:v>-8.0016051321401133E-2</c:v>
                </c:pt>
                <c:pt idx="184">
                  <c:v>-8.0016051321401133E-2</c:v>
                </c:pt>
                <c:pt idx="185">
                  <c:v>-8.0016051321401133E-2</c:v>
                </c:pt>
                <c:pt idx="186">
                  <c:v>-8.0016051321401133E-2</c:v>
                </c:pt>
                <c:pt idx="187">
                  <c:v>-8.0016051321401133E-2</c:v>
                </c:pt>
                <c:pt idx="188">
                  <c:v>-8.0016051321401133E-2</c:v>
                </c:pt>
                <c:pt idx="189">
                  <c:v>-8.0016051321401133E-2</c:v>
                </c:pt>
                <c:pt idx="190">
                  <c:v>-8.0016051321401133E-2</c:v>
                </c:pt>
                <c:pt idx="191">
                  <c:v>-8.0016051321401133E-2</c:v>
                </c:pt>
                <c:pt idx="192">
                  <c:v>-8.0016051321401133E-2</c:v>
                </c:pt>
                <c:pt idx="193">
                  <c:v>-1.5986830666930081E-2</c:v>
                </c:pt>
                <c:pt idx="194">
                  <c:v>-9.5918369045287465E-3</c:v>
                </c:pt>
                <c:pt idx="195">
                  <c:v>-3.1972353893137463E-3</c:v>
                </c:pt>
                <c:pt idx="196">
                  <c:v>3.1972353893138855E-3</c:v>
                </c:pt>
                <c:pt idx="197">
                  <c:v>3.1972353893138855E-3</c:v>
                </c:pt>
                <c:pt idx="198">
                  <c:v>3.1972353893138855E-3</c:v>
                </c:pt>
                <c:pt idx="199">
                  <c:v>3.1972353893138855E-3</c:v>
                </c:pt>
                <c:pt idx="200">
                  <c:v>3.1972353893138855E-3</c:v>
                </c:pt>
                <c:pt idx="201">
                  <c:v>3.1972353893138855E-3</c:v>
                </c:pt>
                <c:pt idx="202">
                  <c:v>3.1972353893138855E-3</c:v>
                </c:pt>
                <c:pt idx="203">
                  <c:v>3.1972353893138855E-3</c:v>
                </c:pt>
                <c:pt idx="204">
                  <c:v>3.1972353893138855E-3</c:v>
                </c:pt>
                <c:pt idx="205">
                  <c:v>6.0784779324276172E-2</c:v>
                </c:pt>
                <c:pt idx="206">
                  <c:v>6.7192354710227428E-2</c:v>
                </c:pt>
                <c:pt idx="207">
                  <c:v>7.3602690030832113E-2</c:v>
                </c:pt>
                <c:pt idx="208">
                  <c:v>8.0016051321400994E-2</c:v>
                </c:pt>
                <c:pt idx="209">
                  <c:v>8.6432705492186818E-2</c:v>
                </c:pt>
                <c:pt idx="210">
                  <c:v>8.6432705492186818E-2</c:v>
                </c:pt>
                <c:pt idx="211">
                  <c:v>9.9276964964338646E-2</c:v>
                </c:pt>
                <c:pt idx="212">
                  <c:v>9.9276964964338646E-2</c:v>
                </c:pt>
                <c:pt idx="213">
                  <c:v>9.9276964964338646E-2</c:v>
                </c:pt>
                <c:pt idx="214">
                  <c:v>9.9276964964338646E-2</c:v>
                </c:pt>
                <c:pt idx="215">
                  <c:v>9.9276964964338646E-2</c:v>
                </c:pt>
                <c:pt idx="216">
                  <c:v>9.9276964964338646E-2</c:v>
                </c:pt>
                <c:pt idx="217">
                  <c:v>9.9276964964338646E-2</c:v>
                </c:pt>
                <c:pt idx="218">
                  <c:v>9.9276964964338646E-2</c:v>
                </c:pt>
                <c:pt idx="219">
                  <c:v>9.9276964964338646E-2</c:v>
                </c:pt>
                <c:pt idx="220">
                  <c:v>9.9276964964338646E-2</c:v>
                </c:pt>
                <c:pt idx="221">
                  <c:v>9.9276964964338646E-2</c:v>
                </c:pt>
                <c:pt idx="222">
                  <c:v>0.17027239685422862</c:v>
                </c:pt>
                <c:pt idx="223">
                  <c:v>0.17676385996282321</c:v>
                </c:pt>
                <c:pt idx="224">
                  <c:v>0.18326278037660315</c:v>
                </c:pt>
                <c:pt idx="225">
                  <c:v>0.18326278037660315</c:v>
                </c:pt>
                <c:pt idx="226">
                  <c:v>0.19628416463254303</c:v>
                </c:pt>
                <c:pt idx="227">
                  <c:v>0.19628416463254303</c:v>
                </c:pt>
                <c:pt idx="228">
                  <c:v>0.19628416463254303</c:v>
                </c:pt>
                <c:pt idx="229">
                  <c:v>0.19628416463254303</c:v>
                </c:pt>
                <c:pt idx="230">
                  <c:v>0.19628416463254303</c:v>
                </c:pt>
                <c:pt idx="231">
                  <c:v>0.19628416463254303</c:v>
                </c:pt>
                <c:pt idx="232">
                  <c:v>0.19628416463254303</c:v>
                </c:pt>
                <c:pt idx="233">
                  <c:v>0.19628416463254303</c:v>
                </c:pt>
                <c:pt idx="234">
                  <c:v>0.19628416463254303</c:v>
                </c:pt>
                <c:pt idx="235">
                  <c:v>0.19628416463254303</c:v>
                </c:pt>
                <c:pt idx="236">
                  <c:v>0.26194045846440461</c:v>
                </c:pt>
                <c:pt idx="237">
                  <c:v>0.26856388625555183</c:v>
                </c:pt>
                <c:pt idx="238">
                  <c:v>0.26856388625555183</c:v>
                </c:pt>
                <c:pt idx="239">
                  <c:v>0.2818464860769076</c:v>
                </c:pt>
                <c:pt idx="240">
                  <c:v>0.2818464860769076</c:v>
                </c:pt>
                <c:pt idx="241">
                  <c:v>0.29517900048864598</c:v>
                </c:pt>
                <c:pt idx="242">
                  <c:v>0.30186483701074074</c:v>
                </c:pt>
                <c:pt idx="243">
                  <c:v>0.30186483701074074</c:v>
                </c:pt>
                <c:pt idx="244">
                  <c:v>0.30186483701074074</c:v>
                </c:pt>
                <c:pt idx="245">
                  <c:v>0.30186483701074074</c:v>
                </c:pt>
                <c:pt idx="246">
                  <c:v>0.30186483701074074</c:v>
                </c:pt>
                <c:pt idx="247">
                  <c:v>0.30186483701074074</c:v>
                </c:pt>
                <c:pt idx="248">
                  <c:v>0.30186483701074074</c:v>
                </c:pt>
                <c:pt idx="249">
                  <c:v>0.30186483701074074</c:v>
                </c:pt>
                <c:pt idx="250">
                  <c:v>0.30186483701074074</c:v>
                </c:pt>
                <c:pt idx="251">
                  <c:v>0.30186483701074074</c:v>
                </c:pt>
                <c:pt idx="252">
                  <c:v>0.30186483701074074</c:v>
                </c:pt>
                <c:pt idx="253">
                  <c:v>0.30186483701074074</c:v>
                </c:pt>
                <c:pt idx="254">
                  <c:v>0.30186483701074074</c:v>
                </c:pt>
                <c:pt idx="255">
                  <c:v>0.30186483701074074</c:v>
                </c:pt>
                <c:pt idx="256">
                  <c:v>0.39705550482904034</c:v>
                </c:pt>
                <c:pt idx="257">
                  <c:v>0.40398399337523622</c:v>
                </c:pt>
                <c:pt idx="258">
                  <c:v>0.41093192943060336</c:v>
                </c:pt>
                <c:pt idx="259">
                  <c:v>0.41093192943060336</c:v>
                </c:pt>
                <c:pt idx="260">
                  <c:v>0.42488793897993393</c:v>
                </c:pt>
                <c:pt idx="261">
                  <c:v>0.43189692948271047</c:v>
                </c:pt>
                <c:pt idx="262">
                  <c:v>0.43189692948271047</c:v>
                </c:pt>
                <c:pt idx="263">
                  <c:v>0.43189692948271047</c:v>
                </c:pt>
                <c:pt idx="264">
                  <c:v>0.43189692948271047</c:v>
                </c:pt>
                <c:pt idx="265">
                  <c:v>0.43189692948271047</c:v>
                </c:pt>
                <c:pt idx="266">
                  <c:v>0.43189692948271047</c:v>
                </c:pt>
                <c:pt idx="267">
                  <c:v>0.43189692948271047</c:v>
                </c:pt>
                <c:pt idx="268">
                  <c:v>0.43189692948271047</c:v>
                </c:pt>
                <c:pt idx="269">
                  <c:v>0.43189692948271047</c:v>
                </c:pt>
                <c:pt idx="270">
                  <c:v>0.49599497085825733</c:v>
                </c:pt>
                <c:pt idx="271">
                  <c:v>0.49599497085825733</c:v>
                </c:pt>
                <c:pt idx="272">
                  <c:v>0.49599497085825733</c:v>
                </c:pt>
                <c:pt idx="273">
                  <c:v>0.51780857233137045</c:v>
                </c:pt>
                <c:pt idx="274">
                  <c:v>0.5251343538696831</c:v>
                </c:pt>
                <c:pt idx="275">
                  <c:v>0.53248842708754573</c:v>
                </c:pt>
                <c:pt idx="276">
                  <c:v>0.5398714122010615</c:v>
                </c:pt>
                <c:pt idx="277">
                  <c:v>0.5398714122010615</c:v>
                </c:pt>
                <c:pt idx="278">
                  <c:v>0.5398714122010615</c:v>
                </c:pt>
                <c:pt idx="279">
                  <c:v>0.5398714122010615</c:v>
                </c:pt>
                <c:pt idx="280">
                  <c:v>0.5398714122010615</c:v>
                </c:pt>
                <c:pt idx="281">
                  <c:v>0.5398714122010615</c:v>
                </c:pt>
                <c:pt idx="282">
                  <c:v>0.5398714122010615</c:v>
                </c:pt>
                <c:pt idx="283">
                  <c:v>0.5398714122010615</c:v>
                </c:pt>
                <c:pt idx="284">
                  <c:v>0.5398714122010615</c:v>
                </c:pt>
                <c:pt idx="285">
                  <c:v>0.5398714122010615</c:v>
                </c:pt>
                <c:pt idx="286">
                  <c:v>0.61543829749621981</c:v>
                </c:pt>
                <c:pt idx="287">
                  <c:v>0.62318453179067923</c:v>
                </c:pt>
                <c:pt idx="288">
                  <c:v>0.63096834177070094</c:v>
                </c:pt>
                <c:pt idx="289">
                  <c:v>0.63879057001741368</c:v>
                </c:pt>
                <c:pt idx="290">
                  <c:v>0.63879057001741368</c:v>
                </c:pt>
                <c:pt idx="291">
                  <c:v>0.63879057001741368</c:v>
                </c:pt>
                <c:pt idx="292">
                  <c:v>0.63879057001741368</c:v>
                </c:pt>
                <c:pt idx="293">
                  <c:v>0.63879057001741368</c:v>
                </c:pt>
                <c:pt idx="294">
                  <c:v>0.63879057001741368</c:v>
                </c:pt>
                <c:pt idx="295">
                  <c:v>0.63879057001741368</c:v>
                </c:pt>
                <c:pt idx="296">
                  <c:v>0.63879057001741368</c:v>
                </c:pt>
                <c:pt idx="297">
                  <c:v>0.70286023091909866</c:v>
                </c:pt>
                <c:pt idx="298">
                  <c:v>0.70286023091909866</c:v>
                </c:pt>
                <c:pt idx="299">
                  <c:v>0.71932811724388146</c:v>
                </c:pt>
                <c:pt idx="300">
                  <c:v>0.71932811724388146</c:v>
                </c:pt>
                <c:pt idx="301">
                  <c:v>0.73599343368381387</c:v>
                </c:pt>
                <c:pt idx="302">
                  <c:v>0.74440308519999565</c:v>
                </c:pt>
                <c:pt idx="303">
                  <c:v>0.74440308519999565</c:v>
                </c:pt>
                <c:pt idx="304">
                  <c:v>0.74440308519999565</c:v>
                </c:pt>
                <c:pt idx="305">
                  <c:v>0.74440308519999565</c:v>
                </c:pt>
                <c:pt idx="306">
                  <c:v>0.74440308519999565</c:v>
                </c:pt>
                <c:pt idx="307">
                  <c:v>0.74440308519999565</c:v>
                </c:pt>
                <c:pt idx="308">
                  <c:v>0.74440308519999565</c:v>
                </c:pt>
                <c:pt idx="309">
                  <c:v>0.80482899480686976</c:v>
                </c:pt>
                <c:pt idx="310">
                  <c:v>0.80482899480686976</c:v>
                </c:pt>
                <c:pt idx="311">
                  <c:v>0.82263729107406613</c:v>
                </c:pt>
                <c:pt idx="312">
                  <c:v>0.83163987967842667</c:v>
                </c:pt>
                <c:pt idx="313">
                  <c:v>0.84071038002398013</c:v>
                </c:pt>
                <c:pt idx="314">
                  <c:v>0.84071038002398013</c:v>
                </c:pt>
                <c:pt idx="315">
                  <c:v>0.84071038002398013</c:v>
                </c:pt>
                <c:pt idx="316">
                  <c:v>0.84071038002398013</c:v>
                </c:pt>
                <c:pt idx="317">
                  <c:v>0.84071038002398013</c:v>
                </c:pt>
                <c:pt idx="318">
                  <c:v>0.84071038002398013</c:v>
                </c:pt>
                <c:pt idx="319">
                  <c:v>0.84071038002398013</c:v>
                </c:pt>
                <c:pt idx="320">
                  <c:v>0.90626440989817525</c:v>
                </c:pt>
                <c:pt idx="321">
                  <c:v>0.91594855621391613</c:v>
                </c:pt>
                <c:pt idx="322">
                  <c:v>0.91594855621391613</c:v>
                </c:pt>
                <c:pt idx="323">
                  <c:v>0.93557937876868658</c:v>
                </c:pt>
                <c:pt idx="324">
                  <c:v>0.94553119002021024</c:v>
                </c:pt>
                <c:pt idx="325">
                  <c:v>0.95557753794043188</c:v>
                </c:pt>
                <c:pt idx="326">
                  <c:v>0.96572126957388438</c:v>
                </c:pt>
                <c:pt idx="327">
                  <c:v>0.96572126957388438</c:v>
                </c:pt>
                <c:pt idx="328">
                  <c:v>0.96572126957388438</c:v>
                </c:pt>
                <c:pt idx="329">
                  <c:v>0.96572126957388438</c:v>
                </c:pt>
                <c:pt idx="330">
                  <c:v>0.96572126957388438</c:v>
                </c:pt>
                <c:pt idx="331">
                  <c:v>0.96572126957388438</c:v>
                </c:pt>
                <c:pt idx="332">
                  <c:v>1.0288047620058449</c:v>
                </c:pt>
                <c:pt idx="333">
                  <c:v>1.0397213301736039</c:v>
                </c:pt>
                <c:pt idx="334">
                  <c:v>1.050763231139634</c:v>
                </c:pt>
                <c:pt idx="335">
                  <c:v>1.0619347543176552</c:v>
                </c:pt>
                <c:pt idx="336">
                  <c:v>1.0619347543176552</c:v>
                </c:pt>
                <c:pt idx="337">
                  <c:v>1.0846849303794233</c:v>
                </c:pt>
                <c:pt idx="338">
                  <c:v>1.0962733150227</c:v>
                </c:pt>
                <c:pt idx="339">
                  <c:v>1.1080108204698569</c:v>
                </c:pt>
                <c:pt idx="340">
                  <c:v>1.1199029946137795</c:v>
                </c:pt>
                <c:pt idx="341">
                  <c:v>1.1199029946137795</c:v>
                </c:pt>
                <c:pt idx="342">
                  <c:v>1.1199029946137795</c:v>
                </c:pt>
                <c:pt idx="343">
                  <c:v>1.156567811385141</c:v>
                </c:pt>
                <c:pt idx="344">
                  <c:v>1.156567811385141</c:v>
                </c:pt>
                <c:pt idx="345">
                  <c:v>1.156567811385141</c:v>
                </c:pt>
                <c:pt idx="346">
                  <c:v>1.1948571240757904</c:v>
                </c:pt>
                <c:pt idx="347">
                  <c:v>1.2080167583463306</c:v>
                </c:pt>
                <c:pt idx="348">
                  <c:v>1.221388985601022</c:v>
                </c:pt>
                <c:pt idx="349">
                  <c:v>1.221388985601022</c:v>
                </c:pt>
                <c:pt idx="350">
                  <c:v>1.2488096764960821</c:v>
                </c:pt>
                <c:pt idx="351">
                  <c:v>1.2488096764960821</c:v>
                </c:pt>
                <c:pt idx="352">
                  <c:v>1.2772029316939737</c:v>
                </c:pt>
                <c:pt idx="353">
                  <c:v>1.2917937758243685</c:v>
                </c:pt>
                <c:pt idx="354">
                  <c:v>1.306664940712895</c:v>
                </c:pt>
                <c:pt idx="355">
                  <c:v>1.3218308296149113</c:v>
                </c:pt>
                <c:pt idx="356">
                  <c:v>1.3373069939616973</c:v>
                </c:pt>
                <c:pt idx="357">
                  <c:v>1.3531102606891987</c:v>
                </c:pt>
                <c:pt idx="358">
                  <c:v>1.3531102606891987</c:v>
                </c:pt>
                <c:pt idx="359">
                  <c:v>1.3857726818373162</c:v>
                </c:pt>
                <c:pt idx="360">
                  <c:v>1.402673289992322</c:v>
                </c:pt>
                <c:pt idx="361">
                  <c:v>1.4199843237682621</c:v>
                </c:pt>
                <c:pt idx="362">
                  <c:v>1.4199843237682621</c:v>
                </c:pt>
                <c:pt idx="363">
                  <c:v>1.4199843237682621</c:v>
                </c:pt>
                <c:pt idx="364">
                  <c:v>1.4199843237682621</c:v>
                </c:pt>
                <c:pt idx="365">
                  <c:v>1.4199843237682621</c:v>
                </c:pt>
                <c:pt idx="366">
                  <c:v>1.4199843237682621</c:v>
                </c:pt>
                <c:pt idx="367">
                  <c:v>1.5341205443525465</c:v>
                </c:pt>
                <c:pt idx="368">
                  <c:v>1.5341205443525465</c:v>
                </c:pt>
                <c:pt idx="369">
                  <c:v>1.5769982907616837</c:v>
                </c:pt>
                <c:pt idx="370">
                  <c:v>1.5995705882374911</c:v>
                </c:pt>
                <c:pt idx="371">
                  <c:v>1.5995705882374911</c:v>
                </c:pt>
                <c:pt idx="372">
                  <c:v>1.5995705882374911</c:v>
                </c:pt>
                <c:pt idx="373">
                  <c:v>1.6726929638404258</c:v>
                </c:pt>
                <c:pt idx="374">
                  <c:v>1.6991776601112989</c:v>
                </c:pt>
                <c:pt idx="375">
                  <c:v>1.7269108614600868</c:v>
                </c:pt>
                <c:pt idx="376">
                  <c:v>1.7560396847773088</c:v>
                </c:pt>
                <c:pt idx="377">
                  <c:v>1.7560396847773088</c:v>
                </c:pt>
                <c:pt idx="378">
                  <c:v>1.7560396847773088</c:v>
                </c:pt>
                <c:pt idx="379">
                  <c:v>1.7560396847773088</c:v>
                </c:pt>
                <c:pt idx="380">
                  <c:v>1.8906321205380332</c:v>
                </c:pt>
                <c:pt idx="381">
                  <c:v>1.9302858560575813</c:v>
                </c:pt>
                <c:pt idx="382">
                  <c:v>1.9732297912673347</c:v>
                </c:pt>
                <c:pt idx="383">
                  <c:v>2.0201546663717482</c:v>
                </c:pt>
                <c:pt idx="384">
                  <c:v>2.0720014483779305</c:v>
                </c:pt>
                <c:pt idx="385">
                  <c:v>2.1301011271220536</c:v>
                </c:pt>
                <c:pt idx="386">
                  <c:v>2.1964293827614645</c:v>
                </c:pt>
                <c:pt idx="387">
                  <c:v>2.2741131596554611</c:v>
                </c:pt>
                <c:pt idx="388">
                  <c:v>2.3685670592678738</c:v>
                </c:pt>
                <c:pt idx="389">
                  <c:v>2.4905347542813567</c:v>
                </c:pt>
                <c:pt idx="390">
                  <c:v>2.6670046532742755</c:v>
                </c:pt>
                <c:pt idx="391">
                  <c:v>3.0172230343004469</c:v>
                </c:pt>
              </c:numCache>
            </c:numRef>
          </c:yVal>
          <c:smooth val="0"/>
          <c:extLst>
            <c:ext xmlns:c16="http://schemas.microsoft.com/office/drawing/2014/chart" uri="{C3380CC4-5D6E-409C-BE32-E72D297353CC}">
              <c16:uniqueId val="{00000002-ACA5-47E0-8252-54130217398A}"/>
            </c:ext>
          </c:extLst>
        </c:ser>
        <c:dLbls>
          <c:showLegendKey val="0"/>
          <c:showVal val="0"/>
          <c:showCatName val="0"/>
          <c:showSerName val="0"/>
          <c:showPercent val="0"/>
          <c:showBubbleSize val="0"/>
        </c:dLbls>
        <c:axId val="144395520"/>
        <c:axId val="22816176"/>
      </c:scatterChart>
      <c:valAx>
        <c:axId val="144395520"/>
        <c:scaling>
          <c:orientation val="minMax"/>
          <c:max val="4.2007262122566926"/>
          <c:min val="-3.451682617569364"/>
        </c:scaling>
        <c:delete val="0"/>
        <c:axPos val="b"/>
        <c:majorGridlines/>
        <c:title>
          <c:tx>
            <c:rich>
              <a:bodyPr/>
              <a:lstStyle/>
              <a:p>
                <a:pPr>
                  <a:defRPr/>
                </a:pPr>
                <a:r>
                  <a:rPr lang="en-US"/>
                  <a:t>Theoretical Quantiles</a:t>
                </a:r>
              </a:p>
            </c:rich>
          </c:tx>
          <c:overlay val="0"/>
        </c:title>
        <c:numFmt formatCode="0" sourceLinked="0"/>
        <c:majorTickMark val="out"/>
        <c:minorTickMark val="none"/>
        <c:tickLblPos val="nextTo"/>
        <c:crossAx val="22816176"/>
        <c:crosses val="autoZero"/>
        <c:crossBetween val="midCat"/>
      </c:valAx>
      <c:valAx>
        <c:axId val="22816176"/>
        <c:scaling>
          <c:orientation val="minMax"/>
          <c:max val="4.2007262122566926"/>
          <c:min val="-3.451682617569364"/>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144395520"/>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Actual vs. Predicted</a:t>
            </a:r>
          </a:p>
        </c:rich>
      </c:tx>
      <c:overlay val="0"/>
      <c:spPr>
        <a:solidFill>
          <a:srgbClr val="CAEDFB"/>
        </a:solidFill>
      </c:spPr>
    </c:title>
    <c:autoTitleDeleted val="0"/>
    <c:plotArea>
      <c:layout/>
      <c:scatterChart>
        <c:scatterStyle val="lineMarker"/>
        <c:varyColors val="0"/>
        <c:ser>
          <c:idx val="0"/>
          <c:order val="0"/>
          <c:tx>
            <c:v>Actual vs. Predicted</c:v>
          </c:tx>
          <c:spPr>
            <a:ln w="38100">
              <a:noFill/>
            </a:ln>
          </c:spPr>
          <c:marker>
            <c:symbol val="diamond"/>
            <c:size val="4"/>
          </c:marker>
          <c:xVal>
            <c:numRef>
              <c:f>Regression!RegChartFitY</c:f>
              <c:numCache>
                <c:formatCode>0.0000</c:formatCode>
                <c:ptCount val="392"/>
                <c:pt idx="0">
                  <c:v>16.838573626431661</c:v>
                </c:pt>
                <c:pt idx="1">
                  <c:v>15.313332990800655</c:v>
                </c:pt>
                <c:pt idx="2">
                  <c:v>16.858150041188779</c:v>
                </c:pt>
                <c:pt idx="3">
                  <c:v>16.873339970034131</c:v>
                </c:pt>
                <c:pt idx="4">
                  <c:v>16.954691335727667</c:v>
                </c:pt>
                <c:pt idx="5">
                  <c:v>11.49650610573814</c:v>
                </c:pt>
                <c:pt idx="6">
                  <c:v>11.073481577763721</c:v>
                </c:pt>
                <c:pt idx="7">
                  <c:v>11.367322741366332</c:v>
                </c:pt>
                <c:pt idx="8">
                  <c:v>10.632804435322724</c:v>
                </c:pt>
                <c:pt idx="9">
                  <c:v>14.112482582388791</c:v>
                </c:pt>
                <c:pt idx="10">
                  <c:v>15.890381080998123</c:v>
                </c:pt>
                <c:pt idx="11">
                  <c:v>15.819833158238167</c:v>
                </c:pt>
                <c:pt idx="12">
                  <c:v>15.212574416275837</c:v>
                </c:pt>
                <c:pt idx="13">
                  <c:v>17.412576009964045</c:v>
                </c:pt>
                <c:pt idx="14">
                  <c:v>25.198456840216746</c:v>
                </c:pt>
                <c:pt idx="15">
                  <c:v>20.804329496548942</c:v>
                </c:pt>
                <c:pt idx="16">
                  <c:v>21.070591899933742</c:v>
                </c:pt>
                <c:pt idx="17">
                  <c:v>22.212267981403066</c:v>
                </c:pt>
                <c:pt idx="18">
                  <c:v>26.537432790749786</c:v>
                </c:pt>
                <c:pt idx="19">
                  <c:v>28.591062427308099</c:v>
                </c:pt>
                <c:pt idx="20">
                  <c:v>23.687378569360192</c:v>
                </c:pt>
                <c:pt idx="21">
                  <c:v>24.863990200357819</c:v>
                </c:pt>
                <c:pt idx="22">
                  <c:v>25.061290069421542</c:v>
                </c:pt>
                <c:pt idx="23">
                  <c:v>25.482960949989256</c:v>
                </c:pt>
                <c:pt idx="24">
                  <c:v>21.822223935113239</c:v>
                </c:pt>
                <c:pt idx="25">
                  <c:v>9.8331399279859557</c:v>
                </c:pt>
                <c:pt idx="26">
                  <c:v>11.286817405301973</c:v>
                </c:pt>
                <c:pt idx="27">
                  <c:v>11.094073228075858</c:v>
                </c:pt>
                <c:pt idx="28">
                  <c:v>9.5979342059952</c:v>
                </c:pt>
                <c:pt idx="29">
                  <c:v>27.44784298533256</c:v>
                </c:pt>
                <c:pt idx="30">
                  <c:v>24.676945021900842</c:v>
                </c:pt>
                <c:pt idx="31">
                  <c:v>26.837983619376331</c:v>
                </c:pt>
                <c:pt idx="32">
                  <c:v>22.641156144772239</c:v>
                </c:pt>
                <c:pt idx="33">
                  <c:v>18.484009744835557</c:v>
                </c:pt>
                <c:pt idx="34">
                  <c:v>19.122155962266103</c:v>
                </c:pt>
                <c:pt idx="35">
                  <c:v>19.453702505316752</c:v>
                </c:pt>
                <c:pt idx="36">
                  <c:v>19.32975165648589</c:v>
                </c:pt>
                <c:pt idx="37">
                  <c:v>13.611075423983189</c:v>
                </c:pt>
                <c:pt idx="38">
                  <c:v>12.157567152593005</c:v>
                </c:pt>
                <c:pt idx="39">
                  <c:v>14.084394636257104</c:v>
                </c:pt>
                <c:pt idx="40">
                  <c:v>14.4267758897945</c:v>
                </c:pt>
                <c:pt idx="41">
                  <c:v>9.5902999718029793</c:v>
                </c:pt>
                <c:pt idx="42">
                  <c:v>10.81089600089779</c:v>
                </c:pt>
                <c:pt idx="43">
                  <c:v>8.7347698527740878</c:v>
                </c:pt>
                <c:pt idx="44">
                  <c:v>20.818026271478537</c:v>
                </c:pt>
                <c:pt idx="45">
                  <c:v>24.240084212487776</c:v>
                </c:pt>
                <c:pt idx="46">
                  <c:v>19.36013151417659</c:v>
                </c:pt>
                <c:pt idx="47">
                  <c:v>20.279021972580779</c:v>
                </c:pt>
                <c:pt idx="48">
                  <c:v>24.964676372780147</c:v>
                </c:pt>
                <c:pt idx="49">
                  <c:v>27.328836446781434</c:v>
                </c:pt>
                <c:pt idx="50">
                  <c:v>27.90166725699298</c:v>
                </c:pt>
                <c:pt idx="51">
                  <c:v>27.849818451807788</c:v>
                </c:pt>
                <c:pt idx="52">
                  <c:v>29.62888245286068</c:v>
                </c:pt>
                <c:pt idx="53">
                  <c:v>30.374066263465199</c:v>
                </c:pt>
                <c:pt idx="54">
                  <c:v>29.279225884156411</c:v>
                </c:pt>
                <c:pt idx="55">
                  <c:v>26.566236332042742</c:v>
                </c:pt>
                <c:pt idx="56">
                  <c:v>25.328456204078385</c:v>
                </c:pt>
                <c:pt idx="57">
                  <c:v>24.28168413378026</c:v>
                </c:pt>
                <c:pt idx="58">
                  <c:v>25.993692502986516</c:v>
                </c:pt>
                <c:pt idx="59">
                  <c:v>22.691466502781925</c:v>
                </c:pt>
                <c:pt idx="60">
                  <c:v>23.677934580547344</c:v>
                </c:pt>
                <c:pt idx="61">
                  <c:v>12.025598364458494</c:v>
                </c:pt>
                <c:pt idx="62">
                  <c:v>11.301206677645121</c:v>
                </c:pt>
                <c:pt idx="63">
                  <c:v>12.972944880262842</c:v>
                </c:pt>
                <c:pt idx="64">
                  <c:v>12.954615442092917</c:v>
                </c:pt>
                <c:pt idx="65">
                  <c:v>15.317257232061893</c:v>
                </c:pt>
                <c:pt idx="66">
                  <c:v>9.5097036386293095</c:v>
                </c:pt>
                <c:pt idx="67">
                  <c:v>11.033528091747291</c:v>
                </c:pt>
                <c:pt idx="68">
                  <c:v>11.185258174274955</c:v>
                </c:pt>
                <c:pt idx="69">
                  <c:v>10.870317742582683</c:v>
                </c:pt>
                <c:pt idx="70">
                  <c:v>25.03269124018523</c:v>
                </c:pt>
                <c:pt idx="71">
                  <c:v>14.203329116736208</c:v>
                </c:pt>
                <c:pt idx="72">
                  <c:v>13.485015975092979</c:v>
                </c:pt>
                <c:pt idx="73">
                  <c:v>12.330242970994684</c:v>
                </c:pt>
                <c:pt idx="74">
                  <c:v>13.266616837939614</c:v>
                </c:pt>
                <c:pt idx="75">
                  <c:v>21.613992221016861</c:v>
                </c:pt>
                <c:pt idx="76">
                  <c:v>24.335220428923613</c:v>
                </c:pt>
                <c:pt idx="77">
                  <c:v>21.786990777560018</c:v>
                </c:pt>
                <c:pt idx="78">
                  <c:v>26.079261148665992</c:v>
                </c:pt>
                <c:pt idx="79">
                  <c:v>22.822235255592613</c:v>
                </c:pt>
                <c:pt idx="80">
                  <c:v>25.326532403787837</c:v>
                </c:pt>
                <c:pt idx="81">
                  <c:v>24.141548747924681</c:v>
                </c:pt>
                <c:pt idx="82">
                  <c:v>24.089278368405822</c:v>
                </c:pt>
                <c:pt idx="83">
                  <c:v>26.343380339243957</c:v>
                </c:pt>
                <c:pt idx="84">
                  <c:v>12.383947606403462</c:v>
                </c:pt>
                <c:pt idx="85">
                  <c:v>14.95695492051196</c:v>
                </c:pt>
                <c:pt idx="86">
                  <c:v>13.438131241902768</c:v>
                </c:pt>
                <c:pt idx="87">
                  <c:v>13.294603978314798</c:v>
                </c:pt>
                <c:pt idx="88">
                  <c:v>14.425307410924701</c:v>
                </c:pt>
                <c:pt idx="89">
                  <c:v>7.696569879392543</c:v>
                </c:pt>
                <c:pt idx="90">
                  <c:v>10.946813705339499</c:v>
                </c:pt>
                <c:pt idx="91">
                  <c:v>11.328316520837957</c:v>
                </c:pt>
                <c:pt idx="92">
                  <c:v>12.096184987971002</c:v>
                </c:pt>
                <c:pt idx="93">
                  <c:v>8.5192887226626812</c:v>
                </c:pt>
                <c:pt idx="94">
                  <c:v>7.2632495262620527</c:v>
                </c:pt>
                <c:pt idx="95">
                  <c:v>13.796610989021032</c:v>
                </c:pt>
                <c:pt idx="96">
                  <c:v>18.477477956350643</c:v>
                </c:pt>
                <c:pt idx="97">
                  <c:v>17.76372050654502</c:v>
                </c:pt>
                <c:pt idx="98">
                  <c:v>19.449802608378892</c:v>
                </c:pt>
                <c:pt idx="99">
                  <c:v>19.259828261072517</c:v>
                </c:pt>
                <c:pt idx="100">
                  <c:v>19.738580462366389</c:v>
                </c:pt>
                <c:pt idx="101">
                  <c:v>27.302527770060408</c:v>
                </c:pt>
                <c:pt idx="102">
                  <c:v>8.248069680482276</c:v>
                </c:pt>
                <c:pt idx="103">
                  <c:v>8.4328115122476976</c:v>
                </c:pt>
                <c:pt idx="104">
                  <c:v>9.6600562393964911</c:v>
                </c:pt>
                <c:pt idx="105">
                  <c:v>10.282504910204173</c:v>
                </c:pt>
                <c:pt idx="106">
                  <c:v>20.239678908337108</c:v>
                </c:pt>
                <c:pt idx="107">
                  <c:v>25.076745606588123</c:v>
                </c:pt>
                <c:pt idx="108">
                  <c:v>22.658863133701555</c:v>
                </c:pt>
                <c:pt idx="109">
                  <c:v>24.4729960533552</c:v>
                </c:pt>
                <c:pt idx="110">
                  <c:v>25.829085733024133</c:v>
                </c:pt>
                <c:pt idx="111">
                  <c:v>22.908550693281139</c:v>
                </c:pt>
                <c:pt idx="112">
                  <c:v>21.731093032654325</c:v>
                </c:pt>
                <c:pt idx="113">
                  <c:v>24.993182235342815</c:v>
                </c:pt>
                <c:pt idx="114">
                  <c:v>12.962180138081797</c:v>
                </c:pt>
                <c:pt idx="115">
                  <c:v>10.589674737467915</c:v>
                </c:pt>
                <c:pt idx="116">
                  <c:v>27.67407317225447</c:v>
                </c:pt>
                <c:pt idx="117">
                  <c:v>25.778502843463428</c:v>
                </c:pt>
                <c:pt idx="118">
                  <c:v>23.371876655397273</c:v>
                </c:pt>
                <c:pt idx="119">
                  <c:v>21.582805034449517</c:v>
                </c:pt>
                <c:pt idx="120">
                  <c:v>16.339238445438834</c:v>
                </c:pt>
                <c:pt idx="121">
                  <c:v>22.668446298300882</c:v>
                </c:pt>
                <c:pt idx="122">
                  <c:v>21.85127944338608</c:v>
                </c:pt>
                <c:pt idx="123">
                  <c:v>14.510368438826655</c:v>
                </c:pt>
                <c:pt idx="124">
                  <c:v>20.700160815023679</c:v>
                </c:pt>
                <c:pt idx="125">
                  <c:v>21.636703887894434</c:v>
                </c:pt>
                <c:pt idx="126">
                  <c:v>19.434164205318652</c:v>
                </c:pt>
                <c:pt idx="127">
                  <c:v>29.047655197436306</c:v>
                </c:pt>
                <c:pt idx="128">
                  <c:v>24.23992185376779</c:v>
                </c:pt>
                <c:pt idx="129">
                  <c:v>29.657345357466696</c:v>
                </c:pt>
                <c:pt idx="130">
                  <c:v>23.860342838559873</c:v>
                </c:pt>
                <c:pt idx="131">
                  <c:v>17.180991426591703</c:v>
                </c:pt>
                <c:pt idx="132">
                  <c:v>17.773060239708684</c:v>
                </c:pt>
                <c:pt idx="133">
                  <c:v>17.950445282163606</c:v>
                </c:pt>
                <c:pt idx="134">
                  <c:v>14.708742687008018</c:v>
                </c:pt>
                <c:pt idx="135">
                  <c:v>11.72105160223747</c:v>
                </c:pt>
                <c:pt idx="136">
                  <c:v>12.946372529095722</c:v>
                </c:pt>
                <c:pt idx="137">
                  <c:v>12.192277808294996</c:v>
                </c:pt>
                <c:pt idx="138">
                  <c:v>13.959034452119068</c:v>
                </c:pt>
                <c:pt idx="139">
                  <c:v>27.303865157763386</c:v>
                </c:pt>
                <c:pt idx="140">
                  <c:v>28.859855330489932</c:v>
                </c:pt>
                <c:pt idx="141">
                  <c:v>26.974919238706637</c:v>
                </c:pt>
                <c:pt idx="142">
                  <c:v>30.81525787088956</c:v>
                </c:pt>
                <c:pt idx="143">
                  <c:v>28.876718379556358</c:v>
                </c:pt>
                <c:pt idx="144">
                  <c:v>25.971742948063557</c:v>
                </c:pt>
                <c:pt idx="145">
                  <c:v>27.995783980669668</c:v>
                </c:pt>
                <c:pt idx="146">
                  <c:v>27.297047253783557</c:v>
                </c:pt>
                <c:pt idx="147">
                  <c:v>25.831438356282142</c:v>
                </c:pt>
                <c:pt idx="148">
                  <c:v>26.392588426377749</c:v>
                </c:pt>
                <c:pt idx="149">
                  <c:v>28.672512874730611</c:v>
                </c:pt>
                <c:pt idx="150">
                  <c:v>19.261395253436948</c:v>
                </c:pt>
                <c:pt idx="151">
                  <c:v>18.11168555895377</c:v>
                </c:pt>
                <c:pt idx="152">
                  <c:v>18.78419717302878</c:v>
                </c:pt>
                <c:pt idx="153">
                  <c:v>20.17154400757077</c:v>
                </c:pt>
                <c:pt idx="154">
                  <c:v>10.934776157297449</c:v>
                </c:pt>
                <c:pt idx="155">
                  <c:v>12.495121548382592</c:v>
                </c:pt>
                <c:pt idx="156">
                  <c:v>12.120267430938121</c:v>
                </c:pt>
                <c:pt idx="157">
                  <c:v>11.347674066041641</c:v>
                </c:pt>
                <c:pt idx="158">
                  <c:v>15.762140691613761</c:v>
                </c:pt>
                <c:pt idx="159">
                  <c:v>15.893955947532634</c:v>
                </c:pt>
                <c:pt idx="160">
                  <c:v>16.658346493489425</c:v>
                </c:pt>
                <c:pt idx="161">
                  <c:v>16.623410943961126</c:v>
                </c:pt>
                <c:pt idx="162">
                  <c:v>20.157093437535096</c:v>
                </c:pt>
                <c:pt idx="163">
                  <c:v>19.23557108758385</c:v>
                </c:pt>
                <c:pt idx="164">
                  <c:v>19.190370980452638</c:v>
                </c:pt>
                <c:pt idx="165">
                  <c:v>27.180262912929354</c:v>
                </c:pt>
                <c:pt idx="166">
                  <c:v>22.62080094632741</c:v>
                </c:pt>
                <c:pt idx="167">
                  <c:v>20.952371458960101</c:v>
                </c:pt>
                <c:pt idx="168">
                  <c:v>22.939958658005601</c:v>
                </c:pt>
                <c:pt idx="169">
                  <c:v>24.150680436277998</c:v>
                </c:pt>
                <c:pt idx="170">
                  <c:v>26.859939698807597</c:v>
                </c:pt>
                <c:pt idx="171">
                  <c:v>24.929383613897784</c:v>
                </c:pt>
                <c:pt idx="172">
                  <c:v>20.646649081762551</c:v>
                </c:pt>
                <c:pt idx="173">
                  <c:v>28.324282680684522</c:v>
                </c:pt>
                <c:pt idx="174">
                  <c:v>19.610932822805836</c:v>
                </c:pt>
                <c:pt idx="175">
                  <c:v>24.085446503202622</c:v>
                </c:pt>
                <c:pt idx="176">
                  <c:v>22.867451098101704</c:v>
                </c:pt>
                <c:pt idx="177">
                  <c:v>22.765846493947691</c:v>
                </c:pt>
                <c:pt idx="178">
                  <c:v>23.87717398527948</c:v>
                </c:pt>
                <c:pt idx="179">
                  <c:v>29.441268831191156</c:v>
                </c:pt>
                <c:pt idx="180">
                  <c:v>26.17120817185755</c:v>
                </c:pt>
                <c:pt idx="181">
                  <c:v>27.487837877713741</c:v>
                </c:pt>
                <c:pt idx="182">
                  <c:v>23.588987372554563</c:v>
                </c:pt>
                <c:pt idx="183">
                  <c:v>25.405130135942606</c:v>
                </c:pt>
                <c:pt idx="184">
                  <c:v>27.546504586878765</c:v>
                </c:pt>
                <c:pt idx="185">
                  <c:v>14.490620941147773</c:v>
                </c:pt>
                <c:pt idx="186">
                  <c:v>14.454839361990283</c:v>
                </c:pt>
                <c:pt idx="187">
                  <c:v>16.096366912843138</c:v>
                </c:pt>
                <c:pt idx="188">
                  <c:v>14.295783757705278</c:v>
                </c:pt>
                <c:pt idx="189">
                  <c:v>20.11224826133407</c:v>
                </c:pt>
                <c:pt idx="190">
                  <c:v>19.423468947752355</c:v>
                </c:pt>
                <c:pt idx="191">
                  <c:v>21.539731893392151</c:v>
                </c:pt>
                <c:pt idx="192">
                  <c:v>21.023982403906754</c:v>
                </c:pt>
                <c:pt idx="193">
                  <c:v>26.957441914013906</c:v>
                </c:pt>
                <c:pt idx="194">
                  <c:v>26.174383518035512</c:v>
                </c:pt>
                <c:pt idx="195">
                  <c:v>29.09935525028073</c:v>
                </c:pt>
                <c:pt idx="196">
                  <c:v>30.216341400787364</c:v>
                </c:pt>
                <c:pt idx="197">
                  <c:v>17.995784842215272</c:v>
                </c:pt>
                <c:pt idx="198">
                  <c:v>18.742861185557167</c:v>
                </c:pt>
                <c:pt idx="199">
                  <c:v>17.863800380370556</c:v>
                </c:pt>
                <c:pt idx="200">
                  <c:v>20.395962805706446</c:v>
                </c:pt>
                <c:pt idx="201">
                  <c:v>29.65020949522027</c:v>
                </c:pt>
                <c:pt idx="202">
                  <c:v>28.952976682629398</c:v>
                </c:pt>
                <c:pt idx="203">
                  <c:v>28.03634843636743</c:v>
                </c:pt>
                <c:pt idx="204">
                  <c:v>23.949159178931204</c:v>
                </c:pt>
                <c:pt idx="205">
                  <c:v>22.437994864630799</c:v>
                </c:pt>
                <c:pt idx="206">
                  <c:v>15.720666765769471</c:v>
                </c:pt>
                <c:pt idx="207">
                  <c:v>22.057707758166373</c:v>
                </c:pt>
                <c:pt idx="208">
                  <c:v>23.576481230185095</c:v>
                </c:pt>
                <c:pt idx="209">
                  <c:v>18.753321647338844</c:v>
                </c:pt>
                <c:pt idx="210">
                  <c:v>13.005717576511863</c:v>
                </c:pt>
                <c:pt idx="211">
                  <c:v>15.219568319798745</c:v>
                </c:pt>
                <c:pt idx="212">
                  <c:v>16.399827077898465</c:v>
                </c:pt>
                <c:pt idx="213">
                  <c:v>16.657379044566071</c:v>
                </c:pt>
                <c:pt idx="214">
                  <c:v>30.140660247573571</c:v>
                </c:pt>
                <c:pt idx="215">
                  <c:v>27.328917395369253</c:v>
                </c:pt>
                <c:pt idx="216">
                  <c:v>31.294975840484813</c:v>
                </c:pt>
                <c:pt idx="217">
                  <c:v>26.334954589920663</c:v>
                </c:pt>
                <c:pt idx="218">
                  <c:v>30.614518345178162</c:v>
                </c:pt>
                <c:pt idx="219">
                  <c:v>17.539340232312689</c:v>
                </c:pt>
                <c:pt idx="220">
                  <c:v>17.196219619965625</c:v>
                </c:pt>
                <c:pt idx="221">
                  <c:v>16.222879732382339</c:v>
                </c:pt>
                <c:pt idx="222">
                  <c:v>15.681613221342358</c:v>
                </c:pt>
                <c:pt idx="223">
                  <c:v>19.930406812128666</c:v>
                </c:pt>
                <c:pt idx="224">
                  <c:v>20.492603385332458</c:v>
                </c:pt>
                <c:pt idx="225">
                  <c:v>19.535807074001234</c:v>
                </c:pt>
                <c:pt idx="226">
                  <c:v>20.099927447495574</c:v>
                </c:pt>
                <c:pt idx="227">
                  <c:v>15.249539844799058</c:v>
                </c:pt>
                <c:pt idx="228">
                  <c:v>15.690386193165891</c:v>
                </c:pt>
                <c:pt idx="229">
                  <c:v>14.555528015676385</c:v>
                </c:pt>
                <c:pt idx="230">
                  <c:v>15.17058862962041</c:v>
                </c:pt>
                <c:pt idx="231">
                  <c:v>30.387966595675568</c:v>
                </c:pt>
                <c:pt idx="232">
                  <c:v>24.236989814897633</c:v>
                </c:pt>
                <c:pt idx="233">
                  <c:v>28.913077108573098</c:v>
                </c:pt>
                <c:pt idx="234">
                  <c:v>24.144803738717336</c:v>
                </c:pt>
                <c:pt idx="235">
                  <c:v>28.131520938551596</c:v>
                </c:pt>
                <c:pt idx="236">
                  <c:v>27.685272868717973</c:v>
                </c:pt>
                <c:pt idx="237">
                  <c:v>30.460695256434121</c:v>
                </c:pt>
                <c:pt idx="238">
                  <c:v>29.122139191896384</c:v>
                </c:pt>
                <c:pt idx="239">
                  <c:v>25.771055317280982</c:v>
                </c:pt>
                <c:pt idx="240">
                  <c:v>26.526616427185193</c:v>
                </c:pt>
                <c:pt idx="241">
                  <c:v>26.040996115321043</c:v>
                </c:pt>
                <c:pt idx="242">
                  <c:v>30.497188279232841</c:v>
                </c:pt>
                <c:pt idx="243">
                  <c:v>29.203680013716564</c:v>
                </c:pt>
                <c:pt idx="244">
                  <c:v>30.554219393368534</c:v>
                </c:pt>
                <c:pt idx="245">
                  <c:v>29.831582300919862</c:v>
                </c:pt>
                <c:pt idx="246">
                  <c:v>31.3610402165368</c:v>
                </c:pt>
                <c:pt idx="247">
                  <c:v>20.56519746010305</c:v>
                </c:pt>
                <c:pt idx="248">
                  <c:v>18.204679943903614</c:v>
                </c:pt>
                <c:pt idx="249">
                  <c:v>19.056362462351419</c:v>
                </c:pt>
                <c:pt idx="250">
                  <c:v>19.785616985300909</c:v>
                </c:pt>
                <c:pt idx="251">
                  <c:v>21.872038958580685</c:v>
                </c:pt>
                <c:pt idx="252">
                  <c:v>22.996432104988273</c:v>
                </c:pt>
                <c:pt idx="253">
                  <c:v>24.188233664831259</c:v>
                </c:pt>
                <c:pt idx="254">
                  <c:v>20.398446654655874</c:v>
                </c:pt>
                <c:pt idx="255">
                  <c:v>21.674739089516965</c:v>
                </c:pt>
                <c:pt idx="256">
                  <c:v>20.570429975644004</c:v>
                </c:pt>
                <c:pt idx="257">
                  <c:v>22.464784595401014</c:v>
                </c:pt>
                <c:pt idx="258">
                  <c:v>19.274053508248279</c:v>
                </c:pt>
                <c:pt idx="259">
                  <c:v>20.174984207887384</c:v>
                </c:pt>
                <c:pt idx="260">
                  <c:v>19.693123764822097</c:v>
                </c:pt>
                <c:pt idx="261">
                  <c:v>19.267128933448944</c:v>
                </c:pt>
                <c:pt idx="262">
                  <c:v>20.904470471869033</c:v>
                </c:pt>
                <c:pt idx="263">
                  <c:v>16.457838126688337</c:v>
                </c:pt>
                <c:pt idx="264">
                  <c:v>27.373732236443036</c:v>
                </c:pt>
                <c:pt idx="265">
                  <c:v>26.944649790674134</c:v>
                </c:pt>
                <c:pt idx="266">
                  <c:v>28.228637426697397</c:v>
                </c:pt>
                <c:pt idx="267">
                  <c:v>26.880328991634492</c:v>
                </c:pt>
                <c:pt idx="268">
                  <c:v>27.172498723354387</c:v>
                </c:pt>
                <c:pt idx="269">
                  <c:v>23.785631581243138</c:v>
                </c:pt>
                <c:pt idx="270">
                  <c:v>23.553396162651115</c:v>
                </c:pt>
                <c:pt idx="271">
                  <c:v>27.696989917110137</c:v>
                </c:pt>
                <c:pt idx="272">
                  <c:v>25.325687897014422</c:v>
                </c:pt>
                <c:pt idx="273">
                  <c:v>23.398860413350324</c:v>
                </c:pt>
                <c:pt idx="274">
                  <c:v>25.308066550101014</c:v>
                </c:pt>
                <c:pt idx="275">
                  <c:v>21.901875361640474</c:v>
                </c:pt>
                <c:pt idx="276">
                  <c:v>30.098433796225809</c:v>
                </c:pt>
                <c:pt idx="277">
                  <c:v>29.534940039844358</c:v>
                </c:pt>
                <c:pt idx="278">
                  <c:v>23.49949938057404</c:v>
                </c:pt>
                <c:pt idx="279">
                  <c:v>25.27773629103504</c:v>
                </c:pt>
                <c:pt idx="280">
                  <c:v>25.735357956686098</c:v>
                </c:pt>
                <c:pt idx="281">
                  <c:v>23.80414398711023</c:v>
                </c:pt>
                <c:pt idx="282">
                  <c:v>22.998400934603321</c:v>
                </c:pt>
                <c:pt idx="283">
                  <c:v>20.243283680276456</c:v>
                </c:pt>
                <c:pt idx="284">
                  <c:v>20.841800717968425</c:v>
                </c:pt>
                <c:pt idx="285">
                  <c:v>19.531111618909698</c:v>
                </c:pt>
                <c:pt idx="286">
                  <c:v>20.212734616659919</c:v>
                </c:pt>
                <c:pt idx="287">
                  <c:v>17.204451881577224</c:v>
                </c:pt>
                <c:pt idx="288">
                  <c:v>18.96489823919898</c:v>
                </c:pt>
                <c:pt idx="289">
                  <c:v>21.5143435995966</c:v>
                </c:pt>
                <c:pt idx="290">
                  <c:v>19.412224079693964</c:v>
                </c:pt>
                <c:pt idx="291">
                  <c:v>32.835435847633079</c:v>
                </c:pt>
                <c:pt idx="292">
                  <c:v>32.801665800548349</c:v>
                </c:pt>
                <c:pt idx="293">
                  <c:v>30.80197628705325</c:v>
                </c:pt>
                <c:pt idx="294">
                  <c:v>26.979177527640108</c:v>
                </c:pt>
                <c:pt idx="295">
                  <c:v>24.611405323649461</c:v>
                </c:pt>
                <c:pt idx="296">
                  <c:v>20.02066726313716</c:v>
                </c:pt>
                <c:pt idx="297">
                  <c:v>26.430349184510405</c:v>
                </c:pt>
                <c:pt idx="298">
                  <c:v>23.019330996767135</c:v>
                </c:pt>
                <c:pt idx="299">
                  <c:v>29.52129736628039</c:v>
                </c:pt>
                <c:pt idx="300">
                  <c:v>29.774462847036226</c:v>
                </c:pt>
                <c:pt idx="301">
                  <c:v>32.573816867868096</c:v>
                </c:pt>
                <c:pt idx="302">
                  <c:v>31.829930240441236</c:v>
                </c:pt>
                <c:pt idx="303">
                  <c:v>26.816813208104694</c:v>
                </c:pt>
                <c:pt idx="304">
                  <c:v>26.790650630399924</c:v>
                </c:pt>
                <c:pt idx="305">
                  <c:v>26.259003120812665</c:v>
                </c:pt>
                <c:pt idx="306">
                  <c:v>27.394030504228002</c:v>
                </c:pt>
                <c:pt idx="307">
                  <c:v>35.706490359450044</c:v>
                </c:pt>
                <c:pt idx="308">
                  <c:v>36.979392604917109</c:v>
                </c:pt>
                <c:pt idx="309">
                  <c:v>33.987463612784964</c:v>
                </c:pt>
                <c:pt idx="310">
                  <c:v>36.639981654778452</c:v>
                </c:pt>
                <c:pt idx="311">
                  <c:v>30.837408208478998</c:v>
                </c:pt>
                <c:pt idx="312">
                  <c:v>29.89772562628367</c:v>
                </c:pt>
                <c:pt idx="313">
                  <c:v>29.19183258356605</c:v>
                </c:pt>
                <c:pt idx="314">
                  <c:v>27.277901549051926</c:v>
                </c:pt>
                <c:pt idx="315">
                  <c:v>35.451231872477827</c:v>
                </c:pt>
                <c:pt idx="316">
                  <c:v>32.730260602279131</c:v>
                </c:pt>
                <c:pt idx="317">
                  <c:v>33.829506406536979</c:v>
                </c:pt>
                <c:pt idx="318">
                  <c:v>34.100324501759388</c:v>
                </c:pt>
                <c:pt idx="319">
                  <c:v>35.23204316992431</c:v>
                </c:pt>
                <c:pt idx="320">
                  <c:v>36.179220479802822</c:v>
                </c:pt>
                <c:pt idx="321">
                  <c:v>29.976137956131645</c:v>
                </c:pt>
                <c:pt idx="322">
                  <c:v>36.179220479802822</c:v>
                </c:pt>
                <c:pt idx="323">
                  <c:v>36.459845721441084</c:v>
                </c:pt>
                <c:pt idx="324">
                  <c:v>35.1940183176619</c:v>
                </c:pt>
                <c:pt idx="325">
                  <c:v>31.771590697247824</c:v>
                </c:pt>
                <c:pt idx="326">
                  <c:v>30.2525978127128</c:v>
                </c:pt>
                <c:pt idx="327">
                  <c:v>37.463208115826092</c:v>
                </c:pt>
                <c:pt idx="328">
                  <c:v>35.969531779366662</c:v>
                </c:pt>
                <c:pt idx="329">
                  <c:v>37.447729981719526</c:v>
                </c:pt>
                <c:pt idx="330">
                  <c:v>31.040731846822165</c:v>
                </c:pt>
                <c:pt idx="331">
                  <c:v>34.041319380742692</c:v>
                </c:pt>
                <c:pt idx="332">
                  <c:v>33.709114953025988</c:v>
                </c:pt>
                <c:pt idx="333">
                  <c:v>35.154169725407016</c:v>
                </c:pt>
                <c:pt idx="334">
                  <c:v>29.250550208008114</c:v>
                </c:pt>
                <c:pt idx="335">
                  <c:v>28.516370313816182</c:v>
                </c:pt>
                <c:pt idx="336">
                  <c:v>28.462428502414603</c:v>
                </c:pt>
                <c:pt idx="337">
                  <c:v>27.638525217663606</c:v>
                </c:pt>
                <c:pt idx="338">
                  <c:v>29.78219771759537</c:v>
                </c:pt>
                <c:pt idx="339">
                  <c:v>35.454171617009976</c:v>
                </c:pt>
                <c:pt idx="340">
                  <c:v>32.689214260375735</c:v>
                </c:pt>
                <c:pt idx="341">
                  <c:v>35.396382205027308</c:v>
                </c:pt>
                <c:pt idx="342">
                  <c:v>33.738417748741917</c:v>
                </c:pt>
                <c:pt idx="343">
                  <c:v>34.226588478009504</c:v>
                </c:pt>
                <c:pt idx="344">
                  <c:v>33.895549552736369</c:v>
                </c:pt>
                <c:pt idx="345">
                  <c:v>34.127246085997712</c:v>
                </c:pt>
                <c:pt idx="346">
                  <c:v>30.983925423189582</c:v>
                </c:pt>
                <c:pt idx="347">
                  <c:v>31.812215193852346</c:v>
                </c:pt>
                <c:pt idx="348">
                  <c:v>30.116006472788236</c:v>
                </c:pt>
                <c:pt idx="349">
                  <c:v>32.869872181227677</c:v>
                </c:pt>
                <c:pt idx="350">
                  <c:v>32.874346398921652</c:v>
                </c:pt>
                <c:pt idx="351">
                  <c:v>32.165483052805314</c:v>
                </c:pt>
                <c:pt idx="352">
                  <c:v>30.417795205960847</c:v>
                </c:pt>
                <c:pt idx="353">
                  <c:v>30.738676244450581</c:v>
                </c:pt>
                <c:pt idx="354">
                  <c:v>27.506611589785013</c:v>
                </c:pt>
                <c:pt idx="355">
                  <c:v>27.925988990657356</c:v>
                </c:pt>
                <c:pt idx="356">
                  <c:v>28.714969054395912</c:v>
                </c:pt>
                <c:pt idx="357">
                  <c:v>28.498124038128246</c:v>
                </c:pt>
                <c:pt idx="358">
                  <c:v>24.144841583233053</c:v>
                </c:pt>
                <c:pt idx="359">
                  <c:v>22.656397762314569</c:v>
                </c:pt>
                <c:pt idx="360">
                  <c:v>26.299517999577404</c:v>
                </c:pt>
                <c:pt idx="361">
                  <c:v>24.297586901315743</c:v>
                </c:pt>
                <c:pt idx="362">
                  <c:v>30.28175978404812</c:v>
                </c:pt>
                <c:pt idx="363">
                  <c:v>30.104543947519034</c:v>
                </c:pt>
                <c:pt idx="364">
                  <c:v>31.345054803222631</c:v>
                </c:pt>
                <c:pt idx="365">
                  <c:v>30.482368368362238</c:v>
                </c:pt>
                <c:pt idx="366">
                  <c:v>30.751770281071622</c:v>
                </c:pt>
                <c:pt idx="367">
                  <c:v>29.591056670175853</c:v>
                </c:pt>
                <c:pt idx="368">
                  <c:v>28.900353556303592</c:v>
                </c:pt>
                <c:pt idx="369">
                  <c:v>35.611603109994782</c:v>
                </c:pt>
                <c:pt idx="370">
                  <c:v>35.603149610985632</c:v>
                </c:pt>
                <c:pt idx="371">
                  <c:v>35.881631639817051</c:v>
                </c:pt>
                <c:pt idx="372">
                  <c:v>33.118059198142682</c:v>
                </c:pt>
                <c:pt idx="373">
                  <c:v>33.004404174467894</c:v>
                </c:pt>
                <c:pt idx="374">
                  <c:v>34.594874173874054</c:v>
                </c:pt>
                <c:pt idx="375">
                  <c:v>34.578098856589833</c:v>
                </c:pt>
                <c:pt idx="376">
                  <c:v>34.456748631752866</c:v>
                </c:pt>
                <c:pt idx="377">
                  <c:v>35.923184619846182</c:v>
                </c:pt>
                <c:pt idx="378">
                  <c:v>35.923184619846182</c:v>
                </c:pt>
                <c:pt idx="379">
                  <c:v>35.771285331392683</c:v>
                </c:pt>
                <c:pt idx="380">
                  <c:v>28.203033011930515</c:v>
                </c:pt>
                <c:pt idx="381">
                  <c:v>28.254512137710869</c:v>
                </c:pt>
                <c:pt idx="382">
                  <c:v>30.318080248536283</c:v>
                </c:pt>
                <c:pt idx="383">
                  <c:v>28.727524205686279</c:v>
                </c:pt>
                <c:pt idx="384">
                  <c:v>31.908011362611767</c:v>
                </c:pt>
                <c:pt idx="385">
                  <c:v>31.536583271414713</c:v>
                </c:pt>
                <c:pt idx="386">
                  <c:v>28.502445102925755</c:v>
                </c:pt>
                <c:pt idx="387">
                  <c:v>29.377520369158603</c:v>
                </c:pt>
                <c:pt idx="388">
                  <c:v>35.209308170705178</c:v>
                </c:pt>
                <c:pt idx="389">
                  <c:v>31.916331492548473</c:v>
                </c:pt>
                <c:pt idx="390">
                  <c:v>30.326621479327649</c:v>
                </c:pt>
                <c:pt idx="391">
                  <c:v>29.796897770030938</c:v>
                </c:pt>
              </c:numCache>
            </c:numRef>
          </c:xVal>
          <c:yVal>
            <c:numRef>
              <c:f>Regression!RegChartActY</c:f>
              <c:numCache>
                <c:formatCode>0.0000</c:formatCode>
                <c:ptCount val="392"/>
                <c:pt idx="0">
                  <c:v>18</c:v>
                </c:pt>
                <c:pt idx="1">
                  <c:v>15</c:v>
                </c:pt>
                <c:pt idx="2">
                  <c:v>18</c:v>
                </c:pt>
                <c:pt idx="3">
                  <c:v>16</c:v>
                </c:pt>
                <c:pt idx="4">
                  <c:v>17</c:v>
                </c:pt>
                <c:pt idx="5">
                  <c:v>15</c:v>
                </c:pt>
                <c:pt idx="6">
                  <c:v>14</c:v>
                </c:pt>
                <c:pt idx="7">
                  <c:v>14</c:v>
                </c:pt>
                <c:pt idx="8">
                  <c:v>14</c:v>
                </c:pt>
                <c:pt idx="9">
                  <c:v>15</c:v>
                </c:pt>
                <c:pt idx="10">
                  <c:v>15</c:v>
                </c:pt>
                <c:pt idx="11">
                  <c:v>14</c:v>
                </c:pt>
                <c:pt idx="12">
                  <c:v>15</c:v>
                </c:pt>
                <c:pt idx="13">
                  <c:v>14</c:v>
                </c:pt>
                <c:pt idx="14">
                  <c:v>24</c:v>
                </c:pt>
                <c:pt idx="15">
                  <c:v>22</c:v>
                </c:pt>
                <c:pt idx="16">
                  <c:v>18</c:v>
                </c:pt>
                <c:pt idx="17">
                  <c:v>21</c:v>
                </c:pt>
                <c:pt idx="18">
                  <c:v>27</c:v>
                </c:pt>
                <c:pt idx="19">
                  <c:v>26</c:v>
                </c:pt>
                <c:pt idx="20">
                  <c:v>25</c:v>
                </c:pt>
                <c:pt idx="21">
                  <c:v>24</c:v>
                </c:pt>
                <c:pt idx="22">
                  <c:v>25</c:v>
                </c:pt>
                <c:pt idx="23">
                  <c:v>26</c:v>
                </c:pt>
                <c:pt idx="24">
                  <c:v>21</c:v>
                </c:pt>
                <c:pt idx="25">
                  <c:v>10</c:v>
                </c:pt>
                <c:pt idx="26">
                  <c:v>10</c:v>
                </c:pt>
                <c:pt idx="27">
                  <c:v>11</c:v>
                </c:pt>
                <c:pt idx="28">
                  <c:v>9</c:v>
                </c:pt>
                <c:pt idx="29">
                  <c:v>27</c:v>
                </c:pt>
                <c:pt idx="30">
                  <c:v>28</c:v>
                </c:pt>
                <c:pt idx="31">
                  <c:v>25</c:v>
                </c:pt>
                <c:pt idx="32">
                  <c:v>19</c:v>
                </c:pt>
                <c:pt idx="33">
                  <c:v>16</c:v>
                </c:pt>
                <c:pt idx="34">
                  <c:v>17</c:v>
                </c:pt>
                <c:pt idx="35">
                  <c:v>19</c:v>
                </c:pt>
                <c:pt idx="36">
                  <c:v>18</c:v>
                </c:pt>
                <c:pt idx="37">
                  <c:v>14</c:v>
                </c:pt>
                <c:pt idx="38">
                  <c:v>14</c:v>
                </c:pt>
                <c:pt idx="39">
                  <c:v>14</c:v>
                </c:pt>
                <c:pt idx="40">
                  <c:v>14</c:v>
                </c:pt>
                <c:pt idx="41">
                  <c:v>12</c:v>
                </c:pt>
                <c:pt idx="42">
                  <c:v>13</c:v>
                </c:pt>
                <c:pt idx="43">
                  <c:v>13</c:v>
                </c:pt>
                <c:pt idx="44">
                  <c:v>18</c:v>
                </c:pt>
                <c:pt idx="45">
                  <c:v>22</c:v>
                </c:pt>
                <c:pt idx="46">
                  <c:v>19</c:v>
                </c:pt>
                <c:pt idx="47">
                  <c:v>18</c:v>
                </c:pt>
                <c:pt idx="48">
                  <c:v>23</c:v>
                </c:pt>
                <c:pt idx="49">
                  <c:v>28</c:v>
                </c:pt>
                <c:pt idx="50">
                  <c:v>30</c:v>
                </c:pt>
                <c:pt idx="51">
                  <c:v>30</c:v>
                </c:pt>
                <c:pt idx="52">
                  <c:v>31</c:v>
                </c:pt>
                <c:pt idx="53">
                  <c:v>35</c:v>
                </c:pt>
                <c:pt idx="54">
                  <c:v>27</c:v>
                </c:pt>
                <c:pt idx="55">
                  <c:v>26</c:v>
                </c:pt>
                <c:pt idx="56">
                  <c:v>24</c:v>
                </c:pt>
                <c:pt idx="57">
                  <c:v>25</c:v>
                </c:pt>
                <c:pt idx="58">
                  <c:v>23</c:v>
                </c:pt>
                <c:pt idx="59">
                  <c:v>20</c:v>
                </c:pt>
                <c:pt idx="60">
                  <c:v>21</c:v>
                </c:pt>
                <c:pt idx="61">
                  <c:v>13</c:v>
                </c:pt>
                <c:pt idx="62">
                  <c:v>14</c:v>
                </c:pt>
                <c:pt idx="63">
                  <c:v>15</c:v>
                </c:pt>
                <c:pt idx="64">
                  <c:v>14</c:v>
                </c:pt>
                <c:pt idx="65">
                  <c:v>17</c:v>
                </c:pt>
                <c:pt idx="66">
                  <c:v>11</c:v>
                </c:pt>
                <c:pt idx="67">
                  <c:v>13</c:v>
                </c:pt>
                <c:pt idx="68">
                  <c:v>12</c:v>
                </c:pt>
                <c:pt idx="69">
                  <c:v>13</c:v>
                </c:pt>
                <c:pt idx="70">
                  <c:v>19</c:v>
                </c:pt>
                <c:pt idx="71">
                  <c:v>15</c:v>
                </c:pt>
                <c:pt idx="72">
                  <c:v>13</c:v>
                </c:pt>
                <c:pt idx="73">
                  <c:v>13</c:v>
                </c:pt>
                <c:pt idx="74">
                  <c:v>14</c:v>
                </c:pt>
                <c:pt idx="75">
                  <c:v>18</c:v>
                </c:pt>
                <c:pt idx="76">
                  <c:v>22</c:v>
                </c:pt>
                <c:pt idx="77">
                  <c:v>21</c:v>
                </c:pt>
                <c:pt idx="78">
                  <c:v>26</c:v>
                </c:pt>
                <c:pt idx="79">
                  <c:v>22</c:v>
                </c:pt>
                <c:pt idx="80">
                  <c:v>28</c:v>
                </c:pt>
                <c:pt idx="81">
                  <c:v>23</c:v>
                </c:pt>
                <c:pt idx="82">
                  <c:v>28</c:v>
                </c:pt>
                <c:pt idx="83">
                  <c:v>27</c:v>
                </c:pt>
                <c:pt idx="84">
                  <c:v>13</c:v>
                </c:pt>
                <c:pt idx="85">
                  <c:v>14</c:v>
                </c:pt>
                <c:pt idx="86">
                  <c:v>13</c:v>
                </c:pt>
                <c:pt idx="87">
                  <c:v>14</c:v>
                </c:pt>
                <c:pt idx="88">
                  <c:v>15</c:v>
                </c:pt>
                <c:pt idx="89">
                  <c:v>12</c:v>
                </c:pt>
                <c:pt idx="90">
                  <c:v>13</c:v>
                </c:pt>
                <c:pt idx="91">
                  <c:v>13</c:v>
                </c:pt>
                <c:pt idx="92">
                  <c:v>14</c:v>
                </c:pt>
                <c:pt idx="93">
                  <c:v>13</c:v>
                </c:pt>
                <c:pt idx="94">
                  <c:v>12</c:v>
                </c:pt>
                <c:pt idx="95">
                  <c:v>13</c:v>
                </c:pt>
                <c:pt idx="96">
                  <c:v>18</c:v>
                </c:pt>
                <c:pt idx="97">
                  <c:v>16</c:v>
                </c:pt>
                <c:pt idx="98">
                  <c:v>18</c:v>
                </c:pt>
                <c:pt idx="99">
                  <c:v>18</c:v>
                </c:pt>
                <c:pt idx="100">
                  <c:v>23</c:v>
                </c:pt>
                <c:pt idx="101">
                  <c:v>26</c:v>
                </c:pt>
                <c:pt idx="102">
                  <c:v>11</c:v>
                </c:pt>
                <c:pt idx="103">
                  <c:v>12</c:v>
                </c:pt>
                <c:pt idx="104">
                  <c:v>13</c:v>
                </c:pt>
                <c:pt idx="105">
                  <c:v>12</c:v>
                </c:pt>
                <c:pt idx="106">
                  <c:v>18</c:v>
                </c:pt>
                <c:pt idx="107">
                  <c:v>20</c:v>
                </c:pt>
                <c:pt idx="108">
                  <c:v>21</c:v>
                </c:pt>
                <c:pt idx="109">
                  <c:v>22</c:v>
                </c:pt>
                <c:pt idx="110">
                  <c:v>18</c:v>
                </c:pt>
                <c:pt idx="111">
                  <c:v>19</c:v>
                </c:pt>
                <c:pt idx="112">
                  <c:v>21</c:v>
                </c:pt>
                <c:pt idx="113">
                  <c:v>26</c:v>
                </c:pt>
                <c:pt idx="114">
                  <c:v>15</c:v>
                </c:pt>
                <c:pt idx="115">
                  <c:v>16</c:v>
                </c:pt>
                <c:pt idx="116">
                  <c:v>29</c:v>
                </c:pt>
                <c:pt idx="117">
                  <c:v>24</c:v>
                </c:pt>
                <c:pt idx="118">
                  <c:v>20</c:v>
                </c:pt>
                <c:pt idx="119">
                  <c:v>19</c:v>
                </c:pt>
                <c:pt idx="120">
                  <c:v>15</c:v>
                </c:pt>
                <c:pt idx="121">
                  <c:v>24</c:v>
                </c:pt>
                <c:pt idx="122">
                  <c:v>20</c:v>
                </c:pt>
                <c:pt idx="123">
                  <c:v>11</c:v>
                </c:pt>
                <c:pt idx="124">
                  <c:v>20</c:v>
                </c:pt>
                <c:pt idx="125">
                  <c:v>19</c:v>
                </c:pt>
                <c:pt idx="126">
                  <c:v>15</c:v>
                </c:pt>
                <c:pt idx="127">
                  <c:v>31</c:v>
                </c:pt>
                <c:pt idx="128">
                  <c:v>26</c:v>
                </c:pt>
                <c:pt idx="129">
                  <c:v>32</c:v>
                </c:pt>
                <c:pt idx="130">
                  <c:v>25</c:v>
                </c:pt>
                <c:pt idx="131">
                  <c:v>16</c:v>
                </c:pt>
                <c:pt idx="132">
                  <c:v>16</c:v>
                </c:pt>
                <c:pt idx="133">
                  <c:v>18</c:v>
                </c:pt>
                <c:pt idx="134">
                  <c:v>16</c:v>
                </c:pt>
                <c:pt idx="135">
                  <c:v>13</c:v>
                </c:pt>
                <c:pt idx="136">
                  <c:v>14</c:v>
                </c:pt>
                <c:pt idx="137">
                  <c:v>14</c:v>
                </c:pt>
                <c:pt idx="138">
                  <c:v>14</c:v>
                </c:pt>
                <c:pt idx="139">
                  <c:v>29</c:v>
                </c:pt>
                <c:pt idx="140">
                  <c:v>26</c:v>
                </c:pt>
                <c:pt idx="141">
                  <c:v>26</c:v>
                </c:pt>
                <c:pt idx="142">
                  <c:v>31</c:v>
                </c:pt>
                <c:pt idx="143">
                  <c:v>32</c:v>
                </c:pt>
                <c:pt idx="144">
                  <c:v>28</c:v>
                </c:pt>
                <c:pt idx="145">
                  <c:v>24</c:v>
                </c:pt>
                <c:pt idx="146">
                  <c:v>26</c:v>
                </c:pt>
                <c:pt idx="147">
                  <c:v>24</c:v>
                </c:pt>
                <c:pt idx="148">
                  <c:v>26</c:v>
                </c:pt>
                <c:pt idx="149">
                  <c:v>31</c:v>
                </c:pt>
                <c:pt idx="150">
                  <c:v>19</c:v>
                </c:pt>
                <c:pt idx="151">
                  <c:v>18</c:v>
                </c:pt>
                <c:pt idx="152">
                  <c:v>15</c:v>
                </c:pt>
                <c:pt idx="153">
                  <c:v>15</c:v>
                </c:pt>
                <c:pt idx="154">
                  <c:v>16</c:v>
                </c:pt>
                <c:pt idx="155">
                  <c:v>15</c:v>
                </c:pt>
                <c:pt idx="156">
                  <c:v>16</c:v>
                </c:pt>
                <c:pt idx="157">
                  <c:v>14</c:v>
                </c:pt>
                <c:pt idx="158">
                  <c:v>17</c:v>
                </c:pt>
                <c:pt idx="159">
                  <c:v>16</c:v>
                </c:pt>
                <c:pt idx="160">
                  <c:v>15</c:v>
                </c:pt>
                <c:pt idx="161">
                  <c:v>18</c:v>
                </c:pt>
                <c:pt idx="162">
                  <c:v>21</c:v>
                </c:pt>
                <c:pt idx="163">
                  <c:v>20</c:v>
                </c:pt>
                <c:pt idx="164">
                  <c:v>13</c:v>
                </c:pt>
                <c:pt idx="165">
                  <c:v>29</c:v>
                </c:pt>
                <c:pt idx="166">
                  <c:v>23</c:v>
                </c:pt>
                <c:pt idx="167">
                  <c:v>20</c:v>
                </c:pt>
                <c:pt idx="168">
                  <c:v>23</c:v>
                </c:pt>
                <c:pt idx="169">
                  <c:v>24</c:v>
                </c:pt>
                <c:pt idx="170">
                  <c:v>25</c:v>
                </c:pt>
                <c:pt idx="171">
                  <c:v>24</c:v>
                </c:pt>
                <c:pt idx="172">
                  <c:v>18</c:v>
                </c:pt>
                <c:pt idx="173">
                  <c:v>29</c:v>
                </c:pt>
                <c:pt idx="174">
                  <c:v>19</c:v>
                </c:pt>
                <c:pt idx="175">
                  <c:v>23</c:v>
                </c:pt>
                <c:pt idx="176">
                  <c:v>23</c:v>
                </c:pt>
                <c:pt idx="177">
                  <c:v>22</c:v>
                </c:pt>
                <c:pt idx="178">
                  <c:v>25</c:v>
                </c:pt>
                <c:pt idx="179">
                  <c:v>33</c:v>
                </c:pt>
                <c:pt idx="180">
                  <c:v>28</c:v>
                </c:pt>
                <c:pt idx="181">
                  <c:v>25</c:v>
                </c:pt>
                <c:pt idx="182">
                  <c:v>25</c:v>
                </c:pt>
                <c:pt idx="183">
                  <c:v>26</c:v>
                </c:pt>
                <c:pt idx="184">
                  <c:v>27</c:v>
                </c:pt>
                <c:pt idx="185">
                  <c:v>17.5</c:v>
                </c:pt>
                <c:pt idx="186">
                  <c:v>16</c:v>
                </c:pt>
                <c:pt idx="187">
                  <c:v>15.5</c:v>
                </c:pt>
                <c:pt idx="188">
                  <c:v>14.5</c:v>
                </c:pt>
                <c:pt idx="189">
                  <c:v>22</c:v>
                </c:pt>
                <c:pt idx="190">
                  <c:v>22</c:v>
                </c:pt>
                <c:pt idx="191">
                  <c:v>24</c:v>
                </c:pt>
                <c:pt idx="192">
                  <c:v>22.5</c:v>
                </c:pt>
                <c:pt idx="193">
                  <c:v>29</c:v>
                </c:pt>
                <c:pt idx="194">
                  <c:v>24.5</c:v>
                </c:pt>
                <c:pt idx="195">
                  <c:v>29</c:v>
                </c:pt>
                <c:pt idx="196">
                  <c:v>33</c:v>
                </c:pt>
                <c:pt idx="197">
                  <c:v>20</c:v>
                </c:pt>
                <c:pt idx="198">
                  <c:v>18</c:v>
                </c:pt>
                <c:pt idx="199">
                  <c:v>18.5</c:v>
                </c:pt>
                <c:pt idx="200">
                  <c:v>17.5</c:v>
                </c:pt>
                <c:pt idx="201">
                  <c:v>29.5</c:v>
                </c:pt>
                <c:pt idx="202">
                  <c:v>32</c:v>
                </c:pt>
                <c:pt idx="203">
                  <c:v>28</c:v>
                </c:pt>
                <c:pt idx="204">
                  <c:v>26.5</c:v>
                </c:pt>
                <c:pt idx="205">
                  <c:v>20</c:v>
                </c:pt>
                <c:pt idx="206">
                  <c:v>13</c:v>
                </c:pt>
                <c:pt idx="207">
                  <c:v>19</c:v>
                </c:pt>
                <c:pt idx="208">
                  <c:v>19</c:v>
                </c:pt>
                <c:pt idx="209">
                  <c:v>16.5</c:v>
                </c:pt>
                <c:pt idx="210">
                  <c:v>16.5</c:v>
                </c:pt>
                <c:pt idx="211">
                  <c:v>13</c:v>
                </c:pt>
                <c:pt idx="212">
                  <c:v>13</c:v>
                </c:pt>
                <c:pt idx="213">
                  <c:v>13</c:v>
                </c:pt>
                <c:pt idx="214">
                  <c:v>31.5</c:v>
                </c:pt>
                <c:pt idx="215">
                  <c:v>30</c:v>
                </c:pt>
                <c:pt idx="216">
                  <c:v>36</c:v>
                </c:pt>
                <c:pt idx="217">
                  <c:v>25.5</c:v>
                </c:pt>
                <c:pt idx="218">
                  <c:v>33.5</c:v>
                </c:pt>
                <c:pt idx="219">
                  <c:v>17.5</c:v>
                </c:pt>
                <c:pt idx="220">
                  <c:v>17</c:v>
                </c:pt>
                <c:pt idx="221">
                  <c:v>15.5</c:v>
                </c:pt>
                <c:pt idx="222">
                  <c:v>15</c:v>
                </c:pt>
                <c:pt idx="223">
                  <c:v>17.5</c:v>
                </c:pt>
                <c:pt idx="224">
                  <c:v>20.5</c:v>
                </c:pt>
                <c:pt idx="225">
                  <c:v>19</c:v>
                </c:pt>
                <c:pt idx="226">
                  <c:v>18.5</c:v>
                </c:pt>
                <c:pt idx="227">
                  <c:v>16</c:v>
                </c:pt>
                <c:pt idx="228">
                  <c:v>15.5</c:v>
                </c:pt>
                <c:pt idx="229">
                  <c:v>15.5</c:v>
                </c:pt>
                <c:pt idx="230">
                  <c:v>16</c:v>
                </c:pt>
                <c:pt idx="231">
                  <c:v>29</c:v>
                </c:pt>
                <c:pt idx="232">
                  <c:v>24.5</c:v>
                </c:pt>
                <c:pt idx="233">
                  <c:v>26</c:v>
                </c:pt>
                <c:pt idx="234">
                  <c:v>25.5</c:v>
                </c:pt>
                <c:pt idx="235">
                  <c:v>30.5</c:v>
                </c:pt>
                <c:pt idx="236">
                  <c:v>33.5</c:v>
                </c:pt>
                <c:pt idx="237">
                  <c:v>30</c:v>
                </c:pt>
                <c:pt idx="238">
                  <c:v>30.5</c:v>
                </c:pt>
                <c:pt idx="239">
                  <c:v>22</c:v>
                </c:pt>
                <c:pt idx="240">
                  <c:v>21.5</c:v>
                </c:pt>
                <c:pt idx="241">
                  <c:v>21.5</c:v>
                </c:pt>
                <c:pt idx="242">
                  <c:v>43.1</c:v>
                </c:pt>
                <c:pt idx="243">
                  <c:v>36.1</c:v>
                </c:pt>
                <c:pt idx="244">
                  <c:v>32.799999999999997</c:v>
                </c:pt>
                <c:pt idx="245">
                  <c:v>39.4</c:v>
                </c:pt>
                <c:pt idx="246">
                  <c:v>36.1</c:v>
                </c:pt>
                <c:pt idx="247">
                  <c:v>19.899999999999999</c:v>
                </c:pt>
                <c:pt idx="248">
                  <c:v>19.399999999999999</c:v>
                </c:pt>
                <c:pt idx="249">
                  <c:v>20.2</c:v>
                </c:pt>
                <c:pt idx="250">
                  <c:v>19.2</c:v>
                </c:pt>
                <c:pt idx="251">
                  <c:v>20.5</c:v>
                </c:pt>
                <c:pt idx="252">
                  <c:v>20.2</c:v>
                </c:pt>
                <c:pt idx="253">
                  <c:v>25.1</c:v>
                </c:pt>
                <c:pt idx="254">
                  <c:v>20.5</c:v>
                </c:pt>
                <c:pt idx="255">
                  <c:v>19.399999999999999</c:v>
                </c:pt>
                <c:pt idx="256">
                  <c:v>20.6</c:v>
                </c:pt>
                <c:pt idx="257">
                  <c:v>20.8</c:v>
                </c:pt>
                <c:pt idx="258">
                  <c:v>18.600000000000001</c:v>
                </c:pt>
                <c:pt idx="259">
                  <c:v>18.100000000000001</c:v>
                </c:pt>
                <c:pt idx="260">
                  <c:v>19.2</c:v>
                </c:pt>
                <c:pt idx="261">
                  <c:v>17.7</c:v>
                </c:pt>
                <c:pt idx="262">
                  <c:v>18.100000000000001</c:v>
                </c:pt>
                <c:pt idx="263">
                  <c:v>17.5</c:v>
                </c:pt>
                <c:pt idx="264">
                  <c:v>30</c:v>
                </c:pt>
                <c:pt idx="265">
                  <c:v>27.5</c:v>
                </c:pt>
                <c:pt idx="266">
                  <c:v>27.2</c:v>
                </c:pt>
                <c:pt idx="267">
                  <c:v>30.9</c:v>
                </c:pt>
                <c:pt idx="268">
                  <c:v>21.1</c:v>
                </c:pt>
                <c:pt idx="269">
                  <c:v>23.2</c:v>
                </c:pt>
                <c:pt idx="270">
                  <c:v>23.8</c:v>
                </c:pt>
                <c:pt idx="271">
                  <c:v>23.9</c:v>
                </c:pt>
                <c:pt idx="272">
                  <c:v>20.3</c:v>
                </c:pt>
                <c:pt idx="273">
                  <c:v>17</c:v>
                </c:pt>
                <c:pt idx="274">
                  <c:v>21.6</c:v>
                </c:pt>
                <c:pt idx="275">
                  <c:v>16.2</c:v>
                </c:pt>
                <c:pt idx="276">
                  <c:v>31.5</c:v>
                </c:pt>
                <c:pt idx="277">
                  <c:v>29.5</c:v>
                </c:pt>
                <c:pt idx="278">
                  <c:v>21.5</c:v>
                </c:pt>
                <c:pt idx="279">
                  <c:v>19.8</c:v>
                </c:pt>
                <c:pt idx="280">
                  <c:v>22.3</c:v>
                </c:pt>
                <c:pt idx="281">
                  <c:v>20.2</c:v>
                </c:pt>
                <c:pt idx="282">
                  <c:v>20.6</c:v>
                </c:pt>
                <c:pt idx="283">
                  <c:v>17</c:v>
                </c:pt>
                <c:pt idx="284">
                  <c:v>17.600000000000001</c:v>
                </c:pt>
                <c:pt idx="285">
                  <c:v>16.5</c:v>
                </c:pt>
                <c:pt idx="286">
                  <c:v>18.2</c:v>
                </c:pt>
                <c:pt idx="287">
                  <c:v>16.899999999999999</c:v>
                </c:pt>
                <c:pt idx="288">
                  <c:v>15.5</c:v>
                </c:pt>
                <c:pt idx="289">
                  <c:v>19.2</c:v>
                </c:pt>
                <c:pt idx="290">
                  <c:v>18.5</c:v>
                </c:pt>
                <c:pt idx="291">
                  <c:v>31.9</c:v>
                </c:pt>
                <c:pt idx="292">
                  <c:v>34.1</c:v>
                </c:pt>
                <c:pt idx="293">
                  <c:v>35.700000000000003</c:v>
                </c:pt>
                <c:pt idx="294">
                  <c:v>27.4</c:v>
                </c:pt>
                <c:pt idx="295">
                  <c:v>25.4</c:v>
                </c:pt>
                <c:pt idx="296">
                  <c:v>23</c:v>
                </c:pt>
                <c:pt idx="297">
                  <c:v>27.2</c:v>
                </c:pt>
                <c:pt idx="298">
                  <c:v>23.9</c:v>
                </c:pt>
                <c:pt idx="299">
                  <c:v>34.200000000000003</c:v>
                </c:pt>
                <c:pt idx="300">
                  <c:v>34.5</c:v>
                </c:pt>
                <c:pt idx="301">
                  <c:v>31.8</c:v>
                </c:pt>
                <c:pt idx="302">
                  <c:v>37.299999999999997</c:v>
                </c:pt>
                <c:pt idx="303">
                  <c:v>28.4</c:v>
                </c:pt>
                <c:pt idx="304">
                  <c:v>28.8</c:v>
                </c:pt>
                <c:pt idx="305">
                  <c:v>26.8</c:v>
                </c:pt>
                <c:pt idx="306">
                  <c:v>33.5</c:v>
                </c:pt>
                <c:pt idx="307">
                  <c:v>41.5</c:v>
                </c:pt>
                <c:pt idx="308">
                  <c:v>38.1</c:v>
                </c:pt>
                <c:pt idx="309">
                  <c:v>32.1</c:v>
                </c:pt>
                <c:pt idx="310">
                  <c:v>37.200000000000003</c:v>
                </c:pt>
                <c:pt idx="311">
                  <c:v>28</c:v>
                </c:pt>
                <c:pt idx="312">
                  <c:v>26.4</c:v>
                </c:pt>
                <c:pt idx="313">
                  <c:v>24.3</c:v>
                </c:pt>
                <c:pt idx="314">
                  <c:v>19.100000000000001</c:v>
                </c:pt>
                <c:pt idx="315">
                  <c:v>34.299999999999997</c:v>
                </c:pt>
                <c:pt idx="316">
                  <c:v>29.8</c:v>
                </c:pt>
                <c:pt idx="317">
                  <c:v>31.3</c:v>
                </c:pt>
                <c:pt idx="318">
                  <c:v>37</c:v>
                </c:pt>
                <c:pt idx="319">
                  <c:v>32.200000000000003</c:v>
                </c:pt>
                <c:pt idx="320">
                  <c:v>46.6</c:v>
                </c:pt>
                <c:pt idx="321">
                  <c:v>27.9</c:v>
                </c:pt>
                <c:pt idx="322">
                  <c:v>40.799999999999997</c:v>
                </c:pt>
                <c:pt idx="323">
                  <c:v>44.3</c:v>
                </c:pt>
                <c:pt idx="324">
                  <c:v>43.4</c:v>
                </c:pt>
                <c:pt idx="325">
                  <c:v>36.4</c:v>
                </c:pt>
                <c:pt idx="326">
                  <c:v>30</c:v>
                </c:pt>
                <c:pt idx="327">
                  <c:v>44.6</c:v>
                </c:pt>
                <c:pt idx="328">
                  <c:v>33.799999999999997</c:v>
                </c:pt>
                <c:pt idx="329">
                  <c:v>29.8</c:v>
                </c:pt>
                <c:pt idx="330">
                  <c:v>32.700000000000003</c:v>
                </c:pt>
                <c:pt idx="331">
                  <c:v>23.7</c:v>
                </c:pt>
                <c:pt idx="332">
                  <c:v>35</c:v>
                </c:pt>
                <c:pt idx="333">
                  <c:v>32.4</c:v>
                </c:pt>
                <c:pt idx="334">
                  <c:v>27.2</c:v>
                </c:pt>
                <c:pt idx="335">
                  <c:v>26.6</c:v>
                </c:pt>
                <c:pt idx="336">
                  <c:v>25.8</c:v>
                </c:pt>
                <c:pt idx="337">
                  <c:v>23.5</c:v>
                </c:pt>
                <c:pt idx="338">
                  <c:v>30</c:v>
                </c:pt>
                <c:pt idx="339">
                  <c:v>39.1</c:v>
                </c:pt>
                <c:pt idx="340">
                  <c:v>39</c:v>
                </c:pt>
                <c:pt idx="341">
                  <c:v>35.1</c:v>
                </c:pt>
                <c:pt idx="342">
                  <c:v>32.299999999999997</c:v>
                </c:pt>
                <c:pt idx="343">
                  <c:v>37</c:v>
                </c:pt>
                <c:pt idx="344">
                  <c:v>37.700000000000003</c:v>
                </c:pt>
                <c:pt idx="345">
                  <c:v>34.1</c:v>
                </c:pt>
                <c:pt idx="346">
                  <c:v>34.700000000000003</c:v>
                </c:pt>
                <c:pt idx="347">
                  <c:v>34.4</c:v>
                </c:pt>
                <c:pt idx="348">
                  <c:v>29.9</c:v>
                </c:pt>
                <c:pt idx="349">
                  <c:v>33</c:v>
                </c:pt>
                <c:pt idx="350">
                  <c:v>33.700000000000003</c:v>
                </c:pt>
                <c:pt idx="351">
                  <c:v>32.4</c:v>
                </c:pt>
                <c:pt idx="352">
                  <c:v>32.9</c:v>
                </c:pt>
                <c:pt idx="353">
                  <c:v>31.6</c:v>
                </c:pt>
                <c:pt idx="354">
                  <c:v>28.1</c:v>
                </c:pt>
                <c:pt idx="355">
                  <c:v>30.7</c:v>
                </c:pt>
                <c:pt idx="356">
                  <c:v>25.4</c:v>
                </c:pt>
                <c:pt idx="357">
                  <c:v>24.2</c:v>
                </c:pt>
                <c:pt idx="358">
                  <c:v>22.4</c:v>
                </c:pt>
                <c:pt idx="359">
                  <c:v>26.6</c:v>
                </c:pt>
                <c:pt idx="360">
                  <c:v>20.2</c:v>
                </c:pt>
                <c:pt idx="361">
                  <c:v>17.600000000000001</c:v>
                </c:pt>
                <c:pt idx="362">
                  <c:v>28</c:v>
                </c:pt>
                <c:pt idx="363">
                  <c:v>27</c:v>
                </c:pt>
                <c:pt idx="364">
                  <c:v>34</c:v>
                </c:pt>
                <c:pt idx="365">
                  <c:v>31</c:v>
                </c:pt>
                <c:pt idx="366">
                  <c:v>29</c:v>
                </c:pt>
                <c:pt idx="367">
                  <c:v>27</c:v>
                </c:pt>
                <c:pt idx="368">
                  <c:v>24</c:v>
                </c:pt>
                <c:pt idx="369">
                  <c:v>36</c:v>
                </c:pt>
                <c:pt idx="370">
                  <c:v>37</c:v>
                </c:pt>
                <c:pt idx="371">
                  <c:v>31</c:v>
                </c:pt>
                <c:pt idx="372">
                  <c:v>38</c:v>
                </c:pt>
                <c:pt idx="373">
                  <c:v>36</c:v>
                </c:pt>
                <c:pt idx="374">
                  <c:v>36</c:v>
                </c:pt>
                <c:pt idx="375">
                  <c:v>36</c:v>
                </c:pt>
                <c:pt idx="376">
                  <c:v>34</c:v>
                </c:pt>
                <c:pt idx="377">
                  <c:v>38</c:v>
                </c:pt>
                <c:pt idx="378">
                  <c:v>32</c:v>
                </c:pt>
                <c:pt idx="379">
                  <c:v>38</c:v>
                </c:pt>
                <c:pt idx="380">
                  <c:v>25</c:v>
                </c:pt>
                <c:pt idx="381">
                  <c:v>38</c:v>
                </c:pt>
                <c:pt idx="382">
                  <c:v>26</c:v>
                </c:pt>
                <c:pt idx="383">
                  <c:v>22</c:v>
                </c:pt>
                <c:pt idx="384">
                  <c:v>32</c:v>
                </c:pt>
                <c:pt idx="385">
                  <c:v>36</c:v>
                </c:pt>
                <c:pt idx="386">
                  <c:v>27</c:v>
                </c:pt>
                <c:pt idx="387">
                  <c:v>27</c:v>
                </c:pt>
                <c:pt idx="388">
                  <c:v>44</c:v>
                </c:pt>
                <c:pt idx="389">
                  <c:v>32</c:v>
                </c:pt>
                <c:pt idx="390">
                  <c:v>28</c:v>
                </c:pt>
                <c:pt idx="391">
                  <c:v>31</c:v>
                </c:pt>
              </c:numCache>
            </c:numRef>
          </c:yVal>
          <c:smooth val="0"/>
          <c:extLst>
            <c:ext xmlns:c16="http://schemas.microsoft.com/office/drawing/2014/chart" uri="{C3380CC4-5D6E-409C-BE32-E72D297353CC}">
              <c16:uniqueId val="{00000001-FF79-4E47-B0CF-7F39B1BDCCAF}"/>
            </c:ext>
          </c:extLst>
        </c:ser>
        <c:ser>
          <c:idx val="1"/>
          <c:order val="1"/>
          <c:tx>
            <c:v>Identity</c:v>
          </c:tx>
          <c:spPr>
            <a:ln w="15875" cap="rnd">
              <a:solidFill>
                <a:srgbClr val="787878"/>
              </a:solidFill>
              <a:prstDash val="dot"/>
            </a:ln>
          </c:spPr>
          <c:marker>
            <c:symbol val="none"/>
          </c:marker>
          <c:xVal>
            <c:numRef>
              <c:f>Regression!RegChartFitY</c:f>
              <c:numCache>
                <c:formatCode>0.0000</c:formatCode>
                <c:ptCount val="392"/>
                <c:pt idx="0">
                  <c:v>16.838573626431661</c:v>
                </c:pt>
                <c:pt idx="1">
                  <c:v>15.313332990800655</c:v>
                </c:pt>
                <c:pt idx="2">
                  <c:v>16.858150041188779</c:v>
                </c:pt>
                <c:pt idx="3">
                  <c:v>16.873339970034131</c:v>
                </c:pt>
                <c:pt idx="4">
                  <c:v>16.954691335727667</c:v>
                </c:pt>
                <c:pt idx="5">
                  <c:v>11.49650610573814</c:v>
                </c:pt>
                <c:pt idx="6">
                  <c:v>11.073481577763721</c:v>
                </c:pt>
                <c:pt idx="7">
                  <c:v>11.367322741366332</c:v>
                </c:pt>
                <c:pt idx="8">
                  <c:v>10.632804435322724</c:v>
                </c:pt>
                <c:pt idx="9">
                  <c:v>14.112482582388791</c:v>
                </c:pt>
                <c:pt idx="10">
                  <c:v>15.890381080998123</c:v>
                </c:pt>
                <c:pt idx="11">
                  <c:v>15.819833158238167</c:v>
                </c:pt>
                <c:pt idx="12">
                  <c:v>15.212574416275837</c:v>
                </c:pt>
                <c:pt idx="13">
                  <c:v>17.412576009964045</c:v>
                </c:pt>
                <c:pt idx="14">
                  <c:v>25.198456840216746</c:v>
                </c:pt>
                <c:pt idx="15">
                  <c:v>20.804329496548942</c:v>
                </c:pt>
                <c:pt idx="16">
                  <c:v>21.070591899933742</c:v>
                </c:pt>
                <c:pt idx="17">
                  <c:v>22.212267981403066</c:v>
                </c:pt>
                <c:pt idx="18">
                  <c:v>26.537432790749786</c:v>
                </c:pt>
                <c:pt idx="19">
                  <c:v>28.591062427308099</c:v>
                </c:pt>
                <c:pt idx="20">
                  <c:v>23.687378569360192</c:v>
                </c:pt>
                <c:pt idx="21">
                  <c:v>24.863990200357819</c:v>
                </c:pt>
                <c:pt idx="22">
                  <c:v>25.061290069421542</c:v>
                </c:pt>
                <c:pt idx="23">
                  <c:v>25.482960949989256</c:v>
                </c:pt>
                <c:pt idx="24">
                  <c:v>21.822223935113239</c:v>
                </c:pt>
                <c:pt idx="25">
                  <c:v>9.8331399279859557</c:v>
                </c:pt>
                <c:pt idx="26">
                  <c:v>11.286817405301973</c:v>
                </c:pt>
                <c:pt idx="27">
                  <c:v>11.094073228075858</c:v>
                </c:pt>
                <c:pt idx="28">
                  <c:v>9.5979342059952</c:v>
                </c:pt>
                <c:pt idx="29">
                  <c:v>27.44784298533256</c:v>
                </c:pt>
                <c:pt idx="30">
                  <c:v>24.676945021900842</c:v>
                </c:pt>
                <c:pt idx="31">
                  <c:v>26.837983619376331</c:v>
                </c:pt>
                <c:pt idx="32">
                  <c:v>22.641156144772239</c:v>
                </c:pt>
                <c:pt idx="33">
                  <c:v>18.484009744835557</c:v>
                </c:pt>
                <c:pt idx="34">
                  <c:v>19.122155962266103</c:v>
                </c:pt>
                <c:pt idx="35">
                  <c:v>19.453702505316752</c:v>
                </c:pt>
                <c:pt idx="36">
                  <c:v>19.32975165648589</c:v>
                </c:pt>
                <c:pt idx="37">
                  <c:v>13.611075423983189</c:v>
                </c:pt>
                <c:pt idx="38">
                  <c:v>12.157567152593005</c:v>
                </c:pt>
                <c:pt idx="39">
                  <c:v>14.084394636257104</c:v>
                </c:pt>
                <c:pt idx="40">
                  <c:v>14.4267758897945</c:v>
                </c:pt>
                <c:pt idx="41">
                  <c:v>9.5902999718029793</c:v>
                </c:pt>
                <c:pt idx="42">
                  <c:v>10.81089600089779</c:v>
                </c:pt>
                <c:pt idx="43">
                  <c:v>8.7347698527740878</c:v>
                </c:pt>
                <c:pt idx="44">
                  <c:v>20.818026271478537</c:v>
                </c:pt>
                <c:pt idx="45">
                  <c:v>24.240084212487776</c:v>
                </c:pt>
                <c:pt idx="46">
                  <c:v>19.36013151417659</c:v>
                </c:pt>
                <c:pt idx="47">
                  <c:v>20.279021972580779</c:v>
                </c:pt>
                <c:pt idx="48">
                  <c:v>24.964676372780147</c:v>
                </c:pt>
                <c:pt idx="49">
                  <c:v>27.328836446781434</c:v>
                </c:pt>
                <c:pt idx="50">
                  <c:v>27.90166725699298</c:v>
                </c:pt>
                <c:pt idx="51">
                  <c:v>27.849818451807788</c:v>
                </c:pt>
                <c:pt idx="52">
                  <c:v>29.62888245286068</c:v>
                </c:pt>
                <c:pt idx="53">
                  <c:v>30.374066263465199</c:v>
                </c:pt>
                <c:pt idx="54">
                  <c:v>29.279225884156411</c:v>
                </c:pt>
                <c:pt idx="55">
                  <c:v>26.566236332042742</c:v>
                </c:pt>
                <c:pt idx="56">
                  <c:v>25.328456204078385</c:v>
                </c:pt>
                <c:pt idx="57">
                  <c:v>24.28168413378026</c:v>
                </c:pt>
                <c:pt idx="58">
                  <c:v>25.993692502986516</c:v>
                </c:pt>
                <c:pt idx="59">
                  <c:v>22.691466502781925</c:v>
                </c:pt>
                <c:pt idx="60">
                  <c:v>23.677934580547344</c:v>
                </c:pt>
                <c:pt idx="61">
                  <c:v>12.025598364458494</c:v>
                </c:pt>
                <c:pt idx="62">
                  <c:v>11.301206677645121</c:v>
                </c:pt>
                <c:pt idx="63">
                  <c:v>12.972944880262842</c:v>
                </c:pt>
                <c:pt idx="64">
                  <c:v>12.954615442092917</c:v>
                </c:pt>
                <c:pt idx="65">
                  <c:v>15.317257232061893</c:v>
                </c:pt>
                <c:pt idx="66">
                  <c:v>9.5097036386293095</c:v>
                </c:pt>
                <c:pt idx="67">
                  <c:v>11.033528091747291</c:v>
                </c:pt>
                <c:pt idx="68">
                  <c:v>11.185258174274955</c:v>
                </c:pt>
                <c:pt idx="69">
                  <c:v>10.870317742582683</c:v>
                </c:pt>
                <c:pt idx="70">
                  <c:v>25.03269124018523</c:v>
                </c:pt>
                <c:pt idx="71">
                  <c:v>14.203329116736208</c:v>
                </c:pt>
                <c:pt idx="72">
                  <c:v>13.485015975092979</c:v>
                </c:pt>
                <c:pt idx="73">
                  <c:v>12.330242970994684</c:v>
                </c:pt>
                <c:pt idx="74">
                  <c:v>13.266616837939614</c:v>
                </c:pt>
                <c:pt idx="75">
                  <c:v>21.613992221016861</c:v>
                </c:pt>
                <c:pt idx="76">
                  <c:v>24.335220428923613</c:v>
                </c:pt>
                <c:pt idx="77">
                  <c:v>21.786990777560018</c:v>
                </c:pt>
                <c:pt idx="78">
                  <c:v>26.079261148665992</c:v>
                </c:pt>
                <c:pt idx="79">
                  <c:v>22.822235255592613</c:v>
                </c:pt>
                <c:pt idx="80">
                  <c:v>25.326532403787837</c:v>
                </c:pt>
                <c:pt idx="81">
                  <c:v>24.141548747924681</c:v>
                </c:pt>
                <c:pt idx="82">
                  <c:v>24.089278368405822</c:v>
                </c:pt>
                <c:pt idx="83">
                  <c:v>26.343380339243957</c:v>
                </c:pt>
                <c:pt idx="84">
                  <c:v>12.383947606403462</c:v>
                </c:pt>
                <c:pt idx="85">
                  <c:v>14.95695492051196</c:v>
                </c:pt>
                <c:pt idx="86">
                  <c:v>13.438131241902768</c:v>
                </c:pt>
                <c:pt idx="87">
                  <c:v>13.294603978314798</c:v>
                </c:pt>
                <c:pt idx="88">
                  <c:v>14.425307410924701</c:v>
                </c:pt>
                <c:pt idx="89">
                  <c:v>7.696569879392543</c:v>
                </c:pt>
                <c:pt idx="90">
                  <c:v>10.946813705339499</c:v>
                </c:pt>
                <c:pt idx="91">
                  <c:v>11.328316520837957</c:v>
                </c:pt>
                <c:pt idx="92">
                  <c:v>12.096184987971002</c:v>
                </c:pt>
                <c:pt idx="93">
                  <c:v>8.5192887226626812</c:v>
                </c:pt>
                <c:pt idx="94">
                  <c:v>7.2632495262620527</c:v>
                </c:pt>
                <c:pt idx="95">
                  <c:v>13.796610989021032</c:v>
                </c:pt>
                <c:pt idx="96">
                  <c:v>18.477477956350643</c:v>
                </c:pt>
                <c:pt idx="97">
                  <c:v>17.76372050654502</c:v>
                </c:pt>
                <c:pt idx="98">
                  <c:v>19.449802608378892</c:v>
                </c:pt>
                <c:pt idx="99">
                  <c:v>19.259828261072517</c:v>
                </c:pt>
                <c:pt idx="100">
                  <c:v>19.738580462366389</c:v>
                </c:pt>
                <c:pt idx="101">
                  <c:v>27.302527770060408</c:v>
                </c:pt>
                <c:pt idx="102">
                  <c:v>8.248069680482276</c:v>
                </c:pt>
                <c:pt idx="103">
                  <c:v>8.4328115122476976</c:v>
                </c:pt>
                <c:pt idx="104">
                  <c:v>9.6600562393964911</c:v>
                </c:pt>
                <c:pt idx="105">
                  <c:v>10.282504910204173</c:v>
                </c:pt>
                <c:pt idx="106">
                  <c:v>20.239678908337108</c:v>
                </c:pt>
                <c:pt idx="107">
                  <c:v>25.076745606588123</c:v>
                </c:pt>
                <c:pt idx="108">
                  <c:v>22.658863133701555</c:v>
                </c:pt>
                <c:pt idx="109">
                  <c:v>24.4729960533552</c:v>
                </c:pt>
                <c:pt idx="110">
                  <c:v>25.829085733024133</c:v>
                </c:pt>
                <c:pt idx="111">
                  <c:v>22.908550693281139</c:v>
                </c:pt>
                <c:pt idx="112">
                  <c:v>21.731093032654325</c:v>
                </c:pt>
                <c:pt idx="113">
                  <c:v>24.993182235342815</c:v>
                </c:pt>
                <c:pt idx="114">
                  <c:v>12.962180138081797</c:v>
                </c:pt>
                <c:pt idx="115">
                  <c:v>10.589674737467915</c:v>
                </c:pt>
                <c:pt idx="116">
                  <c:v>27.67407317225447</c:v>
                </c:pt>
                <c:pt idx="117">
                  <c:v>25.778502843463428</c:v>
                </c:pt>
                <c:pt idx="118">
                  <c:v>23.371876655397273</c:v>
                </c:pt>
                <c:pt idx="119">
                  <c:v>21.582805034449517</c:v>
                </c:pt>
                <c:pt idx="120">
                  <c:v>16.339238445438834</c:v>
                </c:pt>
                <c:pt idx="121">
                  <c:v>22.668446298300882</c:v>
                </c:pt>
                <c:pt idx="122">
                  <c:v>21.85127944338608</c:v>
                </c:pt>
                <c:pt idx="123">
                  <c:v>14.510368438826655</c:v>
                </c:pt>
                <c:pt idx="124">
                  <c:v>20.700160815023679</c:v>
                </c:pt>
                <c:pt idx="125">
                  <c:v>21.636703887894434</c:v>
                </c:pt>
                <c:pt idx="126">
                  <c:v>19.434164205318652</c:v>
                </c:pt>
                <c:pt idx="127">
                  <c:v>29.047655197436306</c:v>
                </c:pt>
                <c:pt idx="128">
                  <c:v>24.23992185376779</c:v>
                </c:pt>
                <c:pt idx="129">
                  <c:v>29.657345357466696</c:v>
                </c:pt>
                <c:pt idx="130">
                  <c:v>23.860342838559873</c:v>
                </c:pt>
                <c:pt idx="131">
                  <c:v>17.180991426591703</c:v>
                </c:pt>
                <c:pt idx="132">
                  <c:v>17.773060239708684</c:v>
                </c:pt>
                <c:pt idx="133">
                  <c:v>17.950445282163606</c:v>
                </c:pt>
                <c:pt idx="134">
                  <c:v>14.708742687008018</c:v>
                </c:pt>
                <c:pt idx="135">
                  <c:v>11.72105160223747</c:v>
                </c:pt>
                <c:pt idx="136">
                  <c:v>12.946372529095722</c:v>
                </c:pt>
                <c:pt idx="137">
                  <c:v>12.192277808294996</c:v>
                </c:pt>
                <c:pt idx="138">
                  <c:v>13.959034452119068</c:v>
                </c:pt>
                <c:pt idx="139">
                  <c:v>27.303865157763386</c:v>
                </c:pt>
                <c:pt idx="140">
                  <c:v>28.859855330489932</c:v>
                </c:pt>
                <c:pt idx="141">
                  <c:v>26.974919238706637</c:v>
                </c:pt>
                <c:pt idx="142">
                  <c:v>30.81525787088956</c:v>
                </c:pt>
                <c:pt idx="143">
                  <c:v>28.876718379556358</c:v>
                </c:pt>
                <c:pt idx="144">
                  <c:v>25.971742948063557</c:v>
                </c:pt>
                <c:pt idx="145">
                  <c:v>27.995783980669668</c:v>
                </c:pt>
                <c:pt idx="146">
                  <c:v>27.297047253783557</c:v>
                </c:pt>
                <c:pt idx="147">
                  <c:v>25.831438356282142</c:v>
                </c:pt>
                <c:pt idx="148">
                  <c:v>26.392588426377749</c:v>
                </c:pt>
                <c:pt idx="149">
                  <c:v>28.672512874730611</c:v>
                </c:pt>
                <c:pt idx="150">
                  <c:v>19.261395253436948</c:v>
                </c:pt>
                <c:pt idx="151">
                  <c:v>18.11168555895377</c:v>
                </c:pt>
                <c:pt idx="152">
                  <c:v>18.78419717302878</c:v>
                </c:pt>
                <c:pt idx="153">
                  <c:v>20.17154400757077</c:v>
                </c:pt>
                <c:pt idx="154">
                  <c:v>10.934776157297449</c:v>
                </c:pt>
                <c:pt idx="155">
                  <c:v>12.495121548382592</c:v>
                </c:pt>
                <c:pt idx="156">
                  <c:v>12.120267430938121</c:v>
                </c:pt>
                <c:pt idx="157">
                  <c:v>11.347674066041641</c:v>
                </c:pt>
                <c:pt idx="158">
                  <c:v>15.762140691613761</c:v>
                </c:pt>
                <c:pt idx="159">
                  <c:v>15.893955947532634</c:v>
                </c:pt>
                <c:pt idx="160">
                  <c:v>16.658346493489425</c:v>
                </c:pt>
                <c:pt idx="161">
                  <c:v>16.623410943961126</c:v>
                </c:pt>
                <c:pt idx="162">
                  <c:v>20.157093437535096</c:v>
                </c:pt>
                <c:pt idx="163">
                  <c:v>19.23557108758385</c:v>
                </c:pt>
                <c:pt idx="164">
                  <c:v>19.190370980452638</c:v>
                </c:pt>
                <c:pt idx="165">
                  <c:v>27.180262912929354</c:v>
                </c:pt>
                <c:pt idx="166">
                  <c:v>22.62080094632741</c:v>
                </c:pt>
                <c:pt idx="167">
                  <c:v>20.952371458960101</c:v>
                </c:pt>
                <c:pt idx="168">
                  <c:v>22.939958658005601</c:v>
                </c:pt>
                <c:pt idx="169">
                  <c:v>24.150680436277998</c:v>
                </c:pt>
                <c:pt idx="170">
                  <c:v>26.859939698807597</c:v>
                </c:pt>
                <c:pt idx="171">
                  <c:v>24.929383613897784</c:v>
                </c:pt>
                <c:pt idx="172">
                  <c:v>20.646649081762551</c:v>
                </c:pt>
                <c:pt idx="173">
                  <c:v>28.324282680684522</c:v>
                </c:pt>
                <c:pt idx="174">
                  <c:v>19.610932822805836</c:v>
                </c:pt>
                <c:pt idx="175">
                  <c:v>24.085446503202622</c:v>
                </c:pt>
                <c:pt idx="176">
                  <c:v>22.867451098101704</c:v>
                </c:pt>
                <c:pt idx="177">
                  <c:v>22.765846493947691</c:v>
                </c:pt>
                <c:pt idx="178">
                  <c:v>23.87717398527948</c:v>
                </c:pt>
                <c:pt idx="179">
                  <c:v>29.441268831191156</c:v>
                </c:pt>
                <c:pt idx="180">
                  <c:v>26.17120817185755</c:v>
                </c:pt>
                <c:pt idx="181">
                  <c:v>27.487837877713741</c:v>
                </c:pt>
                <c:pt idx="182">
                  <c:v>23.588987372554563</c:v>
                </c:pt>
                <c:pt idx="183">
                  <c:v>25.405130135942606</c:v>
                </c:pt>
                <c:pt idx="184">
                  <c:v>27.546504586878765</c:v>
                </c:pt>
                <c:pt idx="185">
                  <c:v>14.490620941147773</c:v>
                </c:pt>
                <c:pt idx="186">
                  <c:v>14.454839361990283</c:v>
                </c:pt>
                <c:pt idx="187">
                  <c:v>16.096366912843138</c:v>
                </c:pt>
                <c:pt idx="188">
                  <c:v>14.295783757705278</c:v>
                </c:pt>
                <c:pt idx="189">
                  <c:v>20.11224826133407</c:v>
                </c:pt>
                <c:pt idx="190">
                  <c:v>19.423468947752355</c:v>
                </c:pt>
                <c:pt idx="191">
                  <c:v>21.539731893392151</c:v>
                </c:pt>
                <c:pt idx="192">
                  <c:v>21.023982403906754</c:v>
                </c:pt>
                <c:pt idx="193">
                  <c:v>26.957441914013906</c:v>
                </c:pt>
                <c:pt idx="194">
                  <c:v>26.174383518035512</c:v>
                </c:pt>
                <c:pt idx="195">
                  <c:v>29.09935525028073</c:v>
                </c:pt>
                <c:pt idx="196">
                  <c:v>30.216341400787364</c:v>
                </c:pt>
                <c:pt idx="197">
                  <c:v>17.995784842215272</c:v>
                </c:pt>
                <c:pt idx="198">
                  <c:v>18.742861185557167</c:v>
                </c:pt>
                <c:pt idx="199">
                  <c:v>17.863800380370556</c:v>
                </c:pt>
                <c:pt idx="200">
                  <c:v>20.395962805706446</c:v>
                </c:pt>
                <c:pt idx="201">
                  <c:v>29.65020949522027</c:v>
                </c:pt>
                <c:pt idx="202">
                  <c:v>28.952976682629398</c:v>
                </c:pt>
                <c:pt idx="203">
                  <c:v>28.03634843636743</c:v>
                </c:pt>
                <c:pt idx="204">
                  <c:v>23.949159178931204</c:v>
                </c:pt>
                <c:pt idx="205">
                  <c:v>22.437994864630799</c:v>
                </c:pt>
                <c:pt idx="206">
                  <c:v>15.720666765769471</c:v>
                </c:pt>
                <c:pt idx="207">
                  <c:v>22.057707758166373</c:v>
                </c:pt>
                <c:pt idx="208">
                  <c:v>23.576481230185095</c:v>
                </c:pt>
                <c:pt idx="209">
                  <c:v>18.753321647338844</c:v>
                </c:pt>
                <c:pt idx="210">
                  <c:v>13.005717576511863</c:v>
                </c:pt>
                <c:pt idx="211">
                  <c:v>15.219568319798745</c:v>
                </c:pt>
                <c:pt idx="212">
                  <c:v>16.399827077898465</c:v>
                </c:pt>
                <c:pt idx="213">
                  <c:v>16.657379044566071</c:v>
                </c:pt>
                <c:pt idx="214">
                  <c:v>30.140660247573571</c:v>
                </c:pt>
                <c:pt idx="215">
                  <c:v>27.328917395369253</c:v>
                </c:pt>
                <c:pt idx="216">
                  <c:v>31.294975840484813</c:v>
                </c:pt>
                <c:pt idx="217">
                  <c:v>26.334954589920663</c:v>
                </c:pt>
                <c:pt idx="218">
                  <c:v>30.614518345178162</c:v>
                </c:pt>
                <c:pt idx="219">
                  <c:v>17.539340232312689</c:v>
                </c:pt>
                <c:pt idx="220">
                  <c:v>17.196219619965625</c:v>
                </c:pt>
                <c:pt idx="221">
                  <c:v>16.222879732382339</c:v>
                </c:pt>
                <c:pt idx="222">
                  <c:v>15.681613221342358</c:v>
                </c:pt>
                <c:pt idx="223">
                  <c:v>19.930406812128666</c:v>
                </c:pt>
                <c:pt idx="224">
                  <c:v>20.492603385332458</c:v>
                </c:pt>
                <c:pt idx="225">
                  <c:v>19.535807074001234</c:v>
                </c:pt>
                <c:pt idx="226">
                  <c:v>20.099927447495574</c:v>
                </c:pt>
                <c:pt idx="227">
                  <c:v>15.249539844799058</c:v>
                </c:pt>
                <c:pt idx="228">
                  <c:v>15.690386193165891</c:v>
                </c:pt>
                <c:pt idx="229">
                  <c:v>14.555528015676385</c:v>
                </c:pt>
                <c:pt idx="230">
                  <c:v>15.17058862962041</c:v>
                </c:pt>
                <c:pt idx="231">
                  <c:v>30.387966595675568</c:v>
                </c:pt>
                <c:pt idx="232">
                  <c:v>24.236989814897633</c:v>
                </c:pt>
                <c:pt idx="233">
                  <c:v>28.913077108573098</c:v>
                </c:pt>
                <c:pt idx="234">
                  <c:v>24.144803738717336</c:v>
                </c:pt>
                <c:pt idx="235">
                  <c:v>28.131520938551596</c:v>
                </c:pt>
                <c:pt idx="236">
                  <c:v>27.685272868717973</c:v>
                </c:pt>
                <c:pt idx="237">
                  <c:v>30.460695256434121</c:v>
                </c:pt>
                <c:pt idx="238">
                  <c:v>29.122139191896384</c:v>
                </c:pt>
                <c:pt idx="239">
                  <c:v>25.771055317280982</c:v>
                </c:pt>
                <c:pt idx="240">
                  <c:v>26.526616427185193</c:v>
                </c:pt>
                <c:pt idx="241">
                  <c:v>26.040996115321043</c:v>
                </c:pt>
                <c:pt idx="242">
                  <c:v>30.497188279232841</c:v>
                </c:pt>
                <c:pt idx="243">
                  <c:v>29.203680013716564</c:v>
                </c:pt>
                <c:pt idx="244">
                  <c:v>30.554219393368534</c:v>
                </c:pt>
                <c:pt idx="245">
                  <c:v>29.831582300919862</c:v>
                </c:pt>
                <c:pt idx="246">
                  <c:v>31.3610402165368</c:v>
                </c:pt>
                <c:pt idx="247">
                  <c:v>20.56519746010305</c:v>
                </c:pt>
                <c:pt idx="248">
                  <c:v>18.204679943903614</c:v>
                </c:pt>
                <c:pt idx="249">
                  <c:v>19.056362462351419</c:v>
                </c:pt>
                <c:pt idx="250">
                  <c:v>19.785616985300909</c:v>
                </c:pt>
                <c:pt idx="251">
                  <c:v>21.872038958580685</c:v>
                </c:pt>
                <c:pt idx="252">
                  <c:v>22.996432104988273</c:v>
                </c:pt>
                <c:pt idx="253">
                  <c:v>24.188233664831259</c:v>
                </c:pt>
                <c:pt idx="254">
                  <c:v>20.398446654655874</c:v>
                </c:pt>
                <c:pt idx="255">
                  <c:v>21.674739089516965</c:v>
                </c:pt>
                <c:pt idx="256">
                  <c:v>20.570429975644004</c:v>
                </c:pt>
                <c:pt idx="257">
                  <c:v>22.464784595401014</c:v>
                </c:pt>
                <c:pt idx="258">
                  <c:v>19.274053508248279</c:v>
                </c:pt>
                <c:pt idx="259">
                  <c:v>20.174984207887384</c:v>
                </c:pt>
                <c:pt idx="260">
                  <c:v>19.693123764822097</c:v>
                </c:pt>
                <c:pt idx="261">
                  <c:v>19.267128933448944</c:v>
                </c:pt>
                <c:pt idx="262">
                  <c:v>20.904470471869033</c:v>
                </c:pt>
                <c:pt idx="263">
                  <c:v>16.457838126688337</c:v>
                </c:pt>
                <c:pt idx="264">
                  <c:v>27.373732236443036</c:v>
                </c:pt>
                <c:pt idx="265">
                  <c:v>26.944649790674134</c:v>
                </c:pt>
                <c:pt idx="266">
                  <c:v>28.228637426697397</c:v>
                </c:pt>
                <c:pt idx="267">
                  <c:v>26.880328991634492</c:v>
                </c:pt>
                <c:pt idx="268">
                  <c:v>27.172498723354387</c:v>
                </c:pt>
                <c:pt idx="269">
                  <c:v>23.785631581243138</c:v>
                </c:pt>
                <c:pt idx="270">
                  <c:v>23.553396162651115</c:v>
                </c:pt>
                <c:pt idx="271">
                  <c:v>27.696989917110137</c:v>
                </c:pt>
                <c:pt idx="272">
                  <c:v>25.325687897014422</c:v>
                </c:pt>
                <c:pt idx="273">
                  <c:v>23.398860413350324</c:v>
                </c:pt>
                <c:pt idx="274">
                  <c:v>25.308066550101014</c:v>
                </c:pt>
                <c:pt idx="275">
                  <c:v>21.901875361640474</c:v>
                </c:pt>
                <c:pt idx="276">
                  <c:v>30.098433796225809</c:v>
                </c:pt>
                <c:pt idx="277">
                  <c:v>29.534940039844358</c:v>
                </c:pt>
                <c:pt idx="278">
                  <c:v>23.49949938057404</c:v>
                </c:pt>
                <c:pt idx="279">
                  <c:v>25.27773629103504</c:v>
                </c:pt>
                <c:pt idx="280">
                  <c:v>25.735357956686098</c:v>
                </c:pt>
                <c:pt idx="281">
                  <c:v>23.80414398711023</c:v>
                </c:pt>
                <c:pt idx="282">
                  <c:v>22.998400934603321</c:v>
                </c:pt>
                <c:pt idx="283">
                  <c:v>20.243283680276456</c:v>
                </c:pt>
                <c:pt idx="284">
                  <c:v>20.841800717968425</c:v>
                </c:pt>
                <c:pt idx="285">
                  <c:v>19.531111618909698</c:v>
                </c:pt>
                <c:pt idx="286">
                  <c:v>20.212734616659919</c:v>
                </c:pt>
                <c:pt idx="287">
                  <c:v>17.204451881577224</c:v>
                </c:pt>
                <c:pt idx="288">
                  <c:v>18.96489823919898</c:v>
                </c:pt>
                <c:pt idx="289">
                  <c:v>21.5143435995966</c:v>
                </c:pt>
                <c:pt idx="290">
                  <c:v>19.412224079693964</c:v>
                </c:pt>
                <c:pt idx="291">
                  <c:v>32.835435847633079</c:v>
                </c:pt>
                <c:pt idx="292">
                  <c:v>32.801665800548349</c:v>
                </c:pt>
                <c:pt idx="293">
                  <c:v>30.80197628705325</c:v>
                </c:pt>
                <c:pt idx="294">
                  <c:v>26.979177527640108</c:v>
                </c:pt>
                <c:pt idx="295">
                  <c:v>24.611405323649461</c:v>
                </c:pt>
                <c:pt idx="296">
                  <c:v>20.02066726313716</c:v>
                </c:pt>
                <c:pt idx="297">
                  <c:v>26.430349184510405</c:v>
                </c:pt>
                <c:pt idx="298">
                  <c:v>23.019330996767135</c:v>
                </c:pt>
                <c:pt idx="299">
                  <c:v>29.52129736628039</c:v>
                </c:pt>
                <c:pt idx="300">
                  <c:v>29.774462847036226</c:v>
                </c:pt>
                <c:pt idx="301">
                  <c:v>32.573816867868096</c:v>
                </c:pt>
                <c:pt idx="302">
                  <c:v>31.829930240441236</c:v>
                </c:pt>
                <c:pt idx="303">
                  <c:v>26.816813208104694</c:v>
                </c:pt>
                <c:pt idx="304">
                  <c:v>26.790650630399924</c:v>
                </c:pt>
                <c:pt idx="305">
                  <c:v>26.259003120812665</c:v>
                </c:pt>
                <c:pt idx="306">
                  <c:v>27.394030504228002</c:v>
                </c:pt>
                <c:pt idx="307">
                  <c:v>35.706490359450044</c:v>
                </c:pt>
                <c:pt idx="308">
                  <c:v>36.979392604917109</c:v>
                </c:pt>
                <c:pt idx="309">
                  <c:v>33.987463612784964</c:v>
                </c:pt>
                <c:pt idx="310">
                  <c:v>36.639981654778452</c:v>
                </c:pt>
                <c:pt idx="311">
                  <c:v>30.837408208478998</c:v>
                </c:pt>
                <c:pt idx="312">
                  <c:v>29.89772562628367</c:v>
                </c:pt>
                <c:pt idx="313">
                  <c:v>29.19183258356605</c:v>
                </c:pt>
                <c:pt idx="314">
                  <c:v>27.277901549051926</c:v>
                </c:pt>
                <c:pt idx="315">
                  <c:v>35.451231872477827</c:v>
                </c:pt>
                <c:pt idx="316">
                  <c:v>32.730260602279131</c:v>
                </c:pt>
                <c:pt idx="317">
                  <c:v>33.829506406536979</c:v>
                </c:pt>
                <c:pt idx="318">
                  <c:v>34.100324501759388</c:v>
                </c:pt>
                <c:pt idx="319">
                  <c:v>35.23204316992431</c:v>
                </c:pt>
                <c:pt idx="320">
                  <c:v>36.179220479802822</c:v>
                </c:pt>
                <c:pt idx="321">
                  <c:v>29.976137956131645</c:v>
                </c:pt>
                <c:pt idx="322">
                  <c:v>36.179220479802822</c:v>
                </c:pt>
                <c:pt idx="323">
                  <c:v>36.459845721441084</c:v>
                </c:pt>
                <c:pt idx="324">
                  <c:v>35.1940183176619</c:v>
                </c:pt>
                <c:pt idx="325">
                  <c:v>31.771590697247824</c:v>
                </c:pt>
                <c:pt idx="326">
                  <c:v>30.2525978127128</c:v>
                </c:pt>
                <c:pt idx="327">
                  <c:v>37.463208115826092</c:v>
                </c:pt>
                <c:pt idx="328">
                  <c:v>35.969531779366662</c:v>
                </c:pt>
                <c:pt idx="329">
                  <c:v>37.447729981719526</c:v>
                </c:pt>
                <c:pt idx="330">
                  <c:v>31.040731846822165</c:v>
                </c:pt>
                <c:pt idx="331">
                  <c:v>34.041319380742692</c:v>
                </c:pt>
                <c:pt idx="332">
                  <c:v>33.709114953025988</c:v>
                </c:pt>
                <c:pt idx="333">
                  <c:v>35.154169725407016</c:v>
                </c:pt>
                <c:pt idx="334">
                  <c:v>29.250550208008114</c:v>
                </c:pt>
                <c:pt idx="335">
                  <c:v>28.516370313816182</c:v>
                </c:pt>
                <c:pt idx="336">
                  <c:v>28.462428502414603</c:v>
                </c:pt>
                <c:pt idx="337">
                  <c:v>27.638525217663606</c:v>
                </c:pt>
                <c:pt idx="338">
                  <c:v>29.78219771759537</c:v>
                </c:pt>
                <c:pt idx="339">
                  <c:v>35.454171617009976</c:v>
                </c:pt>
                <c:pt idx="340">
                  <c:v>32.689214260375735</c:v>
                </c:pt>
                <c:pt idx="341">
                  <c:v>35.396382205027308</c:v>
                </c:pt>
                <c:pt idx="342">
                  <c:v>33.738417748741917</c:v>
                </c:pt>
                <c:pt idx="343">
                  <c:v>34.226588478009504</c:v>
                </c:pt>
                <c:pt idx="344">
                  <c:v>33.895549552736369</c:v>
                </c:pt>
                <c:pt idx="345">
                  <c:v>34.127246085997712</c:v>
                </c:pt>
                <c:pt idx="346">
                  <c:v>30.983925423189582</c:v>
                </c:pt>
                <c:pt idx="347">
                  <c:v>31.812215193852346</c:v>
                </c:pt>
                <c:pt idx="348">
                  <c:v>30.116006472788236</c:v>
                </c:pt>
                <c:pt idx="349">
                  <c:v>32.869872181227677</c:v>
                </c:pt>
                <c:pt idx="350">
                  <c:v>32.874346398921652</c:v>
                </c:pt>
                <c:pt idx="351">
                  <c:v>32.165483052805314</c:v>
                </c:pt>
                <c:pt idx="352">
                  <c:v>30.417795205960847</c:v>
                </c:pt>
                <c:pt idx="353">
                  <c:v>30.738676244450581</c:v>
                </c:pt>
                <c:pt idx="354">
                  <c:v>27.506611589785013</c:v>
                </c:pt>
                <c:pt idx="355">
                  <c:v>27.925988990657356</c:v>
                </c:pt>
                <c:pt idx="356">
                  <c:v>28.714969054395912</c:v>
                </c:pt>
                <c:pt idx="357">
                  <c:v>28.498124038128246</c:v>
                </c:pt>
                <c:pt idx="358">
                  <c:v>24.144841583233053</c:v>
                </c:pt>
                <c:pt idx="359">
                  <c:v>22.656397762314569</c:v>
                </c:pt>
                <c:pt idx="360">
                  <c:v>26.299517999577404</c:v>
                </c:pt>
                <c:pt idx="361">
                  <c:v>24.297586901315743</c:v>
                </c:pt>
                <c:pt idx="362">
                  <c:v>30.28175978404812</c:v>
                </c:pt>
                <c:pt idx="363">
                  <c:v>30.104543947519034</c:v>
                </c:pt>
                <c:pt idx="364">
                  <c:v>31.345054803222631</c:v>
                </c:pt>
                <c:pt idx="365">
                  <c:v>30.482368368362238</c:v>
                </c:pt>
                <c:pt idx="366">
                  <c:v>30.751770281071622</c:v>
                </c:pt>
                <c:pt idx="367">
                  <c:v>29.591056670175853</c:v>
                </c:pt>
                <c:pt idx="368">
                  <c:v>28.900353556303592</c:v>
                </c:pt>
                <c:pt idx="369">
                  <c:v>35.611603109994782</c:v>
                </c:pt>
                <c:pt idx="370">
                  <c:v>35.603149610985632</c:v>
                </c:pt>
                <c:pt idx="371">
                  <c:v>35.881631639817051</c:v>
                </c:pt>
                <c:pt idx="372">
                  <c:v>33.118059198142682</c:v>
                </c:pt>
                <c:pt idx="373">
                  <c:v>33.004404174467894</c:v>
                </c:pt>
                <c:pt idx="374">
                  <c:v>34.594874173874054</c:v>
                </c:pt>
                <c:pt idx="375">
                  <c:v>34.578098856589833</c:v>
                </c:pt>
                <c:pt idx="376">
                  <c:v>34.456748631752866</c:v>
                </c:pt>
                <c:pt idx="377">
                  <c:v>35.923184619846182</c:v>
                </c:pt>
                <c:pt idx="378">
                  <c:v>35.923184619846182</c:v>
                </c:pt>
                <c:pt idx="379">
                  <c:v>35.771285331392683</c:v>
                </c:pt>
                <c:pt idx="380">
                  <c:v>28.203033011930515</c:v>
                </c:pt>
                <c:pt idx="381">
                  <c:v>28.254512137710869</c:v>
                </c:pt>
                <c:pt idx="382">
                  <c:v>30.318080248536283</c:v>
                </c:pt>
                <c:pt idx="383">
                  <c:v>28.727524205686279</c:v>
                </c:pt>
                <c:pt idx="384">
                  <c:v>31.908011362611767</c:v>
                </c:pt>
                <c:pt idx="385">
                  <c:v>31.536583271414713</c:v>
                </c:pt>
                <c:pt idx="386">
                  <c:v>28.502445102925755</c:v>
                </c:pt>
                <c:pt idx="387">
                  <c:v>29.377520369158603</c:v>
                </c:pt>
                <c:pt idx="388">
                  <c:v>35.209308170705178</c:v>
                </c:pt>
                <c:pt idx="389">
                  <c:v>31.916331492548473</c:v>
                </c:pt>
                <c:pt idx="390">
                  <c:v>30.326621479327649</c:v>
                </c:pt>
                <c:pt idx="391">
                  <c:v>29.796897770030938</c:v>
                </c:pt>
              </c:numCache>
            </c:numRef>
          </c:xVal>
          <c:yVal>
            <c:numRef>
              <c:f>Regression!RegChartFitY</c:f>
              <c:numCache>
                <c:formatCode>0.0000</c:formatCode>
                <c:ptCount val="392"/>
                <c:pt idx="0">
                  <c:v>16.838573626431661</c:v>
                </c:pt>
                <c:pt idx="1">
                  <c:v>15.313332990800655</c:v>
                </c:pt>
                <c:pt idx="2">
                  <c:v>16.858150041188779</c:v>
                </c:pt>
                <c:pt idx="3">
                  <c:v>16.873339970034131</c:v>
                </c:pt>
                <c:pt idx="4">
                  <c:v>16.954691335727667</c:v>
                </c:pt>
                <c:pt idx="5">
                  <c:v>11.49650610573814</c:v>
                </c:pt>
                <c:pt idx="6">
                  <c:v>11.073481577763721</c:v>
                </c:pt>
                <c:pt idx="7">
                  <c:v>11.367322741366332</c:v>
                </c:pt>
                <c:pt idx="8">
                  <c:v>10.632804435322724</c:v>
                </c:pt>
                <c:pt idx="9">
                  <c:v>14.112482582388791</c:v>
                </c:pt>
                <c:pt idx="10">
                  <c:v>15.890381080998123</c:v>
                </c:pt>
                <c:pt idx="11">
                  <c:v>15.819833158238167</c:v>
                </c:pt>
                <c:pt idx="12">
                  <c:v>15.212574416275837</c:v>
                </c:pt>
                <c:pt idx="13">
                  <c:v>17.412576009964045</c:v>
                </c:pt>
                <c:pt idx="14">
                  <c:v>25.198456840216746</c:v>
                </c:pt>
                <c:pt idx="15">
                  <c:v>20.804329496548942</c:v>
                </c:pt>
                <c:pt idx="16">
                  <c:v>21.070591899933742</c:v>
                </c:pt>
                <c:pt idx="17">
                  <c:v>22.212267981403066</c:v>
                </c:pt>
                <c:pt idx="18">
                  <c:v>26.537432790749786</c:v>
                </c:pt>
                <c:pt idx="19">
                  <c:v>28.591062427308099</c:v>
                </c:pt>
                <c:pt idx="20">
                  <c:v>23.687378569360192</c:v>
                </c:pt>
                <c:pt idx="21">
                  <c:v>24.863990200357819</c:v>
                </c:pt>
                <c:pt idx="22">
                  <c:v>25.061290069421542</c:v>
                </c:pt>
                <c:pt idx="23">
                  <c:v>25.482960949989256</c:v>
                </c:pt>
                <c:pt idx="24">
                  <c:v>21.822223935113239</c:v>
                </c:pt>
                <c:pt idx="25">
                  <c:v>9.8331399279859557</c:v>
                </c:pt>
                <c:pt idx="26">
                  <c:v>11.286817405301973</c:v>
                </c:pt>
                <c:pt idx="27">
                  <c:v>11.094073228075858</c:v>
                </c:pt>
                <c:pt idx="28">
                  <c:v>9.5979342059952</c:v>
                </c:pt>
                <c:pt idx="29">
                  <c:v>27.44784298533256</c:v>
                </c:pt>
                <c:pt idx="30">
                  <c:v>24.676945021900842</c:v>
                </c:pt>
                <c:pt idx="31">
                  <c:v>26.837983619376331</c:v>
                </c:pt>
                <c:pt idx="32">
                  <c:v>22.641156144772239</c:v>
                </c:pt>
                <c:pt idx="33">
                  <c:v>18.484009744835557</c:v>
                </c:pt>
                <c:pt idx="34">
                  <c:v>19.122155962266103</c:v>
                </c:pt>
                <c:pt idx="35">
                  <c:v>19.453702505316752</c:v>
                </c:pt>
                <c:pt idx="36">
                  <c:v>19.32975165648589</c:v>
                </c:pt>
                <c:pt idx="37">
                  <c:v>13.611075423983189</c:v>
                </c:pt>
                <c:pt idx="38">
                  <c:v>12.157567152593005</c:v>
                </c:pt>
                <c:pt idx="39">
                  <c:v>14.084394636257104</c:v>
                </c:pt>
                <c:pt idx="40">
                  <c:v>14.4267758897945</c:v>
                </c:pt>
                <c:pt idx="41">
                  <c:v>9.5902999718029793</c:v>
                </c:pt>
                <c:pt idx="42">
                  <c:v>10.81089600089779</c:v>
                </c:pt>
                <c:pt idx="43">
                  <c:v>8.7347698527740878</c:v>
                </c:pt>
                <c:pt idx="44">
                  <c:v>20.818026271478537</c:v>
                </c:pt>
                <c:pt idx="45">
                  <c:v>24.240084212487776</c:v>
                </c:pt>
                <c:pt idx="46">
                  <c:v>19.36013151417659</c:v>
                </c:pt>
                <c:pt idx="47">
                  <c:v>20.279021972580779</c:v>
                </c:pt>
                <c:pt idx="48">
                  <c:v>24.964676372780147</c:v>
                </c:pt>
                <c:pt idx="49">
                  <c:v>27.328836446781434</c:v>
                </c:pt>
                <c:pt idx="50">
                  <c:v>27.90166725699298</c:v>
                </c:pt>
                <c:pt idx="51">
                  <c:v>27.849818451807788</c:v>
                </c:pt>
                <c:pt idx="52">
                  <c:v>29.62888245286068</c:v>
                </c:pt>
                <c:pt idx="53">
                  <c:v>30.374066263465199</c:v>
                </c:pt>
                <c:pt idx="54">
                  <c:v>29.279225884156411</c:v>
                </c:pt>
                <c:pt idx="55">
                  <c:v>26.566236332042742</c:v>
                </c:pt>
                <c:pt idx="56">
                  <c:v>25.328456204078385</c:v>
                </c:pt>
                <c:pt idx="57">
                  <c:v>24.28168413378026</c:v>
                </c:pt>
                <c:pt idx="58">
                  <c:v>25.993692502986516</c:v>
                </c:pt>
                <c:pt idx="59">
                  <c:v>22.691466502781925</c:v>
                </c:pt>
                <c:pt idx="60">
                  <c:v>23.677934580547344</c:v>
                </c:pt>
                <c:pt idx="61">
                  <c:v>12.025598364458494</c:v>
                </c:pt>
                <c:pt idx="62">
                  <c:v>11.301206677645121</c:v>
                </c:pt>
                <c:pt idx="63">
                  <c:v>12.972944880262842</c:v>
                </c:pt>
                <c:pt idx="64">
                  <c:v>12.954615442092917</c:v>
                </c:pt>
                <c:pt idx="65">
                  <c:v>15.317257232061893</c:v>
                </c:pt>
                <c:pt idx="66">
                  <c:v>9.5097036386293095</c:v>
                </c:pt>
                <c:pt idx="67">
                  <c:v>11.033528091747291</c:v>
                </c:pt>
                <c:pt idx="68">
                  <c:v>11.185258174274955</c:v>
                </c:pt>
                <c:pt idx="69">
                  <c:v>10.870317742582683</c:v>
                </c:pt>
                <c:pt idx="70">
                  <c:v>25.03269124018523</c:v>
                </c:pt>
                <c:pt idx="71">
                  <c:v>14.203329116736208</c:v>
                </c:pt>
                <c:pt idx="72">
                  <c:v>13.485015975092979</c:v>
                </c:pt>
                <c:pt idx="73">
                  <c:v>12.330242970994684</c:v>
                </c:pt>
                <c:pt idx="74">
                  <c:v>13.266616837939614</c:v>
                </c:pt>
                <c:pt idx="75">
                  <c:v>21.613992221016861</c:v>
                </c:pt>
                <c:pt idx="76">
                  <c:v>24.335220428923613</c:v>
                </c:pt>
                <c:pt idx="77">
                  <c:v>21.786990777560018</c:v>
                </c:pt>
                <c:pt idx="78">
                  <c:v>26.079261148665992</c:v>
                </c:pt>
                <c:pt idx="79">
                  <c:v>22.822235255592613</c:v>
                </c:pt>
                <c:pt idx="80">
                  <c:v>25.326532403787837</c:v>
                </c:pt>
                <c:pt idx="81">
                  <c:v>24.141548747924681</c:v>
                </c:pt>
                <c:pt idx="82">
                  <c:v>24.089278368405822</c:v>
                </c:pt>
                <c:pt idx="83">
                  <c:v>26.343380339243957</c:v>
                </c:pt>
                <c:pt idx="84">
                  <c:v>12.383947606403462</c:v>
                </c:pt>
                <c:pt idx="85">
                  <c:v>14.95695492051196</c:v>
                </c:pt>
                <c:pt idx="86">
                  <c:v>13.438131241902768</c:v>
                </c:pt>
                <c:pt idx="87">
                  <c:v>13.294603978314798</c:v>
                </c:pt>
                <c:pt idx="88">
                  <c:v>14.425307410924701</c:v>
                </c:pt>
                <c:pt idx="89">
                  <c:v>7.696569879392543</c:v>
                </c:pt>
                <c:pt idx="90">
                  <c:v>10.946813705339499</c:v>
                </c:pt>
                <c:pt idx="91">
                  <c:v>11.328316520837957</c:v>
                </c:pt>
                <c:pt idx="92">
                  <c:v>12.096184987971002</c:v>
                </c:pt>
                <c:pt idx="93">
                  <c:v>8.5192887226626812</c:v>
                </c:pt>
                <c:pt idx="94">
                  <c:v>7.2632495262620527</c:v>
                </c:pt>
                <c:pt idx="95">
                  <c:v>13.796610989021032</c:v>
                </c:pt>
                <c:pt idx="96">
                  <c:v>18.477477956350643</c:v>
                </c:pt>
                <c:pt idx="97">
                  <c:v>17.76372050654502</c:v>
                </c:pt>
                <c:pt idx="98">
                  <c:v>19.449802608378892</c:v>
                </c:pt>
                <c:pt idx="99">
                  <c:v>19.259828261072517</c:v>
                </c:pt>
                <c:pt idx="100">
                  <c:v>19.738580462366389</c:v>
                </c:pt>
                <c:pt idx="101">
                  <c:v>27.302527770060408</c:v>
                </c:pt>
                <c:pt idx="102">
                  <c:v>8.248069680482276</c:v>
                </c:pt>
                <c:pt idx="103">
                  <c:v>8.4328115122476976</c:v>
                </c:pt>
                <c:pt idx="104">
                  <c:v>9.6600562393964911</c:v>
                </c:pt>
                <c:pt idx="105">
                  <c:v>10.282504910204173</c:v>
                </c:pt>
                <c:pt idx="106">
                  <c:v>20.239678908337108</c:v>
                </c:pt>
                <c:pt idx="107">
                  <c:v>25.076745606588123</c:v>
                </c:pt>
                <c:pt idx="108">
                  <c:v>22.658863133701555</c:v>
                </c:pt>
                <c:pt idx="109">
                  <c:v>24.4729960533552</c:v>
                </c:pt>
                <c:pt idx="110">
                  <c:v>25.829085733024133</c:v>
                </c:pt>
                <c:pt idx="111">
                  <c:v>22.908550693281139</c:v>
                </c:pt>
                <c:pt idx="112">
                  <c:v>21.731093032654325</c:v>
                </c:pt>
                <c:pt idx="113">
                  <c:v>24.993182235342815</c:v>
                </c:pt>
                <c:pt idx="114">
                  <c:v>12.962180138081797</c:v>
                </c:pt>
                <c:pt idx="115">
                  <c:v>10.589674737467915</c:v>
                </c:pt>
                <c:pt idx="116">
                  <c:v>27.67407317225447</c:v>
                </c:pt>
                <c:pt idx="117">
                  <c:v>25.778502843463428</c:v>
                </c:pt>
                <c:pt idx="118">
                  <c:v>23.371876655397273</c:v>
                </c:pt>
                <c:pt idx="119">
                  <c:v>21.582805034449517</c:v>
                </c:pt>
                <c:pt idx="120">
                  <c:v>16.339238445438834</c:v>
                </c:pt>
                <c:pt idx="121">
                  <c:v>22.668446298300882</c:v>
                </c:pt>
                <c:pt idx="122">
                  <c:v>21.85127944338608</c:v>
                </c:pt>
                <c:pt idx="123">
                  <c:v>14.510368438826655</c:v>
                </c:pt>
                <c:pt idx="124">
                  <c:v>20.700160815023679</c:v>
                </c:pt>
                <c:pt idx="125">
                  <c:v>21.636703887894434</c:v>
                </c:pt>
                <c:pt idx="126">
                  <c:v>19.434164205318652</c:v>
                </c:pt>
                <c:pt idx="127">
                  <c:v>29.047655197436306</c:v>
                </c:pt>
                <c:pt idx="128">
                  <c:v>24.23992185376779</c:v>
                </c:pt>
                <c:pt idx="129">
                  <c:v>29.657345357466696</c:v>
                </c:pt>
                <c:pt idx="130">
                  <c:v>23.860342838559873</c:v>
                </c:pt>
                <c:pt idx="131">
                  <c:v>17.180991426591703</c:v>
                </c:pt>
                <c:pt idx="132">
                  <c:v>17.773060239708684</c:v>
                </c:pt>
                <c:pt idx="133">
                  <c:v>17.950445282163606</c:v>
                </c:pt>
                <c:pt idx="134">
                  <c:v>14.708742687008018</c:v>
                </c:pt>
                <c:pt idx="135">
                  <c:v>11.72105160223747</c:v>
                </c:pt>
                <c:pt idx="136">
                  <c:v>12.946372529095722</c:v>
                </c:pt>
                <c:pt idx="137">
                  <c:v>12.192277808294996</c:v>
                </c:pt>
                <c:pt idx="138">
                  <c:v>13.959034452119068</c:v>
                </c:pt>
                <c:pt idx="139">
                  <c:v>27.303865157763386</c:v>
                </c:pt>
                <c:pt idx="140">
                  <c:v>28.859855330489932</c:v>
                </c:pt>
                <c:pt idx="141">
                  <c:v>26.974919238706637</c:v>
                </c:pt>
                <c:pt idx="142">
                  <c:v>30.81525787088956</c:v>
                </c:pt>
                <c:pt idx="143">
                  <c:v>28.876718379556358</c:v>
                </c:pt>
                <c:pt idx="144">
                  <c:v>25.971742948063557</c:v>
                </c:pt>
                <c:pt idx="145">
                  <c:v>27.995783980669668</c:v>
                </c:pt>
                <c:pt idx="146">
                  <c:v>27.297047253783557</c:v>
                </c:pt>
                <c:pt idx="147">
                  <c:v>25.831438356282142</c:v>
                </c:pt>
                <c:pt idx="148">
                  <c:v>26.392588426377749</c:v>
                </c:pt>
                <c:pt idx="149">
                  <c:v>28.672512874730611</c:v>
                </c:pt>
                <c:pt idx="150">
                  <c:v>19.261395253436948</c:v>
                </c:pt>
                <c:pt idx="151">
                  <c:v>18.11168555895377</c:v>
                </c:pt>
                <c:pt idx="152">
                  <c:v>18.78419717302878</c:v>
                </c:pt>
                <c:pt idx="153">
                  <c:v>20.17154400757077</c:v>
                </c:pt>
                <c:pt idx="154">
                  <c:v>10.934776157297449</c:v>
                </c:pt>
                <c:pt idx="155">
                  <c:v>12.495121548382592</c:v>
                </c:pt>
                <c:pt idx="156">
                  <c:v>12.120267430938121</c:v>
                </c:pt>
                <c:pt idx="157">
                  <c:v>11.347674066041641</c:v>
                </c:pt>
                <c:pt idx="158">
                  <c:v>15.762140691613761</c:v>
                </c:pt>
                <c:pt idx="159">
                  <c:v>15.893955947532634</c:v>
                </c:pt>
                <c:pt idx="160">
                  <c:v>16.658346493489425</c:v>
                </c:pt>
                <c:pt idx="161">
                  <c:v>16.623410943961126</c:v>
                </c:pt>
                <c:pt idx="162">
                  <c:v>20.157093437535096</c:v>
                </c:pt>
                <c:pt idx="163">
                  <c:v>19.23557108758385</c:v>
                </c:pt>
                <c:pt idx="164">
                  <c:v>19.190370980452638</c:v>
                </c:pt>
                <c:pt idx="165">
                  <c:v>27.180262912929354</c:v>
                </c:pt>
                <c:pt idx="166">
                  <c:v>22.62080094632741</c:v>
                </c:pt>
                <c:pt idx="167">
                  <c:v>20.952371458960101</c:v>
                </c:pt>
                <c:pt idx="168">
                  <c:v>22.939958658005601</c:v>
                </c:pt>
                <c:pt idx="169">
                  <c:v>24.150680436277998</c:v>
                </c:pt>
                <c:pt idx="170">
                  <c:v>26.859939698807597</c:v>
                </c:pt>
                <c:pt idx="171">
                  <c:v>24.929383613897784</c:v>
                </c:pt>
                <c:pt idx="172">
                  <c:v>20.646649081762551</c:v>
                </c:pt>
                <c:pt idx="173">
                  <c:v>28.324282680684522</c:v>
                </c:pt>
                <c:pt idx="174">
                  <c:v>19.610932822805836</c:v>
                </c:pt>
                <c:pt idx="175">
                  <c:v>24.085446503202622</c:v>
                </c:pt>
                <c:pt idx="176">
                  <c:v>22.867451098101704</c:v>
                </c:pt>
                <c:pt idx="177">
                  <c:v>22.765846493947691</c:v>
                </c:pt>
                <c:pt idx="178">
                  <c:v>23.87717398527948</c:v>
                </c:pt>
                <c:pt idx="179">
                  <c:v>29.441268831191156</c:v>
                </c:pt>
                <c:pt idx="180">
                  <c:v>26.17120817185755</c:v>
                </c:pt>
                <c:pt idx="181">
                  <c:v>27.487837877713741</c:v>
                </c:pt>
                <c:pt idx="182">
                  <c:v>23.588987372554563</c:v>
                </c:pt>
                <c:pt idx="183">
                  <c:v>25.405130135942606</c:v>
                </c:pt>
                <c:pt idx="184">
                  <c:v>27.546504586878765</c:v>
                </c:pt>
                <c:pt idx="185">
                  <c:v>14.490620941147773</c:v>
                </c:pt>
                <c:pt idx="186">
                  <c:v>14.454839361990283</c:v>
                </c:pt>
                <c:pt idx="187">
                  <c:v>16.096366912843138</c:v>
                </c:pt>
                <c:pt idx="188">
                  <c:v>14.295783757705278</c:v>
                </c:pt>
                <c:pt idx="189">
                  <c:v>20.11224826133407</c:v>
                </c:pt>
                <c:pt idx="190">
                  <c:v>19.423468947752355</c:v>
                </c:pt>
                <c:pt idx="191">
                  <c:v>21.539731893392151</c:v>
                </c:pt>
                <c:pt idx="192">
                  <c:v>21.023982403906754</c:v>
                </c:pt>
                <c:pt idx="193">
                  <c:v>26.957441914013906</c:v>
                </c:pt>
                <c:pt idx="194">
                  <c:v>26.174383518035512</c:v>
                </c:pt>
                <c:pt idx="195">
                  <c:v>29.09935525028073</c:v>
                </c:pt>
                <c:pt idx="196">
                  <c:v>30.216341400787364</c:v>
                </c:pt>
                <c:pt idx="197">
                  <c:v>17.995784842215272</c:v>
                </c:pt>
                <c:pt idx="198">
                  <c:v>18.742861185557167</c:v>
                </c:pt>
                <c:pt idx="199">
                  <c:v>17.863800380370556</c:v>
                </c:pt>
                <c:pt idx="200">
                  <c:v>20.395962805706446</c:v>
                </c:pt>
                <c:pt idx="201">
                  <c:v>29.65020949522027</c:v>
                </c:pt>
                <c:pt idx="202">
                  <c:v>28.952976682629398</c:v>
                </c:pt>
                <c:pt idx="203">
                  <c:v>28.03634843636743</c:v>
                </c:pt>
                <c:pt idx="204">
                  <c:v>23.949159178931204</c:v>
                </c:pt>
                <c:pt idx="205">
                  <c:v>22.437994864630799</c:v>
                </c:pt>
                <c:pt idx="206">
                  <c:v>15.720666765769471</c:v>
                </c:pt>
                <c:pt idx="207">
                  <c:v>22.057707758166373</c:v>
                </c:pt>
                <c:pt idx="208">
                  <c:v>23.576481230185095</c:v>
                </c:pt>
                <c:pt idx="209">
                  <c:v>18.753321647338844</c:v>
                </c:pt>
                <c:pt idx="210">
                  <c:v>13.005717576511863</c:v>
                </c:pt>
                <c:pt idx="211">
                  <c:v>15.219568319798745</c:v>
                </c:pt>
                <c:pt idx="212">
                  <c:v>16.399827077898465</c:v>
                </c:pt>
                <c:pt idx="213">
                  <c:v>16.657379044566071</c:v>
                </c:pt>
                <c:pt idx="214">
                  <c:v>30.140660247573571</c:v>
                </c:pt>
                <c:pt idx="215">
                  <c:v>27.328917395369253</c:v>
                </c:pt>
                <c:pt idx="216">
                  <c:v>31.294975840484813</c:v>
                </c:pt>
                <c:pt idx="217">
                  <c:v>26.334954589920663</c:v>
                </c:pt>
                <c:pt idx="218">
                  <c:v>30.614518345178162</c:v>
                </c:pt>
                <c:pt idx="219">
                  <c:v>17.539340232312689</c:v>
                </c:pt>
                <c:pt idx="220">
                  <c:v>17.196219619965625</c:v>
                </c:pt>
                <c:pt idx="221">
                  <c:v>16.222879732382339</c:v>
                </c:pt>
                <c:pt idx="222">
                  <c:v>15.681613221342358</c:v>
                </c:pt>
                <c:pt idx="223">
                  <c:v>19.930406812128666</c:v>
                </c:pt>
                <c:pt idx="224">
                  <c:v>20.492603385332458</c:v>
                </c:pt>
                <c:pt idx="225">
                  <c:v>19.535807074001234</c:v>
                </c:pt>
                <c:pt idx="226">
                  <c:v>20.099927447495574</c:v>
                </c:pt>
                <c:pt idx="227">
                  <c:v>15.249539844799058</c:v>
                </c:pt>
                <c:pt idx="228">
                  <c:v>15.690386193165891</c:v>
                </c:pt>
                <c:pt idx="229">
                  <c:v>14.555528015676385</c:v>
                </c:pt>
                <c:pt idx="230">
                  <c:v>15.17058862962041</c:v>
                </c:pt>
                <c:pt idx="231">
                  <c:v>30.387966595675568</c:v>
                </c:pt>
                <c:pt idx="232">
                  <c:v>24.236989814897633</c:v>
                </c:pt>
                <c:pt idx="233">
                  <c:v>28.913077108573098</c:v>
                </c:pt>
                <c:pt idx="234">
                  <c:v>24.144803738717336</c:v>
                </c:pt>
                <c:pt idx="235">
                  <c:v>28.131520938551596</c:v>
                </c:pt>
                <c:pt idx="236">
                  <c:v>27.685272868717973</c:v>
                </c:pt>
                <c:pt idx="237">
                  <c:v>30.460695256434121</c:v>
                </c:pt>
                <c:pt idx="238">
                  <c:v>29.122139191896384</c:v>
                </c:pt>
                <c:pt idx="239">
                  <c:v>25.771055317280982</c:v>
                </c:pt>
                <c:pt idx="240">
                  <c:v>26.526616427185193</c:v>
                </c:pt>
                <c:pt idx="241">
                  <c:v>26.040996115321043</c:v>
                </c:pt>
                <c:pt idx="242">
                  <c:v>30.497188279232841</c:v>
                </c:pt>
                <c:pt idx="243">
                  <c:v>29.203680013716564</c:v>
                </c:pt>
                <c:pt idx="244">
                  <c:v>30.554219393368534</c:v>
                </c:pt>
                <c:pt idx="245">
                  <c:v>29.831582300919862</c:v>
                </c:pt>
                <c:pt idx="246">
                  <c:v>31.3610402165368</c:v>
                </c:pt>
                <c:pt idx="247">
                  <c:v>20.56519746010305</c:v>
                </c:pt>
                <c:pt idx="248">
                  <c:v>18.204679943903614</c:v>
                </c:pt>
                <c:pt idx="249">
                  <c:v>19.056362462351419</c:v>
                </c:pt>
                <c:pt idx="250">
                  <c:v>19.785616985300909</c:v>
                </c:pt>
                <c:pt idx="251">
                  <c:v>21.872038958580685</c:v>
                </c:pt>
                <c:pt idx="252">
                  <c:v>22.996432104988273</c:v>
                </c:pt>
                <c:pt idx="253">
                  <c:v>24.188233664831259</c:v>
                </c:pt>
                <c:pt idx="254">
                  <c:v>20.398446654655874</c:v>
                </c:pt>
                <c:pt idx="255">
                  <c:v>21.674739089516965</c:v>
                </c:pt>
                <c:pt idx="256">
                  <c:v>20.570429975644004</c:v>
                </c:pt>
                <c:pt idx="257">
                  <c:v>22.464784595401014</c:v>
                </c:pt>
                <c:pt idx="258">
                  <c:v>19.274053508248279</c:v>
                </c:pt>
                <c:pt idx="259">
                  <c:v>20.174984207887384</c:v>
                </c:pt>
                <c:pt idx="260">
                  <c:v>19.693123764822097</c:v>
                </c:pt>
                <c:pt idx="261">
                  <c:v>19.267128933448944</c:v>
                </c:pt>
                <c:pt idx="262">
                  <c:v>20.904470471869033</c:v>
                </c:pt>
                <c:pt idx="263">
                  <c:v>16.457838126688337</c:v>
                </c:pt>
                <c:pt idx="264">
                  <c:v>27.373732236443036</c:v>
                </c:pt>
                <c:pt idx="265">
                  <c:v>26.944649790674134</c:v>
                </c:pt>
                <c:pt idx="266">
                  <c:v>28.228637426697397</c:v>
                </c:pt>
                <c:pt idx="267">
                  <c:v>26.880328991634492</c:v>
                </c:pt>
                <c:pt idx="268">
                  <c:v>27.172498723354387</c:v>
                </c:pt>
                <c:pt idx="269">
                  <c:v>23.785631581243138</c:v>
                </c:pt>
                <c:pt idx="270">
                  <c:v>23.553396162651115</c:v>
                </c:pt>
                <c:pt idx="271">
                  <c:v>27.696989917110137</c:v>
                </c:pt>
                <c:pt idx="272">
                  <c:v>25.325687897014422</c:v>
                </c:pt>
                <c:pt idx="273">
                  <c:v>23.398860413350324</c:v>
                </c:pt>
                <c:pt idx="274">
                  <c:v>25.308066550101014</c:v>
                </c:pt>
                <c:pt idx="275">
                  <c:v>21.901875361640474</c:v>
                </c:pt>
                <c:pt idx="276">
                  <c:v>30.098433796225809</c:v>
                </c:pt>
                <c:pt idx="277">
                  <c:v>29.534940039844358</c:v>
                </c:pt>
                <c:pt idx="278">
                  <c:v>23.49949938057404</c:v>
                </c:pt>
                <c:pt idx="279">
                  <c:v>25.27773629103504</c:v>
                </c:pt>
                <c:pt idx="280">
                  <c:v>25.735357956686098</c:v>
                </c:pt>
                <c:pt idx="281">
                  <c:v>23.80414398711023</c:v>
                </c:pt>
                <c:pt idx="282">
                  <c:v>22.998400934603321</c:v>
                </c:pt>
                <c:pt idx="283">
                  <c:v>20.243283680276456</c:v>
                </c:pt>
                <c:pt idx="284">
                  <c:v>20.841800717968425</c:v>
                </c:pt>
                <c:pt idx="285">
                  <c:v>19.531111618909698</c:v>
                </c:pt>
                <c:pt idx="286">
                  <c:v>20.212734616659919</c:v>
                </c:pt>
                <c:pt idx="287">
                  <c:v>17.204451881577224</c:v>
                </c:pt>
                <c:pt idx="288">
                  <c:v>18.96489823919898</c:v>
                </c:pt>
                <c:pt idx="289">
                  <c:v>21.5143435995966</c:v>
                </c:pt>
                <c:pt idx="290">
                  <c:v>19.412224079693964</c:v>
                </c:pt>
                <c:pt idx="291">
                  <c:v>32.835435847633079</c:v>
                </c:pt>
                <c:pt idx="292">
                  <c:v>32.801665800548349</c:v>
                </c:pt>
                <c:pt idx="293">
                  <c:v>30.80197628705325</c:v>
                </c:pt>
                <c:pt idx="294">
                  <c:v>26.979177527640108</c:v>
                </c:pt>
                <c:pt idx="295">
                  <c:v>24.611405323649461</c:v>
                </c:pt>
                <c:pt idx="296">
                  <c:v>20.02066726313716</c:v>
                </c:pt>
                <c:pt idx="297">
                  <c:v>26.430349184510405</c:v>
                </c:pt>
                <c:pt idx="298">
                  <c:v>23.019330996767135</c:v>
                </c:pt>
                <c:pt idx="299">
                  <c:v>29.52129736628039</c:v>
                </c:pt>
                <c:pt idx="300">
                  <c:v>29.774462847036226</c:v>
                </c:pt>
                <c:pt idx="301">
                  <c:v>32.573816867868096</c:v>
                </c:pt>
                <c:pt idx="302">
                  <c:v>31.829930240441236</c:v>
                </c:pt>
                <c:pt idx="303">
                  <c:v>26.816813208104694</c:v>
                </c:pt>
                <c:pt idx="304">
                  <c:v>26.790650630399924</c:v>
                </c:pt>
                <c:pt idx="305">
                  <c:v>26.259003120812665</c:v>
                </c:pt>
                <c:pt idx="306">
                  <c:v>27.394030504228002</c:v>
                </c:pt>
                <c:pt idx="307">
                  <c:v>35.706490359450044</c:v>
                </c:pt>
                <c:pt idx="308">
                  <c:v>36.979392604917109</c:v>
                </c:pt>
                <c:pt idx="309">
                  <c:v>33.987463612784964</c:v>
                </c:pt>
                <c:pt idx="310">
                  <c:v>36.639981654778452</c:v>
                </c:pt>
                <c:pt idx="311">
                  <c:v>30.837408208478998</c:v>
                </c:pt>
                <c:pt idx="312">
                  <c:v>29.89772562628367</c:v>
                </c:pt>
                <c:pt idx="313">
                  <c:v>29.19183258356605</c:v>
                </c:pt>
                <c:pt idx="314">
                  <c:v>27.277901549051926</c:v>
                </c:pt>
                <c:pt idx="315">
                  <c:v>35.451231872477827</c:v>
                </c:pt>
                <c:pt idx="316">
                  <c:v>32.730260602279131</c:v>
                </c:pt>
                <c:pt idx="317">
                  <c:v>33.829506406536979</c:v>
                </c:pt>
                <c:pt idx="318">
                  <c:v>34.100324501759388</c:v>
                </c:pt>
                <c:pt idx="319">
                  <c:v>35.23204316992431</c:v>
                </c:pt>
                <c:pt idx="320">
                  <c:v>36.179220479802822</c:v>
                </c:pt>
                <c:pt idx="321">
                  <c:v>29.976137956131645</c:v>
                </c:pt>
                <c:pt idx="322">
                  <c:v>36.179220479802822</c:v>
                </c:pt>
                <c:pt idx="323">
                  <c:v>36.459845721441084</c:v>
                </c:pt>
                <c:pt idx="324">
                  <c:v>35.1940183176619</c:v>
                </c:pt>
                <c:pt idx="325">
                  <c:v>31.771590697247824</c:v>
                </c:pt>
                <c:pt idx="326">
                  <c:v>30.2525978127128</c:v>
                </c:pt>
                <c:pt idx="327">
                  <c:v>37.463208115826092</c:v>
                </c:pt>
                <c:pt idx="328">
                  <c:v>35.969531779366662</c:v>
                </c:pt>
                <c:pt idx="329">
                  <c:v>37.447729981719526</c:v>
                </c:pt>
                <c:pt idx="330">
                  <c:v>31.040731846822165</c:v>
                </c:pt>
                <c:pt idx="331">
                  <c:v>34.041319380742692</c:v>
                </c:pt>
                <c:pt idx="332">
                  <c:v>33.709114953025988</c:v>
                </c:pt>
                <c:pt idx="333">
                  <c:v>35.154169725407016</c:v>
                </c:pt>
                <c:pt idx="334">
                  <c:v>29.250550208008114</c:v>
                </c:pt>
                <c:pt idx="335">
                  <c:v>28.516370313816182</c:v>
                </c:pt>
                <c:pt idx="336">
                  <c:v>28.462428502414603</c:v>
                </c:pt>
                <c:pt idx="337">
                  <c:v>27.638525217663606</c:v>
                </c:pt>
                <c:pt idx="338">
                  <c:v>29.78219771759537</c:v>
                </c:pt>
                <c:pt idx="339">
                  <c:v>35.454171617009976</c:v>
                </c:pt>
                <c:pt idx="340">
                  <c:v>32.689214260375735</c:v>
                </c:pt>
                <c:pt idx="341">
                  <c:v>35.396382205027308</c:v>
                </c:pt>
                <c:pt idx="342">
                  <c:v>33.738417748741917</c:v>
                </c:pt>
                <c:pt idx="343">
                  <c:v>34.226588478009504</c:v>
                </c:pt>
                <c:pt idx="344">
                  <c:v>33.895549552736369</c:v>
                </c:pt>
                <c:pt idx="345">
                  <c:v>34.127246085997712</c:v>
                </c:pt>
                <c:pt idx="346">
                  <c:v>30.983925423189582</c:v>
                </c:pt>
                <c:pt idx="347">
                  <c:v>31.812215193852346</c:v>
                </c:pt>
                <c:pt idx="348">
                  <c:v>30.116006472788236</c:v>
                </c:pt>
                <c:pt idx="349">
                  <c:v>32.869872181227677</c:v>
                </c:pt>
                <c:pt idx="350">
                  <c:v>32.874346398921652</c:v>
                </c:pt>
                <c:pt idx="351">
                  <c:v>32.165483052805314</c:v>
                </c:pt>
                <c:pt idx="352">
                  <c:v>30.417795205960847</c:v>
                </c:pt>
                <c:pt idx="353">
                  <c:v>30.738676244450581</c:v>
                </c:pt>
                <c:pt idx="354">
                  <c:v>27.506611589785013</c:v>
                </c:pt>
                <c:pt idx="355">
                  <c:v>27.925988990657356</c:v>
                </c:pt>
                <c:pt idx="356">
                  <c:v>28.714969054395912</c:v>
                </c:pt>
                <c:pt idx="357">
                  <c:v>28.498124038128246</c:v>
                </c:pt>
                <c:pt idx="358">
                  <c:v>24.144841583233053</c:v>
                </c:pt>
                <c:pt idx="359">
                  <c:v>22.656397762314569</c:v>
                </c:pt>
                <c:pt idx="360">
                  <c:v>26.299517999577404</c:v>
                </c:pt>
                <c:pt idx="361">
                  <c:v>24.297586901315743</c:v>
                </c:pt>
                <c:pt idx="362">
                  <c:v>30.28175978404812</c:v>
                </c:pt>
                <c:pt idx="363">
                  <c:v>30.104543947519034</c:v>
                </c:pt>
                <c:pt idx="364">
                  <c:v>31.345054803222631</c:v>
                </c:pt>
                <c:pt idx="365">
                  <c:v>30.482368368362238</c:v>
                </c:pt>
                <c:pt idx="366">
                  <c:v>30.751770281071622</c:v>
                </c:pt>
                <c:pt idx="367">
                  <c:v>29.591056670175853</c:v>
                </c:pt>
                <c:pt idx="368">
                  <c:v>28.900353556303592</c:v>
                </c:pt>
                <c:pt idx="369">
                  <c:v>35.611603109994782</c:v>
                </c:pt>
                <c:pt idx="370">
                  <c:v>35.603149610985632</c:v>
                </c:pt>
                <c:pt idx="371">
                  <c:v>35.881631639817051</c:v>
                </c:pt>
                <c:pt idx="372">
                  <c:v>33.118059198142682</c:v>
                </c:pt>
                <c:pt idx="373">
                  <c:v>33.004404174467894</c:v>
                </c:pt>
                <c:pt idx="374">
                  <c:v>34.594874173874054</c:v>
                </c:pt>
                <c:pt idx="375">
                  <c:v>34.578098856589833</c:v>
                </c:pt>
                <c:pt idx="376">
                  <c:v>34.456748631752866</c:v>
                </c:pt>
                <c:pt idx="377">
                  <c:v>35.923184619846182</c:v>
                </c:pt>
                <c:pt idx="378">
                  <c:v>35.923184619846182</c:v>
                </c:pt>
                <c:pt idx="379">
                  <c:v>35.771285331392683</c:v>
                </c:pt>
                <c:pt idx="380">
                  <c:v>28.203033011930515</c:v>
                </c:pt>
                <c:pt idx="381">
                  <c:v>28.254512137710869</c:v>
                </c:pt>
                <c:pt idx="382">
                  <c:v>30.318080248536283</c:v>
                </c:pt>
                <c:pt idx="383">
                  <c:v>28.727524205686279</c:v>
                </c:pt>
                <c:pt idx="384">
                  <c:v>31.908011362611767</c:v>
                </c:pt>
                <c:pt idx="385">
                  <c:v>31.536583271414713</c:v>
                </c:pt>
                <c:pt idx="386">
                  <c:v>28.502445102925755</c:v>
                </c:pt>
                <c:pt idx="387">
                  <c:v>29.377520369158603</c:v>
                </c:pt>
                <c:pt idx="388">
                  <c:v>35.209308170705178</c:v>
                </c:pt>
                <c:pt idx="389">
                  <c:v>31.916331492548473</c:v>
                </c:pt>
                <c:pt idx="390">
                  <c:v>30.326621479327649</c:v>
                </c:pt>
                <c:pt idx="391">
                  <c:v>29.796897770030938</c:v>
                </c:pt>
              </c:numCache>
            </c:numRef>
          </c:yVal>
          <c:smooth val="0"/>
          <c:extLst>
            <c:ext xmlns:c16="http://schemas.microsoft.com/office/drawing/2014/chart" uri="{C3380CC4-5D6E-409C-BE32-E72D297353CC}">
              <c16:uniqueId val="{00000002-FF79-4E47-B0CF-7F39B1BDCCAF}"/>
            </c:ext>
          </c:extLst>
        </c:ser>
        <c:dLbls>
          <c:showLegendKey val="0"/>
          <c:showVal val="0"/>
          <c:showCatName val="0"/>
          <c:showSerName val="0"/>
          <c:showPercent val="0"/>
          <c:showBubbleSize val="0"/>
        </c:dLbls>
        <c:axId val="144397376"/>
        <c:axId val="22823856"/>
      </c:scatterChart>
      <c:valAx>
        <c:axId val="144397376"/>
        <c:scaling>
          <c:orientation val="minMax"/>
        </c:scaling>
        <c:delete val="0"/>
        <c:axPos val="b"/>
        <c:majorGridlines/>
        <c:title>
          <c:tx>
            <c:rich>
              <a:bodyPr/>
              <a:lstStyle/>
              <a:p>
                <a:pPr>
                  <a:defRPr/>
                </a:pPr>
                <a:r>
                  <a:rPr lang="en-US"/>
                  <a:t>Predicted Y</a:t>
                </a:r>
              </a:p>
            </c:rich>
          </c:tx>
          <c:overlay val="0"/>
        </c:title>
        <c:numFmt formatCode="0" sourceLinked="0"/>
        <c:majorTickMark val="out"/>
        <c:minorTickMark val="none"/>
        <c:tickLblPos val="nextTo"/>
        <c:crossAx val="22823856"/>
        <c:crosses val="autoZero"/>
        <c:crossBetween val="midCat"/>
      </c:valAx>
      <c:valAx>
        <c:axId val="22823856"/>
        <c:scaling>
          <c:orientation val="minMax"/>
        </c:scaling>
        <c:delete val="0"/>
        <c:axPos val="l"/>
        <c:majorGridlines/>
        <c:title>
          <c:tx>
            <c:rich>
              <a:bodyPr/>
              <a:lstStyle/>
              <a:p>
                <a:pPr>
                  <a:defRPr/>
                </a:pPr>
                <a:r>
                  <a:rPr lang="en-US"/>
                  <a:t>Actual Y</a:t>
                </a:r>
              </a:p>
            </c:rich>
          </c:tx>
          <c:overlay val="0"/>
        </c:title>
        <c:numFmt formatCode="0" sourceLinked="0"/>
        <c:majorTickMark val="out"/>
        <c:minorTickMark val="none"/>
        <c:tickLblPos val="nextTo"/>
        <c:crossAx val="144397376"/>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Scale-Location</a:t>
            </a:r>
          </a:p>
        </c:rich>
      </c:tx>
      <c:overlay val="0"/>
      <c:spPr>
        <a:solidFill>
          <a:srgbClr val="CAEDFB"/>
        </a:solidFill>
      </c:spPr>
    </c:title>
    <c:autoTitleDeleted val="0"/>
    <c:plotArea>
      <c:layout/>
      <c:scatterChart>
        <c:scatterStyle val="lineMarker"/>
        <c:varyColors val="0"/>
        <c:ser>
          <c:idx val="0"/>
          <c:order val="0"/>
          <c:tx>
            <c:v>Scale-Location</c:v>
          </c:tx>
          <c:spPr>
            <a:ln w="38100">
              <a:noFill/>
            </a:ln>
          </c:spPr>
          <c:marker>
            <c:symbol val="diamond"/>
            <c:size val="4"/>
          </c:marker>
          <c:xVal>
            <c:numRef>
              <c:f>Regression!RegChartFitY</c:f>
              <c:numCache>
                <c:formatCode>0.0000</c:formatCode>
                <c:ptCount val="392"/>
                <c:pt idx="0">
                  <c:v>16.838573626431661</c:v>
                </c:pt>
                <c:pt idx="1">
                  <c:v>15.313332990800655</c:v>
                </c:pt>
                <c:pt idx="2">
                  <c:v>16.858150041188779</c:v>
                </c:pt>
                <c:pt idx="3">
                  <c:v>16.873339970034131</c:v>
                </c:pt>
                <c:pt idx="4">
                  <c:v>16.954691335727667</c:v>
                </c:pt>
                <c:pt idx="5">
                  <c:v>11.49650610573814</c:v>
                </c:pt>
                <c:pt idx="6">
                  <c:v>11.073481577763721</c:v>
                </c:pt>
                <c:pt idx="7">
                  <c:v>11.367322741366332</c:v>
                </c:pt>
                <c:pt idx="8">
                  <c:v>10.632804435322724</c:v>
                </c:pt>
                <c:pt idx="9">
                  <c:v>14.112482582388791</c:v>
                </c:pt>
                <c:pt idx="10">
                  <c:v>15.890381080998123</c:v>
                </c:pt>
                <c:pt idx="11">
                  <c:v>15.819833158238167</c:v>
                </c:pt>
                <c:pt idx="12">
                  <c:v>15.212574416275837</c:v>
                </c:pt>
                <c:pt idx="13">
                  <c:v>17.412576009964045</c:v>
                </c:pt>
                <c:pt idx="14">
                  <c:v>25.198456840216746</c:v>
                </c:pt>
                <c:pt idx="15">
                  <c:v>20.804329496548942</c:v>
                </c:pt>
                <c:pt idx="16">
                  <c:v>21.070591899933742</c:v>
                </c:pt>
                <c:pt idx="17">
                  <c:v>22.212267981403066</c:v>
                </c:pt>
                <c:pt idx="18">
                  <c:v>26.537432790749786</c:v>
                </c:pt>
                <c:pt idx="19">
                  <c:v>28.591062427308099</c:v>
                </c:pt>
                <c:pt idx="20">
                  <c:v>23.687378569360192</c:v>
                </c:pt>
                <c:pt idx="21">
                  <c:v>24.863990200357819</c:v>
                </c:pt>
                <c:pt idx="22">
                  <c:v>25.061290069421542</c:v>
                </c:pt>
                <c:pt idx="23">
                  <c:v>25.482960949989256</c:v>
                </c:pt>
                <c:pt idx="24">
                  <c:v>21.822223935113239</c:v>
                </c:pt>
                <c:pt idx="25">
                  <c:v>9.8331399279859557</c:v>
                </c:pt>
                <c:pt idx="26">
                  <c:v>11.286817405301973</c:v>
                </c:pt>
                <c:pt idx="27">
                  <c:v>11.094073228075858</c:v>
                </c:pt>
                <c:pt idx="28">
                  <c:v>9.5979342059952</c:v>
                </c:pt>
                <c:pt idx="29">
                  <c:v>27.44784298533256</c:v>
                </c:pt>
                <c:pt idx="30">
                  <c:v>24.676945021900842</c:v>
                </c:pt>
                <c:pt idx="31">
                  <c:v>26.837983619376331</c:v>
                </c:pt>
                <c:pt idx="32">
                  <c:v>22.641156144772239</c:v>
                </c:pt>
                <c:pt idx="33">
                  <c:v>18.484009744835557</c:v>
                </c:pt>
                <c:pt idx="34">
                  <c:v>19.122155962266103</c:v>
                </c:pt>
                <c:pt idx="35">
                  <c:v>19.453702505316752</c:v>
                </c:pt>
                <c:pt idx="36">
                  <c:v>19.32975165648589</c:v>
                </c:pt>
                <c:pt idx="37">
                  <c:v>13.611075423983189</c:v>
                </c:pt>
                <c:pt idx="38">
                  <c:v>12.157567152593005</c:v>
                </c:pt>
                <c:pt idx="39">
                  <c:v>14.084394636257104</c:v>
                </c:pt>
                <c:pt idx="40">
                  <c:v>14.4267758897945</c:v>
                </c:pt>
                <c:pt idx="41">
                  <c:v>9.5902999718029793</c:v>
                </c:pt>
                <c:pt idx="42">
                  <c:v>10.81089600089779</c:v>
                </c:pt>
                <c:pt idx="43">
                  <c:v>8.7347698527740878</c:v>
                </c:pt>
                <c:pt idx="44">
                  <c:v>20.818026271478537</c:v>
                </c:pt>
                <c:pt idx="45">
                  <c:v>24.240084212487776</c:v>
                </c:pt>
                <c:pt idx="46">
                  <c:v>19.36013151417659</c:v>
                </c:pt>
                <c:pt idx="47">
                  <c:v>20.279021972580779</c:v>
                </c:pt>
                <c:pt idx="48">
                  <c:v>24.964676372780147</c:v>
                </c:pt>
                <c:pt idx="49">
                  <c:v>27.328836446781434</c:v>
                </c:pt>
                <c:pt idx="50">
                  <c:v>27.90166725699298</c:v>
                </c:pt>
                <c:pt idx="51">
                  <c:v>27.849818451807788</c:v>
                </c:pt>
                <c:pt idx="52">
                  <c:v>29.62888245286068</c:v>
                </c:pt>
                <c:pt idx="53">
                  <c:v>30.374066263465199</c:v>
                </c:pt>
                <c:pt idx="54">
                  <c:v>29.279225884156411</c:v>
                </c:pt>
                <c:pt idx="55">
                  <c:v>26.566236332042742</c:v>
                </c:pt>
                <c:pt idx="56">
                  <c:v>25.328456204078385</c:v>
                </c:pt>
                <c:pt idx="57">
                  <c:v>24.28168413378026</c:v>
                </c:pt>
                <c:pt idx="58">
                  <c:v>25.993692502986516</c:v>
                </c:pt>
                <c:pt idx="59">
                  <c:v>22.691466502781925</c:v>
                </c:pt>
                <c:pt idx="60">
                  <c:v>23.677934580547344</c:v>
                </c:pt>
                <c:pt idx="61">
                  <c:v>12.025598364458494</c:v>
                </c:pt>
                <c:pt idx="62">
                  <c:v>11.301206677645121</c:v>
                </c:pt>
                <c:pt idx="63">
                  <c:v>12.972944880262842</c:v>
                </c:pt>
                <c:pt idx="64">
                  <c:v>12.954615442092917</c:v>
                </c:pt>
                <c:pt idx="65">
                  <c:v>15.317257232061893</c:v>
                </c:pt>
                <c:pt idx="66">
                  <c:v>9.5097036386293095</c:v>
                </c:pt>
                <c:pt idx="67">
                  <c:v>11.033528091747291</c:v>
                </c:pt>
                <c:pt idx="68">
                  <c:v>11.185258174274955</c:v>
                </c:pt>
                <c:pt idx="69">
                  <c:v>10.870317742582683</c:v>
                </c:pt>
                <c:pt idx="70">
                  <c:v>25.03269124018523</c:v>
                </c:pt>
                <c:pt idx="71">
                  <c:v>14.203329116736208</c:v>
                </c:pt>
                <c:pt idx="72">
                  <c:v>13.485015975092979</c:v>
                </c:pt>
                <c:pt idx="73">
                  <c:v>12.330242970994684</c:v>
                </c:pt>
                <c:pt idx="74">
                  <c:v>13.266616837939614</c:v>
                </c:pt>
                <c:pt idx="75">
                  <c:v>21.613992221016861</c:v>
                </c:pt>
                <c:pt idx="76">
                  <c:v>24.335220428923613</c:v>
                </c:pt>
                <c:pt idx="77">
                  <c:v>21.786990777560018</c:v>
                </c:pt>
                <c:pt idx="78">
                  <c:v>26.079261148665992</c:v>
                </c:pt>
                <c:pt idx="79">
                  <c:v>22.822235255592613</c:v>
                </c:pt>
                <c:pt idx="80">
                  <c:v>25.326532403787837</c:v>
                </c:pt>
                <c:pt idx="81">
                  <c:v>24.141548747924681</c:v>
                </c:pt>
                <c:pt idx="82">
                  <c:v>24.089278368405822</c:v>
                </c:pt>
                <c:pt idx="83">
                  <c:v>26.343380339243957</c:v>
                </c:pt>
                <c:pt idx="84">
                  <c:v>12.383947606403462</c:v>
                </c:pt>
                <c:pt idx="85">
                  <c:v>14.95695492051196</c:v>
                </c:pt>
                <c:pt idx="86">
                  <c:v>13.438131241902768</c:v>
                </c:pt>
                <c:pt idx="87">
                  <c:v>13.294603978314798</c:v>
                </c:pt>
                <c:pt idx="88">
                  <c:v>14.425307410924701</c:v>
                </c:pt>
                <c:pt idx="89">
                  <c:v>7.696569879392543</c:v>
                </c:pt>
                <c:pt idx="90">
                  <c:v>10.946813705339499</c:v>
                </c:pt>
                <c:pt idx="91">
                  <c:v>11.328316520837957</c:v>
                </c:pt>
                <c:pt idx="92">
                  <c:v>12.096184987971002</c:v>
                </c:pt>
                <c:pt idx="93">
                  <c:v>8.5192887226626812</c:v>
                </c:pt>
                <c:pt idx="94">
                  <c:v>7.2632495262620527</c:v>
                </c:pt>
                <c:pt idx="95">
                  <c:v>13.796610989021032</c:v>
                </c:pt>
                <c:pt idx="96">
                  <c:v>18.477477956350643</c:v>
                </c:pt>
                <c:pt idx="97">
                  <c:v>17.76372050654502</c:v>
                </c:pt>
                <c:pt idx="98">
                  <c:v>19.449802608378892</c:v>
                </c:pt>
                <c:pt idx="99">
                  <c:v>19.259828261072517</c:v>
                </c:pt>
                <c:pt idx="100">
                  <c:v>19.738580462366389</c:v>
                </c:pt>
                <c:pt idx="101">
                  <c:v>27.302527770060408</c:v>
                </c:pt>
                <c:pt idx="102">
                  <c:v>8.248069680482276</c:v>
                </c:pt>
                <c:pt idx="103">
                  <c:v>8.4328115122476976</c:v>
                </c:pt>
                <c:pt idx="104">
                  <c:v>9.6600562393964911</c:v>
                </c:pt>
                <c:pt idx="105">
                  <c:v>10.282504910204173</c:v>
                </c:pt>
                <c:pt idx="106">
                  <c:v>20.239678908337108</c:v>
                </c:pt>
                <c:pt idx="107">
                  <c:v>25.076745606588123</c:v>
                </c:pt>
                <c:pt idx="108">
                  <c:v>22.658863133701555</c:v>
                </c:pt>
                <c:pt idx="109">
                  <c:v>24.4729960533552</c:v>
                </c:pt>
                <c:pt idx="110">
                  <c:v>25.829085733024133</c:v>
                </c:pt>
                <c:pt idx="111">
                  <c:v>22.908550693281139</c:v>
                </c:pt>
                <c:pt idx="112">
                  <c:v>21.731093032654325</c:v>
                </c:pt>
                <c:pt idx="113">
                  <c:v>24.993182235342815</c:v>
                </c:pt>
                <c:pt idx="114">
                  <c:v>12.962180138081797</c:v>
                </c:pt>
                <c:pt idx="115">
                  <c:v>10.589674737467915</c:v>
                </c:pt>
                <c:pt idx="116">
                  <c:v>27.67407317225447</c:v>
                </c:pt>
                <c:pt idx="117">
                  <c:v>25.778502843463428</c:v>
                </c:pt>
                <c:pt idx="118">
                  <c:v>23.371876655397273</c:v>
                </c:pt>
                <c:pt idx="119">
                  <c:v>21.582805034449517</c:v>
                </c:pt>
                <c:pt idx="120">
                  <c:v>16.339238445438834</c:v>
                </c:pt>
                <c:pt idx="121">
                  <c:v>22.668446298300882</c:v>
                </c:pt>
                <c:pt idx="122">
                  <c:v>21.85127944338608</c:v>
                </c:pt>
                <c:pt idx="123">
                  <c:v>14.510368438826655</c:v>
                </c:pt>
                <c:pt idx="124">
                  <c:v>20.700160815023679</c:v>
                </c:pt>
                <c:pt idx="125">
                  <c:v>21.636703887894434</c:v>
                </c:pt>
                <c:pt idx="126">
                  <c:v>19.434164205318652</c:v>
                </c:pt>
                <c:pt idx="127">
                  <c:v>29.047655197436306</c:v>
                </c:pt>
                <c:pt idx="128">
                  <c:v>24.23992185376779</c:v>
                </c:pt>
                <c:pt idx="129">
                  <c:v>29.657345357466696</c:v>
                </c:pt>
                <c:pt idx="130">
                  <c:v>23.860342838559873</c:v>
                </c:pt>
                <c:pt idx="131">
                  <c:v>17.180991426591703</c:v>
                </c:pt>
                <c:pt idx="132">
                  <c:v>17.773060239708684</c:v>
                </c:pt>
                <c:pt idx="133">
                  <c:v>17.950445282163606</c:v>
                </c:pt>
                <c:pt idx="134">
                  <c:v>14.708742687008018</c:v>
                </c:pt>
                <c:pt idx="135">
                  <c:v>11.72105160223747</c:v>
                </c:pt>
                <c:pt idx="136">
                  <c:v>12.946372529095722</c:v>
                </c:pt>
                <c:pt idx="137">
                  <c:v>12.192277808294996</c:v>
                </c:pt>
                <c:pt idx="138">
                  <c:v>13.959034452119068</c:v>
                </c:pt>
                <c:pt idx="139">
                  <c:v>27.303865157763386</c:v>
                </c:pt>
                <c:pt idx="140">
                  <c:v>28.859855330489932</c:v>
                </c:pt>
                <c:pt idx="141">
                  <c:v>26.974919238706637</c:v>
                </c:pt>
                <c:pt idx="142">
                  <c:v>30.81525787088956</c:v>
                </c:pt>
                <c:pt idx="143">
                  <c:v>28.876718379556358</c:v>
                </c:pt>
                <c:pt idx="144">
                  <c:v>25.971742948063557</c:v>
                </c:pt>
                <c:pt idx="145">
                  <c:v>27.995783980669668</c:v>
                </c:pt>
                <c:pt idx="146">
                  <c:v>27.297047253783557</c:v>
                </c:pt>
                <c:pt idx="147">
                  <c:v>25.831438356282142</c:v>
                </c:pt>
                <c:pt idx="148">
                  <c:v>26.392588426377749</c:v>
                </c:pt>
                <c:pt idx="149">
                  <c:v>28.672512874730611</c:v>
                </c:pt>
                <c:pt idx="150">
                  <c:v>19.261395253436948</c:v>
                </c:pt>
                <c:pt idx="151">
                  <c:v>18.11168555895377</c:v>
                </c:pt>
                <c:pt idx="152">
                  <c:v>18.78419717302878</c:v>
                </c:pt>
                <c:pt idx="153">
                  <c:v>20.17154400757077</c:v>
                </c:pt>
                <c:pt idx="154">
                  <c:v>10.934776157297449</c:v>
                </c:pt>
                <c:pt idx="155">
                  <c:v>12.495121548382592</c:v>
                </c:pt>
                <c:pt idx="156">
                  <c:v>12.120267430938121</c:v>
                </c:pt>
                <c:pt idx="157">
                  <c:v>11.347674066041641</c:v>
                </c:pt>
                <c:pt idx="158">
                  <c:v>15.762140691613761</c:v>
                </c:pt>
                <c:pt idx="159">
                  <c:v>15.893955947532634</c:v>
                </c:pt>
                <c:pt idx="160">
                  <c:v>16.658346493489425</c:v>
                </c:pt>
                <c:pt idx="161">
                  <c:v>16.623410943961126</c:v>
                </c:pt>
                <c:pt idx="162">
                  <c:v>20.157093437535096</c:v>
                </c:pt>
                <c:pt idx="163">
                  <c:v>19.23557108758385</c:v>
                </c:pt>
                <c:pt idx="164">
                  <c:v>19.190370980452638</c:v>
                </c:pt>
                <c:pt idx="165">
                  <c:v>27.180262912929354</c:v>
                </c:pt>
                <c:pt idx="166">
                  <c:v>22.62080094632741</c:v>
                </c:pt>
                <c:pt idx="167">
                  <c:v>20.952371458960101</c:v>
                </c:pt>
                <c:pt idx="168">
                  <c:v>22.939958658005601</c:v>
                </c:pt>
                <c:pt idx="169">
                  <c:v>24.150680436277998</c:v>
                </c:pt>
                <c:pt idx="170">
                  <c:v>26.859939698807597</c:v>
                </c:pt>
                <c:pt idx="171">
                  <c:v>24.929383613897784</c:v>
                </c:pt>
                <c:pt idx="172">
                  <c:v>20.646649081762551</c:v>
                </c:pt>
                <c:pt idx="173">
                  <c:v>28.324282680684522</c:v>
                </c:pt>
                <c:pt idx="174">
                  <c:v>19.610932822805836</c:v>
                </c:pt>
                <c:pt idx="175">
                  <c:v>24.085446503202622</c:v>
                </c:pt>
                <c:pt idx="176">
                  <c:v>22.867451098101704</c:v>
                </c:pt>
                <c:pt idx="177">
                  <c:v>22.765846493947691</c:v>
                </c:pt>
                <c:pt idx="178">
                  <c:v>23.87717398527948</c:v>
                </c:pt>
                <c:pt idx="179">
                  <c:v>29.441268831191156</c:v>
                </c:pt>
                <c:pt idx="180">
                  <c:v>26.17120817185755</c:v>
                </c:pt>
                <c:pt idx="181">
                  <c:v>27.487837877713741</c:v>
                </c:pt>
                <c:pt idx="182">
                  <c:v>23.588987372554563</c:v>
                </c:pt>
                <c:pt idx="183">
                  <c:v>25.405130135942606</c:v>
                </c:pt>
                <c:pt idx="184">
                  <c:v>27.546504586878765</c:v>
                </c:pt>
                <c:pt idx="185">
                  <c:v>14.490620941147773</c:v>
                </c:pt>
                <c:pt idx="186">
                  <c:v>14.454839361990283</c:v>
                </c:pt>
                <c:pt idx="187">
                  <c:v>16.096366912843138</c:v>
                </c:pt>
                <c:pt idx="188">
                  <c:v>14.295783757705278</c:v>
                </c:pt>
                <c:pt idx="189">
                  <c:v>20.11224826133407</c:v>
                </c:pt>
                <c:pt idx="190">
                  <c:v>19.423468947752355</c:v>
                </c:pt>
                <c:pt idx="191">
                  <c:v>21.539731893392151</c:v>
                </c:pt>
                <c:pt idx="192">
                  <c:v>21.023982403906754</c:v>
                </c:pt>
                <c:pt idx="193">
                  <c:v>26.957441914013906</c:v>
                </c:pt>
                <c:pt idx="194">
                  <c:v>26.174383518035512</c:v>
                </c:pt>
                <c:pt idx="195">
                  <c:v>29.09935525028073</c:v>
                </c:pt>
                <c:pt idx="196">
                  <c:v>30.216341400787364</c:v>
                </c:pt>
                <c:pt idx="197">
                  <c:v>17.995784842215272</c:v>
                </c:pt>
                <c:pt idx="198">
                  <c:v>18.742861185557167</c:v>
                </c:pt>
                <c:pt idx="199">
                  <c:v>17.863800380370556</c:v>
                </c:pt>
                <c:pt idx="200">
                  <c:v>20.395962805706446</c:v>
                </c:pt>
                <c:pt idx="201">
                  <c:v>29.65020949522027</c:v>
                </c:pt>
                <c:pt idx="202">
                  <c:v>28.952976682629398</c:v>
                </c:pt>
                <c:pt idx="203">
                  <c:v>28.03634843636743</c:v>
                </c:pt>
                <c:pt idx="204">
                  <c:v>23.949159178931204</c:v>
                </c:pt>
                <c:pt idx="205">
                  <c:v>22.437994864630799</c:v>
                </c:pt>
                <c:pt idx="206">
                  <c:v>15.720666765769471</c:v>
                </c:pt>
                <c:pt idx="207">
                  <c:v>22.057707758166373</c:v>
                </c:pt>
                <c:pt idx="208">
                  <c:v>23.576481230185095</c:v>
                </c:pt>
                <c:pt idx="209">
                  <c:v>18.753321647338844</c:v>
                </c:pt>
                <c:pt idx="210">
                  <c:v>13.005717576511863</c:v>
                </c:pt>
                <c:pt idx="211">
                  <c:v>15.219568319798745</c:v>
                </c:pt>
                <c:pt idx="212">
                  <c:v>16.399827077898465</c:v>
                </c:pt>
                <c:pt idx="213">
                  <c:v>16.657379044566071</c:v>
                </c:pt>
                <c:pt idx="214">
                  <c:v>30.140660247573571</c:v>
                </c:pt>
                <c:pt idx="215">
                  <c:v>27.328917395369253</c:v>
                </c:pt>
                <c:pt idx="216">
                  <c:v>31.294975840484813</c:v>
                </c:pt>
                <c:pt idx="217">
                  <c:v>26.334954589920663</c:v>
                </c:pt>
                <c:pt idx="218">
                  <c:v>30.614518345178162</c:v>
                </c:pt>
                <c:pt idx="219">
                  <c:v>17.539340232312689</c:v>
                </c:pt>
                <c:pt idx="220">
                  <c:v>17.196219619965625</c:v>
                </c:pt>
                <c:pt idx="221">
                  <c:v>16.222879732382339</c:v>
                </c:pt>
                <c:pt idx="222">
                  <c:v>15.681613221342358</c:v>
                </c:pt>
                <c:pt idx="223">
                  <c:v>19.930406812128666</c:v>
                </c:pt>
                <c:pt idx="224">
                  <c:v>20.492603385332458</c:v>
                </c:pt>
                <c:pt idx="225">
                  <c:v>19.535807074001234</c:v>
                </c:pt>
                <c:pt idx="226">
                  <c:v>20.099927447495574</c:v>
                </c:pt>
                <c:pt idx="227">
                  <c:v>15.249539844799058</c:v>
                </c:pt>
                <c:pt idx="228">
                  <c:v>15.690386193165891</c:v>
                </c:pt>
                <c:pt idx="229">
                  <c:v>14.555528015676385</c:v>
                </c:pt>
                <c:pt idx="230">
                  <c:v>15.17058862962041</c:v>
                </c:pt>
                <c:pt idx="231">
                  <c:v>30.387966595675568</c:v>
                </c:pt>
                <c:pt idx="232">
                  <c:v>24.236989814897633</c:v>
                </c:pt>
                <c:pt idx="233">
                  <c:v>28.913077108573098</c:v>
                </c:pt>
                <c:pt idx="234">
                  <c:v>24.144803738717336</c:v>
                </c:pt>
                <c:pt idx="235">
                  <c:v>28.131520938551596</c:v>
                </c:pt>
                <c:pt idx="236">
                  <c:v>27.685272868717973</c:v>
                </c:pt>
                <c:pt idx="237">
                  <c:v>30.460695256434121</c:v>
                </c:pt>
                <c:pt idx="238">
                  <c:v>29.122139191896384</c:v>
                </c:pt>
                <c:pt idx="239">
                  <c:v>25.771055317280982</c:v>
                </c:pt>
                <c:pt idx="240">
                  <c:v>26.526616427185193</c:v>
                </c:pt>
                <c:pt idx="241">
                  <c:v>26.040996115321043</c:v>
                </c:pt>
                <c:pt idx="242">
                  <c:v>30.497188279232841</c:v>
                </c:pt>
                <c:pt idx="243">
                  <c:v>29.203680013716564</c:v>
                </c:pt>
                <c:pt idx="244">
                  <c:v>30.554219393368534</c:v>
                </c:pt>
                <c:pt idx="245">
                  <c:v>29.831582300919862</c:v>
                </c:pt>
                <c:pt idx="246">
                  <c:v>31.3610402165368</c:v>
                </c:pt>
                <c:pt idx="247">
                  <c:v>20.56519746010305</c:v>
                </c:pt>
                <c:pt idx="248">
                  <c:v>18.204679943903614</c:v>
                </c:pt>
                <c:pt idx="249">
                  <c:v>19.056362462351419</c:v>
                </c:pt>
                <c:pt idx="250">
                  <c:v>19.785616985300909</c:v>
                </c:pt>
                <c:pt idx="251">
                  <c:v>21.872038958580685</c:v>
                </c:pt>
                <c:pt idx="252">
                  <c:v>22.996432104988273</c:v>
                </c:pt>
                <c:pt idx="253">
                  <c:v>24.188233664831259</c:v>
                </c:pt>
                <c:pt idx="254">
                  <c:v>20.398446654655874</c:v>
                </c:pt>
                <c:pt idx="255">
                  <c:v>21.674739089516965</c:v>
                </c:pt>
                <c:pt idx="256">
                  <c:v>20.570429975644004</c:v>
                </c:pt>
                <c:pt idx="257">
                  <c:v>22.464784595401014</c:v>
                </c:pt>
                <c:pt idx="258">
                  <c:v>19.274053508248279</c:v>
                </c:pt>
                <c:pt idx="259">
                  <c:v>20.174984207887384</c:v>
                </c:pt>
                <c:pt idx="260">
                  <c:v>19.693123764822097</c:v>
                </c:pt>
                <c:pt idx="261">
                  <c:v>19.267128933448944</c:v>
                </c:pt>
                <c:pt idx="262">
                  <c:v>20.904470471869033</c:v>
                </c:pt>
                <c:pt idx="263">
                  <c:v>16.457838126688337</c:v>
                </c:pt>
                <c:pt idx="264">
                  <c:v>27.373732236443036</c:v>
                </c:pt>
                <c:pt idx="265">
                  <c:v>26.944649790674134</c:v>
                </c:pt>
                <c:pt idx="266">
                  <c:v>28.228637426697397</c:v>
                </c:pt>
                <c:pt idx="267">
                  <c:v>26.880328991634492</c:v>
                </c:pt>
                <c:pt idx="268">
                  <c:v>27.172498723354387</c:v>
                </c:pt>
                <c:pt idx="269">
                  <c:v>23.785631581243138</c:v>
                </c:pt>
                <c:pt idx="270">
                  <c:v>23.553396162651115</c:v>
                </c:pt>
                <c:pt idx="271">
                  <c:v>27.696989917110137</c:v>
                </c:pt>
                <c:pt idx="272">
                  <c:v>25.325687897014422</c:v>
                </c:pt>
                <c:pt idx="273">
                  <c:v>23.398860413350324</c:v>
                </c:pt>
                <c:pt idx="274">
                  <c:v>25.308066550101014</c:v>
                </c:pt>
                <c:pt idx="275">
                  <c:v>21.901875361640474</c:v>
                </c:pt>
                <c:pt idx="276">
                  <c:v>30.098433796225809</c:v>
                </c:pt>
                <c:pt idx="277">
                  <c:v>29.534940039844358</c:v>
                </c:pt>
                <c:pt idx="278">
                  <c:v>23.49949938057404</c:v>
                </c:pt>
                <c:pt idx="279">
                  <c:v>25.27773629103504</c:v>
                </c:pt>
                <c:pt idx="280">
                  <c:v>25.735357956686098</c:v>
                </c:pt>
                <c:pt idx="281">
                  <c:v>23.80414398711023</c:v>
                </c:pt>
                <c:pt idx="282">
                  <c:v>22.998400934603321</c:v>
                </c:pt>
                <c:pt idx="283">
                  <c:v>20.243283680276456</c:v>
                </c:pt>
                <c:pt idx="284">
                  <c:v>20.841800717968425</c:v>
                </c:pt>
                <c:pt idx="285">
                  <c:v>19.531111618909698</c:v>
                </c:pt>
                <c:pt idx="286">
                  <c:v>20.212734616659919</c:v>
                </c:pt>
                <c:pt idx="287">
                  <c:v>17.204451881577224</c:v>
                </c:pt>
                <c:pt idx="288">
                  <c:v>18.96489823919898</c:v>
                </c:pt>
                <c:pt idx="289">
                  <c:v>21.5143435995966</c:v>
                </c:pt>
                <c:pt idx="290">
                  <c:v>19.412224079693964</c:v>
                </c:pt>
                <c:pt idx="291">
                  <c:v>32.835435847633079</c:v>
                </c:pt>
                <c:pt idx="292">
                  <c:v>32.801665800548349</c:v>
                </c:pt>
                <c:pt idx="293">
                  <c:v>30.80197628705325</c:v>
                </c:pt>
                <c:pt idx="294">
                  <c:v>26.979177527640108</c:v>
                </c:pt>
                <c:pt idx="295">
                  <c:v>24.611405323649461</c:v>
                </c:pt>
                <c:pt idx="296">
                  <c:v>20.02066726313716</c:v>
                </c:pt>
                <c:pt idx="297">
                  <c:v>26.430349184510405</c:v>
                </c:pt>
                <c:pt idx="298">
                  <c:v>23.019330996767135</c:v>
                </c:pt>
                <c:pt idx="299">
                  <c:v>29.52129736628039</c:v>
                </c:pt>
                <c:pt idx="300">
                  <c:v>29.774462847036226</c:v>
                </c:pt>
                <c:pt idx="301">
                  <c:v>32.573816867868096</c:v>
                </c:pt>
                <c:pt idx="302">
                  <c:v>31.829930240441236</c:v>
                </c:pt>
                <c:pt idx="303">
                  <c:v>26.816813208104694</c:v>
                </c:pt>
                <c:pt idx="304">
                  <c:v>26.790650630399924</c:v>
                </c:pt>
                <c:pt idx="305">
                  <c:v>26.259003120812665</c:v>
                </c:pt>
                <c:pt idx="306">
                  <c:v>27.394030504228002</c:v>
                </c:pt>
                <c:pt idx="307">
                  <c:v>35.706490359450044</c:v>
                </c:pt>
                <c:pt idx="308">
                  <c:v>36.979392604917109</c:v>
                </c:pt>
                <c:pt idx="309">
                  <c:v>33.987463612784964</c:v>
                </c:pt>
                <c:pt idx="310">
                  <c:v>36.639981654778452</c:v>
                </c:pt>
                <c:pt idx="311">
                  <c:v>30.837408208478998</c:v>
                </c:pt>
                <c:pt idx="312">
                  <c:v>29.89772562628367</c:v>
                </c:pt>
                <c:pt idx="313">
                  <c:v>29.19183258356605</c:v>
                </c:pt>
                <c:pt idx="314">
                  <c:v>27.277901549051926</c:v>
                </c:pt>
                <c:pt idx="315">
                  <c:v>35.451231872477827</c:v>
                </c:pt>
                <c:pt idx="316">
                  <c:v>32.730260602279131</c:v>
                </c:pt>
                <c:pt idx="317">
                  <c:v>33.829506406536979</c:v>
                </c:pt>
                <c:pt idx="318">
                  <c:v>34.100324501759388</c:v>
                </c:pt>
                <c:pt idx="319">
                  <c:v>35.23204316992431</c:v>
                </c:pt>
                <c:pt idx="320">
                  <c:v>36.179220479802822</c:v>
                </c:pt>
                <c:pt idx="321">
                  <c:v>29.976137956131645</c:v>
                </c:pt>
                <c:pt idx="322">
                  <c:v>36.179220479802822</c:v>
                </c:pt>
                <c:pt idx="323">
                  <c:v>36.459845721441084</c:v>
                </c:pt>
                <c:pt idx="324">
                  <c:v>35.1940183176619</c:v>
                </c:pt>
                <c:pt idx="325">
                  <c:v>31.771590697247824</c:v>
                </c:pt>
                <c:pt idx="326">
                  <c:v>30.2525978127128</c:v>
                </c:pt>
                <c:pt idx="327">
                  <c:v>37.463208115826092</c:v>
                </c:pt>
                <c:pt idx="328">
                  <c:v>35.969531779366662</c:v>
                </c:pt>
                <c:pt idx="329">
                  <c:v>37.447729981719526</c:v>
                </c:pt>
                <c:pt idx="330">
                  <c:v>31.040731846822165</c:v>
                </c:pt>
                <c:pt idx="331">
                  <c:v>34.041319380742692</c:v>
                </c:pt>
                <c:pt idx="332">
                  <c:v>33.709114953025988</c:v>
                </c:pt>
                <c:pt idx="333">
                  <c:v>35.154169725407016</c:v>
                </c:pt>
                <c:pt idx="334">
                  <c:v>29.250550208008114</c:v>
                </c:pt>
                <c:pt idx="335">
                  <c:v>28.516370313816182</c:v>
                </c:pt>
                <c:pt idx="336">
                  <c:v>28.462428502414603</c:v>
                </c:pt>
                <c:pt idx="337">
                  <c:v>27.638525217663606</c:v>
                </c:pt>
                <c:pt idx="338">
                  <c:v>29.78219771759537</c:v>
                </c:pt>
                <c:pt idx="339">
                  <c:v>35.454171617009976</c:v>
                </c:pt>
                <c:pt idx="340">
                  <c:v>32.689214260375735</c:v>
                </c:pt>
                <c:pt idx="341">
                  <c:v>35.396382205027308</c:v>
                </c:pt>
                <c:pt idx="342">
                  <c:v>33.738417748741917</c:v>
                </c:pt>
                <c:pt idx="343">
                  <c:v>34.226588478009504</c:v>
                </c:pt>
                <c:pt idx="344">
                  <c:v>33.895549552736369</c:v>
                </c:pt>
                <c:pt idx="345">
                  <c:v>34.127246085997712</c:v>
                </c:pt>
                <c:pt idx="346">
                  <c:v>30.983925423189582</c:v>
                </c:pt>
                <c:pt idx="347">
                  <c:v>31.812215193852346</c:v>
                </c:pt>
                <c:pt idx="348">
                  <c:v>30.116006472788236</c:v>
                </c:pt>
                <c:pt idx="349">
                  <c:v>32.869872181227677</c:v>
                </c:pt>
                <c:pt idx="350">
                  <c:v>32.874346398921652</c:v>
                </c:pt>
                <c:pt idx="351">
                  <c:v>32.165483052805314</c:v>
                </c:pt>
                <c:pt idx="352">
                  <c:v>30.417795205960847</c:v>
                </c:pt>
                <c:pt idx="353">
                  <c:v>30.738676244450581</c:v>
                </c:pt>
                <c:pt idx="354">
                  <c:v>27.506611589785013</c:v>
                </c:pt>
                <c:pt idx="355">
                  <c:v>27.925988990657356</c:v>
                </c:pt>
                <c:pt idx="356">
                  <c:v>28.714969054395912</c:v>
                </c:pt>
                <c:pt idx="357">
                  <c:v>28.498124038128246</c:v>
                </c:pt>
                <c:pt idx="358">
                  <c:v>24.144841583233053</c:v>
                </c:pt>
                <c:pt idx="359">
                  <c:v>22.656397762314569</c:v>
                </c:pt>
                <c:pt idx="360">
                  <c:v>26.299517999577404</c:v>
                </c:pt>
                <c:pt idx="361">
                  <c:v>24.297586901315743</c:v>
                </c:pt>
                <c:pt idx="362">
                  <c:v>30.28175978404812</c:v>
                </c:pt>
                <c:pt idx="363">
                  <c:v>30.104543947519034</c:v>
                </c:pt>
                <c:pt idx="364">
                  <c:v>31.345054803222631</c:v>
                </c:pt>
                <c:pt idx="365">
                  <c:v>30.482368368362238</c:v>
                </c:pt>
                <c:pt idx="366">
                  <c:v>30.751770281071622</c:v>
                </c:pt>
                <c:pt idx="367">
                  <c:v>29.591056670175853</c:v>
                </c:pt>
                <c:pt idx="368">
                  <c:v>28.900353556303592</c:v>
                </c:pt>
                <c:pt idx="369">
                  <c:v>35.611603109994782</c:v>
                </c:pt>
                <c:pt idx="370">
                  <c:v>35.603149610985632</c:v>
                </c:pt>
                <c:pt idx="371">
                  <c:v>35.881631639817051</c:v>
                </c:pt>
                <c:pt idx="372">
                  <c:v>33.118059198142682</c:v>
                </c:pt>
                <c:pt idx="373">
                  <c:v>33.004404174467894</c:v>
                </c:pt>
                <c:pt idx="374">
                  <c:v>34.594874173874054</c:v>
                </c:pt>
                <c:pt idx="375">
                  <c:v>34.578098856589833</c:v>
                </c:pt>
                <c:pt idx="376">
                  <c:v>34.456748631752866</c:v>
                </c:pt>
                <c:pt idx="377">
                  <c:v>35.923184619846182</c:v>
                </c:pt>
                <c:pt idx="378">
                  <c:v>35.923184619846182</c:v>
                </c:pt>
                <c:pt idx="379">
                  <c:v>35.771285331392683</c:v>
                </c:pt>
                <c:pt idx="380">
                  <c:v>28.203033011930515</c:v>
                </c:pt>
                <c:pt idx="381">
                  <c:v>28.254512137710869</c:v>
                </c:pt>
                <c:pt idx="382">
                  <c:v>30.318080248536283</c:v>
                </c:pt>
                <c:pt idx="383">
                  <c:v>28.727524205686279</c:v>
                </c:pt>
                <c:pt idx="384">
                  <c:v>31.908011362611767</c:v>
                </c:pt>
                <c:pt idx="385">
                  <c:v>31.536583271414713</c:v>
                </c:pt>
                <c:pt idx="386">
                  <c:v>28.502445102925755</c:v>
                </c:pt>
                <c:pt idx="387">
                  <c:v>29.377520369158603</c:v>
                </c:pt>
                <c:pt idx="388">
                  <c:v>35.209308170705178</c:v>
                </c:pt>
                <c:pt idx="389">
                  <c:v>31.916331492548473</c:v>
                </c:pt>
                <c:pt idx="390">
                  <c:v>30.326621479327649</c:v>
                </c:pt>
                <c:pt idx="391">
                  <c:v>29.796897770030938</c:v>
                </c:pt>
              </c:numCache>
            </c:numRef>
          </c:xVal>
          <c:yVal>
            <c:numRef>
              <c:f>Regression!RegChartScaleLoc</c:f>
              <c:numCache>
                <c:formatCode>0.0000</c:formatCode>
                <c:ptCount val="392"/>
                <c:pt idx="0">
                  <c:v>0.6216835699240828</c:v>
                </c:pt>
                <c:pt idx="1">
                  <c:v>0.32252301815124151</c:v>
                </c:pt>
                <c:pt idx="2">
                  <c:v>0.61566920212507359</c:v>
                </c:pt>
                <c:pt idx="3">
                  <c:v>0.53843759691622139</c:v>
                </c:pt>
                <c:pt idx="4">
                  <c:v>0.12267204581319209</c:v>
                </c:pt>
                <c:pt idx="5">
                  <c:v>1.0798296836268224</c:v>
                </c:pt>
                <c:pt idx="6">
                  <c:v>0.98955084309965702</c:v>
                </c:pt>
                <c:pt idx="7">
                  <c:v>0.93792604061886742</c:v>
                </c:pt>
                <c:pt idx="8">
                  <c:v>1.0620850901469265</c:v>
                </c:pt>
                <c:pt idx="9">
                  <c:v>0.54361877053484187</c:v>
                </c:pt>
                <c:pt idx="10">
                  <c:v>0.54395718893235434</c:v>
                </c:pt>
                <c:pt idx="11">
                  <c:v>0.77723281226775198</c:v>
                </c:pt>
                <c:pt idx="12">
                  <c:v>0.26573888542849872</c:v>
                </c:pt>
                <c:pt idx="13">
                  <c:v>1.0866183182974118</c:v>
                </c:pt>
                <c:pt idx="14">
                  <c:v>0.63398061588185661</c:v>
                </c:pt>
                <c:pt idx="15">
                  <c:v>0.63220641939662936</c:v>
                </c:pt>
                <c:pt idx="16">
                  <c:v>1.012643413366467</c:v>
                </c:pt>
                <c:pt idx="17">
                  <c:v>0.63711084117379535</c:v>
                </c:pt>
                <c:pt idx="18">
                  <c:v>0.39387191196038535</c:v>
                </c:pt>
                <c:pt idx="19">
                  <c:v>0.93546163760686207</c:v>
                </c:pt>
                <c:pt idx="20">
                  <c:v>0.66392251515059952</c:v>
                </c:pt>
                <c:pt idx="21">
                  <c:v>0.53780807723013113</c:v>
                </c:pt>
                <c:pt idx="22">
                  <c:v>0.14316187490175963</c:v>
                </c:pt>
                <c:pt idx="23">
                  <c:v>0.41580346842637089</c:v>
                </c:pt>
                <c:pt idx="24">
                  <c:v>0.52437388846151989</c:v>
                </c:pt>
                <c:pt idx="25">
                  <c:v>0.23597321554900141</c:v>
                </c:pt>
                <c:pt idx="26">
                  <c:v>0.65451662359874119</c:v>
                </c:pt>
                <c:pt idx="27">
                  <c:v>0.17713715773974717</c:v>
                </c:pt>
                <c:pt idx="28">
                  <c:v>0.44646864141416392</c:v>
                </c:pt>
                <c:pt idx="29">
                  <c:v>0.38708963609019109</c:v>
                </c:pt>
                <c:pt idx="30">
                  <c:v>1.0534388574773428</c:v>
                </c:pt>
                <c:pt idx="31">
                  <c:v>0.78428024317281664</c:v>
                </c:pt>
                <c:pt idx="32">
                  <c:v>1.1012687386073343</c:v>
                </c:pt>
                <c:pt idx="33">
                  <c:v>0.90932581790506628</c:v>
                </c:pt>
                <c:pt idx="34">
                  <c:v>0.84052743497250282</c:v>
                </c:pt>
                <c:pt idx="35">
                  <c:v>0.38912849936561394</c:v>
                </c:pt>
                <c:pt idx="36">
                  <c:v>0.66526320408288031</c:v>
                </c:pt>
                <c:pt idx="37">
                  <c:v>0.36020188891108434</c:v>
                </c:pt>
                <c:pt idx="38">
                  <c:v>0.78467166287669288</c:v>
                </c:pt>
                <c:pt idx="39">
                  <c:v>0.16768929600372146</c:v>
                </c:pt>
                <c:pt idx="40">
                  <c:v>0.37702919510026844</c:v>
                </c:pt>
                <c:pt idx="41">
                  <c:v>0.89893460791465318</c:v>
                </c:pt>
                <c:pt idx="42">
                  <c:v>0.8558945365767473</c:v>
                </c:pt>
                <c:pt idx="43">
                  <c:v>1.1976330534783595</c:v>
                </c:pt>
                <c:pt idx="44">
                  <c:v>0.9681777000068067</c:v>
                </c:pt>
                <c:pt idx="45">
                  <c:v>0.86434301566667515</c:v>
                </c:pt>
                <c:pt idx="46">
                  <c:v>0.34620345314375045</c:v>
                </c:pt>
                <c:pt idx="47">
                  <c:v>0.87149649625907699</c:v>
                </c:pt>
                <c:pt idx="48">
                  <c:v>0.81001476795245797</c:v>
                </c:pt>
                <c:pt idx="49">
                  <c:v>0.47437549885161051</c:v>
                </c:pt>
                <c:pt idx="50">
                  <c:v>0.83798094419596936</c:v>
                </c:pt>
                <c:pt idx="51">
                  <c:v>0.84841211618517065</c:v>
                </c:pt>
                <c:pt idx="52">
                  <c:v>0.67747869632526003</c:v>
                </c:pt>
                <c:pt idx="53">
                  <c:v>1.2449988378647818</c:v>
                </c:pt>
                <c:pt idx="54">
                  <c:v>0.87364238290614249</c:v>
                </c:pt>
                <c:pt idx="55">
                  <c:v>0.43522641000122991</c:v>
                </c:pt>
                <c:pt idx="56">
                  <c:v>0.66627457300451265</c:v>
                </c:pt>
                <c:pt idx="57">
                  <c:v>0.49029842522025485</c:v>
                </c:pt>
                <c:pt idx="58">
                  <c:v>1.0021352724726131</c:v>
                </c:pt>
                <c:pt idx="59">
                  <c:v>0.94787840710625015</c:v>
                </c:pt>
                <c:pt idx="60">
                  <c:v>0.94628190997434025</c:v>
                </c:pt>
                <c:pt idx="61">
                  <c:v>0.56949441562144754</c:v>
                </c:pt>
                <c:pt idx="62">
                  <c:v>0.94829043196102658</c:v>
                </c:pt>
                <c:pt idx="63">
                  <c:v>0.82109672070844986</c:v>
                </c:pt>
                <c:pt idx="64">
                  <c:v>0.5896372656582507</c:v>
                </c:pt>
                <c:pt idx="65">
                  <c:v>0.74814771971246685</c:v>
                </c:pt>
                <c:pt idx="66">
                  <c:v>0.70724008801635629</c:v>
                </c:pt>
                <c:pt idx="67">
                  <c:v>0.80971713262300726</c:v>
                </c:pt>
                <c:pt idx="68">
                  <c:v>0.52097111290586229</c:v>
                </c:pt>
                <c:pt idx="69">
                  <c:v>0.84357965599246887</c:v>
                </c:pt>
                <c:pt idx="70">
                  <c:v>1.4197661180447385</c:v>
                </c:pt>
                <c:pt idx="71">
                  <c:v>0.51462100495796637</c:v>
                </c:pt>
                <c:pt idx="72">
                  <c:v>0.40207795082024833</c:v>
                </c:pt>
                <c:pt idx="73">
                  <c:v>0.47255035663583905</c:v>
                </c:pt>
                <c:pt idx="74">
                  <c:v>0.49382757190368354</c:v>
                </c:pt>
                <c:pt idx="75">
                  <c:v>1.0991534609623064</c:v>
                </c:pt>
                <c:pt idx="76">
                  <c:v>0.88379882573473556</c:v>
                </c:pt>
                <c:pt idx="77">
                  <c:v>0.51345908822923758</c:v>
                </c:pt>
                <c:pt idx="78">
                  <c:v>0.16282613978564014</c:v>
                </c:pt>
                <c:pt idx="79">
                  <c:v>0.52392622953585688</c:v>
                </c:pt>
                <c:pt idx="80">
                  <c:v>0.94513966048082343</c:v>
                </c:pt>
                <c:pt idx="81">
                  <c:v>0.6175395839593073</c:v>
                </c:pt>
                <c:pt idx="82">
                  <c:v>1.1437801662718898</c:v>
                </c:pt>
                <c:pt idx="83">
                  <c:v>0.46851945550355423</c:v>
                </c:pt>
                <c:pt idx="84">
                  <c:v>0.45164931585000245</c:v>
                </c:pt>
                <c:pt idx="85">
                  <c:v>0.56239734180429835</c:v>
                </c:pt>
                <c:pt idx="86">
                  <c:v>0.38052933371651076</c:v>
                </c:pt>
                <c:pt idx="87">
                  <c:v>0.48314326892849319</c:v>
                </c:pt>
                <c:pt idx="88">
                  <c:v>0.43575979752854432</c:v>
                </c:pt>
                <c:pt idx="89">
                  <c:v>1.1956773805237113</c:v>
                </c:pt>
                <c:pt idx="90">
                  <c:v>0.82514562301775674</c:v>
                </c:pt>
                <c:pt idx="91">
                  <c:v>0.74377212222131706</c:v>
                </c:pt>
                <c:pt idx="92">
                  <c:v>0.79365390689846371</c:v>
                </c:pt>
                <c:pt idx="93">
                  <c:v>1.2224999410851387</c:v>
                </c:pt>
                <c:pt idx="94">
                  <c:v>1.2583792838239818</c:v>
                </c:pt>
                <c:pt idx="95">
                  <c:v>0.51412773147926627</c:v>
                </c:pt>
                <c:pt idx="96">
                  <c:v>0.39753589313855953</c:v>
                </c:pt>
                <c:pt idx="97">
                  <c:v>0.76463206499073577</c:v>
                </c:pt>
                <c:pt idx="98">
                  <c:v>0.6929012219737215</c:v>
                </c:pt>
                <c:pt idx="99">
                  <c:v>0.64671240292671006</c:v>
                </c:pt>
                <c:pt idx="100">
                  <c:v>1.0395941638122006</c:v>
                </c:pt>
                <c:pt idx="101">
                  <c:v>0.65976782484825103</c:v>
                </c:pt>
                <c:pt idx="102">
                  <c:v>0.95995113463758808</c:v>
                </c:pt>
                <c:pt idx="103">
                  <c:v>1.0891788684939683</c:v>
                </c:pt>
                <c:pt idx="104">
                  <c:v>1.0520954360364834</c:v>
                </c:pt>
                <c:pt idx="105">
                  <c:v>0.75417889617209688</c:v>
                </c:pt>
                <c:pt idx="106">
                  <c:v>0.86135011282857987</c:v>
                </c:pt>
                <c:pt idx="107">
                  <c:v>1.2998915580824677</c:v>
                </c:pt>
                <c:pt idx="108">
                  <c:v>0.74293057634054682</c:v>
                </c:pt>
                <c:pt idx="109">
                  <c:v>0.90709407372393547</c:v>
                </c:pt>
                <c:pt idx="110">
                  <c:v>1.6144141690522229</c:v>
                </c:pt>
                <c:pt idx="111">
                  <c:v>1.1398337826267726</c:v>
                </c:pt>
                <c:pt idx="112">
                  <c:v>0.49283990732632271</c:v>
                </c:pt>
                <c:pt idx="113">
                  <c:v>0.57869527360311313</c:v>
                </c:pt>
                <c:pt idx="114">
                  <c:v>0.82087749641928009</c:v>
                </c:pt>
                <c:pt idx="115">
                  <c:v>1.3530572401671719</c:v>
                </c:pt>
                <c:pt idx="116">
                  <c:v>0.66533360104104944</c:v>
                </c:pt>
                <c:pt idx="117">
                  <c:v>0.769279035550264</c:v>
                </c:pt>
                <c:pt idx="118">
                  <c:v>1.0586990173002293</c:v>
                </c:pt>
                <c:pt idx="119">
                  <c:v>0.92653730162095493</c:v>
                </c:pt>
                <c:pt idx="120">
                  <c:v>0.66594436215113317</c:v>
                </c:pt>
                <c:pt idx="121">
                  <c:v>0.66540008693852704</c:v>
                </c:pt>
                <c:pt idx="122">
                  <c:v>0.78481507966018593</c:v>
                </c:pt>
                <c:pt idx="123">
                  <c:v>1.0813189875725466</c:v>
                </c:pt>
                <c:pt idx="124">
                  <c:v>0.4828873845099686</c:v>
                </c:pt>
                <c:pt idx="125">
                  <c:v>0.93731040513778852</c:v>
                </c:pt>
                <c:pt idx="126">
                  <c:v>1.2152926940939668</c:v>
                </c:pt>
                <c:pt idx="127">
                  <c:v>0.8080265608571866</c:v>
                </c:pt>
                <c:pt idx="128">
                  <c:v>0.76650361380594267</c:v>
                </c:pt>
                <c:pt idx="129">
                  <c:v>0.88527815586893022</c:v>
                </c:pt>
                <c:pt idx="130">
                  <c:v>0.61664167953927951</c:v>
                </c:pt>
                <c:pt idx="131">
                  <c:v>0.6283788815346677</c:v>
                </c:pt>
                <c:pt idx="132">
                  <c:v>0.76864909419672045</c:v>
                </c:pt>
                <c:pt idx="133">
                  <c:v>0.12853623442288903</c:v>
                </c:pt>
                <c:pt idx="134">
                  <c:v>0.65635018552107927</c:v>
                </c:pt>
                <c:pt idx="135">
                  <c:v>0.65475968301768805</c:v>
                </c:pt>
                <c:pt idx="136">
                  <c:v>0.59349476115193089</c:v>
                </c:pt>
                <c:pt idx="137">
                  <c:v>0.77870029507606819</c:v>
                </c:pt>
                <c:pt idx="138">
                  <c:v>0.11695206450119637</c:v>
                </c:pt>
                <c:pt idx="139">
                  <c:v>0.75364651590656651</c:v>
                </c:pt>
                <c:pt idx="140">
                  <c:v>0.97843287440326376</c:v>
                </c:pt>
                <c:pt idx="141">
                  <c:v>0.57105797863669716</c:v>
                </c:pt>
                <c:pt idx="142">
                  <c:v>0.24868556221167759</c:v>
                </c:pt>
                <c:pt idx="143">
                  <c:v>1.0220654119503605</c:v>
                </c:pt>
                <c:pt idx="144">
                  <c:v>0.82399806667600828</c:v>
                </c:pt>
                <c:pt idx="145">
                  <c:v>1.1565133685267366</c:v>
                </c:pt>
                <c:pt idx="146">
                  <c:v>0.6586664605780691</c:v>
                </c:pt>
                <c:pt idx="147">
                  <c:v>0.78271896553691456</c:v>
                </c:pt>
                <c:pt idx="148">
                  <c:v>0.36236983710095555</c:v>
                </c:pt>
                <c:pt idx="149">
                  <c:v>0.88257253604279284</c:v>
                </c:pt>
                <c:pt idx="150">
                  <c:v>0.2945948694174309</c:v>
                </c:pt>
                <c:pt idx="151">
                  <c:v>0.19252850306295907</c:v>
                </c:pt>
                <c:pt idx="152">
                  <c:v>1.124619169070094</c:v>
                </c:pt>
                <c:pt idx="153">
                  <c:v>1.3127066006733252</c:v>
                </c:pt>
                <c:pt idx="154">
                  <c:v>1.2998777951020539</c:v>
                </c:pt>
                <c:pt idx="155">
                  <c:v>0.91302651848703442</c:v>
                </c:pt>
                <c:pt idx="156">
                  <c:v>1.1364728580085626</c:v>
                </c:pt>
                <c:pt idx="157">
                  <c:v>0.94036297273600833</c:v>
                </c:pt>
                <c:pt idx="158">
                  <c:v>0.64158897524005598</c:v>
                </c:pt>
                <c:pt idx="159">
                  <c:v>0.18787196592272326</c:v>
                </c:pt>
                <c:pt idx="160">
                  <c:v>0.74210745548188173</c:v>
                </c:pt>
                <c:pt idx="161">
                  <c:v>0.67730495748156794</c:v>
                </c:pt>
                <c:pt idx="162">
                  <c:v>0.52935867819606464</c:v>
                </c:pt>
                <c:pt idx="163">
                  <c:v>0.50379779368416722</c:v>
                </c:pt>
                <c:pt idx="164">
                  <c:v>1.4365443545758738</c:v>
                </c:pt>
                <c:pt idx="165">
                  <c:v>0.7796071500834606</c:v>
                </c:pt>
                <c:pt idx="166">
                  <c:v>0.35517241994279181</c:v>
                </c:pt>
                <c:pt idx="167">
                  <c:v>0.562621352513484</c:v>
                </c:pt>
                <c:pt idx="168">
                  <c:v>0.14134424969928566</c:v>
                </c:pt>
                <c:pt idx="169">
                  <c:v>0.22432993069858875</c:v>
                </c:pt>
                <c:pt idx="170">
                  <c:v>0.78801561610381421</c:v>
                </c:pt>
                <c:pt idx="171">
                  <c:v>0.55725389355828814</c:v>
                </c:pt>
                <c:pt idx="172">
                  <c:v>0.93760300493069892</c:v>
                </c:pt>
                <c:pt idx="173">
                  <c:v>0.47550281234571073</c:v>
                </c:pt>
                <c:pt idx="174">
                  <c:v>0.45046108934359519</c:v>
                </c:pt>
                <c:pt idx="175">
                  <c:v>0.60210985478963819</c:v>
                </c:pt>
                <c:pt idx="176">
                  <c:v>0.21034972420647621</c:v>
                </c:pt>
                <c:pt idx="177">
                  <c:v>0.50568274077729247</c:v>
                </c:pt>
                <c:pt idx="178">
                  <c:v>0.61399465559333322</c:v>
                </c:pt>
                <c:pt idx="179">
                  <c:v>1.0908587110635775</c:v>
                </c:pt>
                <c:pt idx="180">
                  <c:v>0.78031384034748785</c:v>
                </c:pt>
                <c:pt idx="181">
                  <c:v>0.91045822344612448</c:v>
                </c:pt>
                <c:pt idx="182">
                  <c:v>0.6846298886674097</c:v>
                </c:pt>
                <c:pt idx="183">
                  <c:v>0.44497778964629442</c:v>
                </c:pt>
                <c:pt idx="184">
                  <c:v>0.42682081855872489</c:v>
                </c:pt>
                <c:pt idx="185">
                  <c:v>0.99939780761029151</c:v>
                </c:pt>
                <c:pt idx="186">
                  <c:v>0.71614501441271139</c:v>
                </c:pt>
                <c:pt idx="187">
                  <c:v>0.4448532404128111</c:v>
                </c:pt>
                <c:pt idx="188">
                  <c:v>0.26037809108457333</c:v>
                </c:pt>
                <c:pt idx="189">
                  <c:v>0.79083162578982191</c:v>
                </c:pt>
                <c:pt idx="190">
                  <c:v>0.92384961319747749</c:v>
                </c:pt>
                <c:pt idx="191">
                  <c:v>0.90356646035067023</c:v>
                </c:pt>
                <c:pt idx="192">
                  <c:v>0.69950704735384306</c:v>
                </c:pt>
                <c:pt idx="193">
                  <c:v>0.82525217517052019</c:v>
                </c:pt>
                <c:pt idx="194">
                  <c:v>0.74668108920057996</c:v>
                </c:pt>
                <c:pt idx="195">
                  <c:v>0.18201111480420518</c:v>
                </c:pt>
                <c:pt idx="196">
                  <c:v>0.96384935135106964</c:v>
                </c:pt>
                <c:pt idx="197">
                  <c:v>0.81579679754354095</c:v>
                </c:pt>
                <c:pt idx="198">
                  <c:v>0.49814625716852368</c:v>
                </c:pt>
                <c:pt idx="199">
                  <c:v>0.45922766953911348</c:v>
                </c:pt>
                <c:pt idx="200">
                  <c:v>0.9796698206438289</c:v>
                </c:pt>
                <c:pt idx="201">
                  <c:v>0.22394520020005787</c:v>
                </c:pt>
                <c:pt idx="202">
                  <c:v>1.007981105582308</c:v>
                </c:pt>
                <c:pt idx="203">
                  <c:v>0.11007256038455718</c:v>
                </c:pt>
                <c:pt idx="204">
                  <c:v>0.92043510197948442</c:v>
                </c:pt>
                <c:pt idx="205">
                  <c:v>0.90140005167141324</c:v>
                </c:pt>
                <c:pt idx="206">
                  <c:v>0.95032473198144019</c:v>
                </c:pt>
                <c:pt idx="207">
                  <c:v>1.0106470693835974</c:v>
                </c:pt>
                <c:pt idx="208">
                  <c:v>1.2356655210745169</c:v>
                </c:pt>
                <c:pt idx="209">
                  <c:v>0.86866098056849972</c:v>
                </c:pt>
                <c:pt idx="210">
                  <c:v>1.0798053207058878</c:v>
                </c:pt>
                <c:pt idx="211">
                  <c:v>0.85805910271124008</c:v>
                </c:pt>
                <c:pt idx="212">
                  <c:v>1.0614803401672221</c:v>
                </c:pt>
                <c:pt idx="213">
                  <c:v>1.1023464053537446</c:v>
                </c:pt>
                <c:pt idx="214">
                  <c:v>0.67387694073487625</c:v>
                </c:pt>
                <c:pt idx="215">
                  <c:v>0.9445121377658946</c:v>
                </c:pt>
                <c:pt idx="216">
                  <c:v>1.2549038215705268</c:v>
                </c:pt>
                <c:pt idx="217">
                  <c:v>0.52817806228871278</c:v>
                </c:pt>
                <c:pt idx="218">
                  <c:v>0.98176937925520436</c:v>
                </c:pt>
                <c:pt idx="219">
                  <c:v>0.11440057026715063</c:v>
                </c:pt>
                <c:pt idx="220">
                  <c:v>0.25628513901988592</c:v>
                </c:pt>
                <c:pt idx="221">
                  <c:v>0.49059207962845103</c:v>
                </c:pt>
                <c:pt idx="222">
                  <c:v>0.47721415108614978</c:v>
                </c:pt>
                <c:pt idx="223">
                  <c:v>0.89907459207286711</c:v>
                </c:pt>
                <c:pt idx="224">
                  <c:v>4.9601950415608997E-2</c:v>
                </c:pt>
                <c:pt idx="225">
                  <c:v>0.42278935478496232</c:v>
                </c:pt>
                <c:pt idx="226">
                  <c:v>0.73033309340857655</c:v>
                </c:pt>
                <c:pt idx="227">
                  <c:v>0.50109901690302749</c:v>
                </c:pt>
                <c:pt idx="228">
                  <c:v>0.25209312915422505</c:v>
                </c:pt>
                <c:pt idx="229">
                  <c:v>0.56289614014029365</c:v>
                </c:pt>
                <c:pt idx="230">
                  <c:v>0.52583047719323306</c:v>
                </c:pt>
                <c:pt idx="231">
                  <c:v>0.68189571524191106</c:v>
                </c:pt>
                <c:pt idx="232">
                  <c:v>0.29582636364049641</c:v>
                </c:pt>
                <c:pt idx="233">
                  <c:v>0.9864342462066058</c:v>
                </c:pt>
                <c:pt idx="234">
                  <c:v>0.67148095562892873</c:v>
                </c:pt>
                <c:pt idx="235">
                  <c:v>0.88965523435142724</c:v>
                </c:pt>
                <c:pt idx="236">
                  <c:v>1.3945308298462449</c:v>
                </c:pt>
                <c:pt idx="237">
                  <c:v>0.3923097595352264</c:v>
                </c:pt>
                <c:pt idx="238">
                  <c:v>0.67884499479866678</c:v>
                </c:pt>
                <c:pt idx="239">
                  <c:v>1.1227508647870805</c:v>
                </c:pt>
                <c:pt idx="240">
                  <c:v>1.2981692677204579</c:v>
                </c:pt>
                <c:pt idx="241">
                  <c:v>1.2318855340477941</c:v>
                </c:pt>
                <c:pt idx="242">
                  <c:v>2.0495673231823082</c:v>
                </c:pt>
                <c:pt idx="243">
                  <c:v>1.5162600626124534</c:v>
                </c:pt>
                <c:pt idx="244">
                  <c:v>0.86512720068574966</c:v>
                </c:pt>
                <c:pt idx="245">
                  <c:v>1.7838137955907867</c:v>
                </c:pt>
                <c:pt idx="246">
                  <c:v>1.2556613170298607</c:v>
                </c:pt>
                <c:pt idx="247">
                  <c:v>0.46927062840817635</c:v>
                </c:pt>
                <c:pt idx="248">
                  <c:v>0.62932287755922789</c:v>
                </c:pt>
                <c:pt idx="249">
                  <c:v>0.615618883888152</c:v>
                </c:pt>
                <c:pt idx="250">
                  <c:v>0.44067714811435083</c:v>
                </c:pt>
                <c:pt idx="251">
                  <c:v>0.6741997527501441</c:v>
                </c:pt>
                <c:pt idx="252">
                  <c:v>0.96283307101210236</c:v>
                </c:pt>
                <c:pt idx="253">
                  <c:v>0.54960251871964072</c:v>
                </c:pt>
                <c:pt idx="254">
                  <c:v>0.18351326990590297</c:v>
                </c:pt>
                <c:pt idx="255">
                  <c:v>0.86863177262542624</c:v>
                </c:pt>
                <c:pt idx="256">
                  <c:v>9.8968093299999157E-2</c:v>
                </c:pt>
                <c:pt idx="257">
                  <c:v>0.74311457340756248</c:v>
                </c:pt>
                <c:pt idx="258">
                  <c:v>0.47275152523126773</c:v>
                </c:pt>
                <c:pt idx="259">
                  <c:v>0.82872582733503775</c:v>
                </c:pt>
                <c:pt idx="260">
                  <c:v>0.40465761814971285</c:v>
                </c:pt>
                <c:pt idx="261">
                  <c:v>0.72383517914687023</c:v>
                </c:pt>
                <c:pt idx="262">
                  <c:v>0.9652817932482316</c:v>
                </c:pt>
                <c:pt idx="263">
                  <c:v>0.58797379071325639</c:v>
                </c:pt>
                <c:pt idx="264">
                  <c:v>0.93415208617024326</c:v>
                </c:pt>
                <c:pt idx="265">
                  <c:v>0.42977485500237533</c:v>
                </c:pt>
                <c:pt idx="266">
                  <c:v>0.58499968222071874</c:v>
                </c:pt>
                <c:pt idx="267">
                  <c:v>1.1553728887824959</c:v>
                </c:pt>
                <c:pt idx="268">
                  <c:v>1.4210934246019173</c:v>
                </c:pt>
                <c:pt idx="269">
                  <c:v>0.44057670734716048</c:v>
                </c:pt>
                <c:pt idx="270">
                  <c:v>0.28587008887895454</c:v>
                </c:pt>
                <c:pt idx="271">
                  <c:v>1.1237799205301318</c:v>
                </c:pt>
                <c:pt idx="272">
                  <c:v>1.2940803610775782</c:v>
                </c:pt>
                <c:pt idx="273">
                  <c:v>1.4621689173672026</c:v>
                </c:pt>
                <c:pt idx="274">
                  <c:v>1.1125538360386904</c:v>
                </c:pt>
                <c:pt idx="275">
                  <c:v>1.3811852366923032</c:v>
                </c:pt>
                <c:pt idx="276">
                  <c:v>0.68318492026134381</c:v>
                </c:pt>
                <c:pt idx="277">
                  <c:v>0.10781176073301131</c:v>
                </c:pt>
                <c:pt idx="278">
                  <c:v>0.81472209360807923</c:v>
                </c:pt>
                <c:pt idx="279">
                  <c:v>1.3490802536850326</c:v>
                </c:pt>
                <c:pt idx="280">
                  <c:v>1.068128124329806</c:v>
                </c:pt>
                <c:pt idx="281">
                  <c:v>1.0946547995295095</c:v>
                </c:pt>
                <c:pt idx="282">
                  <c:v>0.8922161853928342</c:v>
                </c:pt>
                <c:pt idx="283">
                  <c:v>1.0380758062064921</c:v>
                </c:pt>
                <c:pt idx="284">
                  <c:v>1.0376510193411035</c:v>
                </c:pt>
                <c:pt idx="285">
                  <c:v>1.0038085245916462</c:v>
                </c:pt>
                <c:pt idx="286">
                  <c:v>0.81779574666662891</c:v>
                </c:pt>
                <c:pt idx="287">
                  <c:v>0.3185236933392801</c:v>
                </c:pt>
                <c:pt idx="288">
                  <c:v>1.0734996460103441</c:v>
                </c:pt>
                <c:pt idx="289">
                  <c:v>0.87661006698837485</c:v>
                </c:pt>
                <c:pt idx="290">
                  <c:v>0.55098097991249251</c:v>
                </c:pt>
                <c:pt idx="291">
                  <c:v>0.55956860774968387</c:v>
                </c:pt>
                <c:pt idx="292">
                  <c:v>0.65904254249869054</c:v>
                </c:pt>
                <c:pt idx="293">
                  <c:v>1.2804509003381612</c:v>
                </c:pt>
                <c:pt idx="294">
                  <c:v>0.3739653881823311</c:v>
                </c:pt>
                <c:pt idx="295">
                  <c:v>0.51685717808165166</c:v>
                </c:pt>
                <c:pt idx="296">
                  <c:v>0.99521483763327234</c:v>
                </c:pt>
                <c:pt idx="297">
                  <c:v>0.50930985739502765</c:v>
                </c:pt>
                <c:pt idx="298">
                  <c:v>0.54147631541168539</c:v>
                </c:pt>
                <c:pt idx="299">
                  <c:v>1.2484222161797882</c:v>
                </c:pt>
                <c:pt idx="300">
                  <c:v>1.254913177514924</c:v>
                </c:pt>
                <c:pt idx="301">
                  <c:v>0.5087926844079772</c:v>
                </c:pt>
                <c:pt idx="302">
                  <c:v>1.3522395832030429</c:v>
                </c:pt>
                <c:pt idx="303">
                  <c:v>0.72531248958619998</c:v>
                </c:pt>
                <c:pt idx="304">
                  <c:v>0.81928845982406195</c:v>
                </c:pt>
                <c:pt idx="305">
                  <c:v>0.42476988318019399</c:v>
                </c:pt>
                <c:pt idx="306">
                  <c:v>1.4249476178839002</c:v>
                </c:pt>
                <c:pt idx="307">
                  <c:v>1.3920789255784902</c:v>
                </c:pt>
                <c:pt idx="308">
                  <c:v>0.61107782751901607</c:v>
                </c:pt>
                <c:pt idx="309">
                  <c:v>0.79516384055390754</c:v>
                </c:pt>
                <c:pt idx="310">
                  <c:v>0.43195510794737901</c:v>
                </c:pt>
                <c:pt idx="311">
                  <c:v>0.97339607740662082</c:v>
                </c:pt>
                <c:pt idx="312">
                  <c:v>1.0802925259303646</c:v>
                </c:pt>
                <c:pt idx="313">
                  <c:v>1.2774746604753648</c:v>
                </c:pt>
                <c:pt idx="314">
                  <c:v>1.6531181862368927</c:v>
                </c:pt>
                <c:pt idx="315">
                  <c:v>0.62055201846907071</c:v>
                </c:pt>
                <c:pt idx="316">
                  <c:v>0.98850068394181168</c:v>
                </c:pt>
                <c:pt idx="317">
                  <c:v>0.91846656176489438</c:v>
                </c:pt>
                <c:pt idx="318">
                  <c:v>0.98320311628135326</c:v>
                </c:pt>
                <c:pt idx="319">
                  <c:v>1.0050541265593316</c:v>
                </c:pt>
                <c:pt idx="320">
                  <c:v>1.8633510962183495</c:v>
                </c:pt>
                <c:pt idx="321">
                  <c:v>0.83301968605816656</c:v>
                </c:pt>
                <c:pt idx="322">
                  <c:v>1.2408012231218963</c:v>
                </c:pt>
                <c:pt idx="323">
                  <c:v>1.6190268100104286</c:v>
                </c:pt>
                <c:pt idx="324">
                  <c:v>1.6575270881645403</c:v>
                </c:pt>
                <c:pt idx="325">
                  <c:v>1.2464148690914083</c:v>
                </c:pt>
                <c:pt idx="326">
                  <c:v>0.29194431698389517</c:v>
                </c:pt>
                <c:pt idx="327">
                  <c:v>1.5424241768122628</c:v>
                </c:pt>
                <c:pt idx="328">
                  <c:v>0.85019484471835682</c:v>
                </c:pt>
                <c:pt idx="329">
                  <c:v>1.5995662211964574</c:v>
                </c:pt>
                <c:pt idx="330">
                  <c:v>0.74603487264753043</c:v>
                </c:pt>
                <c:pt idx="331">
                  <c:v>1.8578704523107537</c:v>
                </c:pt>
                <c:pt idx="332">
                  <c:v>0.65707182308418388</c:v>
                </c:pt>
                <c:pt idx="333">
                  <c:v>0.95795026734906541</c:v>
                </c:pt>
                <c:pt idx="334">
                  <c:v>0.82658443458621778</c:v>
                </c:pt>
                <c:pt idx="335">
                  <c:v>0.79876668590071576</c:v>
                </c:pt>
                <c:pt idx="336">
                  <c:v>0.94179686818817987</c:v>
                </c:pt>
                <c:pt idx="337">
                  <c:v>1.1755306284305473</c:v>
                </c:pt>
                <c:pt idx="338">
                  <c:v>0.26950587457377961</c:v>
                </c:pt>
                <c:pt idx="339">
                  <c:v>1.1019848266307728</c:v>
                </c:pt>
                <c:pt idx="340">
                  <c:v>1.4529857191252675</c:v>
                </c:pt>
                <c:pt idx="341">
                  <c:v>0.31420322201663342</c:v>
                </c:pt>
                <c:pt idx="342">
                  <c:v>0.69209247285424436</c:v>
                </c:pt>
                <c:pt idx="343">
                  <c:v>0.96101162649773986</c:v>
                </c:pt>
                <c:pt idx="344">
                  <c:v>1.1256468137257263</c:v>
                </c:pt>
                <c:pt idx="345">
                  <c:v>9.5253342283302553E-2</c:v>
                </c:pt>
                <c:pt idx="346">
                  <c:v>1.1133065768816175</c:v>
                </c:pt>
                <c:pt idx="347">
                  <c:v>0.92961509410616827</c:v>
                </c:pt>
                <c:pt idx="348">
                  <c:v>0.26832629526354868</c:v>
                </c:pt>
                <c:pt idx="349">
                  <c:v>0.20874667161331828</c:v>
                </c:pt>
                <c:pt idx="350">
                  <c:v>0.52437323288245097</c:v>
                </c:pt>
                <c:pt idx="351">
                  <c:v>0.27950942613999424</c:v>
                </c:pt>
                <c:pt idx="352">
                  <c:v>0.90991221128306099</c:v>
                </c:pt>
                <c:pt idx="353">
                  <c:v>0.536221115661771</c:v>
                </c:pt>
                <c:pt idx="354">
                  <c:v>0.44713831339967469</c:v>
                </c:pt>
                <c:pt idx="355">
                  <c:v>0.96668887130455605</c:v>
                </c:pt>
                <c:pt idx="356">
                  <c:v>1.0525996336222949</c:v>
                </c:pt>
                <c:pt idx="357">
                  <c:v>1.1989694862400766</c:v>
                </c:pt>
                <c:pt idx="358">
                  <c:v>0.76206455555314723</c:v>
                </c:pt>
                <c:pt idx="359">
                  <c:v>1.1471720852609906</c:v>
                </c:pt>
                <c:pt idx="360">
                  <c:v>1.4248857729443825</c:v>
                </c:pt>
                <c:pt idx="361">
                  <c:v>1.4960816577446872</c:v>
                </c:pt>
                <c:pt idx="362">
                  <c:v>0.87035456385760324</c:v>
                </c:pt>
                <c:pt idx="363">
                  <c:v>1.0151852631455833</c:v>
                </c:pt>
                <c:pt idx="364">
                  <c:v>0.9392814872223787</c:v>
                </c:pt>
                <c:pt idx="365">
                  <c:v>0.41454766462754822</c:v>
                </c:pt>
                <c:pt idx="366">
                  <c:v>0.76264682872681211</c:v>
                </c:pt>
                <c:pt idx="367">
                  <c:v>0.92739924961118636</c:v>
                </c:pt>
                <c:pt idx="368">
                  <c:v>1.2754162888373675</c:v>
                </c:pt>
                <c:pt idx="369">
                  <c:v>0.36054364363533259</c:v>
                </c:pt>
                <c:pt idx="370">
                  <c:v>0.68223476848839903</c:v>
                </c:pt>
                <c:pt idx="371">
                  <c:v>1.2752915221704966</c:v>
                </c:pt>
                <c:pt idx="372">
                  <c:v>1.2740109161166551</c:v>
                </c:pt>
                <c:pt idx="373">
                  <c:v>0.99795098492909862</c:v>
                </c:pt>
                <c:pt idx="374">
                  <c:v>0.68452220763525962</c:v>
                </c:pt>
                <c:pt idx="375">
                  <c:v>0.68846529443489135</c:v>
                </c:pt>
                <c:pt idx="376">
                  <c:v>0.39031449926077283</c:v>
                </c:pt>
                <c:pt idx="377">
                  <c:v>0.83181869978257117</c:v>
                </c:pt>
                <c:pt idx="378">
                  <c:v>1.1432707873606107</c:v>
                </c:pt>
                <c:pt idx="379">
                  <c:v>0.86173644636949098</c:v>
                </c:pt>
                <c:pt idx="380">
                  <c:v>1.0314850226699779</c:v>
                </c:pt>
                <c:pt idx="381">
                  <c:v>1.7998431338661096</c:v>
                </c:pt>
                <c:pt idx="382">
                  <c:v>1.1974673953775787</c:v>
                </c:pt>
                <c:pt idx="383">
                  <c:v>1.4955276861900504</c:v>
                </c:pt>
                <c:pt idx="384">
                  <c:v>0.1752825338080562</c:v>
                </c:pt>
                <c:pt idx="385">
                  <c:v>1.2177474909415058</c:v>
                </c:pt>
                <c:pt idx="386">
                  <c:v>0.70634494347379195</c:v>
                </c:pt>
                <c:pt idx="387">
                  <c:v>0.88844773688118783</c:v>
                </c:pt>
                <c:pt idx="388">
                  <c:v>1.7155054995797852</c:v>
                </c:pt>
                <c:pt idx="389">
                  <c:v>0.16676739269024038</c:v>
                </c:pt>
                <c:pt idx="390">
                  <c:v>0.87895618352773497</c:v>
                </c:pt>
                <c:pt idx="391">
                  <c:v>0.63204367109224102</c:v>
                </c:pt>
              </c:numCache>
            </c:numRef>
          </c:yVal>
          <c:smooth val="0"/>
          <c:extLst>
            <c:ext xmlns:c16="http://schemas.microsoft.com/office/drawing/2014/chart" uri="{C3380CC4-5D6E-409C-BE32-E72D297353CC}">
              <c16:uniqueId val="{00000001-F424-47F2-B983-6773C834F028}"/>
            </c:ext>
          </c:extLst>
        </c:ser>
        <c:dLbls>
          <c:showLegendKey val="0"/>
          <c:showVal val="0"/>
          <c:showCatName val="0"/>
          <c:showSerName val="0"/>
          <c:showPercent val="0"/>
          <c:showBubbleSize val="0"/>
        </c:dLbls>
        <c:axId val="19912592"/>
        <c:axId val="22830096"/>
      </c:scatterChart>
      <c:valAx>
        <c:axId val="19912592"/>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22830096"/>
        <c:crosses val="autoZero"/>
        <c:crossBetween val="midCat"/>
      </c:valAx>
      <c:valAx>
        <c:axId val="22830096"/>
        <c:scaling>
          <c:orientation val="minMax"/>
        </c:scaling>
        <c:delete val="0"/>
        <c:axPos val="l"/>
        <c:majorGridlines/>
        <c:title>
          <c:tx>
            <c:rich>
              <a:bodyPr/>
              <a:lstStyle/>
              <a:p>
                <a:pPr>
                  <a:defRPr/>
                </a:pPr>
                <a:r>
                  <a:rPr lang="en-US"/>
                  <a:t>√|Studentized Residual|</a:t>
                </a:r>
              </a:p>
            </c:rich>
          </c:tx>
          <c:overlay val="0"/>
        </c:title>
        <c:numFmt formatCode="0" sourceLinked="0"/>
        <c:majorTickMark val="out"/>
        <c:minorTickMark val="none"/>
        <c:tickLblPos val="nextTo"/>
        <c:crossAx val="19912592"/>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Cook's Distance</a:t>
            </a:r>
          </a:p>
        </c:rich>
      </c:tx>
      <c:overlay val="0"/>
      <c:spPr>
        <a:solidFill>
          <a:srgbClr val="CAEDFB"/>
        </a:solidFill>
      </c:spPr>
    </c:title>
    <c:autoTitleDeleted val="0"/>
    <c:plotArea>
      <c:layout/>
      <c:barChart>
        <c:barDir val="col"/>
        <c:grouping val="clustered"/>
        <c:varyColors val="0"/>
        <c:ser>
          <c:idx val="0"/>
          <c:order val="0"/>
          <c:tx>
            <c:v>Cook's Distance</c:v>
          </c:tx>
          <c:invertIfNegative val="0"/>
          <c:val>
            <c:numRef>
              <c:f>Regression!RegChartCookDist</c:f>
              <c:numCache>
                <c:formatCode>0.0000</c:formatCode>
                <c:ptCount val="392"/>
                <c:pt idx="0">
                  <c:v>3.6754428083898453E-4</c:v>
                </c:pt>
                <c:pt idx="1">
                  <c:v>2.34807289196539E-5</c:v>
                </c:pt>
                <c:pt idx="2">
                  <c:v>3.1059732014921516E-4</c:v>
                </c:pt>
                <c:pt idx="3">
                  <c:v>1.8173549121273713E-4</c:v>
                </c:pt>
                <c:pt idx="4">
                  <c:v>5.0380500510358217E-7</c:v>
                </c:pt>
                <c:pt idx="5">
                  <c:v>3.3692573430558702E-3</c:v>
                </c:pt>
                <c:pt idx="6">
                  <c:v>3.0063214519006724E-3</c:v>
                </c:pt>
                <c:pt idx="7">
                  <c:v>2.297282597575574E-3</c:v>
                </c:pt>
                <c:pt idx="8">
                  <c:v>4.1804729026989323E-3</c:v>
                </c:pt>
                <c:pt idx="9">
                  <c:v>2.214201314542533E-4</c:v>
                </c:pt>
                <c:pt idx="10">
                  <c:v>2.0077587758420966E-4</c:v>
                </c:pt>
                <c:pt idx="11">
                  <c:v>7.8733138753294416E-4</c:v>
                </c:pt>
                <c:pt idx="12">
                  <c:v>1.1219488900922424E-5</c:v>
                </c:pt>
                <c:pt idx="13">
                  <c:v>1.0355921898592959E-2</c:v>
                </c:pt>
                <c:pt idx="14">
                  <c:v>5.5292272908023029E-4</c:v>
                </c:pt>
                <c:pt idx="15">
                  <c:v>4.8179719659587972E-4</c:v>
                </c:pt>
                <c:pt idx="16">
                  <c:v>3.0471804305155937E-3</c:v>
                </c:pt>
                <c:pt idx="17">
                  <c:v>5.3100063365988423E-4</c:v>
                </c:pt>
                <c:pt idx="18">
                  <c:v>8.2410948129185235E-5</c:v>
                </c:pt>
                <c:pt idx="19">
                  <c:v>3.2940079133687945E-3</c:v>
                </c:pt>
                <c:pt idx="20">
                  <c:v>6.9656393771628427E-4</c:v>
                </c:pt>
                <c:pt idx="21">
                  <c:v>2.6757104145415611E-4</c:v>
                </c:pt>
                <c:pt idx="22">
                  <c:v>1.285837892010095E-6</c:v>
                </c:pt>
                <c:pt idx="23">
                  <c:v>9.1401420889604447E-5</c:v>
                </c:pt>
                <c:pt idx="24">
                  <c:v>2.3203088177442646E-4</c:v>
                </c:pt>
                <c:pt idx="25">
                  <c:v>8.705053750157693E-6</c:v>
                </c:pt>
                <c:pt idx="26">
                  <c:v>4.6074819083103937E-4</c:v>
                </c:pt>
                <c:pt idx="27">
                  <c:v>2.7027747579047299E-6</c:v>
                </c:pt>
                <c:pt idx="28">
                  <c:v>1.0654646364981789E-4</c:v>
                </c:pt>
                <c:pt idx="29">
                  <c:v>7.0215809939308985E-5</c:v>
                </c:pt>
                <c:pt idx="30">
                  <c:v>3.5652487247722739E-3</c:v>
                </c:pt>
                <c:pt idx="31">
                  <c:v>1.1944280641904474E-3</c:v>
                </c:pt>
                <c:pt idx="32">
                  <c:v>3.7854309026787501E-3</c:v>
                </c:pt>
                <c:pt idx="33">
                  <c:v>1.7090893677473593E-3</c:v>
                </c:pt>
                <c:pt idx="34">
                  <c:v>1.2533973309379685E-3</c:v>
                </c:pt>
                <c:pt idx="35">
                  <c:v>6.4644108034656565E-5</c:v>
                </c:pt>
                <c:pt idx="36">
                  <c:v>4.8578999244009346E-4</c:v>
                </c:pt>
                <c:pt idx="37">
                  <c:v>4.6561898072069656E-5</c:v>
                </c:pt>
                <c:pt idx="38">
                  <c:v>1.1301842896385282E-3</c:v>
                </c:pt>
                <c:pt idx="39">
                  <c:v>2.0682111384461643E-6</c:v>
                </c:pt>
                <c:pt idx="40">
                  <c:v>5.2020433725499967E-5</c:v>
                </c:pt>
                <c:pt idx="41">
                  <c:v>2.2281742354487285E-3</c:v>
                </c:pt>
                <c:pt idx="42">
                  <c:v>1.690061169542192E-3</c:v>
                </c:pt>
                <c:pt idx="43">
                  <c:v>7.7364623983457691E-3</c:v>
                </c:pt>
                <c:pt idx="44">
                  <c:v>2.1168747955341571E-3</c:v>
                </c:pt>
                <c:pt idx="45">
                  <c:v>1.5250187306289781E-3</c:v>
                </c:pt>
                <c:pt idx="46">
                  <c:v>3.5568681059557331E-5</c:v>
                </c:pt>
                <c:pt idx="47">
                  <c:v>1.5230080763382213E-3</c:v>
                </c:pt>
                <c:pt idx="48">
                  <c:v>1.2479823486709657E-3</c:v>
                </c:pt>
                <c:pt idx="49">
                  <c:v>1.7167428775597299E-4</c:v>
                </c:pt>
                <c:pt idx="50">
                  <c:v>1.5557403605267906E-3</c:v>
                </c:pt>
                <c:pt idx="51">
                  <c:v>1.6560625973104767E-3</c:v>
                </c:pt>
                <c:pt idx="52">
                  <c:v>6.7201268951934195E-4</c:v>
                </c:pt>
                <c:pt idx="53">
                  <c:v>7.9540200138242968E-3</c:v>
                </c:pt>
                <c:pt idx="54">
                  <c:v>1.8855578190512155E-3</c:v>
                </c:pt>
                <c:pt idx="55">
                  <c:v>1.1155389639298558E-4</c:v>
                </c:pt>
                <c:pt idx="56">
                  <c:v>5.8609937575260836E-4</c:v>
                </c:pt>
                <c:pt idx="57">
                  <c:v>1.8251494497609693E-4</c:v>
                </c:pt>
                <c:pt idx="58">
                  <c:v>3.4854916482902278E-3</c:v>
                </c:pt>
                <c:pt idx="59">
                  <c:v>2.2992117628888448E-3</c:v>
                </c:pt>
                <c:pt idx="60">
                  <c:v>2.4490999147277915E-3</c:v>
                </c:pt>
                <c:pt idx="61">
                  <c:v>2.6160164199702187E-4</c:v>
                </c:pt>
                <c:pt idx="62">
                  <c:v>2.1190915902930527E-3</c:v>
                </c:pt>
                <c:pt idx="63">
                  <c:v>1.0897083862935067E-3</c:v>
                </c:pt>
                <c:pt idx="64">
                  <c:v>2.8878407312035926E-4</c:v>
                </c:pt>
                <c:pt idx="65">
                  <c:v>7.540683395695733E-4</c:v>
                </c:pt>
                <c:pt idx="66">
                  <c:v>8.8009930219651864E-4</c:v>
                </c:pt>
                <c:pt idx="67">
                  <c:v>1.158815025469532E-3</c:v>
                </c:pt>
                <c:pt idx="68">
                  <c:v>1.9083071939234706E-4</c:v>
                </c:pt>
                <c:pt idx="69">
                  <c:v>1.5029811765241736E-3</c:v>
                </c:pt>
                <c:pt idx="70">
                  <c:v>1.2041954383457973E-2</c:v>
                </c:pt>
                <c:pt idx="71">
                  <c:v>1.6365819459319866E-4</c:v>
                </c:pt>
                <c:pt idx="72">
                  <c:v>6.9609488850078151E-5</c:v>
                </c:pt>
                <c:pt idx="73">
                  <c:v>1.3442287771775845E-4</c:v>
                </c:pt>
                <c:pt idx="74">
                  <c:v>1.4083972970042332E-4</c:v>
                </c:pt>
                <c:pt idx="75">
                  <c:v>4.4117497165024064E-3</c:v>
                </c:pt>
                <c:pt idx="76">
                  <c:v>1.8875104784440995E-3</c:v>
                </c:pt>
                <c:pt idx="77">
                  <c:v>2.2819180345161848E-4</c:v>
                </c:pt>
                <c:pt idx="78">
                  <c:v>2.1763544257762724E-6</c:v>
                </c:pt>
                <c:pt idx="79">
                  <c:v>2.1520678488999738E-4</c:v>
                </c:pt>
                <c:pt idx="80">
                  <c:v>2.3636637964117818E-3</c:v>
                </c:pt>
                <c:pt idx="81">
                  <c:v>4.2739652627326973E-4</c:v>
                </c:pt>
                <c:pt idx="82">
                  <c:v>5.3187978632043709E-3</c:v>
                </c:pt>
                <c:pt idx="83">
                  <c:v>1.4580616877093663E-4</c:v>
                </c:pt>
                <c:pt idx="84">
                  <c:v>7.7121370315234676E-5</c:v>
                </c:pt>
                <c:pt idx="85">
                  <c:v>1.633697648983552E-4</c:v>
                </c:pt>
                <c:pt idx="86">
                  <c:v>3.41072329342815E-5</c:v>
                </c:pt>
                <c:pt idx="87">
                  <c:v>9.6938152578108052E-5</c:v>
                </c:pt>
                <c:pt idx="88">
                  <c:v>5.7514649367666781E-5</c:v>
                </c:pt>
                <c:pt idx="89">
                  <c:v>4.6064966597044949E-3</c:v>
                </c:pt>
                <c:pt idx="90">
                  <c:v>9.4323127268055207E-4</c:v>
                </c:pt>
                <c:pt idx="91">
                  <c:v>5.4502843087953954E-4</c:v>
                </c:pt>
                <c:pt idx="92">
                  <c:v>6.9685566042903733E-4</c:v>
                </c:pt>
                <c:pt idx="93">
                  <c:v>6.1298740672773898E-3</c:v>
                </c:pt>
                <c:pt idx="94">
                  <c:v>7.5886080672865341E-3</c:v>
                </c:pt>
                <c:pt idx="95">
                  <c:v>1.473123904386963E-4</c:v>
                </c:pt>
                <c:pt idx="96">
                  <c:v>4.4993300213987257E-5</c:v>
                </c:pt>
                <c:pt idx="97">
                  <c:v>6.8042137360537316E-4</c:v>
                </c:pt>
                <c:pt idx="98">
                  <c:v>4.3036099915624349E-4</c:v>
                </c:pt>
                <c:pt idx="99">
                  <c:v>3.7937895031364449E-4</c:v>
                </c:pt>
                <c:pt idx="100">
                  <c:v>2.2745610997066666E-3</c:v>
                </c:pt>
                <c:pt idx="101">
                  <c:v>5.6548084865628765E-4</c:v>
                </c:pt>
                <c:pt idx="102">
                  <c:v>2.7438770542934508E-3</c:v>
                </c:pt>
                <c:pt idx="103">
                  <c:v>3.35375926789739E-3</c:v>
                </c:pt>
                <c:pt idx="104">
                  <c:v>2.4031468448560667E-3</c:v>
                </c:pt>
                <c:pt idx="105">
                  <c:v>6.0577184723648383E-4</c:v>
                </c:pt>
                <c:pt idx="106">
                  <c:v>1.0492289704715078E-3</c:v>
                </c:pt>
                <c:pt idx="107">
                  <c:v>7.0911158671741765E-3</c:v>
                </c:pt>
                <c:pt idx="108">
                  <c:v>7.443322664768201E-4</c:v>
                </c:pt>
                <c:pt idx="109">
                  <c:v>1.6532889736620513E-3</c:v>
                </c:pt>
                <c:pt idx="110">
                  <c:v>1.7043893646453555E-2</c:v>
                </c:pt>
                <c:pt idx="111">
                  <c:v>3.9250309517006171E-3</c:v>
                </c:pt>
                <c:pt idx="112">
                  <c:v>1.3339369925580096E-4</c:v>
                </c:pt>
                <c:pt idx="113">
                  <c:v>2.6968379516022147E-4</c:v>
                </c:pt>
                <c:pt idx="114">
                  <c:v>7.6627389377137119E-4</c:v>
                </c:pt>
                <c:pt idx="115">
                  <c:v>1.5232369994827872E-2</c:v>
                </c:pt>
                <c:pt idx="116">
                  <c:v>5.6051582264195177E-4</c:v>
                </c:pt>
                <c:pt idx="117">
                  <c:v>8.5837605658505305E-4</c:v>
                </c:pt>
                <c:pt idx="118">
                  <c:v>2.9233755109492575E-3</c:v>
                </c:pt>
                <c:pt idx="119">
                  <c:v>1.7068052633930145E-3</c:v>
                </c:pt>
                <c:pt idx="120">
                  <c:v>3.663291417823262E-4</c:v>
                </c:pt>
                <c:pt idx="121">
                  <c:v>4.6355127300932699E-4</c:v>
                </c:pt>
                <c:pt idx="122">
                  <c:v>9.2443789980417546E-4</c:v>
                </c:pt>
                <c:pt idx="123">
                  <c:v>3.5214511972825654E-3</c:v>
                </c:pt>
                <c:pt idx="124">
                  <c:v>1.3911385496748123E-4</c:v>
                </c:pt>
                <c:pt idx="125">
                  <c:v>2.0209788357389603E-3</c:v>
                </c:pt>
                <c:pt idx="126">
                  <c:v>5.6155672815874852E-3</c:v>
                </c:pt>
                <c:pt idx="127">
                  <c:v>1.3085644958385797E-3</c:v>
                </c:pt>
                <c:pt idx="128">
                  <c:v>9.8121962635278667E-4</c:v>
                </c:pt>
                <c:pt idx="129">
                  <c:v>1.9128386377732154E-3</c:v>
                </c:pt>
                <c:pt idx="130">
                  <c:v>4.0258837650253195E-4</c:v>
                </c:pt>
                <c:pt idx="131">
                  <c:v>4.7423777402829249E-4</c:v>
                </c:pt>
                <c:pt idx="132">
                  <c:v>9.1667782099527856E-4</c:v>
                </c:pt>
                <c:pt idx="133">
                  <c:v>7.3485180761357239E-7</c:v>
                </c:pt>
                <c:pt idx="134">
                  <c:v>5.1499756946704319E-4</c:v>
                </c:pt>
                <c:pt idx="135">
                  <c:v>6.1753686570022647E-4</c:v>
                </c:pt>
                <c:pt idx="136">
                  <c:v>3.7562131648234085E-4</c:v>
                </c:pt>
                <c:pt idx="137">
                  <c:v>1.2668404438458728E-3</c:v>
                </c:pt>
                <c:pt idx="138">
                  <c:v>5.3713449731715359E-7</c:v>
                </c:pt>
                <c:pt idx="139">
                  <c:v>1.0437196977374377E-3</c:v>
                </c:pt>
                <c:pt idx="140">
                  <c:v>2.9239765362483101E-3</c:v>
                </c:pt>
                <c:pt idx="141">
                  <c:v>3.2938884363680192E-4</c:v>
                </c:pt>
                <c:pt idx="142">
                  <c:v>1.2221370089460612E-5</c:v>
                </c:pt>
                <c:pt idx="143">
                  <c:v>3.365726204821601E-3</c:v>
                </c:pt>
                <c:pt idx="144">
                  <c:v>1.4723016665139849E-3</c:v>
                </c:pt>
                <c:pt idx="145">
                  <c:v>5.6980339185633885E-3</c:v>
                </c:pt>
                <c:pt idx="146">
                  <c:v>5.8209173033592408E-4</c:v>
                </c:pt>
                <c:pt idx="147">
                  <c:v>1.1655083173075383E-3</c:v>
                </c:pt>
                <c:pt idx="148">
                  <c:v>5.3282971853456959E-5</c:v>
                </c:pt>
                <c:pt idx="149">
                  <c:v>1.9176603742006981E-3</c:v>
                </c:pt>
                <c:pt idx="150">
                  <c:v>1.6423450272720468E-5</c:v>
                </c:pt>
                <c:pt idx="151">
                  <c:v>2.9344256287308819E-6</c:v>
                </c:pt>
                <c:pt idx="152">
                  <c:v>4.7930164375910266E-3</c:v>
                </c:pt>
                <c:pt idx="153">
                  <c:v>7.7830325589615043E-3</c:v>
                </c:pt>
                <c:pt idx="154">
                  <c:v>7.8805652842904063E-3</c:v>
                </c:pt>
                <c:pt idx="155">
                  <c:v>1.7163587022957112E-3</c:v>
                </c:pt>
                <c:pt idx="156">
                  <c:v>4.1842892969318861E-3</c:v>
                </c:pt>
                <c:pt idx="157">
                  <c:v>2.1046924450569644E-3</c:v>
                </c:pt>
                <c:pt idx="158">
                  <c:v>4.0237065341328126E-4</c:v>
                </c:pt>
                <c:pt idx="159">
                  <c:v>3.0971924792745049E-6</c:v>
                </c:pt>
                <c:pt idx="160">
                  <c:v>6.7035362396424773E-4</c:v>
                </c:pt>
                <c:pt idx="161">
                  <c:v>5.5451159645289157E-4</c:v>
                </c:pt>
                <c:pt idx="162">
                  <c:v>1.8376966255360998E-4</c:v>
                </c:pt>
                <c:pt idx="163">
                  <c:v>1.4088353926934238E-4</c:v>
                </c:pt>
                <c:pt idx="164">
                  <c:v>1.1411024261701269E-2</c:v>
                </c:pt>
                <c:pt idx="165">
                  <c:v>1.0759320631190616E-3</c:v>
                </c:pt>
                <c:pt idx="166">
                  <c:v>3.8545143009552257E-5</c:v>
                </c:pt>
                <c:pt idx="167">
                  <c:v>2.3182860362914372E-4</c:v>
                </c:pt>
                <c:pt idx="168">
                  <c:v>9.7743494523160525E-7</c:v>
                </c:pt>
                <c:pt idx="169">
                  <c:v>7.3578717392995239E-6</c:v>
                </c:pt>
                <c:pt idx="170">
                  <c:v>1.1042361165811147E-3</c:v>
                </c:pt>
                <c:pt idx="171">
                  <c:v>2.8547663095470542E-4</c:v>
                </c:pt>
                <c:pt idx="172">
                  <c:v>1.7261967878924593E-3</c:v>
                </c:pt>
                <c:pt idx="173">
                  <c:v>1.6052171099173177E-4</c:v>
                </c:pt>
                <c:pt idx="174">
                  <c:v>9.1731960876766412E-5</c:v>
                </c:pt>
                <c:pt idx="175">
                  <c:v>3.8281358385704688E-4</c:v>
                </c:pt>
                <c:pt idx="176">
                  <c:v>5.5714349909394559E-6</c:v>
                </c:pt>
                <c:pt idx="177">
                  <c:v>1.8806854102407716E-4</c:v>
                </c:pt>
                <c:pt idx="178">
                  <c:v>5.0629714512212727E-4</c:v>
                </c:pt>
                <c:pt idx="179">
                  <c:v>4.3254101044937513E-3</c:v>
                </c:pt>
                <c:pt idx="180">
                  <c:v>9.3603107765154691E-4</c:v>
                </c:pt>
                <c:pt idx="181">
                  <c:v>1.797685789047434E-3</c:v>
                </c:pt>
                <c:pt idx="182">
                  <c:v>4.9314571829620513E-4</c:v>
                </c:pt>
                <c:pt idx="183">
                  <c:v>9.765941011693387E-5</c:v>
                </c:pt>
                <c:pt idx="184">
                  <c:v>8.8700600488571737E-5</c:v>
                </c:pt>
                <c:pt idx="185">
                  <c:v>2.132490305725493E-3</c:v>
                </c:pt>
                <c:pt idx="186">
                  <c:v>5.6435892396387193E-4</c:v>
                </c:pt>
                <c:pt idx="187">
                  <c:v>8.2836039655796013E-5</c:v>
                </c:pt>
                <c:pt idx="188">
                  <c:v>9.9786410096223046E-6</c:v>
                </c:pt>
                <c:pt idx="189">
                  <c:v>7.509848928351564E-4</c:v>
                </c:pt>
                <c:pt idx="190">
                  <c:v>1.3872122881645962E-3</c:v>
                </c:pt>
                <c:pt idx="191">
                  <c:v>1.4132422684014045E-3</c:v>
                </c:pt>
                <c:pt idx="192">
                  <c:v>4.7774766919710722E-4</c:v>
                </c:pt>
                <c:pt idx="193">
                  <c:v>1.2529702681123756E-3</c:v>
                </c:pt>
                <c:pt idx="194">
                  <c:v>7.8839270533019774E-4</c:v>
                </c:pt>
                <c:pt idx="195">
                  <c:v>2.9666174993551399E-6</c:v>
                </c:pt>
                <c:pt idx="196">
                  <c:v>2.430212241802746E-3</c:v>
                </c:pt>
                <c:pt idx="197">
                  <c:v>9.7414680643075503E-4</c:v>
                </c:pt>
                <c:pt idx="198">
                  <c:v>1.804579520529167E-4</c:v>
                </c:pt>
                <c:pt idx="199">
                  <c:v>8.8371472904510444E-5</c:v>
                </c:pt>
                <c:pt idx="200">
                  <c:v>1.8054730036373983E-3</c:v>
                </c:pt>
                <c:pt idx="201">
                  <c:v>7.2135723349850473E-6</c:v>
                </c:pt>
                <c:pt idx="202">
                  <c:v>2.7975061003270257E-3</c:v>
                </c:pt>
                <c:pt idx="203">
                  <c:v>3.9129992780615229E-7</c:v>
                </c:pt>
                <c:pt idx="204">
                  <c:v>1.595401683831486E-3</c:v>
                </c:pt>
                <c:pt idx="205">
                  <c:v>1.7467117093002043E-3</c:v>
                </c:pt>
                <c:pt idx="206">
                  <c:v>1.7592596334059286E-3</c:v>
                </c:pt>
                <c:pt idx="207">
                  <c:v>3.0564674748133577E-3</c:v>
                </c:pt>
                <c:pt idx="208">
                  <c:v>6.4772014803550016E-3</c:v>
                </c:pt>
                <c:pt idx="209">
                  <c:v>1.8424991340947824E-3</c:v>
                </c:pt>
                <c:pt idx="210">
                  <c:v>3.8013662770483487E-3</c:v>
                </c:pt>
                <c:pt idx="211">
                  <c:v>1.1231914493353005E-3</c:v>
                </c:pt>
                <c:pt idx="212">
                  <c:v>2.4886122643385461E-3</c:v>
                </c:pt>
                <c:pt idx="213">
                  <c:v>3.3500178156531464E-3</c:v>
                </c:pt>
                <c:pt idx="214">
                  <c:v>6.0591474413001676E-4</c:v>
                </c:pt>
                <c:pt idx="215">
                  <c:v>2.3145490611005772E-3</c:v>
                </c:pt>
                <c:pt idx="216">
                  <c:v>7.8703278063428847E-3</c:v>
                </c:pt>
                <c:pt idx="217">
                  <c:v>2.3010283096977808E-4</c:v>
                </c:pt>
                <c:pt idx="218">
                  <c:v>2.7211822643756441E-3</c:v>
                </c:pt>
                <c:pt idx="219">
                  <c:v>4.1528067158141236E-7</c:v>
                </c:pt>
                <c:pt idx="220">
                  <c:v>1.374721736872366E-5</c:v>
                </c:pt>
                <c:pt idx="221">
                  <c:v>1.4626070451054007E-4</c:v>
                </c:pt>
                <c:pt idx="222">
                  <c:v>1.5320306744409423E-4</c:v>
                </c:pt>
                <c:pt idx="223">
                  <c:v>1.5644948348165081E-3</c:v>
                </c:pt>
                <c:pt idx="224">
                  <c:v>1.4582748947170539E-8</c:v>
                </c:pt>
                <c:pt idx="225">
                  <c:v>8.8496100589804255E-5</c:v>
                </c:pt>
                <c:pt idx="226">
                  <c:v>7.6394464843268105E-4</c:v>
                </c:pt>
                <c:pt idx="227">
                  <c:v>1.9758759791664929E-4</c:v>
                </c:pt>
                <c:pt idx="228">
                  <c:v>1.1468956821846464E-5</c:v>
                </c:pt>
                <c:pt idx="229">
                  <c:v>3.4758605236243426E-4</c:v>
                </c:pt>
                <c:pt idx="230">
                  <c:v>2.0485049891335791E-4</c:v>
                </c:pt>
                <c:pt idx="231">
                  <c:v>7.1073948431203671E-4</c:v>
                </c:pt>
                <c:pt idx="232">
                  <c:v>1.8745056327978849E-5</c:v>
                </c:pt>
                <c:pt idx="233">
                  <c:v>2.7688696773164527E-3</c:v>
                </c:pt>
                <c:pt idx="234">
                  <c:v>4.9552907027581336E-4</c:v>
                </c:pt>
                <c:pt idx="235">
                  <c:v>1.8657578421682358E-3</c:v>
                </c:pt>
                <c:pt idx="236">
                  <c:v>1.1643930329232586E-2</c:v>
                </c:pt>
                <c:pt idx="237">
                  <c:v>6.9675617228154668E-5</c:v>
                </c:pt>
                <c:pt idx="238">
                  <c:v>6.5438157939957074E-4</c:v>
                </c:pt>
                <c:pt idx="239">
                  <c:v>4.791418281541465E-3</c:v>
                </c:pt>
                <c:pt idx="240">
                  <c:v>9.6043353193524268E-3</c:v>
                </c:pt>
                <c:pt idx="241">
                  <c:v>6.8690855003637292E-3</c:v>
                </c:pt>
                <c:pt idx="242">
                  <c:v>4.6959959279888761E-2</c:v>
                </c:pt>
                <c:pt idx="243">
                  <c:v>1.4175460654412718E-2</c:v>
                </c:pt>
                <c:pt idx="244">
                  <c:v>1.4805288140072991E-3</c:v>
                </c:pt>
                <c:pt idx="245">
                  <c:v>2.409028614825447E-2</c:v>
                </c:pt>
                <c:pt idx="246">
                  <c:v>6.0570846398093712E-3</c:v>
                </c:pt>
                <c:pt idx="247">
                  <c:v>8.8675516438309517E-5</c:v>
                </c:pt>
                <c:pt idx="248">
                  <c:v>3.0289446441747052E-4</c:v>
                </c:pt>
                <c:pt idx="249">
                  <c:v>2.8027998610575947E-4</c:v>
                </c:pt>
                <c:pt idx="250">
                  <c:v>7.66746634500931E-5</c:v>
                </c:pt>
                <c:pt idx="251">
                  <c:v>3.9596916404452566E-4</c:v>
                </c:pt>
                <c:pt idx="252">
                  <c:v>1.7161009038441971E-3</c:v>
                </c:pt>
                <c:pt idx="253">
                  <c:v>1.7494475780529764E-4</c:v>
                </c:pt>
                <c:pt idx="254">
                  <c:v>2.31012867798152E-6</c:v>
                </c:pt>
                <c:pt idx="255">
                  <c:v>1.1754212964191057E-3</c:v>
                </c:pt>
                <c:pt idx="256">
                  <c:v>1.8192816649843895E-7</c:v>
                </c:pt>
                <c:pt idx="257">
                  <c:v>6.3078274113854678E-4</c:v>
                </c:pt>
                <c:pt idx="258">
                  <c:v>1.0077273787285113E-4</c:v>
                </c:pt>
                <c:pt idx="259">
                  <c:v>8.5073862793208152E-4</c:v>
                </c:pt>
                <c:pt idx="260">
                  <c:v>5.8971136076672969E-5</c:v>
                </c:pt>
                <c:pt idx="261">
                  <c:v>8.3326283140426507E-4</c:v>
                </c:pt>
                <c:pt idx="262">
                  <c:v>1.9674980339091886E-3</c:v>
                </c:pt>
                <c:pt idx="263">
                  <c:v>2.4813602777608177E-4</c:v>
                </c:pt>
                <c:pt idx="264">
                  <c:v>1.73402773982469E-3</c:v>
                </c:pt>
                <c:pt idx="265">
                  <c:v>8.1712338986331064E-5</c:v>
                </c:pt>
                <c:pt idx="266">
                  <c:v>2.8493018540551589E-4</c:v>
                </c:pt>
                <c:pt idx="267">
                  <c:v>3.9362088773436318E-3</c:v>
                </c:pt>
                <c:pt idx="268">
                  <c:v>9.7253797156011245E-3</c:v>
                </c:pt>
                <c:pt idx="269">
                  <c:v>7.4400837671903121E-5</c:v>
                </c:pt>
                <c:pt idx="270">
                  <c:v>1.3036241783376027E-5</c:v>
                </c:pt>
                <c:pt idx="271">
                  <c:v>3.8234802921392566E-3</c:v>
                </c:pt>
                <c:pt idx="272">
                  <c:v>7.3600217544443651E-3</c:v>
                </c:pt>
                <c:pt idx="273">
                  <c:v>1.3507185613380037E-2</c:v>
                </c:pt>
                <c:pt idx="274">
                  <c:v>4.3542221406322424E-3</c:v>
                </c:pt>
                <c:pt idx="275">
                  <c:v>1.1369816866149523E-2</c:v>
                </c:pt>
                <c:pt idx="276">
                  <c:v>5.5545715540963815E-4</c:v>
                </c:pt>
                <c:pt idx="277">
                  <c:v>3.2715896315122653E-7</c:v>
                </c:pt>
                <c:pt idx="278">
                  <c:v>9.5393026049185375E-4</c:v>
                </c:pt>
                <c:pt idx="279">
                  <c:v>7.5226280013666914E-3</c:v>
                </c:pt>
                <c:pt idx="280">
                  <c:v>2.8829331984404493E-3</c:v>
                </c:pt>
                <c:pt idx="281">
                  <c:v>3.3731143674384807E-3</c:v>
                </c:pt>
                <c:pt idx="282">
                  <c:v>1.3579036099850713E-3</c:v>
                </c:pt>
                <c:pt idx="283">
                  <c:v>2.6367413490506341E-3</c:v>
                </c:pt>
                <c:pt idx="284">
                  <c:v>2.5812756200590935E-3</c:v>
                </c:pt>
                <c:pt idx="285">
                  <c:v>2.3702172657121263E-3</c:v>
                </c:pt>
                <c:pt idx="286">
                  <c:v>1.0193912173724509E-3</c:v>
                </c:pt>
                <c:pt idx="287">
                  <c:v>2.7125005284353174E-5</c:v>
                </c:pt>
                <c:pt idx="288">
                  <c:v>3.1801117960045147E-3</c:v>
                </c:pt>
                <c:pt idx="289">
                  <c:v>1.2930022535661641E-3</c:v>
                </c:pt>
                <c:pt idx="290">
                  <c:v>2.2740583656844949E-4</c:v>
                </c:pt>
                <c:pt idx="291">
                  <c:v>3.12088131316136E-4</c:v>
                </c:pt>
                <c:pt idx="292">
                  <c:v>5.8692470421661575E-4</c:v>
                </c:pt>
                <c:pt idx="293">
                  <c:v>8.5663255114177064E-3</c:v>
                </c:pt>
                <c:pt idx="294">
                  <c:v>4.4908750776935722E-5</c:v>
                </c:pt>
                <c:pt idx="295">
                  <c:v>3.3430031485072394E-4</c:v>
                </c:pt>
                <c:pt idx="296">
                  <c:v>2.2941891516981274E-3</c:v>
                </c:pt>
                <c:pt idx="297">
                  <c:v>2.7179456028937041E-4</c:v>
                </c:pt>
                <c:pt idx="298">
                  <c:v>2.1635245811846756E-4</c:v>
                </c:pt>
                <c:pt idx="299">
                  <c:v>6.2860466992159317E-3</c:v>
                </c:pt>
                <c:pt idx="300">
                  <c:v>6.5431503106133538E-3</c:v>
                </c:pt>
                <c:pt idx="301">
                  <c:v>2.0855291577570649E-4</c:v>
                </c:pt>
                <c:pt idx="302">
                  <c:v>1.009198993344795E-2</c:v>
                </c:pt>
                <c:pt idx="303">
                  <c:v>6.3192329082867879E-4</c:v>
                </c:pt>
                <c:pt idx="304">
                  <c:v>1.3219268319857665E-3</c:v>
                </c:pt>
                <c:pt idx="305">
                  <c:v>8.8993893524178441E-5</c:v>
                </c:pt>
                <c:pt idx="306">
                  <c:v>9.7910413829515944E-3</c:v>
                </c:pt>
                <c:pt idx="307">
                  <c:v>1.1625515480960857E-2</c:v>
                </c:pt>
                <c:pt idx="308">
                  <c:v>3.6644549050544065E-4</c:v>
                </c:pt>
                <c:pt idx="309">
                  <c:v>1.3116666064299904E-3</c:v>
                </c:pt>
                <c:pt idx="310">
                  <c:v>9.0854569129831202E-5</c:v>
                </c:pt>
                <c:pt idx="311">
                  <c:v>2.5929603784530155E-3</c:v>
                </c:pt>
                <c:pt idx="312">
                  <c:v>3.7943507873432376E-3</c:v>
                </c:pt>
                <c:pt idx="313">
                  <c:v>7.3712586997697633E-3</c:v>
                </c:pt>
                <c:pt idx="314">
                  <c:v>2.2225518853665093E-2</c:v>
                </c:pt>
                <c:pt idx="315">
                  <c:v>4.5938133914691137E-4</c:v>
                </c:pt>
                <c:pt idx="316">
                  <c:v>2.592493482164753E-3</c:v>
                </c:pt>
                <c:pt idx="317">
                  <c:v>1.9409652460273955E-3</c:v>
                </c:pt>
                <c:pt idx="318">
                  <c:v>2.5080789491045362E-3</c:v>
                </c:pt>
                <c:pt idx="319">
                  <c:v>2.6537921553327799E-3</c:v>
                </c:pt>
                <c:pt idx="320">
                  <c:v>3.1509345424163913E-2</c:v>
                </c:pt>
                <c:pt idx="321">
                  <c:v>1.4451526667439193E-3</c:v>
                </c:pt>
                <c:pt idx="322">
                  <c:v>6.1954015492519943E-3</c:v>
                </c:pt>
                <c:pt idx="323">
                  <c:v>2.0873683660506931E-2</c:v>
                </c:pt>
                <c:pt idx="324">
                  <c:v>2.4238765461914558E-2</c:v>
                </c:pt>
                <c:pt idx="325">
                  <c:v>8.512579252521876E-3</c:v>
                </c:pt>
                <c:pt idx="326">
                  <c:v>3.0396331523534392E-5</c:v>
                </c:pt>
                <c:pt idx="327">
                  <c:v>1.5138834664552051E-2</c:v>
                </c:pt>
                <c:pt idx="328">
                  <c:v>1.362935193344648E-3</c:v>
                </c:pt>
                <c:pt idx="329">
                  <c:v>2.0426309022841115E-2</c:v>
                </c:pt>
                <c:pt idx="330">
                  <c:v>1.0666275308936534E-3</c:v>
                </c:pt>
                <c:pt idx="331">
                  <c:v>3.3725966329777535E-2</c:v>
                </c:pt>
                <c:pt idx="332">
                  <c:v>5.7449906899618758E-4</c:v>
                </c:pt>
                <c:pt idx="333">
                  <c:v>2.2025036410607212E-3</c:v>
                </c:pt>
                <c:pt idx="334">
                  <c:v>1.2221021344029587E-3</c:v>
                </c:pt>
                <c:pt idx="335">
                  <c:v>1.0261645662393696E-3</c:v>
                </c:pt>
                <c:pt idx="336">
                  <c:v>2.0445968935016087E-3</c:v>
                </c:pt>
                <c:pt idx="337">
                  <c:v>5.4963222423871387E-3</c:v>
                </c:pt>
                <c:pt idx="338">
                  <c:v>1.4363995595847449E-5</c:v>
                </c:pt>
                <c:pt idx="339">
                  <c:v>3.7984921914540185E-3</c:v>
                </c:pt>
                <c:pt idx="340">
                  <c:v>1.3865269089159291E-2</c:v>
                </c:pt>
                <c:pt idx="341">
                  <c:v>2.5143442298404685E-5</c:v>
                </c:pt>
                <c:pt idx="342">
                  <c:v>5.8371953236483322E-4</c:v>
                </c:pt>
                <c:pt idx="343">
                  <c:v>2.1699524290074955E-3</c:v>
                </c:pt>
                <c:pt idx="344">
                  <c:v>4.1160404126380449E-3</c:v>
                </c:pt>
                <c:pt idx="345">
                  <c:v>2.0974923110860871E-7</c:v>
                </c:pt>
                <c:pt idx="346">
                  <c:v>4.2137008791074829E-3</c:v>
                </c:pt>
                <c:pt idx="347">
                  <c:v>2.1614175219013573E-3</c:v>
                </c:pt>
                <c:pt idx="348">
                  <c:v>1.3799396962001494E-5</c:v>
                </c:pt>
                <c:pt idx="349">
                  <c:v>6.1398716568037402E-6</c:v>
                </c:pt>
                <c:pt idx="350">
                  <c:v>1.9321108768246162E-4</c:v>
                </c:pt>
                <c:pt idx="351">
                  <c:v>1.5831434276901405E-5</c:v>
                </c:pt>
                <c:pt idx="352">
                  <c:v>1.8833516818890722E-3</c:v>
                </c:pt>
                <c:pt idx="353">
                  <c:v>2.3559477951898205E-4</c:v>
                </c:pt>
                <c:pt idx="354">
                  <c:v>1.6001116978650996E-4</c:v>
                </c:pt>
                <c:pt idx="355">
                  <c:v>3.4755931599012753E-3</c:v>
                </c:pt>
                <c:pt idx="356">
                  <c:v>3.6816435904011803E-3</c:v>
                </c:pt>
                <c:pt idx="357">
                  <c:v>6.3685165871422179E-3</c:v>
                </c:pt>
                <c:pt idx="358">
                  <c:v>8.3750582565428268E-4</c:v>
                </c:pt>
                <c:pt idx="359">
                  <c:v>4.8578202243035511E-3</c:v>
                </c:pt>
                <c:pt idx="360">
                  <c:v>1.0279387077060626E-2</c:v>
                </c:pt>
                <c:pt idx="361">
                  <c:v>1.4946822807055393E-2</c:v>
                </c:pt>
                <c:pt idx="362">
                  <c:v>1.2464009927449339E-3</c:v>
                </c:pt>
                <c:pt idx="363">
                  <c:v>2.2981735940034403E-3</c:v>
                </c:pt>
                <c:pt idx="364">
                  <c:v>1.7811442916589161E-3</c:v>
                </c:pt>
                <c:pt idx="365">
                  <c:v>6.4192953679571388E-5</c:v>
                </c:pt>
                <c:pt idx="366">
                  <c:v>7.3928958454274989E-4</c:v>
                </c:pt>
                <c:pt idx="367">
                  <c:v>1.593021416841849E-3</c:v>
                </c:pt>
                <c:pt idx="368">
                  <c:v>5.7133387015121419E-3</c:v>
                </c:pt>
                <c:pt idx="369">
                  <c:v>5.3534806589597148E-5</c:v>
                </c:pt>
                <c:pt idx="370">
                  <c:v>5.6798869237322999E-4</c:v>
                </c:pt>
                <c:pt idx="371">
                  <c:v>6.8871388294999445E-3</c:v>
                </c:pt>
                <c:pt idx="372">
                  <c:v>6.1900720136637581E-3</c:v>
                </c:pt>
                <c:pt idx="373">
                  <c:v>2.3252585222383769E-3</c:v>
                </c:pt>
                <c:pt idx="374">
                  <c:v>5.9691306285993831E-4</c:v>
                </c:pt>
                <c:pt idx="375">
                  <c:v>6.0027357340988079E-4</c:v>
                </c:pt>
                <c:pt idx="376">
                  <c:v>6.3705487945309389E-5</c:v>
                </c:pt>
                <c:pt idx="377">
                  <c:v>1.2473156859063596E-3</c:v>
                </c:pt>
                <c:pt idx="378">
                  <c:v>4.4510051121384358E-3</c:v>
                </c:pt>
                <c:pt idx="379">
                  <c:v>1.442136083935238E-3</c:v>
                </c:pt>
                <c:pt idx="380">
                  <c:v>2.5357816141103389E-3</c:v>
                </c:pt>
                <c:pt idx="381">
                  <c:v>2.4396798261845723E-2</c:v>
                </c:pt>
                <c:pt idx="382">
                  <c:v>4.5320589621589431E-3</c:v>
                </c:pt>
                <c:pt idx="383">
                  <c:v>1.1725485358042654E-2</c:v>
                </c:pt>
                <c:pt idx="384">
                  <c:v>2.7494206600981862E-6</c:v>
                </c:pt>
                <c:pt idx="385">
                  <c:v>4.9770355711066501E-3</c:v>
                </c:pt>
                <c:pt idx="386">
                  <c:v>5.4855298049970834E-4</c:v>
                </c:pt>
                <c:pt idx="387">
                  <c:v>1.356299494152636E-3</c:v>
                </c:pt>
                <c:pt idx="388">
                  <c:v>2.7739153271081101E-2</c:v>
                </c:pt>
                <c:pt idx="389">
                  <c:v>1.7970117380838996E-6</c:v>
                </c:pt>
                <c:pt idx="390">
                  <c:v>1.3108660454863893E-3</c:v>
                </c:pt>
                <c:pt idx="391">
                  <c:v>3.4972597563339862E-4</c:v>
                </c:pt>
              </c:numCache>
            </c:numRef>
          </c:val>
          <c:extLst>
            <c:ext xmlns:c16="http://schemas.microsoft.com/office/drawing/2014/chart" uri="{C3380CC4-5D6E-409C-BE32-E72D297353CC}">
              <c16:uniqueId val="{00000001-2DB8-4523-A5A9-A0164F75C215}"/>
            </c:ext>
          </c:extLst>
        </c:ser>
        <c:dLbls>
          <c:showLegendKey val="0"/>
          <c:showVal val="0"/>
          <c:showCatName val="0"/>
          <c:showSerName val="0"/>
          <c:showPercent val="0"/>
          <c:showBubbleSize val="0"/>
        </c:dLbls>
        <c:gapWidth val="150"/>
        <c:axId val="664288128"/>
        <c:axId val="22706736"/>
      </c:barChart>
      <c:catAx>
        <c:axId val="664288128"/>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22706736"/>
        <c:crosses val="autoZero"/>
        <c:auto val="1"/>
        <c:lblAlgn val="ctr"/>
        <c:lblOffset val="100"/>
        <c:noMultiLvlLbl val="0"/>
      </c:catAx>
      <c:valAx>
        <c:axId val="22706736"/>
        <c:scaling>
          <c:orientation val="minMax"/>
        </c:scaling>
        <c:delete val="0"/>
        <c:axPos val="l"/>
        <c:majorGridlines/>
        <c:title>
          <c:tx>
            <c:rich>
              <a:bodyPr/>
              <a:lstStyle/>
              <a:p>
                <a:pPr>
                  <a:defRPr/>
                </a:pPr>
                <a:r>
                  <a:rPr lang="en-US"/>
                  <a:t>Cook's Distance</a:t>
                </a:r>
              </a:p>
            </c:rich>
          </c:tx>
          <c:overlay val="0"/>
        </c:title>
        <c:numFmt formatCode="0.0E+00" sourceLinked="0"/>
        <c:majorTickMark val="out"/>
        <c:minorTickMark val="none"/>
        <c:tickLblPos val="nextTo"/>
        <c:crossAx val="664288128"/>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Studentized Residuals vs. Leverage</a:t>
            </a:r>
          </a:p>
        </c:rich>
      </c:tx>
      <c:overlay val="0"/>
      <c:spPr>
        <a:solidFill>
          <a:srgbClr val="CAEDFB"/>
        </a:solidFill>
      </c:spPr>
    </c:title>
    <c:autoTitleDeleted val="0"/>
    <c:plotArea>
      <c:layout/>
      <c:scatterChart>
        <c:scatterStyle val="lineMarker"/>
        <c:varyColors val="0"/>
        <c:ser>
          <c:idx val="0"/>
          <c:order val="0"/>
          <c:tx>
            <c:v>Studentized Residuals vs. Leverage</c:v>
          </c:tx>
          <c:spPr>
            <a:ln w="38100">
              <a:noFill/>
            </a:ln>
          </c:spPr>
          <c:marker>
            <c:symbol val="diamond"/>
            <c:size val="4"/>
          </c:marker>
          <c:xVal>
            <c:numRef>
              <c:f>Regression!RegChartLeverage</c:f>
              <c:numCache>
                <c:formatCode>0.0000</c:formatCode>
                <c:ptCount val="392"/>
                <c:pt idx="0">
                  <c:v>4.0149898039742615E-2</c:v>
                </c:pt>
                <c:pt idx="1">
                  <c:v>3.5578253857220431E-2</c:v>
                </c:pt>
                <c:pt idx="2">
                  <c:v>3.544727708510207E-2</c:v>
                </c:pt>
                <c:pt idx="3">
                  <c:v>3.5454383105468036E-2</c:v>
                </c:pt>
                <c:pt idx="4">
                  <c:v>3.6442373899522838E-2</c:v>
                </c:pt>
                <c:pt idx="5">
                  <c:v>4.042419204907835E-2</c:v>
                </c:pt>
                <c:pt idx="6">
                  <c:v>5.0603384396069082E-2</c:v>
                </c:pt>
                <c:pt idx="7">
                  <c:v>4.8040491817131645E-2</c:v>
                </c:pt>
                <c:pt idx="8">
                  <c:v>5.2897375567846273E-2</c:v>
                </c:pt>
                <c:pt idx="9">
                  <c:v>4.132014629964112E-2</c:v>
                </c:pt>
                <c:pt idx="10">
                  <c:v>3.7522532485470127E-2</c:v>
                </c:pt>
                <c:pt idx="11">
                  <c:v>3.5380032445534768E-2</c:v>
                </c:pt>
                <c:pt idx="12">
                  <c:v>3.6838396596956549E-2</c:v>
                </c:pt>
                <c:pt idx="13">
                  <c:v>0.11212017961465819</c:v>
                </c:pt>
                <c:pt idx="14">
                  <c:v>5.4985468923604633E-2</c:v>
                </c:pt>
                <c:pt idx="15">
                  <c:v>4.8771107501306768E-2</c:v>
                </c:pt>
                <c:pt idx="16">
                  <c:v>4.695010427724941E-2</c:v>
                </c:pt>
                <c:pt idx="17">
                  <c:v>5.1942024882097544E-2</c:v>
                </c:pt>
                <c:pt idx="18">
                  <c:v>5.5009922789087756E-2</c:v>
                </c:pt>
                <c:pt idx="19">
                  <c:v>6.8142656866106793E-2</c:v>
                </c:pt>
                <c:pt idx="20">
                  <c:v>5.7444350257130856E-2</c:v>
                </c:pt>
                <c:pt idx="21">
                  <c:v>5.1568524658183831E-2</c:v>
                </c:pt>
                <c:pt idx="22">
                  <c:v>4.9464537797579741E-2</c:v>
                </c:pt>
                <c:pt idx="23">
                  <c:v>4.9413009365655451E-2</c:v>
                </c:pt>
                <c:pt idx="24">
                  <c:v>4.9584288806374846E-2</c:v>
                </c:pt>
                <c:pt idx="25">
                  <c:v>4.5553437442162031E-2</c:v>
                </c:pt>
                <c:pt idx="26">
                  <c:v>4.0933470674793776E-2</c:v>
                </c:pt>
                <c:pt idx="27">
                  <c:v>4.4587292508687454E-2</c:v>
                </c:pt>
                <c:pt idx="28">
                  <c:v>4.3597810529259505E-2</c:v>
                </c:pt>
                <c:pt idx="29">
                  <c:v>5.0482475252271251E-2</c:v>
                </c:pt>
                <c:pt idx="30">
                  <c:v>4.6906901296231408E-2</c:v>
                </c:pt>
                <c:pt idx="31">
                  <c:v>5.0935386039696162E-2</c:v>
                </c:pt>
                <c:pt idx="32">
                  <c:v>4.1917364463458243E-2</c:v>
                </c:pt>
                <c:pt idx="33">
                  <c:v>4.0762584893143786E-2</c:v>
                </c:pt>
                <c:pt idx="34">
                  <c:v>4.0942536286414317E-2</c:v>
                </c:pt>
                <c:pt idx="35">
                  <c:v>4.5737615254886607E-2</c:v>
                </c:pt>
                <c:pt idx="36">
                  <c:v>4.045648501890594E-2</c:v>
                </c:pt>
                <c:pt idx="37">
                  <c:v>4.490969346053824E-2</c:v>
                </c:pt>
                <c:pt idx="38">
                  <c:v>4.8236454390409113E-2</c:v>
                </c:pt>
                <c:pt idx="39">
                  <c:v>4.2572422246359647E-2</c:v>
                </c:pt>
                <c:pt idx="40">
                  <c:v>4.1929569462095764E-2</c:v>
                </c:pt>
                <c:pt idx="41">
                  <c:v>5.4827297260499556E-2</c:v>
                </c:pt>
                <c:pt idx="42">
                  <c:v>5.0818250261889436E-2</c:v>
                </c:pt>
                <c:pt idx="43">
                  <c:v>6.0087439699154588E-2</c:v>
                </c:pt>
                <c:pt idx="44">
                  <c:v>3.9345147076828242E-2</c:v>
                </c:pt>
                <c:pt idx="45">
                  <c:v>4.4387571078158897E-2</c:v>
                </c:pt>
                <c:pt idx="46">
                  <c:v>4.0391072118825221E-2</c:v>
                </c:pt>
                <c:pt idx="47">
                  <c:v>4.2955679782943249E-2</c:v>
                </c:pt>
                <c:pt idx="48">
                  <c:v>4.6967075740257901E-2</c:v>
                </c:pt>
                <c:pt idx="49">
                  <c:v>5.4491719512995432E-2</c:v>
                </c:pt>
                <c:pt idx="50">
                  <c:v>5.0904856771056842E-2</c:v>
                </c:pt>
                <c:pt idx="51">
                  <c:v>5.1536941571397543E-2</c:v>
                </c:pt>
                <c:pt idx="52">
                  <c:v>5.1440861703403784E-2</c:v>
                </c:pt>
                <c:pt idx="53">
                  <c:v>5.3281992204502804E-2</c:v>
                </c:pt>
                <c:pt idx="54">
                  <c:v>5.2154473018058457E-2</c:v>
                </c:pt>
                <c:pt idx="55">
                  <c:v>5.0200126232252701E-2</c:v>
                </c:pt>
                <c:pt idx="56">
                  <c:v>4.812672986947801E-2</c:v>
                </c:pt>
                <c:pt idx="57">
                  <c:v>5.0955596766720554E-2</c:v>
                </c:pt>
                <c:pt idx="58">
                  <c:v>5.5489928772256662E-2</c:v>
                </c:pt>
                <c:pt idx="59">
                  <c:v>4.618302958520222E-2</c:v>
                </c:pt>
                <c:pt idx="60">
                  <c:v>4.93615349739061E-2</c:v>
                </c:pt>
                <c:pt idx="61">
                  <c:v>4.0564604334394488E-2</c:v>
                </c:pt>
                <c:pt idx="62">
                  <c:v>4.2648578571305377E-2</c:v>
                </c:pt>
                <c:pt idx="63">
                  <c:v>3.9159162685000928E-2</c:v>
                </c:pt>
                <c:pt idx="64">
                  <c:v>3.9029459660414413E-2</c:v>
                </c:pt>
                <c:pt idx="65">
                  <c:v>3.9309167670658646E-2</c:v>
                </c:pt>
                <c:pt idx="66">
                  <c:v>5.6427203997578376E-2</c:v>
                </c:pt>
                <c:pt idx="67">
                  <c:v>4.3819711275624673E-2</c:v>
                </c:pt>
                <c:pt idx="68">
                  <c:v>4.2181857106601633E-2</c:v>
                </c:pt>
                <c:pt idx="69">
                  <c:v>4.8030921024309239E-2</c:v>
                </c:pt>
                <c:pt idx="70">
                  <c:v>4.7965750122984138E-2</c:v>
                </c:pt>
                <c:pt idx="71">
                  <c:v>3.8154178376464405E-2</c:v>
                </c:pt>
                <c:pt idx="72">
                  <c:v>4.3315666055294896E-2</c:v>
                </c:pt>
                <c:pt idx="73">
                  <c:v>4.3819711639490791E-2</c:v>
                </c:pt>
                <c:pt idx="74">
                  <c:v>3.8701777045903059E-2</c:v>
                </c:pt>
                <c:pt idx="75">
                  <c:v>4.8872568958417593E-2</c:v>
                </c:pt>
                <c:pt idx="76">
                  <c:v>4.996481696967215E-2</c:v>
                </c:pt>
                <c:pt idx="77">
                  <c:v>5.286145261151471E-2</c:v>
                </c:pt>
                <c:pt idx="78">
                  <c:v>5.0003897923478341E-2</c:v>
                </c:pt>
                <c:pt idx="79">
                  <c:v>4.6305603284802668E-2</c:v>
                </c:pt>
                <c:pt idx="80">
                  <c:v>4.794178277891481E-2</c:v>
                </c:pt>
                <c:pt idx="81">
                  <c:v>4.7582585184613516E-2</c:v>
                </c:pt>
                <c:pt idx="82">
                  <c:v>5.0180308887671402E-2</c:v>
                </c:pt>
                <c:pt idx="83">
                  <c:v>4.8924810565100008E-2</c:v>
                </c:pt>
                <c:pt idx="84">
                  <c:v>3.0545392578793636E-2</c:v>
                </c:pt>
                <c:pt idx="85">
                  <c:v>2.7011897802173251E-2</c:v>
                </c:pt>
                <c:pt idx="86">
                  <c:v>2.6908924211681815E-2</c:v>
                </c:pt>
                <c:pt idx="87">
                  <c:v>2.9356198266036856E-2</c:v>
                </c:pt>
                <c:pt idx="88">
                  <c:v>2.6400911104933582E-2</c:v>
                </c:pt>
                <c:pt idx="89">
                  <c:v>3.6900707411663757E-2</c:v>
                </c:pt>
                <c:pt idx="90">
                  <c:v>3.3433098722742423E-2</c:v>
                </c:pt>
                <c:pt idx="91">
                  <c:v>2.9386956950390161E-2</c:v>
                </c:pt>
                <c:pt idx="92">
                  <c:v>2.8992761758663603E-2</c:v>
                </c:pt>
                <c:pt idx="93">
                  <c:v>4.457601353687983E-2</c:v>
                </c:pt>
                <c:pt idx="94">
                  <c:v>4.893022194556227E-2</c:v>
                </c:pt>
                <c:pt idx="95">
                  <c:v>3.4602713165386309E-2</c:v>
                </c:pt>
                <c:pt idx="96">
                  <c:v>2.9715993614829274E-2</c:v>
                </c:pt>
                <c:pt idx="97">
                  <c:v>3.273135274350103E-2</c:v>
                </c:pt>
                <c:pt idx="98">
                  <c:v>3.0762850246968242E-2</c:v>
                </c:pt>
                <c:pt idx="99">
                  <c:v>3.555927772974711E-2</c:v>
                </c:pt>
                <c:pt idx="100">
                  <c:v>3.2044006496218955E-2</c:v>
                </c:pt>
                <c:pt idx="101">
                  <c:v>4.8284679576095293E-2</c:v>
                </c:pt>
                <c:pt idx="102">
                  <c:v>5.207065402060785E-2</c:v>
                </c:pt>
                <c:pt idx="103">
                  <c:v>3.8934703793749144E-2</c:v>
                </c:pt>
                <c:pt idx="104">
                  <c:v>3.2267405941791109E-2</c:v>
                </c:pt>
                <c:pt idx="105">
                  <c:v>3.0849747810183924E-2</c:v>
                </c:pt>
                <c:pt idx="106">
                  <c:v>3.1387057487757081E-2</c:v>
                </c:pt>
                <c:pt idx="107">
                  <c:v>4.0511183142984845E-2</c:v>
                </c:pt>
                <c:pt idx="108">
                  <c:v>3.987940076710407E-2</c:v>
                </c:pt>
                <c:pt idx="109">
                  <c:v>3.9858734662671737E-2</c:v>
                </c:pt>
                <c:pt idx="110">
                  <c:v>4.0908895826768793E-2</c:v>
                </c:pt>
                <c:pt idx="111">
                  <c:v>3.8026724320240957E-2</c:v>
                </c:pt>
                <c:pt idx="112">
                  <c:v>3.7015208274130552E-2</c:v>
                </c:pt>
                <c:pt idx="113">
                  <c:v>3.9273864426025172E-2</c:v>
                </c:pt>
                <c:pt idx="114">
                  <c:v>2.788915394975712E-2</c:v>
                </c:pt>
                <c:pt idx="115">
                  <c:v>7.1718533906216742E-2</c:v>
                </c:pt>
                <c:pt idx="116">
                  <c:v>4.6372217608839757E-2</c:v>
                </c:pt>
                <c:pt idx="117">
                  <c:v>4.0000191815181163E-2</c:v>
                </c:pt>
                <c:pt idx="118">
                  <c:v>3.805348292346615E-2</c:v>
                </c:pt>
                <c:pt idx="119">
                  <c:v>3.7880044790532488E-2</c:v>
                </c:pt>
                <c:pt idx="120">
                  <c:v>3.0692356983148181E-2</c:v>
                </c:pt>
                <c:pt idx="121">
                  <c:v>3.8645493093118238E-2</c:v>
                </c:pt>
                <c:pt idx="122">
                  <c:v>3.9776770121747546E-2</c:v>
                </c:pt>
                <c:pt idx="123">
                  <c:v>4.1951063219862798E-2</c:v>
                </c:pt>
                <c:pt idx="124">
                  <c:v>4.1681720845725925E-2</c:v>
                </c:pt>
                <c:pt idx="125">
                  <c:v>4.2615099595863973E-2</c:v>
                </c:pt>
                <c:pt idx="126">
                  <c:v>4.1929203309126278E-2</c:v>
                </c:pt>
                <c:pt idx="127">
                  <c:v>4.9596337656819603E-2</c:v>
                </c:pt>
                <c:pt idx="128">
                  <c:v>4.6095974662596628E-2</c:v>
                </c:pt>
                <c:pt idx="129">
                  <c:v>5.0280943298176672E-2</c:v>
                </c:pt>
                <c:pt idx="130">
                  <c:v>4.5195292486137739E-2</c:v>
                </c:pt>
                <c:pt idx="131">
                  <c:v>4.9165845778550502E-2</c:v>
                </c:pt>
                <c:pt idx="132">
                  <c:v>4.2735154312296256E-2</c:v>
                </c:pt>
                <c:pt idx="133">
                  <c:v>4.3763467871605954E-2</c:v>
                </c:pt>
                <c:pt idx="134">
                  <c:v>4.5049751282210906E-2</c:v>
                </c:pt>
                <c:pt idx="135">
                  <c:v>5.4033117323552399E-2</c:v>
                </c:pt>
                <c:pt idx="136">
                  <c:v>4.8948096978339982E-2</c:v>
                </c:pt>
                <c:pt idx="137">
                  <c:v>5.5331075663274977E-2</c:v>
                </c:pt>
                <c:pt idx="138">
                  <c:v>4.653759851025966E-2</c:v>
                </c:pt>
                <c:pt idx="139">
                  <c:v>5.2132625039320549E-2</c:v>
                </c:pt>
                <c:pt idx="140">
                  <c:v>5.1447023247990456E-2</c:v>
                </c:pt>
                <c:pt idx="141">
                  <c:v>5.0020849802743295E-2</c:v>
                </c:pt>
                <c:pt idx="142">
                  <c:v>5.1522121063569362E-2</c:v>
                </c:pt>
                <c:pt idx="143">
                  <c:v>4.9821646072405704E-2</c:v>
                </c:pt>
                <c:pt idx="144">
                  <c:v>5.1496745076147758E-2</c:v>
                </c:pt>
                <c:pt idx="145">
                  <c:v>5.1365356097886748E-2</c:v>
                </c:pt>
                <c:pt idx="146">
                  <c:v>4.9948811373861986E-2</c:v>
                </c:pt>
                <c:pt idx="147">
                  <c:v>5.0141769981706191E-2</c:v>
                </c:pt>
                <c:pt idx="148">
                  <c:v>4.9910696077755404E-2</c:v>
                </c:pt>
                <c:pt idx="149">
                  <c:v>5.0990530009204414E-2</c:v>
                </c:pt>
                <c:pt idx="150">
                  <c:v>3.574414313936964E-2</c:v>
                </c:pt>
                <c:pt idx="151">
                  <c:v>3.503510364992779E-2</c:v>
                </c:pt>
                <c:pt idx="152">
                  <c:v>4.8468447253223503E-2</c:v>
                </c:pt>
                <c:pt idx="153">
                  <c:v>4.265740901741475E-2</c:v>
                </c:pt>
                <c:pt idx="154">
                  <c:v>4.4820942448239413E-2</c:v>
                </c:pt>
                <c:pt idx="155">
                  <c:v>4.0295891210602973E-2</c:v>
                </c:pt>
                <c:pt idx="156">
                  <c:v>4.0897736141287049E-2</c:v>
                </c:pt>
                <c:pt idx="157">
                  <c:v>4.375470825654347E-2</c:v>
                </c:pt>
                <c:pt idx="158">
                  <c:v>3.8802549304697426E-2</c:v>
                </c:pt>
                <c:pt idx="159">
                  <c:v>4.0550061485985271E-2</c:v>
                </c:pt>
                <c:pt idx="160">
                  <c:v>3.6213181908382158E-2</c:v>
                </c:pt>
                <c:pt idx="161">
                  <c:v>4.2873777663927769E-2</c:v>
                </c:pt>
                <c:pt idx="162">
                  <c:v>3.8262991290562078E-2</c:v>
                </c:pt>
                <c:pt idx="163">
                  <c:v>3.5845191221584291E-2</c:v>
                </c:pt>
                <c:pt idx="164">
                  <c:v>4.3566451925430752E-2</c:v>
                </c:pt>
                <c:pt idx="165">
                  <c:v>4.7178286413457775E-2</c:v>
                </c:pt>
                <c:pt idx="166">
                  <c:v>3.9549118220708876E-2</c:v>
                </c:pt>
                <c:pt idx="167">
                  <c:v>3.7843962917676E-2</c:v>
                </c:pt>
                <c:pt idx="168">
                  <c:v>3.9967778821523768E-2</c:v>
                </c:pt>
                <c:pt idx="169">
                  <c:v>4.7066803238434332E-2</c:v>
                </c:pt>
                <c:pt idx="170">
                  <c:v>4.6422402489413581E-2</c:v>
                </c:pt>
                <c:pt idx="171">
                  <c:v>4.7916183652933104E-2</c:v>
                </c:pt>
                <c:pt idx="172">
                  <c:v>3.6582858116322593E-2</c:v>
                </c:pt>
                <c:pt idx="173">
                  <c:v>5.0674058742774059E-2</c:v>
                </c:pt>
                <c:pt idx="174">
                  <c:v>3.649184830731441E-2</c:v>
                </c:pt>
                <c:pt idx="175">
                  <c:v>4.7178576518786146E-2</c:v>
                </c:pt>
                <c:pt idx="176">
                  <c:v>4.6145599109593788E-2</c:v>
                </c:pt>
                <c:pt idx="177">
                  <c:v>4.661450658576885E-2</c:v>
                </c:pt>
                <c:pt idx="178">
                  <c:v>5.710316922230399E-2</c:v>
                </c:pt>
                <c:pt idx="179">
                  <c:v>4.9364660077821906E-2</c:v>
                </c:pt>
                <c:pt idx="180">
                  <c:v>4.1153887070672017E-2</c:v>
                </c:pt>
                <c:pt idx="181">
                  <c:v>4.2581826113320717E-2</c:v>
                </c:pt>
                <c:pt idx="182">
                  <c:v>3.6756720464821639E-2</c:v>
                </c:pt>
                <c:pt idx="183">
                  <c:v>4.0625422118048454E-2</c:v>
                </c:pt>
                <c:pt idx="184">
                  <c:v>4.3460623886076202E-2</c:v>
                </c:pt>
                <c:pt idx="185">
                  <c:v>3.5065516812038573E-2</c:v>
                </c:pt>
                <c:pt idx="186">
                  <c:v>3.519179467288841E-2</c:v>
                </c:pt>
                <c:pt idx="187">
                  <c:v>3.4710340110544365E-2</c:v>
                </c:pt>
                <c:pt idx="188">
                  <c:v>3.5592867582380963E-2</c:v>
                </c:pt>
                <c:pt idx="189">
                  <c:v>3.1607871987985987E-2</c:v>
                </c:pt>
                <c:pt idx="190">
                  <c:v>3.1358116348539258E-2</c:v>
                </c:pt>
                <c:pt idx="191">
                  <c:v>3.4789421341587426E-2</c:v>
                </c:pt>
                <c:pt idx="192">
                  <c:v>3.2808881221181266E-2</c:v>
                </c:pt>
                <c:pt idx="193">
                  <c:v>4.3907903822605801E-2</c:v>
                </c:pt>
                <c:pt idx="194">
                  <c:v>4.1334985344032231E-2</c:v>
                </c:pt>
                <c:pt idx="195">
                  <c:v>4.393457692484759E-2</c:v>
                </c:pt>
                <c:pt idx="196">
                  <c:v>4.5682451098333909E-2</c:v>
                </c:pt>
                <c:pt idx="197">
                  <c:v>3.6041566214087523E-2</c:v>
                </c:pt>
                <c:pt idx="198">
                  <c:v>4.7455102359536781E-2</c:v>
                </c:pt>
                <c:pt idx="199">
                  <c:v>3.2675410542189164E-2</c:v>
                </c:pt>
                <c:pt idx="200">
                  <c:v>3.2246727730245492E-2</c:v>
                </c:pt>
                <c:pt idx="201">
                  <c:v>4.6489794191789918E-2</c:v>
                </c:pt>
                <c:pt idx="202">
                  <c:v>4.4040272230168237E-2</c:v>
                </c:pt>
                <c:pt idx="203">
                  <c:v>4.3350610044236071E-2</c:v>
                </c:pt>
                <c:pt idx="204">
                  <c:v>3.6411444622850564E-2</c:v>
                </c:pt>
                <c:pt idx="205">
                  <c:v>4.3042025864849058E-2</c:v>
                </c:pt>
                <c:pt idx="206">
                  <c:v>3.5371291299942126E-2</c:v>
                </c:pt>
                <c:pt idx="207">
                  <c:v>4.7441901732412563E-2</c:v>
                </c:pt>
                <c:pt idx="208">
                  <c:v>4.5101384794468423E-2</c:v>
                </c:pt>
                <c:pt idx="209">
                  <c:v>5.2143200958480455E-2</c:v>
                </c:pt>
                <c:pt idx="210">
                  <c:v>4.5377289279871169E-2</c:v>
                </c:pt>
                <c:pt idx="211">
                  <c:v>3.4025124972775156E-2</c:v>
                </c:pt>
                <c:pt idx="212">
                  <c:v>3.2249410702291689E-2</c:v>
                </c:pt>
                <c:pt idx="213">
                  <c:v>3.7135465112778508E-2</c:v>
                </c:pt>
                <c:pt idx="214">
                  <c:v>4.7573961811810575E-2</c:v>
                </c:pt>
                <c:pt idx="215">
                  <c:v>4.7111530230497453E-2</c:v>
                </c:pt>
                <c:pt idx="216">
                  <c:v>5.1189340081255051E-2</c:v>
                </c:pt>
                <c:pt idx="217">
                  <c:v>4.7857645864700191E-2</c:v>
                </c:pt>
                <c:pt idx="218">
                  <c:v>4.7431289784227601E-2</c:v>
                </c:pt>
                <c:pt idx="219">
                  <c:v>3.9585539885507684E-2</c:v>
                </c:pt>
                <c:pt idx="220">
                  <c:v>5.1387654780163682E-2</c:v>
                </c:pt>
                <c:pt idx="221">
                  <c:v>4.1156840419458537E-2</c:v>
                </c:pt>
                <c:pt idx="222">
                  <c:v>4.7817128542920702E-2</c:v>
                </c:pt>
                <c:pt idx="223">
                  <c:v>3.9112251127676453E-2</c:v>
                </c:pt>
                <c:pt idx="224">
                  <c:v>3.9342493844486986E-2</c:v>
                </c:pt>
                <c:pt idx="225">
                  <c:v>4.4967132968366005E-2</c:v>
                </c:pt>
                <c:pt idx="226">
                  <c:v>4.3655720287064367E-2</c:v>
                </c:pt>
                <c:pt idx="227">
                  <c:v>5.057933115994296E-2</c:v>
                </c:pt>
                <c:pt idx="228">
                  <c:v>4.6052506658354996E-2</c:v>
                </c:pt>
                <c:pt idx="229">
                  <c:v>5.5585416560546497E-2</c:v>
                </c:pt>
                <c:pt idx="230">
                  <c:v>4.3566983395152824E-2</c:v>
                </c:pt>
                <c:pt idx="231">
                  <c:v>5.2926272357712363E-2</c:v>
                </c:pt>
                <c:pt idx="232">
                  <c:v>3.9946930254294279E-2</c:v>
                </c:pt>
                <c:pt idx="233">
                  <c:v>4.7359583478988977E-2</c:v>
                </c:pt>
                <c:pt idx="234">
                  <c:v>3.9787848643024322E-2</c:v>
                </c:pt>
                <c:pt idx="235">
                  <c:v>4.8191117508989904E-2</c:v>
                </c:pt>
                <c:pt idx="236">
                  <c:v>4.9737029725843013E-2</c:v>
                </c:pt>
                <c:pt idx="237">
                  <c:v>4.7623568685319598E-2</c:v>
                </c:pt>
                <c:pt idx="238">
                  <c:v>4.9776381999582162E-2</c:v>
                </c:pt>
                <c:pt idx="239">
                  <c:v>4.876062171298863E-2</c:v>
                </c:pt>
                <c:pt idx="240">
                  <c:v>5.4364418410564282E-2</c:v>
                </c:pt>
                <c:pt idx="241">
                  <c:v>4.8259727863398397E-2</c:v>
                </c:pt>
                <c:pt idx="242">
                  <c:v>4.3282429427152436E-2</c:v>
                </c:pt>
                <c:pt idx="243">
                  <c:v>4.3604262924426471E-2</c:v>
                </c:pt>
                <c:pt idx="244">
                  <c:v>4.2998995586674138E-2</c:v>
                </c:pt>
                <c:pt idx="245">
                  <c:v>3.8875196033690343E-2</c:v>
                </c:pt>
                <c:pt idx="246">
                  <c:v>3.977370933084589E-2</c:v>
                </c:pt>
                <c:pt idx="247">
                  <c:v>3.0148411795750178E-2</c:v>
                </c:pt>
                <c:pt idx="248">
                  <c:v>3.1784700220696488E-2</c:v>
                </c:pt>
                <c:pt idx="249">
                  <c:v>3.2108495315757317E-2</c:v>
                </c:pt>
                <c:pt idx="250">
                  <c:v>3.340884753772768E-2</c:v>
                </c:pt>
                <c:pt idx="251">
                  <c:v>3.1552376124896538E-2</c:v>
                </c:pt>
                <c:pt idx="252">
                  <c:v>3.2831438900877988E-2</c:v>
                </c:pt>
                <c:pt idx="253">
                  <c:v>3.1566385285221446E-2</c:v>
                </c:pt>
                <c:pt idx="254">
                  <c:v>3.346812475978498E-2</c:v>
                </c:pt>
                <c:pt idx="255">
                  <c:v>3.3909202683638458E-2</c:v>
                </c:pt>
                <c:pt idx="256">
                  <c:v>3.1231166756803205E-2</c:v>
                </c:pt>
                <c:pt idx="257">
                  <c:v>3.397005111054123E-2</c:v>
                </c:pt>
                <c:pt idx="258">
                  <c:v>3.3160023066221296E-2</c:v>
                </c:pt>
                <c:pt idx="259">
                  <c:v>2.9749884328060014E-2</c:v>
                </c:pt>
                <c:pt idx="260">
                  <c:v>3.6040940985145986E-2</c:v>
                </c:pt>
                <c:pt idx="261">
                  <c:v>4.9070502455294401E-2</c:v>
                </c:pt>
                <c:pt idx="262">
                  <c:v>3.7096220197083127E-2</c:v>
                </c:pt>
                <c:pt idx="263">
                  <c:v>3.4091253908339864E-2</c:v>
                </c:pt>
                <c:pt idx="264">
                  <c:v>3.7268324735451754E-2</c:v>
                </c:pt>
                <c:pt idx="265">
                  <c:v>3.9123709977541374E-2</c:v>
                </c:pt>
                <c:pt idx="266">
                  <c:v>3.9715916765860677E-2</c:v>
                </c:pt>
                <c:pt idx="267">
                  <c:v>3.6193310154119702E-2</c:v>
                </c:pt>
                <c:pt idx="268">
                  <c:v>3.8958920979371689E-2</c:v>
                </c:pt>
                <c:pt idx="269">
                  <c:v>3.2478881764690756E-2</c:v>
                </c:pt>
                <c:pt idx="270">
                  <c:v>3.2118027257318493E-2</c:v>
                </c:pt>
                <c:pt idx="271">
                  <c:v>3.9159228669035963E-2</c:v>
                </c:pt>
                <c:pt idx="272">
                  <c:v>4.2709716114289586E-2</c:v>
                </c:pt>
                <c:pt idx="273">
                  <c:v>4.7833954880443882E-2</c:v>
                </c:pt>
                <c:pt idx="274">
                  <c:v>4.6087575958202398E-2</c:v>
                </c:pt>
                <c:pt idx="275">
                  <c:v>5.0433605497255063E-2</c:v>
                </c:pt>
                <c:pt idx="276">
                  <c:v>4.1544941705203203E-2</c:v>
                </c:pt>
                <c:pt idx="277">
                  <c:v>3.9538758919076281E-2</c:v>
                </c:pt>
                <c:pt idx="278">
                  <c:v>3.5500114423946343E-2</c:v>
                </c:pt>
                <c:pt idx="279">
                  <c:v>3.7172012207959099E-2</c:v>
                </c:pt>
                <c:pt idx="280">
                  <c:v>3.6285933243070362E-2</c:v>
                </c:pt>
                <c:pt idx="281">
                  <c:v>3.8402931379088068E-2</c:v>
                </c:pt>
                <c:pt idx="282">
                  <c:v>3.5147809350873277E-2</c:v>
                </c:pt>
                <c:pt idx="283">
                  <c:v>3.7166475367221063E-2</c:v>
                </c:pt>
                <c:pt idx="284">
                  <c:v>3.6470607710320291E-2</c:v>
                </c:pt>
                <c:pt idx="285">
                  <c:v>3.8170821658972939E-2</c:v>
                </c:pt>
                <c:pt idx="286">
                  <c:v>3.7299384768416474E-2</c:v>
                </c:pt>
                <c:pt idx="287">
                  <c:v>4.2876541042037614E-2</c:v>
                </c:pt>
                <c:pt idx="288">
                  <c:v>3.9116018286594861E-2</c:v>
                </c:pt>
                <c:pt idx="289">
                  <c:v>3.5888049414081885E-2</c:v>
                </c:pt>
                <c:pt idx="290">
                  <c:v>4.0258569851032752E-2</c:v>
                </c:pt>
                <c:pt idx="291">
                  <c:v>5.1336358751507799E-2</c:v>
                </c:pt>
                <c:pt idx="292">
                  <c:v>5.0233601015170104E-2</c:v>
                </c:pt>
                <c:pt idx="293">
                  <c:v>5.1390096085500124E-2</c:v>
                </c:pt>
                <c:pt idx="294">
                  <c:v>3.7568519575838552E-2</c:v>
                </c:pt>
                <c:pt idx="295">
                  <c:v>7.376096318342551E-2</c:v>
                </c:pt>
                <c:pt idx="296">
                  <c:v>3.823657901527007E-2</c:v>
                </c:pt>
                <c:pt idx="297">
                  <c:v>6.4256653349343162E-2</c:v>
                </c:pt>
                <c:pt idx="298">
                  <c:v>4.1029673787680812E-2</c:v>
                </c:pt>
                <c:pt idx="299">
                  <c:v>4.2138891843300122E-2</c:v>
                </c:pt>
                <c:pt idx="300">
                  <c:v>4.2926586189464336E-2</c:v>
                </c:pt>
                <c:pt idx="301">
                  <c:v>5.0247251768750244E-2</c:v>
                </c:pt>
                <c:pt idx="302">
                  <c:v>4.8806752355090292E-2</c:v>
                </c:pt>
                <c:pt idx="303">
                  <c:v>3.7365772034929169E-2</c:v>
                </c:pt>
                <c:pt idx="304">
                  <c:v>4.7508372778672189E-2</c:v>
                </c:pt>
                <c:pt idx="305">
                  <c:v>4.4408542497802156E-2</c:v>
                </c:pt>
                <c:pt idx="306">
                  <c:v>3.880551738458058E-2</c:v>
                </c:pt>
                <c:pt idx="307">
                  <c:v>4.9995549357879324E-2</c:v>
                </c:pt>
                <c:pt idx="308">
                  <c:v>4.2765216076787169E-2</c:v>
                </c:pt>
                <c:pt idx="309">
                  <c:v>5.2829218384543734E-2</c:v>
                </c:pt>
                <c:pt idx="310">
                  <c:v>4.2480429377182466E-2</c:v>
                </c:pt>
                <c:pt idx="311">
                  <c:v>4.6802528507141401E-2</c:v>
                </c:pt>
                <c:pt idx="312">
                  <c:v>4.5219370689363984E-2</c:v>
                </c:pt>
                <c:pt idx="313">
                  <c:v>4.4937923213259942E-2</c:v>
                </c:pt>
                <c:pt idx="314">
                  <c:v>4.8156061843653876E-2</c:v>
                </c:pt>
                <c:pt idx="315">
                  <c:v>5.002878398459612E-2</c:v>
                </c:pt>
                <c:pt idx="316">
                  <c:v>4.4122580147146255E-2</c:v>
                </c:pt>
                <c:pt idx="317">
                  <c:v>4.4312786169455297E-2</c:v>
                </c:pt>
                <c:pt idx="318">
                  <c:v>4.3635560442854847E-2</c:v>
                </c:pt>
                <c:pt idx="319">
                  <c:v>4.2341728892895142E-2</c:v>
                </c:pt>
                <c:pt idx="320">
                  <c:v>4.2543065339562161E-2</c:v>
                </c:pt>
                <c:pt idx="321">
                  <c:v>4.8543440672513642E-2</c:v>
                </c:pt>
                <c:pt idx="322">
                  <c:v>4.2543065339562161E-2</c:v>
                </c:pt>
                <c:pt idx="323">
                  <c:v>4.9109161636258357E-2</c:v>
                </c:pt>
                <c:pt idx="324">
                  <c:v>5.1764620516722759E-2</c:v>
                </c:pt>
                <c:pt idx="325">
                  <c:v>5.6567924201591298E-2</c:v>
                </c:pt>
                <c:pt idx="326">
                  <c:v>6.6408958190973158E-2</c:v>
                </c:pt>
                <c:pt idx="327">
                  <c:v>4.3492507562084851E-2</c:v>
                </c:pt>
                <c:pt idx="328">
                  <c:v>4.2462545848669514E-2</c:v>
                </c:pt>
                <c:pt idx="329">
                  <c:v>5.037136542363066E-2</c:v>
                </c:pt>
                <c:pt idx="330">
                  <c:v>5.5299275867682678E-2</c:v>
                </c:pt>
                <c:pt idx="331">
                  <c:v>4.5913395389664366E-2</c:v>
                </c:pt>
                <c:pt idx="332">
                  <c:v>4.9786115999968433E-2</c:v>
                </c:pt>
                <c:pt idx="333">
                  <c:v>4.2569726514608816E-2</c:v>
                </c:pt>
                <c:pt idx="334">
                  <c:v>4.2608580271655559E-2</c:v>
                </c:pt>
                <c:pt idx="335">
                  <c:v>4.1092528424654287E-2</c:v>
                </c:pt>
                <c:pt idx="336">
                  <c:v>4.2310893601892552E-2</c:v>
                </c:pt>
                <c:pt idx="337">
                  <c:v>4.6648569894361711E-2</c:v>
                </c:pt>
                <c:pt idx="338">
                  <c:v>4.4238536928883715E-2</c:v>
                </c:pt>
                <c:pt idx="339">
                  <c:v>4.1951287323382581E-2</c:v>
                </c:pt>
                <c:pt idx="340">
                  <c:v>5.022858407809927E-2</c:v>
                </c:pt>
                <c:pt idx="341">
                  <c:v>4.2013652542506719E-2</c:v>
                </c:pt>
                <c:pt idx="342">
                  <c:v>4.145794906136302E-2</c:v>
                </c:pt>
                <c:pt idx="343">
                  <c:v>4.1456844028665445E-2</c:v>
                </c:pt>
                <c:pt idx="344">
                  <c:v>4.1763111862033346E-2</c:v>
                </c:pt>
                <c:pt idx="345">
                  <c:v>4.1515795674472153E-2</c:v>
                </c:pt>
                <c:pt idx="346">
                  <c:v>4.4551350782135554E-2</c:v>
                </c:pt>
                <c:pt idx="347">
                  <c:v>4.6893881316315424E-2</c:v>
                </c:pt>
                <c:pt idx="348">
                  <c:v>4.3294655821143453E-2</c:v>
                </c:pt>
                <c:pt idx="349">
                  <c:v>5.2106229203956106E-2</c:v>
                </c:pt>
                <c:pt idx="350">
                  <c:v>4.1634199205982172E-2</c:v>
                </c:pt>
                <c:pt idx="351">
                  <c:v>4.2232188432905597E-2</c:v>
                </c:pt>
                <c:pt idx="352">
                  <c:v>4.4622841874438268E-2</c:v>
                </c:pt>
                <c:pt idx="353">
                  <c:v>4.6205507722798973E-2</c:v>
                </c:pt>
                <c:pt idx="354">
                  <c:v>6.371473386729605E-2</c:v>
                </c:pt>
                <c:pt idx="355">
                  <c:v>6.3372096018761231E-2</c:v>
                </c:pt>
                <c:pt idx="356">
                  <c:v>4.8511143620971447E-2</c:v>
                </c:pt>
                <c:pt idx="357">
                  <c:v>4.9782609569163784E-2</c:v>
                </c:pt>
                <c:pt idx="358">
                  <c:v>4.0505338903003972E-2</c:v>
                </c:pt>
                <c:pt idx="359">
                  <c:v>4.5514063559417423E-2</c:v>
                </c:pt>
                <c:pt idx="360">
                  <c:v>4.0669083135311486E-2</c:v>
                </c:pt>
                <c:pt idx="361">
                  <c:v>4.8271382998579748E-2</c:v>
                </c:pt>
                <c:pt idx="362">
                  <c:v>3.5610204688537747E-2</c:v>
                </c:pt>
                <c:pt idx="363">
                  <c:v>3.5478279036810861E-2</c:v>
                </c:pt>
                <c:pt idx="364">
                  <c:v>3.7444725577322431E-2</c:v>
                </c:pt>
                <c:pt idx="365">
                  <c:v>3.563524260105199E-2</c:v>
                </c:pt>
                <c:pt idx="366">
                  <c:v>3.5820172682296966E-2</c:v>
                </c:pt>
                <c:pt idx="367">
                  <c:v>3.5317344801761894E-2</c:v>
                </c:pt>
                <c:pt idx="368">
                  <c:v>3.5405901429528638E-2</c:v>
                </c:pt>
                <c:pt idx="369">
                  <c:v>5.1105954864069499E-2</c:v>
                </c:pt>
                <c:pt idx="370">
                  <c:v>4.2669270414959395E-2</c:v>
                </c:pt>
                <c:pt idx="371">
                  <c:v>4.2387674968809748E-2</c:v>
                </c:pt>
                <c:pt idx="372">
                  <c:v>3.8409800761363619E-2</c:v>
                </c:pt>
                <c:pt idx="373">
                  <c:v>3.8327502244710633E-2</c:v>
                </c:pt>
                <c:pt idx="374">
                  <c:v>4.4176133885526568E-2</c:v>
                </c:pt>
                <c:pt idx="375">
                  <c:v>4.3448835492164536E-2</c:v>
                </c:pt>
                <c:pt idx="376">
                  <c:v>4.4582088373450866E-2</c:v>
                </c:pt>
                <c:pt idx="377">
                  <c:v>4.2412049592578729E-2</c:v>
                </c:pt>
                <c:pt idx="378">
                  <c:v>4.2412049592578729E-2</c:v>
                </c:pt>
                <c:pt idx="379">
                  <c:v>4.2566311963328538E-2</c:v>
                </c:pt>
                <c:pt idx="380">
                  <c:v>3.6684093867170968E-2</c:v>
                </c:pt>
                <c:pt idx="381">
                  <c:v>3.8019752769928257E-2</c:v>
                </c:pt>
                <c:pt idx="382">
                  <c:v>3.6117187184438668E-2</c:v>
                </c:pt>
                <c:pt idx="383">
                  <c:v>3.8320594343835251E-2</c:v>
                </c:pt>
                <c:pt idx="384">
                  <c:v>4.7178806629519218E-2</c:v>
                </c:pt>
                <c:pt idx="385">
                  <c:v>3.7050510776076906E-2</c:v>
                </c:pt>
                <c:pt idx="386">
                  <c:v>3.611000998796679E-2</c:v>
                </c:pt>
                <c:pt idx="387">
                  <c:v>3.5685808262497551E-2</c:v>
                </c:pt>
                <c:pt idx="388">
                  <c:v>5.1635563700410413E-2</c:v>
                </c:pt>
                <c:pt idx="389">
                  <c:v>3.7995518466340882E-2</c:v>
                </c:pt>
                <c:pt idx="390">
                  <c:v>3.599303784431826E-2</c:v>
                </c:pt>
                <c:pt idx="391">
                  <c:v>3.5917225983654891E-2</c:v>
                </c:pt>
              </c:numCache>
            </c:numRef>
          </c:xVal>
          <c:yVal>
            <c:numRef>
              <c:f>Regression!RegChartStudResid</c:f>
              <c:numCache>
                <c:formatCode>0.0000</c:formatCode>
                <c:ptCount val="392"/>
                <c:pt idx="0">
                  <c:v>0.38649046111355201</c:v>
                </c:pt>
                <c:pt idx="1">
                  <c:v>-0.10402109723738608</c:v>
                </c:pt>
                <c:pt idx="2">
                  <c:v>0.3790485664453247</c:v>
                </c:pt>
                <c:pt idx="3">
                  <c:v>-0.28991504577291533</c:v>
                </c:pt>
                <c:pt idx="4">
                  <c:v>1.5048430823993899E-2</c:v>
                </c:pt>
                <c:pt idx="5">
                  <c:v>1.1660321456416034</c:v>
                </c:pt>
                <c:pt idx="6">
                  <c:v>0.9792108710792421</c:v>
                </c:pt>
                <c:pt idx="7">
                  <c:v>0.87970525767098529</c:v>
                </c:pt>
                <c:pt idx="8">
                  <c:v>1.1280247387124049</c:v>
                </c:pt>
                <c:pt idx="9">
                  <c:v>0.29552136767781301</c:v>
                </c:pt>
                <c:pt idx="10">
                  <c:v>-0.29588942339118907</c:v>
                </c:pt>
                <c:pt idx="11">
                  <c:v>-0.60409084446563865</c:v>
                </c:pt>
                <c:pt idx="12">
                  <c:v>-7.0617155228780759E-2</c:v>
                </c:pt>
                <c:pt idx="13">
                  <c:v>-1.1807393696594954</c:v>
                </c:pt>
                <c:pt idx="14">
                  <c:v>-0.40193142131393816</c:v>
                </c:pt>
                <c:pt idx="15">
                  <c:v>0.39968495672630688</c:v>
                </c:pt>
                <c:pt idx="16">
                  <c:v>-1.0254466826344892</c:v>
                </c:pt>
                <c:pt idx="17">
                  <c:v>-0.40591022394118104</c:v>
                </c:pt>
                <c:pt idx="18">
                  <c:v>0.15513508303132956</c:v>
                </c:pt>
                <c:pt idx="19">
                  <c:v>-0.87508847543411206</c:v>
                </c:pt>
                <c:pt idx="20">
                  <c:v>0.4407931061238981</c:v>
                </c:pt>
                <c:pt idx="21">
                  <c:v>-0.28923752793397073</c:v>
                </c:pt>
                <c:pt idx="22">
                  <c:v>-2.0495322425387076E-2</c:v>
                </c:pt>
                <c:pt idx="23">
                  <c:v>0.17289252435540003</c:v>
                </c:pt>
                <c:pt idx="24">
                  <c:v>-0.27496797490025449</c:v>
                </c:pt>
                <c:pt idx="25">
                  <c:v>5.5683358456535478E-2</c:v>
                </c:pt>
                <c:pt idx="26">
                  <c:v>-0.4283920105670963</c:v>
                </c:pt>
                <c:pt idx="27">
                  <c:v>-3.1377572652116069E-2</c:v>
                </c:pt>
                <c:pt idx="28">
                  <c:v>-0.19933424776620928</c:v>
                </c:pt>
                <c:pt idx="29">
                  <c:v>-0.14983838636843658</c:v>
                </c:pt>
                <c:pt idx="30">
                  <c:v>1.1097334264431693</c:v>
                </c:pt>
                <c:pt idx="31">
                  <c:v>-0.61509549983121248</c:v>
                </c:pt>
                <c:pt idx="32">
                  <c:v>-1.2127928346337891</c:v>
                </c:pt>
                <c:pt idx="33">
                  <c:v>-0.8268734431087178</c:v>
                </c:pt>
                <c:pt idx="34">
                  <c:v>-0.70648636894145489</c:v>
                </c:pt>
                <c:pt idx="35">
                  <c:v>-0.15142098901853462</c:v>
                </c:pt>
                <c:pt idx="36">
                  <c:v>-0.44257513070662002</c:v>
                </c:pt>
                <c:pt idx="37">
                  <c:v>0.12974540077511315</c:v>
                </c:pt>
                <c:pt idx="38">
                  <c:v>0.61570961852167438</c:v>
                </c:pt>
                <c:pt idx="39">
                  <c:v>-2.8119699994223715E-2</c:v>
                </c:pt>
                <c:pt idx="40">
                  <c:v>-0.14215101395795629</c:v>
                </c:pt>
                <c:pt idx="41">
                  <c:v>0.80808342930667132</c:v>
                </c:pt>
                <c:pt idx="42">
                  <c:v>0.73255545774192499</c:v>
                </c:pt>
                <c:pt idx="43">
                  <c:v>1.4343249307838992</c:v>
                </c:pt>
                <c:pt idx="44">
                  <c:v>-0.93736805879047014</c:v>
                </c:pt>
                <c:pt idx="45">
                  <c:v>-0.74708884873176218</c:v>
                </c:pt>
                <c:pt idx="46">
                  <c:v>-0.119856830968657</c:v>
                </c:pt>
                <c:pt idx="47">
                  <c:v>-0.75950614299184738</c:v>
                </c:pt>
                <c:pt idx="48">
                  <c:v>-0.65612392430107436</c:v>
                </c:pt>
                <c:pt idx="49">
                  <c:v>0.22503211391071432</c:v>
                </c:pt>
                <c:pt idx="50">
                  <c:v>0.70221206283556825</c:v>
                </c:pt>
                <c:pt idx="51">
                  <c:v>0.71980311888979953</c:v>
                </c:pt>
                <c:pt idx="52">
                  <c:v>0.45897738397457388</c:v>
                </c:pt>
                <c:pt idx="53">
                  <c:v>1.5500221062846573</c:v>
                </c:pt>
                <c:pt idx="54">
                  <c:v>-0.76325101320992295</c:v>
                </c:pt>
                <c:pt idx="55">
                  <c:v>-0.18942202796255866</c:v>
                </c:pt>
                <c:pt idx="56">
                  <c:v>-0.44392180663234571</c:v>
                </c:pt>
                <c:pt idx="57">
                  <c:v>0.24039254577346184</c:v>
                </c:pt>
                <c:pt idx="58">
                  <c:v>-1.0042751043337586</c:v>
                </c:pt>
                <c:pt idx="59">
                  <c:v>-0.8984734746582822</c:v>
                </c:pt>
                <c:pt idx="60">
                  <c:v>-0.89544945314468549</c:v>
                </c:pt>
                <c:pt idx="61">
                  <c:v>0.32432388942401408</c:v>
                </c:pt>
                <c:pt idx="62">
                  <c:v>0.89925474334883049</c:v>
                </c:pt>
                <c:pt idx="63">
                  <c:v>0.6741998247581702</c:v>
                </c:pt>
                <c:pt idx="64">
                  <c:v>0.34767210505293855</c:v>
                </c:pt>
                <c:pt idx="65">
                  <c:v>0.55972501051096391</c:v>
                </c:pt>
                <c:pt idx="66">
                  <c:v>0.50018854209738339</c:v>
                </c:pt>
                <c:pt idx="67">
                  <c:v>0.6556418348632248</c:v>
                </c:pt>
                <c:pt idx="68">
                  <c:v>0.27141090048237276</c:v>
                </c:pt>
                <c:pt idx="69">
                  <c:v>0.71162663600437204</c:v>
                </c:pt>
                <c:pt idx="70">
                  <c:v>-2.0157358299478263</c:v>
                </c:pt>
                <c:pt idx="71">
                  <c:v>0.26483477874394723</c:v>
                </c:pt>
                <c:pt idx="72">
                  <c:v>-0.16166667853581004</c:v>
                </c:pt>
                <c:pt idx="73">
                  <c:v>0.22330383955665867</c:v>
                </c:pt>
                <c:pt idx="74">
                  <c:v>0.24386567077228774</c:v>
                </c:pt>
                <c:pt idx="75">
                  <c:v>-1.2081383307454165</c:v>
                </c:pt>
                <c:pt idx="76">
                  <c:v>-0.78110036437009756</c:v>
                </c:pt>
                <c:pt idx="77">
                  <c:v>-0.26364023528520003</c:v>
                </c:pt>
                <c:pt idx="78">
                  <c:v>-2.6512351797492825E-2</c:v>
                </c:pt>
                <c:pt idx="79">
                  <c:v>-0.2744986939956594</c:v>
                </c:pt>
                <c:pt idx="80">
                  <c:v>0.89328897781380623</c:v>
                </c:pt>
                <c:pt idx="81">
                  <c:v>-0.38135513775663438</c:v>
                </c:pt>
                <c:pt idx="82">
                  <c:v>1.3082330687569519</c:v>
                </c:pt>
                <c:pt idx="83">
                  <c:v>0.21951048018534694</c:v>
                </c:pt>
                <c:pt idx="84">
                  <c:v>0.20398710450777527</c:v>
                </c:pt>
                <c:pt idx="85">
                  <c:v>-0.31629077006854084</c:v>
                </c:pt>
                <c:pt idx="86">
                  <c:v>-0.14480257381873163</c:v>
                </c:pt>
                <c:pt idx="87">
                  <c:v>0.2334274183109103</c:v>
                </c:pt>
                <c:pt idx="88">
                  <c:v>0.18988660114211794</c:v>
                </c:pt>
                <c:pt idx="89">
                  <c:v>1.4296443982960441</c:v>
                </c:pt>
                <c:pt idx="90">
                  <c:v>0.68086529918536198</c:v>
                </c:pt>
                <c:pt idx="91">
                  <c:v>0.55319696979360178</c:v>
                </c:pt>
                <c:pt idx="92">
                  <c:v>0.62988652393519529</c:v>
                </c:pt>
                <c:pt idx="93">
                  <c:v>1.4945061059531675</c:v>
                </c:pt>
                <c:pt idx="94">
                  <c:v>1.5835184219573573</c:v>
                </c:pt>
                <c:pt idx="95">
                  <c:v>-0.26432732427601652</c:v>
                </c:pt>
                <c:pt idx="96">
                  <c:v>-0.1580347863334722</c:v>
                </c:pt>
                <c:pt idx="97">
                  <c:v>-0.58466219481199677</c:v>
                </c:pt>
                <c:pt idx="98">
                  <c:v>-0.48011210341267641</c:v>
                </c:pt>
                <c:pt idx="99">
                  <c:v>-0.4182369320992394</c:v>
                </c:pt>
                <c:pt idx="100">
                  <c:v>1.0807560254323885</c:v>
                </c:pt>
                <c:pt idx="101">
                  <c:v>-0.43529358270499241</c:v>
                </c:pt>
                <c:pt idx="102">
                  <c:v>0.92150618089199277</c:v>
                </c:pt>
                <c:pt idx="103">
                  <c:v>1.1863106075738008</c:v>
                </c:pt>
                <c:pt idx="104">
                  <c:v>1.1069048065287981</c:v>
                </c:pt>
                <c:pt idx="105">
                  <c:v>0.56878580743136242</c:v>
                </c:pt>
                <c:pt idx="106">
                  <c:v>-0.74192401686980725</c:v>
                </c:pt>
                <c:pt idx="107">
                  <c:v>-1.6897180627740656</c:v>
                </c:pt>
                <c:pt idx="108">
                  <c:v>-0.55194584126169699</c:v>
                </c:pt>
                <c:pt idx="109">
                  <c:v>-0.82281965858508455</c:v>
                </c:pt>
                <c:pt idx="110">
                  <c:v>-2.6063331092365796</c:v>
                </c:pt>
                <c:pt idx="111">
                  <c:v>-1.2992210520172569</c:v>
                </c:pt>
                <c:pt idx="112">
                  <c:v>-0.24289117425341836</c:v>
                </c:pt>
                <c:pt idx="113">
                  <c:v>0.33488821969058197</c:v>
                </c:pt>
                <c:pt idx="114">
                  <c:v>0.67383986412758512</c:v>
                </c:pt>
                <c:pt idx="115">
                  <c:v>1.8307638951688041</c:v>
                </c:pt>
                <c:pt idx="116">
                  <c:v>0.44266880067425035</c:v>
                </c:pt>
                <c:pt idx="117">
                  <c:v>-0.59179023453714441</c:v>
                </c:pt>
                <c:pt idx="118">
                  <c:v>-1.1208436092324714</c:v>
                </c:pt>
                <c:pt idx="119">
                  <c:v>-0.85847137129504036</c:v>
                </c:pt>
                <c:pt idx="120">
                  <c:v>-0.44348189348087957</c:v>
                </c:pt>
                <c:pt idx="121">
                  <c:v>0.44275727569779938</c:v>
                </c:pt>
                <c:pt idx="122">
                  <c:v>-0.61593470926202398</c:v>
                </c:pt>
                <c:pt idx="123">
                  <c:v>-1.1692507528849174</c:v>
                </c:pt>
                <c:pt idx="124">
                  <c:v>-0.23318022611887829</c:v>
                </c:pt>
                <c:pt idx="125">
                  <c:v>-0.87855079557956517</c:v>
                </c:pt>
                <c:pt idx="126">
                  <c:v>-1.4769363323181717</c:v>
                </c:pt>
                <c:pt idx="127">
                  <c:v>0.65290692305069276</c:v>
                </c:pt>
                <c:pt idx="128">
                  <c:v>0.58752778997756971</c:v>
                </c:pt>
                <c:pt idx="129">
                  <c:v>0.78371741325869382</c:v>
                </c:pt>
                <c:pt idx="130">
                  <c:v>0.38024696094502353</c:v>
                </c:pt>
                <c:pt idx="131">
                  <c:v>-0.39486001875875998</c:v>
                </c:pt>
                <c:pt idx="132">
                  <c:v>-0.59082143000943876</c:v>
                </c:pt>
                <c:pt idx="133">
                  <c:v>1.6521563559615881E-2</c:v>
                </c:pt>
                <c:pt idx="134">
                  <c:v>0.43079556603355523</c:v>
                </c:pt>
                <c:pt idx="135">
                  <c:v>0.42871024250542339</c:v>
                </c:pt>
                <c:pt idx="136">
                  <c:v>0.35223603151478755</c:v>
                </c:pt>
                <c:pt idx="137">
                  <c:v>0.60637414955155566</c:v>
                </c:pt>
                <c:pt idx="138">
                  <c:v>1.3677785391091995E-2</c:v>
                </c:pt>
                <c:pt idx="139">
                  <c:v>0.56798307093810663</c:v>
                </c:pt>
                <c:pt idx="140">
                  <c:v>-0.95733088971303293</c:v>
                </c:pt>
                <c:pt idx="141">
                  <c:v>-0.32610721496463052</c:v>
                </c:pt>
                <c:pt idx="142">
                  <c:v>6.1844508852538164E-2</c:v>
                </c:pt>
                <c:pt idx="143">
                  <c:v>1.04461770630526</c:v>
                </c:pt>
                <c:pt idx="144">
                  <c:v>0.67897281388579944</c:v>
                </c:pt>
                <c:pt idx="145">
                  <c:v>-1.3375231715810592</c:v>
                </c:pt>
                <c:pt idx="146">
                  <c:v>-0.4338415062904411</c:v>
                </c:pt>
                <c:pt idx="147">
                  <c:v>-0.61264897901117765</c:v>
                </c:pt>
                <c:pt idx="148">
                  <c:v>-0.13131189884057307</c:v>
                </c:pt>
                <c:pt idx="149">
                  <c:v>0.77893428137700682</c:v>
                </c:pt>
                <c:pt idx="150">
                  <c:v>-8.6786137087073154E-2</c:v>
                </c:pt>
                <c:pt idx="151">
                  <c:v>-3.7067224491663844E-2</c:v>
                </c:pt>
                <c:pt idx="152">
                  <c:v>-1.2647682754399088</c:v>
                </c:pt>
                <c:pt idx="153">
                  <c:v>-1.7231986194513169</c:v>
                </c:pt>
                <c:pt idx="154">
                  <c:v>1.6896822821993771</c:v>
                </c:pt>
                <c:pt idx="155">
                  <c:v>0.83361742346055501</c:v>
                </c:pt>
                <c:pt idx="156">
                  <c:v>1.2915705569901503</c:v>
                </c:pt>
                <c:pt idx="157">
                  <c:v>0.88428252049290279</c:v>
                </c:pt>
                <c:pt idx="158">
                  <c:v>0.4116364131495851</c:v>
                </c:pt>
                <c:pt idx="159">
                  <c:v>3.5295875579668894E-2</c:v>
                </c:pt>
                <c:pt idx="160">
                  <c:v>-0.55072347548179312</c:v>
                </c:pt>
                <c:pt idx="161">
                  <c:v>0.45874200542910859</c:v>
                </c:pt>
                <c:pt idx="162">
                  <c:v>0.2802206101814847</c:v>
                </c:pt>
                <c:pt idx="163">
                  <c:v>0.25381221692103473</c:v>
                </c:pt>
                <c:pt idx="164">
                  <c:v>-2.0636596826638138</c:v>
                </c:pt>
                <c:pt idx="165">
                  <c:v>0.6077873084612555</c:v>
                </c:pt>
                <c:pt idx="166">
                  <c:v>0.12614744788801885</c:v>
                </c:pt>
                <c:pt idx="167">
                  <c:v>-0.31654278630410199</c:v>
                </c:pt>
                <c:pt idx="168">
                  <c:v>1.9978196923054012E-2</c:v>
                </c:pt>
                <c:pt idx="169">
                  <c:v>-5.032391780723363E-2</c:v>
                </c:pt>
                <c:pt idx="170">
                  <c:v>-0.62096861122347391</c:v>
                </c:pt>
                <c:pt idx="171">
                  <c:v>-0.31053190188587199</c:v>
                </c:pt>
                <c:pt idx="172">
                  <c:v>-0.87909939485507615</c:v>
                </c:pt>
                <c:pt idx="173">
                  <c:v>0.22610292454868022</c:v>
                </c:pt>
                <c:pt idx="174">
                  <c:v>-0.20291519301261843</c:v>
                </c:pt>
                <c:pt idx="175">
                  <c:v>-0.36253627723479914</c:v>
                </c:pt>
                <c:pt idx="176">
                  <c:v>4.4247006473740601E-2</c:v>
                </c:pt>
                <c:pt idx="177">
                  <c:v>-0.2557150343200344</c:v>
                </c:pt>
                <c:pt idx="178">
                  <c:v>0.37698943709717592</c:v>
                </c:pt>
                <c:pt idx="179">
                  <c:v>1.1899727275032896</c:v>
                </c:pt>
                <c:pt idx="180">
                  <c:v>0.60888968943784472</c:v>
                </c:pt>
                <c:pt idx="181">
                  <c:v>-0.82893417664067315</c:v>
                </c:pt>
                <c:pt idx="182">
                  <c:v>0.46871808445674978</c:v>
                </c:pt>
                <c:pt idx="183">
                  <c:v>0.19800523327850184</c:v>
                </c:pt>
                <c:pt idx="184">
                  <c:v>-0.18217601115513996</c:v>
                </c:pt>
                <c:pt idx="185">
                  <c:v>0.99879597785625729</c:v>
                </c:pt>
                <c:pt idx="186">
                  <c:v>0.51286368166818253</c:v>
                </c:pt>
                <c:pt idx="187">
                  <c:v>-0.19789440550577833</c:v>
                </c:pt>
                <c:pt idx="188">
                  <c:v>6.7796750316846358E-2</c:v>
                </c:pt>
                <c:pt idx="189">
                  <c:v>0.62541466034937299</c:v>
                </c:pt>
                <c:pt idx="190">
                  <c:v>0.8534981078051288</c:v>
                </c:pt>
                <c:pt idx="191">
                  <c:v>0.81643234827063926</c:v>
                </c:pt>
                <c:pt idx="192">
                  <c:v>0.48931010929769164</c:v>
                </c:pt>
                <c:pt idx="193">
                  <c:v>0.68104115262367493</c:v>
                </c:pt>
                <c:pt idx="194">
                  <c:v>-0.55753264896976451</c:v>
                </c:pt>
                <c:pt idx="195">
                  <c:v>-3.3128045912269553E-2</c:v>
                </c:pt>
                <c:pt idx="196">
                  <c:v>0.92900557209987766</c:v>
                </c:pt>
                <c:pt idx="197">
                  <c:v>0.66552441488229708</c:v>
                </c:pt>
                <c:pt idx="198">
                  <c:v>-0.24814969353100894</c:v>
                </c:pt>
                <c:pt idx="199">
                  <c:v>0.21089005247032522</c:v>
                </c:pt>
                <c:pt idx="200">
                  <c:v>-0.95975295748031186</c:v>
                </c:pt>
                <c:pt idx="201">
                  <c:v>-5.0151452692643997E-2</c:v>
                </c:pt>
                <c:pt idx="202">
                  <c:v>1.0160259092109321</c:v>
                </c:pt>
                <c:pt idx="203">
                  <c:v>-1.2115968549611986E-2</c:v>
                </c:pt>
                <c:pt idx="204">
                  <c:v>0.84720077695598384</c:v>
                </c:pt>
                <c:pt idx="205">
                  <c:v>-0.81252205315322645</c:v>
                </c:pt>
                <c:pt idx="206">
                  <c:v>-0.9031170962155961</c:v>
                </c:pt>
                <c:pt idx="207">
                  <c:v>-1.0214074988536541</c:v>
                </c:pt>
                <c:pt idx="208">
                  <c:v>-1.5268692799723573</c:v>
                </c:pt>
                <c:pt idx="209">
                  <c:v>-0.75457189916222744</c:v>
                </c:pt>
                <c:pt idx="210">
                  <c:v>1.1659795306247449</c:v>
                </c:pt>
                <c:pt idx="211">
                  <c:v>-0.73626542374561854</c:v>
                </c:pt>
                <c:pt idx="212">
                  <c:v>-1.1267405125615217</c:v>
                </c:pt>
                <c:pt idx="213">
                  <c:v>-1.2151675973963221</c:v>
                </c:pt>
                <c:pt idx="214">
                  <c:v>0.45411013125419586</c:v>
                </c:pt>
                <c:pt idx="215">
                  <c:v>0.89210317838710018</c:v>
                </c:pt>
                <c:pt idx="216">
                  <c:v>1.5747836013923129</c:v>
                </c:pt>
                <c:pt idx="217">
                  <c:v>-0.27897206548305931</c:v>
                </c:pt>
                <c:pt idx="218">
                  <c:v>0.96387111404314918</c:v>
                </c:pt>
                <c:pt idx="219">
                  <c:v>-1.3087490477449268E-2</c:v>
                </c:pt>
                <c:pt idx="220">
                  <c:v>-6.5682072482442247E-2</c:v>
                </c:pt>
                <c:pt idx="221">
                  <c:v>-0.24068058859416844</c:v>
                </c:pt>
                <c:pt idx="222">
                  <c:v>-0.22773334599687459</c:v>
                </c:pt>
                <c:pt idx="223">
                  <c:v>-0.80833512211099245</c:v>
                </c:pt>
                <c:pt idx="224">
                  <c:v>2.4603534850325339E-3</c:v>
                </c:pt>
                <c:pt idx="225">
                  <c:v>-0.17875083851948473</c:v>
                </c:pt>
                <c:pt idx="226">
                  <c:v>-0.53338642732774066</c:v>
                </c:pt>
                <c:pt idx="227">
                  <c:v>0.25110022474118066</c:v>
                </c:pt>
                <c:pt idx="228">
                  <c:v>-6.3550945766768785E-2</c:v>
                </c:pt>
                <c:pt idx="229">
                  <c:v>0.31685206458484116</c:v>
                </c:pt>
                <c:pt idx="230">
                  <c:v>0.27649769074526315</c:v>
                </c:pt>
                <c:pt idx="231">
                  <c:v>-0.46498176646527745</c:v>
                </c:pt>
                <c:pt idx="232">
                  <c:v>8.7513237424759235E-2</c:v>
                </c:pt>
                <c:pt idx="233">
                  <c:v>-0.97305252208919468</c:v>
                </c:pt>
                <c:pt idx="234">
                  <c:v>0.45088667377233937</c:v>
                </c:pt>
                <c:pt idx="235">
                  <c:v>0.7914864360088929</c:v>
                </c:pt>
                <c:pt idx="236">
                  <c:v>1.9447162353916565</c:v>
                </c:pt>
                <c:pt idx="237">
                  <c:v>-0.15390694742658717</c:v>
                </c:pt>
                <c:pt idx="238">
                  <c:v>0.46083052696320198</c:v>
                </c:pt>
                <c:pt idx="239">
                  <c:v>-1.260569504380137</c:v>
                </c:pt>
                <c:pt idx="240">
                  <c:v>-1.68524344765387</c:v>
                </c:pt>
                <c:pt idx="241">
                  <c:v>-1.5175419689962188</c:v>
                </c:pt>
                <c:pt idx="242">
                  <c:v>4.2007262122566926</c:v>
                </c:pt>
                <c:pt idx="243">
                  <c:v>2.2990445774735213</c:v>
                </c:pt>
                <c:pt idx="244">
                  <c:v>0.74844507336636135</c:v>
                </c:pt>
                <c:pt idx="245">
                  <c:v>3.1819916573400091</c:v>
                </c:pt>
                <c:pt idx="246">
                  <c:v>1.5766853430851646</c:v>
                </c:pt>
                <c:pt idx="247">
                  <c:v>-0.22021492268660475</c:v>
                </c:pt>
                <c:pt idx="248">
                  <c:v>0.39604728421942698</c:v>
                </c:pt>
                <c:pt idx="249">
                  <c:v>0.37898661019969393</c:v>
                </c:pt>
                <c:pt idx="250">
                  <c:v>-0.19419634887019752</c:v>
                </c:pt>
                <c:pt idx="251">
                  <c:v>-0.4545453066083554</c:v>
                </c:pt>
                <c:pt idx="252">
                  <c:v>-0.92704752263459622</c:v>
                </c:pt>
                <c:pt idx="253">
                  <c:v>0.30206292858297307</c:v>
                </c:pt>
                <c:pt idx="254">
                  <c:v>3.3677120231556792E-2</c:v>
                </c:pt>
                <c:pt idx="255">
                  <c:v>-0.75452115641439021</c:v>
                </c:pt>
                <c:pt idx="256">
                  <c:v>9.7946834914373372E-3</c:v>
                </c:pt>
                <c:pt idx="257">
                  <c:v>-0.55221926921070352</c:v>
                </c:pt>
                <c:pt idx="258">
                  <c:v>-0.22349400460848995</c:v>
                </c:pt>
                <c:pt idx="259">
                  <c:v>-0.68678649689214288</c:v>
                </c:pt>
                <c:pt idx="260">
                  <c:v>-0.1637477879265988</c:v>
                </c:pt>
                <c:pt idx="261">
                  <c:v>-0.52393736657058176</c:v>
                </c:pt>
                <c:pt idx="262">
                  <c:v>-0.9317689403765218</c:v>
                </c:pt>
                <c:pt idx="263">
                  <c:v>0.34571317856571621</c:v>
                </c:pt>
                <c:pt idx="264">
                  <c:v>0.87264012009621761</c:v>
                </c:pt>
                <c:pt idx="265">
                  <c:v>0.18470642599231274</c:v>
                </c:pt>
                <c:pt idx="266">
                  <c:v>-0.34222462819834187</c:v>
                </c:pt>
                <c:pt idx="267">
                  <c:v>1.3348865121336095</c:v>
                </c:pt>
                <c:pt idx="268">
                  <c:v>-2.0195065214468055</c:v>
                </c:pt>
                <c:pt idx="269">
                  <c:v>-0.19410783505686549</c:v>
                </c:pt>
                <c:pt idx="270">
                  <c:v>8.1721707715661354E-2</c:v>
                </c:pt>
                <c:pt idx="271">
                  <c:v>-1.2628813097867091</c:v>
                </c:pt>
                <c:pt idx="272">
                  <c:v>-1.6746439809266753</c:v>
                </c:pt>
                <c:pt idx="273">
                  <c:v>-2.1379379429147773</c:v>
                </c:pt>
                <c:pt idx="274">
                  <c:v>-1.2377760380844054</c:v>
                </c:pt>
                <c:pt idx="275">
                  <c:v>-1.9076726580567738</c:v>
                </c:pt>
                <c:pt idx="276">
                  <c:v>0.46674163527249862</c:v>
                </c:pt>
                <c:pt idx="277">
                  <c:v>-1.1623375752352078E-2</c:v>
                </c:pt>
                <c:pt idx="278">
                  <c:v>-0.66377208981313185</c:v>
                </c:pt>
                <c:pt idx="279">
                  <c:v>-1.8200175308828719</c:v>
                </c:pt>
                <c:pt idx="280">
                  <c:v>-1.1408976899843095</c:v>
                </c:pt>
                <c:pt idx="281">
                  <c:v>-1.1982691301329909</c:v>
                </c:pt>
                <c:pt idx="282">
                  <c:v>-0.7960497214769402</c:v>
                </c:pt>
                <c:pt idx="283">
                  <c:v>-1.0776013794312584</c:v>
                </c:pt>
                <c:pt idx="284">
                  <c:v>-1.0767196379396311</c:v>
                </c:pt>
                <c:pt idx="285">
                  <c:v>-1.0076315540428575</c:v>
                </c:pt>
                <c:pt idx="286">
                  <c:v>-0.66878988326602917</c:v>
                </c:pt>
                <c:pt idx="287">
                  <c:v>-0.10145734321849574</c:v>
                </c:pt>
                <c:pt idx="288">
                  <c:v>-1.1524014899843342</c:v>
                </c:pt>
                <c:pt idx="289">
                  <c:v>-0.76844520954536311</c:v>
                </c:pt>
                <c:pt idx="290">
                  <c:v>-0.30358004022533047</c:v>
                </c:pt>
                <c:pt idx="291">
                  <c:v>-0.3131170267789195</c:v>
                </c:pt>
                <c:pt idx="292">
                  <c:v>0.43433707282313838</c:v>
                </c:pt>
                <c:pt idx="293">
                  <c:v>1.6395545081768079</c:v>
                </c:pt>
                <c:pt idx="294">
                  <c:v>0.13985011155836161</c:v>
                </c:pt>
                <c:pt idx="295">
                  <c:v>0.26714134253452815</c:v>
                </c:pt>
                <c:pt idx="296">
                  <c:v>0.99045257304542067</c:v>
                </c:pt>
                <c:pt idx="297">
                  <c:v>0.25939653083974346</c:v>
                </c:pt>
                <c:pt idx="298">
                  <c:v>0.29319660015181503</c:v>
                </c:pt>
                <c:pt idx="299">
                  <c:v>1.5585580298512536</c:v>
                </c:pt>
                <c:pt idx="300">
                  <c:v>1.5748070831006031</c:v>
                </c:pt>
                <c:pt idx="301">
                  <c:v>-0.25886999570707547</c:v>
                </c:pt>
                <c:pt idx="302">
                  <c:v>1.8285518903811393</c:v>
                </c:pt>
                <c:pt idx="303">
                  <c:v>0.52607820754973145</c:v>
                </c:pt>
                <c:pt idx="304">
                  <c:v>0.67123358040088366</c:v>
                </c:pt>
                <c:pt idx="305">
                  <c:v>0.18042945365691565</c:v>
                </c:pt>
                <c:pt idx="306">
                  <c:v>2.0304757137130016</c:v>
                </c:pt>
                <c:pt idx="307">
                  <c:v>1.937883735039764</c:v>
                </c:pt>
                <c:pt idx="308">
                  <c:v>0.3734161112853604</c:v>
                </c:pt>
                <c:pt idx="309">
                  <c:v>-0.63228553332444015</c:v>
                </c:pt>
                <c:pt idx="310">
                  <c:v>0.18658521528183183</c:v>
                </c:pt>
                <c:pt idx="311">
                  <c:v>-0.9474999235105962</c:v>
                </c:pt>
                <c:pt idx="312">
                  <c:v>-1.1670319415810073</c:v>
                </c:pt>
                <c:pt idx="313">
                  <c:v>-1.6319415081566486</c:v>
                </c:pt>
                <c:pt idx="314">
                  <c:v>-2.7327997376671536</c:v>
                </c:pt>
                <c:pt idx="315">
                  <c:v>-0.38508480762603786</c:v>
                </c:pt>
                <c:pt idx="316">
                  <c:v>-0.97713360215342948</c:v>
                </c:pt>
                <c:pt idx="317">
                  <c:v>-0.84358082508022647</c:v>
                </c:pt>
                <c:pt idx="318">
                  <c:v>0.96668836786536427</c:v>
                </c:pt>
                <c:pt idx="319">
                  <c:v>-1.0101337973139408</c:v>
                </c:pt>
                <c:pt idx="320">
                  <c:v>3.4720773077781244</c:v>
                </c:pt>
                <c:pt idx="321">
                  <c:v>-0.69392179736044635</c:v>
                </c:pt>
                <c:pt idx="322">
                  <c:v>1.539587675300794</c:v>
                </c:pt>
                <c:pt idx="323">
                  <c:v>2.6212478115325442</c:v>
                </c:pt>
                <c:pt idx="324">
                  <c:v>2.7473960479992194</c:v>
                </c:pt>
                <c:pt idx="325">
                  <c:v>1.5535500258921526</c:v>
                </c:pt>
                <c:pt idx="326">
                  <c:v>-8.5231484219193049E-2</c:v>
                </c:pt>
                <c:pt idx="327">
                  <c:v>2.3790723412149868</c:v>
                </c:pt>
                <c:pt idx="328">
                  <c:v>-0.72283127398567082</c:v>
                </c:pt>
                <c:pt idx="329">
                  <c:v>-2.5586120959927139</c:v>
                </c:pt>
                <c:pt idx="330">
                  <c:v>0.55656803120621701</c:v>
                </c:pt>
                <c:pt idx="331">
                  <c:v>-3.451682617569364</c:v>
                </c:pt>
                <c:pt idx="332">
                  <c:v>0.43174338069117302</c:v>
                </c:pt>
                <c:pt idx="333">
                  <c:v>-0.91766871471414591</c:v>
                </c:pt>
                <c:pt idx="334">
                  <c:v>-0.68324182750021734</c:v>
                </c:pt>
                <c:pt idx="335">
                  <c:v>-0.63802821850481273</c:v>
                </c:pt>
                <c:pt idx="336">
                  <c:v>-0.88698134092906389</c:v>
                </c:pt>
                <c:pt idx="337">
                  <c:v>-1.3818722583783176</c:v>
                </c:pt>
                <c:pt idx="338">
                  <c:v>7.2633416429777817E-2</c:v>
                </c:pt>
                <c:pt idx="339">
                  <c:v>1.2143705581244542</c:v>
                </c:pt>
                <c:pt idx="340">
                  <c:v>2.1111674999819705</c:v>
                </c:pt>
                <c:pt idx="341">
                  <c:v>-9.8723664725633833E-2</c:v>
                </c:pt>
                <c:pt idx="342">
                  <c:v>-0.47899199098150291</c:v>
                </c:pt>
                <c:pt idx="343">
                  <c:v>0.9235433462638315</c:v>
                </c:pt>
                <c:pt idx="344">
                  <c:v>1.26708074925088</c:v>
                </c:pt>
                <c:pt idx="345">
                  <c:v>-9.0731992161399936E-3</c:v>
                </c:pt>
                <c:pt idx="346">
                  <c:v>1.2394515341278651</c:v>
                </c:pt>
                <c:pt idx="347">
                  <c:v>0.86418422319002008</c:v>
                </c:pt>
                <c:pt idx="348">
                  <c:v>-7.199900072986111E-2</c:v>
                </c:pt>
                <c:pt idx="349">
                  <c:v>4.357517290963854E-2</c:v>
                </c:pt>
                <c:pt idx="350">
                  <c:v>0.2749672873635931</c:v>
                </c:pt>
                <c:pt idx="351">
                  <c:v>7.8125519301108906E-2</c:v>
                </c:pt>
                <c:pt idx="352">
                  <c:v>0.82794023224202973</c:v>
                </c:pt>
                <c:pt idx="353">
                  <c:v>0.28753308488155438</c:v>
                </c:pt>
                <c:pt idx="354">
                  <c:v>0.19993267130990572</c:v>
                </c:pt>
                <c:pt idx="355">
                  <c:v>0.93448737390407655</c:v>
                </c:pt>
                <c:pt idx="356">
                  <c:v>-1.1079659887017894</c:v>
                </c:pt>
                <c:pt idx="357">
                  <c:v>-1.4375278289347933</c:v>
                </c:pt>
                <c:pt idx="358">
                  <c:v>-0.58074238683041579</c:v>
                </c:pt>
                <c:pt idx="359">
                  <c:v>1.3160037932020494</c:v>
                </c:pt>
                <c:pt idx="360">
                  <c:v>-2.0302994659393101</c:v>
                </c:pt>
                <c:pt idx="361">
                  <c:v>-2.2382603266400913</c:v>
                </c:pt>
                <c:pt idx="362">
                  <c:v>-0.75751706682775866</c:v>
                </c:pt>
                <c:pt idx="363">
                  <c:v>-1.0306011185079671</c:v>
                </c:pt>
                <c:pt idx="364">
                  <c:v>0.88224971223868354</c:v>
                </c:pt>
                <c:pt idx="365">
                  <c:v>0.17184976624815418</c:v>
                </c:pt>
                <c:pt idx="366">
                  <c:v>-0.58163018536706346</c:v>
                </c:pt>
                <c:pt idx="367">
                  <c:v>-0.86006936817939161</c:v>
                </c:pt>
                <c:pt idx="368">
                  <c:v>-1.6266867098316833</c:v>
                </c:pt>
                <c:pt idx="369">
                  <c:v>0.12999171896584169</c:v>
                </c:pt>
                <c:pt idx="370">
                  <c:v>0.4654442793344194</c:v>
                </c:pt>
                <c:pt idx="371">
                  <c:v>-1.626368466519942</c:v>
                </c:pt>
                <c:pt idx="372">
                  <c:v>1.6231038143843988</c:v>
                </c:pt>
                <c:pt idx="373">
                  <c:v>0.99590616832095791</c:v>
                </c:pt>
                <c:pt idx="374">
                  <c:v>0.46857065274584953</c:v>
                </c:pt>
                <c:pt idx="375">
                  <c:v>0.47398446164132163</c:v>
                </c:pt>
                <c:pt idx="376">
                  <c:v>-0.15234540833318785</c:v>
                </c:pt>
                <c:pt idx="377">
                  <c:v>0.69192234930796725</c:v>
                </c:pt>
                <c:pt idx="378">
                  <c:v>-1.307068093232151</c:v>
                </c:pt>
                <c:pt idx="379">
                  <c:v>0.74258970300151861</c:v>
                </c:pt>
                <c:pt idx="380">
                  <c:v>-1.0639613519924846</c:v>
                </c:pt>
                <c:pt idx="381">
                  <c:v>3.2394353065249786</c:v>
                </c:pt>
                <c:pt idx="382">
                  <c:v>-1.4339281629923626</c:v>
                </c:pt>
                <c:pt idx="383">
                  <c:v>-2.2366030601609661</c:v>
                </c:pt>
                <c:pt idx="384">
                  <c:v>3.0723966658172362E-2</c:v>
                </c:pt>
                <c:pt idx="385">
                  <c:v>1.482908951694333</c:v>
                </c:pt>
                <c:pt idx="386">
                  <c:v>-0.49892317917099432</c:v>
                </c:pt>
                <c:pt idx="387">
                  <c:v>-0.78933938116930435</c:v>
                </c:pt>
                <c:pt idx="388">
                  <c:v>2.9429591190884881</c:v>
                </c:pt>
                <c:pt idx="389">
                  <c:v>2.781136326470084E-2</c:v>
                </c:pt>
                <c:pt idx="390">
                  <c:v>-0.77256397256164122</c:v>
                </c:pt>
                <c:pt idx="391">
                  <c:v>0.39947920216775701</c:v>
                </c:pt>
              </c:numCache>
            </c:numRef>
          </c:yVal>
          <c:smooth val="0"/>
          <c:extLst>
            <c:ext xmlns:c16="http://schemas.microsoft.com/office/drawing/2014/chart" uri="{C3380CC4-5D6E-409C-BE32-E72D297353CC}">
              <c16:uniqueId val="{00000001-C8CF-4312-9B44-9B0E03F6CB33}"/>
            </c:ext>
          </c:extLst>
        </c:ser>
        <c:dLbls>
          <c:showLegendKey val="0"/>
          <c:showVal val="0"/>
          <c:showCatName val="0"/>
          <c:showSerName val="0"/>
          <c:showPercent val="0"/>
          <c:showBubbleSize val="0"/>
        </c:dLbls>
        <c:axId val="664283952"/>
        <c:axId val="22714416"/>
      </c:scatterChart>
      <c:valAx>
        <c:axId val="664283952"/>
        <c:scaling>
          <c:orientation val="minMax"/>
        </c:scaling>
        <c:delete val="0"/>
        <c:axPos val="b"/>
        <c:majorGridlines/>
        <c:title>
          <c:tx>
            <c:rich>
              <a:bodyPr/>
              <a:lstStyle/>
              <a:p>
                <a:pPr>
                  <a:defRPr/>
                </a:pPr>
                <a:r>
                  <a:rPr lang="en-US"/>
                  <a:t>Leverage (Hat Diagonal)</a:t>
                </a:r>
              </a:p>
            </c:rich>
          </c:tx>
          <c:overlay val="0"/>
        </c:title>
        <c:numFmt formatCode="0.00" sourceLinked="0"/>
        <c:majorTickMark val="out"/>
        <c:minorTickMark val="none"/>
        <c:tickLblPos val="nextTo"/>
        <c:crossAx val="22714416"/>
        <c:crosses val="autoZero"/>
        <c:crossBetween val="midCat"/>
      </c:valAx>
      <c:valAx>
        <c:axId val="22714416"/>
        <c:scaling>
          <c:orientation val="minMax"/>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664283952"/>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PRESS Residuals</a:t>
            </a:r>
          </a:p>
        </c:rich>
      </c:tx>
      <c:overlay val="0"/>
      <c:spPr>
        <a:solidFill>
          <a:srgbClr val="CAEDFB"/>
        </a:solidFill>
      </c:spPr>
    </c:title>
    <c:autoTitleDeleted val="0"/>
    <c:plotArea>
      <c:layout/>
      <c:barChart>
        <c:barDir val="col"/>
        <c:grouping val="clustered"/>
        <c:varyColors val="0"/>
        <c:ser>
          <c:idx val="0"/>
          <c:order val="0"/>
          <c:tx>
            <c:v>PRESS Residuals</c:v>
          </c:tx>
          <c:invertIfNegative val="0"/>
          <c:val>
            <c:numRef>
              <c:f>Regression!RegChartPRESSResid</c:f>
              <c:numCache>
                <c:formatCode>0.0000</c:formatCode>
                <c:ptCount val="392"/>
                <c:pt idx="0">
                  <c:v>1.2100080743820438</c:v>
                </c:pt>
                <c:pt idx="1">
                  <c:v>-0.32489208383555762</c:v>
                </c:pt>
                <c:pt idx="2">
                  <c:v>1.1838129027934601</c:v>
                </c:pt>
                <c:pt idx="3">
                  <c:v>-0.90544185234696473</c:v>
                </c:pt>
                <c:pt idx="4">
                  <c:v>4.7022267319597577E-2</c:v>
                </c:pt>
                <c:pt idx="5">
                  <c:v>3.6510860999541257</c:v>
                </c:pt>
                <c:pt idx="6">
                  <c:v>3.0825035334412481</c:v>
                </c:pt>
                <c:pt idx="7">
                  <c:v>2.7655349161426095</c:v>
                </c:pt>
                <c:pt idx="8">
                  <c:v>3.5552594595502436</c:v>
                </c:pt>
                <c:pt idx="9">
                  <c:v>0.92577038537476919</c:v>
                </c:pt>
                <c:pt idx="10">
                  <c:v>-0.92509290975654135</c:v>
                </c:pt>
                <c:pt idx="11">
                  <c:v>-1.8865804352483648</c:v>
                </c:pt>
                <c:pt idx="12">
                  <c:v>-0.22070482827052992</c:v>
                </c:pt>
                <c:pt idx="13">
                  <c:v>-3.8435111730357598</c:v>
                </c:pt>
                <c:pt idx="14">
                  <c:v>-1.2681887958396509</c:v>
                </c:pt>
                <c:pt idx="15">
                  <c:v>1.2569745440661129</c:v>
                </c:pt>
                <c:pt idx="16">
                  <c:v>-3.2218584921045945</c:v>
                </c:pt>
                <c:pt idx="17">
                  <c:v>-1.278685495211731</c:v>
                </c:pt>
                <c:pt idx="18">
                  <c:v>0.48949425015705561</c:v>
                </c:pt>
                <c:pt idx="19">
                  <c:v>-2.7805355040656736</c:v>
                </c:pt>
                <c:pt idx="20">
                  <c:v>1.3926195562011578</c:v>
                </c:pt>
                <c:pt idx="21">
                  <c:v>-0.91096744764447557</c:v>
                </c:pt>
                <c:pt idx="22">
                  <c:v>-6.4479519027655127E-2</c:v>
                </c:pt>
                <c:pt idx="23">
                  <c:v>0.54391555439414818</c:v>
                </c:pt>
                <c:pt idx="24">
                  <c:v>-0.86512031043827142</c:v>
                </c:pt>
                <c:pt idx="25">
                  <c:v>0.17482390168274384</c:v>
                </c:pt>
                <c:pt idx="26">
                  <c:v>-1.3417394580617572</c:v>
                </c:pt>
                <c:pt idx="27">
                  <c:v>-9.8463446569464735E-2</c:v>
                </c:pt>
                <c:pt idx="28">
                  <c:v>-0.62519117226831977</c:v>
                </c:pt>
                <c:pt idx="29">
                  <c:v>-0.47165320666571647</c:v>
                </c:pt>
                <c:pt idx="30">
                  <c:v>3.4866006087113623</c:v>
                </c:pt>
                <c:pt idx="31">
                  <c:v>-1.9366264344286339</c:v>
                </c:pt>
                <c:pt idx="32">
                  <c:v>-3.8004614734856697</c:v>
                </c:pt>
                <c:pt idx="33">
                  <c:v>-2.5895671975627073</c:v>
                </c:pt>
                <c:pt idx="34">
                  <c:v>-2.2127516260067042</c:v>
                </c:pt>
                <c:pt idx="35">
                  <c:v>-0.47544838041367127</c:v>
                </c:pt>
                <c:pt idx="36">
                  <c:v>-1.3858169387055779</c:v>
                </c:pt>
                <c:pt idx="37">
                  <c:v>0.40721235819677037</c:v>
                </c:pt>
                <c:pt idx="38">
                  <c:v>1.9358094307204665</c:v>
                </c:pt>
                <c:pt idx="39">
                  <c:v>-8.8147279458059918E-2</c:v>
                </c:pt>
                <c:pt idx="40">
                  <c:v>-0.4454535660336465</c:v>
                </c:pt>
                <c:pt idx="41">
                  <c:v>2.5494811913343622</c:v>
                </c:pt>
                <c:pt idx="42">
                  <c:v>2.306306457858263</c:v>
                </c:pt>
                <c:pt idx="43">
                  <c:v>4.5379009999192963</c:v>
                </c:pt>
                <c:pt idx="44">
                  <c:v>-2.9334430184822149</c:v>
                </c:pt>
                <c:pt idx="45">
                  <c:v>-2.344134656154615</c:v>
                </c:pt>
                <c:pt idx="46">
                  <c:v>-0.37528987456563562</c:v>
                </c:pt>
                <c:pt idx="47">
                  <c:v>-2.3813128863916133</c:v>
                </c:pt>
                <c:pt idx="48">
                  <c:v>-2.0614989501083483</c:v>
                </c:pt>
                <c:pt idx="49">
                  <c:v>0.70984418335592858</c:v>
                </c:pt>
                <c:pt idx="50">
                  <c:v>2.2108771264682945</c:v>
                </c:pt>
                <c:pt idx="51">
                  <c:v>2.2670166529781306</c:v>
                </c:pt>
                <c:pt idx="52">
                  <c:v>1.4454739739280213</c:v>
                </c:pt>
                <c:pt idx="53">
                  <c:v>4.8862847209451834</c:v>
                </c:pt>
                <c:pt idx="54">
                  <c:v>-2.4046385400095205</c:v>
                </c:pt>
                <c:pt idx="55">
                  <c:v>-0.59616383164649944</c:v>
                </c:pt>
                <c:pt idx="56">
                  <c:v>-1.3956229739450776</c:v>
                </c:pt>
                <c:pt idx="57">
                  <c:v>0.75688330680052984</c:v>
                </c:pt>
                <c:pt idx="58">
                  <c:v>-3.1695718173709837</c:v>
                </c:pt>
                <c:pt idx="59">
                  <c:v>-2.8217850869349226</c:v>
                </c:pt>
                <c:pt idx="60">
                  <c:v>-2.8169852988999744</c:v>
                </c:pt>
                <c:pt idx="61">
                  <c:v>1.0155990074407435</c:v>
                </c:pt>
                <c:pt idx="62">
                  <c:v>2.819020541409297</c:v>
                </c:pt>
                <c:pt idx="63">
                  <c:v>2.1096679502107949</c:v>
                </c:pt>
                <c:pt idx="64">
                  <c:v>1.0878424613700093</c:v>
                </c:pt>
                <c:pt idx="65">
                  <c:v>1.7515965712486719</c:v>
                </c:pt>
                <c:pt idx="66">
                  <c:v>1.5794185331376021</c:v>
                </c:pt>
                <c:pt idx="67">
                  <c:v>2.0565911381379207</c:v>
                </c:pt>
                <c:pt idx="68">
                  <c:v>0.85062266962688249</c:v>
                </c:pt>
                <c:pt idx="69">
                  <c:v>2.2371338570248875</c:v>
                </c:pt>
                <c:pt idx="70">
                  <c:v>-6.336632574893744</c:v>
                </c:pt>
                <c:pt idx="71">
                  <c:v>0.82827295742581797</c:v>
                </c:pt>
                <c:pt idx="72">
                  <c:v>-0.50697597722031129</c:v>
                </c:pt>
                <c:pt idx="73">
                  <c:v>0.70045057104628083</c:v>
                </c:pt>
                <c:pt idx="74">
                  <c:v>0.76290909995306022</c:v>
                </c:pt>
                <c:pt idx="75">
                  <c:v>-3.7996929781103761</c:v>
                </c:pt>
                <c:pt idx="76">
                  <c:v>-2.4580357345029671</c:v>
                </c:pt>
                <c:pt idx="77">
                  <c:v>-0.83091410409803512</c:v>
                </c:pt>
                <c:pt idx="78">
                  <c:v>-8.3433130402052719E-2</c:v>
                </c:pt>
                <c:pt idx="79">
                  <c:v>-0.86215800200214221</c:v>
                </c:pt>
                <c:pt idx="80">
                  <c:v>2.8080925597340181</c:v>
                </c:pt>
                <c:pt idx="81">
                  <c:v>-1.1985802970076465</c:v>
                </c:pt>
                <c:pt idx="82">
                  <c:v>4.1173305504062085</c:v>
                </c:pt>
                <c:pt idx="83">
                  <c:v>0.69039721364846696</c:v>
                </c:pt>
                <c:pt idx="84">
                  <c:v>0.63546285600237218</c:v>
                </c:pt>
                <c:pt idx="85">
                  <c:v>-0.98352170838507613</c:v>
                </c:pt>
                <c:pt idx="86">
                  <c:v>-0.45024690165597342</c:v>
                </c:pt>
                <c:pt idx="87">
                  <c:v>0.72673005321321626</c:v>
                </c:pt>
                <c:pt idx="88">
                  <c:v>0.59027642448547857</c:v>
                </c:pt>
                <c:pt idx="89">
                  <c:v>4.468314070755838</c:v>
                </c:pt>
                <c:pt idx="90">
                  <c:v>2.1242050518669156</c:v>
                </c:pt>
                <c:pt idx="91">
                  <c:v>1.7222965332401785</c:v>
                </c:pt>
                <c:pt idx="92">
                  <c:v>1.9606599591133218</c:v>
                </c:pt>
                <c:pt idx="93">
                  <c:v>4.6897621797464435</c:v>
                </c:pt>
                <c:pt idx="94">
                  <c:v>4.9804447402668108</c:v>
                </c:pt>
                <c:pt idx="95">
                  <c:v>-0.82516389872297458</c:v>
                </c:pt>
                <c:pt idx="96">
                  <c:v>-0.49210123346205142</c:v>
                </c:pt>
                <c:pt idx="97">
                  <c:v>-1.823402951752368</c:v>
                </c:pt>
                <c:pt idx="98">
                  <c:v>-1.4958182409210292</c:v>
                </c:pt>
                <c:pt idx="99">
                  <c:v>-1.3062785840346252</c:v>
                </c:pt>
                <c:pt idx="100">
                  <c:v>3.369388236161452</c:v>
                </c:pt>
                <c:pt idx="101">
                  <c:v>-1.3686106991324332</c:v>
                </c:pt>
                <c:pt idx="102">
                  <c:v>2.9030964503735817</c:v>
                </c:pt>
                <c:pt idx="103">
                  <c:v>3.7117025261796162</c:v>
                </c:pt>
                <c:pt idx="104">
                  <c:v>3.4513085341038043</c:v>
                </c:pt>
                <c:pt idx="105">
                  <c:v>1.7721659628268265</c:v>
                </c:pt>
                <c:pt idx="106">
                  <c:v>-2.3122537497053934</c:v>
                </c:pt>
                <c:pt idx="107">
                  <c:v>-5.2910940882228843</c:v>
                </c:pt>
                <c:pt idx="108">
                  <c:v>-1.7277653817936316</c:v>
                </c:pt>
                <c:pt idx="109">
                  <c:v>-2.5756585438355857</c:v>
                </c:pt>
                <c:pt idx="110">
                  <c:v>-8.1630261181215609</c:v>
                </c:pt>
                <c:pt idx="111">
                  <c:v>-4.0630553801187883</c:v>
                </c:pt>
                <c:pt idx="112">
                  <c:v>-0.75919478577024446</c:v>
                </c:pt>
                <c:pt idx="113">
                  <c:v>1.0479758251353011</c:v>
                </c:pt>
                <c:pt idx="114">
                  <c:v>2.096283433312172</c:v>
                </c:pt>
                <c:pt idx="115">
                  <c:v>5.8283241238228989</c:v>
                </c:pt>
                <c:pt idx="116">
                  <c:v>1.3904028932765085</c:v>
                </c:pt>
                <c:pt idx="117">
                  <c:v>-1.8526074987725742</c:v>
                </c:pt>
                <c:pt idx="118">
                  <c:v>-3.5052641654598364</c:v>
                </c:pt>
                <c:pt idx="119">
                  <c:v>-2.6844937790394372</c:v>
                </c:pt>
                <c:pt idx="120">
                  <c:v>-1.3816443675927468</c:v>
                </c:pt>
                <c:pt idx="121">
                  <c:v>1.3850808334828915</c:v>
                </c:pt>
                <c:pt idx="122">
                  <c:v>-1.9279677743484762</c:v>
                </c:pt>
                <c:pt idx="123">
                  <c:v>-3.6640805120294702</c:v>
                </c:pt>
                <c:pt idx="124">
                  <c:v>-0.73061406659338524</c:v>
                </c:pt>
                <c:pt idx="125">
                  <c:v>-2.7540688042828081</c:v>
                </c:pt>
                <c:pt idx="126">
                  <c:v>-4.6282218606746213</c:v>
                </c:pt>
                <c:pt idx="127">
                  <c:v>2.0542269352690301</c:v>
                </c:pt>
                <c:pt idx="128">
                  <c:v>1.8451312705276162</c:v>
                </c:pt>
                <c:pt idx="129">
                  <c:v>2.4666817265611751</c:v>
                </c:pt>
                <c:pt idx="130">
                  <c:v>1.1936023696485396</c:v>
                </c:pt>
                <c:pt idx="131">
                  <c:v>-1.2420582720429392</c:v>
                </c:pt>
                <c:pt idx="132">
                  <c:v>-1.8522149305868523</c:v>
                </c:pt>
                <c:pt idx="133">
                  <c:v>5.1822657021996954E-2</c:v>
                </c:pt>
                <c:pt idx="134">
                  <c:v>1.3521723406279569</c:v>
                </c:pt>
                <c:pt idx="135">
                  <c:v>1.3520012393499123</c:v>
                </c:pt>
                <c:pt idx="136">
                  <c:v>1.107854857928066</c:v>
                </c:pt>
                <c:pt idx="137">
                  <c:v>1.9136039570416161</c:v>
                </c:pt>
                <c:pt idx="138">
                  <c:v>4.2965037548334264E-2</c:v>
                </c:pt>
                <c:pt idx="139">
                  <c:v>1.7894221143617004</c:v>
                </c:pt>
                <c:pt idx="140">
                  <c:v>-3.014966375713156</c:v>
                </c:pt>
                <c:pt idx="141">
                  <c:v>-1.0262533009321322</c:v>
                </c:pt>
                <c:pt idx="142">
                  <c:v>0.19477747790765451</c:v>
                </c:pt>
                <c:pt idx="143">
                  <c:v>3.2870477500707649</c:v>
                </c:pt>
                <c:pt idx="144">
                  <c:v>2.1383764804257579</c:v>
                </c:pt>
                <c:pt idx="145">
                  <c:v>-4.2121421627966393</c:v>
                </c:pt>
                <c:pt idx="146">
                  <c:v>-1.3652393358501107</c:v>
                </c:pt>
                <c:pt idx="147">
                  <c:v>-1.9281175847124778</c:v>
                </c:pt>
                <c:pt idx="148">
                  <c:v>-0.41321213148809277</c:v>
                </c:pt>
                <c:pt idx="149">
                  <c:v>2.4525436245562053</c:v>
                </c:pt>
                <c:pt idx="150">
                  <c:v>-0.27108495279249223</c:v>
                </c:pt>
                <c:pt idx="151">
                  <c:v>-0.11574054079709488</c:v>
                </c:pt>
                <c:pt idx="152">
                  <c:v>-3.9769539560774163</c:v>
                </c:pt>
                <c:pt idx="153">
                  <c:v>-5.4019784101142578</c:v>
                </c:pt>
                <c:pt idx="154">
                  <c:v>5.3029050445110597</c:v>
                </c:pt>
                <c:pt idx="155">
                  <c:v>2.6100528576220703</c:v>
                </c:pt>
                <c:pt idx="156">
                  <c:v>4.0451709012266592</c:v>
                </c:pt>
                <c:pt idx="157">
                  <c:v>2.7736878360180524</c:v>
                </c:pt>
                <c:pt idx="158">
                  <c:v>1.2878304114215113</c:v>
                </c:pt>
                <c:pt idx="159">
                  <c:v>0.11052588385341511</c:v>
                </c:pt>
                <c:pt idx="160">
                  <c:v>-1.7206569568704999</c:v>
                </c:pt>
                <c:pt idx="161">
                  <c:v>1.4382523683020747</c:v>
                </c:pt>
                <c:pt idx="162">
                  <c:v>0.87644184931180591</c:v>
                </c:pt>
                <c:pt idx="163">
                  <c:v>0.79284872663206629</c:v>
                </c:pt>
                <c:pt idx="164">
                  <c:v>-6.4723482283894116</c:v>
                </c:pt>
                <c:pt idx="165">
                  <c:v>1.90984006884239</c:v>
                </c:pt>
                <c:pt idx="166">
                  <c:v>0.39481358273116629</c:v>
                </c:pt>
                <c:pt idx="167">
                  <c:v>-0.989830570359571</c:v>
                </c:pt>
                <c:pt idx="168">
                  <c:v>6.2540965469571427E-2</c:v>
                </c:pt>
                <c:pt idx="169">
                  <c:v>-0.15812276956041443</c:v>
                </c:pt>
                <c:pt idx="170">
                  <c:v>-1.9504859422695788</c:v>
                </c:pt>
                <c:pt idx="171">
                  <c:v>-0.97615734869186344</c:v>
                </c:pt>
                <c:pt idx="172">
                  <c:v>-2.7471475923583948</c:v>
                </c:pt>
                <c:pt idx="173">
                  <c:v>0.71178642650447477</c:v>
                </c:pt>
                <c:pt idx="174">
                  <c:v>-0.63407125485399651</c:v>
                </c:pt>
                <c:pt idx="175">
                  <c:v>-1.1391919581707672</c:v>
                </c:pt>
                <c:pt idx="176">
                  <c:v>0.13896135696869913</c:v>
                </c:pt>
                <c:pt idx="177">
                  <c:v>-0.80329153237382334</c:v>
                </c:pt>
                <c:pt idx="178">
                  <c:v>1.1908259504853984</c:v>
                </c:pt>
                <c:pt idx="179">
                  <c:v>3.7435292160505758</c:v>
                </c:pt>
                <c:pt idx="180">
                  <c:v>1.9072839775669417</c:v>
                </c:pt>
                <c:pt idx="181">
                  <c:v>-2.5984861636940297</c:v>
                </c:pt>
                <c:pt idx="182">
                  <c:v>1.464855927285923</c:v>
                </c:pt>
                <c:pt idx="183">
                  <c:v>0.62006006597622276</c:v>
                </c:pt>
                <c:pt idx="184">
                  <c:v>-0.57133516980661769</c:v>
                </c:pt>
                <c:pt idx="185">
                  <c:v>3.1187392629080959</c:v>
                </c:pt>
                <c:pt idx="186">
                  <c:v>1.6015210375266666</c:v>
                </c:pt>
                <c:pt idx="187">
                  <c:v>-0.61781135510291629</c:v>
                </c:pt>
                <c:pt idx="188">
                  <c:v>0.21175314390591801</c:v>
                </c:pt>
                <c:pt idx="189">
                  <c:v>1.9493670839118078</c:v>
                </c:pt>
                <c:pt idx="190">
                  <c:v>2.6599418172327756</c:v>
                </c:pt>
                <c:pt idx="191">
                  <c:v>2.5489444075794121</c:v>
                </c:pt>
                <c:pt idx="192">
                  <c:v>1.5260867965339415</c:v>
                </c:pt>
                <c:pt idx="193">
                  <c:v>2.1363612293758742</c:v>
                </c:pt>
                <c:pt idx="194">
                  <c:v>-1.7465783067471083</c:v>
                </c:pt>
                <c:pt idx="195">
                  <c:v>-0.10392097432114804</c:v>
                </c:pt>
                <c:pt idx="196">
                  <c:v>2.9169102071070339</c:v>
                </c:pt>
                <c:pt idx="197">
                  <c:v>2.0791510168267773</c:v>
                </c:pt>
                <c:pt idx="198">
                  <c:v>-0.77986999604669482</c:v>
                </c:pt>
                <c:pt idx="199">
                  <c:v>0.65768990736195021</c:v>
                </c:pt>
                <c:pt idx="200">
                  <c:v>-2.9924598435242666</c:v>
                </c:pt>
                <c:pt idx="201">
                  <c:v>-0.15753318035327213</c:v>
                </c:pt>
                <c:pt idx="202">
                  <c:v>3.1873971558185135</c:v>
                </c:pt>
                <c:pt idx="203">
                  <c:v>-3.7995567392888153E-2</c:v>
                </c:pt>
                <c:pt idx="204">
                  <c:v>2.6472303005616276</c:v>
                </c:pt>
                <c:pt idx="205">
                  <c:v>-2.547650921488096</c:v>
                </c:pt>
                <c:pt idx="206">
                  <c:v>-2.8204289808416183</c:v>
                </c:pt>
                <c:pt idx="207">
                  <c:v>-3.2099960765935545</c:v>
                </c:pt>
                <c:pt idx="208">
                  <c:v>-4.7926357388214011</c:v>
                </c:pt>
                <c:pt idx="209">
                  <c:v>-2.377280671107092</c:v>
                </c:pt>
                <c:pt idx="210">
                  <c:v>3.6603805715581514</c:v>
                </c:pt>
                <c:pt idx="211">
                  <c:v>-2.2977495348791437</c:v>
                </c:pt>
                <c:pt idx="212">
                  <c:v>-3.5131232318501628</c:v>
                </c:pt>
                <c:pt idx="213">
                  <c:v>-3.7984357217959559</c:v>
                </c:pt>
                <c:pt idx="214">
                  <c:v>1.4272391744059372</c:v>
                </c:pt>
                <c:pt idx="215">
                  <c:v>2.8031429588783507</c:v>
                </c:pt>
                <c:pt idx="216">
                  <c:v>4.9588651964746262</c:v>
                </c:pt>
                <c:pt idx="217">
                  <c:v>-0.87692201307328443</c:v>
                </c:pt>
                <c:pt idx="218">
                  <c:v>3.0291585518993474</c:v>
                </c:pt>
                <c:pt idx="219">
                  <c:v>-4.0961724283076116E-2</c:v>
                </c:pt>
                <c:pt idx="220">
                  <c:v>-0.20684911065557746</c:v>
                </c:pt>
                <c:pt idx="221">
                  <c:v>-0.75390821236976013</c:v>
                </c:pt>
                <c:pt idx="222">
                  <c:v>-0.71584276694593196</c:v>
                </c:pt>
                <c:pt idx="223">
                  <c:v>-2.5293347896056928</c:v>
                </c:pt>
                <c:pt idx="224">
                  <c:v>7.6995335175618082E-3</c:v>
                </c:pt>
                <c:pt idx="225">
                  <c:v>-0.56103521930778322</c:v>
                </c:pt>
                <c:pt idx="226">
                  <c:v>-1.672961799882174</c:v>
                </c:pt>
                <c:pt idx="227">
                  <c:v>0.7904400860767099</c:v>
                </c:pt>
                <c:pt idx="228">
                  <c:v>-0.19957722463211716</c:v>
                </c:pt>
                <c:pt idx="229">
                  <c:v>1.0000607793284515</c:v>
                </c:pt>
                <c:pt idx="230">
                  <c:v>0.86719232395786683</c:v>
                </c:pt>
                <c:pt idx="231">
                  <c:v>-1.4655317270080654</c:v>
                </c:pt>
                <c:pt idx="232">
                  <c:v>0.27395379837911632</c:v>
                </c:pt>
                <c:pt idx="233">
                  <c:v>-3.0578978784161723</c:v>
                </c:pt>
                <c:pt idx="234">
                  <c:v>1.4113508763323765</c:v>
                </c:pt>
                <c:pt idx="235">
                  <c:v>2.4883977288064179</c:v>
                </c:pt>
                <c:pt idx="236">
                  <c:v>6.1190715761600609</c:v>
                </c:pt>
                <c:pt idx="237">
                  <c:v>-0.4837323155909769</c:v>
                </c:pt>
                <c:pt idx="238">
                  <c:v>1.4500384772618966</c:v>
                </c:pt>
                <c:pt idx="239">
                  <c:v>-3.9643599743230626</c:v>
                </c:pt>
                <c:pt idx="240">
                  <c:v>-5.3155956956869108</c:v>
                </c:pt>
                <c:pt idx="241">
                  <c:v>-4.7712556127595303</c:v>
                </c:pt>
                <c:pt idx="242">
                  <c:v>13.172969859036932</c:v>
                </c:pt>
                <c:pt idx="243">
                  <c:v>7.2107389430349329</c:v>
                </c:pt>
                <c:pt idx="244">
                  <c:v>2.3466857362476885</c:v>
                </c:pt>
                <c:pt idx="245">
                  <c:v>9.9554372747366315</c:v>
                </c:pt>
                <c:pt idx="246">
                  <c:v>4.9352531059743807</c:v>
                </c:pt>
                <c:pt idx="247">
                  <c:v>-0.68587551764978061</c:v>
                </c:pt>
                <c:pt idx="248">
                  <c:v>1.2345601813654961</c:v>
                </c:pt>
                <c:pt idx="249">
                  <c:v>1.1815761705870858</c:v>
                </c:pt>
                <c:pt idx="250">
                  <c:v>-0.60585800295101178</c:v>
                </c:pt>
                <c:pt idx="251">
                  <c:v>-1.4167404873075831</c:v>
                </c:pt>
                <c:pt idx="252">
                  <c:v>-2.8913596010713132</c:v>
                </c:pt>
                <c:pt idx="253">
                  <c:v>0.94148563341357638</c:v>
                </c:pt>
                <c:pt idx="254">
                  <c:v>0.10506983571430212</c:v>
                </c:pt>
                <c:pt idx="255">
                  <c:v>-2.3545810557722016</c:v>
                </c:pt>
                <c:pt idx="256">
                  <c:v>3.052330271299571E-2</c:v>
                </c:pt>
                <c:pt idx="257">
                  <c:v>-1.7233260700818205</c:v>
                </c:pt>
                <c:pt idx="258">
                  <c:v>-0.69717173920131104</c:v>
                </c:pt>
                <c:pt idx="259">
                  <c:v>-2.1386075346668387</c:v>
                </c:pt>
                <c:pt idx="260">
                  <c:v>-0.51156090106779017</c:v>
                </c:pt>
                <c:pt idx="261">
                  <c:v>-1.6479969729567365</c:v>
                </c:pt>
                <c:pt idx="262">
                  <c:v>-2.9125137222361288</c:v>
                </c:pt>
                <c:pt idx="263">
                  <c:v>1.0789444422452377</c:v>
                </c:pt>
                <c:pt idx="264">
                  <c:v>2.7279332663852509</c:v>
                </c:pt>
                <c:pt idx="265">
                  <c:v>0.57796223623426646</c:v>
                </c:pt>
                <c:pt idx="266">
                  <c:v>-1.0711803357534062</c:v>
                </c:pt>
                <c:pt idx="267">
                  <c:v>4.1706195347204753</c:v>
                </c:pt>
                <c:pt idx="268">
                  <c:v>-6.3186671786628619</c:v>
                </c:pt>
                <c:pt idx="269">
                  <c:v>-0.60529074787668646</c:v>
                </c:pt>
                <c:pt idx="270">
                  <c:v>0.25478709625109125</c:v>
                </c:pt>
                <c:pt idx="271">
                  <c:v>-3.951736885447231</c:v>
                </c:pt>
                <c:pt idx="272">
                  <c:v>-5.24991006553915</c:v>
                </c:pt>
                <c:pt idx="273">
                  <c:v>-6.7203198918386846</c:v>
                </c:pt>
                <c:pt idx="274">
                  <c:v>-3.8872190534951416</c:v>
                </c:pt>
                <c:pt idx="275">
                  <c:v>-6.0047147778711674</c:v>
                </c:pt>
                <c:pt idx="276">
                  <c:v>1.4623181250331556</c:v>
                </c:pt>
                <c:pt idx="277">
                  <c:v>-3.6378396493163552E-2</c:v>
                </c:pt>
                <c:pt idx="278">
                  <c:v>-2.0730944715248216</c:v>
                </c:pt>
                <c:pt idx="279">
                  <c:v>-5.689215893688961</c:v>
                </c:pt>
                <c:pt idx="280">
                  <c:v>-3.5647066647545076</c:v>
                </c:pt>
                <c:pt idx="281">
                  <c:v>-3.7480812959207177</c:v>
                </c:pt>
                <c:pt idx="282">
                  <c:v>-2.4857703157514104</c:v>
                </c:pt>
                <c:pt idx="283">
                  <c:v>-3.3684781400953314</c:v>
                </c:pt>
                <c:pt idx="284">
                  <c:v>-3.3645063076537625</c:v>
                </c:pt>
                <c:pt idx="285">
                  <c:v>-3.1514032711481996</c:v>
                </c:pt>
                <c:pt idx="286">
                  <c:v>-2.0907170773706674</c:v>
                </c:pt>
                <c:pt idx="287">
                  <c:v>-0.31809050204316169</c:v>
                </c:pt>
                <c:pt idx="288">
                  <c:v>-3.6059485901935107</c:v>
                </c:pt>
                <c:pt idx="289">
                  <c:v>-2.4004925965185979</c:v>
                </c:pt>
                <c:pt idx="290">
                  <c:v>-0.95048942458634067</c:v>
                </c:pt>
                <c:pt idx="291">
                  <c:v>-0.98605639233943487</c:v>
                </c:pt>
                <c:pt idx="292">
                  <c:v>1.3670037188506494</c:v>
                </c:pt>
                <c:pt idx="293">
                  <c:v>5.1633697821778402</c:v>
                </c:pt>
                <c:pt idx="294">
                  <c:v>0.43724928051441825</c:v>
                </c:pt>
                <c:pt idx="295">
                  <c:v>0.851394343150218</c:v>
                </c:pt>
                <c:pt idx="296">
                  <c:v>3.0977812961657061</c:v>
                </c:pt>
                <c:pt idx="297">
                  <c:v>0.82250204422445117</c:v>
                </c:pt>
                <c:pt idx="298">
                  <c:v>0.91834854443439884</c:v>
                </c:pt>
                <c:pt idx="299">
                  <c:v>4.8845313729495397</c:v>
                </c:pt>
                <c:pt idx="300">
                  <c:v>4.9374865969260453</c:v>
                </c:pt>
                <c:pt idx="301">
                  <c:v>-0.81475612395878372</c:v>
                </c:pt>
                <c:pt idx="302">
                  <c:v>5.7507449438926157</c:v>
                </c:pt>
                <c:pt idx="303">
                  <c:v>1.6446400365817351</c:v>
                </c:pt>
                <c:pt idx="304">
                  <c:v>2.109571687744789</c:v>
                </c:pt>
                <c:pt idx="305">
                  <c:v>0.56613825389506667</c:v>
                </c:pt>
                <c:pt idx="306">
                  <c:v>6.3524807998872364</c:v>
                </c:pt>
                <c:pt idx="307">
                  <c:v>6.0984026302550962</c:v>
                </c:pt>
                <c:pt idx="308">
                  <c:v>1.1706714109260627</c:v>
                </c:pt>
                <c:pt idx="309">
                  <c:v>-1.9927384262907486</c:v>
                </c:pt>
                <c:pt idx="310">
                  <c:v>0.5848636021687651</c:v>
                </c:pt>
                <c:pt idx="311">
                  <c:v>-2.976726537089073</c:v>
                </c:pt>
                <c:pt idx="312">
                  <c:v>-3.6633814291028028</c:v>
                </c:pt>
                <c:pt idx="313">
                  <c:v>-5.1220048439410162</c:v>
                </c:pt>
                <c:pt idx="314">
                  <c:v>-8.591641151691249</c:v>
                </c:pt>
                <c:pt idx="315">
                  <c:v>-1.2118597417157555</c:v>
                </c:pt>
                <c:pt idx="316">
                  <c:v>-3.0655192197449437</c:v>
                </c:pt>
                <c:pt idx="317">
                  <c:v>-2.6467931870703998</c:v>
                </c:pt>
                <c:pt idx="318">
                  <c:v>3.0319775373322515</c:v>
                </c:pt>
                <c:pt idx="319">
                  <c:v>-3.1661013760358392</c:v>
                </c:pt>
                <c:pt idx="320">
                  <c:v>10.883810167287482</c:v>
                </c:pt>
                <c:pt idx="321">
                  <c:v>-2.1820627918095523</c:v>
                </c:pt>
                <c:pt idx="322">
                  <c:v>4.8260964571069032</c:v>
                </c:pt>
                <c:pt idx="323">
                  <c:v>8.2450623796628069</c:v>
                </c:pt>
                <c:pt idx="324">
                  <c:v>8.6539501266128589</c:v>
                </c:pt>
                <c:pt idx="325">
                  <c:v>4.905927433975827</c:v>
                </c:pt>
                <c:pt idx="326">
                  <c:v>-0.27056580601216901</c:v>
                </c:pt>
                <c:pt idx="327">
                  <c:v>7.461302645924798</c:v>
                </c:pt>
                <c:pt idx="328">
                  <c:v>-2.2657409064896892</c:v>
                </c:pt>
                <c:pt idx="329">
                  <c:v>-8.0533902446309327</c:v>
                </c:pt>
                <c:pt idx="330">
                  <c:v>1.7563955555362059</c:v>
                </c:pt>
                <c:pt idx="331">
                  <c:v>-10.838973454580943</c:v>
                </c:pt>
                <c:pt idx="332">
                  <c:v>1.3585205064989019</c:v>
                </c:pt>
                <c:pt idx="333">
                  <c:v>-2.876626947862059</c:v>
                </c:pt>
                <c:pt idx="334">
                  <c:v>-2.1418096775819753</c:v>
                </c:pt>
                <c:pt idx="335">
                  <c:v>-1.9984934632617499</c:v>
                </c:pt>
                <c:pt idx="336">
                  <c:v>-2.7800551187514939</c:v>
                </c:pt>
                <c:pt idx="337">
                  <c:v>-4.3410279640583607</c:v>
                </c:pt>
                <c:pt idx="338">
                  <c:v>0.22788351573076968</c:v>
                </c:pt>
                <c:pt idx="339">
                  <c:v>3.8054728687064672</c:v>
                </c:pt>
                <c:pt idx="340">
                  <c:v>6.6445311301547934</c:v>
                </c:pt>
                <c:pt idx="341">
                  <c:v>-0.30938040590443527</c:v>
                </c:pt>
                <c:pt idx="342">
                  <c:v>-1.5006308250466132</c:v>
                </c:pt>
                <c:pt idx="343">
                  <c:v>2.8933611436410236</c:v>
                </c:pt>
                <c:pt idx="344">
                  <c:v>3.9702608972363729</c:v>
                </c:pt>
                <c:pt idx="345">
                  <c:v>-2.8426223274991645E-2</c:v>
                </c:pt>
                <c:pt idx="346">
                  <c:v>3.8893503903662641</c:v>
                </c:pt>
                <c:pt idx="347">
                  <c:v>2.7151066973755134</c:v>
                </c:pt>
                <c:pt idx="348">
                  <c:v>-0.22578160987867821</c:v>
                </c:pt>
                <c:pt idx="349">
                  <c:v>0.13728101479455973</c:v>
                </c:pt>
                <c:pt idx="350">
                  <c:v>0.86152239613964365</c:v>
                </c:pt>
                <c:pt idx="351">
                  <c:v>0.24485782917570523</c:v>
                </c:pt>
                <c:pt idx="352">
                  <c:v>2.5981412397478789</c:v>
                </c:pt>
                <c:pt idx="353">
                  <c:v>0.90304962182471338</c:v>
                </c:pt>
                <c:pt idx="354">
                  <c:v>0.63376882204497342</c:v>
                </c:pt>
                <c:pt idx="355">
                  <c:v>2.9617001560079603</c:v>
                </c:pt>
                <c:pt idx="356">
                  <c:v>-3.4839809548703582</c:v>
                </c:pt>
                <c:pt idx="357">
                  <c:v>-4.5233060154576235</c:v>
                </c:pt>
                <c:pt idx="358">
                  <c:v>-1.8185005649100394</c:v>
                </c:pt>
                <c:pt idx="359">
                  <c:v>4.1316504383413974</c:v>
                </c:pt>
                <c:pt idx="360">
                  <c:v>-6.358095931602012</c:v>
                </c:pt>
                <c:pt idx="361">
                  <c:v>-7.0372864508557127</c:v>
                </c:pt>
                <c:pt idx="362">
                  <c:v>-2.366014027876763</c:v>
                </c:pt>
                <c:pt idx="363">
                  <c:v>-3.218739277762225</c:v>
                </c:pt>
                <c:pt idx="364">
                  <c:v>2.7582262206913315</c:v>
                </c:pt>
                <c:pt idx="365">
                  <c:v>0.53675917505934245</c:v>
                </c:pt>
                <c:pt idx="366">
                  <c:v>-1.8168501678208238</c:v>
                </c:pt>
                <c:pt idx="367">
                  <c:v>-2.6859160950119931</c:v>
                </c:pt>
                <c:pt idx="368">
                  <c:v>-5.0802234469046796</c:v>
                </c:pt>
                <c:pt idx="369">
                  <c:v>0.40931534136625308</c:v>
                </c:pt>
                <c:pt idx="370">
                  <c:v>1.4591095280309649</c:v>
                </c:pt>
                <c:pt idx="371">
                  <c:v>-5.0977117902675833</c:v>
                </c:pt>
                <c:pt idx="372">
                  <c:v>5.0769452576812029</c:v>
                </c:pt>
                <c:pt idx="373">
                  <c:v>3.1149854368554237</c:v>
                </c:pt>
                <c:pt idx="374">
                  <c:v>1.4700677352177169</c:v>
                </c:pt>
                <c:pt idx="375">
                  <c:v>1.4864872849135713</c:v>
                </c:pt>
                <c:pt idx="376">
                  <c:v>-0.47806161701037769</c:v>
                </c:pt>
                <c:pt idx="377">
                  <c:v>2.1687985727788273</c:v>
                </c:pt>
                <c:pt idx="378">
                  <c:v>-4.0969444301977695</c:v>
                </c:pt>
                <c:pt idx="379">
                  <c:v>2.3278005531407135</c:v>
                </c:pt>
                <c:pt idx="380">
                  <c:v>-3.3250079143703637</c:v>
                </c:pt>
                <c:pt idx="381">
                  <c:v>10.130652776239755</c:v>
                </c:pt>
                <c:pt idx="382">
                  <c:v>-4.4798809472729406</c:v>
                </c:pt>
                <c:pt idx="383">
                  <c:v>-6.9955997457344044</c:v>
                </c:pt>
                <c:pt idx="384">
                  <c:v>9.6543441758296406E-2</c:v>
                </c:pt>
                <c:pt idx="385">
                  <c:v>4.6351514576143771</c:v>
                </c:pt>
                <c:pt idx="386">
                  <c:v>-1.5587308909671302</c:v>
                </c:pt>
                <c:pt idx="387">
                  <c:v>-2.4655038674426057</c:v>
                </c:pt>
                <c:pt idx="388">
                  <c:v>9.2693183050970411</c:v>
                </c:pt>
                <c:pt idx="389">
                  <c:v>8.6973095300076186E-2</c:v>
                </c:pt>
                <c:pt idx="390">
                  <c:v>-2.4134903280417519</c:v>
                </c:pt>
                <c:pt idx="391">
                  <c:v>1.247924205674755</c:v>
                </c:pt>
              </c:numCache>
            </c:numRef>
          </c:val>
          <c:extLst>
            <c:ext xmlns:c16="http://schemas.microsoft.com/office/drawing/2014/chart" uri="{C3380CC4-5D6E-409C-BE32-E72D297353CC}">
              <c16:uniqueId val="{00000001-60F1-4F29-B731-7AC56BD13F0C}"/>
            </c:ext>
          </c:extLst>
        </c:ser>
        <c:dLbls>
          <c:showLegendKey val="0"/>
          <c:showVal val="0"/>
          <c:showCatName val="0"/>
          <c:showSerName val="0"/>
          <c:showPercent val="0"/>
          <c:showBubbleSize val="0"/>
        </c:dLbls>
        <c:gapWidth val="150"/>
        <c:axId val="664286736"/>
        <c:axId val="22742256"/>
      </c:barChart>
      <c:catAx>
        <c:axId val="664286736"/>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22742256"/>
        <c:crosses val="autoZero"/>
        <c:auto val="1"/>
        <c:lblAlgn val="ctr"/>
        <c:lblOffset val="100"/>
        <c:noMultiLvlLbl val="0"/>
      </c:catAx>
      <c:valAx>
        <c:axId val="22742256"/>
        <c:scaling>
          <c:orientation val="minMax"/>
        </c:scaling>
        <c:delete val="0"/>
        <c:axPos val="l"/>
        <c:majorGridlines/>
        <c:title>
          <c:tx>
            <c:rich>
              <a:bodyPr/>
              <a:lstStyle/>
              <a:p>
                <a:pPr>
                  <a:defRPr/>
                </a:pPr>
                <a:r>
                  <a:rPr lang="en-US"/>
                  <a:t>PRESS Residual</a:t>
                </a:r>
              </a:p>
            </c:rich>
          </c:tx>
          <c:overlay val="0"/>
        </c:title>
        <c:numFmt formatCode="0" sourceLinked="0"/>
        <c:majorTickMark val="out"/>
        <c:minorTickMark val="none"/>
        <c:tickLblPos val="nextTo"/>
        <c:crossAx val="664286736"/>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47</xdr:col>
      <xdr:colOff>0</xdr:colOff>
      <xdr:row>2</xdr:row>
      <xdr:rowOff>0</xdr:rowOff>
    </xdr:from>
    <xdr:to>
      <xdr:col>51</xdr:col>
      <xdr:colOff>184150</xdr:colOff>
      <xdr:row>22</xdr:row>
      <xdr:rowOff>127000</xdr:rowOff>
    </xdr:to>
    <xdr:graphicFrame macro="">
      <xdr:nvGraphicFramePr>
        <xdr:cNvPr id="9" name="Chart 8">
          <a:extLst>
            <a:ext uri="{FF2B5EF4-FFF2-40B4-BE49-F238E27FC236}">
              <a16:creationId xmlns:a16="http://schemas.microsoft.com/office/drawing/2014/main" id="{F900209A-0BDF-1F50-B2AD-7AE9E9E39C2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51</xdr:col>
      <xdr:colOff>311150</xdr:colOff>
      <xdr:row>2</xdr:row>
      <xdr:rowOff>0</xdr:rowOff>
    </xdr:from>
    <xdr:to>
      <xdr:col>57</xdr:col>
      <xdr:colOff>590550</xdr:colOff>
      <xdr:row>22</xdr:row>
      <xdr:rowOff>127000</xdr:rowOff>
    </xdr:to>
    <xdr:graphicFrame macro="">
      <xdr:nvGraphicFramePr>
        <xdr:cNvPr id="10" name="Chart 9">
          <a:extLst>
            <a:ext uri="{FF2B5EF4-FFF2-40B4-BE49-F238E27FC236}">
              <a16:creationId xmlns:a16="http://schemas.microsoft.com/office/drawing/2014/main" id="{DB8BBD0B-7422-91F6-31E7-D0880EA4DED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47</xdr:col>
      <xdr:colOff>0</xdr:colOff>
      <xdr:row>23</xdr:row>
      <xdr:rowOff>63500</xdr:rowOff>
    </xdr:from>
    <xdr:to>
      <xdr:col>51</xdr:col>
      <xdr:colOff>184150</xdr:colOff>
      <xdr:row>44</xdr:row>
      <xdr:rowOff>0</xdr:rowOff>
    </xdr:to>
    <xdr:graphicFrame macro="">
      <xdr:nvGraphicFramePr>
        <xdr:cNvPr id="11" name="Chart 10">
          <a:extLst>
            <a:ext uri="{FF2B5EF4-FFF2-40B4-BE49-F238E27FC236}">
              <a16:creationId xmlns:a16="http://schemas.microsoft.com/office/drawing/2014/main" id="{448870EC-4F1B-1BF7-5834-F4158DC1F6D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51</xdr:col>
      <xdr:colOff>311150</xdr:colOff>
      <xdr:row>23</xdr:row>
      <xdr:rowOff>63500</xdr:rowOff>
    </xdr:from>
    <xdr:to>
      <xdr:col>57</xdr:col>
      <xdr:colOff>590550</xdr:colOff>
      <xdr:row>44</xdr:row>
      <xdr:rowOff>0</xdr:rowOff>
    </xdr:to>
    <xdr:graphicFrame macro="">
      <xdr:nvGraphicFramePr>
        <xdr:cNvPr id="12" name="Chart 11">
          <a:extLst>
            <a:ext uri="{FF2B5EF4-FFF2-40B4-BE49-F238E27FC236}">
              <a16:creationId xmlns:a16="http://schemas.microsoft.com/office/drawing/2014/main" id="{638C0B50-9005-14ED-63CA-9503A9D71C5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47</xdr:col>
      <xdr:colOff>0</xdr:colOff>
      <xdr:row>44</xdr:row>
      <xdr:rowOff>127000</xdr:rowOff>
    </xdr:from>
    <xdr:to>
      <xdr:col>51</xdr:col>
      <xdr:colOff>184150</xdr:colOff>
      <xdr:row>65</xdr:row>
      <xdr:rowOff>63500</xdr:rowOff>
    </xdr:to>
    <xdr:graphicFrame macro="">
      <xdr:nvGraphicFramePr>
        <xdr:cNvPr id="13" name="Chart 12">
          <a:extLst>
            <a:ext uri="{FF2B5EF4-FFF2-40B4-BE49-F238E27FC236}">
              <a16:creationId xmlns:a16="http://schemas.microsoft.com/office/drawing/2014/main" id="{26053D61-DC88-BE0D-91E1-C220C835DFE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51</xdr:col>
      <xdr:colOff>311150</xdr:colOff>
      <xdr:row>44</xdr:row>
      <xdr:rowOff>127000</xdr:rowOff>
    </xdr:from>
    <xdr:to>
      <xdr:col>57</xdr:col>
      <xdr:colOff>590550</xdr:colOff>
      <xdr:row>65</xdr:row>
      <xdr:rowOff>63500</xdr:rowOff>
    </xdr:to>
    <xdr:graphicFrame macro="">
      <xdr:nvGraphicFramePr>
        <xdr:cNvPr id="14" name="Chart 13">
          <a:extLst>
            <a:ext uri="{FF2B5EF4-FFF2-40B4-BE49-F238E27FC236}">
              <a16:creationId xmlns:a16="http://schemas.microsoft.com/office/drawing/2014/main" id="{68281870-FFC6-04E2-59B0-765B1C18DBC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47</xdr:col>
      <xdr:colOff>0</xdr:colOff>
      <xdr:row>66</xdr:row>
      <xdr:rowOff>0</xdr:rowOff>
    </xdr:from>
    <xdr:to>
      <xdr:col>51</xdr:col>
      <xdr:colOff>184150</xdr:colOff>
      <xdr:row>86</xdr:row>
      <xdr:rowOff>127000</xdr:rowOff>
    </xdr:to>
    <xdr:graphicFrame macro="">
      <xdr:nvGraphicFramePr>
        <xdr:cNvPr id="15" name="Chart 14">
          <a:extLst>
            <a:ext uri="{FF2B5EF4-FFF2-40B4-BE49-F238E27FC236}">
              <a16:creationId xmlns:a16="http://schemas.microsoft.com/office/drawing/2014/main" id="{9BF67734-22EB-2D78-FB96-230384D8048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9245C1E-F157-4B30-9DCA-072064BDBD11}" name="MileageData" displayName="MileageData" ref="A1:L407" totalsRowShown="0">
  <autoFilter ref="A1:L407" xr:uid="{59245C1E-F157-4B30-9DCA-072064BDBD11}"/>
  <tableColumns count="12">
    <tableColumn id="1" xr3:uid="{5CC5F633-A688-4FC9-BEAA-D1C99F2C321E}" name="MPG"/>
    <tableColumn id="2" xr3:uid="{585531F7-2521-47A2-9EF2-DA4B808F9D22}" name="Cylinders"/>
    <tableColumn id="3" xr3:uid="{D45E4B6F-4872-4BA9-B7C4-FAED4DFD16B7}" name="Displacement"/>
    <tableColumn id="4" xr3:uid="{D7007708-E149-44B7-BB37-6B8D20571BD9}" name="Horsepower"/>
    <tableColumn id="5" xr3:uid="{3ECE98C8-2407-488D-B186-F3EB24B23059}" name="Weight"/>
    <tableColumn id="6" xr3:uid="{4EB1A01A-6840-4A62-B62C-213C5D03A6B2}" name="Acceleration"/>
    <tableColumn id="7" xr3:uid="{5887B191-8D79-4153-89C7-BC72D5647ABA}" name="Model Year"/>
    <tableColumn id="8" xr3:uid="{19AA3487-D02E-4F4F-907E-D126110C3BA5}" name="Origin"/>
    <tableColumn id="9" xr3:uid="{85001F74-5BE9-4279-9518-3B0ACF49D282}" name="Car Name"/>
    <tableColumn id="10" xr3:uid="{3AB48233-2DF4-4BDB-B54D-2816DA39888F}" name="Make"/>
    <tableColumn id="11" xr3:uid="{EAD4E21A-30D5-4394-9E6E-CF8025DDA2DE}" name="Model?"/>
    <tableColumn id="12" xr3:uid="{02EE9537-122F-4F42-9AA8-2CD15242364E}" name="Full_Data">
      <calculatedColumnFormula>Data_Completeness(MileageData[[#This Row],[MPG]:[Acceleration]])</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ED8EA8E-C5D6-4F47-8366-5F767EE89BF0}" name="LifeExpectancyData" displayName="LifeExpectancyData" ref="A1:W2939" totalsRowShown="0">
  <autoFilter ref="A1:W2939" xr:uid="{6ED8EA8E-C5D6-4F47-8366-5F767EE89BF0}"/>
  <tableColumns count="23">
    <tableColumn id="1" xr3:uid="{70A76915-5DEA-447D-A0E9-B0975E4CC143}" name="Country"/>
    <tableColumn id="2" xr3:uid="{03C31672-9EEC-4E23-8D2C-A0E8AA11CC85}" name="Year"/>
    <tableColumn id="3" xr3:uid="{D6EEFAE5-BA37-44C6-989E-33D5379DE966}" name="Status"/>
    <tableColumn id="4" xr3:uid="{396E7070-C7EA-4975-97A8-180C1FF2BFDE}" name="Life expectancy"/>
    <tableColumn id="5" xr3:uid="{718E3704-4423-4D80-A883-B14D9FAC5EC8}" name="Adult Mortality"/>
    <tableColumn id="6" xr3:uid="{9FBC3F9A-B172-4859-A690-A487109E3CD8}" name="infant deaths"/>
    <tableColumn id="7" xr3:uid="{335C66CE-6AA3-42F9-B4E4-8794B0735F8A}" name="Alcohol"/>
    <tableColumn id="8" xr3:uid="{66A7B212-C8B3-4118-A336-3287F778FC2B}" name="percentage expenditure"/>
    <tableColumn id="9" xr3:uid="{0843AD69-7084-42EC-80E8-9AC5E2AC96CF}" name="Hepatitis B"/>
    <tableColumn id="10" xr3:uid="{DBC0FB9F-9688-4982-AED8-99F6E1E82980}" name="Measles"/>
    <tableColumn id="11" xr3:uid="{EB756AA6-F871-41B6-814A-EDF49E1F844C}" name="BMI"/>
    <tableColumn id="12" xr3:uid="{9DB50792-D5A9-45A4-81BE-F2A4BA17D132}" name="under-five deaths"/>
    <tableColumn id="13" xr3:uid="{3FD3D602-41C1-4934-ACF7-0523F463556A}" name="Polio"/>
    <tableColumn id="14" xr3:uid="{FFE0A6A2-122A-4E7B-9B9E-235F86D21F47}" name="Total expenditure"/>
    <tableColumn id="15" xr3:uid="{E9DFA325-8156-4E54-9145-3E7C020FB210}" name="Diphtheria"/>
    <tableColumn id="16" xr3:uid="{AAE05A00-EA00-441C-AEDE-C7B347C71059}" name="HIV/AIDS"/>
    <tableColumn id="17" xr3:uid="{319A96E3-6C0E-462A-ABDE-6A94F7E12B68}" name="GDP"/>
    <tableColumn id="18" xr3:uid="{202733C3-78D2-4A56-B766-DD5883E95F16}" name="Population"/>
    <tableColumn id="19" xr3:uid="{EB6B1877-EC47-4B96-9BF7-CE4388C8BAE8}" name="thinness 1-19 years"/>
    <tableColumn id="20" xr3:uid="{627B4EB8-E901-46CB-BA28-FF1711936B80}" name="thinness 5-9 years"/>
    <tableColumn id="21" xr3:uid="{47B5BE64-D48F-436D-87AE-D1285BDAE078}" name="Income composition of resources"/>
    <tableColumn id="22" xr3:uid="{F219A429-1E0F-4D23-9CA9-E1DE6742DE2B}" name="Schooling"/>
    <tableColumn id="23" xr3:uid="{D780300E-96B6-4511-BAA6-06C8692535AC}" name="Full_Data">
      <calculatedColumnFormula>Data_Completeness(LifeExpectancyData[[#This Row],[Life expectancy]:[Schooling]])</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C4A5676-E30E-4547-9FF2-AC6724F13D5F}" name="ProductionLotsData" displayName="ProductionLotsData" ref="A1:K52" totalsRowShown="0">
  <autoFilter ref="A1:K52" xr:uid="{5C4A5676-E30E-4547-9FF2-AC6724F13D5F}"/>
  <tableColumns count="11">
    <tableColumn id="1" xr3:uid="{9B67C288-805D-48AE-90F6-3D5A1CBFE867}" name="Lot_ID"/>
    <tableColumn id="2" xr3:uid="{6E843995-695C-48B5-AB56-583E63F99946}" name="Facility"/>
    <tableColumn id="3" xr3:uid="{3AD5CF36-2530-4B97-84A7-DB54CD3FF8E3}" name="Fiscal_Year"/>
    <tableColumn id="4" xr3:uid="{078BCC93-F524-4918-AC41-F8BD58FC01DC}" name="Lot_Quantity"/>
    <tableColumn id="5" xr3:uid="{37541D75-2F16-4446-B343-1F3766D95B4C}" name="Cumulative_Units"/>
    <tableColumn id="6" xr3:uid="{2FF8069D-8759-401B-9730-0585C3C73EF6}" name="Experience_Stock"/>
    <tableColumn id="7" xr3:uid="{61AF0F6B-7869-4089-A216-F67E6FC2EBB4}" name="Unit_Cost_BY"/>
    <tableColumn id="8" xr3:uid="{441BCD99-7ADB-4956-A659-184C8EC2B499}" name="log Cum Units"/>
    <tableColumn id="9" xr3:uid="{1538690E-197B-4F41-B89D-3230C4B4AC4E}" name="log experience"/>
    <tableColumn id="10" xr3:uid="{DD614E15-C022-4FF3-AE7F-7E2B11D7E219}" name="log Unit Cost"/>
    <tableColumn id="11" xr3:uid="{F3FC2123-66D4-4092-819D-573C052DE493}" name="Full_Data">
      <calculatedColumnFormula>Data_Completeness(ProductionLotsData[[#This Row],[Fiscal_Year]:[log Unit Cost]])</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8BBF65F-E400-44A0-BB62-C28958F3C262}" name="SpecTable" displayName="SpecTable" ref="B3:L15" totalsRowShown="0" headerRowDxfId="46">
  <autoFilter ref="B3:L15" xr:uid="{48BBF65F-E400-44A0-BB62-C28958F3C262}"/>
  <tableColumns count="11">
    <tableColumn id="1" xr3:uid="{57818190-AFFC-4CCD-BA23-B1BA9B0C821B}" name="Role"/>
    <tableColumn id="2" xr3:uid="{091634F6-883F-437A-BDF1-8C5BFFDCEEA1}" name="Include"/>
    <tableColumn id="3" xr3:uid="{FF637F22-9DB2-4BA3-BBEE-7EB8EDE75878}" name="Type"/>
    <tableColumn id="4" xr3:uid="{09D3FDE3-3C3E-46BE-9320-D85B95C11B5D}" name="Reference Level"/>
    <tableColumn id="5" xr3:uid="{4F53E4CF-F62B-42AD-8C62-6A38E11D0C0D}" name="Order"/>
    <tableColumn id="6" xr3:uid="{44BD433D-4711-4854-BEA8-333B3F2CA819}" name="Transform"/>
    <tableColumn id="7" xr3:uid="{03117969-66A3-41EA-A8A0-55854E3A8E47}" name="Sequence"/>
    <tableColumn id="8" xr3:uid="{D792836C-7062-4799-B9CB-FC8601AC4AC7}" name="Sequence Period"/>
    <tableColumn id="9" xr3:uid="{3C0EB9BD-03D1-4B32-8F7A-3CA1F836AD8F}" name="Period In Use" dataDxfId="45">
      <calculatedColumnFormula>IF(SpecTable[[#This Row],[Sequence]]&lt;&gt;TRUE,"",IF(N(SpecTable[[#This Row],[Sequence Period]])&lt;&gt;0,SpecTable[[#This Row],[Sequence Period]],IFERROR(Base_Period_Delta_Candidate(),"")))</calculatedColumnFormula>
    </tableColumn>
    <tableColumn id="10" xr3:uid="{1E0AF370-734E-4B93-8B28-185D29C8A544}" name="Levels" dataDxfId="44">
      <calculatedColumnFormula>IF(OR(SpecTable[[#This Row],[Role]]&lt;&gt;"Predictor (x)",SpecTable[[#This Row],[Type]]&lt;&gt;"Categorical"),"",_xlfn.LET(_xlpm.col,INDEX(Source_Data,0,ROW()-3),_xlpm.x,IF(_xlpm.col="","",_xlpm.col),IFERROR(ROWS(_xlfn.UNIQUE(_xlfn._xlws.FILTER(_xlpm.x,(_xlpm.x&lt;&gt;"")*Sample_Include()))),0)))</calculatedColumnFormula>
    </tableColumn>
    <tableColumn id="11" xr3:uid="{C321E5DD-9C91-41EC-BF53-CD994A46AC74}" name="Reference In Use" dataDxfId="43">
      <calculatedColumnFormula>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calculatedColumnFormula>
    </tableColumn>
  </tableColumns>
  <tableStyleInfo name="TableStyleLight9"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F7EAD41-42FA-4F32-9056-551E6020BD50}" name="LAMBDAFunctionsCatalog" displayName="LAMBDAFunctionsCatalog" ref="A1:G125" totalsRowShown="0" headerRowDxfId="42" dataDxfId="41">
  <autoFilter ref="A1:G125" xr:uid="{7F7EAD41-42FA-4F32-9056-551E6020BD50}"/>
  <tableColumns count="7">
    <tableColumn id="1" xr3:uid="{6FF28BBE-E046-4DE2-B46E-CC25381E6C29}" name="Function Name" dataDxfId="40"/>
    <tableColumn id="2" xr3:uid="{C5038C9C-B3E4-4141-A6B1-39B5A6B7CFE2}" name="Scope" dataDxfId="39"/>
    <tableColumn id="3" xr3:uid="{88332463-A18D-470E-9AF2-8738823A5D50}" name="Definition" dataDxfId="38"/>
    <tableColumn id="4" xr3:uid="{2BC56C72-6D62-4608-82E5-24666D5FAC30}" name="Arguments" dataDxfId="37"/>
    <tableColumn id="5" xr3:uid="{DE1156C3-FBAD-48B7-A3B6-88843E3C4756}" name="Yields" dataDxfId="36"/>
    <tableColumn id="6" xr3:uid="{797E0C44-9AFD-44AB-A4ED-6F763BC55CC8}" name="Plain-Language Summary" dataDxfId="35"/>
    <tableColumn id="7" xr3:uid="{D4A1B2FC-C6D4-4F41-8F22-545A99BE4816}" name="Description" dataDxfId="34"/>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vmlDrawing" Target="../drawings/vmlDrawing1.vml"/><Relationship Id="rId1" Type="http://schemas.openxmlformats.org/officeDocument/2006/relationships/drawing" Target="../drawings/drawing1.xml"/><Relationship Id="rId4" Type="http://schemas.openxmlformats.org/officeDocument/2006/relationships/comments" Target="../comments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2B7478-7ECD-450A-B887-6179C5316F24}">
  <sheetPr>
    <tabColor rgb="FFD9D9D9"/>
  </sheetPr>
  <dimension ref="A1:L407"/>
  <sheetViews>
    <sheetView tabSelected="1" workbookViewId="0">
      <pane ySplit="1" topLeftCell="A390" activePane="bottomLeft" state="frozenSplit"/>
      <selection pane="bottomLeft" activeCell="N391" sqref="N391"/>
    </sheetView>
  </sheetViews>
  <sheetFormatPr defaultRowHeight="15" x14ac:dyDescent="0.25"/>
  <cols>
    <col min="1" max="1" width="7.42578125" bestFit="1" customWidth="1"/>
    <col min="2" max="2" width="12" bestFit="1" customWidth="1"/>
    <col min="3" max="3" width="16" bestFit="1" customWidth="1"/>
    <col min="4" max="4" width="14.28515625" bestFit="1" customWidth="1"/>
    <col min="5" max="5" width="9.7109375" bestFit="1" customWidth="1"/>
    <col min="6" max="6" width="14.5703125" bestFit="1" customWidth="1"/>
    <col min="7" max="7" width="13.28515625" bestFit="1" customWidth="1"/>
    <col min="8" max="8" width="8.7109375" bestFit="1" customWidth="1"/>
    <col min="9" max="9" width="34.28515625" bestFit="1" customWidth="1"/>
    <col min="10" max="10" width="14.5703125" bestFit="1" customWidth="1"/>
    <col min="11" max="11" width="26.5703125" bestFit="1" customWidth="1"/>
    <col min="12" max="12" width="12.7109375" customWidth="1"/>
  </cols>
  <sheetData>
    <row r="1" spans="1:12" x14ac:dyDescent="0.25">
      <c r="A1" t="s">
        <v>966</v>
      </c>
      <c r="B1" t="s">
        <v>967</v>
      </c>
      <c r="C1" t="s">
        <v>968</v>
      </c>
      <c r="D1" t="s">
        <v>969</v>
      </c>
      <c r="E1" t="s">
        <v>970</v>
      </c>
      <c r="F1" t="s">
        <v>971</v>
      </c>
      <c r="G1" t="s">
        <v>972</v>
      </c>
      <c r="H1" t="s">
        <v>973</v>
      </c>
      <c r="I1" t="s">
        <v>974</v>
      </c>
      <c r="J1" t="s">
        <v>975</v>
      </c>
      <c r="K1" t="s">
        <v>976</v>
      </c>
      <c r="L1" t="s">
        <v>361</v>
      </c>
    </row>
    <row r="2" spans="1:12" x14ac:dyDescent="0.25">
      <c r="A2">
        <v>18</v>
      </c>
      <c r="B2">
        <v>8</v>
      </c>
      <c r="C2">
        <v>307</v>
      </c>
      <c r="D2">
        <v>130</v>
      </c>
      <c r="E2">
        <v>3504</v>
      </c>
      <c r="F2">
        <v>12</v>
      </c>
      <c r="G2">
        <v>70</v>
      </c>
      <c r="H2" t="s">
        <v>1635</v>
      </c>
      <c r="I2" t="s">
        <v>977</v>
      </c>
      <c r="J2" t="s">
        <v>978</v>
      </c>
      <c r="K2" t="s">
        <v>979</v>
      </c>
      <c r="L2" t="b">
        <f>Data_Completeness(MileageData[[#This Row],[MPG]:[Acceleration]])</f>
        <v>1</v>
      </c>
    </row>
    <row r="3" spans="1:12" x14ac:dyDescent="0.25">
      <c r="A3">
        <v>15</v>
      </c>
      <c r="B3">
        <v>8</v>
      </c>
      <c r="C3">
        <v>350</v>
      </c>
      <c r="D3">
        <v>165</v>
      </c>
      <c r="E3">
        <v>3693</v>
      </c>
      <c r="F3">
        <v>11.5</v>
      </c>
      <c r="G3">
        <v>70</v>
      </c>
      <c r="H3" t="s">
        <v>1635</v>
      </c>
      <c r="I3" t="s">
        <v>980</v>
      </c>
      <c r="J3" t="s">
        <v>981</v>
      </c>
      <c r="K3" t="s">
        <v>982</v>
      </c>
      <c r="L3" t="b">
        <f>Data_Completeness(MileageData[[#This Row],[MPG]:[Acceleration]])</f>
        <v>1</v>
      </c>
    </row>
    <row r="4" spans="1:12" x14ac:dyDescent="0.25">
      <c r="A4">
        <v>18</v>
      </c>
      <c r="B4">
        <v>8</v>
      </c>
      <c r="C4">
        <v>318</v>
      </c>
      <c r="D4">
        <v>150</v>
      </c>
      <c r="E4">
        <v>3436</v>
      </c>
      <c r="F4">
        <v>11</v>
      </c>
      <c r="G4">
        <v>70</v>
      </c>
      <c r="H4" t="s">
        <v>1635</v>
      </c>
      <c r="I4" t="s">
        <v>983</v>
      </c>
      <c r="J4" t="s">
        <v>984</v>
      </c>
      <c r="K4" t="s">
        <v>985</v>
      </c>
      <c r="L4" t="b">
        <f>Data_Completeness(MileageData[[#This Row],[MPG]:[Acceleration]])</f>
        <v>1</v>
      </c>
    </row>
    <row r="5" spans="1:12" x14ac:dyDescent="0.25">
      <c r="A5">
        <v>16</v>
      </c>
      <c r="B5">
        <v>8</v>
      </c>
      <c r="C5">
        <v>304</v>
      </c>
      <c r="D5">
        <v>150</v>
      </c>
      <c r="E5">
        <v>3433</v>
      </c>
      <c r="F5">
        <v>12</v>
      </c>
      <c r="G5">
        <v>70</v>
      </c>
      <c r="H5" t="s">
        <v>1635</v>
      </c>
      <c r="I5" t="s">
        <v>986</v>
      </c>
      <c r="J5" t="s">
        <v>987</v>
      </c>
      <c r="K5" t="s">
        <v>988</v>
      </c>
      <c r="L5" t="b">
        <f>Data_Completeness(MileageData[[#This Row],[MPG]:[Acceleration]])</f>
        <v>1</v>
      </c>
    </row>
    <row r="6" spans="1:12" x14ac:dyDescent="0.25">
      <c r="A6">
        <v>17</v>
      </c>
      <c r="B6">
        <v>8</v>
      </c>
      <c r="C6">
        <v>302</v>
      </c>
      <c r="D6">
        <v>140</v>
      </c>
      <c r="E6">
        <v>3449</v>
      </c>
      <c r="F6">
        <v>10.5</v>
      </c>
      <c r="G6">
        <v>70</v>
      </c>
      <c r="H6" t="s">
        <v>1635</v>
      </c>
      <c r="I6" t="s">
        <v>989</v>
      </c>
      <c r="J6" t="s">
        <v>990</v>
      </c>
      <c r="K6" t="s">
        <v>991</v>
      </c>
      <c r="L6" t="b">
        <f>Data_Completeness(MileageData[[#This Row],[MPG]:[Acceleration]])</f>
        <v>1</v>
      </c>
    </row>
    <row r="7" spans="1:12" x14ac:dyDescent="0.25">
      <c r="A7">
        <v>15</v>
      </c>
      <c r="B7">
        <v>8</v>
      </c>
      <c r="C7">
        <v>429</v>
      </c>
      <c r="D7">
        <v>198</v>
      </c>
      <c r="E7">
        <v>4341</v>
      </c>
      <c r="F7">
        <v>10</v>
      </c>
      <c r="G7">
        <v>70</v>
      </c>
      <c r="H7" t="s">
        <v>1635</v>
      </c>
      <c r="I7" t="s">
        <v>992</v>
      </c>
      <c r="J7" t="s">
        <v>990</v>
      </c>
      <c r="K7" t="s">
        <v>993</v>
      </c>
      <c r="L7" t="b">
        <f>Data_Completeness(MileageData[[#This Row],[MPG]:[Acceleration]])</f>
        <v>1</v>
      </c>
    </row>
    <row r="8" spans="1:12" x14ac:dyDescent="0.25">
      <c r="A8">
        <v>14</v>
      </c>
      <c r="B8">
        <v>8</v>
      </c>
      <c r="C8">
        <v>454</v>
      </c>
      <c r="D8">
        <v>220</v>
      </c>
      <c r="E8">
        <v>4354</v>
      </c>
      <c r="F8">
        <v>9</v>
      </c>
      <c r="G8">
        <v>70</v>
      </c>
      <c r="H8" t="s">
        <v>1635</v>
      </c>
      <c r="I8" t="s">
        <v>994</v>
      </c>
      <c r="J8" t="s">
        <v>978</v>
      </c>
      <c r="K8" t="s">
        <v>995</v>
      </c>
      <c r="L8" t="b">
        <f>Data_Completeness(MileageData[[#This Row],[MPG]:[Acceleration]])</f>
        <v>1</v>
      </c>
    </row>
    <row r="9" spans="1:12" x14ac:dyDescent="0.25">
      <c r="A9">
        <v>14</v>
      </c>
      <c r="B9">
        <v>8</v>
      </c>
      <c r="C9">
        <v>440</v>
      </c>
      <c r="D9">
        <v>215</v>
      </c>
      <c r="E9">
        <v>4312</v>
      </c>
      <c r="F9">
        <v>8.5</v>
      </c>
      <c r="G9">
        <v>70</v>
      </c>
      <c r="H9" t="s">
        <v>1635</v>
      </c>
      <c r="I9" t="s">
        <v>996</v>
      </c>
      <c r="J9" t="s">
        <v>984</v>
      </c>
      <c r="K9" t="s">
        <v>997</v>
      </c>
      <c r="L9" t="b">
        <f>Data_Completeness(MileageData[[#This Row],[MPG]:[Acceleration]])</f>
        <v>1</v>
      </c>
    </row>
    <row r="10" spans="1:12" x14ac:dyDescent="0.25">
      <c r="A10">
        <v>14</v>
      </c>
      <c r="B10">
        <v>8</v>
      </c>
      <c r="C10">
        <v>455</v>
      </c>
      <c r="D10">
        <v>225</v>
      </c>
      <c r="E10">
        <v>4425</v>
      </c>
      <c r="F10">
        <v>10</v>
      </c>
      <c r="G10">
        <v>70</v>
      </c>
      <c r="H10" t="s">
        <v>1635</v>
      </c>
      <c r="I10" t="s">
        <v>998</v>
      </c>
      <c r="J10" t="s">
        <v>999</v>
      </c>
      <c r="K10" t="s">
        <v>1000</v>
      </c>
      <c r="L10" t="b">
        <f>Data_Completeness(MileageData[[#This Row],[MPG]:[Acceleration]])</f>
        <v>1</v>
      </c>
    </row>
    <row r="11" spans="1:12" x14ac:dyDescent="0.25">
      <c r="A11">
        <v>15</v>
      </c>
      <c r="B11">
        <v>8</v>
      </c>
      <c r="C11">
        <v>390</v>
      </c>
      <c r="D11">
        <v>190</v>
      </c>
      <c r="E11">
        <v>3850</v>
      </c>
      <c r="F11">
        <v>8.5</v>
      </c>
      <c r="G11">
        <v>70</v>
      </c>
      <c r="H11" t="s">
        <v>1635</v>
      </c>
      <c r="I11" t="s">
        <v>1001</v>
      </c>
      <c r="J11" t="s">
        <v>987</v>
      </c>
      <c r="K11" t="s">
        <v>1002</v>
      </c>
      <c r="L11" t="b">
        <f>Data_Completeness(MileageData[[#This Row],[MPG]:[Acceleration]])</f>
        <v>1</v>
      </c>
    </row>
    <row r="12" spans="1:12" x14ac:dyDescent="0.25">
      <c r="B12">
        <v>4</v>
      </c>
      <c r="C12">
        <v>133</v>
      </c>
      <c r="D12">
        <v>115</v>
      </c>
      <c r="E12">
        <v>3090</v>
      </c>
      <c r="F12">
        <v>17.5</v>
      </c>
      <c r="G12">
        <v>70</v>
      </c>
      <c r="H12" t="s">
        <v>1636</v>
      </c>
      <c r="I12" t="s">
        <v>1003</v>
      </c>
      <c r="J12" t="s">
        <v>1004</v>
      </c>
      <c r="K12" t="s">
        <v>1005</v>
      </c>
      <c r="L12" t="b">
        <f>Data_Completeness(MileageData[[#This Row],[MPG]:[Acceleration]])</f>
        <v>0</v>
      </c>
    </row>
    <row r="13" spans="1:12" x14ac:dyDescent="0.25">
      <c r="B13">
        <v>8</v>
      </c>
      <c r="C13">
        <v>350</v>
      </c>
      <c r="D13">
        <v>165</v>
      </c>
      <c r="E13">
        <v>4142</v>
      </c>
      <c r="F13">
        <v>11.5</v>
      </c>
      <c r="G13">
        <v>70</v>
      </c>
      <c r="H13" t="s">
        <v>1635</v>
      </c>
      <c r="I13" t="s">
        <v>1006</v>
      </c>
      <c r="J13" t="s">
        <v>978</v>
      </c>
      <c r="K13" t="s">
        <v>1007</v>
      </c>
      <c r="L13" t="b">
        <f>Data_Completeness(MileageData[[#This Row],[MPG]:[Acceleration]])</f>
        <v>0</v>
      </c>
    </row>
    <row r="14" spans="1:12" x14ac:dyDescent="0.25">
      <c r="B14">
        <v>8</v>
      </c>
      <c r="C14">
        <v>351</v>
      </c>
      <c r="D14">
        <v>153</v>
      </c>
      <c r="E14">
        <v>4034</v>
      </c>
      <c r="F14">
        <v>11</v>
      </c>
      <c r="G14">
        <v>70</v>
      </c>
      <c r="H14" t="s">
        <v>1635</v>
      </c>
      <c r="I14" t="s">
        <v>1008</v>
      </c>
      <c r="J14" t="s">
        <v>990</v>
      </c>
      <c r="K14" t="s">
        <v>1009</v>
      </c>
      <c r="L14" t="b">
        <f>Data_Completeness(MileageData[[#This Row],[MPG]:[Acceleration]])</f>
        <v>0</v>
      </c>
    </row>
    <row r="15" spans="1:12" x14ac:dyDescent="0.25">
      <c r="B15">
        <v>8</v>
      </c>
      <c r="C15">
        <v>383</v>
      </c>
      <c r="D15">
        <v>175</v>
      </c>
      <c r="E15">
        <v>4166</v>
      </c>
      <c r="F15">
        <v>10.5</v>
      </c>
      <c r="G15">
        <v>70</v>
      </c>
      <c r="H15" t="s">
        <v>1635</v>
      </c>
      <c r="I15" t="s">
        <v>1010</v>
      </c>
      <c r="J15" t="s">
        <v>984</v>
      </c>
      <c r="K15" t="s">
        <v>1011</v>
      </c>
      <c r="L15" t="b">
        <f>Data_Completeness(MileageData[[#This Row],[MPG]:[Acceleration]])</f>
        <v>0</v>
      </c>
    </row>
    <row r="16" spans="1:12" x14ac:dyDescent="0.25">
      <c r="B16">
        <v>8</v>
      </c>
      <c r="C16">
        <v>360</v>
      </c>
      <c r="D16">
        <v>175</v>
      </c>
      <c r="E16">
        <v>3850</v>
      </c>
      <c r="F16">
        <v>11</v>
      </c>
      <c r="G16">
        <v>70</v>
      </c>
      <c r="H16" t="s">
        <v>1635</v>
      </c>
      <c r="I16" t="s">
        <v>1012</v>
      </c>
      <c r="J16" t="s">
        <v>987</v>
      </c>
      <c r="K16" t="s">
        <v>1013</v>
      </c>
      <c r="L16" t="b">
        <f>Data_Completeness(MileageData[[#This Row],[MPG]:[Acceleration]])</f>
        <v>0</v>
      </c>
    </row>
    <row r="17" spans="1:12" x14ac:dyDescent="0.25">
      <c r="A17">
        <v>15</v>
      </c>
      <c r="B17">
        <v>8</v>
      </c>
      <c r="C17">
        <v>383</v>
      </c>
      <c r="D17">
        <v>170</v>
      </c>
      <c r="E17">
        <v>3563</v>
      </c>
      <c r="F17">
        <v>10</v>
      </c>
      <c r="G17">
        <v>70</v>
      </c>
      <c r="H17" t="s">
        <v>1635</v>
      </c>
      <c r="I17" t="s">
        <v>1014</v>
      </c>
      <c r="J17" t="s">
        <v>1015</v>
      </c>
      <c r="K17" t="s">
        <v>1016</v>
      </c>
      <c r="L17" t="b">
        <f>Data_Completeness(MileageData[[#This Row],[MPG]:[Acceleration]])</f>
        <v>1</v>
      </c>
    </row>
    <row r="18" spans="1:12" x14ac:dyDescent="0.25">
      <c r="A18">
        <v>14</v>
      </c>
      <c r="B18">
        <v>8</v>
      </c>
      <c r="C18">
        <v>340</v>
      </c>
      <c r="D18">
        <v>160</v>
      </c>
      <c r="E18">
        <v>3609</v>
      </c>
      <c r="F18">
        <v>8</v>
      </c>
      <c r="G18">
        <v>70</v>
      </c>
      <c r="H18" t="s">
        <v>1635</v>
      </c>
      <c r="I18" t="s">
        <v>1017</v>
      </c>
      <c r="J18" t="s">
        <v>984</v>
      </c>
      <c r="K18" s="34" t="s">
        <v>1626</v>
      </c>
      <c r="L18" t="b">
        <f>Data_Completeness(MileageData[[#This Row],[MPG]:[Acceleration]])</f>
        <v>1</v>
      </c>
    </row>
    <row r="19" spans="1:12" x14ac:dyDescent="0.25">
      <c r="B19">
        <v>8</v>
      </c>
      <c r="C19">
        <v>302</v>
      </c>
      <c r="D19">
        <v>140</v>
      </c>
      <c r="E19">
        <v>3353</v>
      </c>
      <c r="F19">
        <v>8</v>
      </c>
      <c r="G19">
        <v>70</v>
      </c>
      <c r="H19" t="s">
        <v>1635</v>
      </c>
      <c r="I19" t="s">
        <v>1018</v>
      </c>
      <c r="J19" t="s">
        <v>990</v>
      </c>
      <c r="K19" t="s">
        <v>1019</v>
      </c>
      <c r="L19" t="b">
        <f>Data_Completeness(MileageData[[#This Row],[MPG]:[Acceleration]])</f>
        <v>0</v>
      </c>
    </row>
    <row r="20" spans="1:12" x14ac:dyDescent="0.25">
      <c r="A20">
        <v>15</v>
      </c>
      <c r="B20">
        <v>8</v>
      </c>
      <c r="C20">
        <v>400</v>
      </c>
      <c r="D20">
        <v>150</v>
      </c>
      <c r="E20">
        <v>3761</v>
      </c>
      <c r="F20">
        <v>9.5</v>
      </c>
      <c r="G20">
        <v>70</v>
      </c>
      <c r="H20" t="s">
        <v>1635</v>
      </c>
      <c r="I20" t="s">
        <v>1020</v>
      </c>
      <c r="J20" t="s">
        <v>978</v>
      </c>
      <c r="K20" t="s">
        <v>1021</v>
      </c>
      <c r="L20" t="b">
        <f>Data_Completeness(MileageData[[#This Row],[MPG]:[Acceleration]])</f>
        <v>1</v>
      </c>
    </row>
    <row r="21" spans="1:12" x14ac:dyDescent="0.25">
      <c r="A21">
        <v>14</v>
      </c>
      <c r="B21">
        <v>8</v>
      </c>
      <c r="C21">
        <v>455</v>
      </c>
      <c r="D21">
        <v>225</v>
      </c>
      <c r="E21">
        <v>3086</v>
      </c>
      <c r="F21">
        <v>10</v>
      </c>
      <c r="G21">
        <v>70</v>
      </c>
      <c r="H21" t="s">
        <v>1635</v>
      </c>
      <c r="I21" t="s">
        <v>1022</v>
      </c>
      <c r="J21" t="s">
        <v>981</v>
      </c>
      <c r="K21" t="s">
        <v>1023</v>
      </c>
      <c r="L21" t="b">
        <f>Data_Completeness(MileageData[[#This Row],[MPG]:[Acceleration]])</f>
        <v>1</v>
      </c>
    </row>
    <row r="22" spans="1:12" x14ac:dyDescent="0.25">
      <c r="A22">
        <v>24</v>
      </c>
      <c r="B22">
        <v>4</v>
      </c>
      <c r="C22">
        <v>113</v>
      </c>
      <c r="D22">
        <v>95</v>
      </c>
      <c r="E22">
        <v>2372</v>
      </c>
      <c r="F22">
        <v>15</v>
      </c>
      <c r="G22">
        <v>70</v>
      </c>
      <c r="H22" t="s">
        <v>1637</v>
      </c>
      <c r="I22" t="s">
        <v>1024</v>
      </c>
      <c r="J22" t="s">
        <v>1025</v>
      </c>
      <c r="K22" t="s">
        <v>1026</v>
      </c>
      <c r="L22" t="b">
        <f>Data_Completeness(MileageData[[#This Row],[MPG]:[Acceleration]])</f>
        <v>1</v>
      </c>
    </row>
    <row r="23" spans="1:12" x14ac:dyDescent="0.25">
      <c r="A23">
        <v>22</v>
      </c>
      <c r="B23">
        <v>6</v>
      </c>
      <c r="C23">
        <v>198</v>
      </c>
      <c r="D23">
        <v>95</v>
      </c>
      <c r="E23">
        <v>2833</v>
      </c>
      <c r="F23">
        <v>15.5</v>
      </c>
      <c r="G23">
        <v>70</v>
      </c>
      <c r="H23" t="s">
        <v>1635</v>
      </c>
      <c r="I23" t="s">
        <v>1027</v>
      </c>
      <c r="J23" t="s">
        <v>984</v>
      </c>
      <c r="K23" t="s">
        <v>1028</v>
      </c>
      <c r="L23" t="b">
        <f>Data_Completeness(MileageData[[#This Row],[MPG]:[Acceleration]])</f>
        <v>1</v>
      </c>
    </row>
    <row r="24" spans="1:12" x14ac:dyDescent="0.25">
      <c r="A24">
        <v>18</v>
      </c>
      <c r="B24">
        <v>6</v>
      </c>
      <c r="C24">
        <v>199</v>
      </c>
      <c r="D24">
        <v>97</v>
      </c>
      <c r="E24">
        <v>2774</v>
      </c>
      <c r="F24">
        <v>15.5</v>
      </c>
      <c r="G24">
        <v>70</v>
      </c>
      <c r="H24" t="s">
        <v>1635</v>
      </c>
      <c r="I24" t="s">
        <v>1029</v>
      </c>
      <c r="J24" t="s">
        <v>987</v>
      </c>
      <c r="K24" t="s">
        <v>1030</v>
      </c>
      <c r="L24" t="b">
        <f>Data_Completeness(MileageData[[#This Row],[MPG]:[Acceleration]])</f>
        <v>1</v>
      </c>
    </row>
    <row r="25" spans="1:12" x14ac:dyDescent="0.25">
      <c r="A25">
        <v>21</v>
      </c>
      <c r="B25">
        <v>6</v>
      </c>
      <c r="C25">
        <v>200</v>
      </c>
      <c r="D25">
        <v>85</v>
      </c>
      <c r="E25">
        <v>2587</v>
      </c>
      <c r="F25">
        <v>16</v>
      </c>
      <c r="G25">
        <v>70</v>
      </c>
      <c r="H25" t="s">
        <v>1635</v>
      </c>
      <c r="I25" t="s">
        <v>1031</v>
      </c>
      <c r="J25" t="s">
        <v>990</v>
      </c>
      <c r="K25" t="s">
        <v>1032</v>
      </c>
      <c r="L25" t="b">
        <f>Data_Completeness(MileageData[[#This Row],[MPG]:[Acceleration]])</f>
        <v>1</v>
      </c>
    </row>
    <row r="26" spans="1:12" x14ac:dyDescent="0.25">
      <c r="A26">
        <v>27</v>
      </c>
      <c r="B26">
        <v>4</v>
      </c>
      <c r="C26">
        <v>97</v>
      </c>
      <c r="D26">
        <v>88</v>
      </c>
      <c r="E26">
        <v>2130</v>
      </c>
      <c r="F26">
        <v>14.5</v>
      </c>
      <c r="G26">
        <v>70</v>
      </c>
      <c r="H26" t="s">
        <v>1637</v>
      </c>
      <c r="I26" t="s">
        <v>1033</v>
      </c>
      <c r="J26" t="s">
        <v>1034</v>
      </c>
      <c r="K26" t="s">
        <v>1035</v>
      </c>
      <c r="L26" t="b">
        <f>Data_Completeness(MileageData[[#This Row],[MPG]:[Acceleration]])</f>
        <v>1</v>
      </c>
    </row>
    <row r="27" spans="1:12" x14ac:dyDescent="0.25">
      <c r="A27">
        <v>26</v>
      </c>
      <c r="B27">
        <v>4</v>
      </c>
      <c r="C27">
        <v>97</v>
      </c>
      <c r="D27">
        <v>46</v>
      </c>
      <c r="E27">
        <v>1835</v>
      </c>
      <c r="F27">
        <v>20.5</v>
      </c>
      <c r="G27">
        <v>70</v>
      </c>
      <c r="H27" t="s">
        <v>1636</v>
      </c>
      <c r="I27" t="s">
        <v>1036</v>
      </c>
      <c r="J27" t="s">
        <v>1037</v>
      </c>
      <c r="K27" t="s">
        <v>1038</v>
      </c>
      <c r="L27" t="b">
        <f>Data_Completeness(MileageData[[#This Row],[MPG]:[Acceleration]])</f>
        <v>1</v>
      </c>
    </row>
    <row r="28" spans="1:12" x14ac:dyDescent="0.25">
      <c r="A28">
        <v>25</v>
      </c>
      <c r="B28">
        <v>4</v>
      </c>
      <c r="C28">
        <v>110</v>
      </c>
      <c r="D28">
        <v>87</v>
      </c>
      <c r="E28">
        <v>2672</v>
      </c>
      <c r="F28">
        <v>17.5</v>
      </c>
      <c r="G28">
        <v>70</v>
      </c>
      <c r="H28" t="s">
        <v>1636</v>
      </c>
      <c r="I28" t="s">
        <v>1039</v>
      </c>
      <c r="J28" t="s">
        <v>1040</v>
      </c>
      <c r="K28">
        <v>504</v>
      </c>
      <c r="L28" t="b">
        <f>Data_Completeness(MileageData[[#This Row],[MPG]:[Acceleration]])</f>
        <v>1</v>
      </c>
    </row>
    <row r="29" spans="1:12" x14ac:dyDescent="0.25">
      <c r="A29">
        <v>24</v>
      </c>
      <c r="B29">
        <v>4</v>
      </c>
      <c r="C29">
        <v>107</v>
      </c>
      <c r="D29">
        <v>90</v>
      </c>
      <c r="E29">
        <v>2430</v>
      </c>
      <c r="F29">
        <v>14.5</v>
      </c>
      <c r="G29">
        <v>70</v>
      </c>
      <c r="H29" t="s">
        <v>1636</v>
      </c>
      <c r="I29" t="s">
        <v>1041</v>
      </c>
      <c r="J29" t="s">
        <v>1042</v>
      </c>
      <c r="K29" t="s">
        <v>1043</v>
      </c>
      <c r="L29" t="b">
        <f>Data_Completeness(MileageData[[#This Row],[MPG]:[Acceleration]])</f>
        <v>1</v>
      </c>
    </row>
    <row r="30" spans="1:12" x14ac:dyDescent="0.25">
      <c r="A30">
        <v>25</v>
      </c>
      <c r="B30">
        <v>4</v>
      </c>
      <c r="C30">
        <v>104</v>
      </c>
      <c r="D30">
        <v>95</v>
      </c>
      <c r="E30">
        <v>2375</v>
      </c>
      <c r="F30">
        <v>17.5</v>
      </c>
      <c r="G30">
        <v>70</v>
      </c>
      <c r="H30" t="s">
        <v>1636</v>
      </c>
      <c r="I30" t="s">
        <v>1044</v>
      </c>
      <c r="J30" t="s">
        <v>1045</v>
      </c>
      <c r="K30" t="s">
        <v>1046</v>
      </c>
      <c r="L30" t="b">
        <f>Data_Completeness(MileageData[[#This Row],[MPG]:[Acceleration]])</f>
        <v>1</v>
      </c>
    </row>
    <row r="31" spans="1:12" x14ac:dyDescent="0.25">
      <c r="A31">
        <v>26</v>
      </c>
      <c r="B31">
        <v>4</v>
      </c>
      <c r="C31">
        <v>121</v>
      </c>
      <c r="D31">
        <v>113</v>
      </c>
      <c r="E31">
        <v>2234</v>
      </c>
      <c r="F31">
        <v>12.5</v>
      </c>
      <c r="G31">
        <v>70</v>
      </c>
      <c r="H31" t="s">
        <v>1636</v>
      </c>
      <c r="I31" t="s">
        <v>1047</v>
      </c>
      <c r="J31" t="s">
        <v>1048</v>
      </c>
      <c r="K31">
        <v>2002</v>
      </c>
      <c r="L31" t="b">
        <f>Data_Completeness(MileageData[[#This Row],[MPG]:[Acceleration]])</f>
        <v>1</v>
      </c>
    </row>
    <row r="32" spans="1:12" x14ac:dyDescent="0.25">
      <c r="A32">
        <v>21</v>
      </c>
      <c r="B32">
        <v>6</v>
      </c>
      <c r="C32">
        <v>199</v>
      </c>
      <c r="D32">
        <v>90</v>
      </c>
      <c r="E32">
        <v>2648</v>
      </c>
      <c r="F32">
        <v>15</v>
      </c>
      <c r="G32">
        <v>70</v>
      </c>
      <c r="H32" t="s">
        <v>1635</v>
      </c>
      <c r="I32" t="s">
        <v>1049</v>
      </c>
      <c r="J32" t="s">
        <v>987</v>
      </c>
      <c r="K32" t="s">
        <v>1050</v>
      </c>
      <c r="L32" t="b">
        <f>Data_Completeness(MileageData[[#This Row],[MPG]:[Acceleration]])</f>
        <v>1</v>
      </c>
    </row>
    <row r="33" spans="1:12" x14ac:dyDescent="0.25">
      <c r="A33">
        <v>10</v>
      </c>
      <c r="B33">
        <v>8</v>
      </c>
      <c r="C33">
        <v>360</v>
      </c>
      <c r="D33">
        <v>215</v>
      </c>
      <c r="E33">
        <v>4615</v>
      </c>
      <c r="F33">
        <v>14</v>
      </c>
      <c r="G33">
        <v>70</v>
      </c>
      <c r="H33" t="s">
        <v>1635</v>
      </c>
      <c r="I33" t="s">
        <v>1051</v>
      </c>
      <c r="J33" t="s">
        <v>990</v>
      </c>
      <c r="K33" t="s">
        <v>1052</v>
      </c>
      <c r="L33" t="b">
        <f>Data_Completeness(MileageData[[#This Row],[MPG]:[Acceleration]])</f>
        <v>1</v>
      </c>
    </row>
    <row r="34" spans="1:12" x14ac:dyDescent="0.25">
      <c r="A34">
        <v>10</v>
      </c>
      <c r="B34">
        <v>8</v>
      </c>
      <c r="C34">
        <v>307</v>
      </c>
      <c r="D34">
        <v>200</v>
      </c>
      <c r="E34">
        <v>4376</v>
      </c>
      <c r="F34">
        <v>15</v>
      </c>
      <c r="G34">
        <v>70</v>
      </c>
      <c r="H34" t="s">
        <v>1635</v>
      </c>
      <c r="I34" t="s">
        <v>1053</v>
      </c>
      <c r="J34" t="s">
        <v>1054</v>
      </c>
      <c r="K34" t="s">
        <v>1055</v>
      </c>
      <c r="L34" t="b">
        <f>Data_Completeness(MileageData[[#This Row],[MPG]:[Acceleration]])</f>
        <v>1</v>
      </c>
    </row>
    <row r="35" spans="1:12" x14ac:dyDescent="0.25">
      <c r="A35">
        <v>11</v>
      </c>
      <c r="B35">
        <v>8</v>
      </c>
      <c r="C35">
        <v>318</v>
      </c>
      <c r="D35">
        <v>210</v>
      </c>
      <c r="E35">
        <v>4382</v>
      </c>
      <c r="F35">
        <v>13.5</v>
      </c>
      <c r="G35">
        <v>70</v>
      </c>
      <c r="H35" t="s">
        <v>1635</v>
      </c>
      <c r="I35" t="s">
        <v>1056</v>
      </c>
      <c r="J35" t="s">
        <v>1015</v>
      </c>
      <c r="K35" t="s">
        <v>1057</v>
      </c>
      <c r="L35" t="b">
        <f>Data_Completeness(MileageData[[#This Row],[MPG]:[Acceleration]])</f>
        <v>1</v>
      </c>
    </row>
    <row r="36" spans="1:12" x14ac:dyDescent="0.25">
      <c r="A36">
        <v>9</v>
      </c>
      <c r="B36">
        <v>8</v>
      </c>
      <c r="C36">
        <v>304</v>
      </c>
      <c r="D36">
        <v>193</v>
      </c>
      <c r="E36">
        <v>4732</v>
      </c>
      <c r="F36">
        <v>18.5</v>
      </c>
      <c r="G36">
        <v>70</v>
      </c>
      <c r="H36" t="s">
        <v>1635</v>
      </c>
      <c r="I36" t="s">
        <v>1058</v>
      </c>
      <c r="J36" t="s">
        <v>1059</v>
      </c>
      <c r="K36" t="s">
        <v>1060</v>
      </c>
      <c r="L36" t="b">
        <f>Data_Completeness(MileageData[[#This Row],[MPG]:[Acceleration]])</f>
        <v>1</v>
      </c>
    </row>
    <row r="37" spans="1:12" x14ac:dyDescent="0.25">
      <c r="A37">
        <v>27</v>
      </c>
      <c r="B37">
        <v>4</v>
      </c>
      <c r="C37">
        <v>97</v>
      </c>
      <c r="D37">
        <v>88</v>
      </c>
      <c r="E37">
        <v>2130</v>
      </c>
      <c r="F37">
        <v>14.5</v>
      </c>
      <c r="G37">
        <v>71</v>
      </c>
      <c r="H37" t="s">
        <v>1637</v>
      </c>
      <c r="I37" t="s">
        <v>1033</v>
      </c>
      <c r="J37" t="s">
        <v>1034</v>
      </c>
      <c r="K37" t="s">
        <v>1035</v>
      </c>
      <c r="L37" t="b">
        <f>Data_Completeness(MileageData[[#This Row],[MPG]:[Acceleration]])</f>
        <v>1</v>
      </c>
    </row>
    <row r="38" spans="1:12" x14ac:dyDescent="0.25">
      <c r="A38">
        <v>28</v>
      </c>
      <c r="B38">
        <v>4</v>
      </c>
      <c r="C38">
        <v>140</v>
      </c>
      <c r="D38">
        <v>90</v>
      </c>
      <c r="E38">
        <v>2264</v>
      </c>
      <c r="F38">
        <v>15.5</v>
      </c>
      <c r="G38">
        <v>71</v>
      </c>
      <c r="H38" t="s">
        <v>1635</v>
      </c>
      <c r="I38" t="s">
        <v>1061</v>
      </c>
      <c r="J38" t="s">
        <v>978</v>
      </c>
      <c r="K38" t="s">
        <v>1062</v>
      </c>
      <c r="L38" t="b">
        <f>Data_Completeness(MileageData[[#This Row],[MPG]:[Acceleration]])</f>
        <v>1</v>
      </c>
    </row>
    <row r="39" spans="1:12" x14ac:dyDescent="0.25">
      <c r="A39">
        <v>25</v>
      </c>
      <c r="B39">
        <v>4</v>
      </c>
      <c r="C39">
        <v>113</v>
      </c>
      <c r="D39">
        <v>95</v>
      </c>
      <c r="E39">
        <v>2228</v>
      </c>
      <c r="F39">
        <v>14</v>
      </c>
      <c r="G39">
        <v>71</v>
      </c>
      <c r="H39" t="s">
        <v>1637</v>
      </c>
      <c r="I39" t="s">
        <v>1063</v>
      </c>
      <c r="J39" t="s">
        <v>1025</v>
      </c>
      <c r="K39" t="s">
        <v>1064</v>
      </c>
      <c r="L39" t="b">
        <f>Data_Completeness(MileageData[[#This Row],[MPG]:[Acceleration]])</f>
        <v>1</v>
      </c>
    </row>
    <row r="40" spans="1:12" x14ac:dyDescent="0.25">
      <c r="A40">
        <v>25</v>
      </c>
      <c r="B40">
        <v>4</v>
      </c>
      <c r="C40">
        <v>98</v>
      </c>
      <c r="E40">
        <v>2046</v>
      </c>
      <c r="F40">
        <v>19</v>
      </c>
      <c r="G40">
        <v>71</v>
      </c>
      <c r="H40" t="s">
        <v>1635</v>
      </c>
      <c r="I40" t="s">
        <v>1065</v>
      </c>
      <c r="J40" t="s">
        <v>990</v>
      </c>
      <c r="K40" t="s">
        <v>1066</v>
      </c>
      <c r="L40" t="b">
        <f>Data_Completeness(MileageData[[#This Row],[MPG]:[Acceleration]])</f>
        <v>0</v>
      </c>
    </row>
    <row r="41" spans="1:12" x14ac:dyDescent="0.25">
      <c r="B41">
        <v>4</v>
      </c>
      <c r="C41">
        <v>97</v>
      </c>
      <c r="D41">
        <v>48</v>
      </c>
      <c r="E41">
        <v>1978</v>
      </c>
      <c r="F41">
        <v>20</v>
      </c>
      <c r="G41">
        <v>71</v>
      </c>
      <c r="H41" t="s">
        <v>1636</v>
      </c>
      <c r="I41" t="s">
        <v>1067</v>
      </c>
      <c r="J41" t="s">
        <v>1037</v>
      </c>
      <c r="K41" t="s">
        <v>1068</v>
      </c>
      <c r="L41" t="b">
        <f>Data_Completeness(MileageData[[#This Row],[MPG]:[Acceleration]])</f>
        <v>0</v>
      </c>
    </row>
    <row r="42" spans="1:12" x14ac:dyDescent="0.25">
      <c r="A42">
        <v>19</v>
      </c>
      <c r="B42">
        <v>6</v>
      </c>
      <c r="C42">
        <v>232</v>
      </c>
      <c r="D42">
        <v>100</v>
      </c>
      <c r="E42">
        <v>2634</v>
      </c>
      <c r="F42">
        <v>13</v>
      </c>
      <c r="G42">
        <v>71</v>
      </c>
      <c r="H42" t="s">
        <v>1635</v>
      </c>
      <c r="I42" t="s">
        <v>1049</v>
      </c>
      <c r="J42" t="s">
        <v>987</v>
      </c>
      <c r="K42" t="s">
        <v>1050</v>
      </c>
      <c r="L42" t="b">
        <f>Data_Completeness(MileageData[[#This Row],[MPG]:[Acceleration]])</f>
        <v>1</v>
      </c>
    </row>
    <row r="43" spans="1:12" x14ac:dyDescent="0.25">
      <c r="A43">
        <v>16</v>
      </c>
      <c r="B43">
        <v>6</v>
      </c>
      <c r="C43">
        <v>225</v>
      </c>
      <c r="D43">
        <v>105</v>
      </c>
      <c r="E43">
        <v>3439</v>
      </c>
      <c r="F43">
        <v>15.5</v>
      </c>
      <c r="G43">
        <v>71</v>
      </c>
      <c r="H43" t="s">
        <v>1635</v>
      </c>
      <c r="I43" t="s">
        <v>1069</v>
      </c>
      <c r="J43" t="s">
        <v>984</v>
      </c>
      <c r="K43" t="s">
        <v>1070</v>
      </c>
      <c r="L43" t="b">
        <f>Data_Completeness(MileageData[[#This Row],[MPG]:[Acceleration]])</f>
        <v>1</v>
      </c>
    </row>
    <row r="44" spans="1:12" x14ac:dyDescent="0.25">
      <c r="A44">
        <v>17</v>
      </c>
      <c r="B44">
        <v>6</v>
      </c>
      <c r="C44">
        <v>250</v>
      </c>
      <c r="D44">
        <v>100</v>
      </c>
      <c r="E44">
        <v>3329</v>
      </c>
      <c r="F44">
        <v>15.5</v>
      </c>
      <c r="G44">
        <v>71</v>
      </c>
      <c r="H44" t="s">
        <v>1635</v>
      </c>
      <c r="I44" t="s">
        <v>977</v>
      </c>
      <c r="J44" t="s">
        <v>978</v>
      </c>
      <c r="K44" t="s">
        <v>979</v>
      </c>
      <c r="L44" t="b">
        <f>Data_Completeness(MileageData[[#This Row],[MPG]:[Acceleration]])</f>
        <v>1</v>
      </c>
    </row>
    <row r="45" spans="1:12" x14ac:dyDescent="0.25">
      <c r="A45">
        <v>19</v>
      </c>
      <c r="B45">
        <v>6</v>
      </c>
      <c r="C45">
        <v>250</v>
      </c>
      <c r="D45">
        <v>88</v>
      </c>
      <c r="E45">
        <v>3302</v>
      </c>
      <c r="F45">
        <v>15.5</v>
      </c>
      <c r="G45">
        <v>71</v>
      </c>
      <c r="H45" t="s">
        <v>1635</v>
      </c>
      <c r="I45" t="s">
        <v>1071</v>
      </c>
      <c r="J45" t="s">
        <v>990</v>
      </c>
      <c r="K45" t="s">
        <v>1072</v>
      </c>
      <c r="L45" t="b">
        <f>Data_Completeness(MileageData[[#This Row],[MPG]:[Acceleration]])</f>
        <v>1</v>
      </c>
    </row>
    <row r="46" spans="1:12" x14ac:dyDescent="0.25">
      <c r="A46">
        <v>18</v>
      </c>
      <c r="B46">
        <v>6</v>
      </c>
      <c r="C46">
        <v>232</v>
      </c>
      <c r="D46">
        <v>100</v>
      </c>
      <c r="E46">
        <v>3288</v>
      </c>
      <c r="F46">
        <v>15.5</v>
      </c>
      <c r="G46">
        <v>71</v>
      </c>
      <c r="H46" t="s">
        <v>1635</v>
      </c>
      <c r="I46" t="s">
        <v>1073</v>
      </c>
      <c r="J46" t="s">
        <v>987</v>
      </c>
      <c r="K46" t="s">
        <v>1074</v>
      </c>
      <c r="L46" t="b">
        <f>Data_Completeness(MileageData[[#This Row],[MPG]:[Acceleration]])</f>
        <v>1</v>
      </c>
    </row>
    <row r="47" spans="1:12" x14ac:dyDescent="0.25">
      <c r="A47">
        <v>14</v>
      </c>
      <c r="B47">
        <v>8</v>
      </c>
      <c r="C47">
        <v>350</v>
      </c>
      <c r="D47">
        <v>165</v>
      </c>
      <c r="E47">
        <v>4209</v>
      </c>
      <c r="F47">
        <v>12</v>
      </c>
      <c r="G47">
        <v>71</v>
      </c>
      <c r="H47" t="s">
        <v>1635</v>
      </c>
      <c r="I47" t="s">
        <v>994</v>
      </c>
      <c r="J47" t="s">
        <v>978</v>
      </c>
      <c r="K47" t="s">
        <v>995</v>
      </c>
      <c r="L47" t="b">
        <f>Data_Completeness(MileageData[[#This Row],[MPG]:[Acceleration]])</f>
        <v>1</v>
      </c>
    </row>
    <row r="48" spans="1:12" x14ac:dyDescent="0.25">
      <c r="A48">
        <v>14</v>
      </c>
      <c r="B48">
        <v>8</v>
      </c>
      <c r="C48">
        <v>400</v>
      </c>
      <c r="D48">
        <v>175</v>
      </c>
      <c r="E48">
        <v>4464</v>
      </c>
      <c r="F48">
        <v>11.5</v>
      </c>
      <c r="G48">
        <v>71</v>
      </c>
      <c r="H48" t="s">
        <v>1635</v>
      </c>
      <c r="I48" t="s">
        <v>1075</v>
      </c>
      <c r="J48" t="s">
        <v>999</v>
      </c>
      <c r="K48" t="s">
        <v>1076</v>
      </c>
      <c r="L48" t="b">
        <f>Data_Completeness(MileageData[[#This Row],[MPG]:[Acceleration]])</f>
        <v>1</v>
      </c>
    </row>
    <row r="49" spans="1:12" x14ac:dyDescent="0.25">
      <c r="A49">
        <v>14</v>
      </c>
      <c r="B49">
        <v>8</v>
      </c>
      <c r="C49">
        <v>351</v>
      </c>
      <c r="D49">
        <v>153</v>
      </c>
      <c r="E49">
        <v>4154</v>
      </c>
      <c r="F49">
        <v>13.5</v>
      </c>
      <c r="G49">
        <v>71</v>
      </c>
      <c r="H49" t="s">
        <v>1635</v>
      </c>
      <c r="I49" t="s">
        <v>992</v>
      </c>
      <c r="J49" t="s">
        <v>990</v>
      </c>
      <c r="K49" t="s">
        <v>993</v>
      </c>
      <c r="L49" t="b">
        <f>Data_Completeness(MileageData[[#This Row],[MPG]:[Acceleration]])</f>
        <v>1</v>
      </c>
    </row>
    <row r="50" spans="1:12" x14ac:dyDescent="0.25">
      <c r="A50">
        <v>14</v>
      </c>
      <c r="B50">
        <v>8</v>
      </c>
      <c r="C50">
        <v>318</v>
      </c>
      <c r="D50">
        <v>150</v>
      </c>
      <c r="E50">
        <v>4096</v>
      </c>
      <c r="F50">
        <v>13</v>
      </c>
      <c r="G50">
        <v>71</v>
      </c>
      <c r="H50" t="s">
        <v>1635</v>
      </c>
      <c r="I50" t="s">
        <v>996</v>
      </c>
      <c r="J50" t="s">
        <v>984</v>
      </c>
      <c r="K50" t="s">
        <v>997</v>
      </c>
      <c r="L50" t="b">
        <f>Data_Completeness(MileageData[[#This Row],[MPG]:[Acceleration]])</f>
        <v>1</v>
      </c>
    </row>
    <row r="51" spans="1:12" x14ac:dyDescent="0.25">
      <c r="A51">
        <v>12</v>
      </c>
      <c r="B51">
        <v>8</v>
      </c>
      <c r="C51">
        <v>383</v>
      </c>
      <c r="D51">
        <v>180</v>
      </c>
      <c r="E51">
        <v>4955</v>
      </c>
      <c r="F51">
        <v>11.5</v>
      </c>
      <c r="G51">
        <v>71</v>
      </c>
      <c r="H51" t="s">
        <v>1635</v>
      </c>
      <c r="I51" t="s">
        <v>1077</v>
      </c>
      <c r="J51" t="s">
        <v>1015</v>
      </c>
      <c r="K51" t="s">
        <v>1078</v>
      </c>
      <c r="L51" t="b">
        <f>Data_Completeness(MileageData[[#This Row],[MPG]:[Acceleration]])</f>
        <v>1</v>
      </c>
    </row>
    <row r="52" spans="1:12" x14ac:dyDescent="0.25">
      <c r="A52">
        <v>13</v>
      </c>
      <c r="B52">
        <v>8</v>
      </c>
      <c r="C52">
        <v>400</v>
      </c>
      <c r="D52">
        <v>170</v>
      </c>
      <c r="E52">
        <v>4746</v>
      </c>
      <c r="F52">
        <v>12</v>
      </c>
      <c r="G52">
        <v>71</v>
      </c>
      <c r="H52" t="s">
        <v>1635</v>
      </c>
      <c r="I52" t="s">
        <v>1079</v>
      </c>
      <c r="J52" t="s">
        <v>990</v>
      </c>
      <c r="K52" t="s">
        <v>1080</v>
      </c>
      <c r="L52" t="b">
        <f>Data_Completeness(MileageData[[#This Row],[MPG]:[Acceleration]])</f>
        <v>1</v>
      </c>
    </row>
    <row r="53" spans="1:12" x14ac:dyDescent="0.25">
      <c r="A53">
        <v>13</v>
      </c>
      <c r="B53">
        <v>8</v>
      </c>
      <c r="C53">
        <v>400</v>
      </c>
      <c r="D53">
        <v>175</v>
      </c>
      <c r="E53">
        <v>5140</v>
      </c>
      <c r="F53">
        <v>12</v>
      </c>
      <c r="G53">
        <v>71</v>
      </c>
      <c r="H53" t="s">
        <v>1635</v>
      </c>
      <c r="I53" t="s">
        <v>1081</v>
      </c>
      <c r="J53" t="s">
        <v>999</v>
      </c>
      <c r="K53" t="s">
        <v>1082</v>
      </c>
      <c r="L53" t="b">
        <f>Data_Completeness(MileageData[[#This Row],[MPG]:[Acceleration]])</f>
        <v>1</v>
      </c>
    </row>
    <row r="54" spans="1:12" x14ac:dyDescent="0.25">
      <c r="A54">
        <v>18</v>
      </c>
      <c r="B54">
        <v>6</v>
      </c>
      <c r="C54">
        <v>258</v>
      </c>
      <c r="D54">
        <v>110</v>
      </c>
      <c r="E54">
        <v>2962</v>
      </c>
      <c r="F54">
        <v>13.5</v>
      </c>
      <c r="G54">
        <v>71</v>
      </c>
      <c r="H54" t="s">
        <v>1635</v>
      </c>
      <c r="I54" t="s">
        <v>1083</v>
      </c>
      <c r="J54" t="s">
        <v>987</v>
      </c>
      <c r="K54" t="s">
        <v>1084</v>
      </c>
      <c r="L54" t="b">
        <f>Data_Completeness(MileageData[[#This Row],[MPG]:[Acceleration]])</f>
        <v>1</v>
      </c>
    </row>
    <row r="55" spans="1:12" x14ac:dyDescent="0.25">
      <c r="A55">
        <v>22</v>
      </c>
      <c r="B55">
        <v>4</v>
      </c>
      <c r="C55">
        <v>140</v>
      </c>
      <c r="D55">
        <v>72</v>
      </c>
      <c r="E55">
        <v>2408</v>
      </c>
      <c r="F55">
        <v>19</v>
      </c>
      <c r="G55">
        <v>71</v>
      </c>
      <c r="H55" t="s">
        <v>1635</v>
      </c>
      <c r="I55" t="s">
        <v>1085</v>
      </c>
      <c r="J55" t="s">
        <v>978</v>
      </c>
      <c r="K55" t="s">
        <v>1086</v>
      </c>
      <c r="L55" t="b">
        <f>Data_Completeness(MileageData[[#This Row],[MPG]:[Acceleration]])</f>
        <v>1</v>
      </c>
    </row>
    <row r="56" spans="1:12" x14ac:dyDescent="0.25">
      <c r="A56">
        <v>19</v>
      </c>
      <c r="B56">
        <v>6</v>
      </c>
      <c r="C56">
        <v>250</v>
      </c>
      <c r="D56">
        <v>100</v>
      </c>
      <c r="E56">
        <v>3282</v>
      </c>
      <c r="F56">
        <v>15</v>
      </c>
      <c r="G56">
        <v>71</v>
      </c>
      <c r="H56" t="s">
        <v>1635</v>
      </c>
      <c r="I56" t="s">
        <v>1087</v>
      </c>
      <c r="J56" t="s">
        <v>999</v>
      </c>
      <c r="K56" t="s">
        <v>1088</v>
      </c>
      <c r="L56" t="b">
        <f>Data_Completeness(MileageData[[#This Row],[MPG]:[Acceleration]])</f>
        <v>1</v>
      </c>
    </row>
    <row r="57" spans="1:12" x14ac:dyDescent="0.25">
      <c r="A57">
        <v>18</v>
      </c>
      <c r="B57">
        <v>6</v>
      </c>
      <c r="C57">
        <v>250</v>
      </c>
      <c r="D57">
        <v>88</v>
      </c>
      <c r="E57">
        <v>3139</v>
      </c>
      <c r="F57">
        <v>14.5</v>
      </c>
      <c r="G57">
        <v>71</v>
      </c>
      <c r="H57" t="s">
        <v>1635</v>
      </c>
      <c r="I57" t="s">
        <v>1089</v>
      </c>
      <c r="J57" t="s">
        <v>990</v>
      </c>
      <c r="K57" t="s">
        <v>1090</v>
      </c>
      <c r="L57" t="b">
        <f>Data_Completeness(MileageData[[#This Row],[MPG]:[Acceleration]])</f>
        <v>1</v>
      </c>
    </row>
    <row r="58" spans="1:12" x14ac:dyDescent="0.25">
      <c r="A58">
        <v>23</v>
      </c>
      <c r="B58">
        <v>4</v>
      </c>
      <c r="C58">
        <v>122</v>
      </c>
      <c r="D58">
        <v>86</v>
      </c>
      <c r="E58">
        <v>2220</v>
      </c>
      <c r="F58">
        <v>14</v>
      </c>
      <c r="G58">
        <v>71</v>
      </c>
      <c r="H58" t="s">
        <v>1635</v>
      </c>
      <c r="I58" t="s">
        <v>1091</v>
      </c>
      <c r="J58" t="s">
        <v>1092</v>
      </c>
      <c r="K58" t="s">
        <v>1093</v>
      </c>
      <c r="L58" t="b">
        <f>Data_Completeness(MileageData[[#This Row],[MPG]:[Acceleration]])</f>
        <v>1</v>
      </c>
    </row>
    <row r="59" spans="1:12" x14ac:dyDescent="0.25">
      <c r="A59">
        <v>28</v>
      </c>
      <c r="B59">
        <v>4</v>
      </c>
      <c r="C59">
        <v>116</v>
      </c>
      <c r="D59">
        <v>90</v>
      </c>
      <c r="E59">
        <v>2123</v>
      </c>
      <c r="F59">
        <v>14</v>
      </c>
      <c r="G59">
        <v>71</v>
      </c>
      <c r="H59" t="s">
        <v>1636</v>
      </c>
      <c r="I59" t="s">
        <v>1094</v>
      </c>
      <c r="J59" t="s">
        <v>1095</v>
      </c>
      <c r="K59">
        <v>1900</v>
      </c>
      <c r="L59" t="b">
        <f>Data_Completeness(MileageData[[#This Row],[MPG]:[Acceleration]])</f>
        <v>1</v>
      </c>
    </row>
    <row r="60" spans="1:12" x14ac:dyDescent="0.25">
      <c r="A60">
        <v>30</v>
      </c>
      <c r="B60">
        <v>4</v>
      </c>
      <c r="C60">
        <v>79</v>
      </c>
      <c r="D60">
        <v>70</v>
      </c>
      <c r="E60">
        <v>2074</v>
      </c>
      <c r="F60">
        <v>19.5</v>
      </c>
      <c r="G60">
        <v>71</v>
      </c>
      <c r="H60" t="s">
        <v>1636</v>
      </c>
      <c r="I60" t="s">
        <v>1096</v>
      </c>
      <c r="J60" t="s">
        <v>1040</v>
      </c>
      <c r="K60">
        <v>304</v>
      </c>
      <c r="L60" t="b">
        <f>Data_Completeness(MileageData[[#This Row],[MPG]:[Acceleration]])</f>
        <v>1</v>
      </c>
    </row>
    <row r="61" spans="1:12" x14ac:dyDescent="0.25">
      <c r="A61">
        <v>30</v>
      </c>
      <c r="B61">
        <v>4</v>
      </c>
      <c r="C61">
        <v>88</v>
      </c>
      <c r="D61">
        <v>76</v>
      </c>
      <c r="E61">
        <v>2065</v>
      </c>
      <c r="F61">
        <v>14.5</v>
      </c>
      <c r="G61">
        <v>71</v>
      </c>
      <c r="H61" t="s">
        <v>1636</v>
      </c>
      <c r="I61" t="s">
        <v>1097</v>
      </c>
      <c r="J61" t="s">
        <v>1098</v>
      </c>
      <c r="K61" t="s">
        <v>1099</v>
      </c>
      <c r="L61" t="b">
        <f>Data_Completeness(MileageData[[#This Row],[MPG]:[Acceleration]])</f>
        <v>1</v>
      </c>
    </row>
    <row r="62" spans="1:12" x14ac:dyDescent="0.25">
      <c r="A62">
        <v>31</v>
      </c>
      <c r="B62">
        <v>4</v>
      </c>
      <c r="C62">
        <v>71</v>
      </c>
      <c r="D62">
        <v>65</v>
      </c>
      <c r="E62">
        <v>1773</v>
      </c>
      <c r="F62">
        <v>19</v>
      </c>
      <c r="G62">
        <v>71</v>
      </c>
      <c r="H62" t="s">
        <v>1637</v>
      </c>
      <c r="I62" t="s">
        <v>1100</v>
      </c>
      <c r="J62" t="s">
        <v>1025</v>
      </c>
      <c r="K62" t="s">
        <v>1101</v>
      </c>
      <c r="L62" t="b">
        <f>Data_Completeness(MileageData[[#This Row],[MPG]:[Acceleration]])</f>
        <v>1</v>
      </c>
    </row>
    <row r="63" spans="1:12" x14ac:dyDescent="0.25">
      <c r="A63">
        <v>35</v>
      </c>
      <c r="B63">
        <v>4</v>
      </c>
      <c r="C63">
        <v>72</v>
      </c>
      <c r="D63">
        <v>69</v>
      </c>
      <c r="E63">
        <v>1613</v>
      </c>
      <c r="F63">
        <v>18</v>
      </c>
      <c r="G63">
        <v>71</v>
      </c>
      <c r="H63" t="s">
        <v>1637</v>
      </c>
      <c r="I63" t="s">
        <v>1102</v>
      </c>
      <c r="J63" t="s">
        <v>1034</v>
      </c>
      <c r="K63">
        <v>1200</v>
      </c>
      <c r="L63" t="b">
        <f>Data_Completeness(MileageData[[#This Row],[MPG]:[Acceleration]])</f>
        <v>1</v>
      </c>
    </row>
    <row r="64" spans="1:12" x14ac:dyDescent="0.25">
      <c r="A64">
        <v>27</v>
      </c>
      <c r="B64">
        <v>4</v>
      </c>
      <c r="C64">
        <v>97</v>
      </c>
      <c r="D64">
        <v>60</v>
      </c>
      <c r="E64">
        <v>1834</v>
      </c>
      <c r="F64">
        <v>19</v>
      </c>
      <c r="G64">
        <v>71</v>
      </c>
      <c r="H64" t="s">
        <v>1636</v>
      </c>
      <c r="I64" t="s">
        <v>1103</v>
      </c>
      <c r="J64" t="s">
        <v>1037</v>
      </c>
      <c r="K64" t="s">
        <v>1104</v>
      </c>
      <c r="L64" t="b">
        <f>Data_Completeness(MileageData[[#This Row],[MPG]:[Acceleration]])</f>
        <v>1</v>
      </c>
    </row>
    <row r="65" spans="1:12" x14ac:dyDescent="0.25">
      <c r="A65">
        <v>26</v>
      </c>
      <c r="B65">
        <v>4</v>
      </c>
      <c r="C65">
        <v>91</v>
      </c>
      <c r="D65">
        <v>70</v>
      </c>
      <c r="E65">
        <v>1955</v>
      </c>
      <c r="F65">
        <v>20.5</v>
      </c>
      <c r="G65">
        <v>71</v>
      </c>
      <c r="H65" t="s">
        <v>1635</v>
      </c>
      <c r="I65" t="s">
        <v>1105</v>
      </c>
      <c r="J65" t="s">
        <v>984</v>
      </c>
      <c r="K65" t="s">
        <v>1106</v>
      </c>
      <c r="L65" t="b">
        <f>Data_Completeness(MileageData[[#This Row],[MPG]:[Acceleration]])</f>
        <v>1</v>
      </c>
    </row>
    <row r="66" spans="1:12" x14ac:dyDescent="0.25">
      <c r="A66">
        <v>24</v>
      </c>
      <c r="B66">
        <v>4</v>
      </c>
      <c r="C66">
        <v>113</v>
      </c>
      <c r="D66">
        <v>95</v>
      </c>
      <c r="E66">
        <v>2278</v>
      </c>
      <c r="F66">
        <v>15.5</v>
      </c>
      <c r="G66">
        <v>72</v>
      </c>
      <c r="H66" t="s">
        <v>1637</v>
      </c>
      <c r="I66" t="s">
        <v>1107</v>
      </c>
      <c r="J66" t="s">
        <v>1025</v>
      </c>
      <c r="K66" t="s">
        <v>1108</v>
      </c>
      <c r="L66" t="b">
        <f>Data_Completeness(MileageData[[#This Row],[MPG]:[Acceleration]])</f>
        <v>1</v>
      </c>
    </row>
    <row r="67" spans="1:12" x14ac:dyDescent="0.25">
      <c r="A67">
        <v>25</v>
      </c>
      <c r="B67">
        <v>4</v>
      </c>
      <c r="C67">
        <v>97.5</v>
      </c>
      <c r="D67">
        <v>80</v>
      </c>
      <c r="E67">
        <v>2126</v>
      </c>
      <c r="F67">
        <v>17</v>
      </c>
      <c r="G67">
        <v>72</v>
      </c>
      <c r="H67" t="s">
        <v>1635</v>
      </c>
      <c r="I67" t="s">
        <v>1109</v>
      </c>
      <c r="J67" t="s">
        <v>1015</v>
      </c>
      <c r="K67" t="s">
        <v>1110</v>
      </c>
      <c r="L67" t="b">
        <f>Data_Completeness(MileageData[[#This Row],[MPG]:[Acceleration]])</f>
        <v>1</v>
      </c>
    </row>
    <row r="68" spans="1:12" x14ac:dyDescent="0.25">
      <c r="A68">
        <v>23</v>
      </c>
      <c r="B68">
        <v>4</v>
      </c>
      <c r="C68">
        <v>97</v>
      </c>
      <c r="D68">
        <v>54</v>
      </c>
      <c r="E68">
        <v>2254</v>
      </c>
      <c r="F68">
        <v>23.5</v>
      </c>
      <c r="G68">
        <v>72</v>
      </c>
      <c r="H68" t="s">
        <v>1636</v>
      </c>
      <c r="I68" t="s">
        <v>1111</v>
      </c>
      <c r="J68" t="s">
        <v>1037</v>
      </c>
      <c r="K68" t="s">
        <v>1112</v>
      </c>
      <c r="L68" t="b">
        <f>Data_Completeness(MileageData[[#This Row],[MPG]:[Acceleration]])</f>
        <v>1</v>
      </c>
    </row>
    <row r="69" spans="1:12" x14ac:dyDescent="0.25">
      <c r="A69">
        <v>20</v>
      </c>
      <c r="B69">
        <v>4</v>
      </c>
      <c r="C69">
        <v>140</v>
      </c>
      <c r="D69">
        <v>90</v>
      </c>
      <c r="E69">
        <v>2408</v>
      </c>
      <c r="F69">
        <v>19.5</v>
      </c>
      <c r="G69">
        <v>72</v>
      </c>
      <c r="H69" t="s">
        <v>1635</v>
      </c>
      <c r="I69" t="s">
        <v>1113</v>
      </c>
      <c r="J69" t="s">
        <v>978</v>
      </c>
      <c r="K69" t="s">
        <v>1114</v>
      </c>
      <c r="L69" t="b">
        <f>Data_Completeness(MileageData[[#This Row],[MPG]:[Acceleration]])</f>
        <v>1</v>
      </c>
    </row>
    <row r="70" spans="1:12" x14ac:dyDescent="0.25">
      <c r="A70">
        <v>21</v>
      </c>
      <c r="B70">
        <v>4</v>
      </c>
      <c r="C70">
        <v>122</v>
      </c>
      <c r="D70">
        <v>86</v>
      </c>
      <c r="E70">
        <v>2226</v>
      </c>
      <c r="F70">
        <v>16.5</v>
      </c>
      <c r="G70">
        <v>72</v>
      </c>
      <c r="H70" t="s">
        <v>1635</v>
      </c>
      <c r="I70" t="s">
        <v>1115</v>
      </c>
      <c r="J70" t="s">
        <v>990</v>
      </c>
      <c r="K70" t="s">
        <v>1116</v>
      </c>
      <c r="L70" t="b">
        <f>Data_Completeness(MileageData[[#This Row],[MPG]:[Acceleration]])</f>
        <v>1</v>
      </c>
    </row>
    <row r="71" spans="1:12" x14ac:dyDescent="0.25">
      <c r="A71">
        <v>13</v>
      </c>
      <c r="B71">
        <v>8</v>
      </c>
      <c r="C71">
        <v>350</v>
      </c>
      <c r="D71">
        <v>165</v>
      </c>
      <c r="E71">
        <v>4274</v>
      </c>
      <c r="F71">
        <v>12</v>
      </c>
      <c r="G71">
        <v>72</v>
      </c>
      <c r="H71" t="s">
        <v>1635</v>
      </c>
      <c r="I71" t="s">
        <v>994</v>
      </c>
      <c r="J71" t="s">
        <v>978</v>
      </c>
      <c r="K71" t="s">
        <v>995</v>
      </c>
      <c r="L71" t="b">
        <f>Data_Completeness(MileageData[[#This Row],[MPG]:[Acceleration]])</f>
        <v>1</v>
      </c>
    </row>
    <row r="72" spans="1:12" x14ac:dyDescent="0.25">
      <c r="A72">
        <v>14</v>
      </c>
      <c r="B72">
        <v>8</v>
      </c>
      <c r="C72">
        <v>400</v>
      </c>
      <c r="D72">
        <v>175</v>
      </c>
      <c r="E72">
        <v>4385</v>
      </c>
      <c r="F72">
        <v>12</v>
      </c>
      <c r="G72">
        <v>72</v>
      </c>
      <c r="H72" t="s">
        <v>1635</v>
      </c>
      <c r="I72" t="s">
        <v>998</v>
      </c>
      <c r="J72" t="s">
        <v>999</v>
      </c>
      <c r="K72" t="s">
        <v>1000</v>
      </c>
      <c r="L72" t="b">
        <f>Data_Completeness(MileageData[[#This Row],[MPG]:[Acceleration]])</f>
        <v>1</v>
      </c>
    </row>
    <row r="73" spans="1:12" x14ac:dyDescent="0.25">
      <c r="A73">
        <v>15</v>
      </c>
      <c r="B73">
        <v>8</v>
      </c>
      <c r="C73">
        <v>318</v>
      </c>
      <c r="D73">
        <v>150</v>
      </c>
      <c r="E73">
        <v>4135</v>
      </c>
      <c r="F73">
        <v>13.5</v>
      </c>
      <c r="G73">
        <v>72</v>
      </c>
      <c r="H73" t="s">
        <v>1635</v>
      </c>
      <c r="I73" t="s">
        <v>996</v>
      </c>
      <c r="J73" t="s">
        <v>984</v>
      </c>
      <c r="K73" t="s">
        <v>997</v>
      </c>
      <c r="L73" t="b">
        <f>Data_Completeness(MileageData[[#This Row],[MPG]:[Acceleration]])</f>
        <v>1</v>
      </c>
    </row>
    <row r="74" spans="1:12" x14ac:dyDescent="0.25">
      <c r="A74">
        <v>14</v>
      </c>
      <c r="B74">
        <v>8</v>
      </c>
      <c r="C74">
        <v>351</v>
      </c>
      <c r="D74">
        <v>153</v>
      </c>
      <c r="E74">
        <v>4129</v>
      </c>
      <c r="F74">
        <v>13</v>
      </c>
      <c r="G74">
        <v>72</v>
      </c>
      <c r="H74" t="s">
        <v>1635</v>
      </c>
      <c r="I74" t="s">
        <v>992</v>
      </c>
      <c r="J74" t="s">
        <v>990</v>
      </c>
      <c r="K74" t="s">
        <v>993</v>
      </c>
      <c r="L74" t="b">
        <f>Data_Completeness(MileageData[[#This Row],[MPG]:[Acceleration]])</f>
        <v>1</v>
      </c>
    </row>
    <row r="75" spans="1:12" x14ac:dyDescent="0.25">
      <c r="A75">
        <v>17</v>
      </c>
      <c r="B75">
        <v>8</v>
      </c>
      <c r="C75">
        <v>304</v>
      </c>
      <c r="D75">
        <v>150</v>
      </c>
      <c r="E75">
        <v>3672</v>
      </c>
      <c r="F75">
        <v>11.5</v>
      </c>
      <c r="G75">
        <v>72</v>
      </c>
      <c r="H75" t="s">
        <v>1635</v>
      </c>
      <c r="I75" t="s">
        <v>1117</v>
      </c>
      <c r="J75" t="s">
        <v>987</v>
      </c>
      <c r="K75" t="s">
        <v>1118</v>
      </c>
      <c r="L75" t="b">
        <f>Data_Completeness(MileageData[[#This Row],[MPG]:[Acceleration]])</f>
        <v>1</v>
      </c>
    </row>
    <row r="76" spans="1:12" x14ac:dyDescent="0.25">
      <c r="A76">
        <v>11</v>
      </c>
      <c r="B76">
        <v>8</v>
      </c>
      <c r="C76">
        <v>429</v>
      </c>
      <c r="D76">
        <v>208</v>
      </c>
      <c r="E76">
        <v>4633</v>
      </c>
      <c r="F76">
        <v>11</v>
      </c>
      <c r="G76">
        <v>72</v>
      </c>
      <c r="H76" t="s">
        <v>1635</v>
      </c>
      <c r="I76" t="s">
        <v>1119</v>
      </c>
      <c r="J76" t="s">
        <v>1092</v>
      </c>
      <c r="K76" t="s">
        <v>1120</v>
      </c>
      <c r="L76" t="b">
        <f>Data_Completeness(MileageData[[#This Row],[MPG]:[Acceleration]])</f>
        <v>1</v>
      </c>
    </row>
    <row r="77" spans="1:12" x14ac:dyDescent="0.25">
      <c r="A77">
        <v>13</v>
      </c>
      <c r="B77">
        <v>8</v>
      </c>
      <c r="C77">
        <v>350</v>
      </c>
      <c r="D77">
        <v>155</v>
      </c>
      <c r="E77">
        <v>4502</v>
      </c>
      <c r="F77">
        <v>13.5</v>
      </c>
      <c r="G77">
        <v>72</v>
      </c>
      <c r="H77" t="s">
        <v>1635</v>
      </c>
      <c r="I77" t="s">
        <v>1121</v>
      </c>
      <c r="J77" t="s">
        <v>981</v>
      </c>
      <c r="K77" t="s">
        <v>1122</v>
      </c>
      <c r="L77" t="b">
        <f>Data_Completeness(MileageData[[#This Row],[MPG]:[Acceleration]])</f>
        <v>1</v>
      </c>
    </row>
    <row r="78" spans="1:12" x14ac:dyDescent="0.25">
      <c r="A78">
        <v>12</v>
      </c>
      <c r="B78">
        <v>8</v>
      </c>
      <c r="C78">
        <v>350</v>
      </c>
      <c r="D78">
        <v>160</v>
      </c>
      <c r="E78">
        <v>4456</v>
      </c>
      <c r="F78">
        <v>13.5</v>
      </c>
      <c r="G78">
        <v>72</v>
      </c>
      <c r="H78" t="s">
        <v>1635</v>
      </c>
      <c r="I78" t="s">
        <v>1123</v>
      </c>
      <c r="J78" t="s">
        <v>1124</v>
      </c>
      <c r="K78" t="s">
        <v>1125</v>
      </c>
      <c r="L78" t="b">
        <f>Data_Completeness(MileageData[[#This Row],[MPG]:[Acceleration]])</f>
        <v>1</v>
      </c>
    </row>
    <row r="79" spans="1:12" x14ac:dyDescent="0.25">
      <c r="A79">
        <v>13</v>
      </c>
      <c r="B79">
        <v>8</v>
      </c>
      <c r="C79">
        <v>400</v>
      </c>
      <c r="D79">
        <v>190</v>
      </c>
      <c r="E79">
        <v>4422</v>
      </c>
      <c r="F79">
        <v>12.5</v>
      </c>
      <c r="G79">
        <v>72</v>
      </c>
      <c r="H79" t="s">
        <v>1635</v>
      </c>
      <c r="I79" t="s">
        <v>1126</v>
      </c>
      <c r="J79" t="s">
        <v>1127</v>
      </c>
      <c r="K79" t="s">
        <v>1128</v>
      </c>
      <c r="L79" t="b">
        <f>Data_Completeness(MileageData[[#This Row],[MPG]:[Acceleration]])</f>
        <v>1</v>
      </c>
    </row>
    <row r="80" spans="1:12" x14ac:dyDescent="0.25">
      <c r="A80">
        <v>19</v>
      </c>
      <c r="B80">
        <v>3</v>
      </c>
      <c r="C80">
        <v>70</v>
      </c>
      <c r="D80">
        <v>97</v>
      </c>
      <c r="E80">
        <v>2330</v>
      </c>
      <c r="F80">
        <v>13.5</v>
      </c>
      <c r="G80">
        <v>72</v>
      </c>
      <c r="H80" t="s">
        <v>1637</v>
      </c>
      <c r="I80" t="s">
        <v>1129</v>
      </c>
      <c r="J80" t="s">
        <v>1130</v>
      </c>
      <c r="K80" t="s">
        <v>1131</v>
      </c>
      <c r="L80" t="b">
        <f>Data_Completeness(MileageData[[#This Row],[MPG]:[Acceleration]])</f>
        <v>1</v>
      </c>
    </row>
    <row r="81" spans="1:12" x14ac:dyDescent="0.25">
      <c r="A81">
        <v>15</v>
      </c>
      <c r="B81">
        <v>8</v>
      </c>
      <c r="C81">
        <v>304</v>
      </c>
      <c r="D81">
        <v>150</v>
      </c>
      <c r="E81">
        <v>3892</v>
      </c>
      <c r="F81">
        <v>12.5</v>
      </c>
      <c r="G81">
        <v>72</v>
      </c>
      <c r="H81" t="s">
        <v>1635</v>
      </c>
      <c r="I81" t="s">
        <v>1132</v>
      </c>
      <c r="J81" t="s">
        <v>987</v>
      </c>
      <c r="K81" t="s">
        <v>1133</v>
      </c>
      <c r="L81" t="b">
        <f>Data_Completeness(MileageData[[#This Row],[MPG]:[Acceleration]])</f>
        <v>1</v>
      </c>
    </row>
    <row r="82" spans="1:12" x14ac:dyDescent="0.25">
      <c r="A82">
        <v>13</v>
      </c>
      <c r="B82">
        <v>8</v>
      </c>
      <c r="C82">
        <v>307</v>
      </c>
      <c r="D82">
        <v>130</v>
      </c>
      <c r="E82">
        <v>4098</v>
      </c>
      <c r="F82">
        <v>14</v>
      </c>
      <c r="G82">
        <v>72</v>
      </c>
      <c r="H82" t="s">
        <v>1635</v>
      </c>
      <c r="I82" t="s">
        <v>1006</v>
      </c>
      <c r="J82" t="s">
        <v>978</v>
      </c>
      <c r="K82" t="s">
        <v>1007</v>
      </c>
      <c r="L82" t="b">
        <f>Data_Completeness(MileageData[[#This Row],[MPG]:[Acceleration]])</f>
        <v>1</v>
      </c>
    </row>
    <row r="83" spans="1:12" x14ac:dyDescent="0.25">
      <c r="A83">
        <v>13</v>
      </c>
      <c r="B83">
        <v>8</v>
      </c>
      <c r="C83">
        <v>302</v>
      </c>
      <c r="D83">
        <v>140</v>
      </c>
      <c r="E83">
        <v>4294</v>
      </c>
      <c r="F83">
        <v>16</v>
      </c>
      <c r="G83">
        <v>72</v>
      </c>
      <c r="H83" t="s">
        <v>1635</v>
      </c>
      <c r="I83" t="s">
        <v>1134</v>
      </c>
      <c r="J83" t="s">
        <v>990</v>
      </c>
      <c r="K83" t="s">
        <v>1135</v>
      </c>
      <c r="L83" t="b">
        <f>Data_Completeness(MileageData[[#This Row],[MPG]:[Acceleration]])</f>
        <v>1</v>
      </c>
    </row>
    <row r="84" spans="1:12" x14ac:dyDescent="0.25">
      <c r="A84">
        <v>14</v>
      </c>
      <c r="B84">
        <v>8</v>
      </c>
      <c r="C84">
        <v>318</v>
      </c>
      <c r="D84">
        <v>150</v>
      </c>
      <c r="E84">
        <v>4077</v>
      </c>
      <c r="F84">
        <v>14</v>
      </c>
      <c r="G84">
        <v>72</v>
      </c>
      <c r="H84" t="s">
        <v>1635</v>
      </c>
      <c r="I84" t="s">
        <v>1136</v>
      </c>
      <c r="J84" t="s">
        <v>984</v>
      </c>
      <c r="K84" t="s">
        <v>1137</v>
      </c>
      <c r="L84" t="b">
        <f>Data_Completeness(MileageData[[#This Row],[MPG]:[Acceleration]])</f>
        <v>1</v>
      </c>
    </row>
    <row r="85" spans="1:12" x14ac:dyDescent="0.25">
      <c r="A85">
        <v>18</v>
      </c>
      <c r="B85">
        <v>4</v>
      </c>
      <c r="C85">
        <v>121</v>
      </c>
      <c r="D85">
        <v>112</v>
      </c>
      <c r="E85">
        <v>2933</v>
      </c>
      <c r="F85">
        <v>14.5</v>
      </c>
      <c r="G85">
        <v>72</v>
      </c>
      <c r="H85" t="s">
        <v>1636</v>
      </c>
      <c r="I85" t="s">
        <v>1138</v>
      </c>
      <c r="J85" t="s">
        <v>1139</v>
      </c>
      <c r="K85" t="s">
        <v>1140</v>
      </c>
      <c r="L85" t="b">
        <f>Data_Completeness(MileageData[[#This Row],[MPG]:[Acceleration]])</f>
        <v>1</v>
      </c>
    </row>
    <row r="86" spans="1:12" x14ac:dyDescent="0.25">
      <c r="A86">
        <v>22</v>
      </c>
      <c r="B86">
        <v>4</v>
      </c>
      <c r="C86">
        <v>121</v>
      </c>
      <c r="D86">
        <v>76</v>
      </c>
      <c r="E86">
        <v>2511</v>
      </c>
      <c r="F86">
        <v>18</v>
      </c>
      <c r="G86">
        <v>72</v>
      </c>
      <c r="H86" t="s">
        <v>1636</v>
      </c>
      <c r="I86" t="s">
        <v>1141</v>
      </c>
      <c r="J86" t="s">
        <v>1037</v>
      </c>
      <c r="K86" t="s">
        <v>1142</v>
      </c>
      <c r="L86" t="b">
        <f>Data_Completeness(MileageData[[#This Row],[MPG]:[Acceleration]])</f>
        <v>1</v>
      </c>
    </row>
    <row r="87" spans="1:12" x14ac:dyDescent="0.25">
      <c r="A87">
        <v>21</v>
      </c>
      <c r="B87">
        <v>4</v>
      </c>
      <c r="C87">
        <v>120</v>
      </c>
      <c r="D87">
        <v>87</v>
      </c>
      <c r="E87">
        <v>2979</v>
      </c>
      <c r="F87">
        <v>19.5</v>
      </c>
      <c r="G87">
        <v>72</v>
      </c>
      <c r="H87" t="s">
        <v>1636</v>
      </c>
      <c r="I87" t="s">
        <v>1143</v>
      </c>
      <c r="J87" t="s">
        <v>1040</v>
      </c>
      <c r="K87" t="s">
        <v>1144</v>
      </c>
      <c r="L87" t="b">
        <f>Data_Completeness(MileageData[[#This Row],[MPG]:[Acceleration]])</f>
        <v>1</v>
      </c>
    </row>
    <row r="88" spans="1:12" x14ac:dyDescent="0.25">
      <c r="A88">
        <v>26</v>
      </c>
      <c r="B88">
        <v>4</v>
      </c>
      <c r="C88">
        <v>96</v>
      </c>
      <c r="D88">
        <v>69</v>
      </c>
      <c r="E88">
        <v>2189</v>
      </c>
      <c r="F88">
        <v>18</v>
      </c>
      <c r="G88">
        <v>72</v>
      </c>
      <c r="H88" t="s">
        <v>1636</v>
      </c>
      <c r="I88" t="s">
        <v>1145</v>
      </c>
      <c r="J88" t="s">
        <v>1146</v>
      </c>
      <c r="K88" t="s">
        <v>1147</v>
      </c>
      <c r="L88" t="b">
        <f>Data_Completeness(MileageData[[#This Row],[MPG]:[Acceleration]])</f>
        <v>1</v>
      </c>
    </row>
    <row r="89" spans="1:12" x14ac:dyDescent="0.25">
      <c r="A89">
        <v>22</v>
      </c>
      <c r="B89">
        <v>4</v>
      </c>
      <c r="C89">
        <v>122</v>
      </c>
      <c r="D89">
        <v>86</v>
      </c>
      <c r="E89">
        <v>2395</v>
      </c>
      <c r="F89">
        <v>16</v>
      </c>
      <c r="G89">
        <v>72</v>
      </c>
      <c r="H89" t="s">
        <v>1635</v>
      </c>
      <c r="I89" t="s">
        <v>1148</v>
      </c>
      <c r="J89" t="s">
        <v>990</v>
      </c>
      <c r="K89" t="s">
        <v>1149</v>
      </c>
      <c r="L89" t="b">
        <f>Data_Completeness(MileageData[[#This Row],[MPG]:[Acceleration]])</f>
        <v>1</v>
      </c>
    </row>
    <row r="90" spans="1:12" x14ac:dyDescent="0.25">
      <c r="A90">
        <v>28</v>
      </c>
      <c r="B90">
        <v>4</v>
      </c>
      <c r="C90">
        <v>97</v>
      </c>
      <c r="D90">
        <v>92</v>
      </c>
      <c r="E90">
        <v>2288</v>
      </c>
      <c r="F90">
        <v>17</v>
      </c>
      <c r="G90">
        <v>72</v>
      </c>
      <c r="H90" t="s">
        <v>1637</v>
      </c>
      <c r="I90" t="s">
        <v>1150</v>
      </c>
      <c r="J90" t="s">
        <v>1034</v>
      </c>
      <c r="K90" t="s">
        <v>1151</v>
      </c>
      <c r="L90" t="b">
        <f>Data_Completeness(MileageData[[#This Row],[MPG]:[Acceleration]])</f>
        <v>1</v>
      </c>
    </row>
    <row r="91" spans="1:12" x14ac:dyDescent="0.25">
      <c r="A91">
        <v>23</v>
      </c>
      <c r="B91">
        <v>4</v>
      </c>
      <c r="C91">
        <v>120</v>
      </c>
      <c r="D91">
        <v>97</v>
      </c>
      <c r="E91">
        <v>2506</v>
      </c>
      <c r="F91">
        <v>14.5</v>
      </c>
      <c r="G91">
        <v>72</v>
      </c>
      <c r="H91" t="s">
        <v>1637</v>
      </c>
      <c r="I91" t="s">
        <v>1152</v>
      </c>
      <c r="J91" t="s">
        <v>1153</v>
      </c>
      <c r="K91" t="s">
        <v>1154</v>
      </c>
      <c r="L91" t="b">
        <f>Data_Completeness(MileageData[[#This Row],[MPG]:[Acceleration]])</f>
        <v>1</v>
      </c>
    </row>
    <row r="92" spans="1:12" x14ac:dyDescent="0.25">
      <c r="A92">
        <v>28</v>
      </c>
      <c r="B92">
        <v>4</v>
      </c>
      <c r="C92">
        <v>98</v>
      </c>
      <c r="D92">
        <v>80</v>
      </c>
      <c r="E92">
        <v>2164</v>
      </c>
      <c r="F92">
        <v>15</v>
      </c>
      <c r="G92">
        <v>72</v>
      </c>
      <c r="H92" t="s">
        <v>1635</v>
      </c>
      <c r="I92" t="s">
        <v>1155</v>
      </c>
      <c r="J92" t="s">
        <v>1015</v>
      </c>
      <c r="K92" t="s">
        <v>1156</v>
      </c>
      <c r="L92" t="b">
        <f>Data_Completeness(MileageData[[#This Row],[MPG]:[Acceleration]])</f>
        <v>1</v>
      </c>
    </row>
    <row r="93" spans="1:12" x14ac:dyDescent="0.25">
      <c r="A93">
        <v>27</v>
      </c>
      <c r="B93">
        <v>4</v>
      </c>
      <c r="C93">
        <v>97</v>
      </c>
      <c r="D93">
        <v>88</v>
      </c>
      <c r="E93">
        <v>2100</v>
      </c>
      <c r="F93">
        <v>16.5</v>
      </c>
      <c r="G93">
        <v>72</v>
      </c>
      <c r="H93" t="s">
        <v>1637</v>
      </c>
      <c r="I93" t="s">
        <v>1157</v>
      </c>
      <c r="J93" t="s">
        <v>1025</v>
      </c>
      <c r="K93" t="s">
        <v>1158</v>
      </c>
      <c r="L93" t="b">
        <f>Data_Completeness(MileageData[[#This Row],[MPG]:[Acceleration]])</f>
        <v>1</v>
      </c>
    </row>
    <row r="94" spans="1:12" x14ac:dyDescent="0.25">
      <c r="A94">
        <v>13</v>
      </c>
      <c r="B94">
        <v>8</v>
      </c>
      <c r="C94">
        <v>350</v>
      </c>
      <c r="D94">
        <v>175</v>
      </c>
      <c r="E94">
        <v>4100</v>
      </c>
      <c r="F94">
        <v>13</v>
      </c>
      <c r="G94">
        <v>73</v>
      </c>
      <c r="H94" t="s">
        <v>1635</v>
      </c>
      <c r="I94" t="s">
        <v>1159</v>
      </c>
      <c r="J94" t="s">
        <v>981</v>
      </c>
      <c r="K94" t="s">
        <v>1160</v>
      </c>
      <c r="L94" t="b">
        <f>Data_Completeness(MileageData[[#This Row],[MPG]:[Acceleration]])</f>
        <v>1</v>
      </c>
    </row>
    <row r="95" spans="1:12" x14ac:dyDescent="0.25">
      <c r="A95">
        <v>14</v>
      </c>
      <c r="B95">
        <v>8</v>
      </c>
      <c r="C95">
        <v>304</v>
      </c>
      <c r="D95">
        <v>150</v>
      </c>
      <c r="E95">
        <v>3672</v>
      </c>
      <c r="F95">
        <v>11.5</v>
      </c>
      <c r="G95">
        <v>73</v>
      </c>
      <c r="H95" t="s">
        <v>1635</v>
      </c>
      <c r="I95" t="s">
        <v>1073</v>
      </c>
      <c r="J95" t="s">
        <v>987</v>
      </c>
      <c r="K95" t="s">
        <v>1074</v>
      </c>
      <c r="L95" t="b">
        <f>Data_Completeness(MileageData[[#This Row],[MPG]:[Acceleration]])</f>
        <v>1</v>
      </c>
    </row>
    <row r="96" spans="1:12" x14ac:dyDescent="0.25">
      <c r="A96">
        <v>13</v>
      </c>
      <c r="B96">
        <v>8</v>
      </c>
      <c r="C96">
        <v>350</v>
      </c>
      <c r="D96">
        <v>145</v>
      </c>
      <c r="E96">
        <v>3988</v>
      </c>
      <c r="F96">
        <v>13</v>
      </c>
      <c r="G96">
        <v>73</v>
      </c>
      <c r="H96" t="s">
        <v>1635</v>
      </c>
      <c r="I96" t="s">
        <v>1161</v>
      </c>
      <c r="J96" t="s">
        <v>978</v>
      </c>
      <c r="K96" t="s">
        <v>1162</v>
      </c>
      <c r="L96" t="b">
        <f>Data_Completeness(MileageData[[#This Row],[MPG]:[Acceleration]])</f>
        <v>1</v>
      </c>
    </row>
    <row r="97" spans="1:12" x14ac:dyDescent="0.25">
      <c r="A97">
        <v>14</v>
      </c>
      <c r="B97">
        <v>8</v>
      </c>
      <c r="C97">
        <v>302</v>
      </c>
      <c r="D97">
        <v>137</v>
      </c>
      <c r="E97">
        <v>4042</v>
      </c>
      <c r="F97">
        <v>14.5</v>
      </c>
      <c r="G97">
        <v>73</v>
      </c>
      <c r="H97" t="s">
        <v>1635</v>
      </c>
      <c r="I97" t="s">
        <v>1163</v>
      </c>
      <c r="J97" t="s">
        <v>990</v>
      </c>
      <c r="K97" t="s">
        <v>1164</v>
      </c>
      <c r="L97" t="b">
        <f>Data_Completeness(MileageData[[#This Row],[MPG]:[Acceleration]])</f>
        <v>1</v>
      </c>
    </row>
    <row r="98" spans="1:12" x14ac:dyDescent="0.25">
      <c r="A98">
        <v>15</v>
      </c>
      <c r="B98">
        <v>8</v>
      </c>
      <c r="C98">
        <v>318</v>
      </c>
      <c r="D98">
        <v>150</v>
      </c>
      <c r="E98">
        <v>3777</v>
      </c>
      <c r="F98">
        <v>12.5</v>
      </c>
      <c r="G98">
        <v>73</v>
      </c>
      <c r="H98" t="s">
        <v>1635</v>
      </c>
      <c r="I98" t="s">
        <v>1165</v>
      </c>
      <c r="J98" t="s">
        <v>1015</v>
      </c>
      <c r="K98" t="s">
        <v>1166</v>
      </c>
      <c r="L98" t="b">
        <f>Data_Completeness(MileageData[[#This Row],[MPG]:[Acceleration]])</f>
        <v>1</v>
      </c>
    </row>
    <row r="99" spans="1:12" x14ac:dyDescent="0.25">
      <c r="A99">
        <v>12</v>
      </c>
      <c r="B99">
        <v>8</v>
      </c>
      <c r="C99">
        <v>429</v>
      </c>
      <c r="D99">
        <v>198</v>
      </c>
      <c r="E99">
        <v>4952</v>
      </c>
      <c r="F99">
        <v>11.5</v>
      </c>
      <c r="G99">
        <v>73</v>
      </c>
      <c r="H99" t="s">
        <v>1635</v>
      </c>
      <c r="I99" t="s">
        <v>1167</v>
      </c>
      <c r="J99" t="s">
        <v>1092</v>
      </c>
      <c r="K99" t="s">
        <v>1168</v>
      </c>
      <c r="L99" t="b">
        <f>Data_Completeness(MileageData[[#This Row],[MPG]:[Acceleration]])</f>
        <v>1</v>
      </c>
    </row>
    <row r="100" spans="1:12" x14ac:dyDescent="0.25">
      <c r="A100">
        <v>13</v>
      </c>
      <c r="B100">
        <v>8</v>
      </c>
      <c r="C100">
        <v>400</v>
      </c>
      <c r="D100">
        <v>150</v>
      </c>
      <c r="E100">
        <v>4464</v>
      </c>
      <c r="F100">
        <v>12</v>
      </c>
      <c r="G100">
        <v>73</v>
      </c>
      <c r="H100" t="s">
        <v>1635</v>
      </c>
      <c r="I100" t="s">
        <v>1169</v>
      </c>
      <c r="J100" t="s">
        <v>978</v>
      </c>
      <c r="K100" t="s">
        <v>1170</v>
      </c>
      <c r="L100" t="b">
        <f>Data_Completeness(MileageData[[#This Row],[MPG]:[Acceleration]])</f>
        <v>1</v>
      </c>
    </row>
    <row r="101" spans="1:12" x14ac:dyDescent="0.25">
      <c r="A101">
        <v>13</v>
      </c>
      <c r="B101">
        <v>8</v>
      </c>
      <c r="C101">
        <v>351</v>
      </c>
      <c r="D101">
        <v>158</v>
      </c>
      <c r="E101">
        <v>4363</v>
      </c>
      <c r="F101">
        <v>13</v>
      </c>
      <c r="G101">
        <v>73</v>
      </c>
      <c r="H101" t="s">
        <v>1635</v>
      </c>
      <c r="I101" t="s">
        <v>1171</v>
      </c>
      <c r="J101" t="s">
        <v>990</v>
      </c>
      <c r="K101" t="s">
        <v>1172</v>
      </c>
      <c r="L101" t="b">
        <f>Data_Completeness(MileageData[[#This Row],[MPG]:[Acceleration]])</f>
        <v>1</v>
      </c>
    </row>
    <row r="102" spans="1:12" x14ac:dyDescent="0.25">
      <c r="A102">
        <v>14</v>
      </c>
      <c r="B102">
        <v>8</v>
      </c>
      <c r="C102">
        <v>318</v>
      </c>
      <c r="D102">
        <v>150</v>
      </c>
      <c r="E102">
        <v>4237</v>
      </c>
      <c r="F102">
        <v>14.5</v>
      </c>
      <c r="G102">
        <v>73</v>
      </c>
      <c r="H102" t="s">
        <v>1635</v>
      </c>
      <c r="I102" t="s">
        <v>1173</v>
      </c>
      <c r="J102" t="s">
        <v>984</v>
      </c>
      <c r="K102" t="s">
        <v>1174</v>
      </c>
      <c r="L102" t="b">
        <f>Data_Completeness(MileageData[[#This Row],[MPG]:[Acceleration]])</f>
        <v>1</v>
      </c>
    </row>
    <row r="103" spans="1:12" x14ac:dyDescent="0.25">
      <c r="A103">
        <v>13</v>
      </c>
      <c r="B103">
        <v>8</v>
      </c>
      <c r="C103">
        <v>440</v>
      </c>
      <c r="D103">
        <v>215</v>
      </c>
      <c r="E103">
        <v>4735</v>
      </c>
      <c r="F103">
        <v>11</v>
      </c>
      <c r="G103">
        <v>73</v>
      </c>
      <c r="H103" t="s">
        <v>1635</v>
      </c>
      <c r="I103" t="s">
        <v>1175</v>
      </c>
      <c r="J103" t="s">
        <v>1127</v>
      </c>
      <c r="K103" t="s">
        <v>1176</v>
      </c>
      <c r="L103" t="b">
        <f>Data_Completeness(MileageData[[#This Row],[MPG]:[Acceleration]])</f>
        <v>1</v>
      </c>
    </row>
    <row r="104" spans="1:12" x14ac:dyDescent="0.25">
      <c r="A104">
        <v>12</v>
      </c>
      <c r="B104">
        <v>8</v>
      </c>
      <c r="C104">
        <v>455</v>
      </c>
      <c r="D104">
        <v>225</v>
      </c>
      <c r="E104">
        <v>4951</v>
      </c>
      <c r="F104">
        <v>11</v>
      </c>
      <c r="G104">
        <v>73</v>
      </c>
      <c r="H104" t="s">
        <v>1635</v>
      </c>
      <c r="I104" t="s">
        <v>1177</v>
      </c>
      <c r="J104" t="s">
        <v>981</v>
      </c>
      <c r="K104" t="s">
        <v>1178</v>
      </c>
      <c r="L104" t="b">
        <f>Data_Completeness(MileageData[[#This Row],[MPG]:[Acceleration]])</f>
        <v>1</v>
      </c>
    </row>
    <row r="105" spans="1:12" x14ac:dyDescent="0.25">
      <c r="A105">
        <v>13</v>
      </c>
      <c r="B105">
        <v>8</v>
      </c>
      <c r="C105">
        <v>360</v>
      </c>
      <c r="D105">
        <v>175</v>
      </c>
      <c r="E105">
        <v>3821</v>
      </c>
      <c r="F105">
        <v>11</v>
      </c>
      <c r="G105">
        <v>73</v>
      </c>
      <c r="H105" t="s">
        <v>1635</v>
      </c>
      <c r="I105" t="s">
        <v>1179</v>
      </c>
      <c r="J105" t="s">
        <v>987</v>
      </c>
      <c r="K105" t="s">
        <v>1180</v>
      </c>
      <c r="L105" t="b">
        <f>Data_Completeness(MileageData[[#This Row],[MPG]:[Acceleration]])</f>
        <v>1</v>
      </c>
    </row>
    <row r="106" spans="1:12" x14ac:dyDescent="0.25">
      <c r="A106">
        <v>18</v>
      </c>
      <c r="B106">
        <v>6</v>
      </c>
      <c r="C106">
        <v>225</v>
      </c>
      <c r="D106">
        <v>105</v>
      </c>
      <c r="E106">
        <v>3121</v>
      </c>
      <c r="F106">
        <v>16.5</v>
      </c>
      <c r="G106">
        <v>73</v>
      </c>
      <c r="H106" t="s">
        <v>1635</v>
      </c>
      <c r="I106" t="s">
        <v>1181</v>
      </c>
      <c r="J106" t="s">
        <v>984</v>
      </c>
      <c r="K106" t="s">
        <v>1182</v>
      </c>
      <c r="L106" t="b">
        <f>Data_Completeness(MileageData[[#This Row],[MPG]:[Acceleration]])</f>
        <v>1</v>
      </c>
    </row>
    <row r="107" spans="1:12" x14ac:dyDescent="0.25">
      <c r="A107">
        <v>16</v>
      </c>
      <c r="B107">
        <v>6</v>
      </c>
      <c r="C107">
        <v>250</v>
      </c>
      <c r="D107">
        <v>100</v>
      </c>
      <c r="E107">
        <v>3278</v>
      </c>
      <c r="F107">
        <v>18</v>
      </c>
      <c r="G107">
        <v>73</v>
      </c>
      <c r="H107" t="s">
        <v>1635</v>
      </c>
      <c r="I107" t="s">
        <v>1183</v>
      </c>
      <c r="J107" t="s">
        <v>978</v>
      </c>
      <c r="K107" t="s">
        <v>1184</v>
      </c>
      <c r="L107" t="b">
        <f>Data_Completeness(MileageData[[#This Row],[MPG]:[Acceleration]])</f>
        <v>1</v>
      </c>
    </row>
    <row r="108" spans="1:12" x14ac:dyDescent="0.25">
      <c r="A108">
        <v>18</v>
      </c>
      <c r="B108">
        <v>6</v>
      </c>
      <c r="C108">
        <v>232</v>
      </c>
      <c r="D108">
        <v>100</v>
      </c>
      <c r="E108">
        <v>2945</v>
      </c>
      <c r="F108">
        <v>16</v>
      </c>
      <c r="G108">
        <v>73</v>
      </c>
      <c r="H108" t="s">
        <v>1635</v>
      </c>
      <c r="I108" t="s">
        <v>1029</v>
      </c>
      <c r="J108" t="s">
        <v>987</v>
      </c>
      <c r="K108" t="s">
        <v>1030</v>
      </c>
      <c r="L108" t="b">
        <f>Data_Completeness(MileageData[[#This Row],[MPG]:[Acceleration]])</f>
        <v>1</v>
      </c>
    </row>
    <row r="109" spans="1:12" x14ac:dyDescent="0.25">
      <c r="A109">
        <v>18</v>
      </c>
      <c r="B109">
        <v>6</v>
      </c>
      <c r="C109">
        <v>250</v>
      </c>
      <c r="D109">
        <v>88</v>
      </c>
      <c r="E109">
        <v>3021</v>
      </c>
      <c r="F109">
        <v>16.5</v>
      </c>
      <c r="G109">
        <v>73</v>
      </c>
      <c r="H109" t="s">
        <v>1635</v>
      </c>
      <c r="I109" t="s">
        <v>1031</v>
      </c>
      <c r="J109" t="s">
        <v>990</v>
      </c>
      <c r="K109" t="s">
        <v>1032</v>
      </c>
      <c r="L109" t="b">
        <f>Data_Completeness(MileageData[[#This Row],[MPG]:[Acceleration]])</f>
        <v>1</v>
      </c>
    </row>
    <row r="110" spans="1:12" x14ac:dyDescent="0.25">
      <c r="A110">
        <v>23</v>
      </c>
      <c r="B110">
        <v>6</v>
      </c>
      <c r="C110">
        <v>198</v>
      </c>
      <c r="D110">
        <v>95</v>
      </c>
      <c r="E110">
        <v>2904</v>
      </c>
      <c r="F110">
        <v>16</v>
      </c>
      <c r="G110">
        <v>73</v>
      </c>
      <c r="H110" t="s">
        <v>1635</v>
      </c>
      <c r="I110" t="s">
        <v>1027</v>
      </c>
      <c r="J110" t="s">
        <v>984</v>
      </c>
      <c r="K110" t="s">
        <v>1028</v>
      </c>
      <c r="L110" t="b">
        <f>Data_Completeness(MileageData[[#This Row],[MPG]:[Acceleration]])</f>
        <v>1</v>
      </c>
    </row>
    <row r="111" spans="1:12" x14ac:dyDescent="0.25">
      <c r="A111">
        <v>26</v>
      </c>
      <c r="B111">
        <v>4</v>
      </c>
      <c r="C111">
        <v>97</v>
      </c>
      <c r="D111">
        <v>46</v>
      </c>
      <c r="E111">
        <v>1950</v>
      </c>
      <c r="F111">
        <v>21</v>
      </c>
      <c r="G111">
        <v>73</v>
      </c>
      <c r="H111" t="s">
        <v>1636</v>
      </c>
      <c r="I111" t="s">
        <v>1185</v>
      </c>
      <c r="J111" t="s">
        <v>1037</v>
      </c>
      <c r="K111" t="s">
        <v>1186</v>
      </c>
      <c r="L111" t="b">
        <f>Data_Completeness(MileageData[[#This Row],[MPG]:[Acceleration]])</f>
        <v>1</v>
      </c>
    </row>
    <row r="112" spans="1:12" x14ac:dyDescent="0.25">
      <c r="A112">
        <v>11</v>
      </c>
      <c r="B112">
        <v>8</v>
      </c>
      <c r="C112">
        <v>400</v>
      </c>
      <c r="D112">
        <v>150</v>
      </c>
      <c r="E112">
        <v>4997</v>
      </c>
      <c r="F112">
        <v>14</v>
      </c>
      <c r="G112">
        <v>73</v>
      </c>
      <c r="H112" t="s">
        <v>1635</v>
      </c>
      <c r="I112" t="s">
        <v>994</v>
      </c>
      <c r="J112" t="s">
        <v>978</v>
      </c>
      <c r="K112" t="s">
        <v>995</v>
      </c>
      <c r="L112" t="b">
        <f>Data_Completeness(MileageData[[#This Row],[MPG]:[Acceleration]])</f>
        <v>1</v>
      </c>
    </row>
    <row r="113" spans="1:12" x14ac:dyDescent="0.25">
      <c r="A113">
        <v>12</v>
      </c>
      <c r="B113">
        <v>8</v>
      </c>
      <c r="C113">
        <v>400</v>
      </c>
      <c r="D113">
        <v>167</v>
      </c>
      <c r="E113">
        <v>4906</v>
      </c>
      <c r="F113">
        <v>12.5</v>
      </c>
      <c r="G113">
        <v>73</v>
      </c>
      <c r="H113" t="s">
        <v>1635</v>
      </c>
      <c r="I113" t="s">
        <v>1187</v>
      </c>
      <c r="J113" t="s">
        <v>990</v>
      </c>
      <c r="K113" t="s">
        <v>1188</v>
      </c>
      <c r="L113" t="b">
        <f>Data_Completeness(MileageData[[#This Row],[MPG]:[Acceleration]])</f>
        <v>1</v>
      </c>
    </row>
    <row r="114" spans="1:12" x14ac:dyDescent="0.25">
      <c r="A114">
        <v>13</v>
      </c>
      <c r="B114">
        <v>8</v>
      </c>
      <c r="C114">
        <v>360</v>
      </c>
      <c r="D114">
        <v>170</v>
      </c>
      <c r="E114">
        <v>4654</v>
      </c>
      <c r="F114">
        <v>13</v>
      </c>
      <c r="G114">
        <v>73</v>
      </c>
      <c r="H114" t="s">
        <v>1635</v>
      </c>
      <c r="I114" t="s">
        <v>1189</v>
      </c>
      <c r="J114" t="s">
        <v>984</v>
      </c>
      <c r="K114" t="s">
        <v>1190</v>
      </c>
      <c r="L114" t="b">
        <f>Data_Completeness(MileageData[[#This Row],[MPG]:[Acceleration]])</f>
        <v>1</v>
      </c>
    </row>
    <row r="115" spans="1:12" x14ac:dyDescent="0.25">
      <c r="A115">
        <v>12</v>
      </c>
      <c r="B115">
        <v>8</v>
      </c>
      <c r="C115">
        <v>350</v>
      </c>
      <c r="D115">
        <v>180</v>
      </c>
      <c r="E115">
        <v>4499</v>
      </c>
      <c r="F115">
        <v>12.5</v>
      </c>
      <c r="G115">
        <v>73</v>
      </c>
      <c r="H115" t="s">
        <v>1635</v>
      </c>
      <c r="I115" t="s">
        <v>1191</v>
      </c>
      <c r="J115" t="s">
        <v>1124</v>
      </c>
      <c r="K115" t="s">
        <v>1192</v>
      </c>
      <c r="L115" t="b">
        <f>Data_Completeness(MileageData[[#This Row],[MPG]:[Acceleration]])</f>
        <v>1</v>
      </c>
    </row>
    <row r="116" spans="1:12" x14ac:dyDescent="0.25">
      <c r="A116">
        <v>18</v>
      </c>
      <c r="B116">
        <v>6</v>
      </c>
      <c r="C116">
        <v>232</v>
      </c>
      <c r="D116">
        <v>100</v>
      </c>
      <c r="E116">
        <v>2789</v>
      </c>
      <c r="F116">
        <v>15</v>
      </c>
      <c r="G116">
        <v>73</v>
      </c>
      <c r="H116" t="s">
        <v>1635</v>
      </c>
      <c r="I116" t="s">
        <v>1049</v>
      </c>
      <c r="J116" t="s">
        <v>987</v>
      </c>
      <c r="K116" t="s">
        <v>1050</v>
      </c>
      <c r="L116" t="b">
        <f>Data_Completeness(MileageData[[#This Row],[MPG]:[Acceleration]])</f>
        <v>1</v>
      </c>
    </row>
    <row r="117" spans="1:12" x14ac:dyDescent="0.25">
      <c r="A117">
        <v>20</v>
      </c>
      <c r="B117">
        <v>4</v>
      </c>
      <c r="C117">
        <v>97</v>
      </c>
      <c r="D117">
        <v>88</v>
      </c>
      <c r="E117">
        <v>2279</v>
      </c>
      <c r="F117">
        <v>19</v>
      </c>
      <c r="G117">
        <v>73</v>
      </c>
      <c r="H117" t="s">
        <v>1637</v>
      </c>
      <c r="I117" t="s">
        <v>1193</v>
      </c>
      <c r="J117" t="s">
        <v>1025</v>
      </c>
      <c r="K117" t="s">
        <v>1194</v>
      </c>
      <c r="L117" t="b">
        <f>Data_Completeness(MileageData[[#This Row],[MPG]:[Acceleration]])</f>
        <v>1</v>
      </c>
    </row>
    <row r="118" spans="1:12" x14ac:dyDescent="0.25">
      <c r="A118">
        <v>21</v>
      </c>
      <c r="B118">
        <v>4</v>
      </c>
      <c r="C118">
        <v>140</v>
      </c>
      <c r="D118">
        <v>72</v>
      </c>
      <c r="E118">
        <v>2401</v>
      </c>
      <c r="F118">
        <v>19.5</v>
      </c>
      <c r="G118">
        <v>73</v>
      </c>
      <c r="H118" t="s">
        <v>1635</v>
      </c>
      <c r="I118" t="s">
        <v>1113</v>
      </c>
      <c r="J118" t="s">
        <v>978</v>
      </c>
      <c r="K118" t="s">
        <v>1114</v>
      </c>
      <c r="L118" t="b">
        <f>Data_Completeness(MileageData[[#This Row],[MPG]:[Acceleration]])</f>
        <v>1</v>
      </c>
    </row>
    <row r="119" spans="1:12" x14ac:dyDescent="0.25">
      <c r="A119">
        <v>22</v>
      </c>
      <c r="B119">
        <v>4</v>
      </c>
      <c r="C119">
        <v>108</v>
      </c>
      <c r="D119">
        <v>94</v>
      </c>
      <c r="E119">
        <v>2379</v>
      </c>
      <c r="F119">
        <v>16.5</v>
      </c>
      <c r="G119">
        <v>73</v>
      </c>
      <c r="H119" t="s">
        <v>1637</v>
      </c>
      <c r="I119" t="s">
        <v>1195</v>
      </c>
      <c r="J119" t="s">
        <v>1034</v>
      </c>
      <c r="K119">
        <v>610</v>
      </c>
      <c r="L119" t="b">
        <f>Data_Completeness(MileageData[[#This Row],[MPG]:[Acceleration]])</f>
        <v>1</v>
      </c>
    </row>
    <row r="120" spans="1:12" x14ac:dyDescent="0.25">
      <c r="A120">
        <v>18</v>
      </c>
      <c r="B120">
        <v>3</v>
      </c>
      <c r="C120">
        <v>70</v>
      </c>
      <c r="D120">
        <v>90</v>
      </c>
      <c r="E120">
        <v>2124</v>
      </c>
      <c r="F120">
        <v>13.5</v>
      </c>
      <c r="G120">
        <v>73</v>
      </c>
      <c r="H120" t="s">
        <v>1637</v>
      </c>
      <c r="I120" t="s">
        <v>1196</v>
      </c>
      <c r="J120" t="s">
        <v>1197</v>
      </c>
      <c r="K120" t="s">
        <v>1198</v>
      </c>
      <c r="L120" t="b">
        <f>Data_Completeness(MileageData[[#This Row],[MPG]:[Acceleration]])</f>
        <v>1</v>
      </c>
    </row>
    <row r="121" spans="1:12" x14ac:dyDescent="0.25">
      <c r="A121">
        <v>19</v>
      </c>
      <c r="B121">
        <v>4</v>
      </c>
      <c r="C121">
        <v>122</v>
      </c>
      <c r="D121">
        <v>85</v>
      </c>
      <c r="E121">
        <v>2310</v>
      </c>
      <c r="F121">
        <v>18.5</v>
      </c>
      <c r="G121">
        <v>73</v>
      </c>
      <c r="H121" t="s">
        <v>1635</v>
      </c>
      <c r="I121" t="s">
        <v>1065</v>
      </c>
      <c r="J121" t="s">
        <v>990</v>
      </c>
      <c r="K121" t="s">
        <v>1066</v>
      </c>
      <c r="L121" t="b">
        <f>Data_Completeness(MileageData[[#This Row],[MPG]:[Acceleration]])</f>
        <v>1</v>
      </c>
    </row>
    <row r="122" spans="1:12" x14ac:dyDescent="0.25">
      <c r="A122">
        <v>21</v>
      </c>
      <c r="B122">
        <v>6</v>
      </c>
      <c r="C122">
        <v>155</v>
      </c>
      <c r="D122">
        <v>107</v>
      </c>
      <c r="E122">
        <v>2472</v>
      </c>
      <c r="F122">
        <v>14</v>
      </c>
      <c r="G122">
        <v>73</v>
      </c>
      <c r="H122" t="s">
        <v>1635</v>
      </c>
      <c r="I122" t="s">
        <v>1199</v>
      </c>
      <c r="J122" t="s">
        <v>1092</v>
      </c>
      <c r="K122" t="s">
        <v>1200</v>
      </c>
      <c r="L122" t="b">
        <f>Data_Completeness(MileageData[[#This Row],[MPG]:[Acceleration]])</f>
        <v>1</v>
      </c>
    </row>
    <row r="123" spans="1:12" x14ac:dyDescent="0.25">
      <c r="A123">
        <v>26</v>
      </c>
      <c r="B123">
        <v>4</v>
      </c>
      <c r="C123">
        <v>98</v>
      </c>
      <c r="D123">
        <v>90</v>
      </c>
      <c r="E123">
        <v>2265</v>
      </c>
      <c r="F123">
        <v>15.5</v>
      </c>
      <c r="G123">
        <v>73</v>
      </c>
      <c r="H123" t="s">
        <v>1636</v>
      </c>
      <c r="I123" t="s">
        <v>1201</v>
      </c>
      <c r="J123" t="s">
        <v>1098</v>
      </c>
      <c r="K123" t="s">
        <v>1202</v>
      </c>
      <c r="L123" t="b">
        <f>Data_Completeness(MileageData[[#This Row],[MPG]:[Acceleration]])</f>
        <v>1</v>
      </c>
    </row>
    <row r="124" spans="1:12" x14ac:dyDescent="0.25">
      <c r="A124">
        <v>15</v>
      </c>
      <c r="B124">
        <v>8</v>
      </c>
      <c r="C124">
        <v>350</v>
      </c>
      <c r="D124">
        <v>145</v>
      </c>
      <c r="E124">
        <v>4082</v>
      </c>
      <c r="F124">
        <v>13</v>
      </c>
      <c r="G124">
        <v>73</v>
      </c>
      <c r="H124" t="s">
        <v>1635</v>
      </c>
      <c r="I124" t="s">
        <v>1203</v>
      </c>
      <c r="J124" t="s">
        <v>978</v>
      </c>
      <c r="K124" t="s">
        <v>1204</v>
      </c>
      <c r="L124" t="b">
        <f>Data_Completeness(MileageData[[#This Row],[MPG]:[Acceleration]])</f>
        <v>1</v>
      </c>
    </row>
    <row r="125" spans="1:12" x14ac:dyDescent="0.25">
      <c r="A125">
        <v>16</v>
      </c>
      <c r="B125">
        <v>8</v>
      </c>
      <c r="C125">
        <v>400</v>
      </c>
      <c r="D125">
        <v>230</v>
      </c>
      <c r="E125">
        <v>4278</v>
      </c>
      <c r="F125">
        <v>9.5</v>
      </c>
      <c r="G125">
        <v>73</v>
      </c>
      <c r="H125" t="s">
        <v>1635</v>
      </c>
      <c r="I125" t="s">
        <v>1205</v>
      </c>
      <c r="J125" t="s">
        <v>999</v>
      </c>
      <c r="K125" t="s">
        <v>1206</v>
      </c>
      <c r="L125" t="b">
        <f>Data_Completeness(MileageData[[#This Row],[MPG]:[Acceleration]])</f>
        <v>1</v>
      </c>
    </row>
    <row r="126" spans="1:12" x14ac:dyDescent="0.25">
      <c r="A126">
        <v>29</v>
      </c>
      <c r="B126">
        <v>4</v>
      </c>
      <c r="C126">
        <v>68</v>
      </c>
      <c r="D126">
        <v>49</v>
      </c>
      <c r="E126">
        <v>1867</v>
      </c>
      <c r="F126">
        <v>19.5</v>
      </c>
      <c r="G126">
        <v>73</v>
      </c>
      <c r="H126" t="s">
        <v>1636</v>
      </c>
      <c r="I126" t="s">
        <v>1207</v>
      </c>
      <c r="J126" t="s">
        <v>1098</v>
      </c>
      <c r="K126">
        <v>128</v>
      </c>
      <c r="L126" t="b">
        <f>Data_Completeness(MileageData[[#This Row],[MPG]:[Acceleration]])</f>
        <v>1</v>
      </c>
    </row>
    <row r="127" spans="1:12" x14ac:dyDescent="0.25">
      <c r="A127">
        <v>24</v>
      </c>
      <c r="B127">
        <v>4</v>
      </c>
      <c r="C127">
        <v>116</v>
      </c>
      <c r="D127">
        <v>75</v>
      </c>
      <c r="E127">
        <v>2158</v>
      </c>
      <c r="F127">
        <v>15.5</v>
      </c>
      <c r="G127">
        <v>73</v>
      </c>
      <c r="H127" t="s">
        <v>1636</v>
      </c>
      <c r="I127" t="s">
        <v>1208</v>
      </c>
      <c r="J127" t="s">
        <v>1095</v>
      </c>
      <c r="K127" t="s">
        <v>1209</v>
      </c>
      <c r="L127" t="b">
        <f>Data_Completeness(MileageData[[#This Row],[MPG]:[Acceleration]])</f>
        <v>1</v>
      </c>
    </row>
    <row r="128" spans="1:12" x14ac:dyDescent="0.25">
      <c r="A128">
        <v>20</v>
      </c>
      <c r="B128">
        <v>4</v>
      </c>
      <c r="C128">
        <v>114</v>
      </c>
      <c r="D128">
        <v>91</v>
      </c>
      <c r="E128">
        <v>2582</v>
      </c>
      <c r="F128">
        <v>14</v>
      </c>
      <c r="G128">
        <v>73</v>
      </c>
      <c r="H128" t="s">
        <v>1636</v>
      </c>
      <c r="I128" t="s">
        <v>1210</v>
      </c>
      <c r="J128" t="s">
        <v>1042</v>
      </c>
      <c r="K128" t="s">
        <v>1211</v>
      </c>
      <c r="L128" t="b">
        <f>Data_Completeness(MileageData[[#This Row],[MPG]:[Acceleration]])</f>
        <v>1</v>
      </c>
    </row>
    <row r="129" spans="1:12" x14ac:dyDescent="0.25">
      <c r="A129">
        <v>19</v>
      </c>
      <c r="B129">
        <v>4</v>
      </c>
      <c r="C129">
        <v>121</v>
      </c>
      <c r="D129">
        <v>112</v>
      </c>
      <c r="E129">
        <v>2868</v>
      </c>
      <c r="F129">
        <v>15.5</v>
      </c>
      <c r="G129">
        <v>73</v>
      </c>
      <c r="H129" t="s">
        <v>1636</v>
      </c>
      <c r="I129" t="s">
        <v>1212</v>
      </c>
      <c r="J129" t="s">
        <v>1139</v>
      </c>
      <c r="K129" t="s">
        <v>1213</v>
      </c>
      <c r="L129" t="b">
        <f>Data_Completeness(MileageData[[#This Row],[MPG]:[Acceleration]])</f>
        <v>1</v>
      </c>
    </row>
    <row r="130" spans="1:12" x14ac:dyDescent="0.25">
      <c r="A130">
        <v>15</v>
      </c>
      <c r="B130">
        <v>8</v>
      </c>
      <c r="C130">
        <v>318</v>
      </c>
      <c r="D130">
        <v>150</v>
      </c>
      <c r="E130">
        <v>3399</v>
      </c>
      <c r="F130">
        <v>11</v>
      </c>
      <c r="G130">
        <v>73</v>
      </c>
      <c r="H130" t="s">
        <v>1635</v>
      </c>
      <c r="I130" t="s">
        <v>1214</v>
      </c>
      <c r="J130" t="s">
        <v>1015</v>
      </c>
      <c r="K130" t="s">
        <v>1215</v>
      </c>
      <c r="L130" t="b">
        <f>Data_Completeness(MileageData[[#This Row],[MPG]:[Acceleration]])</f>
        <v>1</v>
      </c>
    </row>
    <row r="131" spans="1:12" x14ac:dyDescent="0.25">
      <c r="A131">
        <v>24</v>
      </c>
      <c r="B131">
        <v>4</v>
      </c>
      <c r="C131">
        <v>121</v>
      </c>
      <c r="D131">
        <v>110</v>
      </c>
      <c r="E131">
        <v>2660</v>
      </c>
      <c r="F131">
        <v>14</v>
      </c>
      <c r="G131">
        <v>73</v>
      </c>
      <c r="H131" t="s">
        <v>1636</v>
      </c>
      <c r="I131" t="s">
        <v>1216</v>
      </c>
      <c r="J131" t="s">
        <v>1045</v>
      </c>
      <c r="K131" t="s">
        <v>1217</v>
      </c>
      <c r="L131" t="b">
        <f>Data_Completeness(MileageData[[#This Row],[MPG]:[Acceleration]])</f>
        <v>1</v>
      </c>
    </row>
    <row r="132" spans="1:12" x14ac:dyDescent="0.25">
      <c r="A132">
        <v>20</v>
      </c>
      <c r="B132">
        <v>6</v>
      </c>
      <c r="C132">
        <v>156</v>
      </c>
      <c r="D132">
        <v>122</v>
      </c>
      <c r="E132">
        <v>2807</v>
      </c>
      <c r="F132">
        <v>13.5</v>
      </c>
      <c r="G132">
        <v>73</v>
      </c>
      <c r="H132" t="s">
        <v>1637</v>
      </c>
      <c r="I132" t="s">
        <v>1218</v>
      </c>
      <c r="J132" t="s">
        <v>1025</v>
      </c>
      <c r="K132" t="s">
        <v>1219</v>
      </c>
      <c r="L132" t="b">
        <f>Data_Completeness(MileageData[[#This Row],[MPG]:[Acceleration]])</f>
        <v>1</v>
      </c>
    </row>
    <row r="133" spans="1:12" x14ac:dyDescent="0.25">
      <c r="A133">
        <v>11</v>
      </c>
      <c r="B133">
        <v>8</v>
      </c>
      <c r="C133">
        <v>350</v>
      </c>
      <c r="D133">
        <v>180</v>
      </c>
      <c r="E133">
        <v>3664</v>
      </c>
      <c r="F133">
        <v>11</v>
      </c>
      <c r="G133">
        <v>73</v>
      </c>
      <c r="H133" t="s">
        <v>1635</v>
      </c>
      <c r="I133" t="s">
        <v>1220</v>
      </c>
      <c r="J133" t="s">
        <v>1124</v>
      </c>
      <c r="K133" t="s">
        <v>1221</v>
      </c>
      <c r="L133" t="b">
        <f>Data_Completeness(MileageData[[#This Row],[MPG]:[Acceleration]])</f>
        <v>1</v>
      </c>
    </row>
    <row r="134" spans="1:12" x14ac:dyDescent="0.25">
      <c r="A134">
        <v>20</v>
      </c>
      <c r="B134">
        <v>6</v>
      </c>
      <c r="C134">
        <v>198</v>
      </c>
      <c r="D134">
        <v>95</v>
      </c>
      <c r="E134">
        <v>3102</v>
      </c>
      <c r="F134">
        <v>16.5</v>
      </c>
      <c r="G134">
        <v>74</v>
      </c>
      <c r="H134" t="s">
        <v>1635</v>
      </c>
      <c r="I134" t="s">
        <v>1027</v>
      </c>
      <c r="J134" t="s">
        <v>984</v>
      </c>
      <c r="K134" t="s">
        <v>1028</v>
      </c>
      <c r="L134" t="b">
        <f>Data_Completeness(MileageData[[#This Row],[MPG]:[Acceleration]])</f>
        <v>1</v>
      </c>
    </row>
    <row r="135" spans="1:12" x14ac:dyDescent="0.25">
      <c r="A135">
        <v>21</v>
      </c>
      <c r="B135">
        <v>6</v>
      </c>
      <c r="C135">
        <v>200</v>
      </c>
      <c r="E135">
        <v>2875</v>
      </c>
      <c r="F135">
        <v>17</v>
      </c>
      <c r="G135">
        <v>74</v>
      </c>
      <c r="H135" t="s">
        <v>1635</v>
      </c>
      <c r="I135" t="s">
        <v>1031</v>
      </c>
      <c r="J135" t="s">
        <v>990</v>
      </c>
      <c r="K135" t="s">
        <v>1032</v>
      </c>
      <c r="L135" t="b">
        <f>Data_Completeness(MileageData[[#This Row],[MPG]:[Acceleration]])</f>
        <v>0</v>
      </c>
    </row>
    <row r="136" spans="1:12" x14ac:dyDescent="0.25">
      <c r="A136">
        <v>19</v>
      </c>
      <c r="B136">
        <v>6</v>
      </c>
      <c r="C136">
        <v>232</v>
      </c>
      <c r="D136">
        <v>100</v>
      </c>
      <c r="E136">
        <v>2901</v>
      </c>
      <c r="F136">
        <v>16</v>
      </c>
      <c r="G136">
        <v>74</v>
      </c>
      <c r="H136" t="s">
        <v>1635</v>
      </c>
      <c r="I136" t="s">
        <v>1029</v>
      </c>
      <c r="J136" t="s">
        <v>987</v>
      </c>
      <c r="K136" t="s">
        <v>1030</v>
      </c>
      <c r="L136" t="b">
        <f>Data_Completeness(MileageData[[#This Row],[MPG]:[Acceleration]])</f>
        <v>1</v>
      </c>
    </row>
    <row r="137" spans="1:12" x14ac:dyDescent="0.25">
      <c r="A137">
        <v>15</v>
      </c>
      <c r="B137">
        <v>6</v>
      </c>
      <c r="C137">
        <v>250</v>
      </c>
      <c r="D137">
        <v>100</v>
      </c>
      <c r="E137">
        <v>3336</v>
      </c>
      <c r="F137">
        <v>17</v>
      </c>
      <c r="G137">
        <v>74</v>
      </c>
      <c r="H137" t="s">
        <v>1635</v>
      </c>
      <c r="I137" t="s">
        <v>1222</v>
      </c>
      <c r="J137" t="s">
        <v>978</v>
      </c>
      <c r="K137" t="s">
        <v>1223</v>
      </c>
      <c r="L137" t="b">
        <f>Data_Completeness(MileageData[[#This Row],[MPG]:[Acceleration]])</f>
        <v>1</v>
      </c>
    </row>
    <row r="138" spans="1:12" x14ac:dyDescent="0.25">
      <c r="A138">
        <v>31</v>
      </c>
      <c r="B138">
        <v>4</v>
      </c>
      <c r="C138">
        <v>79</v>
      </c>
      <c r="D138">
        <v>67</v>
      </c>
      <c r="E138">
        <v>1950</v>
      </c>
      <c r="F138">
        <v>19</v>
      </c>
      <c r="G138">
        <v>74</v>
      </c>
      <c r="H138" t="s">
        <v>1637</v>
      </c>
      <c r="I138" t="s">
        <v>1224</v>
      </c>
      <c r="J138" t="s">
        <v>1034</v>
      </c>
      <c r="K138" t="s">
        <v>1225</v>
      </c>
      <c r="L138" t="b">
        <f>Data_Completeness(MileageData[[#This Row],[MPG]:[Acceleration]])</f>
        <v>1</v>
      </c>
    </row>
    <row r="139" spans="1:12" x14ac:dyDescent="0.25">
      <c r="A139">
        <v>26</v>
      </c>
      <c r="B139">
        <v>4</v>
      </c>
      <c r="C139">
        <v>122</v>
      </c>
      <c r="D139">
        <v>80</v>
      </c>
      <c r="E139">
        <v>2451</v>
      </c>
      <c r="F139">
        <v>16.5</v>
      </c>
      <c r="G139">
        <v>74</v>
      </c>
      <c r="H139" t="s">
        <v>1635</v>
      </c>
      <c r="I139" t="s">
        <v>1065</v>
      </c>
      <c r="J139" t="s">
        <v>990</v>
      </c>
      <c r="K139" t="s">
        <v>1066</v>
      </c>
      <c r="L139" t="b">
        <f>Data_Completeness(MileageData[[#This Row],[MPG]:[Acceleration]])</f>
        <v>1</v>
      </c>
    </row>
    <row r="140" spans="1:12" x14ac:dyDescent="0.25">
      <c r="A140">
        <v>32</v>
      </c>
      <c r="B140">
        <v>4</v>
      </c>
      <c r="C140">
        <v>71</v>
      </c>
      <c r="D140">
        <v>65</v>
      </c>
      <c r="E140">
        <v>1836</v>
      </c>
      <c r="F140">
        <v>21</v>
      </c>
      <c r="G140">
        <v>74</v>
      </c>
      <c r="H140" t="s">
        <v>1637</v>
      </c>
      <c r="I140" t="s">
        <v>1100</v>
      </c>
      <c r="J140" t="s">
        <v>1025</v>
      </c>
      <c r="K140" t="s">
        <v>1101</v>
      </c>
      <c r="L140" t="b">
        <f>Data_Completeness(MileageData[[#This Row],[MPG]:[Acceleration]])</f>
        <v>1</v>
      </c>
    </row>
    <row r="141" spans="1:12" x14ac:dyDescent="0.25">
      <c r="A141">
        <v>25</v>
      </c>
      <c r="B141">
        <v>4</v>
      </c>
      <c r="C141">
        <v>140</v>
      </c>
      <c r="D141">
        <v>75</v>
      </c>
      <c r="E141">
        <v>2542</v>
      </c>
      <c r="F141">
        <v>17</v>
      </c>
      <c r="G141">
        <v>74</v>
      </c>
      <c r="H141" t="s">
        <v>1635</v>
      </c>
      <c r="I141" t="s">
        <v>1113</v>
      </c>
      <c r="J141" t="s">
        <v>978</v>
      </c>
      <c r="K141" t="s">
        <v>1114</v>
      </c>
      <c r="L141" t="b">
        <f>Data_Completeness(MileageData[[#This Row],[MPG]:[Acceleration]])</f>
        <v>1</v>
      </c>
    </row>
    <row r="142" spans="1:12" x14ac:dyDescent="0.25">
      <c r="A142">
        <v>16</v>
      </c>
      <c r="B142">
        <v>6</v>
      </c>
      <c r="C142">
        <v>250</v>
      </c>
      <c r="D142">
        <v>100</v>
      </c>
      <c r="E142">
        <v>3781</v>
      </c>
      <c r="F142">
        <v>17</v>
      </c>
      <c r="G142">
        <v>74</v>
      </c>
      <c r="H142" t="s">
        <v>1635</v>
      </c>
      <c r="I142" t="s">
        <v>1226</v>
      </c>
      <c r="J142" t="s">
        <v>978</v>
      </c>
      <c r="K142" t="s">
        <v>1227</v>
      </c>
      <c r="L142" t="b">
        <f>Data_Completeness(MileageData[[#This Row],[MPG]:[Acceleration]])</f>
        <v>1</v>
      </c>
    </row>
    <row r="143" spans="1:12" x14ac:dyDescent="0.25">
      <c r="A143">
        <v>16</v>
      </c>
      <c r="B143">
        <v>6</v>
      </c>
      <c r="C143">
        <v>258</v>
      </c>
      <c r="D143">
        <v>110</v>
      </c>
      <c r="E143">
        <v>3632</v>
      </c>
      <c r="F143">
        <v>18</v>
      </c>
      <c r="G143">
        <v>74</v>
      </c>
      <c r="H143" t="s">
        <v>1635</v>
      </c>
      <c r="I143" t="s">
        <v>1073</v>
      </c>
      <c r="J143" t="s">
        <v>987</v>
      </c>
      <c r="K143" t="s">
        <v>1074</v>
      </c>
      <c r="L143" t="b">
        <f>Data_Completeness(MileageData[[#This Row],[MPG]:[Acceleration]])</f>
        <v>1</v>
      </c>
    </row>
    <row r="144" spans="1:12" x14ac:dyDescent="0.25">
      <c r="A144">
        <v>18</v>
      </c>
      <c r="B144">
        <v>6</v>
      </c>
      <c r="C144">
        <v>225</v>
      </c>
      <c r="D144">
        <v>105</v>
      </c>
      <c r="E144">
        <v>3613</v>
      </c>
      <c r="F144">
        <v>16.5</v>
      </c>
      <c r="G144">
        <v>74</v>
      </c>
      <c r="H144" t="s">
        <v>1635</v>
      </c>
      <c r="I144" t="s">
        <v>1228</v>
      </c>
      <c r="J144" t="s">
        <v>984</v>
      </c>
      <c r="K144" t="s">
        <v>1229</v>
      </c>
      <c r="L144" t="b">
        <f>Data_Completeness(MileageData[[#This Row],[MPG]:[Acceleration]])</f>
        <v>1</v>
      </c>
    </row>
    <row r="145" spans="1:12" x14ac:dyDescent="0.25">
      <c r="A145">
        <v>16</v>
      </c>
      <c r="B145">
        <v>8</v>
      </c>
      <c r="C145">
        <v>302</v>
      </c>
      <c r="D145">
        <v>140</v>
      </c>
      <c r="E145">
        <v>4141</v>
      </c>
      <c r="F145">
        <v>14</v>
      </c>
      <c r="G145">
        <v>74</v>
      </c>
      <c r="H145" t="s">
        <v>1635</v>
      </c>
      <c r="I145" t="s">
        <v>1163</v>
      </c>
      <c r="J145" t="s">
        <v>990</v>
      </c>
      <c r="K145" t="s">
        <v>1164</v>
      </c>
      <c r="L145" t="b">
        <f>Data_Completeness(MileageData[[#This Row],[MPG]:[Acceleration]])</f>
        <v>1</v>
      </c>
    </row>
    <row r="146" spans="1:12" x14ac:dyDescent="0.25">
      <c r="A146">
        <v>13</v>
      </c>
      <c r="B146">
        <v>8</v>
      </c>
      <c r="C146">
        <v>350</v>
      </c>
      <c r="D146">
        <v>150</v>
      </c>
      <c r="E146">
        <v>4699</v>
      </c>
      <c r="F146">
        <v>14.5</v>
      </c>
      <c r="G146">
        <v>74</v>
      </c>
      <c r="H146" t="s">
        <v>1635</v>
      </c>
      <c r="I146" t="s">
        <v>1230</v>
      </c>
      <c r="J146" t="s">
        <v>981</v>
      </c>
      <c r="K146" t="s">
        <v>1231</v>
      </c>
      <c r="L146" t="b">
        <f>Data_Completeness(MileageData[[#This Row],[MPG]:[Acceleration]])</f>
        <v>1</v>
      </c>
    </row>
    <row r="147" spans="1:12" x14ac:dyDescent="0.25">
      <c r="A147">
        <v>14</v>
      </c>
      <c r="B147">
        <v>8</v>
      </c>
      <c r="C147">
        <v>318</v>
      </c>
      <c r="D147">
        <v>150</v>
      </c>
      <c r="E147">
        <v>4457</v>
      </c>
      <c r="F147">
        <v>13.5</v>
      </c>
      <c r="G147">
        <v>74</v>
      </c>
      <c r="H147" t="s">
        <v>1635</v>
      </c>
      <c r="I147" t="s">
        <v>1232</v>
      </c>
      <c r="J147" t="s">
        <v>1015</v>
      </c>
      <c r="K147" t="s">
        <v>1233</v>
      </c>
      <c r="L147" t="b">
        <f>Data_Completeness(MileageData[[#This Row],[MPG]:[Acceleration]])</f>
        <v>1</v>
      </c>
    </row>
    <row r="148" spans="1:12" x14ac:dyDescent="0.25">
      <c r="A148">
        <v>14</v>
      </c>
      <c r="B148">
        <v>8</v>
      </c>
      <c r="C148">
        <v>302</v>
      </c>
      <c r="D148">
        <v>140</v>
      </c>
      <c r="E148">
        <v>4638</v>
      </c>
      <c r="F148">
        <v>16</v>
      </c>
      <c r="G148">
        <v>74</v>
      </c>
      <c r="H148" t="s">
        <v>1635</v>
      </c>
      <c r="I148" t="s">
        <v>1134</v>
      </c>
      <c r="J148" t="s">
        <v>990</v>
      </c>
      <c r="K148" t="s">
        <v>1135</v>
      </c>
      <c r="L148" t="b">
        <f>Data_Completeness(MileageData[[#This Row],[MPG]:[Acceleration]])</f>
        <v>1</v>
      </c>
    </row>
    <row r="149" spans="1:12" x14ac:dyDescent="0.25">
      <c r="A149">
        <v>14</v>
      </c>
      <c r="B149">
        <v>8</v>
      </c>
      <c r="C149">
        <v>304</v>
      </c>
      <c r="D149">
        <v>150</v>
      </c>
      <c r="E149">
        <v>4257</v>
      </c>
      <c r="F149">
        <v>15.5</v>
      </c>
      <c r="G149">
        <v>74</v>
      </c>
      <c r="H149" t="s">
        <v>1635</v>
      </c>
      <c r="I149" t="s">
        <v>1132</v>
      </c>
      <c r="J149" t="s">
        <v>987</v>
      </c>
      <c r="K149" t="s">
        <v>1133</v>
      </c>
      <c r="L149" t="b">
        <f>Data_Completeness(MileageData[[#This Row],[MPG]:[Acceleration]])</f>
        <v>1</v>
      </c>
    </row>
    <row r="150" spans="1:12" x14ac:dyDescent="0.25">
      <c r="A150">
        <v>29</v>
      </c>
      <c r="B150">
        <v>4</v>
      </c>
      <c r="C150">
        <v>98</v>
      </c>
      <c r="D150">
        <v>83</v>
      </c>
      <c r="E150">
        <v>2219</v>
      </c>
      <c r="F150">
        <v>16.5</v>
      </c>
      <c r="G150">
        <v>74</v>
      </c>
      <c r="H150" t="s">
        <v>1636</v>
      </c>
      <c r="I150" t="s">
        <v>1234</v>
      </c>
      <c r="J150" t="s">
        <v>1042</v>
      </c>
      <c r="K150" t="s">
        <v>1235</v>
      </c>
      <c r="L150" t="b">
        <f>Data_Completeness(MileageData[[#This Row],[MPG]:[Acceleration]])</f>
        <v>1</v>
      </c>
    </row>
    <row r="151" spans="1:12" x14ac:dyDescent="0.25">
      <c r="A151">
        <v>26</v>
      </c>
      <c r="B151">
        <v>4</v>
      </c>
      <c r="C151">
        <v>79</v>
      </c>
      <c r="D151">
        <v>67</v>
      </c>
      <c r="E151">
        <v>1963</v>
      </c>
      <c r="F151">
        <v>15.5</v>
      </c>
      <c r="G151">
        <v>74</v>
      </c>
      <c r="H151" t="s">
        <v>1636</v>
      </c>
      <c r="I151" t="s">
        <v>1236</v>
      </c>
      <c r="J151" t="s">
        <v>1037</v>
      </c>
      <c r="K151" t="s">
        <v>1237</v>
      </c>
      <c r="L151" t="b">
        <f>Data_Completeness(MileageData[[#This Row],[MPG]:[Acceleration]])</f>
        <v>1</v>
      </c>
    </row>
    <row r="152" spans="1:12" x14ac:dyDescent="0.25">
      <c r="A152">
        <v>26</v>
      </c>
      <c r="B152">
        <v>4</v>
      </c>
      <c r="C152">
        <v>97</v>
      </c>
      <c r="D152">
        <v>78</v>
      </c>
      <c r="E152">
        <v>2300</v>
      </c>
      <c r="F152">
        <v>14.5</v>
      </c>
      <c r="G152">
        <v>74</v>
      </c>
      <c r="H152" t="s">
        <v>1636</v>
      </c>
      <c r="I152" t="s">
        <v>1208</v>
      </c>
      <c r="J152" t="s">
        <v>1095</v>
      </c>
      <c r="K152" t="s">
        <v>1209</v>
      </c>
      <c r="L152" t="b">
        <f>Data_Completeness(MileageData[[#This Row],[MPG]:[Acceleration]])</f>
        <v>1</v>
      </c>
    </row>
    <row r="153" spans="1:12" x14ac:dyDescent="0.25">
      <c r="A153">
        <v>31</v>
      </c>
      <c r="B153">
        <v>4</v>
      </c>
      <c r="C153">
        <v>76</v>
      </c>
      <c r="D153">
        <v>52</v>
      </c>
      <c r="E153">
        <v>1649</v>
      </c>
      <c r="F153">
        <v>16.5</v>
      </c>
      <c r="G153">
        <v>74</v>
      </c>
      <c r="H153" t="s">
        <v>1637</v>
      </c>
      <c r="I153" t="s">
        <v>1063</v>
      </c>
      <c r="J153" t="s">
        <v>1025</v>
      </c>
      <c r="K153" t="s">
        <v>1064</v>
      </c>
      <c r="L153" t="b">
        <f>Data_Completeness(MileageData[[#This Row],[MPG]:[Acceleration]])</f>
        <v>1</v>
      </c>
    </row>
    <row r="154" spans="1:12" x14ac:dyDescent="0.25">
      <c r="A154">
        <v>32</v>
      </c>
      <c r="B154">
        <v>4</v>
      </c>
      <c r="C154">
        <v>83</v>
      </c>
      <c r="D154">
        <v>61</v>
      </c>
      <c r="E154">
        <v>2003</v>
      </c>
      <c r="F154">
        <v>19</v>
      </c>
      <c r="G154">
        <v>74</v>
      </c>
      <c r="H154" t="s">
        <v>1637</v>
      </c>
      <c r="I154" t="s">
        <v>1238</v>
      </c>
      <c r="J154" t="s">
        <v>1034</v>
      </c>
      <c r="K154">
        <v>710</v>
      </c>
      <c r="L154" t="b">
        <f>Data_Completeness(MileageData[[#This Row],[MPG]:[Acceleration]])</f>
        <v>1</v>
      </c>
    </row>
    <row r="155" spans="1:12" x14ac:dyDescent="0.25">
      <c r="A155">
        <v>28</v>
      </c>
      <c r="B155">
        <v>4</v>
      </c>
      <c r="C155">
        <v>90</v>
      </c>
      <c r="D155">
        <v>75</v>
      </c>
      <c r="E155">
        <v>2125</v>
      </c>
      <c r="F155">
        <v>14.5</v>
      </c>
      <c r="G155">
        <v>74</v>
      </c>
      <c r="H155" t="s">
        <v>1635</v>
      </c>
      <c r="I155" t="s">
        <v>1239</v>
      </c>
      <c r="J155" t="s">
        <v>1015</v>
      </c>
      <c r="K155" t="s">
        <v>1240</v>
      </c>
      <c r="L155" t="b">
        <f>Data_Completeness(MileageData[[#This Row],[MPG]:[Acceleration]])</f>
        <v>1</v>
      </c>
    </row>
    <row r="156" spans="1:12" x14ac:dyDescent="0.25">
      <c r="A156">
        <v>24</v>
      </c>
      <c r="B156">
        <v>4</v>
      </c>
      <c r="C156">
        <v>90</v>
      </c>
      <c r="D156">
        <v>75</v>
      </c>
      <c r="E156">
        <v>2108</v>
      </c>
      <c r="F156">
        <v>15.5</v>
      </c>
      <c r="G156">
        <v>74</v>
      </c>
      <c r="H156" t="s">
        <v>1636</v>
      </c>
      <c r="I156" t="s">
        <v>1207</v>
      </c>
      <c r="J156" t="s">
        <v>1098</v>
      </c>
      <c r="K156">
        <v>128</v>
      </c>
      <c r="L156" t="b">
        <f>Data_Completeness(MileageData[[#This Row],[MPG]:[Acceleration]])</f>
        <v>1</v>
      </c>
    </row>
    <row r="157" spans="1:12" x14ac:dyDescent="0.25">
      <c r="A157">
        <v>26</v>
      </c>
      <c r="B157">
        <v>4</v>
      </c>
      <c r="C157">
        <v>116</v>
      </c>
      <c r="D157">
        <v>75</v>
      </c>
      <c r="E157">
        <v>2246</v>
      </c>
      <c r="F157">
        <v>14</v>
      </c>
      <c r="G157">
        <v>74</v>
      </c>
      <c r="H157" t="s">
        <v>1636</v>
      </c>
      <c r="I157" t="s">
        <v>1241</v>
      </c>
      <c r="J157" t="s">
        <v>1098</v>
      </c>
      <c r="K157" t="s">
        <v>1242</v>
      </c>
      <c r="L157" t="b">
        <f>Data_Completeness(MileageData[[#This Row],[MPG]:[Acceleration]])</f>
        <v>1</v>
      </c>
    </row>
    <row r="158" spans="1:12" x14ac:dyDescent="0.25">
      <c r="A158">
        <v>24</v>
      </c>
      <c r="B158">
        <v>4</v>
      </c>
      <c r="C158">
        <v>120</v>
      </c>
      <c r="D158">
        <v>97</v>
      </c>
      <c r="E158">
        <v>2489</v>
      </c>
      <c r="F158">
        <v>15</v>
      </c>
      <c r="G158">
        <v>74</v>
      </c>
      <c r="H158" t="s">
        <v>1637</v>
      </c>
      <c r="I158" t="s">
        <v>1243</v>
      </c>
      <c r="J158" t="s">
        <v>1244</v>
      </c>
      <c r="K158" t="s">
        <v>1245</v>
      </c>
      <c r="L158" t="b">
        <f>Data_Completeness(MileageData[[#This Row],[MPG]:[Acceleration]])</f>
        <v>1</v>
      </c>
    </row>
    <row r="159" spans="1:12" x14ac:dyDescent="0.25">
      <c r="A159">
        <v>26</v>
      </c>
      <c r="B159">
        <v>4</v>
      </c>
      <c r="C159">
        <v>108</v>
      </c>
      <c r="D159">
        <v>93</v>
      </c>
      <c r="E159">
        <v>2391</v>
      </c>
      <c r="F159">
        <v>15.5</v>
      </c>
      <c r="G159">
        <v>74</v>
      </c>
      <c r="H159" t="s">
        <v>1637</v>
      </c>
      <c r="I159" t="s">
        <v>1246</v>
      </c>
      <c r="J159" t="e">
        <v>#VALUE!</v>
      </c>
      <c r="K159" t="e">
        <v>#VALUE!</v>
      </c>
      <c r="L159" t="b">
        <f>Data_Completeness(MileageData[[#This Row],[MPG]:[Acceleration]])</f>
        <v>1</v>
      </c>
    </row>
    <row r="160" spans="1:12" x14ac:dyDescent="0.25">
      <c r="A160">
        <v>31</v>
      </c>
      <c r="B160">
        <v>4</v>
      </c>
      <c r="C160">
        <v>79</v>
      </c>
      <c r="D160">
        <v>67</v>
      </c>
      <c r="E160">
        <v>2000</v>
      </c>
      <c r="F160">
        <v>16</v>
      </c>
      <c r="G160">
        <v>74</v>
      </c>
      <c r="H160" t="s">
        <v>1636</v>
      </c>
      <c r="I160" t="s">
        <v>1247</v>
      </c>
      <c r="J160" t="s">
        <v>1098</v>
      </c>
      <c r="K160" t="s">
        <v>1248</v>
      </c>
      <c r="L160" t="b">
        <f>Data_Completeness(MileageData[[#This Row],[MPG]:[Acceleration]])</f>
        <v>1</v>
      </c>
    </row>
    <row r="161" spans="1:12" x14ac:dyDescent="0.25">
      <c r="A161">
        <v>19</v>
      </c>
      <c r="B161">
        <v>6</v>
      </c>
      <c r="C161">
        <v>225</v>
      </c>
      <c r="D161">
        <v>95</v>
      </c>
      <c r="E161">
        <v>3264</v>
      </c>
      <c r="F161">
        <v>16</v>
      </c>
      <c r="G161">
        <v>75</v>
      </c>
      <c r="H161" t="s">
        <v>1635</v>
      </c>
      <c r="I161" t="s">
        <v>1249</v>
      </c>
      <c r="J161" t="s">
        <v>984</v>
      </c>
      <c r="K161" t="s">
        <v>1250</v>
      </c>
      <c r="L161" t="b">
        <f>Data_Completeness(MileageData[[#This Row],[MPG]:[Acceleration]])</f>
        <v>1</v>
      </c>
    </row>
    <row r="162" spans="1:12" x14ac:dyDescent="0.25">
      <c r="A162">
        <v>18</v>
      </c>
      <c r="B162">
        <v>6</v>
      </c>
      <c r="C162">
        <v>250</v>
      </c>
      <c r="D162">
        <v>105</v>
      </c>
      <c r="E162">
        <v>3459</v>
      </c>
      <c r="F162">
        <v>16</v>
      </c>
      <c r="G162">
        <v>75</v>
      </c>
      <c r="H162" t="s">
        <v>1635</v>
      </c>
      <c r="I162" t="s">
        <v>1222</v>
      </c>
      <c r="J162" t="s">
        <v>978</v>
      </c>
      <c r="K162" t="s">
        <v>1223</v>
      </c>
      <c r="L162" t="b">
        <f>Data_Completeness(MileageData[[#This Row],[MPG]:[Acceleration]])</f>
        <v>1</v>
      </c>
    </row>
    <row r="163" spans="1:12" x14ac:dyDescent="0.25">
      <c r="A163">
        <v>15</v>
      </c>
      <c r="B163">
        <v>6</v>
      </c>
      <c r="C163">
        <v>250</v>
      </c>
      <c r="D163">
        <v>72</v>
      </c>
      <c r="E163">
        <v>3432</v>
      </c>
      <c r="F163">
        <v>21</v>
      </c>
      <c r="G163">
        <v>75</v>
      </c>
      <c r="H163" t="s">
        <v>1635</v>
      </c>
      <c r="I163" t="s">
        <v>1251</v>
      </c>
      <c r="J163" t="s">
        <v>1092</v>
      </c>
      <c r="K163" t="s">
        <v>1252</v>
      </c>
      <c r="L163" t="b">
        <f>Data_Completeness(MileageData[[#This Row],[MPG]:[Acceleration]])</f>
        <v>1</v>
      </c>
    </row>
    <row r="164" spans="1:12" x14ac:dyDescent="0.25">
      <c r="A164">
        <v>15</v>
      </c>
      <c r="B164">
        <v>6</v>
      </c>
      <c r="C164">
        <v>250</v>
      </c>
      <c r="D164">
        <v>72</v>
      </c>
      <c r="E164">
        <v>3158</v>
      </c>
      <c r="F164">
        <v>19.5</v>
      </c>
      <c r="G164">
        <v>75</v>
      </c>
      <c r="H164" t="s">
        <v>1635</v>
      </c>
      <c r="I164" t="s">
        <v>1031</v>
      </c>
      <c r="J164" t="s">
        <v>990</v>
      </c>
      <c r="K164" t="s">
        <v>1032</v>
      </c>
      <c r="L164" t="b">
        <f>Data_Completeness(MileageData[[#This Row],[MPG]:[Acceleration]])</f>
        <v>1</v>
      </c>
    </row>
    <row r="165" spans="1:12" x14ac:dyDescent="0.25">
      <c r="A165">
        <v>16</v>
      </c>
      <c r="B165">
        <v>8</v>
      </c>
      <c r="C165">
        <v>400</v>
      </c>
      <c r="D165">
        <v>170</v>
      </c>
      <c r="E165">
        <v>4668</v>
      </c>
      <c r="F165">
        <v>11.5</v>
      </c>
      <c r="G165">
        <v>75</v>
      </c>
      <c r="H165" t="s">
        <v>1635</v>
      </c>
      <c r="I165" t="s">
        <v>998</v>
      </c>
      <c r="J165" t="s">
        <v>999</v>
      </c>
      <c r="K165" t="s">
        <v>1000</v>
      </c>
      <c r="L165" t="b">
        <f>Data_Completeness(MileageData[[#This Row],[MPG]:[Acceleration]])</f>
        <v>1</v>
      </c>
    </row>
    <row r="166" spans="1:12" x14ac:dyDescent="0.25">
      <c r="A166">
        <v>15</v>
      </c>
      <c r="B166">
        <v>8</v>
      </c>
      <c r="C166">
        <v>350</v>
      </c>
      <c r="D166">
        <v>145</v>
      </c>
      <c r="E166">
        <v>4440</v>
      </c>
      <c r="F166">
        <v>14</v>
      </c>
      <c r="G166">
        <v>75</v>
      </c>
      <c r="H166" t="s">
        <v>1635</v>
      </c>
      <c r="I166" t="s">
        <v>1253</v>
      </c>
      <c r="J166" t="s">
        <v>978</v>
      </c>
      <c r="K166" t="s">
        <v>1254</v>
      </c>
      <c r="L166" t="b">
        <f>Data_Completeness(MileageData[[#This Row],[MPG]:[Acceleration]])</f>
        <v>1</v>
      </c>
    </row>
    <row r="167" spans="1:12" x14ac:dyDescent="0.25">
      <c r="A167">
        <v>16</v>
      </c>
      <c r="B167">
        <v>8</v>
      </c>
      <c r="C167">
        <v>318</v>
      </c>
      <c r="D167">
        <v>150</v>
      </c>
      <c r="E167">
        <v>4498</v>
      </c>
      <c r="F167">
        <v>14.5</v>
      </c>
      <c r="G167">
        <v>75</v>
      </c>
      <c r="H167" t="s">
        <v>1635</v>
      </c>
      <c r="I167" t="s">
        <v>1255</v>
      </c>
      <c r="J167" t="s">
        <v>984</v>
      </c>
      <c r="K167" t="s">
        <v>1256</v>
      </c>
      <c r="L167" t="b">
        <f>Data_Completeness(MileageData[[#This Row],[MPG]:[Acceleration]])</f>
        <v>1</v>
      </c>
    </row>
    <row r="168" spans="1:12" x14ac:dyDescent="0.25">
      <c r="A168">
        <v>14</v>
      </c>
      <c r="B168">
        <v>8</v>
      </c>
      <c r="C168">
        <v>351</v>
      </c>
      <c r="D168">
        <v>148</v>
      </c>
      <c r="E168">
        <v>4657</v>
      </c>
      <c r="F168">
        <v>13.5</v>
      </c>
      <c r="G168">
        <v>75</v>
      </c>
      <c r="H168" t="s">
        <v>1635</v>
      </c>
      <c r="I168" t="s">
        <v>1171</v>
      </c>
      <c r="J168" t="s">
        <v>990</v>
      </c>
      <c r="K168" t="s">
        <v>1172</v>
      </c>
      <c r="L168" t="b">
        <f>Data_Completeness(MileageData[[#This Row],[MPG]:[Acceleration]])</f>
        <v>1</v>
      </c>
    </row>
    <row r="169" spans="1:12" x14ac:dyDescent="0.25">
      <c r="A169">
        <v>17</v>
      </c>
      <c r="B169">
        <v>6</v>
      </c>
      <c r="C169">
        <v>231</v>
      </c>
      <c r="D169">
        <v>110</v>
      </c>
      <c r="E169">
        <v>3907</v>
      </c>
      <c r="F169">
        <v>21</v>
      </c>
      <c r="G169">
        <v>75</v>
      </c>
      <c r="H169" t="s">
        <v>1635</v>
      </c>
      <c r="I169" t="s">
        <v>1257</v>
      </c>
      <c r="J169" t="s">
        <v>981</v>
      </c>
      <c r="K169" t="s">
        <v>1258</v>
      </c>
      <c r="L169" t="b">
        <f>Data_Completeness(MileageData[[#This Row],[MPG]:[Acceleration]])</f>
        <v>1</v>
      </c>
    </row>
    <row r="170" spans="1:12" x14ac:dyDescent="0.25">
      <c r="A170">
        <v>16</v>
      </c>
      <c r="B170">
        <v>6</v>
      </c>
      <c r="C170">
        <v>250</v>
      </c>
      <c r="D170">
        <v>105</v>
      </c>
      <c r="E170">
        <v>3897</v>
      </c>
      <c r="F170">
        <v>18.5</v>
      </c>
      <c r="G170">
        <v>75</v>
      </c>
      <c r="H170" t="s">
        <v>1635</v>
      </c>
      <c r="I170" t="s">
        <v>1259</v>
      </c>
      <c r="J170" t="s">
        <v>1260</v>
      </c>
      <c r="K170" t="s">
        <v>979</v>
      </c>
      <c r="L170" t="b">
        <f>Data_Completeness(MileageData[[#This Row],[MPG]:[Acceleration]])</f>
        <v>1</v>
      </c>
    </row>
    <row r="171" spans="1:12" x14ac:dyDescent="0.25">
      <c r="A171">
        <v>15</v>
      </c>
      <c r="B171">
        <v>6</v>
      </c>
      <c r="C171">
        <v>258</v>
      </c>
      <c r="D171">
        <v>110</v>
      </c>
      <c r="E171">
        <v>3730</v>
      </c>
      <c r="F171">
        <v>19</v>
      </c>
      <c r="G171">
        <v>75</v>
      </c>
      <c r="H171" t="s">
        <v>1635</v>
      </c>
      <c r="I171" t="s">
        <v>1073</v>
      </c>
      <c r="J171" t="s">
        <v>987</v>
      </c>
      <c r="K171" t="s">
        <v>1074</v>
      </c>
      <c r="L171" t="b">
        <f>Data_Completeness(MileageData[[#This Row],[MPG]:[Acceleration]])</f>
        <v>1</v>
      </c>
    </row>
    <row r="172" spans="1:12" x14ac:dyDescent="0.25">
      <c r="A172">
        <v>18</v>
      </c>
      <c r="B172">
        <v>6</v>
      </c>
      <c r="C172">
        <v>225</v>
      </c>
      <c r="D172">
        <v>95</v>
      </c>
      <c r="E172">
        <v>3785</v>
      </c>
      <c r="F172">
        <v>19</v>
      </c>
      <c r="G172">
        <v>75</v>
      </c>
      <c r="H172" t="s">
        <v>1635</v>
      </c>
      <c r="I172" t="s">
        <v>1261</v>
      </c>
      <c r="J172" t="s">
        <v>984</v>
      </c>
      <c r="K172" t="s">
        <v>1262</v>
      </c>
      <c r="L172" t="b">
        <f>Data_Completeness(MileageData[[#This Row],[MPG]:[Acceleration]])</f>
        <v>1</v>
      </c>
    </row>
    <row r="173" spans="1:12" x14ac:dyDescent="0.25">
      <c r="A173">
        <v>21</v>
      </c>
      <c r="B173">
        <v>6</v>
      </c>
      <c r="C173">
        <v>231</v>
      </c>
      <c r="D173">
        <v>110</v>
      </c>
      <c r="E173">
        <v>3039</v>
      </c>
      <c r="F173">
        <v>15</v>
      </c>
      <c r="G173">
        <v>75</v>
      </c>
      <c r="H173" t="s">
        <v>1635</v>
      </c>
      <c r="I173" t="s">
        <v>1263</v>
      </c>
      <c r="J173" t="s">
        <v>981</v>
      </c>
      <c r="K173" t="s">
        <v>1264</v>
      </c>
      <c r="L173" t="b">
        <f>Data_Completeness(MileageData[[#This Row],[MPG]:[Acceleration]])</f>
        <v>1</v>
      </c>
    </row>
    <row r="174" spans="1:12" x14ac:dyDescent="0.25">
      <c r="A174">
        <v>20</v>
      </c>
      <c r="B174">
        <v>8</v>
      </c>
      <c r="C174">
        <v>262</v>
      </c>
      <c r="D174">
        <v>110</v>
      </c>
      <c r="E174">
        <v>3221</v>
      </c>
      <c r="F174">
        <v>13.5</v>
      </c>
      <c r="G174">
        <v>75</v>
      </c>
      <c r="H174" t="s">
        <v>1635</v>
      </c>
      <c r="I174" t="s">
        <v>1265</v>
      </c>
      <c r="J174" t="s">
        <v>978</v>
      </c>
      <c r="K174" t="s">
        <v>1266</v>
      </c>
      <c r="L174" t="b">
        <f>Data_Completeness(MileageData[[#This Row],[MPG]:[Acceleration]])</f>
        <v>1</v>
      </c>
    </row>
    <row r="175" spans="1:12" x14ac:dyDescent="0.25">
      <c r="A175">
        <v>13</v>
      </c>
      <c r="B175">
        <v>8</v>
      </c>
      <c r="C175">
        <v>302</v>
      </c>
      <c r="D175">
        <v>129</v>
      </c>
      <c r="E175">
        <v>3169</v>
      </c>
      <c r="F175">
        <v>12</v>
      </c>
      <c r="G175">
        <v>75</v>
      </c>
      <c r="H175" t="s">
        <v>1635</v>
      </c>
      <c r="I175" t="s">
        <v>1267</v>
      </c>
      <c r="J175" t="s">
        <v>990</v>
      </c>
      <c r="K175" t="s">
        <v>1268</v>
      </c>
      <c r="L175" t="b">
        <f>Data_Completeness(MileageData[[#This Row],[MPG]:[Acceleration]])</f>
        <v>1</v>
      </c>
    </row>
    <row r="176" spans="1:12" x14ac:dyDescent="0.25">
      <c r="A176">
        <v>29</v>
      </c>
      <c r="B176">
        <v>4</v>
      </c>
      <c r="C176">
        <v>97</v>
      </c>
      <c r="D176">
        <v>75</v>
      </c>
      <c r="E176">
        <v>2171</v>
      </c>
      <c r="F176">
        <v>16</v>
      </c>
      <c r="G176">
        <v>75</v>
      </c>
      <c r="H176" t="s">
        <v>1637</v>
      </c>
      <c r="I176" t="s">
        <v>1269</v>
      </c>
      <c r="J176" t="s">
        <v>1025</v>
      </c>
      <c r="K176" t="s">
        <v>1270</v>
      </c>
      <c r="L176" t="b">
        <f>Data_Completeness(MileageData[[#This Row],[MPG]:[Acceleration]])</f>
        <v>1</v>
      </c>
    </row>
    <row r="177" spans="1:12" x14ac:dyDescent="0.25">
      <c r="A177">
        <v>23</v>
      </c>
      <c r="B177">
        <v>4</v>
      </c>
      <c r="C177">
        <v>140</v>
      </c>
      <c r="D177">
        <v>83</v>
      </c>
      <c r="E177">
        <v>2639</v>
      </c>
      <c r="F177">
        <v>17</v>
      </c>
      <c r="G177">
        <v>75</v>
      </c>
      <c r="H177" t="s">
        <v>1635</v>
      </c>
      <c r="I177" t="s">
        <v>1065</v>
      </c>
      <c r="J177" t="s">
        <v>990</v>
      </c>
      <c r="K177" t="s">
        <v>1066</v>
      </c>
      <c r="L177" t="b">
        <f>Data_Completeness(MileageData[[#This Row],[MPG]:[Acceleration]])</f>
        <v>1</v>
      </c>
    </row>
    <row r="178" spans="1:12" x14ac:dyDescent="0.25">
      <c r="A178">
        <v>20</v>
      </c>
      <c r="B178">
        <v>6</v>
      </c>
      <c r="C178">
        <v>232</v>
      </c>
      <c r="D178">
        <v>100</v>
      </c>
      <c r="E178">
        <v>2914</v>
      </c>
      <c r="F178">
        <v>16</v>
      </c>
      <c r="G178">
        <v>75</v>
      </c>
      <c r="H178" t="s">
        <v>1635</v>
      </c>
      <c r="I178" t="s">
        <v>1049</v>
      </c>
      <c r="J178" t="s">
        <v>987</v>
      </c>
      <c r="K178" t="s">
        <v>1050</v>
      </c>
      <c r="L178" t="b">
        <f>Data_Completeness(MileageData[[#This Row],[MPG]:[Acceleration]])</f>
        <v>1</v>
      </c>
    </row>
    <row r="179" spans="1:12" x14ac:dyDescent="0.25">
      <c r="A179">
        <v>23</v>
      </c>
      <c r="B179">
        <v>4</v>
      </c>
      <c r="C179">
        <v>140</v>
      </c>
      <c r="D179">
        <v>78</v>
      </c>
      <c r="E179">
        <v>2592</v>
      </c>
      <c r="F179">
        <v>18.5</v>
      </c>
      <c r="G179">
        <v>75</v>
      </c>
      <c r="H179" t="s">
        <v>1635</v>
      </c>
      <c r="I179" t="s">
        <v>1271</v>
      </c>
      <c r="J179" t="s">
        <v>999</v>
      </c>
      <c r="K179" t="s">
        <v>1272</v>
      </c>
      <c r="L179" t="b">
        <f>Data_Completeness(MileageData[[#This Row],[MPG]:[Acceleration]])</f>
        <v>1</v>
      </c>
    </row>
    <row r="180" spans="1:12" x14ac:dyDescent="0.25">
      <c r="A180">
        <v>24</v>
      </c>
      <c r="B180">
        <v>4</v>
      </c>
      <c r="C180">
        <v>134</v>
      </c>
      <c r="D180">
        <v>96</v>
      </c>
      <c r="E180">
        <v>2702</v>
      </c>
      <c r="F180">
        <v>13.5</v>
      </c>
      <c r="G180">
        <v>75</v>
      </c>
      <c r="H180" t="s">
        <v>1637</v>
      </c>
      <c r="I180" t="s">
        <v>1063</v>
      </c>
      <c r="J180" t="s">
        <v>1025</v>
      </c>
      <c r="K180" t="s">
        <v>1064</v>
      </c>
      <c r="L180" t="b">
        <f>Data_Completeness(MileageData[[#This Row],[MPG]:[Acceleration]])</f>
        <v>1</v>
      </c>
    </row>
    <row r="181" spans="1:12" x14ac:dyDescent="0.25">
      <c r="A181">
        <v>25</v>
      </c>
      <c r="B181">
        <v>4</v>
      </c>
      <c r="C181">
        <v>90</v>
      </c>
      <c r="D181">
        <v>71</v>
      </c>
      <c r="E181">
        <v>2223</v>
      </c>
      <c r="F181">
        <v>16.5</v>
      </c>
      <c r="G181">
        <v>75</v>
      </c>
      <c r="H181" t="s">
        <v>1636</v>
      </c>
      <c r="I181" t="s">
        <v>1236</v>
      </c>
      <c r="J181" t="s">
        <v>1037</v>
      </c>
      <c r="K181" t="s">
        <v>1237</v>
      </c>
      <c r="L181" t="b">
        <f>Data_Completeness(MileageData[[#This Row],[MPG]:[Acceleration]])</f>
        <v>1</v>
      </c>
    </row>
    <row r="182" spans="1:12" x14ac:dyDescent="0.25">
      <c r="A182">
        <v>24</v>
      </c>
      <c r="B182">
        <v>4</v>
      </c>
      <c r="C182">
        <v>119</v>
      </c>
      <c r="D182">
        <v>97</v>
      </c>
      <c r="E182">
        <v>2545</v>
      </c>
      <c r="F182">
        <v>17</v>
      </c>
      <c r="G182">
        <v>75</v>
      </c>
      <c r="H182" t="s">
        <v>1637</v>
      </c>
      <c r="I182" t="s">
        <v>1238</v>
      </c>
      <c r="J182" t="s">
        <v>1034</v>
      </c>
      <c r="K182">
        <v>710</v>
      </c>
      <c r="L182" t="b">
        <f>Data_Completeness(MileageData[[#This Row],[MPG]:[Acceleration]])</f>
        <v>1</v>
      </c>
    </row>
    <row r="183" spans="1:12" x14ac:dyDescent="0.25">
      <c r="A183">
        <v>18</v>
      </c>
      <c r="B183">
        <v>6</v>
      </c>
      <c r="C183">
        <v>171</v>
      </c>
      <c r="D183">
        <v>97</v>
      </c>
      <c r="E183">
        <v>2984</v>
      </c>
      <c r="F183">
        <v>14.5</v>
      </c>
      <c r="G183">
        <v>75</v>
      </c>
      <c r="H183" t="s">
        <v>1635</v>
      </c>
      <c r="I183" t="s">
        <v>1065</v>
      </c>
      <c r="J183" t="s">
        <v>990</v>
      </c>
      <c r="K183" t="s">
        <v>1066</v>
      </c>
      <c r="L183" t="b">
        <f>Data_Completeness(MileageData[[#This Row],[MPG]:[Acceleration]])</f>
        <v>1</v>
      </c>
    </row>
    <row r="184" spans="1:12" x14ac:dyDescent="0.25">
      <c r="A184">
        <v>29</v>
      </c>
      <c r="B184">
        <v>4</v>
      </c>
      <c r="C184">
        <v>90</v>
      </c>
      <c r="D184">
        <v>70</v>
      </c>
      <c r="E184">
        <v>1937</v>
      </c>
      <c r="F184">
        <v>14</v>
      </c>
      <c r="G184">
        <v>75</v>
      </c>
      <c r="H184" t="s">
        <v>1636</v>
      </c>
      <c r="I184" t="s">
        <v>1273</v>
      </c>
      <c r="J184" t="s">
        <v>1037</v>
      </c>
      <c r="K184" t="s">
        <v>1274</v>
      </c>
      <c r="L184" t="b">
        <f>Data_Completeness(MileageData[[#This Row],[MPG]:[Acceleration]])</f>
        <v>1</v>
      </c>
    </row>
    <row r="185" spans="1:12" x14ac:dyDescent="0.25">
      <c r="A185">
        <v>19</v>
      </c>
      <c r="B185">
        <v>6</v>
      </c>
      <c r="C185">
        <v>232</v>
      </c>
      <c r="D185">
        <v>90</v>
      </c>
      <c r="E185">
        <v>3211</v>
      </c>
      <c r="F185">
        <v>17</v>
      </c>
      <c r="G185">
        <v>75</v>
      </c>
      <c r="H185" t="s">
        <v>1635</v>
      </c>
      <c r="I185" t="s">
        <v>1275</v>
      </c>
      <c r="J185" t="s">
        <v>987</v>
      </c>
      <c r="K185" t="s">
        <v>1276</v>
      </c>
      <c r="L185" t="b">
        <f>Data_Completeness(MileageData[[#This Row],[MPG]:[Acceleration]])</f>
        <v>1</v>
      </c>
    </row>
    <row r="186" spans="1:12" x14ac:dyDescent="0.25">
      <c r="A186">
        <v>23</v>
      </c>
      <c r="B186">
        <v>4</v>
      </c>
      <c r="C186">
        <v>115</v>
      </c>
      <c r="D186">
        <v>95</v>
      </c>
      <c r="E186">
        <v>2694</v>
      </c>
      <c r="F186">
        <v>15</v>
      </c>
      <c r="G186">
        <v>75</v>
      </c>
      <c r="H186" t="s">
        <v>1636</v>
      </c>
      <c r="I186" t="s">
        <v>1210</v>
      </c>
      <c r="J186" t="s">
        <v>1042</v>
      </c>
      <c r="K186" t="s">
        <v>1211</v>
      </c>
      <c r="L186" t="b">
        <f>Data_Completeness(MileageData[[#This Row],[MPG]:[Acceleration]])</f>
        <v>1</v>
      </c>
    </row>
    <row r="187" spans="1:12" x14ac:dyDescent="0.25">
      <c r="A187">
        <v>23</v>
      </c>
      <c r="B187">
        <v>4</v>
      </c>
      <c r="C187">
        <v>120</v>
      </c>
      <c r="D187">
        <v>88</v>
      </c>
      <c r="E187">
        <v>2957</v>
      </c>
      <c r="F187">
        <v>17</v>
      </c>
      <c r="G187">
        <v>75</v>
      </c>
      <c r="H187" t="s">
        <v>1636</v>
      </c>
      <c r="I187" t="s">
        <v>1039</v>
      </c>
      <c r="J187" t="s">
        <v>1040</v>
      </c>
      <c r="K187">
        <v>504</v>
      </c>
      <c r="L187" t="b">
        <f>Data_Completeness(MileageData[[#This Row],[MPG]:[Acceleration]])</f>
        <v>1</v>
      </c>
    </row>
    <row r="188" spans="1:12" x14ac:dyDescent="0.25">
      <c r="A188">
        <v>22</v>
      </c>
      <c r="B188">
        <v>4</v>
      </c>
      <c r="C188">
        <v>121</v>
      </c>
      <c r="D188">
        <v>98</v>
      </c>
      <c r="E188">
        <v>2945</v>
      </c>
      <c r="F188">
        <v>14.5</v>
      </c>
      <c r="G188">
        <v>75</v>
      </c>
      <c r="H188" t="s">
        <v>1636</v>
      </c>
      <c r="I188" t="s">
        <v>1277</v>
      </c>
      <c r="J188" t="s">
        <v>1139</v>
      </c>
      <c r="K188" t="s">
        <v>1278</v>
      </c>
      <c r="L188" t="b">
        <f>Data_Completeness(MileageData[[#This Row],[MPG]:[Acceleration]])</f>
        <v>1</v>
      </c>
    </row>
    <row r="189" spans="1:12" x14ac:dyDescent="0.25">
      <c r="A189">
        <v>25</v>
      </c>
      <c r="B189">
        <v>4</v>
      </c>
      <c r="C189">
        <v>121</v>
      </c>
      <c r="D189">
        <v>115</v>
      </c>
      <c r="E189">
        <v>2671</v>
      </c>
      <c r="F189">
        <v>13.5</v>
      </c>
      <c r="G189">
        <v>75</v>
      </c>
      <c r="H189" t="s">
        <v>1636</v>
      </c>
      <c r="I189" t="s">
        <v>1216</v>
      </c>
      <c r="J189" t="s">
        <v>1045</v>
      </c>
      <c r="K189" t="s">
        <v>1217</v>
      </c>
      <c r="L189" t="b">
        <f>Data_Completeness(MileageData[[#This Row],[MPG]:[Acceleration]])</f>
        <v>1</v>
      </c>
    </row>
    <row r="190" spans="1:12" x14ac:dyDescent="0.25">
      <c r="A190">
        <v>33</v>
      </c>
      <c r="B190">
        <v>4</v>
      </c>
      <c r="C190">
        <v>91</v>
      </c>
      <c r="D190">
        <v>53</v>
      </c>
      <c r="E190">
        <v>1795</v>
      </c>
      <c r="F190">
        <v>17.5</v>
      </c>
      <c r="G190">
        <v>75</v>
      </c>
      <c r="H190" t="s">
        <v>1637</v>
      </c>
      <c r="I190" t="s">
        <v>1279</v>
      </c>
      <c r="J190" t="s">
        <v>1244</v>
      </c>
      <c r="K190" t="s">
        <v>1280</v>
      </c>
      <c r="L190" t="b">
        <f>Data_Completeness(MileageData[[#This Row],[MPG]:[Acceleration]])</f>
        <v>1</v>
      </c>
    </row>
    <row r="191" spans="1:12" x14ac:dyDescent="0.25">
      <c r="A191">
        <v>28</v>
      </c>
      <c r="B191">
        <v>4</v>
      </c>
      <c r="C191">
        <v>107</v>
      </c>
      <c r="D191">
        <v>86</v>
      </c>
      <c r="E191">
        <v>2464</v>
      </c>
      <c r="F191">
        <v>15.5</v>
      </c>
      <c r="G191">
        <v>76</v>
      </c>
      <c r="H191" t="s">
        <v>1636</v>
      </c>
      <c r="I191" t="s">
        <v>1281</v>
      </c>
      <c r="J191" t="s">
        <v>1098</v>
      </c>
      <c r="K191">
        <v>131</v>
      </c>
      <c r="L191" t="b">
        <f>Data_Completeness(MileageData[[#This Row],[MPG]:[Acceleration]])</f>
        <v>1</v>
      </c>
    </row>
    <row r="192" spans="1:12" x14ac:dyDescent="0.25">
      <c r="A192">
        <v>25</v>
      </c>
      <c r="B192">
        <v>4</v>
      </c>
      <c r="C192">
        <v>116</v>
      </c>
      <c r="D192">
        <v>81</v>
      </c>
      <c r="E192">
        <v>2220</v>
      </c>
      <c r="F192">
        <v>16.899999999999999</v>
      </c>
      <c r="G192">
        <v>76</v>
      </c>
      <c r="H192" t="s">
        <v>1636</v>
      </c>
      <c r="I192" t="s">
        <v>1094</v>
      </c>
      <c r="J192" t="s">
        <v>1095</v>
      </c>
      <c r="K192">
        <v>1900</v>
      </c>
      <c r="L192" t="b">
        <f>Data_Completeness(MileageData[[#This Row],[MPG]:[Acceleration]])</f>
        <v>1</v>
      </c>
    </row>
    <row r="193" spans="1:12" x14ac:dyDescent="0.25">
      <c r="A193">
        <v>25</v>
      </c>
      <c r="B193">
        <v>4</v>
      </c>
      <c r="C193">
        <v>140</v>
      </c>
      <c r="D193">
        <v>92</v>
      </c>
      <c r="E193">
        <v>2572</v>
      </c>
      <c r="F193">
        <v>14.9</v>
      </c>
      <c r="G193">
        <v>76</v>
      </c>
      <c r="H193" t="s">
        <v>1635</v>
      </c>
      <c r="I193" t="s">
        <v>1282</v>
      </c>
      <c r="J193" t="s">
        <v>1283</v>
      </c>
      <c r="K193" t="s">
        <v>1284</v>
      </c>
      <c r="L193" t="b">
        <f>Data_Completeness(MileageData[[#This Row],[MPG]:[Acceleration]])</f>
        <v>1</v>
      </c>
    </row>
    <row r="194" spans="1:12" x14ac:dyDescent="0.25">
      <c r="A194">
        <v>26</v>
      </c>
      <c r="B194">
        <v>4</v>
      </c>
      <c r="C194">
        <v>98</v>
      </c>
      <c r="D194">
        <v>79</v>
      </c>
      <c r="E194">
        <v>2255</v>
      </c>
      <c r="F194">
        <v>17.7</v>
      </c>
      <c r="G194">
        <v>76</v>
      </c>
      <c r="H194" t="s">
        <v>1635</v>
      </c>
      <c r="I194" t="s">
        <v>1239</v>
      </c>
      <c r="J194" t="s">
        <v>1015</v>
      </c>
      <c r="K194" t="s">
        <v>1240</v>
      </c>
      <c r="L194" t="b">
        <f>Data_Completeness(MileageData[[#This Row],[MPG]:[Acceleration]])</f>
        <v>1</v>
      </c>
    </row>
    <row r="195" spans="1:12" x14ac:dyDescent="0.25">
      <c r="A195">
        <v>27</v>
      </c>
      <c r="B195">
        <v>4</v>
      </c>
      <c r="C195">
        <v>101</v>
      </c>
      <c r="D195">
        <v>83</v>
      </c>
      <c r="E195">
        <v>2202</v>
      </c>
      <c r="F195">
        <v>15.3</v>
      </c>
      <c r="G195">
        <v>76</v>
      </c>
      <c r="H195" t="s">
        <v>1636</v>
      </c>
      <c r="I195" t="s">
        <v>1285</v>
      </c>
      <c r="J195" t="s">
        <v>1146</v>
      </c>
      <c r="K195" t="s">
        <v>1286</v>
      </c>
      <c r="L195" t="b">
        <f>Data_Completeness(MileageData[[#This Row],[MPG]:[Acceleration]])</f>
        <v>1</v>
      </c>
    </row>
    <row r="196" spans="1:12" x14ac:dyDescent="0.25">
      <c r="A196">
        <v>17.5</v>
      </c>
      <c r="B196">
        <v>8</v>
      </c>
      <c r="C196">
        <v>305</v>
      </c>
      <c r="D196">
        <v>140</v>
      </c>
      <c r="E196">
        <v>4215</v>
      </c>
      <c r="F196">
        <v>13</v>
      </c>
      <c r="G196">
        <v>76</v>
      </c>
      <c r="H196" t="s">
        <v>1635</v>
      </c>
      <c r="I196" t="s">
        <v>1226</v>
      </c>
      <c r="J196" t="s">
        <v>978</v>
      </c>
      <c r="K196" t="s">
        <v>1227</v>
      </c>
      <c r="L196" t="b">
        <f>Data_Completeness(MileageData[[#This Row],[MPG]:[Acceleration]])</f>
        <v>1</v>
      </c>
    </row>
    <row r="197" spans="1:12" x14ac:dyDescent="0.25">
      <c r="A197">
        <v>16</v>
      </c>
      <c r="B197">
        <v>8</v>
      </c>
      <c r="C197">
        <v>318</v>
      </c>
      <c r="D197">
        <v>150</v>
      </c>
      <c r="E197">
        <v>4190</v>
      </c>
      <c r="F197">
        <v>13</v>
      </c>
      <c r="G197">
        <v>76</v>
      </c>
      <c r="H197" t="s">
        <v>1635</v>
      </c>
      <c r="I197" t="s">
        <v>1287</v>
      </c>
      <c r="J197" t="s">
        <v>1015</v>
      </c>
      <c r="K197" t="s">
        <v>1288</v>
      </c>
      <c r="L197" t="b">
        <f>Data_Completeness(MileageData[[#This Row],[MPG]:[Acceleration]])</f>
        <v>1</v>
      </c>
    </row>
    <row r="198" spans="1:12" x14ac:dyDescent="0.25">
      <c r="A198">
        <v>15.5</v>
      </c>
      <c r="B198">
        <v>8</v>
      </c>
      <c r="C198">
        <v>304</v>
      </c>
      <c r="D198">
        <v>120</v>
      </c>
      <c r="E198">
        <v>3962</v>
      </c>
      <c r="F198">
        <v>13.9</v>
      </c>
      <c r="G198">
        <v>76</v>
      </c>
      <c r="H198" t="s">
        <v>1635</v>
      </c>
      <c r="I198" t="s">
        <v>1073</v>
      </c>
      <c r="J198" t="s">
        <v>987</v>
      </c>
      <c r="K198" t="s">
        <v>1074</v>
      </c>
      <c r="L198" t="b">
        <f>Data_Completeness(MileageData[[#This Row],[MPG]:[Acceleration]])</f>
        <v>1</v>
      </c>
    </row>
    <row r="199" spans="1:12" x14ac:dyDescent="0.25">
      <c r="A199">
        <v>14.5</v>
      </c>
      <c r="B199">
        <v>8</v>
      </c>
      <c r="C199">
        <v>351</v>
      </c>
      <c r="D199">
        <v>152</v>
      </c>
      <c r="E199">
        <v>4215</v>
      </c>
      <c r="F199">
        <v>12.8</v>
      </c>
      <c r="G199">
        <v>76</v>
      </c>
      <c r="H199" t="s">
        <v>1635</v>
      </c>
      <c r="I199" t="s">
        <v>1163</v>
      </c>
      <c r="J199" t="s">
        <v>990</v>
      </c>
      <c r="K199" t="s">
        <v>1164</v>
      </c>
      <c r="L199" t="b">
        <f>Data_Completeness(MileageData[[#This Row],[MPG]:[Acceleration]])</f>
        <v>1</v>
      </c>
    </row>
    <row r="200" spans="1:12" x14ac:dyDescent="0.25">
      <c r="A200">
        <v>22</v>
      </c>
      <c r="B200">
        <v>6</v>
      </c>
      <c r="C200">
        <v>225</v>
      </c>
      <c r="D200">
        <v>100</v>
      </c>
      <c r="E200">
        <v>3233</v>
      </c>
      <c r="F200">
        <v>15.4</v>
      </c>
      <c r="G200">
        <v>76</v>
      </c>
      <c r="H200" t="s">
        <v>1635</v>
      </c>
      <c r="I200" t="s">
        <v>1181</v>
      </c>
      <c r="J200" t="s">
        <v>984</v>
      </c>
      <c r="K200" t="s">
        <v>1182</v>
      </c>
      <c r="L200" t="b">
        <f>Data_Completeness(MileageData[[#This Row],[MPG]:[Acceleration]])</f>
        <v>1</v>
      </c>
    </row>
    <row r="201" spans="1:12" x14ac:dyDescent="0.25">
      <c r="A201">
        <v>22</v>
      </c>
      <c r="B201">
        <v>6</v>
      </c>
      <c r="C201">
        <v>250</v>
      </c>
      <c r="D201">
        <v>105</v>
      </c>
      <c r="E201">
        <v>3353</v>
      </c>
      <c r="F201">
        <v>14.5</v>
      </c>
      <c r="G201">
        <v>76</v>
      </c>
      <c r="H201" t="s">
        <v>1635</v>
      </c>
      <c r="I201" t="s">
        <v>1222</v>
      </c>
      <c r="J201" t="s">
        <v>978</v>
      </c>
      <c r="K201" t="s">
        <v>1223</v>
      </c>
      <c r="L201" t="b">
        <f>Data_Completeness(MileageData[[#This Row],[MPG]:[Acceleration]])</f>
        <v>1</v>
      </c>
    </row>
    <row r="202" spans="1:12" x14ac:dyDescent="0.25">
      <c r="A202">
        <v>24</v>
      </c>
      <c r="B202">
        <v>6</v>
      </c>
      <c r="C202">
        <v>200</v>
      </c>
      <c r="D202">
        <v>81</v>
      </c>
      <c r="E202">
        <v>3012</v>
      </c>
      <c r="F202">
        <v>17.600000000000001</v>
      </c>
      <c r="G202">
        <v>76</v>
      </c>
      <c r="H202" t="s">
        <v>1635</v>
      </c>
      <c r="I202" t="s">
        <v>1031</v>
      </c>
      <c r="J202" t="s">
        <v>990</v>
      </c>
      <c r="K202" t="s">
        <v>1032</v>
      </c>
      <c r="L202" t="b">
        <f>Data_Completeness(MileageData[[#This Row],[MPG]:[Acceleration]])</f>
        <v>1</v>
      </c>
    </row>
    <row r="203" spans="1:12" x14ac:dyDescent="0.25">
      <c r="A203">
        <v>22.5</v>
      </c>
      <c r="B203">
        <v>6</v>
      </c>
      <c r="C203">
        <v>232</v>
      </c>
      <c r="D203">
        <v>90</v>
      </c>
      <c r="E203">
        <v>3085</v>
      </c>
      <c r="F203">
        <v>17.600000000000001</v>
      </c>
      <c r="G203">
        <v>76</v>
      </c>
      <c r="H203" t="s">
        <v>1635</v>
      </c>
      <c r="I203" t="s">
        <v>1029</v>
      </c>
      <c r="J203" t="s">
        <v>987</v>
      </c>
      <c r="K203" t="s">
        <v>1030</v>
      </c>
      <c r="L203" t="b">
        <f>Data_Completeness(MileageData[[#This Row],[MPG]:[Acceleration]])</f>
        <v>1</v>
      </c>
    </row>
    <row r="204" spans="1:12" x14ac:dyDescent="0.25">
      <c r="A204">
        <v>29</v>
      </c>
      <c r="B204">
        <v>4</v>
      </c>
      <c r="C204">
        <v>85</v>
      </c>
      <c r="D204">
        <v>52</v>
      </c>
      <c r="E204">
        <v>2035</v>
      </c>
      <c r="F204">
        <v>22.2</v>
      </c>
      <c r="G204">
        <v>76</v>
      </c>
      <c r="H204" t="s">
        <v>1635</v>
      </c>
      <c r="I204" t="s">
        <v>1289</v>
      </c>
      <c r="J204" t="s">
        <v>978</v>
      </c>
      <c r="K204" t="s">
        <v>1290</v>
      </c>
      <c r="L204" t="b">
        <f>Data_Completeness(MileageData[[#This Row],[MPG]:[Acceleration]])</f>
        <v>1</v>
      </c>
    </row>
    <row r="205" spans="1:12" x14ac:dyDescent="0.25">
      <c r="A205">
        <v>24.5</v>
      </c>
      <c r="B205">
        <v>4</v>
      </c>
      <c r="C205">
        <v>98</v>
      </c>
      <c r="D205">
        <v>60</v>
      </c>
      <c r="E205">
        <v>2164</v>
      </c>
      <c r="F205">
        <v>22.1</v>
      </c>
      <c r="G205">
        <v>76</v>
      </c>
      <c r="H205" t="s">
        <v>1635</v>
      </c>
      <c r="I205" t="s">
        <v>1291</v>
      </c>
      <c r="J205" t="s">
        <v>978</v>
      </c>
      <c r="K205" t="s">
        <v>1292</v>
      </c>
      <c r="L205" t="b">
        <f>Data_Completeness(MileageData[[#This Row],[MPG]:[Acceleration]])</f>
        <v>1</v>
      </c>
    </row>
    <row r="206" spans="1:12" x14ac:dyDescent="0.25">
      <c r="A206">
        <v>29</v>
      </c>
      <c r="B206">
        <v>4</v>
      </c>
      <c r="C206">
        <v>90</v>
      </c>
      <c r="D206">
        <v>70</v>
      </c>
      <c r="E206">
        <v>1937</v>
      </c>
      <c r="F206">
        <v>14.2</v>
      </c>
      <c r="G206">
        <v>76</v>
      </c>
      <c r="H206" t="s">
        <v>1636</v>
      </c>
      <c r="I206" t="s">
        <v>1293</v>
      </c>
      <c r="J206" t="s">
        <v>1294</v>
      </c>
      <c r="K206" t="s">
        <v>1274</v>
      </c>
      <c r="L206" t="b">
        <f>Data_Completeness(MileageData[[#This Row],[MPG]:[Acceleration]])</f>
        <v>1</v>
      </c>
    </row>
    <row r="207" spans="1:12" x14ac:dyDescent="0.25">
      <c r="A207">
        <v>33</v>
      </c>
      <c r="B207">
        <v>4</v>
      </c>
      <c r="C207">
        <v>91</v>
      </c>
      <c r="D207">
        <v>53</v>
      </c>
      <c r="E207">
        <v>1795</v>
      </c>
      <c r="F207">
        <v>17.399999999999999</v>
      </c>
      <c r="G207">
        <v>76</v>
      </c>
      <c r="H207" t="s">
        <v>1637</v>
      </c>
      <c r="I207" t="s">
        <v>1243</v>
      </c>
      <c r="J207" t="s">
        <v>1244</v>
      </c>
      <c r="K207" t="s">
        <v>1245</v>
      </c>
      <c r="L207" t="b">
        <f>Data_Completeness(MileageData[[#This Row],[MPG]:[Acceleration]])</f>
        <v>1</v>
      </c>
    </row>
    <row r="208" spans="1:12" x14ac:dyDescent="0.25">
      <c r="A208">
        <v>20</v>
      </c>
      <c r="B208">
        <v>6</v>
      </c>
      <c r="C208">
        <v>225</v>
      </c>
      <c r="D208">
        <v>100</v>
      </c>
      <c r="E208">
        <v>3651</v>
      </c>
      <c r="F208">
        <v>17.7</v>
      </c>
      <c r="G208">
        <v>76</v>
      </c>
      <c r="H208" t="s">
        <v>1635</v>
      </c>
      <c r="I208" t="s">
        <v>1295</v>
      </c>
      <c r="J208" t="s">
        <v>1015</v>
      </c>
      <c r="K208" t="s">
        <v>1296</v>
      </c>
      <c r="L208" t="b">
        <f>Data_Completeness(MileageData[[#This Row],[MPG]:[Acceleration]])</f>
        <v>1</v>
      </c>
    </row>
    <row r="209" spans="1:12" x14ac:dyDescent="0.25">
      <c r="A209">
        <v>18</v>
      </c>
      <c r="B209">
        <v>6</v>
      </c>
      <c r="C209">
        <v>250</v>
      </c>
      <c r="D209">
        <v>78</v>
      </c>
      <c r="E209">
        <v>3574</v>
      </c>
      <c r="F209">
        <v>21</v>
      </c>
      <c r="G209">
        <v>76</v>
      </c>
      <c r="H209" t="s">
        <v>1635</v>
      </c>
      <c r="I209" t="s">
        <v>1297</v>
      </c>
      <c r="J209" t="s">
        <v>990</v>
      </c>
      <c r="K209" t="s">
        <v>1298</v>
      </c>
      <c r="L209" t="b">
        <f>Data_Completeness(MileageData[[#This Row],[MPG]:[Acceleration]])</f>
        <v>1</v>
      </c>
    </row>
    <row r="210" spans="1:12" x14ac:dyDescent="0.25">
      <c r="A210">
        <v>18.5</v>
      </c>
      <c r="B210">
        <v>6</v>
      </c>
      <c r="C210">
        <v>250</v>
      </c>
      <c r="D210">
        <v>110</v>
      </c>
      <c r="E210">
        <v>3645</v>
      </c>
      <c r="F210">
        <v>16.2</v>
      </c>
      <c r="G210">
        <v>76</v>
      </c>
      <c r="H210" t="s">
        <v>1635</v>
      </c>
      <c r="I210" t="s">
        <v>1299</v>
      </c>
      <c r="J210" t="s">
        <v>999</v>
      </c>
      <c r="K210" t="s">
        <v>1300</v>
      </c>
      <c r="L210" t="b">
        <f>Data_Completeness(MileageData[[#This Row],[MPG]:[Acceleration]])</f>
        <v>1</v>
      </c>
    </row>
    <row r="211" spans="1:12" x14ac:dyDescent="0.25">
      <c r="A211">
        <v>17.5</v>
      </c>
      <c r="B211">
        <v>6</v>
      </c>
      <c r="C211">
        <v>258</v>
      </c>
      <c r="D211">
        <v>95</v>
      </c>
      <c r="E211">
        <v>3193</v>
      </c>
      <c r="F211">
        <v>17.8</v>
      </c>
      <c r="G211">
        <v>76</v>
      </c>
      <c r="H211" t="s">
        <v>1635</v>
      </c>
      <c r="I211" t="s">
        <v>1301</v>
      </c>
      <c r="J211" t="s">
        <v>987</v>
      </c>
      <c r="K211" t="s">
        <v>1302</v>
      </c>
      <c r="L211" t="b">
        <f>Data_Completeness(MileageData[[#This Row],[MPG]:[Acceleration]])</f>
        <v>1</v>
      </c>
    </row>
    <row r="212" spans="1:12" x14ac:dyDescent="0.25">
      <c r="A212">
        <v>29.5</v>
      </c>
      <c r="B212">
        <v>4</v>
      </c>
      <c r="C212">
        <v>97</v>
      </c>
      <c r="D212">
        <v>71</v>
      </c>
      <c r="E212">
        <v>1825</v>
      </c>
      <c r="F212">
        <v>12.2</v>
      </c>
      <c r="G212">
        <v>76</v>
      </c>
      <c r="H212" t="s">
        <v>1636</v>
      </c>
      <c r="I212" t="s">
        <v>1273</v>
      </c>
      <c r="J212" t="s">
        <v>1037</v>
      </c>
      <c r="K212" t="s">
        <v>1274</v>
      </c>
      <c r="L212" t="b">
        <f>Data_Completeness(MileageData[[#This Row],[MPG]:[Acceleration]])</f>
        <v>1</v>
      </c>
    </row>
    <row r="213" spans="1:12" x14ac:dyDescent="0.25">
      <c r="A213">
        <v>32</v>
      </c>
      <c r="B213">
        <v>4</v>
      </c>
      <c r="C213">
        <v>85</v>
      </c>
      <c r="D213">
        <v>70</v>
      </c>
      <c r="E213">
        <v>1990</v>
      </c>
      <c r="F213">
        <v>17</v>
      </c>
      <c r="G213">
        <v>76</v>
      </c>
      <c r="H213" t="s">
        <v>1637</v>
      </c>
      <c r="I213" t="s">
        <v>1303</v>
      </c>
      <c r="J213" t="s">
        <v>1034</v>
      </c>
      <c r="K213" t="s">
        <v>1304</v>
      </c>
      <c r="L213" t="b">
        <f>Data_Completeness(MileageData[[#This Row],[MPG]:[Acceleration]])</f>
        <v>1</v>
      </c>
    </row>
    <row r="214" spans="1:12" x14ac:dyDescent="0.25">
      <c r="A214">
        <v>28</v>
      </c>
      <c r="B214">
        <v>4</v>
      </c>
      <c r="C214">
        <v>97</v>
      </c>
      <c r="D214">
        <v>75</v>
      </c>
      <c r="E214">
        <v>2155</v>
      </c>
      <c r="F214">
        <v>16.399999999999999</v>
      </c>
      <c r="G214">
        <v>76</v>
      </c>
      <c r="H214" t="s">
        <v>1637</v>
      </c>
      <c r="I214" t="s">
        <v>1269</v>
      </c>
      <c r="J214" t="s">
        <v>1025</v>
      </c>
      <c r="K214" t="s">
        <v>1270</v>
      </c>
      <c r="L214" t="b">
        <f>Data_Completeness(MileageData[[#This Row],[MPG]:[Acceleration]])</f>
        <v>1</v>
      </c>
    </row>
    <row r="215" spans="1:12" x14ac:dyDescent="0.25">
      <c r="A215">
        <v>26.5</v>
      </c>
      <c r="B215">
        <v>4</v>
      </c>
      <c r="C215">
        <v>140</v>
      </c>
      <c r="D215">
        <v>72</v>
      </c>
      <c r="E215">
        <v>2565</v>
      </c>
      <c r="F215">
        <v>13.6</v>
      </c>
      <c r="G215">
        <v>76</v>
      </c>
      <c r="H215" t="s">
        <v>1635</v>
      </c>
      <c r="I215" t="s">
        <v>1065</v>
      </c>
      <c r="J215" t="s">
        <v>990</v>
      </c>
      <c r="K215" t="s">
        <v>1066</v>
      </c>
      <c r="L215" t="b">
        <f>Data_Completeness(MileageData[[#This Row],[MPG]:[Acceleration]])</f>
        <v>1</v>
      </c>
    </row>
    <row r="216" spans="1:12" x14ac:dyDescent="0.25">
      <c r="A216">
        <v>20</v>
      </c>
      <c r="B216">
        <v>4</v>
      </c>
      <c r="C216">
        <v>130</v>
      </c>
      <c r="D216">
        <v>102</v>
      </c>
      <c r="E216">
        <v>3150</v>
      </c>
      <c r="F216">
        <v>15.7</v>
      </c>
      <c r="G216">
        <v>76</v>
      </c>
      <c r="H216" t="s">
        <v>1636</v>
      </c>
      <c r="I216" t="s">
        <v>1305</v>
      </c>
      <c r="J216" t="s">
        <v>1139</v>
      </c>
      <c r="K216">
        <v>245</v>
      </c>
      <c r="L216" t="b">
        <f>Data_Completeness(MileageData[[#This Row],[MPG]:[Acceleration]])</f>
        <v>1</v>
      </c>
    </row>
    <row r="217" spans="1:12" x14ac:dyDescent="0.25">
      <c r="A217">
        <v>13</v>
      </c>
      <c r="B217">
        <v>8</v>
      </c>
      <c r="C217">
        <v>318</v>
      </c>
      <c r="D217">
        <v>150</v>
      </c>
      <c r="E217">
        <v>3940</v>
      </c>
      <c r="F217">
        <v>13.2</v>
      </c>
      <c r="G217">
        <v>76</v>
      </c>
      <c r="H217" t="s">
        <v>1635</v>
      </c>
      <c r="I217" t="s">
        <v>1306</v>
      </c>
      <c r="J217" t="s">
        <v>984</v>
      </c>
      <c r="K217" t="s">
        <v>1307</v>
      </c>
      <c r="L217" t="b">
        <f>Data_Completeness(MileageData[[#This Row],[MPG]:[Acceleration]])</f>
        <v>1</v>
      </c>
    </row>
    <row r="218" spans="1:12" x14ac:dyDescent="0.25">
      <c r="A218">
        <v>19</v>
      </c>
      <c r="B218">
        <v>4</v>
      </c>
      <c r="C218">
        <v>120</v>
      </c>
      <c r="D218">
        <v>88</v>
      </c>
      <c r="E218">
        <v>3270</v>
      </c>
      <c r="F218">
        <v>21.9</v>
      </c>
      <c r="G218">
        <v>76</v>
      </c>
      <c r="H218" t="s">
        <v>1636</v>
      </c>
      <c r="I218" t="s">
        <v>1039</v>
      </c>
      <c r="J218" t="s">
        <v>1040</v>
      </c>
      <c r="K218">
        <v>504</v>
      </c>
      <c r="L218" t="b">
        <f>Data_Completeness(MileageData[[#This Row],[MPG]:[Acceleration]])</f>
        <v>1</v>
      </c>
    </row>
    <row r="219" spans="1:12" x14ac:dyDescent="0.25">
      <c r="A219">
        <v>19</v>
      </c>
      <c r="B219">
        <v>6</v>
      </c>
      <c r="C219">
        <v>156</v>
      </c>
      <c r="D219">
        <v>108</v>
      </c>
      <c r="E219">
        <v>2930</v>
      </c>
      <c r="F219">
        <v>15.5</v>
      </c>
      <c r="G219">
        <v>76</v>
      </c>
      <c r="H219" t="s">
        <v>1637</v>
      </c>
      <c r="I219" t="s">
        <v>1218</v>
      </c>
      <c r="J219" t="s">
        <v>1025</v>
      </c>
      <c r="K219" t="s">
        <v>1219</v>
      </c>
      <c r="L219" t="b">
        <f>Data_Completeness(MileageData[[#This Row],[MPG]:[Acceleration]])</f>
        <v>1</v>
      </c>
    </row>
    <row r="220" spans="1:12" x14ac:dyDescent="0.25">
      <c r="A220">
        <v>16.5</v>
      </c>
      <c r="B220">
        <v>6</v>
      </c>
      <c r="C220">
        <v>168</v>
      </c>
      <c r="D220">
        <v>120</v>
      </c>
      <c r="E220">
        <v>3820</v>
      </c>
      <c r="F220">
        <v>16.7</v>
      </c>
      <c r="G220">
        <v>76</v>
      </c>
      <c r="H220" t="s">
        <v>1636</v>
      </c>
      <c r="I220" t="s">
        <v>1308</v>
      </c>
      <c r="J220" t="s">
        <v>1309</v>
      </c>
      <c r="K220" t="s">
        <v>1310</v>
      </c>
      <c r="L220" t="b">
        <f>Data_Completeness(MileageData[[#This Row],[MPG]:[Acceleration]])</f>
        <v>1</v>
      </c>
    </row>
    <row r="221" spans="1:12" x14ac:dyDescent="0.25">
      <c r="A221">
        <v>16.5</v>
      </c>
      <c r="B221">
        <v>8</v>
      </c>
      <c r="C221">
        <v>350</v>
      </c>
      <c r="D221">
        <v>180</v>
      </c>
      <c r="E221">
        <v>4380</v>
      </c>
      <c r="F221">
        <v>12.1</v>
      </c>
      <c r="G221">
        <v>76</v>
      </c>
      <c r="H221" t="s">
        <v>1635</v>
      </c>
      <c r="I221" t="s">
        <v>1311</v>
      </c>
      <c r="J221" t="s">
        <v>1312</v>
      </c>
      <c r="K221" t="s">
        <v>1313</v>
      </c>
      <c r="L221" t="b">
        <f>Data_Completeness(MileageData[[#This Row],[MPG]:[Acceleration]])</f>
        <v>1</v>
      </c>
    </row>
    <row r="222" spans="1:12" x14ac:dyDescent="0.25">
      <c r="A222">
        <v>13</v>
      </c>
      <c r="B222">
        <v>8</v>
      </c>
      <c r="C222">
        <v>350</v>
      </c>
      <c r="D222">
        <v>145</v>
      </c>
      <c r="E222">
        <v>4055</v>
      </c>
      <c r="F222">
        <v>12</v>
      </c>
      <c r="G222">
        <v>76</v>
      </c>
      <c r="H222" t="s">
        <v>1635</v>
      </c>
      <c r="I222" t="s">
        <v>1314</v>
      </c>
      <c r="J222" t="s">
        <v>1054</v>
      </c>
      <c r="K222" t="s">
        <v>1315</v>
      </c>
      <c r="L222" t="b">
        <f>Data_Completeness(MileageData[[#This Row],[MPG]:[Acceleration]])</f>
        <v>1</v>
      </c>
    </row>
    <row r="223" spans="1:12" x14ac:dyDescent="0.25">
      <c r="A223">
        <v>13</v>
      </c>
      <c r="B223">
        <v>8</v>
      </c>
      <c r="C223">
        <v>302</v>
      </c>
      <c r="D223">
        <v>130</v>
      </c>
      <c r="E223">
        <v>3870</v>
      </c>
      <c r="F223">
        <v>15</v>
      </c>
      <c r="G223">
        <v>76</v>
      </c>
      <c r="H223" t="s">
        <v>1635</v>
      </c>
      <c r="I223" t="s">
        <v>1316</v>
      </c>
      <c r="J223" t="s">
        <v>990</v>
      </c>
      <c r="K223" t="s">
        <v>1317</v>
      </c>
      <c r="L223" t="b">
        <f>Data_Completeness(MileageData[[#This Row],[MPG]:[Acceleration]])</f>
        <v>1</v>
      </c>
    </row>
    <row r="224" spans="1:12" x14ac:dyDescent="0.25">
      <c r="A224">
        <v>13</v>
      </c>
      <c r="B224">
        <v>8</v>
      </c>
      <c r="C224">
        <v>318</v>
      </c>
      <c r="D224">
        <v>150</v>
      </c>
      <c r="E224">
        <v>3755</v>
      </c>
      <c r="F224">
        <v>14</v>
      </c>
      <c r="G224">
        <v>76</v>
      </c>
      <c r="H224" t="s">
        <v>1635</v>
      </c>
      <c r="I224" t="s">
        <v>1318</v>
      </c>
      <c r="J224" t="s">
        <v>1015</v>
      </c>
      <c r="K224" t="s">
        <v>1319</v>
      </c>
      <c r="L224" t="b">
        <f>Data_Completeness(MileageData[[#This Row],[MPG]:[Acceleration]])</f>
        <v>1</v>
      </c>
    </row>
    <row r="225" spans="1:12" x14ac:dyDescent="0.25">
      <c r="A225">
        <v>31.5</v>
      </c>
      <c r="B225">
        <v>4</v>
      </c>
      <c r="C225">
        <v>98</v>
      </c>
      <c r="D225">
        <v>68</v>
      </c>
      <c r="E225">
        <v>2045</v>
      </c>
      <c r="F225">
        <v>18.5</v>
      </c>
      <c r="G225">
        <v>77</v>
      </c>
      <c r="H225" t="s">
        <v>1637</v>
      </c>
      <c r="I225" t="s">
        <v>1320</v>
      </c>
      <c r="J225" t="s">
        <v>1244</v>
      </c>
      <c r="K225" t="s">
        <v>1321</v>
      </c>
      <c r="L225" t="b">
        <f>Data_Completeness(MileageData[[#This Row],[MPG]:[Acceleration]])</f>
        <v>1</v>
      </c>
    </row>
    <row r="226" spans="1:12" x14ac:dyDescent="0.25">
      <c r="A226">
        <v>30</v>
      </c>
      <c r="B226">
        <v>4</v>
      </c>
      <c r="C226">
        <v>111</v>
      </c>
      <c r="D226">
        <v>80</v>
      </c>
      <c r="E226">
        <v>2155</v>
      </c>
      <c r="F226">
        <v>14.8</v>
      </c>
      <c r="G226">
        <v>77</v>
      </c>
      <c r="H226" t="s">
        <v>1635</v>
      </c>
      <c r="I226" t="s">
        <v>1322</v>
      </c>
      <c r="J226" t="s">
        <v>981</v>
      </c>
      <c r="K226" t="s">
        <v>1323</v>
      </c>
      <c r="L226" t="b">
        <f>Data_Completeness(MileageData[[#This Row],[MPG]:[Acceleration]])</f>
        <v>1</v>
      </c>
    </row>
    <row r="227" spans="1:12" x14ac:dyDescent="0.25">
      <c r="A227">
        <v>36</v>
      </c>
      <c r="B227">
        <v>4</v>
      </c>
      <c r="C227">
        <v>79</v>
      </c>
      <c r="D227">
        <v>58</v>
      </c>
      <c r="E227">
        <v>1825</v>
      </c>
      <c r="F227">
        <v>18.600000000000001</v>
      </c>
      <c r="G227">
        <v>77</v>
      </c>
      <c r="H227" t="s">
        <v>1636</v>
      </c>
      <c r="I227" t="s">
        <v>1324</v>
      </c>
      <c r="J227" t="s">
        <v>1146</v>
      </c>
      <c r="K227" t="s">
        <v>1325</v>
      </c>
      <c r="L227" t="b">
        <f>Data_Completeness(MileageData[[#This Row],[MPG]:[Acceleration]])</f>
        <v>1</v>
      </c>
    </row>
    <row r="228" spans="1:12" x14ac:dyDescent="0.25">
      <c r="A228">
        <v>25.5</v>
      </c>
      <c r="B228">
        <v>4</v>
      </c>
      <c r="C228">
        <v>122</v>
      </c>
      <c r="D228">
        <v>96</v>
      </c>
      <c r="E228">
        <v>2300</v>
      </c>
      <c r="F228">
        <v>15.5</v>
      </c>
      <c r="G228">
        <v>77</v>
      </c>
      <c r="H228" t="s">
        <v>1635</v>
      </c>
      <c r="I228" t="s">
        <v>1326</v>
      </c>
      <c r="J228" t="s">
        <v>984</v>
      </c>
      <c r="K228" t="s">
        <v>1327</v>
      </c>
      <c r="L228" t="b">
        <f>Data_Completeness(MileageData[[#This Row],[MPG]:[Acceleration]])</f>
        <v>1</v>
      </c>
    </row>
    <row r="229" spans="1:12" x14ac:dyDescent="0.25">
      <c r="A229">
        <v>33.5</v>
      </c>
      <c r="B229">
        <v>4</v>
      </c>
      <c r="C229">
        <v>85</v>
      </c>
      <c r="D229">
        <v>70</v>
      </c>
      <c r="E229">
        <v>1945</v>
      </c>
      <c r="F229">
        <v>16.8</v>
      </c>
      <c r="G229">
        <v>77</v>
      </c>
      <c r="H229" t="s">
        <v>1637</v>
      </c>
      <c r="I229" t="s">
        <v>1328</v>
      </c>
      <c r="J229" t="s">
        <v>1034</v>
      </c>
      <c r="K229" t="s">
        <v>1329</v>
      </c>
      <c r="L229" t="b">
        <f>Data_Completeness(MileageData[[#This Row],[MPG]:[Acceleration]])</f>
        <v>1</v>
      </c>
    </row>
    <row r="230" spans="1:12" x14ac:dyDescent="0.25">
      <c r="A230">
        <v>17.5</v>
      </c>
      <c r="B230">
        <v>8</v>
      </c>
      <c r="C230">
        <v>305</v>
      </c>
      <c r="D230">
        <v>145</v>
      </c>
      <c r="E230">
        <v>3880</v>
      </c>
      <c r="F230">
        <v>12.5</v>
      </c>
      <c r="G230">
        <v>77</v>
      </c>
      <c r="H230" t="s">
        <v>1635</v>
      </c>
      <c r="I230" t="s">
        <v>1169</v>
      </c>
      <c r="J230" t="s">
        <v>978</v>
      </c>
      <c r="K230" t="s">
        <v>1170</v>
      </c>
      <c r="L230" t="b">
        <f>Data_Completeness(MileageData[[#This Row],[MPG]:[Acceleration]])</f>
        <v>1</v>
      </c>
    </row>
    <row r="231" spans="1:12" x14ac:dyDescent="0.25">
      <c r="A231">
        <v>17</v>
      </c>
      <c r="B231">
        <v>8</v>
      </c>
      <c r="C231">
        <v>260</v>
      </c>
      <c r="D231">
        <v>110</v>
      </c>
      <c r="E231">
        <v>4060</v>
      </c>
      <c r="F231">
        <v>19</v>
      </c>
      <c r="G231">
        <v>77</v>
      </c>
      <c r="H231" t="s">
        <v>1635</v>
      </c>
      <c r="I231" t="s">
        <v>1330</v>
      </c>
      <c r="J231" t="s">
        <v>1124</v>
      </c>
      <c r="K231" t="s">
        <v>1331</v>
      </c>
      <c r="L231" t="b">
        <f>Data_Completeness(MileageData[[#This Row],[MPG]:[Acceleration]])</f>
        <v>1</v>
      </c>
    </row>
    <row r="232" spans="1:12" x14ac:dyDescent="0.25">
      <c r="A232">
        <v>15.5</v>
      </c>
      <c r="B232">
        <v>8</v>
      </c>
      <c r="C232">
        <v>318</v>
      </c>
      <c r="D232">
        <v>145</v>
      </c>
      <c r="E232">
        <v>4140</v>
      </c>
      <c r="F232">
        <v>13.7</v>
      </c>
      <c r="G232">
        <v>77</v>
      </c>
      <c r="H232" t="s">
        <v>1635</v>
      </c>
      <c r="I232" t="s">
        <v>1332</v>
      </c>
      <c r="J232" t="s">
        <v>1015</v>
      </c>
      <c r="K232" t="s">
        <v>1333</v>
      </c>
      <c r="L232" t="b">
        <f>Data_Completeness(MileageData[[#This Row],[MPG]:[Acceleration]])</f>
        <v>1</v>
      </c>
    </row>
    <row r="233" spans="1:12" x14ac:dyDescent="0.25">
      <c r="A233">
        <v>15</v>
      </c>
      <c r="B233">
        <v>8</v>
      </c>
      <c r="C233">
        <v>302</v>
      </c>
      <c r="D233">
        <v>130</v>
      </c>
      <c r="E233">
        <v>4295</v>
      </c>
      <c r="F233">
        <v>14.9</v>
      </c>
      <c r="G233">
        <v>77</v>
      </c>
      <c r="H233" t="s">
        <v>1635</v>
      </c>
      <c r="I233" t="s">
        <v>1334</v>
      </c>
      <c r="J233" t="s">
        <v>1092</v>
      </c>
      <c r="K233" t="s">
        <v>1335</v>
      </c>
      <c r="L233" t="b">
        <f>Data_Completeness(MileageData[[#This Row],[MPG]:[Acceleration]])</f>
        <v>1</v>
      </c>
    </row>
    <row r="234" spans="1:12" x14ac:dyDescent="0.25">
      <c r="A234">
        <v>17.5</v>
      </c>
      <c r="B234">
        <v>6</v>
      </c>
      <c r="C234">
        <v>250</v>
      </c>
      <c r="D234">
        <v>110</v>
      </c>
      <c r="E234">
        <v>3520</v>
      </c>
      <c r="F234">
        <v>16.399999999999999</v>
      </c>
      <c r="G234">
        <v>77</v>
      </c>
      <c r="H234" t="s">
        <v>1635</v>
      </c>
      <c r="I234" t="s">
        <v>1336</v>
      </c>
      <c r="J234" t="s">
        <v>978</v>
      </c>
      <c r="K234" t="s">
        <v>1337</v>
      </c>
      <c r="L234" t="b">
        <f>Data_Completeness(MileageData[[#This Row],[MPG]:[Acceleration]])</f>
        <v>1</v>
      </c>
    </row>
    <row r="235" spans="1:12" x14ac:dyDescent="0.25">
      <c r="A235">
        <v>20.5</v>
      </c>
      <c r="B235">
        <v>6</v>
      </c>
      <c r="C235">
        <v>231</v>
      </c>
      <c r="D235">
        <v>105</v>
      </c>
      <c r="E235">
        <v>3425</v>
      </c>
      <c r="F235">
        <v>16.899999999999999</v>
      </c>
      <c r="G235">
        <v>77</v>
      </c>
      <c r="H235" t="s">
        <v>1635</v>
      </c>
      <c r="I235" t="s">
        <v>1338</v>
      </c>
      <c r="J235" t="s">
        <v>981</v>
      </c>
      <c r="K235" t="s">
        <v>1339</v>
      </c>
      <c r="L235" t="b">
        <f>Data_Completeness(MileageData[[#This Row],[MPG]:[Acceleration]])</f>
        <v>1</v>
      </c>
    </row>
    <row r="236" spans="1:12" x14ac:dyDescent="0.25">
      <c r="A236">
        <v>19</v>
      </c>
      <c r="B236">
        <v>6</v>
      </c>
      <c r="C236">
        <v>225</v>
      </c>
      <c r="D236">
        <v>100</v>
      </c>
      <c r="E236">
        <v>3630</v>
      </c>
      <c r="F236">
        <v>17.7</v>
      </c>
      <c r="G236">
        <v>77</v>
      </c>
      <c r="H236" t="s">
        <v>1635</v>
      </c>
      <c r="I236" t="s">
        <v>1340</v>
      </c>
      <c r="J236" t="s">
        <v>984</v>
      </c>
      <c r="K236" t="s">
        <v>1341</v>
      </c>
      <c r="L236" t="b">
        <f>Data_Completeness(MileageData[[#This Row],[MPG]:[Acceleration]])</f>
        <v>1</v>
      </c>
    </row>
    <row r="237" spans="1:12" x14ac:dyDescent="0.25">
      <c r="A237">
        <v>18.5</v>
      </c>
      <c r="B237">
        <v>6</v>
      </c>
      <c r="C237">
        <v>250</v>
      </c>
      <c r="D237">
        <v>98</v>
      </c>
      <c r="E237">
        <v>3525</v>
      </c>
      <c r="F237">
        <v>19</v>
      </c>
      <c r="G237">
        <v>77</v>
      </c>
      <c r="H237" t="s">
        <v>1635</v>
      </c>
      <c r="I237" t="s">
        <v>1342</v>
      </c>
      <c r="J237" t="s">
        <v>990</v>
      </c>
      <c r="K237" t="s">
        <v>1343</v>
      </c>
      <c r="L237" t="b">
        <f>Data_Completeness(MileageData[[#This Row],[MPG]:[Acceleration]])</f>
        <v>1</v>
      </c>
    </row>
    <row r="238" spans="1:12" x14ac:dyDescent="0.25">
      <c r="A238">
        <v>16</v>
      </c>
      <c r="B238">
        <v>8</v>
      </c>
      <c r="C238">
        <v>400</v>
      </c>
      <c r="D238">
        <v>180</v>
      </c>
      <c r="E238">
        <v>4220</v>
      </c>
      <c r="F238">
        <v>11.1</v>
      </c>
      <c r="G238">
        <v>77</v>
      </c>
      <c r="H238" t="s">
        <v>1635</v>
      </c>
      <c r="I238" t="s">
        <v>1344</v>
      </c>
      <c r="J238" t="s">
        <v>999</v>
      </c>
      <c r="K238" t="s">
        <v>1345</v>
      </c>
      <c r="L238" t="b">
        <f>Data_Completeness(MileageData[[#This Row],[MPG]:[Acceleration]])</f>
        <v>1</v>
      </c>
    </row>
    <row r="239" spans="1:12" x14ac:dyDescent="0.25">
      <c r="A239">
        <v>15.5</v>
      </c>
      <c r="B239">
        <v>8</v>
      </c>
      <c r="C239">
        <v>350</v>
      </c>
      <c r="D239">
        <v>170</v>
      </c>
      <c r="E239">
        <v>4165</v>
      </c>
      <c r="F239">
        <v>11.4</v>
      </c>
      <c r="G239">
        <v>77</v>
      </c>
      <c r="H239" t="s">
        <v>1635</v>
      </c>
      <c r="I239" t="s">
        <v>1346</v>
      </c>
      <c r="J239" t="s">
        <v>978</v>
      </c>
      <c r="K239" t="s">
        <v>1347</v>
      </c>
      <c r="L239" t="b">
        <f>Data_Completeness(MileageData[[#This Row],[MPG]:[Acceleration]])</f>
        <v>1</v>
      </c>
    </row>
    <row r="240" spans="1:12" x14ac:dyDescent="0.25">
      <c r="A240">
        <v>15.5</v>
      </c>
      <c r="B240">
        <v>8</v>
      </c>
      <c r="C240">
        <v>400</v>
      </c>
      <c r="D240">
        <v>190</v>
      </c>
      <c r="E240">
        <v>4325</v>
      </c>
      <c r="F240">
        <v>12.2</v>
      </c>
      <c r="G240">
        <v>77</v>
      </c>
      <c r="H240" t="s">
        <v>1635</v>
      </c>
      <c r="I240" t="s">
        <v>1348</v>
      </c>
      <c r="J240" t="s">
        <v>1127</v>
      </c>
      <c r="K240" t="s">
        <v>1349</v>
      </c>
      <c r="L240" t="b">
        <f>Data_Completeness(MileageData[[#This Row],[MPG]:[Acceleration]])</f>
        <v>1</v>
      </c>
    </row>
    <row r="241" spans="1:12" x14ac:dyDescent="0.25">
      <c r="A241">
        <v>16</v>
      </c>
      <c r="B241">
        <v>8</v>
      </c>
      <c r="C241">
        <v>351</v>
      </c>
      <c r="D241">
        <v>149</v>
      </c>
      <c r="E241">
        <v>4335</v>
      </c>
      <c r="F241">
        <v>14.5</v>
      </c>
      <c r="G241">
        <v>77</v>
      </c>
      <c r="H241" t="s">
        <v>1635</v>
      </c>
      <c r="I241" t="s">
        <v>1350</v>
      </c>
      <c r="J241" t="s">
        <v>990</v>
      </c>
      <c r="K241" t="s">
        <v>1351</v>
      </c>
      <c r="L241" t="b">
        <f>Data_Completeness(MileageData[[#This Row],[MPG]:[Acceleration]])</f>
        <v>1</v>
      </c>
    </row>
    <row r="242" spans="1:12" x14ac:dyDescent="0.25">
      <c r="A242">
        <v>29</v>
      </c>
      <c r="B242">
        <v>4</v>
      </c>
      <c r="C242">
        <v>97</v>
      </c>
      <c r="D242">
        <v>78</v>
      </c>
      <c r="E242">
        <v>1940</v>
      </c>
      <c r="F242">
        <v>14.5</v>
      </c>
      <c r="G242">
        <v>77</v>
      </c>
      <c r="H242" t="s">
        <v>1636</v>
      </c>
      <c r="I242" t="s">
        <v>1352</v>
      </c>
      <c r="J242" t="s">
        <v>1037</v>
      </c>
      <c r="K242" t="s">
        <v>1353</v>
      </c>
      <c r="L242" t="b">
        <f>Data_Completeness(MileageData[[#This Row],[MPG]:[Acceleration]])</f>
        <v>1</v>
      </c>
    </row>
    <row r="243" spans="1:12" x14ac:dyDescent="0.25">
      <c r="A243">
        <v>24.5</v>
      </c>
      <c r="B243">
        <v>4</v>
      </c>
      <c r="C243">
        <v>151</v>
      </c>
      <c r="D243">
        <v>88</v>
      </c>
      <c r="E243">
        <v>2740</v>
      </c>
      <c r="F243">
        <v>16</v>
      </c>
      <c r="G243">
        <v>77</v>
      </c>
      <c r="H243" t="s">
        <v>1635</v>
      </c>
      <c r="I243" t="s">
        <v>1354</v>
      </c>
      <c r="J243" t="s">
        <v>999</v>
      </c>
      <c r="K243" t="s">
        <v>1355</v>
      </c>
      <c r="L243" t="b">
        <f>Data_Completeness(MileageData[[#This Row],[MPG]:[Acceleration]])</f>
        <v>1</v>
      </c>
    </row>
    <row r="244" spans="1:12" x14ac:dyDescent="0.25">
      <c r="A244">
        <v>26</v>
      </c>
      <c r="B244">
        <v>4</v>
      </c>
      <c r="C244">
        <v>97</v>
      </c>
      <c r="D244">
        <v>75</v>
      </c>
      <c r="E244">
        <v>2265</v>
      </c>
      <c r="F244">
        <v>18.2</v>
      </c>
      <c r="G244">
        <v>77</v>
      </c>
      <c r="H244" t="s">
        <v>1637</v>
      </c>
      <c r="I244" t="s">
        <v>1356</v>
      </c>
      <c r="J244" t="s">
        <v>1025</v>
      </c>
      <c r="K244" t="s">
        <v>1357</v>
      </c>
      <c r="L244" t="b">
        <f>Data_Completeness(MileageData[[#This Row],[MPG]:[Acceleration]])</f>
        <v>1</v>
      </c>
    </row>
    <row r="245" spans="1:12" x14ac:dyDescent="0.25">
      <c r="A245">
        <v>25.5</v>
      </c>
      <c r="B245">
        <v>4</v>
      </c>
      <c r="C245">
        <v>140</v>
      </c>
      <c r="D245">
        <v>89</v>
      </c>
      <c r="E245">
        <v>2755</v>
      </c>
      <c r="F245">
        <v>15.8</v>
      </c>
      <c r="G245">
        <v>77</v>
      </c>
      <c r="H245" t="s">
        <v>1635</v>
      </c>
      <c r="I245" t="s">
        <v>1358</v>
      </c>
      <c r="J245" t="s">
        <v>990</v>
      </c>
      <c r="K245" t="s">
        <v>1359</v>
      </c>
      <c r="L245" t="b">
        <f>Data_Completeness(MileageData[[#This Row],[MPG]:[Acceleration]])</f>
        <v>1</v>
      </c>
    </row>
    <row r="246" spans="1:12" x14ac:dyDescent="0.25">
      <c r="A246">
        <v>30.5</v>
      </c>
      <c r="B246">
        <v>4</v>
      </c>
      <c r="C246">
        <v>98</v>
      </c>
      <c r="D246">
        <v>63</v>
      </c>
      <c r="E246">
        <v>2051</v>
      </c>
      <c r="F246">
        <v>17</v>
      </c>
      <c r="G246">
        <v>77</v>
      </c>
      <c r="H246" t="s">
        <v>1635</v>
      </c>
      <c r="I246" t="s">
        <v>1289</v>
      </c>
      <c r="J246" t="s">
        <v>978</v>
      </c>
      <c r="K246" t="s">
        <v>1290</v>
      </c>
      <c r="L246" t="b">
        <f>Data_Completeness(MileageData[[#This Row],[MPG]:[Acceleration]])</f>
        <v>1</v>
      </c>
    </row>
    <row r="247" spans="1:12" x14ac:dyDescent="0.25">
      <c r="A247">
        <v>33.5</v>
      </c>
      <c r="B247">
        <v>4</v>
      </c>
      <c r="C247">
        <v>98</v>
      </c>
      <c r="D247">
        <v>83</v>
      </c>
      <c r="E247">
        <v>2075</v>
      </c>
      <c r="F247">
        <v>15.9</v>
      </c>
      <c r="G247">
        <v>77</v>
      </c>
      <c r="H247" t="s">
        <v>1635</v>
      </c>
      <c r="I247" t="s">
        <v>1360</v>
      </c>
      <c r="J247" t="s">
        <v>1015</v>
      </c>
      <c r="K247" t="s">
        <v>1361</v>
      </c>
      <c r="L247" t="b">
        <f>Data_Completeness(MileageData[[#This Row],[MPG]:[Acceleration]])</f>
        <v>1</v>
      </c>
    </row>
    <row r="248" spans="1:12" x14ac:dyDescent="0.25">
      <c r="A248">
        <v>30</v>
      </c>
      <c r="B248">
        <v>4</v>
      </c>
      <c r="C248">
        <v>97</v>
      </c>
      <c r="D248">
        <v>67</v>
      </c>
      <c r="E248">
        <v>1985</v>
      </c>
      <c r="F248">
        <v>16.399999999999999</v>
      </c>
      <c r="G248">
        <v>77</v>
      </c>
      <c r="H248" t="s">
        <v>1637</v>
      </c>
      <c r="I248" t="s">
        <v>1362</v>
      </c>
      <c r="J248" t="s">
        <v>1246</v>
      </c>
      <c r="K248" t="s">
        <v>1363</v>
      </c>
      <c r="L248" t="b">
        <f>Data_Completeness(MileageData[[#This Row],[MPG]:[Acceleration]])</f>
        <v>1</v>
      </c>
    </row>
    <row r="249" spans="1:12" x14ac:dyDescent="0.25">
      <c r="A249">
        <v>30.5</v>
      </c>
      <c r="B249">
        <v>4</v>
      </c>
      <c r="C249">
        <v>97</v>
      </c>
      <c r="D249">
        <v>78</v>
      </c>
      <c r="E249">
        <v>2190</v>
      </c>
      <c r="F249">
        <v>14.1</v>
      </c>
      <c r="G249">
        <v>77</v>
      </c>
      <c r="H249" t="s">
        <v>1636</v>
      </c>
      <c r="I249" t="s">
        <v>1236</v>
      </c>
      <c r="J249" t="s">
        <v>1037</v>
      </c>
      <c r="K249" t="s">
        <v>1237</v>
      </c>
      <c r="L249" t="b">
        <f>Data_Completeness(MileageData[[#This Row],[MPG]:[Acceleration]])</f>
        <v>1</v>
      </c>
    </row>
    <row r="250" spans="1:12" x14ac:dyDescent="0.25">
      <c r="A250">
        <v>22</v>
      </c>
      <c r="B250">
        <v>6</v>
      </c>
      <c r="C250">
        <v>146</v>
      </c>
      <c r="D250">
        <v>97</v>
      </c>
      <c r="E250">
        <v>2815</v>
      </c>
      <c r="F250">
        <v>14.5</v>
      </c>
      <c r="G250">
        <v>77</v>
      </c>
      <c r="H250" t="s">
        <v>1637</v>
      </c>
      <c r="I250" t="s">
        <v>1364</v>
      </c>
      <c r="J250" t="s">
        <v>1034</v>
      </c>
      <c r="K250">
        <v>810</v>
      </c>
      <c r="L250" t="b">
        <f>Data_Completeness(MileageData[[#This Row],[MPG]:[Acceleration]])</f>
        <v>1</v>
      </c>
    </row>
    <row r="251" spans="1:12" x14ac:dyDescent="0.25">
      <c r="A251">
        <v>21.5</v>
      </c>
      <c r="B251">
        <v>4</v>
      </c>
      <c r="C251">
        <v>121</v>
      </c>
      <c r="D251">
        <v>110</v>
      </c>
      <c r="E251">
        <v>2600</v>
      </c>
      <c r="F251">
        <v>12.8</v>
      </c>
      <c r="G251">
        <v>77</v>
      </c>
      <c r="H251" t="s">
        <v>1636</v>
      </c>
      <c r="I251" t="s">
        <v>1365</v>
      </c>
      <c r="J251" t="s">
        <v>1048</v>
      </c>
      <c r="K251" t="s">
        <v>1366</v>
      </c>
      <c r="L251" t="b">
        <f>Data_Completeness(MileageData[[#This Row],[MPG]:[Acceleration]])</f>
        <v>1</v>
      </c>
    </row>
    <row r="252" spans="1:12" x14ac:dyDescent="0.25">
      <c r="A252">
        <v>21.5</v>
      </c>
      <c r="B252">
        <v>3</v>
      </c>
      <c r="C252">
        <v>80</v>
      </c>
      <c r="D252">
        <v>110</v>
      </c>
      <c r="E252">
        <v>2720</v>
      </c>
      <c r="F252">
        <v>13.5</v>
      </c>
      <c r="G252">
        <v>77</v>
      </c>
      <c r="H252" t="s">
        <v>1637</v>
      </c>
      <c r="I252" t="s">
        <v>1367</v>
      </c>
      <c r="J252" t="s">
        <v>1130</v>
      </c>
      <c r="K252" t="s">
        <v>1368</v>
      </c>
      <c r="L252" t="b">
        <f>Data_Completeness(MileageData[[#This Row],[MPG]:[Acceleration]])</f>
        <v>1</v>
      </c>
    </row>
    <row r="253" spans="1:12" x14ac:dyDescent="0.25">
      <c r="A253">
        <v>43.1</v>
      </c>
      <c r="B253">
        <v>4</v>
      </c>
      <c r="C253">
        <v>90</v>
      </c>
      <c r="D253">
        <v>48</v>
      </c>
      <c r="E253">
        <v>1985</v>
      </c>
      <c r="F253">
        <v>21.5</v>
      </c>
      <c r="G253">
        <v>78</v>
      </c>
      <c r="H253" t="s">
        <v>1636</v>
      </c>
      <c r="I253" t="s">
        <v>1369</v>
      </c>
      <c r="J253" t="s">
        <v>1037</v>
      </c>
      <c r="K253" t="s">
        <v>1370</v>
      </c>
      <c r="L253" t="b">
        <f>Data_Completeness(MileageData[[#This Row],[MPG]:[Acceleration]])</f>
        <v>1</v>
      </c>
    </row>
    <row r="254" spans="1:12" x14ac:dyDescent="0.25">
      <c r="A254">
        <v>36.1</v>
      </c>
      <c r="B254">
        <v>4</v>
      </c>
      <c r="C254">
        <v>98</v>
      </c>
      <c r="D254">
        <v>66</v>
      </c>
      <c r="E254">
        <v>1800</v>
      </c>
      <c r="F254">
        <v>14.4</v>
      </c>
      <c r="G254">
        <v>78</v>
      </c>
      <c r="H254" t="s">
        <v>1635</v>
      </c>
      <c r="I254" t="s">
        <v>1371</v>
      </c>
      <c r="J254" t="s">
        <v>990</v>
      </c>
      <c r="K254" t="s">
        <v>1372</v>
      </c>
      <c r="L254" t="b">
        <f>Data_Completeness(MileageData[[#This Row],[MPG]:[Acceleration]])</f>
        <v>1</v>
      </c>
    </row>
    <row r="255" spans="1:12" x14ac:dyDescent="0.25">
      <c r="A255">
        <v>32.799999999999997</v>
      </c>
      <c r="B255">
        <v>4</v>
      </c>
      <c r="C255">
        <v>78</v>
      </c>
      <c r="D255">
        <v>52</v>
      </c>
      <c r="E255">
        <v>1985</v>
      </c>
      <c r="F255">
        <v>19.399999999999999</v>
      </c>
      <c r="G255">
        <v>78</v>
      </c>
      <c r="H255" t="s">
        <v>1637</v>
      </c>
      <c r="I255" t="s">
        <v>1373</v>
      </c>
      <c r="J255" t="s">
        <v>1130</v>
      </c>
      <c r="K255" t="s">
        <v>1374</v>
      </c>
      <c r="L255" t="b">
        <f>Data_Completeness(MileageData[[#This Row],[MPG]:[Acceleration]])</f>
        <v>1</v>
      </c>
    </row>
    <row r="256" spans="1:12" x14ac:dyDescent="0.25">
      <c r="A256">
        <v>39.4</v>
      </c>
      <c r="B256">
        <v>4</v>
      </c>
      <c r="C256">
        <v>85</v>
      </c>
      <c r="D256">
        <v>70</v>
      </c>
      <c r="E256">
        <v>2070</v>
      </c>
      <c r="F256">
        <v>18.600000000000001</v>
      </c>
      <c r="G256">
        <v>78</v>
      </c>
      <c r="H256" t="s">
        <v>1637</v>
      </c>
      <c r="I256" t="s">
        <v>1375</v>
      </c>
      <c r="J256" t="s">
        <v>1034</v>
      </c>
      <c r="K256" t="s">
        <v>1376</v>
      </c>
      <c r="L256" t="b">
        <f>Data_Completeness(MileageData[[#This Row],[MPG]:[Acceleration]])</f>
        <v>1</v>
      </c>
    </row>
    <row r="257" spans="1:12" x14ac:dyDescent="0.25">
      <c r="A257">
        <v>36.1</v>
      </c>
      <c r="B257">
        <v>4</v>
      </c>
      <c r="C257">
        <v>91</v>
      </c>
      <c r="D257">
        <v>60</v>
      </c>
      <c r="E257">
        <v>1800</v>
      </c>
      <c r="F257">
        <v>16.399999999999999</v>
      </c>
      <c r="G257">
        <v>78</v>
      </c>
      <c r="H257" t="s">
        <v>1637</v>
      </c>
      <c r="I257" t="s">
        <v>1279</v>
      </c>
      <c r="J257" t="s">
        <v>1244</v>
      </c>
      <c r="K257" t="s">
        <v>1280</v>
      </c>
      <c r="L257" t="b">
        <f>Data_Completeness(MileageData[[#This Row],[MPG]:[Acceleration]])</f>
        <v>1</v>
      </c>
    </row>
    <row r="258" spans="1:12" x14ac:dyDescent="0.25">
      <c r="A258">
        <v>19.899999999999999</v>
      </c>
      <c r="B258">
        <v>8</v>
      </c>
      <c r="C258">
        <v>260</v>
      </c>
      <c r="D258">
        <v>110</v>
      </c>
      <c r="E258">
        <v>3365</v>
      </c>
      <c r="F258">
        <v>15.5</v>
      </c>
      <c r="G258">
        <v>78</v>
      </c>
      <c r="H258" t="s">
        <v>1635</v>
      </c>
      <c r="I258" t="s">
        <v>1377</v>
      </c>
      <c r="J258" t="s">
        <v>1124</v>
      </c>
      <c r="K258" t="s">
        <v>1378</v>
      </c>
      <c r="L258" t="b">
        <f>Data_Completeness(MileageData[[#This Row],[MPG]:[Acceleration]])</f>
        <v>1</v>
      </c>
    </row>
    <row r="259" spans="1:12" x14ac:dyDescent="0.25">
      <c r="A259">
        <v>19.399999999999999</v>
      </c>
      <c r="B259">
        <v>8</v>
      </c>
      <c r="C259">
        <v>318</v>
      </c>
      <c r="D259">
        <v>140</v>
      </c>
      <c r="E259">
        <v>3735</v>
      </c>
      <c r="F259">
        <v>13.2</v>
      </c>
      <c r="G259">
        <v>78</v>
      </c>
      <c r="H259" t="s">
        <v>1635</v>
      </c>
      <c r="I259" t="s">
        <v>1379</v>
      </c>
      <c r="J259" t="s">
        <v>1015</v>
      </c>
      <c r="K259" t="s">
        <v>1380</v>
      </c>
      <c r="L259" t="b">
        <f>Data_Completeness(MileageData[[#This Row],[MPG]:[Acceleration]])</f>
        <v>1</v>
      </c>
    </row>
    <row r="260" spans="1:12" x14ac:dyDescent="0.25">
      <c r="A260">
        <v>20.2</v>
      </c>
      <c r="B260">
        <v>8</v>
      </c>
      <c r="C260">
        <v>302</v>
      </c>
      <c r="D260">
        <v>139</v>
      </c>
      <c r="E260">
        <v>3570</v>
      </c>
      <c r="F260">
        <v>12.8</v>
      </c>
      <c r="G260">
        <v>78</v>
      </c>
      <c r="H260" t="s">
        <v>1635</v>
      </c>
      <c r="I260" t="s">
        <v>1381</v>
      </c>
      <c r="J260" t="s">
        <v>1092</v>
      </c>
      <c r="K260" t="s">
        <v>1382</v>
      </c>
      <c r="L260" t="b">
        <f>Data_Completeness(MileageData[[#This Row],[MPG]:[Acceleration]])</f>
        <v>1</v>
      </c>
    </row>
    <row r="261" spans="1:12" x14ac:dyDescent="0.25">
      <c r="A261">
        <v>19.2</v>
      </c>
      <c r="B261">
        <v>6</v>
      </c>
      <c r="C261">
        <v>231</v>
      </c>
      <c r="D261">
        <v>105</v>
      </c>
      <c r="E261">
        <v>3535</v>
      </c>
      <c r="F261">
        <v>19.2</v>
      </c>
      <c r="G261">
        <v>78</v>
      </c>
      <c r="H261" t="s">
        <v>1635</v>
      </c>
      <c r="I261" t="s">
        <v>1383</v>
      </c>
      <c r="J261" t="s">
        <v>999</v>
      </c>
      <c r="K261" t="s">
        <v>1384</v>
      </c>
      <c r="L261" t="b">
        <f>Data_Completeness(MileageData[[#This Row],[MPG]:[Acceleration]])</f>
        <v>1</v>
      </c>
    </row>
    <row r="262" spans="1:12" x14ac:dyDescent="0.25">
      <c r="A262">
        <v>20.5</v>
      </c>
      <c r="B262">
        <v>6</v>
      </c>
      <c r="C262">
        <v>200</v>
      </c>
      <c r="D262">
        <v>95</v>
      </c>
      <c r="E262">
        <v>3155</v>
      </c>
      <c r="F262">
        <v>18.2</v>
      </c>
      <c r="G262">
        <v>78</v>
      </c>
      <c r="H262" t="s">
        <v>1635</v>
      </c>
      <c r="I262" t="s">
        <v>1161</v>
      </c>
      <c r="J262" t="s">
        <v>978</v>
      </c>
      <c r="K262" t="s">
        <v>1162</v>
      </c>
      <c r="L262" t="b">
        <f>Data_Completeness(MileageData[[#This Row],[MPG]:[Acceleration]])</f>
        <v>1</v>
      </c>
    </row>
    <row r="263" spans="1:12" x14ac:dyDescent="0.25">
      <c r="A263">
        <v>20.2</v>
      </c>
      <c r="B263">
        <v>6</v>
      </c>
      <c r="C263">
        <v>200</v>
      </c>
      <c r="D263">
        <v>85</v>
      </c>
      <c r="E263">
        <v>2965</v>
      </c>
      <c r="F263">
        <v>15.8</v>
      </c>
      <c r="G263">
        <v>78</v>
      </c>
      <c r="H263" t="s">
        <v>1635</v>
      </c>
      <c r="I263" t="s">
        <v>1385</v>
      </c>
      <c r="J263" t="s">
        <v>990</v>
      </c>
      <c r="K263" t="s">
        <v>1386</v>
      </c>
      <c r="L263" t="b">
        <f>Data_Completeness(MileageData[[#This Row],[MPG]:[Acceleration]])</f>
        <v>1</v>
      </c>
    </row>
    <row r="264" spans="1:12" x14ac:dyDescent="0.25">
      <c r="A264">
        <v>25.1</v>
      </c>
      <c r="B264">
        <v>4</v>
      </c>
      <c r="C264">
        <v>140</v>
      </c>
      <c r="D264">
        <v>88</v>
      </c>
      <c r="E264">
        <v>2720</v>
      </c>
      <c r="F264">
        <v>15.4</v>
      </c>
      <c r="G264">
        <v>78</v>
      </c>
      <c r="H264" t="s">
        <v>1635</v>
      </c>
      <c r="I264" t="s">
        <v>1387</v>
      </c>
      <c r="J264" t="s">
        <v>990</v>
      </c>
      <c r="K264" t="s">
        <v>1388</v>
      </c>
      <c r="L264" t="b">
        <f>Data_Completeness(MileageData[[#This Row],[MPG]:[Acceleration]])</f>
        <v>1</v>
      </c>
    </row>
    <row r="265" spans="1:12" x14ac:dyDescent="0.25">
      <c r="A265">
        <v>20.5</v>
      </c>
      <c r="B265">
        <v>6</v>
      </c>
      <c r="C265">
        <v>225</v>
      </c>
      <c r="D265">
        <v>100</v>
      </c>
      <c r="E265">
        <v>3430</v>
      </c>
      <c r="F265">
        <v>17.2</v>
      </c>
      <c r="G265">
        <v>78</v>
      </c>
      <c r="H265" t="s">
        <v>1635</v>
      </c>
      <c r="I265" t="s">
        <v>1389</v>
      </c>
      <c r="J265" t="s">
        <v>984</v>
      </c>
      <c r="K265" t="s">
        <v>1390</v>
      </c>
      <c r="L265" t="b">
        <f>Data_Completeness(MileageData[[#This Row],[MPG]:[Acceleration]])</f>
        <v>1</v>
      </c>
    </row>
    <row r="266" spans="1:12" x14ac:dyDescent="0.25">
      <c r="A266">
        <v>19.399999999999999</v>
      </c>
      <c r="B266">
        <v>6</v>
      </c>
      <c r="C266">
        <v>232</v>
      </c>
      <c r="D266">
        <v>90</v>
      </c>
      <c r="E266">
        <v>3210</v>
      </c>
      <c r="F266">
        <v>17.2</v>
      </c>
      <c r="G266">
        <v>78</v>
      </c>
      <c r="H266" t="s">
        <v>1635</v>
      </c>
      <c r="I266" t="s">
        <v>1391</v>
      </c>
      <c r="J266" t="s">
        <v>987</v>
      </c>
      <c r="K266" t="s">
        <v>1392</v>
      </c>
      <c r="L266" t="b">
        <f>Data_Completeness(MileageData[[#This Row],[MPG]:[Acceleration]])</f>
        <v>1</v>
      </c>
    </row>
    <row r="267" spans="1:12" x14ac:dyDescent="0.25">
      <c r="A267">
        <v>20.6</v>
      </c>
      <c r="B267">
        <v>6</v>
      </c>
      <c r="C267">
        <v>231</v>
      </c>
      <c r="D267">
        <v>105</v>
      </c>
      <c r="E267">
        <v>3380</v>
      </c>
      <c r="F267">
        <v>15.8</v>
      </c>
      <c r="G267">
        <v>78</v>
      </c>
      <c r="H267" t="s">
        <v>1635</v>
      </c>
      <c r="I267" t="s">
        <v>1393</v>
      </c>
      <c r="J267" t="s">
        <v>981</v>
      </c>
      <c r="K267" t="s">
        <v>1394</v>
      </c>
      <c r="L267" t="b">
        <f>Data_Completeness(MileageData[[#This Row],[MPG]:[Acceleration]])</f>
        <v>1</v>
      </c>
    </row>
    <row r="268" spans="1:12" x14ac:dyDescent="0.25">
      <c r="A268">
        <v>20.8</v>
      </c>
      <c r="B268">
        <v>6</v>
      </c>
      <c r="C268">
        <v>200</v>
      </c>
      <c r="D268">
        <v>85</v>
      </c>
      <c r="E268">
        <v>3070</v>
      </c>
      <c r="F268">
        <v>16.7</v>
      </c>
      <c r="G268">
        <v>78</v>
      </c>
      <c r="H268" t="s">
        <v>1635</v>
      </c>
      <c r="I268" t="s">
        <v>1395</v>
      </c>
      <c r="J268" t="s">
        <v>1092</v>
      </c>
      <c r="K268" t="s">
        <v>1396</v>
      </c>
      <c r="L268" t="b">
        <f>Data_Completeness(MileageData[[#This Row],[MPG]:[Acceleration]])</f>
        <v>1</v>
      </c>
    </row>
    <row r="269" spans="1:12" x14ac:dyDescent="0.25">
      <c r="A269">
        <v>18.600000000000001</v>
      </c>
      <c r="B269">
        <v>6</v>
      </c>
      <c r="C269">
        <v>225</v>
      </c>
      <c r="D269">
        <v>110</v>
      </c>
      <c r="E269">
        <v>3620</v>
      </c>
      <c r="F269">
        <v>18.7</v>
      </c>
      <c r="G269">
        <v>78</v>
      </c>
      <c r="H269" t="s">
        <v>1635</v>
      </c>
      <c r="I269" t="s">
        <v>1397</v>
      </c>
      <c r="J269" t="s">
        <v>1015</v>
      </c>
      <c r="K269" t="s">
        <v>1398</v>
      </c>
      <c r="L269" t="b">
        <f>Data_Completeness(MileageData[[#This Row],[MPG]:[Acceleration]])</f>
        <v>1</v>
      </c>
    </row>
    <row r="270" spans="1:12" x14ac:dyDescent="0.25">
      <c r="A270">
        <v>18.100000000000001</v>
      </c>
      <c r="B270">
        <v>6</v>
      </c>
      <c r="C270">
        <v>258</v>
      </c>
      <c r="D270">
        <v>120</v>
      </c>
      <c r="E270">
        <v>3410</v>
      </c>
      <c r="F270">
        <v>15.1</v>
      </c>
      <c r="G270">
        <v>78</v>
      </c>
      <c r="H270" t="s">
        <v>1635</v>
      </c>
      <c r="I270" t="s">
        <v>1399</v>
      </c>
      <c r="J270" t="s">
        <v>987</v>
      </c>
      <c r="K270" t="s">
        <v>1400</v>
      </c>
      <c r="L270" t="b">
        <f>Data_Completeness(MileageData[[#This Row],[MPG]:[Acceleration]])</f>
        <v>1</v>
      </c>
    </row>
    <row r="271" spans="1:12" x14ac:dyDescent="0.25">
      <c r="A271">
        <v>19.2</v>
      </c>
      <c r="B271">
        <v>8</v>
      </c>
      <c r="C271">
        <v>305</v>
      </c>
      <c r="D271">
        <v>145</v>
      </c>
      <c r="E271">
        <v>3425</v>
      </c>
      <c r="F271">
        <v>13.2</v>
      </c>
      <c r="G271">
        <v>78</v>
      </c>
      <c r="H271" t="s">
        <v>1635</v>
      </c>
      <c r="I271" t="s">
        <v>1346</v>
      </c>
      <c r="J271" t="s">
        <v>978</v>
      </c>
      <c r="K271" t="s">
        <v>1347</v>
      </c>
      <c r="L271" t="b">
        <f>Data_Completeness(MileageData[[#This Row],[MPG]:[Acceleration]])</f>
        <v>1</v>
      </c>
    </row>
    <row r="272" spans="1:12" x14ac:dyDescent="0.25">
      <c r="A272">
        <v>17.7</v>
      </c>
      <c r="B272">
        <v>6</v>
      </c>
      <c r="C272">
        <v>231</v>
      </c>
      <c r="D272">
        <v>165</v>
      </c>
      <c r="E272">
        <v>3445</v>
      </c>
      <c r="F272">
        <v>13.4</v>
      </c>
      <c r="G272">
        <v>78</v>
      </c>
      <c r="H272" t="s">
        <v>1635</v>
      </c>
      <c r="I272" t="s">
        <v>1401</v>
      </c>
      <c r="J272" t="s">
        <v>981</v>
      </c>
      <c r="K272" t="s">
        <v>1402</v>
      </c>
      <c r="L272" t="b">
        <f>Data_Completeness(MileageData[[#This Row],[MPG]:[Acceleration]])</f>
        <v>1</v>
      </c>
    </row>
    <row r="273" spans="1:12" x14ac:dyDescent="0.25">
      <c r="A273">
        <v>18.100000000000001</v>
      </c>
      <c r="B273">
        <v>8</v>
      </c>
      <c r="C273">
        <v>302</v>
      </c>
      <c r="D273">
        <v>139</v>
      </c>
      <c r="E273">
        <v>3205</v>
      </c>
      <c r="F273">
        <v>11.2</v>
      </c>
      <c r="G273">
        <v>78</v>
      </c>
      <c r="H273" t="s">
        <v>1635</v>
      </c>
      <c r="I273" t="s">
        <v>1403</v>
      </c>
      <c r="J273" t="s">
        <v>990</v>
      </c>
      <c r="K273" t="s">
        <v>1404</v>
      </c>
      <c r="L273" t="b">
        <f>Data_Completeness(MileageData[[#This Row],[MPG]:[Acceleration]])</f>
        <v>1</v>
      </c>
    </row>
    <row r="274" spans="1:12" x14ac:dyDescent="0.25">
      <c r="A274">
        <v>17.5</v>
      </c>
      <c r="B274">
        <v>8</v>
      </c>
      <c r="C274">
        <v>318</v>
      </c>
      <c r="D274">
        <v>140</v>
      </c>
      <c r="E274">
        <v>4080</v>
      </c>
      <c r="F274">
        <v>13.7</v>
      </c>
      <c r="G274">
        <v>78</v>
      </c>
      <c r="H274" t="s">
        <v>1635</v>
      </c>
      <c r="I274" t="s">
        <v>1405</v>
      </c>
      <c r="J274" t="s">
        <v>1015</v>
      </c>
      <c r="K274" t="s">
        <v>1406</v>
      </c>
      <c r="L274" t="b">
        <f>Data_Completeness(MileageData[[#This Row],[MPG]:[Acceleration]])</f>
        <v>1</v>
      </c>
    </row>
    <row r="275" spans="1:12" x14ac:dyDescent="0.25">
      <c r="A275">
        <v>30</v>
      </c>
      <c r="B275">
        <v>4</v>
      </c>
      <c r="C275">
        <v>98</v>
      </c>
      <c r="D275">
        <v>68</v>
      </c>
      <c r="E275">
        <v>2155</v>
      </c>
      <c r="F275">
        <v>16.5</v>
      </c>
      <c r="G275">
        <v>78</v>
      </c>
      <c r="H275" t="s">
        <v>1635</v>
      </c>
      <c r="I275" t="s">
        <v>1289</v>
      </c>
      <c r="J275" t="s">
        <v>978</v>
      </c>
      <c r="K275" t="s">
        <v>1290</v>
      </c>
      <c r="L275" t="b">
        <f>Data_Completeness(MileageData[[#This Row],[MPG]:[Acceleration]])</f>
        <v>1</v>
      </c>
    </row>
    <row r="276" spans="1:12" x14ac:dyDescent="0.25">
      <c r="A276">
        <v>27.5</v>
      </c>
      <c r="B276">
        <v>4</v>
      </c>
      <c r="C276">
        <v>134</v>
      </c>
      <c r="D276">
        <v>95</v>
      </c>
      <c r="E276">
        <v>2560</v>
      </c>
      <c r="F276">
        <v>14.2</v>
      </c>
      <c r="G276">
        <v>78</v>
      </c>
      <c r="H276" t="s">
        <v>1637</v>
      </c>
      <c r="I276" t="s">
        <v>1063</v>
      </c>
      <c r="J276" t="s">
        <v>1025</v>
      </c>
      <c r="K276" t="s">
        <v>1064</v>
      </c>
      <c r="L276" t="b">
        <f>Data_Completeness(MileageData[[#This Row],[MPG]:[Acceleration]])</f>
        <v>1</v>
      </c>
    </row>
    <row r="277" spans="1:12" x14ac:dyDescent="0.25">
      <c r="A277">
        <v>27.2</v>
      </c>
      <c r="B277">
        <v>4</v>
      </c>
      <c r="C277">
        <v>119</v>
      </c>
      <c r="D277">
        <v>97</v>
      </c>
      <c r="E277">
        <v>2300</v>
      </c>
      <c r="F277">
        <v>14.7</v>
      </c>
      <c r="G277">
        <v>78</v>
      </c>
      <c r="H277" t="s">
        <v>1637</v>
      </c>
      <c r="I277" t="s">
        <v>1407</v>
      </c>
      <c r="J277" t="s">
        <v>1034</v>
      </c>
      <c r="K277">
        <v>510</v>
      </c>
      <c r="L277" t="b">
        <f>Data_Completeness(MileageData[[#This Row],[MPG]:[Acceleration]])</f>
        <v>1</v>
      </c>
    </row>
    <row r="278" spans="1:12" x14ac:dyDescent="0.25">
      <c r="A278">
        <v>30.9</v>
      </c>
      <c r="B278">
        <v>4</v>
      </c>
      <c r="C278">
        <v>105</v>
      </c>
      <c r="D278">
        <v>75</v>
      </c>
      <c r="E278">
        <v>2230</v>
      </c>
      <c r="F278">
        <v>14.5</v>
      </c>
      <c r="G278">
        <v>78</v>
      </c>
      <c r="H278" t="s">
        <v>1635</v>
      </c>
      <c r="I278" t="s">
        <v>1408</v>
      </c>
      <c r="J278" t="s">
        <v>1015</v>
      </c>
      <c r="K278" t="s">
        <v>1409</v>
      </c>
      <c r="L278" t="b">
        <f>Data_Completeness(MileageData[[#This Row],[MPG]:[Acceleration]])</f>
        <v>1</v>
      </c>
    </row>
    <row r="279" spans="1:12" x14ac:dyDescent="0.25">
      <c r="A279">
        <v>21.1</v>
      </c>
      <c r="B279">
        <v>4</v>
      </c>
      <c r="C279">
        <v>134</v>
      </c>
      <c r="D279">
        <v>95</v>
      </c>
      <c r="E279">
        <v>2515</v>
      </c>
      <c r="F279">
        <v>14.8</v>
      </c>
      <c r="G279">
        <v>78</v>
      </c>
      <c r="H279" t="s">
        <v>1637</v>
      </c>
      <c r="I279" t="s">
        <v>1410</v>
      </c>
      <c r="J279" t="s">
        <v>1025</v>
      </c>
      <c r="K279" t="s">
        <v>1411</v>
      </c>
      <c r="L279" t="b">
        <f>Data_Completeness(MileageData[[#This Row],[MPG]:[Acceleration]])</f>
        <v>1</v>
      </c>
    </row>
    <row r="280" spans="1:12" x14ac:dyDescent="0.25">
      <c r="A280">
        <v>23.2</v>
      </c>
      <c r="B280">
        <v>4</v>
      </c>
      <c r="C280">
        <v>156</v>
      </c>
      <c r="D280">
        <v>105</v>
      </c>
      <c r="E280">
        <v>2745</v>
      </c>
      <c r="F280">
        <v>16.7</v>
      </c>
      <c r="G280">
        <v>78</v>
      </c>
      <c r="H280" t="s">
        <v>1635</v>
      </c>
      <c r="I280" t="s">
        <v>1412</v>
      </c>
      <c r="J280" t="s">
        <v>984</v>
      </c>
      <c r="K280" t="s">
        <v>1413</v>
      </c>
      <c r="L280" t="b">
        <f>Data_Completeness(MileageData[[#This Row],[MPG]:[Acceleration]])</f>
        <v>1</v>
      </c>
    </row>
    <row r="281" spans="1:12" x14ac:dyDescent="0.25">
      <c r="A281">
        <v>23.8</v>
      </c>
      <c r="B281">
        <v>4</v>
      </c>
      <c r="C281">
        <v>151</v>
      </c>
      <c r="D281">
        <v>85</v>
      </c>
      <c r="E281">
        <v>2855</v>
      </c>
      <c r="F281">
        <v>17.600000000000001</v>
      </c>
      <c r="G281">
        <v>78</v>
      </c>
      <c r="H281" t="s">
        <v>1635</v>
      </c>
      <c r="I281" t="s">
        <v>1414</v>
      </c>
      <c r="J281" t="s">
        <v>1124</v>
      </c>
      <c r="K281" t="s">
        <v>1415</v>
      </c>
      <c r="L281" t="b">
        <f>Data_Completeness(MileageData[[#This Row],[MPG]:[Acceleration]])</f>
        <v>1</v>
      </c>
    </row>
    <row r="282" spans="1:12" x14ac:dyDescent="0.25">
      <c r="A282">
        <v>23.9</v>
      </c>
      <c r="B282">
        <v>4</v>
      </c>
      <c r="C282">
        <v>119</v>
      </c>
      <c r="D282">
        <v>97</v>
      </c>
      <c r="E282">
        <v>2405</v>
      </c>
      <c r="F282">
        <v>14.9</v>
      </c>
      <c r="G282">
        <v>78</v>
      </c>
      <c r="H282" t="s">
        <v>1637</v>
      </c>
      <c r="I282" t="s">
        <v>1416</v>
      </c>
      <c r="J282" t="s">
        <v>1034</v>
      </c>
      <c r="K282" t="s">
        <v>1417</v>
      </c>
      <c r="L282" t="b">
        <f>Data_Completeness(MileageData[[#This Row],[MPG]:[Acceleration]])</f>
        <v>1</v>
      </c>
    </row>
    <row r="283" spans="1:12" x14ac:dyDescent="0.25">
      <c r="A283">
        <v>20.3</v>
      </c>
      <c r="B283">
        <v>5</v>
      </c>
      <c r="C283">
        <v>131</v>
      </c>
      <c r="D283">
        <v>103</v>
      </c>
      <c r="E283">
        <v>2830</v>
      </c>
      <c r="F283">
        <v>15.9</v>
      </c>
      <c r="G283">
        <v>78</v>
      </c>
      <c r="H283" t="s">
        <v>1636</v>
      </c>
      <c r="I283" t="s">
        <v>1418</v>
      </c>
      <c r="J283" t="s">
        <v>1042</v>
      </c>
      <c r="K283">
        <v>5000</v>
      </c>
      <c r="L283" t="b">
        <f>Data_Completeness(MileageData[[#This Row],[MPG]:[Acceleration]])</f>
        <v>1</v>
      </c>
    </row>
    <row r="284" spans="1:12" x14ac:dyDescent="0.25">
      <c r="A284">
        <v>17</v>
      </c>
      <c r="B284">
        <v>6</v>
      </c>
      <c r="C284">
        <v>163</v>
      </c>
      <c r="D284">
        <v>125</v>
      </c>
      <c r="E284">
        <v>3140</v>
      </c>
      <c r="F284">
        <v>13.6</v>
      </c>
      <c r="G284">
        <v>78</v>
      </c>
      <c r="H284" t="s">
        <v>1636</v>
      </c>
      <c r="I284" t="s">
        <v>1419</v>
      </c>
      <c r="J284" t="s">
        <v>1139</v>
      </c>
      <c r="K284" t="s">
        <v>1420</v>
      </c>
      <c r="L284" t="b">
        <f>Data_Completeness(MileageData[[#This Row],[MPG]:[Acceleration]])</f>
        <v>1</v>
      </c>
    </row>
    <row r="285" spans="1:12" x14ac:dyDescent="0.25">
      <c r="A285">
        <v>21.6</v>
      </c>
      <c r="B285">
        <v>4</v>
      </c>
      <c r="C285">
        <v>121</v>
      </c>
      <c r="D285">
        <v>115</v>
      </c>
      <c r="E285">
        <v>2795</v>
      </c>
      <c r="F285">
        <v>15.7</v>
      </c>
      <c r="G285">
        <v>78</v>
      </c>
      <c r="H285" t="s">
        <v>1636</v>
      </c>
      <c r="I285" t="s">
        <v>1421</v>
      </c>
      <c r="J285" t="s">
        <v>1045</v>
      </c>
      <c r="K285" t="s">
        <v>1422</v>
      </c>
      <c r="L285" t="b">
        <f>Data_Completeness(MileageData[[#This Row],[MPG]:[Acceleration]])</f>
        <v>1</v>
      </c>
    </row>
    <row r="286" spans="1:12" x14ac:dyDescent="0.25">
      <c r="A286">
        <v>16.2</v>
      </c>
      <c r="B286">
        <v>6</v>
      </c>
      <c r="C286">
        <v>163</v>
      </c>
      <c r="D286">
        <v>133</v>
      </c>
      <c r="E286">
        <v>3410</v>
      </c>
      <c r="F286">
        <v>15.8</v>
      </c>
      <c r="G286">
        <v>78</v>
      </c>
      <c r="H286" t="s">
        <v>1636</v>
      </c>
      <c r="I286" t="s">
        <v>1423</v>
      </c>
      <c r="J286" t="s">
        <v>1040</v>
      </c>
      <c r="K286" t="s">
        <v>1424</v>
      </c>
      <c r="L286" t="b">
        <f>Data_Completeness(MileageData[[#This Row],[MPG]:[Acceleration]])</f>
        <v>1</v>
      </c>
    </row>
    <row r="287" spans="1:12" x14ac:dyDescent="0.25">
      <c r="A287">
        <v>31.5</v>
      </c>
      <c r="B287">
        <v>4</v>
      </c>
      <c r="C287">
        <v>89</v>
      </c>
      <c r="D287">
        <v>71</v>
      </c>
      <c r="E287">
        <v>1990</v>
      </c>
      <c r="F287">
        <v>14.9</v>
      </c>
      <c r="G287">
        <v>78</v>
      </c>
      <c r="H287" t="s">
        <v>1636</v>
      </c>
      <c r="I287" t="s">
        <v>1425</v>
      </c>
      <c r="J287" t="s">
        <v>1037</v>
      </c>
      <c r="K287" t="s">
        <v>1426</v>
      </c>
      <c r="L287" t="b">
        <f>Data_Completeness(MileageData[[#This Row],[MPG]:[Acceleration]])</f>
        <v>1</v>
      </c>
    </row>
    <row r="288" spans="1:12" x14ac:dyDescent="0.25">
      <c r="A288">
        <v>29.5</v>
      </c>
      <c r="B288">
        <v>4</v>
      </c>
      <c r="C288">
        <v>98</v>
      </c>
      <c r="D288">
        <v>68</v>
      </c>
      <c r="E288">
        <v>2135</v>
      </c>
      <c r="F288">
        <v>16.600000000000001</v>
      </c>
      <c r="G288">
        <v>78</v>
      </c>
      <c r="H288" t="s">
        <v>1637</v>
      </c>
      <c r="I288" t="s">
        <v>1427</v>
      </c>
      <c r="J288" t="s">
        <v>1244</v>
      </c>
      <c r="K288" t="s">
        <v>1428</v>
      </c>
      <c r="L288" t="b">
        <f>Data_Completeness(MileageData[[#This Row],[MPG]:[Acceleration]])</f>
        <v>1</v>
      </c>
    </row>
    <row r="289" spans="1:12" x14ac:dyDescent="0.25">
      <c r="A289">
        <v>21.5</v>
      </c>
      <c r="B289">
        <v>6</v>
      </c>
      <c r="C289">
        <v>231</v>
      </c>
      <c r="D289">
        <v>115</v>
      </c>
      <c r="E289">
        <v>3245</v>
      </c>
      <c r="F289">
        <v>15.4</v>
      </c>
      <c r="G289">
        <v>79</v>
      </c>
      <c r="H289" t="s">
        <v>1635</v>
      </c>
      <c r="I289" t="s">
        <v>1429</v>
      </c>
      <c r="J289" t="s">
        <v>999</v>
      </c>
      <c r="K289" t="s">
        <v>1430</v>
      </c>
      <c r="L289" t="b">
        <f>Data_Completeness(MileageData[[#This Row],[MPG]:[Acceleration]])</f>
        <v>1</v>
      </c>
    </row>
    <row r="290" spans="1:12" x14ac:dyDescent="0.25">
      <c r="A290">
        <v>19.8</v>
      </c>
      <c r="B290">
        <v>6</v>
      </c>
      <c r="C290">
        <v>200</v>
      </c>
      <c r="D290">
        <v>85</v>
      </c>
      <c r="E290">
        <v>2990</v>
      </c>
      <c r="F290">
        <v>18.2</v>
      </c>
      <c r="G290">
        <v>79</v>
      </c>
      <c r="H290" t="s">
        <v>1635</v>
      </c>
      <c r="I290" t="s">
        <v>1431</v>
      </c>
      <c r="J290" t="s">
        <v>1092</v>
      </c>
      <c r="K290" t="s">
        <v>1432</v>
      </c>
      <c r="L290" t="b">
        <f>Data_Completeness(MileageData[[#This Row],[MPG]:[Acceleration]])</f>
        <v>1</v>
      </c>
    </row>
    <row r="291" spans="1:12" x14ac:dyDescent="0.25">
      <c r="A291">
        <v>22.3</v>
      </c>
      <c r="B291">
        <v>4</v>
      </c>
      <c r="C291">
        <v>140</v>
      </c>
      <c r="D291">
        <v>88</v>
      </c>
      <c r="E291">
        <v>2890</v>
      </c>
      <c r="F291">
        <v>17.3</v>
      </c>
      <c r="G291">
        <v>79</v>
      </c>
      <c r="H291" t="s">
        <v>1635</v>
      </c>
      <c r="I291" t="s">
        <v>1433</v>
      </c>
      <c r="J291" t="s">
        <v>990</v>
      </c>
      <c r="K291" t="s">
        <v>1434</v>
      </c>
      <c r="L291" t="b">
        <f>Data_Completeness(MileageData[[#This Row],[MPG]:[Acceleration]])</f>
        <v>1</v>
      </c>
    </row>
    <row r="292" spans="1:12" x14ac:dyDescent="0.25">
      <c r="A292">
        <v>20.2</v>
      </c>
      <c r="B292">
        <v>6</v>
      </c>
      <c r="C292">
        <v>232</v>
      </c>
      <c r="D292">
        <v>90</v>
      </c>
      <c r="E292">
        <v>3265</v>
      </c>
      <c r="F292">
        <v>18.2</v>
      </c>
      <c r="G292">
        <v>79</v>
      </c>
      <c r="H292" t="s">
        <v>1635</v>
      </c>
      <c r="I292" t="s">
        <v>1435</v>
      </c>
      <c r="J292" t="s">
        <v>987</v>
      </c>
      <c r="K292" t="s">
        <v>1436</v>
      </c>
      <c r="L292" t="b">
        <f>Data_Completeness(MileageData[[#This Row],[MPG]:[Acceleration]])</f>
        <v>1</v>
      </c>
    </row>
    <row r="293" spans="1:12" x14ac:dyDescent="0.25">
      <c r="A293">
        <v>20.6</v>
      </c>
      <c r="B293">
        <v>6</v>
      </c>
      <c r="C293">
        <v>225</v>
      </c>
      <c r="D293">
        <v>110</v>
      </c>
      <c r="E293">
        <v>3360</v>
      </c>
      <c r="F293">
        <v>16.600000000000001</v>
      </c>
      <c r="G293">
        <v>79</v>
      </c>
      <c r="H293" t="s">
        <v>1635</v>
      </c>
      <c r="I293" t="s">
        <v>1437</v>
      </c>
      <c r="J293" t="s">
        <v>1015</v>
      </c>
      <c r="K293" t="s">
        <v>1438</v>
      </c>
      <c r="L293" t="b">
        <f>Data_Completeness(MileageData[[#This Row],[MPG]:[Acceleration]])</f>
        <v>1</v>
      </c>
    </row>
    <row r="294" spans="1:12" x14ac:dyDescent="0.25">
      <c r="A294">
        <v>17</v>
      </c>
      <c r="B294">
        <v>8</v>
      </c>
      <c r="C294">
        <v>305</v>
      </c>
      <c r="D294">
        <v>130</v>
      </c>
      <c r="E294">
        <v>3840</v>
      </c>
      <c r="F294">
        <v>15.4</v>
      </c>
      <c r="G294">
        <v>79</v>
      </c>
      <c r="H294" t="s">
        <v>1635</v>
      </c>
      <c r="I294" t="s">
        <v>1169</v>
      </c>
      <c r="J294" t="s">
        <v>978</v>
      </c>
      <c r="K294" t="s">
        <v>1170</v>
      </c>
      <c r="L294" t="b">
        <f>Data_Completeness(MileageData[[#This Row],[MPG]:[Acceleration]])</f>
        <v>1</v>
      </c>
    </row>
    <row r="295" spans="1:12" x14ac:dyDescent="0.25">
      <c r="A295">
        <v>17.600000000000001</v>
      </c>
      <c r="B295">
        <v>8</v>
      </c>
      <c r="C295">
        <v>302</v>
      </c>
      <c r="D295">
        <v>129</v>
      </c>
      <c r="E295">
        <v>3725</v>
      </c>
      <c r="F295">
        <v>13.4</v>
      </c>
      <c r="G295">
        <v>79</v>
      </c>
      <c r="H295" t="s">
        <v>1635</v>
      </c>
      <c r="I295" t="s">
        <v>1439</v>
      </c>
      <c r="J295" t="s">
        <v>990</v>
      </c>
      <c r="K295" t="s">
        <v>1440</v>
      </c>
      <c r="L295" t="b">
        <f>Data_Completeness(MileageData[[#This Row],[MPG]:[Acceleration]])</f>
        <v>1</v>
      </c>
    </row>
    <row r="296" spans="1:12" x14ac:dyDescent="0.25">
      <c r="A296">
        <v>16.5</v>
      </c>
      <c r="B296">
        <v>8</v>
      </c>
      <c r="C296">
        <v>351</v>
      </c>
      <c r="D296">
        <v>138</v>
      </c>
      <c r="E296">
        <v>3955</v>
      </c>
      <c r="F296">
        <v>13.2</v>
      </c>
      <c r="G296">
        <v>79</v>
      </c>
      <c r="H296" t="s">
        <v>1635</v>
      </c>
      <c r="I296" t="s">
        <v>1441</v>
      </c>
      <c r="J296" t="s">
        <v>1092</v>
      </c>
      <c r="K296" t="s">
        <v>1442</v>
      </c>
      <c r="L296" t="b">
        <f>Data_Completeness(MileageData[[#This Row],[MPG]:[Acceleration]])</f>
        <v>1</v>
      </c>
    </row>
    <row r="297" spans="1:12" x14ac:dyDescent="0.25">
      <c r="A297">
        <v>18.2</v>
      </c>
      <c r="B297">
        <v>8</v>
      </c>
      <c r="C297">
        <v>318</v>
      </c>
      <c r="D297">
        <v>135</v>
      </c>
      <c r="E297">
        <v>3830</v>
      </c>
      <c r="F297">
        <v>15.2</v>
      </c>
      <c r="G297">
        <v>79</v>
      </c>
      <c r="H297" t="s">
        <v>1635</v>
      </c>
      <c r="I297" t="s">
        <v>1443</v>
      </c>
      <c r="J297" t="s">
        <v>1015</v>
      </c>
      <c r="K297" t="s">
        <v>1444</v>
      </c>
      <c r="L297" t="b">
        <f>Data_Completeness(MileageData[[#This Row],[MPG]:[Acceleration]])</f>
        <v>1</v>
      </c>
    </row>
    <row r="298" spans="1:12" x14ac:dyDescent="0.25">
      <c r="A298">
        <v>16.899999999999999</v>
      </c>
      <c r="B298">
        <v>8</v>
      </c>
      <c r="C298">
        <v>350</v>
      </c>
      <c r="D298">
        <v>155</v>
      </c>
      <c r="E298">
        <v>4360</v>
      </c>
      <c r="F298">
        <v>14.9</v>
      </c>
      <c r="G298">
        <v>79</v>
      </c>
      <c r="H298" t="s">
        <v>1635</v>
      </c>
      <c r="I298" t="s">
        <v>1022</v>
      </c>
      <c r="J298" t="s">
        <v>981</v>
      </c>
      <c r="K298" t="s">
        <v>1023</v>
      </c>
      <c r="L298" t="b">
        <f>Data_Completeness(MileageData[[#This Row],[MPG]:[Acceleration]])</f>
        <v>1</v>
      </c>
    </row>
    <row r="299" spans="1:12" x14ac:dyDescent="0.25">
      <c r="A299">
        <v>15.5</v>
      </c>
      <c r="B299">
        <v>8</v>
      </c>
      <c r="C299">
        <v>351</v>
      </c>
      <c r="D299">
        <v>142</v>
      </c>
      <c r="E299">
        <v>4054</v>
      </c>
      <c r="F299">
        <v>14.3</v>
      </c>
      <c r="G299">
        <v>79</v>
      </c>
      <c r="H299" t="s">
        <v>1635</v>
      </c>
      <c r="I299" t="s">
        <v>1079</v>
      </c>
      <c r="J299" t="s">
        <v>990</v>
      </c>
      <c r="K299" t="s">
        <v>1080</v>
      </c>
      <c r="L299" t="b">
        <f>Data_Completeness(MileageData[[#This Row],[MPG]:[Acceleration]])</f>
        <v>1</v>
      </c>
    </row>
    <row r="300" spans="1:12" x14ac:dyDescent="0.25">
      <c r="A300">
        <v>19.2</v>
      </c>
      <c r="B300">
        <v>8</v>
      </c>
      <c r="C300">
        <v>267</v>
      </c>
      <c r="D300">
        <v>125</v>
      </c>
      <c r="E300">
        <v>3605</v>
      </c>
      <c r="F300">
        <v>15</v>
      </c>
      <c r="G300">
        <v>79</v>
      </c>
      <c r="H300" t="s">
        <v>1635</v>
      </c>
      <c r="I300" t="s">
        <v>1445</v>
      </c>
      <c r="J300" t="s">
        <v>978</v>
      </c>
      <c r="K300" t="s">
        <v>1446</v>
      </c>
      <c r="L300" t="b">
        <f>Data_Completeness(MileageData[[#This Row],[MPG]:[Acceleration]])</f>
        <v>1</v>
      </c>
    </row>
    <row r="301" spans="1:12" x14ac:dyDescent="0.25">
      <c r="A301">
        <v>18.5</v>
      </c>
      <c r="B301">
        <v>8</v>
      </c>
      <c r="C301">
        <v>360</v>
      </c>
      <c r="D301">
        <v>150</v>
      </c>
      <c r="E301">
        <v>3940</v>
      </c>
      <c r="F301">
        <v>13</v>
      </c>
      <c r="G301">
        <v>79</v>
      </c>
      <c r="H301" t="s">
        <v>1635</v>
      </c>
      <c r="I301" t="s">
        <v>1447</v>
      </c>
      <c r="J301" t="s">
        <v>1127</v>
      </c>
      <c r="K301" t="s">
        <v>1448</v>
      </c>
      <c r="L301" t="b">
        <f>Data_Completeness(MileageData[[#This Row],[MPG]:[Acceleration]])</f>
        <v>1</v>
      </c>
    </row>
    <row r="302" spans="1:12" x14ac:dyDescent="0.25">
      <c r="A302">
        <v>31.9</v>
      </c>
      <c r="B302">
        <v>4</v>
      </c>
      <c r="C302">
        <v>89</v>
      </c>
      <c r="D302">
        <v>71</v>
      </c>
      <c r="E302">
        <v>1925</v>
      </c>
      <c r="F302">
        <v>14</v>
      </c>
      <c r="G302">
        <v>79</v>
      </c>
      <c r="H302" t="s">
        <v>1636</v>
      </c>
      <c r="I302" t="s">
        <v>1449</v>
      </c>
      <c r="J302" t="s">
        <v>1294</v>
      </c>
      <c r="K302" t="s">
        <v>1353</v>
      </c>
      <c r="L302" t="b">
        <f>Data_Completeness(MileageData[[#This Row],[MPG]:[Acceleration]])</f>
        <v>1</v>
      </c>
    </row>
    <row r="303" spans="1:12" x14ac:dyDescent="0.25">
      <c r="A303">
        <v>34.1</v>
      </c>
      <c r="B303">
        <v>4</v>
      </c>
      <c r="C303">
        <v>86</v>
      </c>
      <c r="D303">
        <v>65</v>
      </c>
      <c r="E303">
        <v>1975</v>
      </c>
      <c r="F303">
        <v>15.2</v>
      </c>
      <c r="G303">
        <v>79</v>
      </c>
      <c r="H303" t="s">
        <v>1637</v>
      </c>
      <c r="I303" t="s">
        <v>1450</v>
      </c>
      <c r="J303" t="s">
        <v>1197</v>
      </c>
      <c r="K303" t="s">
        <v>1374</v>
      </c>
      <c r="L303" t="b">
        <f>Data_Completeness(MileageData[[#This Row],[MPG]:[Acceleration]])</f>
        <v>1</v>
      </c>
    </row>
    <row r="304" spans="1:12" x14ac:dyDescent="0.25">
      <c r="A304">
        <v>35.700000000000003</v>
      </c>
      <c r="B304">
        <v>4</v>
      </c>
      <c r="C304">
        <v>98</v>
      </c>
      <c r="D304">
        <v>80</v>
      </c>
      <c r="E304">
        <v>1915</v>
      </c>
      <c r="F304">
        <v>14.4</v>
      </c>
      <c r="G304">
        <v>79</v>
      </c>
      <c r="H304" t="s">
        <v>1635</v>
      </c>
      <c r="I304" t="s">
        <v>1451</v>
      </c>
      <c r="J304" t="s">
        <v>1015</v>
      </c>
      <c r="K304" t="s">
        <v>1452</v>
      </c>
      <c r="L304" t="b">
        <f>Data_Completeness(MileageData[[#This Row],[MPG]:[Acceleration]])</f>
        <v>1</v>
      </c>
    </row>
    <row r="305" spans="1:12" x14ac:dyDescent="0.25">
      <c r="A305">
        <v>27.4</v>
      </c>
      <c r="B305">
        <v>4</v>
      </c>
      <c r="C305">
        <v>121</v>
      </c>
      <c r="D305">
        <v>80</v>
      </c>
      <c r="E305">
        <v>2670</v>
      </c>
      <c r="F305">
        <v>15</v>
      </c>
      <c r="G305">
        <v>79</v>
      </c>
      <c r="H305" t="s">
        <v>1635</v>
      </c>
      <c r="I305" t="s">
        <v>1453</v>
      </c>
      <c r="J305" t="s">
        <v>987</v>
      </c>
      <c r="K305" t="s">
        <v>1454</v>
      </c>
      <c r="L305" t="b">
        <f>Data_Completeness(MileageData[[#This Row],[MPG]:[Acceleration]])</f>
        <v>1</v>
      </c>
    </row>
    <row r="306" spans="1:12" x14ac:dyDescent="0.25">
      <c r="A306">
        <v>25.4</v>
      </c>
      <c r="B306">
        <v>5</v>
      </c>
      <c r="C306">
        <v>183</v>
      </c>
      <c r="D306">
        <v>77</v>
      </c>
      <c r="E306">
        <v>3530</v>
      </c>
      <c r="F306">
        <v>20.100000000000001</v>
      </c>
      <c r="G306">
        <v>79</v>
      </c>
      <c r="H306" t="s">
        <v>1636</v>
      </c>
      <c r="I306" t="s">
        <v>1455</v>
      </c>
      <c r="J306" t="s">
        <v>1456</v>
      </c>
      <c r="K306" t="s">
        <v>1457</v>
      </c>
      <c r="L306" t="b">
        <f>Data_Completeness(MileageData[[#This Row],[MPG]:[Acceleration]])</f>
        <v>1</v>
      </c>
    </row>
    <row r="307" spans="1:12" x14ac:dyDescent="0.25">
      <c r="A307">
        <v>23</v>
      </c>
      <c r="B307">
        <v>8</v>
      </c>
      <c r="C307">
        <v>350</v>
      </c>
      <c r="D307">
        <v>125</v>
      </c>
      <c r="E307">
        <v>3900</v>
      </c>
      <c r="F307">
        <v>17.399999999999999</v>
      </c>
      <c r="G307">
        <v>79</v>
      </c>
      <c r="H307" t="s">
        <v>1635</v>
      </c>
      <c r="I307" t="s">
        <v>1458</v>
      </c>
      <c r="J307" t="s">
        <v>1312</v>
      </c>
      <c r="K307" t="s">
        <v>1459</v>
      </c>
      <c r="L307" t="b">
        <f>Data_Completeness(MileageData[[#This Row],[MPG]:[Acceleration]])</f>
        <v>1</v>
      </c>
    </row>
    <row r="308" spans="1:12" x14ac:dyDescent="0.25">
      <c r="A308">
        <v>27.2</v>
      </c>
      <c r="B308">
        <v>4</v>
      </c>
      <c r="C308">
        <v>141</v>
      </c>
      <c r="D308">
        <v>71</v>
      </c>
      <c r="E308">
        <v>3190</v>
      </c>
      <c r="F308">
        <v>24.8</v>
      </c>
      <c r="G308">
        <v>79</v>
      </c>
      <c r="H308" t="s">
        <v>1636</v>
      </c>
      <c r="I308" t="s">
        <v>1039</v>
      </c>
      <c r="J308" t="s">
        <v>1040</v>
      </c>
      <c r="K308">
        <v>504</v>
      </c>
      <c r="L308" t="b">
        <f>Data_Completeness(MileageData[[#This Row],[MPG]:[Acceleration]])</f>
        <v>1</v>
      </c>
    </row>
    <row r="309" spans="1:12" x14ac:dyDescent="0.25">
      <c r="A309">
        <v>23.9</v>
      </c>
      <c r="B309">
        <v>8</v>
      </c>
      <c r="C309">
        <v>260</v>
      </c>
      <c r="D309">
        <v>90</v>
      </c>
      <c r="E309">
        <v>3420</v>
      </c>
      <c r="F309">
        <v>22.2</v>
      </c>
      <c r="G309">
        <v>79</v>
      </c>
      <c r="H309" t="s">
        <v>1635</v>
      </c>
      <c r="I309" t="s">
        <v>1377</v>
      </c>
      <c r="J309" t="s">
        <v>1124</v>
      </c>
      <c r="K309" t="s">
        <v>1378</v>
      </c>
      <c r="L309" t="b">
        <f>Data_Completeness(MileageData[[#This Row],[MPG]:[Acceleration]])</f>
        <v>1</v>
      </c>
    </row>
    <row r="310" spans="1:12" x14ac:dyDescent="0.25">
      <c r="A310">
        <v>34.200000000000003</v>
      </c>
      <c r="B310">
        <v>4</v>
      </c>
      <c r="C310">
        <v>105</v>
      </c>
      <c r="D310">
        <v>70</v>
      </c>
      <c r="E310">
        <v>2200</v>
      </c>
      <c r="F310">
        <v>13.2</v>
      </c>
      <c r="G310">
        <v>79</v>
      </c>
      <c r="H310" t="s">
        <v>1635</v>
      </c>
      <c r="I310" t="s">
        <v>1460</v>
      </c>
      <c r="J310" t="s">
        <v>984</v>
      </c>
      <c r="K310" t="s">
        <v>1461</v>
      </c>
      <c r="L310" t="b">
        <f>Data_Completeness(MileageData[[#This Row],[MPG]:[Acceleration]])</f>
        <v>1</v>
      </c>
    </row>
    <row r="311" spans="1:12" x14ac:dyDescent="0.25">
      <c r="A311">
        <v>34.5</v>
      </c>
      <c r="B311">
        <v>4</v>
      </c>
      <c r="C311">
        <v>105</v>
      </c>
      <c r="D311">
        <v>70</v>
      </c>
      <c r="E311">
        <v>2150</v>
      </c>
      <c r="F311">
        <v>14.9</v>
      </c>
      <c r="G311">
        <v>79</v>
      </c>
      <c r="H311" t="s">
        <v>1635</v>
      </c>
      <c r="I311" t="s">
        <v>1462</v>
      </c>
      <c r="J311" t="s">
        <v>984</v>
      </c>
      <c r="K311" t="s">
        <v>1463</v>
      </c>
      <c r="L311" t="b">
        <f>Data_Completeness(MileageData[[#This Row],[MPG]:[Acceleration]])</f>
        <v>1</v>
      </c>
    </row>
    <row r="312" spans="1:12" x14ac:dyDescent="0.25">
      <c r="A312">
        <v>31.8</v>
      </c>
      <c r="B312">
        <v>4</v>
      </c>
      <c r="C312">
        <v>85</v>
      </c>
      <c r="D312">
        <v>65</v>
      </c>
      <c r="E312">
        <v>2020</v>
      </c>
      <c r="F312">
        <v>19.2</v>
      </c>
      <c r="G312">
        <v>79</v>
      </c>
      <c r="H312" t="s">
        <v>1637</v>
      </c>
      <c r="I312" t="s">
        <v>1464</v>
      </c>
      <c r="J312" t="s">
        <v>1034</v>
      </c>
      <c r="K312">
        <v>210</v>
      </c>
      <c r="L312" t="b">
        <f>Data_Completeness(MileageData[[#This Row],[MPG]:[Acceleration]])</f>
        <v>1</v>
      </c>
    </row>
    <row r="313" spans="1:12" x14ac:dyDescent="0.25">
      <c r="A313">
        <v>37.299999999999997</v>
      </c>
      <c r="B313">
        <v>4</v>
      </c>
      <c r="C313">
        <v>91</v>
      </c>
      <c r="D313">
        <v>69</v>
      </c>
      <c r="E313">
        <v>2130</v>
      </c>
      <c r="F313">
        <v>14.7</v>
      </c>
      <c r="G313">
        <v>79</v>
      </c>
      <c r="H313" t="s">
        <v>1636</v>
      </c>
      <c r="I313" t="s">
        <v>1465</v>
      </c>
      <c r="J313" t="s">
        <v>1098</v>
      </c>
      <c r="K313" t="s">
        <v>1466</v>
      </c>
      <c r="L313" t="b">
        <f>Data_Completeness(MileageData[[#This Row],[MPG]:[Acceleration]])</f>
        <v>1</v>
      </c>
    </row>
    <row r="314" spans="1:12" x14ac:dyDescent="0.25">
      <c r="A314">
        <v>28.4</v>
      </c>
      <c r="B314">
        <v>4</v>
      </c>
      <c r="C314">
        <v>151</v>
      </c>
      <c r="D314">
        <v>90</v>
      </c>
      <c r="E314">
        <v>2670</v>
      </c>
      <c r="F314">
        <v>16</v>
      </c>
      <c r="G314">
        <v>79</v>
      </c>
      <c r="H314" t="s">
        <v>1635</v>
      </c>
      <c r="I314" t="s">
        <v>1467</v>
      </c>
      <c r="J314" t="s">
        <v>981</v>
      </c>
      <c r="K314" t="s">
        <v>1468</v>
      </c>
      <c r="L314" t="b">
        <f>Data_Completeness(MileageData[[#This Row],[MPG]:[Acceleration]])</f>
        <v>1</v>
      </c>
    </row>
    <row r="315" spans="1:12" x14ac:dyDescent="0.25">
      <c r="A315">
        <v>28.8</v>
      </c>
      <c r="B315">
        <v>6</v>
      </c>
      <c r="C315">
        <v>173</v>
      </c>
      <c r="D315">
        <v>115</v>
      </c>
      <c r="E315">
        <v>2595</v>
      </c>
      <c r="F315">
        <v>11.3</v>
      </c>
      <c r="G315">
        <v>79</v>
      </c>
      <c r="H315" t="s">
        <v>1635</v>
      </c>
      <c r="I315" t="s">
        <v>1469</v>
      </c>
      <c r="J315" t="s">
        <v>978</v>
      </c>
      <c r="K315" t="s">
        <v>1470</v>
      </c>
      <c r="L315" t="b">
        <f>Data_Completeness(MileageData[[#This Row],[MPG]:[Acceleration]])</f>
        <v>1</v>
      </c>
    </row>
    <row r="316" spans="1:12" x14ac:dyDescent="0.25">
      <c r="A316">
        <v>26.8</v>
      </c>
      <c r="B316">
        <v>6</v>
      </c>
      <c r="C316">
        <v>173</v>
      </c>
      <c r="D316">
        <v>115</v>
      </c>
      <c r="E316">
        <v>2700</v>
      </c>
      <c r="F316">
        <v>12.9</v>
      </c>
      <c r="G316">
        <v>79</v>
      </c>
      <c r="H316" t="s">
        <v>1635</v>
      </c>
      <c r="I316" t="s">
        <v>1471</v>
      </c>
      <c r="J316" t="s">
        <v>1124</v>
      </c>
      <c r="K316" t="s">
        <v>1472</v>
      </c>
      <c r="L316" t="b">
        <f>Data_Completeness(MileageData[[#This Row],[MPG]:[Acceleration]])</f>
        <v>1</v>
      </c>
    </row>
    <row r="317" spans="1:12" x14ac:dyDescent="0.25">
      <c r="A317">
        <v>33.5</v>
      </c>
      <c r="B317">
        <v>4</v>
      </c>
      <c r="C317">
        <v>151</v>
      </c>
      <c r="D317">
        <v>90</v>
      </c>
      <c r="E317">
        <v>2556</v>
      </c>
      <c r="F317">
        <v>13.2</v>
      </c>
      <c r="G317">
        <v>79</v>
      </c>
      <c r="H317" t="s">
        <v>1635</v>
      </c>
      <c r="I317" t="s">
        <v>1473</v>
      </c>
      <c r="J317" t="s">
        <v>999</v>
      </c>
      <c r="K317" t="s">
        <v>1474</v>
      </c>
      <c r="L317" t="b">
        <f>Data_Completeness(MileageData[[#This Row],[MPG]:[Acceleration]])</f>
        <v>1</v>
      </c>
    </row>
    <row r="318" spans="1:12" x14ac:dyDescent="0.25">
      <c r="A318">
        <v>41.5</v>
      </c>
      <c r="B318">
        <v>4</v>
      </c>
      <c r="C318">
        <v>98</v>
      </c>
      <c r="D318">
        <v>76</v>
      </c>
      <c r="E318">
        <v>2144</v>
      </c>
      <c r="F318">
        <v>14.7</v>
      </c>
      <c r="G318">
        <v>80</v>
      </c>
      <c r="H318" t="s">
        <v>1636</v>
      </c>
      <c r="I318" t="s">
        <v>1293</v>
      </c>
      <c r="J318" t="s">
        <v>1294</v>
      </c>
      <c r="K318" t="s">
        <v>1274</v>
      </c>
      <c r="L318" t="b">
        <f>Data_Completeness(MileageData[[#This Row],[MPG]:[Acceleration]])</f>
        <v>1</v>
      </c>
    </row>
    <row r="319" spans="1:12" x14ac:dyDescent="0.25">
      <c r="A319">
        <v>38.1</v>
      </c>
      <c r="B319">
        <v>4</v>
      </c>
      <c r="C319">
        <v>89</v>
      </c>
      <c r="D319">
        <v>60</v>
      </c>
      <c r="E319">
        <v>1968</v>
      </c>
      <c r="F319">
        <v>18.8</v>
      </c>
      <c r="G319">
        <v>80</v>
      </c>
      <c r="H319" t="s">
        <v>1637</v>
      </c>
      <c r="I319" t="s">
        <v>1475</v>
      </c>
      <c r="J319" t="s">
        <v>1025</v>
      </c>
      <c r="K319" t="s">
        <v>1476</v>
      </c>
      <c r="L319" t="b">
        <f>Data_Completeness(MileageData[[#This Row],[MPG]:[Acceleration]])</f>
        <v>1</v>
      </c>
    </row>
    <row r="320" spans="1:12" x14ac:dyDescent="0.25">
      <c r="A320">
        <v>32.1</v>
      </c>
      <c r="B320">
        <v>4</v>
      </c>
      <c r="C320">
        <v>98</v>
      </c>
      <c r="D320">
        <v>70</v>
      </c>
      <c r="E320">
        <v>2120</v>
      </c>
      <c r="F320">
        <v>15.5</v>
      </c>
      <c r="G320">
        <v>80</v>
      </c>
      <c r="H320" t="s">
        <v>1635</v>
      </c>
      <c r="I320" t="s">
        <v>1289</v>
      </c>
      <c r="J320" t="s">
        <v>978</v>
      </c>
      <c r="K320" t="s">
        <v>1290</v>
      </c>
      <c r="L320" t="b">
        <f>Data_Completeness(MileageData[[#This Row],[MPG]:[Acceleration]])</f>
        <v>1</v>
      </c>
    </row>
    <row r="321" spans="1:12" x14ac:dyDescent="0.25">
      <c r="A321">
        <v>37.200000000000003</v>
      </c>
      <c r="B321">
        <v>4</v>
      </c>
      <c r="C321">
        <v>86</v>
      </c>
      <c r="D321">
        <v>65</v>
      </c>
      <c r="E321">
        <v>2019</v>
      </c>
      <c r="F321">
        <v>16.399999999999999</v>
      </c>
      <c r="G321">
        <v>80</v>
      </c>
      <c r="H321" t="s">
        <v>1637</v>
      </c>
      <c r="I321" t="s">
        <v>1477</v>
      </c>
      <c r="J321" t="s">
        <v>1034</v>
      </c>
      <c r="K321">
        <v>310</v>
      </c>
      <c r="L321" t="b">
        <f>Data_Completeness(MileageData[[#This Row],[MPG]:[Acceleration]])</f>
        <v>1</v>
      </c>
    </row>
    <row r="322" spans="1:12" x14ac:dyDescent="0.25">
      <c r="A322">
        <v>28</v>
      </c>
      <c r="B322">
        <v>4</v>
      </c>
      <c r="C322">
        <v>151</v>
      </c>
      <c r="D322">
        <v>90</v>
      </c>
      <c r="E322">
        <v>2678</v>
      </c>
      <c r="F322">
        <v>16.5</v>
      </c>
      <c r="G322">
        <v>80</v>
      </c>
      <c r="H322" t="s">
        <v>1635</v>
      </c>
      <c r="I322" t="s">
        <v>1469</v>
      </c>
      <c r="J322" t="s">
        <v>978</v>
      </c>
      <c r="K322" t="s">
        <v>1470</v>
      </c>
      <c r="L322" t="b">
        <f>Data_Completeness(MileageData[[#This Row],[MPG]:[Acceleration]])</f>
        <v>1</v>
      </c>
    </row>
    <row r="323" spans="1:12" x14ac:dyDescent="0.25">
      <c r="A323">
        <v>26.4</v>
      </c>
      <c r="B323">
        <v>4</v>
      </c>
      <c r="C323">
        <v>140</v>
      </c>
      <c r="D323">
        <v>88</v>
      </c>
      <c r="E323">
        <v>2870</v>
      </c>
      <c r="F323">
        <v>18.100000000000001</v>
      </c>
      <c r="G323">
        <v>80</v>
      </c>
      <c r="H323" t="s">
        <v>1635</v>
      </c>
      <c r="I323" t="s">
        <v>1478</v>
      </c>
      <c r="J323" t="s">
        <v>990</v>
      </c>
      <c r="K323" t="s">
        <v>1479</v>
      </c>
      <c r="L323" t="b">
        <f>Data_Completeness(MileageData[[#This Row],[MPG]:[Acceleration]])</f>
        <v>1</v>
      </c>
    </row>
    <row r="324" spans="1:12" x14ac:dyDescent="0.25">
      <c r="A324">
        <v>24.3</v>
      </c>
      <c r="B324">
        <v>4</v>
      </c>
      <c r="C324">
        <v>151</v>
      </c>
      <c r="D324">
        <v>90</v>
      </c>
      <c r="E324">
        <v>3003</v>
      </c>
      <c r="F324">
        <v>20.100000000000001</v>
      </c>
      <c r="G324">
        <v>80</v>
      </c>
      <c r="H324" t="s">
        <v>1635</v>
      </c>
      <c r="I324" t="s">
        <v>1391</v>
      </c>
      <c r="J324" t="s">
        <v>987</v>
      </c>
      <c r="K324" t="s">
        <v>1392</v>
      </c>
      <c r="L324" t="b">
        <f>Data_Completeness(MileageData[[#This Row],[MPG]:[Acceleration]])</f>
        <v>1</v>
      </c>
    </row>
    <row r="325" spans="1:12" x14ac:dyDescent="0.25">
      <c r="A325">
        <v>19.100000000000001</v>
      </c>
      <c r="B325">
        <v>6</v>
      </c>
      <c r="C325">
        <v>225</v>
      </c>
      <c r="D325">
        <v>90</v>
      </c>
      <c r="E325">
        <v>3381</v>
      </c>
      <c r="F325">
        <v>18.7</v>
      </c>
      <c r="G325">
        <v>80</v>
      </c>
      <c r="H325" t="s">
        <v>1635</v>
      </c>
      <c r="I325" t="s">
        <v>1397</v>
      </c>
      <c r="J325" t="s">
        <v>1015</v>
      </c>
      <c r="K325" t="s">
        <v>1398</v>
      </c>
      <c r="L325" t="b">
        <f>Data_Completeness(MileageData[[#This Row],[MPG]:[Acceleration]])</f>
        <v>1</v>
      </c>
    </row>
    <row r="326" spans="1:12" x14ac:dyDescent="0.25">
      <c r="A326">
        <v>34.299999999999997</v>
      </c>
      <c r="B326">
        <v>4</v>
      </c>
      <c r="C326">
        <v>97</v>
      </c>
      <c r="D326">
        <v>78</v>
      </c>
      <c r="E326">
        <v>2188</v>
      </c>
      <c r="F326">
        <v>15.8</v>
      </c>
      <c r="G326">
        <v>80</v>
      </c>
      <c r="H326" t="s">
        <v>1636</v>
      </c>
      <c r="I326" t="s">
        <v>1480</v>
      </c>
      <c r="J326" t="s">
        <v>1042</v>
      </c>
      <c r="K326">
        <v>4000</v>
      </c>
      <c r="L326" t="b">
        <f>Data_Completeness(MileageData[[#This Row],[MPG]:[Acceleration]])</f>
        <v>1</v>
      </c>
    </row>
    <row r="327" spans="1:12" x14ac:dyDescent="0.25">
      <c r="A327">
        <v>29.8</v>
      </c>
      <c r="B327">
        <v>4</v>
      </c>
      <c r="C327">
        <v>134</v>
      </c>
      <c r="D327">
        <v>90</v>
      </c>
      <c r="E327">
        <v>2711</v>
      </c>
      <c r="F327">
        <v>15.5</v>
      </c>
      <c r="G327">
        <v>80</v>
      </c>
      <c r="H327" t="s">
        <v>1637</v>
      </c>
      <c r="I327" t="s">
        <v>1481</v>
      </c>
      <c r="J327" t="s">
        <v>1025</v>
      </c>
      <c r="K327" t="s">
        <v>1482</v>
      </c>
      <c r="L327" t="b">
        <f>Data_Completeness(MileageData[[#This Row],[MPG]:[Acceleration]])</f>
        <v>1</v>
      </c>
    </row>
    <row r="328" spans="1:12" x14ac:dyDescent="0.25">
      <c r="A328">
        <v>31.3</v>
      </c>
      <c r="B328">
        <v>4</v>
      </c>
      <c r="C328">
        <v>120</v>
      </c>
      <c r="D328">
        <v>75</v>
      </c>
      <c r="E328">
        <v>2542</v>
      </c>
      <c r="F328">
        <v>17.5</v>
      </c>
      <c r="G328">
        <v>80</v>
      </c>
      <c r="H328" t="s">
        <v>1637</v>
      </c>
      <c r="I328" t="s">
        <v>1483</v>
      </c>
      <c r="J328" t="s">
        <v>1130</v>
      </c>
      <c r="K328">
        <v>626</v>
      </c>
      <c r="L328" t="b">
        <f>Data_Completeness(MileageData[[#This Row],[MPG]:[Acceleration]])</f>
        <v>1</v>
      </c>
    </row>
    <row r="329" spans="1:12" x14ac:dyDescent="0.25">
      <c r="A329">
        <v>37</v>
      </c>
      <c r="B329">
        <v>4</v>
      </c>
      <c r="C329">
        <v>119</v>
      </c>
      <c r="D329">
        <v>92</v>
      </c>
      <c r="E329">
        <v>2434</v>
      </c>
      <c r="F329">
        <v>15</v>
      </c>
      <c r="G329">
        <v>80</v>
      </c>
      <c r="H329" t="s">
        <v>1637</v>
      </c>
      <c r="I329" t="s">
        <v>1484</v>
      </c>
      <c r="J329" t="s">
        <v>1034</v>
      </c>
      <c r="K329" t="s">
        <v>1485</v>
      </c>
      <c r="L329" t="b">
        <f>Data_Completeness(MileageData[[#This Row],[MPG]:[Acceleration]])</f>
        <v>1</v>
      </c>
    </row>
    <row r="330" spans="1:12" x14ac:dyDescent="0.25">
      <c r="A330">
        <v>32.200000000000003</v>
      </c>
      <c r="B330">
        <v>4</v>
      </c>
      <c r="C330">
        <v>108</v>
      </c>
      <c r="D330">
        <v>75</v>
      </c>
      <c r="E330">
        <v>2265</v>
      </c>
      <c r="F330">
        <v>15.2</v>
      </c>
      <c r="G330">
        <v>80</v>
      </c>
      <c r="H330" t="s">
        <v>1637</v>
      </c>
      <c r="I330" t="s">
        <v>1269</v>
      </c>
      <c r="J330" t="s">
        <v>1025</v>
      </c>
      <c r="K330" t="s">
        <v>1270</v>
      </c>
      <c r="L330" t="b">
        <f>Data_Completeness(MileageData[[#This Row],[MPG]:[Acceleration]])</f>
        <v>1</v>
      </c>
    </row>
    <row r="331" spans="1:12" x14ac:dyDescent="0.25">
      <c r="A331">
        <v>46.6</v>
      </c>
      <c r="B331">
        <v>4</v>
      </c>
      <c r="C331">
        <v>86</v>
      </c>
      <c r="D331">
        <v>65</v>
      </c>
      <c r="E331">
        <v>2110</v>
      </c>
      <c r="F331">
        <v>17.899999999999999</v>
      </c>
      <c r="G331">
        <v>80</v>
      </c>
      <c r="H331" t="s">
        <v>1637</v>
      </c>
      <c r="I331" t="s">
        <v>1486</v>
      </c>
      <c r="J331" t="s">
        <v>1130</v>
      </c>
      <c r="K331" t="s">
        <v>1487</v>
      </c>
      <c r="L331" t="b">
        <f>Data_Completeness(MileageData[[#This Row],[MPG]:[Acceleration]])</f>
        <v>1</v>
      </c>
    </row>
    <row r="332" spans="1:12" x14ac:dyDescent="0.25">
      <c r="A332">
        <v>27.9</v>
      </c>
      <c r="B332">
        <v>4</v>
      </c>
      <c r="C332">
        <v>156</v>
      </c>
      <c r="D332">
        <v>105</v>
      </c>
      <c r="E332">
        <v>2800</v>
      </c>
      <c r="F332">
        <v>14.4</v>
      </c>
      <c r="G332">
        <v>80</v>
      </c>
      <c r="H332" t="s">
        <v>1635</v>
      </c>
      <c r="I332" t="s">
        <v>1239</v>
      </c>
      <c r="J332" t="s">
        <v>1015</v>
      </c>
      <c r="K332" t="s">
        <v>1240</v>
      </c>
      <c r="L332" t="b">
        <f>Data_Completeness(MileageData[[#This Row],[MPG]:[Acceleration]])</f>
        <v>1</v>
      </c>
    </row>
    <row r="333" spans="1:12" x14ac:dyDescent="0.25">
      <c r="A333">
        <v>40.799999999999997</v>
      </c>
      <c r="B333">
        <v>4</v>
      </c>
      <c r="C333">
        <v>85</v>
      </c>
      <c r="D333">
        <v>65</v>
      </c>
      <c r="E333">
        <v>2110</v>
      </c>
      <c r="F333">
        <v>19.2</v>
      </c>
      <c r="G333">
        <v>80</v>
      </c>
      <c r="H333" t="s">
        <v>1637</v>
      </c>
      <c r="I333" t="s">
        <v>1464</v>
      </c>
      <c r="J333" t="s">
        <v>1034</v>
      </c>
      <c r="K333">
        <v>210</v>
      </c>
      <c r="L333" t="b">
        <f>Data_Completeness(MileageData[[#This Row],[MPG]:[Acceleration]])</f>
        <v>1</v>
      </c>
    </row>
    <row r="334" spans="1:12" x14ac:dyDescent="0.25">
      <c r="A334">
        <v>44.3</v>
      </c>
      <c r="B334">
        <v>4</v>
      </c>
      <c r="C334">
        <v>90</v>
      </c>
      <c r="D334">
        <v>48</v>
      </c>
      <c r="E334">
        <v>2085</v>
      </c>
      <c r="F334">
        <v>21.7</v>
      </c>
      <c r="G334">
        <v>80</v>
      </c>
      <c r="H334" t="s">
        <v>1636</v>
      </c>
      <c r="I334" t="s">
        <v>1488</v>
      </c>
      <c r="J334" t="s">
        <v>1294</v>
      </c>
      <c r="K334" t="s">
        <v>1489</v>
      </c>
      <c r="L334" t="b">
        <f>Data_Completeness(MileageData[[#This Row],[MPG]:[Acceleration]])</f>
        <v>1</v>
      </c>
    </row>
    <row r="335" spans="1:12" x14ac:dyDescent="0.25">
      <c r="A335">
        <v>43.4</v>
      </c>
      <c r="B335">
        <v>4</v>
      </c>
      <c r="C335">
        <v>90</v>
      </c>
      <c r="D335">
        <v>48</v>
      </c>
      <c r="E335">
        <v>2335</v>
      </c>
      <c r="F335">
        <v>23.7</v>
      </c>
      <c r="G335">
        <v>80</v>
      </c>
      <c r="H335" t="s">
        <v>1636</v>
      </c>
      <c r="I335" t="s">
        <v>1490</v>
      </c>
      <c r="J335" t="s">
        <v>1294</v>
      </c>
      <c r="K335" t="s">
        <v>1491</v>
      </c>
      <c r="L335" t="b">
        <f>Data_Completeness(MileageData[[#This Row],[MPG]:[Acceleration]])</f>
        <v>1</v>
      </c>
    </row>
    <row r="336" spans="1:12" x14ac:dyDescent="0.25">
      <c r="A336">
        <v>36.4</v>
      </c>
      <c r="B336">
        <v>5</v>
      </c>
      <c r="C336">
        <v>121</v>
      </c>
      <c r="D336">
        <v>67</v>
      </c>
      <c r="E336">
        <v>2950</v>
      </c>
      <c r="F336">
        <v>19.899999999999999</v>
      </c>
      <c r="G336">
        <v>80</v>
      </c>
      <c r="H336" t="s">
        <v>1636</v>
      </c>
      <c r="I336" t="s">
        <v>1492</v>
      </c>
      <c r="J336" t="s">
        <v>1042</v>
      </c>
      <c r="K336" t="s">
        <v>1493</v>
      </c>
      <c r="L336" t="b">
        <f>Data_Completeness(MileageData[[#This Row],[MPG]:[Acceleration]])</f>
        <v>1</v>
      </c>
    </row>
    <row r="337" spans="1:12" x14ac:dyDescent="0.25">
      <c r="A337">
        <v>30</v>
      </c>
      <c r="B337">
        <v>4</v>
      </c>
      <c r="C337">
        <v>146</v>
      </c>
      <c r="D337">
        <v>67</v>
      </c>
      <c r="E337">
        <v>3250</v>
      </c>
      <c r="F337">
        <v>21.8</v>
      </c>
      <c r="G337">
        <v>80</v>
      </c>
      <c r="H337" t="s">
        <v>1636</v>
      </c>
      <c r="I337" t="s">
        <v>1494</v>
      </c>
      <c r="J337" t="s">
        <v>1309</v>
      </c>
      <c r="K337" t="s">
        <v>1495</v>
      </c>
      <c r="L337" t="b">
        <f>Data_Completeness(MileageData[[#This Row],[MPG]:[Acceleration]])</f>
        <v>1</v>
      </c>
    </row>
    <row r="338" spans="1:12" x14ac:dyDescent="0.25">
      <c r="A338">
        <v>44.6</v>
      </c>
      <c r="B338">
        <v>4</v>
      </c>
      <c r="C338">
        <v>91</v>
      </c>
      <c r="D338">
        <v>67</v>
      </c>
      <c r="E338">
        <v>1850</v>
      </c>
      <c r="F338">
        <v>13.8</v>
      </c>
      <c r="G338">
        <v>80</v>
      </c>
      <c r="H338" t="s">
        <v>1637</v>
      </c>
      <c r="I338" t="s">
        <v>1496</v>
      </c>
      <c r="J338" t="s">
        <v>1244</v>
      </c>
      <c r="K338" t="s">
        <v>1497</v>
      </c>
      <c r="L338" t="b">
        <f>Data_Completeness(MileageData[[#This Row],[MPG]:[Acceleration]])</f>
        <v>1</v>
      </c>
    </row>
    <row r="339" spans="1:12" x14ac:dyDescent="0.25">
      <c r="A339">
        <v>40.9</v>
      </c>
      <c r="B339">
        <v>4</v>
      </c>
      <c r="C339">
        <v>85</v>
      </c>
      <c r="E339">
        <v>1835</v>
      </c>
      <c r="F339">
        <v>17.3</v>
      </c>
      <c r="G339">
        <v>80</v>
      </c>
      <c r="H339" t="s">
        <v>1636</v>
      </c>
      <c r="I339" t="s">
        <v>1498</v>
      </c>
      <c r="J339" t="s">
        <v>1146</v>
      </c>
      <c r="K339" t="s">
        <v>1499</v>
      </c>
      <c r="L339" t="b">
        <f>Data_Completeness(MileageData[[#This Row],[MPG]:[Acceleration]])</f>
        <v>0</v>
      </c>
    </row>
    <row r="340" spans="1:12" x14ac:dyDescent="0.25">
      <c r="A340">
        <v>33.799999999999997</v>
      </c>
      <c r="B340">
        <v>4</v>
      </c>
      <c r="C340">
        <v>97</v>
      </c>
      <c r="D340">
        <v>67</v>
      </c>
      <c r="E340">
        <v>2145</v>
      </c>
      <c r="F340">
        <v>18</v>
      </c>
      <c r="G340">
        <v>80</v>
      </c>
      <c r="H340" t="s">
        <v>1637</v>
      </c>
      <c r="I340" t="s">
        <v>1362</v>
      </c>
      <c r="J340" t="s">
        <v>1246</v>
      </c>
      <c r="K340" t="s">
        <v>1363</v>
      </c>
      <c r="L340" t="b">
        <f>Data_Completeness(MileageData[[#This Row],[MPG]:[Acceleration]])</f>
        <v>1</v>
      </c>
    </row>
    <row r="341" spans="1:12" x14ac:dyDescent="0.25">
      <c r="A341">
        <v>29.8</v>
      </c>
      <c r="B341">
        <v>4</v>
      </c>
      <c r="C341">
        <v>89</v>
      </c>
      <c r="D341">
        <v>62</v>
      </c>
      <c r="E341">
        <v>1845</v>
      </c>
      <c r="F341">
        <v>15.3</v>
      </c>
      <c r="G341">
        <v>80</v>
      </c>
      <c r="H341" t="s">
        <v>1636</v>
      </c>
      <c r="I341" t="s">
        <v>1500</v>
      </c>
      <c r="J341" t="s">
        <v>1501</v>
      </c>
      <c r="K341" t="s">
        <v>1274</v>
      </c>
      <c r="L341" t="b">
        <f>Data_Completeness(MileageData[[#This Row],[MPG]:[Acceleration]])</f>
        <v>1</v>
      </c>
    </row>
    <row r="342" spans="1:12" x14ac:dyDescent="0.25">
      <c r="A342">
        <v>32.700000000000003</v>
      </c>
      <c r="B342">
        <v>6</v>
      </c>
      <c r="C342">
        <v>168</v>
      </c>
      <c r="D342">
        <v>132</v>
      </c>
      <c r="E342">
        <v>2910</v>
      </c>
      <c r="F342">
        <v>11.4</v>
      </c>
      <c r="G342">
        <v>80</v>
      </c>
      <c r="H342" t="s">
        <v>1637</v>
      </c>
      <c r="I342" t="s">
        <v>1502</v>
      </c>
      <c r="J342" t="s">
        <v>1034</v>
      </c>
      <c r="K342" t="s">
        <v>1503</v>
      </c>
      <c r="L342" t="b">
        <f>Data_Completeness(MileageData[[#This Row],[MPG]:[Acceleration]])</f>
        <v>1</v>
      </c>
    </row>
    <row r="343" spans="1:12" x14ac:dyDescent="0.25">
      <c r="A343">
        <v>23.7</v>
      </c>
      <c r="B343">
        <v>3</v>
      </c>
      <c r="C343">
        <v>70</v>
      </c>
      <c r="D343">
        <v>100</v>
      </c>
      <c r="E343">
        <v>2420</v>
      </c>
      <c r="F343">
        <v>12.5</v>
      </c>
      <c r="G343">
        <v>80</v>
      </c>
      <c r="H343" t="s">
        <v>1637</v>
      </c>
      <c r="I343" t="s">
        <v>1504</v>
      </c>
      <c r="J343" t="s">
        <v>1130</v>
      </c>
      <c r="K343" t="s">
        <v>1505</v>
      </c>
      <c r="L343" t="b">
        <f>Data_Completeness(MileageData[[#This Row],[MPG]:[Acceleration]])</f>
        <v>1</v>
      </c>
    </row>
    <row r="344" spans="1:12" x14ac:dyDescent="0.25">
      <c r="A344">
        <v>35</v>
      </c>
      <c r="B344">
        <v>4</v>
      </c>
      <c r="C344">
        <v>122</v>
      </c>
      <c r="D344">
        <v>88</v>
      </c>
      <c r="E344">
        <v>2500</v>
      </c>
      <c r="F344">
        <v>15.1</v>
      </c>
      <c r="G344">
        <v>80</v>
      </c>
      <c r="H344" t="s">
        <v>1636</v>
      </c>
      <c r="I344" t="s">
        <v>1506</v>
      </c>
      <c r="J344" t="s">
        <v>1507</v>
      </c>
      <c r="K344" t="s">
        <v>1508</v>
      </c>
      <c r="L344" t="b">
        <f>Data_Completeness(MileageData[[#This Row],[MPG]:[Acceleration]])</f>
        <v>1</v>
      </c>
    </row>
    <row r="345" spans="1:12" x14ac:dyDescent="0.25">
      <c r="A345">
        <v>23.6</v>
      </c>
      <c r="B345">
        <v>4</v>
      </c>
      <c r="C345">
        <v>140</v>
      </c>
      <c r="E345">
        <v>2905</v>
      </c>
      <c r="F345">
        <v>14.3</v>
      </c>
      <c r="G345">
        <v>80</v>
      </c>
      <c r="H345" t="s">
        <v>1635</v>
      </c>
      <c r="I345" t="s">
        <v>1509</v>
      </c>
      <c r="J345" t="s">
        <v>990</v>
      </c>
      <c r="K345" t="s">
        <v>1510</v>
      </c>
      <c r="L345" t="b">
        <f>Data_Completeness(MileageData[[#This Row],[MPG]:[Acceleration]])</f>
        <v>0</v>
      </c>
    </row>
    <row r="346" spans="1:12" x14ac:dyDescent="0.25">
      <c r="A346">
        <v>32.4</v>
      </c>
      <c r="B346">
        <v>4</v>
      </c>
      <c r="C346">
        <v>107</v>
      </c>
      <c r="D346">
        <v>72</v>
      </c>
      <c r="E346">
        <v>2290</v>
      </c>
      <c r="F346">
        <v>17</v>
      </c>
      <c r="G346">
        <v>80</v>
      </c>
      <c r="H346" t="s">
        <v>1637</v>
      </c>
      <c r="I346" t="s">
        <v>1511</v>
      </c>
      <c r="J346" t="s">
        <v>1244</v>
      </c>
      <c r="K346" t="s">
        <v>1512</v>
      </c>
      <c r="L346" t="b">
        <f>Data_Completeness(MileageData[[#This Row],[MPG]:[Acceleration]])</f>
        <v>1</v>
      </c>
    </row>
    <row r="347" spans="1:12" x14ac:dyDescent="0.25">
      <c r="A347">
        <v>27.2</v>
      </c>
      <c r="B347">
        <v>4</v>
      </c>
      <c r="C347">
        <v>135</v>
      </c>
      <c r="D347">
        <v>84</v>
      </c>
      <c r="E347">
        <v>2490</v>
      </c>
      <c r="F347">
        <v>15.7</v>
      </c>
      <c r="G347">
        <v>81</v>
      </c>
      <c r="H347" t="s">
        <v>1635</v>
      </c>
      <c r="I347" t="s">
        <v>1513</v>
      </c>
      <c r="J347" t="s">
        <v>984</v>
      </c>
      <c r="K347" t="s">
        <v>1514</v>
      </c>
      <c r="L347" t="b">
        <f>Data_Completeness(MileageData[[#This Row],[MPG]:[Acceleration]])</f>
        <v>1</v>
      </c>
    </row>
    <row r="348" spans="1:12" x14ac:dyDescent="0.25">
      <c r="A348">
        <v>26.6</v>
      </c>
      <c r="B348">
        <v>4</v>
      </c>
      <c r="C348">
        <v>151</v>
      </c>
      <c r="D348">
        <v>84</v>
      </c>
      <c r="E348">
        <v>2635</v>
      </c>
      <c r="F348">
        <v>16.399999999999999</v>
      </c>
      <c r="G348">
        <v>81</v>
      </c>
      <c r="H348" t="s">
        <v>1635</v>
      </c>
      <c r="I348" t="s">
        <v>1338</v>
      </c>
      <c r="J348" t="s">
        <v>981</v>
      </c>
      <c r="K348" t="s">
        <v>1339</v>
      </c>
      <c r="L348" t="b">
        <f>Data_Completeness(MileageData[[#This Row],[MPG]:[Acceleration]])</f>
        <v>1</v>
      </c>
    </row>
    <row r="349" spans="1:12" x14ac:dyDescent="0.25">
      <c r="A349">
        <v>25.8</v>
      </c>
      <c r="B349">
        <v>4</v>
      </c>
      <c r="C349">
        <v>156</v>
      </c>
      <c r="D349">
        <v>92</v>
      </c>
      <c r="E349">
        <v>2620</v>
      </c>
      <c r="F349">
        <v>14.4</v>
      </c>
      <c r="G349">
        <v>81</v>
      </c>
      <c r="H349" t="s">
        <v>1635</v>
      </c>
      <c r="I349" t="s">
        <v>1515</v>
      </c>
      <c r="J349" t="s">
        <v>1015</v>
      </c>
      <c r="K349" t="s">
        <v>1516</v>
      </c>
      <c r="L349" t="b">
        <f>Data_Completeness(MileageData[[#This Row],[MPG]:[Acceleration]])</f>
        <v>1</v>
      </c>
    </row>
    <row r="350" spans="1:12" x14ac:dyDescent="0.25">
      <c r="A350">
        <v>23.5</v>
      </c>
      <c r="B350">
        <v>6</v>
      </c>
      <c r="C350">
        <v>173</v>
      </c>
      <c r="D350">
        <v>110</v>
      </c>
      <c r="E350">
        <v>2725</v>
      </c>
      <c r="F350">
        <v>12.6</v>
      </c>
      <c r="G350">
        <v>81</v>
      </c>
      <c r="H350" t="s">
        <v>1635</v>
      </c>
      <c r="I350" t="s">
        <v>1469</v>
      </c>
      <c r="J350" t="s">
        <v>978</v>
      </c>
      <c r="K350" t="s">
        <v>1470</v>
      </c>
      <c r="L350" t="b">
        <f>Data_Completeness(MileageData[[#This Row],[MPG]:[Acceleration]])</f>
        <v>1</v>
      </c>
    </row>
    <row r="351" spans="1:12" x14ac:dyDescent="0.25">
      <c r="A351">
        <v>30</v>
      </c>
      <c r="B351">
        <v>4</v>
      </c>
      <c r="C351">
        <v>135</v>
      </c>
      <c r="D351">
        <v>84</v>
      </c>
      <c r="E351">
        <v>2385</v>
      </c>
      <c r="F351">
        <v>12.9</v>
      </c>
      <c r="G351">
        <v>81</v>
      </c>
      <c r="H351" t="s">
        <v>1635</v>
      </c>
      <c r="I351" t="s">
        <v>1513</v>
      </c>
      <c r="J351" t="s">
        <v>984</v>
      </c>
      <c r="K351" t="s">
        <v>1514</v>
      </c>
      <c r="L351" t="b">
        <f>Data_Completeness(MileageData[[#This Row],[MPG]:[Acceleration]])</f>
        <v>1</v>
      </c>
    </row>
    <row r="352" spans="1:12" x14ac:dyDescent="0.25">
      <c r="A352">
        <v>39.1</v>
      </c>
      <c r="B352">
        <v>4</v>
      </c>
      <c r="C352">
        <v>79</v>
      </c>
      <c r="D352">
        <v>58</v>
      </c>
      <c r="E352">
        <v>1755</v>
      </c>
      <c r="F352">
        <v>16.899999999999999</v>
      </c>
      <c r="G352">
        <v>81</v>
      </c>
      <c r="H352" t="s">
        <v>1637</v>
      </c>
      <c r="I352" t="s">
        <v>1517</v>
      </c>
      <c r="J352" t="s">
        <v>1025</v>
      </c>
      <c r="K352" t="s">
        <v>1518</v>
      </c>
      <c r="L352" t="b">
        <f>Data_Completeness(MileageData[[#This Row],[MPG]:[Acceleration]])</f>
        <v>1</v>
      </c>
    </row>
    <row r="353" spans="1:12" x14ac:dyDescent="0.25">
      <c r="A353">
        <v>39</v>
      </c>
      <c r="B353">
        <v>4</v>
      </c>
      <c r="C353">
        <v>86</v>
      </c>
      <c r="D353">
        <v>64</v>
      </c>
      <c r="E353">
        <v>1875</v>
      </c>
      <c r="F353">
        <v>16.399999999999999</v>
      </c>
      <c r="G353">
        <v>81</v>
      </c>
      <c r="H353" t="s">
        <v>1635</v>
      </c>
      <c r="I353" t="s">
        <v>1519</v>
      </c>
      <c r="J353" t="s">
        <v>984</v>
      </c>
      <c r="K353" t="s">
        <v>1520</v>
      </c>
      <c r="L353" t="b">
        <f>Data_Completeness(MileageData[[#This Row],[MPG]:[Acceleration]])</f>
        <v>1</v>
      </c>
    </row>
    <row r="354" spans="1:12" x14ac:dyDescent="0.25">
      <c r="A354">
        <v>35.1</v>
      </c>
      <c r="B354">
        <v>4</v>
      </c>
      <c r="C354">
        <v>81</v>
      </c>
      <c r="D354">
        <v>60</v>
      </c>
      <c r="E354">
        <v>1760</v>
      </c>
      <c r="F354">
        <v>16.100000000000001</v>
      </c>
      <c r="G354">
        <v>81</v>
      </c>
      <c r="H354" t="s">
        <v>1637</v>
      </c>
      <c r="I354" t="s">
        <v>1521</v>
      </c>
      <c r="J354" t="s">
        <v>1244</v>
      </c>
      <c r="K354" t="s">
        <v>1522</v>
      </c>
      <c r="L354" t="b">
        <f>Data_Completeness(MileageData[[#This Row],[MPG]:[Acceleration]])</f>
        <v>1</v>
      </c>
    </row>
    <row r="355" spans="1:12" x14ac:dyDescent="0.25">
      <c r="A355">
        <v>32.299999999999997</v>
      </c>
      <c r="B355">
        <v>4</v>
      </c>
      <c r="C355">
        <v>97</v>
      </c>
      <c r="D355">
        <v>67</v>
      </c>
      <c r="E355">
        <v>2065</v>
      </c>
      <c r="F355">
        <v>17.8</v>
      </c>
      <c r="G355">
        <v>81</v>
      </c>
      <c r="H355" t="s">
        <v>1637</v>
      </c>
      <c r="I355" t="s">
        <v>1246</v>
      </c>
      <c r="J355" t="e">
        <v>#VALUE!</v>
      </c>
      <c r="K355" t="e">
        <v>#VALUE!</v>
      </c>
      <c r="L355" t="b">
        <f>Data_Completeness(MileageData[[#This Row],[MPG]:[Acceleration]])</f>
        <v>1</v>
      </c>
    </row>
    <row r="356" spans="1:12" x14ac:dyDescent="0.25">
      <c r="A356">
        <v>37</v>
      </c>
      <c r="B356">
        <v>4</v>
      </c>
      <c r="C356">
        <v>85</v>
      </c>
      <c r="D356">
        <v>65</v>
      </c>
      <c r="E356">
        <v>1975</v>
      </c>
      <c r="F356">
        <v>19.399999999999999</v>
      </c>
      <c r="G356">
        <v>81</v>
      </c>
      <c r="H356" t="s">
        <v>1637</v>
      </c>
      <c r="I356" t="s">
        <v>1523</v>
      </c>
      <c r="J356" t="s">
        <v>1034</v>
      </c>
      <c r="K356" t="s">
        <v>1524</v>
      </c>
      <c r="L356" t="b">
        <f>Data_Completeness(MileageData[[#This Row],[MPG]:[Acceleration]])</f>
        <v>1</v>
      </c>
    </row>
    <row r="357" spans="1:12" x14ac:dyDescent="0.25">
      <c r="A357">
        <v>37.700000000000003</v>
      </c>
      <c r="B357">
        <v>4</v>
      </c>
      <c r="C357">
        <v>89</v>
      </c>
      <c r="D357">
        <v>62</v>
      </c>
      <c r="E357">
        <v>2050</v>
      </c>
      <c r="F357">
        <v>17.3</v>
      </c>
      <c r="G357">
        <v>81</v>
      </c>
      <c r="H357" t="s">
        <v>1637</v>
      </c>
      <c r="I357" t="s">
        <v>1525</v>
      </c>
      <c r="J357" t="s">
        <v>1025</v>
      </c>
      <c r="K357" t="s">
        <v>1526</v>
      </c>
      <c r="L357" t="b">
        <f>Data_Completeness(MileageData[[#This Row],[MPG]:[Acceleration]])</f>
        <v>1</v>
      </c>
    </row>
    <row r="358" spans="1:12" x14ac:dyDescent="0.25">
      <c r="A358">
        <v>34.1</v>
      </c>
      <c r="B358">
        <v>4</v>
      </c>
      <c r="C358">
        <v>91</v>
      </c>
      <c r="D358">
        <v>68</v>
      </c>
      <c r="E358">
        <v>1985</v>
      </c>
      <c r="F358">
        <v>16</v>
      </c>
      <c r="G358">
        <v>81</v>
      </c>
      <c r="H358" t="s">
        <v>1637</v>
      </c>
      <c r="I358" t="s">
        <v>1527</v>
      </c>
      <c r="J358" t="s">
        <v>1130</v>
      </c>
      <c r="K358" t="s">
        <v>1528</v>
      </c>
      <c r="L358" t="b">
        <f>Data_Completeness(MileageData[[#This Row],[MPG]:[Acceleration]])</f>
        <v>1</v>
      </c>
    </row>
    <row r="359" spans="1:12" x14ac:dyDescent="0.25">
      <c r="A359">
        <v>34.700000000000003</v>
      </c>
      <c r="B359">
        <v>4</v>
      </c>
      <c r="C359">
        <v>105</v>
      </c>
      <c r="D359">
        <v>63</v>
      </c>
      <c r="E359">
        <v>2215</v>
      </c>
      <c r="F359">
        <v>14.9</v>
      </c>
      <c r="G359">
        <v>81</v>
      </c>
      <c r="H359" t="s">
        <v>1635</v>
      </c>
      <c r="I359" t="s">
        <v>1529</v>
      </c>
      <c r="J359" t="s">
        <v>984</v>
      </c>
      <c r="K359" t="s">
        <v>1530</v>
      </c>
      <c r="L359" t="b">
        <f>Data_Completeness(MileageData[[#This Row],[MPG]:[Acceleration]])</f>
        <v>1</v>
      </c>
    </row>
    <row r="360" spans="1:12" x14ac:dyDescent="0.25">
      <c r="A360">
        <v>34.4</v>
      </c>
      <c r="B360">
        <v>4</v>
      </c>
      <c r="C360">
        <v>98</v>
      </c>
      <c r="D360">
        <v>65</v>
      </c>
      <c r="E360">
        <v>2045</v>
      </c>
      <c r="F360">
        <v>16.2</v>
      </c>
      <c r="G360">
        <v>81</v>
      </c>
      <c r="H360" t="s">
        <v>1635</v>
      </c>
      <c r="I360" t="s">
        <v>1531</v>
      </c>
      <c r="J360" t="s">
        <v>990</v>
      </c>
      <c r="K360" t="s">
        <v>1532</v>
      </c>
      <c r="L360" t="b">
        <f>Data_Completeness(MileageData[[#This Row],[MPG]:[Acceleration]])</f>
        <v>1</v>
      </c>
    </row>
    <row r="361" spans="1:12" x14ac:dyDescent="0.25">
      <c r="A361">
        <v>29.9</v>
      </c>
      <c r="B361">
        <v>4</v>
      </c>
      <c r="C361">
        <v>98</v>
      </c>
      <c r="D361">
        <v>65</v>
      </c>
      <c r="E361">
        <v>2380</v>
      </c>
      <c r="F361">
        <v>20.7</v>
      </c>
      <c r="G361">
        <v>81</v>
      </c>
      <c r="H361" t="s">
        <v>1635</v>
      </c>
      <c r="I361" t="s">
        <v>1533</v>
      </c>
      <c r="J361" t="s">
        <v>990</v>
      </c>
      <c r="K361" t="s">
        <v>1534</v>
      </c>
      <c r="L361" t="b">
        <f>Data_Completeness(MileageData[[#This Row],[MPG]:[Acceleration]])</f>
        <v>1</v>
      </c>
    </row>
    <row r="362" spans="1:12" x14ac:dyDescent="0.25">
      <c r="A362">
        <v>33</v>
      </c>
      <c r="B362">
        <v>4</v>
      </c>
      <c r="C362">
        <v>105</v>
      </c>
      <c r="D362">
        <v>74</v>
      </c>
      <c r="E362">
        <v>2190</v>
      </c>
      <c r="F362">
        <v>14.2</v>
      </c>
      <c r="G362">
        <v>81</v>
      </c>
      <c r="H362" t="s">
        <v>1636</v>
      </c>
      <c r="I362" t="s">
        <v>1535</v>
      </c>
      <c r="J362" t="s">
        <v>1037</v>
      </c>
      <c r="K362" t="s">
        <v>1536</v>
      </c>
      <c r="L362" t="b">
        <f>Data_Completeness(MileageData[[#This Row],[MPG]:[Acceleration]])</f>
        <v>1</v>
      </c>
    </row>
    <row r="363" spans="1:12" x14ac:dyDescent="0.25">
      <c r="A363">
        <v>34.5</v>
      </c>
      <c r="B363">
        <v>4</v>
      </c>
      <c r="C363">
        <v>100</v>
      </c>
      <c r="E363">
        <v>2320</v>
      </c>
      <c r="F363">
        <v>15.8</v>
      </c>
      <c r="G363">
        <v>81</v>
      </c>
      <c r="H363" t="s">
        <v>1636</v>
      </c>
      <c r="I363" t="s">
        <v>1537</v>
      </c>
      <c r="J363" t="s">
        <v>1146</v>
      </c>
      <c r="K363" t="s">
        <v>1538</v>
      </c>
      <c r="L363" t="b">
        <f>Data_Completeness(MileageData[[#This Row],[MPG]:[Acceleration]])</f>
        <v>0</v>
      </c>
    </row>
    <row r="364" spans="1:12" x14ac:dyDescent="0.25">
      <c r="A364">
        <v>33.700000000000003</v>
      </c>
      <c r="B364">
        <v>4</v>
      </c>
      <c r="C364">
        <v>107</v>
      </c>
      <c r="D364">
        <v>75</v>
      </c>
      <c r="E364">
        <v>2210</v>
      </c>
      <c r="F364">
        <v>14.4</v>
      </c>
      <c r="G364">
        <v>81</v>
      </c>
      <c r="H364" t="s">
        <v>1637</v>
      </c>
      <c r="I364" t="s">
        <v>1539</v>
      </c>
      <c r="J364" t="s">
        <v>1244</v>
      </c>
      <c r="K364" t="s">
        <v>1540</v>
      </c>
      <c r="L364" t="b">
        <f>Data_Completeness(MileageData[[#This Row],[MPG]:[Acceleration]])</f>
        <v>1</v>
      </c>
    </row>
    <row r="365" spans="1:12" x14ac:dyDescent="0.25">
      <c r="A365">
        <v>32.4</v>
      </c>
      <c r="B365">
        <v>4</v>
      </c>
      <c r="C365">
        <v>108</v>
      </c>
      <c r="D365">
        <v>75</v>
      </c>
      <c r="E365">
        <v>2350</v>
      </c>
      <c r="F365">
        <v>16.8</v>
      </c>
      <c r="G365">
        <v>81</v>
      </c>
      <c r="H365" t="s">
        <v>1637</v>
      </c>
      <c r="I365" t="s">
        <v>1269</v>
      </c>
      <c r="J365" t="s">
        <v>1025</v>
      </c>
      <c r="K365" t="s">
        <v>1270</v>
      </c>
      <c r="L365" t="b">
        <f>Data_Completeness(MileageData[[#This Row],[MPG]:[Acceleration]])</f>
        <v>1</v>
      </c>
    </row>
    <row r="366" spans="1:12" x14ac:dyDescent="0.25">
      <c r="A366">
        <v>32.9</v>
      </c>
      <c r="B366">
        <v>4</v>
      </c>
      <c r="C366">
        <v>119</v>
      </c>
      <c r="D366">
        <v>100</v>
      </c>
      <c r="E366">
        <v>2615</v>
      </c>
      <c r="F366">
        <v>14.8</v>
      </c>
      <c r="G366">
        <v>81</v>
      </c>
      <c r="H366" t="s">
        <v>1637</v>
      </c>
      <c r="I366" t="s">
        <v>1541</v>
      </c>
      <c r="J366" t="s">
        <v>1034</v>
      </c>
      <c r="K366" t="s">
        <v>1542</v>
      </c>
      <c r="L366" t="b">
        <f>Data_Completeness(MileageData[[#This Row],[MPG]:[Acceleration]])</f>
        <v>1</v>
      </c>
    </row>
    <row r="367" spans="1:12" x14ac:dyDescent="0.25">
      <c r="A367">
        <v>31.6</v>
      </c>
      <c r="B367">
        <v>4</v>
      </c>
      <c r="C367">
        <v>120</v>
      </c>
      <c r="D367">
        <v>74</v>
      </c>
      <c r="E367">
        <v>2635</v>
      </c>
      <c r="F367">
        <v>18.3</v>
      </c>
      <c r="G367">
        <v>81</v>
      </c>
      <c r="H367" t="s">
        <v>1637</v>
      </c>
      <c r="I367" t="s">
        <v>1483</v>
      </c>
      <c r="J367" t="s">
        <v>1130</v>
      </c>
      <c r="K367">
        <v>626</v>
      </c>
      <c r="L367" t="b">
        <f>Data_Completeness(MileageData[[#This Row],[MPG]:[Acceleration]])</f>
        <v>1</v>
      </c>
    </row>
    <row r="368" spans="1:12" x14ac:dyDescent="0.25">
      <c r="A368">
        <v>28.1</v>
      </c>
      <c r="B368">
        <v>4</v>
      </c>
      <c r="C368">
        <v>141</v>
      </c>
      <c r="D368">
        <v>80</v>
      </c>
      <c r="E368">
        <v>3230</v>
      </c>
      <c r="F368">
        <v>20.399999999999999</v>
      </c>
      <c r="G368">
        <v>81</v>
      </c>
      <c r="H368" t="s">
        <v>1636</v>
      </c>
      <c r="I368" t="s">
        <v>1543</v>
      </c>
      <c r="J368" t="s">
        <v>1040</v>
      </c>
      <c r="K368" t="s">
        <v>1544</v>
      </c>
      <c r="L368" t="b">
        <f>Data_Completeness(MileageData[[#This Row],[MPG]:[Acceleration]])</f>
        <v>1</v>
      </c>
    </row>
    <row r="369" spans="1:12" x14ac:dyDescent="0.25">
      <c r="B369">
        <v>4</v>
      </c>
      <c r="C369">
        <v>121</v>
      </c>
      <c r="D369">
        <v>110</v>
      </c>
      <c r="E369">
        <v>2800</v>
      </c>
      <c r="F369">
        <v>15.4</v>
      </c>
      <c r="G369">
        <v>81</v>
      </c>
      <c r="H369" t="s">
        <v>1636</v>
      </c>
      <c r="I369" t="s">
        <v>1545</v>
      </c>
      <c r="J369" t="s">
        <v>1045</v>
      </c>
      <c r="K369" t="s">
        <v>1546</v>
      </c>
      <c r="L369" t="b">
        <f>Data_Completeness(MileageData[[#This Row],[MPG]:[Acceleration]])</f>
        <v>0</v>
      </c>
    </row>
    <row r="370" spans="1:12" x14ac:dyDescent="0.25">
      <c r="A370">
        <v>30.7</v>
      </c>
      <c r="B370">
        <v>6</v>
      </c>
      <c r="C370">
        <v>145</v>
      </c>
      <c r="D370">
        <v>76</v>
      </c>
      <c r="E370">
        <v>3160</v>
      </c>
      <c r="F370">
        <v>19.600000000000001</v>
      </c>
      <c r="G370">
        <v>81</v>
      </c>
      <c r="H370" t="s">
        <v>1636</v>
      </c>
      <c r="I370" t="s">
        <v>1547</v>
      </c>
      <c r="J370" t="s">
        <v>1139</v>
      </c>
      <c r="K370" t="s">
        <v>1548</v>
      </c>
      <c r="L370" t="b">
        <f>Data_Completeness(MileageData[[#This Row],[MPG]:[Acceleration]])</f>
        <v>1</v>
      </c>
    </row>
    <row r="371" spans="1:12" x14ac:dyDescent="0.25">
      <c r="A371">
        <v>25.4</v>
      </c>
      <c r="B371">
        <v>6</v>
      </c>
      <c r="C371">
        <v>168</v>
      </c>
      <c r="D371">
        <v>116</v>
      </c>
      <c r="E371">
        <v>2900</v>
      </c>
      <c r="F371">
        <v>12.6</v>
      </c>
      <c r="G371">
        <v>81</v>
      </c>
      <c r="H371" t="s">
        <v>1637</v>
      </c>
      <c r="I371" t="s">
        <v>1549</v>
      </c>
      <c r="J371" t="s">
        <v>1025</v>
      </c>
      <c r="K371" t="s">
        <v>1550</v>
      </c>
      <c r="L371" t="b">
        <f>Data_Completeness(MileageData[[#This Row],[MPG]:[Acceleration]])</f>
        <v>1</v>
      </c>
    </row>
    <row r="372" spans="1:12" x14ac:dyDescent="0.25">
      <c r="A372">
        <v>24.2</v>
      </c>
      <c r="B372">
        <v>6</v>
      </c>
      <c r="C372">
        <v>146</v>
      </c>
      <c r="D372">
        <v>120</v>
      </c>
      <c r="E372">
        <v>2930</v>
      </c>
      <c r="F372">
        <v>13.8</v>
      </c>
      <c r="G372">
        <v>81</v>
      </c>
      <c r="H372" t="s">
        <v>1637</v>
      </c>
      <c r="I372" t="s">
        <v>1551</v>
      </c>
      <c r="J372" t="s">
        <v>1034</v>
      </c>
      <c r="K372" t="s">
        <v>1552</v>
      </c>
      <c r="L372" t="b">
        <f>Data_Completeness(MileageData[[#This Row],[MPG]:[Acceleration]])</f>
        <v>1</v>
      </c>
    </row>
    <row r="373" spans="1:12" x14ac:dyDescent="0.25">
      <c r="A373">
        <v>22.4</v>
      </c>
      <c r="B373">
        <v>6</v>
      </c>
      <c r="C373">
        <v>231</v>
      </c>
      <c r="D373">
        <v>110</v>
      </c>
      <c r="E373">
        <v>3415</v>
      </c>
      <c r="F373">
        <v>15.8</v>
      </c>
      <c r="G373">
        <v>81</v>
      </c>
      <c r="H373" t="s">
        <v>1635</v>
      </c>
      <c r="I373" t="s">
        <v>1257</v>
      </c>
      <c r="J373" t="s">
        <v>981</v>
      </c>
      <c r="K373" t="s">
        <v>1258</v>
      </c>
      <c r="L373" t="b">
        <f>Data_Completeness(MileageData[[#This Row],[MPG]:[Acceleration]])</f>
        <v>1</v>
      </c>
    </row>
    <row r="374" spans="1:12" x14ac:dyDescent="0.25">
      <c r="A374">
        <v>26.6</v>
      </c>
      <c r="B374">
        <v>8</v>
      </c>
      <c r="C374">
        <v>350</v>
      </c>
      <c r="D374">
        <v>105</v>
      </c>
      <c r="E374">
        <v>3725</v>
      </c>
      <c r="F374">
        <v>19</v>
      </c>
      <c r="G374">
        <v>81</v>
      </c>
      <c r="H374" t="s">
        <v>1635</v>
      </c>
      <c r="I374" t="s">
        <v>1553</v>
      </c>
      <c r="J374" t="s">
        <v>1124</v>
      </c>
      <c r="K374" t="s">
        <v>1554</v>
      </c>
      <c r="L374" t="b">
        <f>Data_Completeness(MileageData[[#This Row],[MPG]:[Acceleration]])</f>
        <v>1</v>
      </c>
    </row>
    <row r="375" spans="1:12" x14ac:dyDescent="0.25">
      <c r="A375">
        <v>20.2</v>
      </c>
      <c r="B375">
        <v>6</v>
      </c>
      <c r="C375">
        <v>200</v>
      </c>
      <c r="D375">
        <v>88</v>
      </c>
      <c r="E375">
        <v>3060</v>
      </c>
      <c r="F375">
        <v>17.100000000000001</v>
      </c>
      <c r="G375">
        <v>81</v>
      </c>
      <c r="H375" t="s">
        <v>1635</v>
      </c>
      <c r="I375" t="s">
        <v>1555</v>
      </c>
      <c r="J375" t="s">
        <v>990</v>
      </c>
      <c r="K375" t="s">
        <v>1556</v>
      </c>
      <c r="L375" t="b">
        <f>Data_Completeness(MileageData[[#This Row],[MPG]:[Acceleration]])</f>
        <v>1</v>
      </c>
    </row>
    <row r="376" spans="1:12" x14ac:dyDescent="0.25">
      <c r="A376">
        <v>17.600000000000001</v>
      </c>
      <c r="B376">
        <v>6</v>
      </c>
      <c r="C376">
        <v>225</v>
      </c>
      <c r="D376">
        <v>85</v>
      </c>
      <c r="E376">
        <v>3465</v>
      </c>
      <c r="F376">
        <v>16.600000000000001</v>
      </c>
      <c r="G376">
        <v>81</v>
      </c>
      <c r="H376" t="s">
        <v>1635</v>
      </c>
      <c r="I376" t="s">
        <v>1557</v>
      </c>
      <c r="J376" t="s">
        <v>1127</v>
      </c>
      <c r="K376" t="s">
        <v>1558</v>
      </c>
      <c r="L376" t="b">
        <f>Data_Completeness(MileageData[[#This Row],[MPG]:[Acceleration]])</f>
        <v>1</v>
      </c>
    </row>
    <row r="377" spans="1:12" x14ac:dyDescent="0.25">
      <c r="A377">
        <v>28</v>
      </c>
      <c r="B377">
        <v>4</v>
      </c>
      <c r="C377">
        <v>112</v>
      </c>
      <c r="D377">
        <v>88</v>
      </c>
      <c r="E377">
        <v>2605</v>
      </c>
      <c r="F377">
        <v>19.600000000000001</v>
      </c>
      <c r="G377">
        <v>82</v>
      </c>
      <c r="H377" t="s">
        <v>1635</v>
      </c>
      <c r="I377" t="s">
        <v>1559</v>
      </c>
      <c r="J377" t="s">
        <v>978</v>
      </c>
      <c r="K377" t="s">
        <v>1560</v>
      </c>
      <c r="L377" t="b">
        <f>Data_Completeness(MileageData[[#This Row],[MPG]:[Acceleration]])</f>
        <v>1</v>
      </c>
    </row>
    <row r="378" spans="1:12" x14ac:dyDescent="0.25">
      <c r="A378">
        <v>27</v>
      </c>
      <c r="B378">
        <v>4</v>
      </c>
      <c r="C378">
        <v>112</v>
      </c>
      <c r="D378">
        <v>88</v>
      </c>
      <c r="E378">
        <v>2640</v>
      </c>
      <c r="F378">
        <v>18.600000000000001</v>
      </c>
      <c r="G378">
        <v>82</v>
      </c>
      <c r="H378" t="s">
        <v>1635</v>
      </c>
      <c r="I378" t="s">
        <v>1561</v>
      </c>
      <c r="J378" t="s">
        <v>978</v>
      </c>
      <c r="K378" t="s">
        <v>1562</v>
      </c>
      <c r="L378" t="b">
        <f>Data_Completeness(MileageData[[#This Row],[MPG]:[Acceleration]])</f>
        <v>1</v>
      </c>
    </row>
    <row r="379" spans="1:12" x14ac:dyDescent="0.25">
      <c r="A379">
        <v>34</v>
      </c>
      <c r="B379">
        <v>4</v>
      </c>
      <c r="C379">
        <v>112</v>
      </c>
      <c r="D379">
        <v>88</v>
      </c>
      <c r="E379">
        <v>2395</v>
      </c>
      <c r="F379">
        <v>18</v>
      </c>
      <c r="G379">
        <v>82</v>
      </c>
      <c r="H379" t="s">
        <v>1635</v>
      </c>
      <c r="I379" t="s">
        <v>1563</v>
      </c>
      <c r="J379" t="s">
        <v>978</v>
      </c>
      <c r="K379" t="s">
        <v>1564</v>
      </c>
      <c r="L379" t="b">
        <f>Data_Completeness(MileageData[[#This Row],[MPG]:[Acceleration]])</f>
        <v>1</v>
      </c>
    </row>
    <row r="380" spans="1:12" x14ac:dyDescent="0.25">
      <c r="A380">
        <v>31</v>
      </c>
      <c r="B380">
        <v>4</v>
      </c>
      <c r="C380">
        <v>112</v>
      </c>
      <c r="D380">
        <v>85</v>
      </c>
      <c r="E380">
        <v>2575</v>
      </c>
      <c r="F380">
        <v>16.2</v>
      </c>
      <c r="G380">
        <v>82</v>
      </c>
      <c r="H380" t="s">
        <v>1635</v>
      </c>
      <c r="I380" t="s">
        <v>1565</v>
      </c>
      <c r="J380" t="s">
        <v>999</v>
      </c>
      <c r="K380" t="s">
        <v>1566</v>
      </c>
      <c r="L380" t="b">
        <f>Data_Completeness(MileageData[[#This Row],[MPG]:[Acceleration]])</f>
        <v>1</v>
      </c>
    </row>
    <row r="381" spans="1:12" x14ac:dyDescent="0.25">
      <c r="A381">
        <v>29</v>
      </c>
      <c r="B381">
        <v>4</v>
      </c>
      <c r="C381">
        <v>135</v>
      </c>
      <c r="D381">
        <v>84</v>
      </c>
      <c r="E381">
        <v>2525</v>
      </c>
      <c r="F381">
        <v>16</v>
      </c>
      <c r="G381">
        <v>82</v>
      </c>
      <c r="H381" t="s">
        <v>1635</v>
      </c>
      <c r="I381" t="s">
        <v>1567</v>
      </c>
      <c r="J381" t="s">
        <v>1015</v>
      </c>
      <c r="K381" t="s">
        <v>1568</v>
      </c>
      <c r="L381" t="b">
        <f>Data_Completeness(MileageData[[#This Row],[MPG]:[Acceleration]])</f>
        <v>1</v>
      </c>
    </row>
    <row r="382" spans="1:12" x14ac:dyDescent="0.25">
      <c r="A382">
        <v>27</v>
      </c>
      <c r="B382">
        <v>4</v>
      </c>
      <c r="C382">
        <v>151</v>
      </c>
      <c r="D382">
        <v>90</v>
      </c>
      <c r="E382">
        <v>2735</v>
      </c>
      <c r="F382">
        <v>18</v>
      </c>
      <c r="G382">
        <v>82</v>
      </c>
      <c r="H382" t="s">
        <v>1635</v>
      </c>
      <c r="I382" t="s">
        <v>1473</v>
      </c>
      <c r="J382" t="s">
        <v>999</v>
      </c>
      <c r="K382" t="s">
        <v>1474</v>
      </c>
      <c r="L382" t="b">
        <f>Data_Completeness(MileageData[[#This Row],[MPG]:[Acceleration]])</f>
        <v>1</v>
      </c>
    </row>
    <row r="383" spans="1:12" x14ac:dyDescent="0.25">
      <c r="A383">
        <v>24</v>
      </c>
      <c r="B383">
        <v>4</v>
      </c>
      <c r="C383">
        <v>140</v>
      </c>
      <c r="D383">
        <v>92</v>
      </c>
      <c r="E383">
        <v>2865</v>
      </c>
      <c r="F383">
        <v>16.399999999999999</v>
      </c>
      <c r="G383">
        <v>82</v>
      </c>
      <c r="H383" t="s">
        <v>1635</v>
      </c>
      <c r="I383" t="s">
        <v>1569</v>
      </c>
      <c r="J383" t="s">
        <v>990</v>
      </c>
      <c r="K383" t="s">
        <v>1570</v>
      </c>
      <c r="L383" t="b">
        <f>Data_Completeness(MileageData[[#This Row],[MPG]:[Acceleration]])</f>
        <v>1</v>
      </c>
    </row>
    <row r="384" spans="1:12" x14ac:dyDescent="0.25">
      <c r="A384">
        <v>23</v>
      </c>
      <c r="B384">
        <v>4</v>
      </c>
      <c r="C384">
        <v>151</v>
      </c>
      <c r="E384">
        <v>3035</v>
      </c>
      <c r="F384">
        <v>20.5</v>
      </c>
      <c r="G384">
        <v>82</v>
      </c>
      <c r="H384" t="s">
        <v>1635</v>
      </c>
      <c r="I384" t="s">
        <v>1571</v>
      </c>
      <c r="J384" t="s">
        <v>987</v>
      </c>
      <c r="K384" t="s">
        <v>1572</v>
      </c>
      <c r="L384" t="b">
        <f>Data_Completeness(MileageData[[#This Row],[MPG]:[Acceleration]])</f>
        <v>0</v>
      </c>
    </row>
    <row r="385" spans="1:12" x14ac:dyDescent="0.25">
      <c r="A385">
        <v>36</v>
      </c>
      <c r="B385">
        <v>4</v>
      </c>
      <c r="C385">
        <v>105</v>
      </c>
      <c r="D385">
        <v>74</v>
      </c>
      <c r="E385">
        <v>1980</v>
      </c>
      <c r="F385">
        <v>15.3</v>
      </c>
      <c r="G385">
        <v>82</v>
      </c>
      <c r="H385" t="s">
        <v>1636</v>
      </c>
      <c r="I385" t="s">
        <v>1573</v>
      </c>
      <c r="J385" t="s">
        <v>1037</v>
      </c>
      <c r="K385" t="s">
        <v>1574</v>
      </c>
      <c r="L385" t="b">
        <f>Data_Completeness(MileageData[[#This Row],[MPG]:[Acceleration]])</f>
        <v>1</v>
      </c>
    </row>
    <row r="386" spans="1:12" x14ac:dyDescent="0.25">
      <c r="A386">
        <v>37</v>
      </c>
      <c r="B386">
        <v>4</v>
      </c>
      <c r="C386">
        <v>91</v>
      </c>
      <c r="D386">
        <v>68</v>
      </c>
      <c r="E386">
        <v>2025</v>
      </c>
      <c r="F386">
        <v>18.2</v>
      </c>
      <c r="G386">
        <v>82</v>
      </c>
      <c r="H386" t="s">
        <v>1637</v>
      </c>
      <c r="I386" t="s">
        <v>1575</v>
      </c>
      <c r="J386" t="s">
        <v>1130</v>
      </c>
      <c r="K386" t="s">
        <v>1576</v>
      </c>
      <c r="L386" t="b">
        <f>Data_Completeness(MileageData[[#This Row],[MPG]:[Acceleration]])</f>
        <v>1</v>
      </c>
    </row>
    <row r="387" spans="1:12" x14ac:dyDescent="0.25">
      <c r="A387">
        <v>31</v>
      </c>
      <c r="B387">
        <v>4</v>
      </c>
      <c r="C387">
        <v>91</v>
      </c>
      <c r="D387">
        <v>68</v>
      </c>
      <c r="E387">
        <v>1970</v>
      </c>
      <c r="F387">
        <v>17.600000000000001</v>
      </c>
      <c r="G387">
        <v>82</v>
      </c>
      <c r="H387" t="s">
        <v>1637</v>
      </c>
      <c r="I387" t="s">
        <v>1577</v>
      </c>
      <c r="J387" t="s">
        <v>1130</v>
      </c>
      <c r="K387" t="s">
        <v>1578</v>
      </c>
      <c r="L387" t="b">
        <f>Data_Completeness(MileageData[[#This Row],[MPG]:[Acceleration]])</f>
        <v>1</v>
      </c>
    </row>
    <row r="388" spans="1:12" x14ac:dyDescent="0.25">
      <c r="A388">
        <v>38</v>
      </c>
      <c r="B388">
        <v>4</v>
      </c>
      <c r="C388">
        <v>105</v>
      </c>
      <c r="D388">
        <v>63</v>
      </c>
      <c r="E388">
        <v>2125</v>
      </c>
      <c r="F388">
        <v>14.7</v>
      </c>
      <c r="G388">
        <v>82</v>
      </c>
      <c r="H388" t="s">
        <v>1635</v>
      </c>
      <c r="I388" t="s">
        <v>1579</v>
      </c>
      <c r="J388" t="s">
        <v>984</v>
      </c>
      <c r="K388" t="s">
        <v>1580</v>
      </c>
      <c r="L388" t="b">
        <f>Data_Completeness(MileageData[[#This Row],[MPG]:[Acceleration]])</f>
        <v>1</v>
      </c>
    </row>
    <row r="389" spans="1:12" x14ac:dyDescent="0.25">
      <c r="A389">
        <v>36</v>
      </c>
      <c r="B389">
        <v>4</v>
      </c>
      <c r="C389">
        <v>98</v>
      </c>
      <c r="D389">
        <v>70</v>
      </c>
      <c r="E389">
        <v>2125</v>
      </c>
      <c r="F389">
        <v>17.3</v>
      </c>
      <c r="G389">
        <v>82</v>
      </c>
      <c r="H389" t="s">
        <v>1635</v>
      </c>
      <c r="I389" t="s">
        <v>1581</v>
      </c>
      <c r="J389" t="s">
        <v>1092</v>
      </c>
      <c r="K389" t="s">
        <v>1582</v>
      </c>
      <c r="L389" t="b">
        <f>Data_Completeness(MileageData[[#This Row],[MPG]:[Acceleration]])</f>
        <v>1</v>
      </c>
    </row>
    <row r="390" spans="1:12" x14ac:dyDescent="0.25">
      <c r="A390">
        <v>36</v>
      </c>
      <c r="B390">
        <v>4</v>
      </c>
      <c r="C390">
        <v>120</v>
      </c>
      <c r="D390">
        <v>88</v>
      </c>
      <c r="E390">
        <v>2160</v>
      </c>
      <c r="F390">
        <v>14.5</v>
      </c>
      <c r="G390">
        <v>82</v>
      </c>
      <c r="H390" t="s">
        <v>1637</v>
      </c>
      <c r="I390" t="s">
        <v>1583</v>
      </c>
      <c r="J390" t="s">
        <v>1584</v>
      </c>
      <c r="K390" t="s">
        <v>1585</v>
      </c>
      <c r="L390" t="b">
        <f>Data_Completeness(MileageData[[#This Row],[MPG]:[Acceleration]])</f>
        <v>1</v>
      </c>
    </row>
    <row r="391" spans="1:12" x14ac:dyDescent="0.25">
      <c r="A391">
        <v>36</v>
      </c>
      <c r="B391">
        <v>4</v>
      </c>
      <c r="C391">
        <v>107</v>
      </c>
      <c r="D391">
        <v>75</v>
      </c>
      <c r="E391">
        <v>2205</v>
      </c>
      <c r="F391">
        <v>14.5</v>
      </c>
      <c r="G391">
        <v>82</v>
      </c>
      <c r="H391" t="s">
        <v>1637</v>
      </c>
      <c r="I391" t="s">
        <v>1511</v>
      </c>
      <c r="J391" t="s">
        <v>1244</v>
      </c>
      <c r="K391" t="s">
        <v>1512</v>
      </c>
      <c r="L391" t="b">
        <f>Data_Completeness(MileageData[[#This Row],[MPG]:[Acceleration]])</f>
        <v>1</v>
      </c>
    </row>
    <row r="392" spans="1:12" x14ac:dyDescent="0.25">
      <c r="A392">
        <v>34</v>
      </c>
      <c r="B392">
        <v>4</v>
      </c>
      <c r="C392">
        <v>108</v>
      </c>
      <c r="D392">
        <v>70</v>
      </c>
      <c r="E392">
        <v>2245</v>
      </c>
      <c r="F392">
        <v>16.899999999999999</v>
      </c>
      <c r="G392">
        <v>82</v>
      </c>
      <c r="H392" t="s">
        <v>1637</v>
      </c>
      <c r="I392" t="s">
        <v>1269</v>
      </c>
      <c r="J392" t="s">
        <v>1025</v>
      </c>
      <c r="K392" t="s">
        <v>1270</v>
      </c>
      <c r="L392" t="b">
        <f>Data_Completeness(MileageData[[#This Row],[MPG]:[Acceleration]])</f>
        <v>1</v>
      </c>
    </row>
    <row r="393" spans="1:12" x14ac:dyDescent="0.25">
      <c r="A393">
        <v>38</v>
      </c>
      <c r="B393">
        <v>4</v>
      </c>
      <c r="C393">
        <v>91</v>
      </c>
      <c r="D393">
        <v>67</v>
      </c>
      <c r="E393">
        <v>1965</v>
      </c>
      <c r="F393">
        <v>15</v>
      </c>
      <c r="G393">
        <v>82</v>
      </c>
      <c r="H393" t="s">
        <v>1637</v>
      </c>
      <c r="I393" t="s">
        <v>1243</v>
      </c>
      <c r="J393" t="s">
        <v>1244</v>
      </c>
      <c r="K393" t="s">
        <v>1245</v>
      </c>
      <c r="L393" t="b">
        <f>Data_Completeness(MileageData[[#This Row],[MPG]:[Acceleration]])</f>
        <v>1</v>
      </c>
    </row>
    <row r="394" spans="1:12" x14ac:dyDescent="0.25">
      <c r="A394">
        <v>32</v>
      </c>
      <c r="B394">
        <v>4</v>
      </c>
      <c r="C394">
        <v>91</v>
      </c>
      <c r="D394">
        <v>67</v>
      </c>
      <c r="E394">
        <v>1965</v>
      </c>
      <c r="F394">
        <v>15.7</v>
      </c>
      <c r="G394">
        <v>82</v>
      </c>
      <c r="H394" t="s">
        <v>1637</v>
      </c>
      <c r="I394" t="s">
        <v>1586</v>
      </c>
      <c r="J394" t="s">
        <v>1244</v>
      </c>
      <c r="K394" t="s">
        <v>1587</v>
      </c>
      <c r="L394" t="b">
        <f>Data_Completeness(MileageData[[#This Row],[MPG]:[Acceleration]])</f>
        <v>1</v>
      </c>
    </row>
    <row r="395" spans="1:12" x14ac:dyDescent="0.25">
      <c r="A395">
        <v>38</v>
      </c>
      <c r="B395">
        <v>4</v>
      </c>
      <c r="C395">
        <v>91</v>
      </c>
      <c r="D395">
        <v>67</v>
      </c>
      <c r="E395">
        <v>1995</v>
      </c>
      <c r="F395">
        <v>16.2</v>
      </c>
      <c r="G395">
        <v>82</v>
      </c>
      <c r="H395" t="s">
        <v>1637</v>
      </c>
      <c r="I395" t="s">
        <v>1588</v>
      </c>
      <c r="J395" t="s">
        <v>1034</v>
      </c>
      <c r="K395" t="s">
        <v>1589</v>
      </c>
      <c r="L395" t="b">
        <f>Data_Completeness(MileageData[[#This Row],[MPG]:[Acceleration]])</f>
        <v>1</v>
      </c>
    </row>
    <row r="396" spans="1:12" x14ac:dyDescent="0.25">
      <c r="A396">
        <v>25</v>
      </c>
      <c r="B396">
        <v>6</v>
      </c>
      <c r="C396">
        <v>181</v>
      </c>
      <c r="D396">
        <v>110</v>
      </c>
      <c r="E396">
        <v>2945</v>
      </c>
      <c r="F396">
        <v>16.399999999999999</v>
      </c>
      <c r="G396">
        <v>82</v>
      </c>
      <c r="H396" t="s">
        <v>1635</v>
      </c>
      <c r="I396" t="s">
        <v>1590</v>
      </c>
      <c r="J396" t="s">
        <v>981</v>
      </c>
      <c r="K396" t="s">
        <v>1591</v>
      </c>
      <c r="L396" t="b">
        <f>Data_Completeness(MileageData[[#This Row],[MPG]:[Acceleration]])</f>
        <v>1</v>
      </c>
    </row>
    <row r="397" spans="1:12" x14ac:dyDescent="0.25">
      <c r="A397">
        <v>38</v>
      </c>
      <c r="B397">
        <v>6</v>
      </c>
      <c r="C397">
        <v>262</v>
      </c>
      <c r="D397">
        <v>85</v>
      </c>
      <c r="E397">
        <v>3015</v>
      </c>
      <c r="F397">
        <v>17</v>
      </c>
      <c r="G397">
        <v>82</v>
      </c>
      <c r="H397" t="s">
        <v>1635</v>
      </c>
      <c r="I397" t="s">
        <v>1592</v>
      </c>
      <c r="J397" t="s">
        <v>1124</v>
      </c>
      <c r="K397" t="s">
        <v>1593</v>
      </c>
      <c r="L397" t="b">
        <f>Data_Completeness(MileageData[[#This Row],[MPG]:[Acceleration]])</f>
        <v>1</v>
      </c>
    </row>
    <row r="398" spans="1:12" x14ac:dyDescent="0.25">
      <c r="A398">
        <v>26</v>
      </c>
      <c r="B398">
        <v>4</v>
      </c>
      <c r="C398">
        <v>156</v>
      </c>
      <c r="D398">
        <v>92</v>
      </c>
      <c r="E398">
        <v>2585</v>
      </c>
      <c r="F398">
        <v>14.5</v>
      </c>
      <c r="G398">
        <v>82</v>
      </c>
      <c r="H398" t="s">
        <v>1635</v>
      </c>
      <c r="I398" t="s">
        <v>1594</v>
      </c>
      <c r="J398" t="s">
        <v>1127</v>
      </c>
      <c r="K398" t="s">
        <v>1595</v>
      </c>
      <c r="L398" t="b">
        <f>Data_Completeness(MileageData[[#This Row],[MPG]:[Acceleration]])</f>
        <v>1</v>
      </c>
    </row>
    <row r="399" spans="1:12" x14ac:dyDescent="0.25">
      <c r="A399">
        <v>22</v>
      </c>
      <c r="B399">
        <v>6</v>
      </c>
      <c r="C399">
        <v>232</v>
      </c>
      <c r="D399">
        <v>112</v>
      </c>
      <c r="E399">
        <v>2835</v>
      </c>
      <c r="F399">
        <v>14.7</v>
      </c>
      <c r="G399">
        <v>82</v>
      </c>
      <c r="H399" t="s">
        <v>1635</v>
      </c>
      <c r="I399" t="s">
        <v>1596</v>
      </c>
      <c r="J399" t="s">
        <v>990</v>
      </c>
      <c r="K399" t="s">
        <v>1597</v>
      </c>
      <c r="L399" t="b">
        <f>Data_Completeness(MileageData[[#This Row],[MPG]:[Acceleration]])</f>
        <v>1</v>
      </c>
    </row>
    <row r="400" spans="1:12" x14ac:dyDescent="0.25">
      <c r="A400">
        <v>32</v>
      </c>
      <c r="B400">
        <v>4</v>
      </c>
      <c r="C400">
        <v>144</v>
      </c>
      <c r="D400">
        <v>96</v>
      </c>
      <c r="E400">
        <v>2665</v>
      </c>
      <c r="F400">
        <v>13.9</v>
      </c>
      <c r="G400">
        <v>82</v>
      </c>
      <c r="H400" t="s">
        <v>1637</v>
      </c>
      <c r="I400" t="s">
        <v>1598</v>
      </c>
      <c r="J400" t="s">
        <v>1025</v>
      </c>
      <c r="K400" t="s">
        <v>1599</v>
      </c>
      <c r="L400" t="b">
        <f>Data_Completeness(MileageData[[#This Row],[MPG]:[Acceleration]])</f>
        <v>1</v>
      </c>
    </row>
    <row r="401" spans="1:12" x14ac:dyDescent="0.25">
      <c r="A401">
        <v>36</v>
      </c>
      <c r="B401">
        <v>4</v>
      </c>
      <c r="C401">
        <v>135</v>
      </c>
      <c r="D401">
        <v>84</v>
      </c>
      <c r="E401">
        <v>2370</v>
      </c>
      <c r="F401">
        <v>13</v>
      </c>
      <c r="G401">
        <v>82</v>
      </c>
      <c r="H401" t="s">
        <v>1635</v>
      </c>
      <c r="I401" t="s">
        <v>1600</v>
      </c>
      <c r="J401" t="s">
        <v>1015</v>
      </c>
      <c r="K401" t="s">
        <v>1601</v>
      </c>
      <c r="L401" t="b">
        <f>Data_Completeness(MileageData[[#This Row],[MPG]:[Acceleration]])</f>
        <v>1</v>
      </c>
    </row>
    <row r="402" spans="1:12" x14ac:dyDescent="0.25">
      <c r="A402">
        <v>27</v>
      </c>
      <c r="B402">
        <v>4</v>
      </c>
      <c r="C402">
        <v>151</v>
      </c>
      <c r="D402">
        <v>90</v>
      </c>
      <c r="E402">
        <v>2950</v>
      </c>
      <c r="F402">
        <v>17.3</v>
      </c>
      <c r="G402">
        <v>82</v>
      </c>
      <c r="H402" t="s">
        <v>1635</v>
      </c>
      <c r="I402" t="s">
        <v>1602</v>
      </c>
      <c r="J402" t="s">
        <v>978</v>
      </c>
      <c r="K402" t="s">
        <v>1603</v>
      </c>
      <c r="L402" t="b">
        <f>Data_Completeness(MileageData[[#This Row],[MPG]:[Acceleration]])</f>
        <v>1</v>
      </c>
    </row>
    <row r="403" spans="1:12" x14ac:dyDescent="0.25">
      <c r="A403">
        <v>27</v>
      </c>
      <c r="B403">
        <v>4</v>
      </c>
      <c r="C403">
        <v>140</v>
      </c>
      <c r="D403">
        <v>86</v>
      </c>
      <c r="E403">
        <v>2790</v>
      </c>
      <c r="F403">
        <v>15.6</v>
      </c>
      <c r="G403">
        <v>82</v>
      </c>
      <c r="H403" t="s">
        <v>1635</v>
      </c>
      <c r="I403" t="s">
        <v>1604</v>
      </c>
      <c r="J403" t="s">
        <v>990</v>
      </c>
      <c r="K403" t="s">
        <v>1605</v>
      </c>
      <c r="L403" t="b">
        <f>Data_Completeness(MileageData[[#This Row],[MPG]:[Acceleration]])</f>
        <v>1</v>
      </c>
    </row>
    <row r="404" spans="1:12" x14ac:dyDescent="0.25">
      <c r="A404">
        <v>44</v>
      </c>
      <c r="B404">
        <v>4</v>
      </c>
      <c r="C404">
        <v>97</v>
      </c>
      <c r="D404">
        <v>52</v>
      </c>
      <c r="E404">
        <v>2130</v>
      </c>
      <c r="F404">
        <v>24.6</v>
      </c>
      <c r="G404">
        <v>82</v>
      </c>
      <c r="H404" t="s">
        <v>1636</v>
      </c>
      <c r="I404" t="s">
        <v>1606</v>
      </c>
      <c r="J404" t="s">
        <v>1294</v>
      </c>
      <c r="K404" t="s">
        <v>1607</v>
      </c>
      <c r="L404" t="b">
        <f>Data_Completeness(MileageData[[#This Row],[MPG]:[Acceleration]])</f>
        <v>1</v>
      </c>
    </row>
    <row r="405" spans="1:12" x14ac:dyDescent="0.25">
      <c r="A405">
        <v>32</v>
      </c>
      <c r="B405">
        <v>4</v>
      </c>
      <c r="C405">
        <v>135</v>
      </c>
      <c r="D405">
        <v>84</v>
      </c>
      <c r="E405">
        <v>2295</v>
      </c>
      <c r="F405">
        <v>11.6</v>
      </c>
      <c r="G405">
        <v>82</v>
      </c>
      <c r="H405" t="s">
        <v>1635</v>
      </c>
      <c r="I405" t="s">
        <v>1608</v>
      </c>
      <c r="J405" t="s">
        <v>1015</v>
      </c>
      <c r="K405" t="s">
        <v>1609</v>
      </c>
      <c r="L405" t="b">
        <f>Data_Completeness(MileageData[[#This Row],[MPG]:[Acceleration]])</f>
        <v>1</v>
      </c>
    </row>
    <row r="406" spans="1:12" x14ac:dyDescent="0.25">
      <c r="A406">
        <v>28</v>
      </c>
      <c r="B406">
        <v>4</v>
      </c>
      <c r="C406">
        <v>120</v>
      </c>
      <c r="D406">
        <v>79</v>
      </c>
      <c r="E406">
        <v>2625</v>
      </c>
      <c r="F406">
        <v>18.600000000000001</v>
      </c>
      <c r="G406">
        <v>82</v>
      </c>
      <c r="H406" t="s">
        <v>1635</v>
      </c>
      <c r="I406" t="s">
        <v>1610</v>
      </c>
      <c r="J406" t="s">
        <v>990</v>
      </c>
      <c r="K406" t="s">
        <v>1611</v>
      </c>
      <c r="L406" t="b">
        <f>Data_Completeness(MileageData[[#This Row],[MPG]:[Acceleration]])</f>
        <v>1</v>
      </c>
    </row>
    <row r="407" spans="1:12" x14ac:dyDescent="0.25">
      <c r="A407">
        <v>31</v>
      </c>
      <c r="B407">
        <v>4</v>
      </c>
      <c r="C407">
        <v>119</v>
      </c>
      <c r="D407">
        <v>82</v>
      </c>
      <c r="E407">
        <v>2720</v>
      </c>
      <c r="F407">
        <v>19.399999999999999</v>
      </c>
      <c r="G407">
        <v>82</v>
      </c>
      <c r="H407" t="s">
        <v>1635</v>
      </c>
      <c r="I407" t="s">
        <v>1612</v>
      </c>
      <c r="J407" t="s">
        <v>1054</v>
      </c>
      <c r="K407" t="s">
        <v>1613</v>
      </c>
      <c r="L407" t="b">
        <f>Data_Completeness(MileageData[[#This Row],[MPG]:[Acceleration]])</f>
        <v>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42494-F5CC-4B74-BE72-5965CA4A968D}">
  <sheetPr>
    <tabColor rgb="FFD9D9D9"/>
  </sheetPr>
  <dimension ref="A1:W2939"/>
  <sheetViews>
    <sheetView workbookViewId="0">
      <pane ySplit="1" topLeftCell="A2" activePane="bottomLeft" state="frozenSplit"/>
      <selection pane="bottomLeft" activeCell="X3" sqref="X3"/>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 min="24" max="24" width="9.42578125" bestFit="1" customWidth="1"/>
  </cols>
  <sheetData>
    <row r="1" spans="1:23" x14ac:dyDescent="0.25">
      <c r="A1" t="s">
        <v>339</v>
      </c>
      <c r="B1" t="s">
        <v>340</v>
      </c>
      <c r="C1" t="s">
        <v>341</v>
      </c>
      <c r="D1" t="s">
        <v>342</v>
      </c>
      <c r="E1" t="s">
        <v>343</v>
      </c>
      <c r="F1" t="s">
        <v>344</v>
      </c>
      <c r="G1" t="s">
        <v>345</v>
      </c>
      <c r="H1" t="s">
        <v>346</v>
      </c>
      <c r="I1" t="s">
        <v>347</v>
      </c>
      <c r="J1" t="s">
        <v>348</v>
      </c>
      <c r="K1" t="s">
        <v>349</v>
      </c>
      <c r="L1" t="s">
        <v>350</v>
      </c>
      <c r="M1" t="s">
        <v>351</v>
      </c>
      <c r="N1" t="s">
        <v>352</v>
      </c>
      <c r="O1" t="s">
        <v>353</v>
      </c>
      <c r="P1" t="s">
        <v>354</v>
      </c>
      <c r="Q1" t="s">
        <v>355</v>
      </c>
      <c r="R1" t="s">
        <v>356</v>
      </c>
      <c r="S1" t="s">
        <v>357</v>
      </c>
      <c r="T1" t="s">
        <v>358</v>
      </c>
      <c r="U1" t="s">
        <v>359</v>
      </c>
      <c r="V1" t="s">
        <v>360</v>
      </c>
      <c r="W1" t="s">
        <v>361</v>
      </c>
    </row>
    <row r="2" spans="1:23" x14ac:dyDescent="0.25">
      <c r="A2" t="s">
        <v>362</v>
      </c>
      <c r="B2">
        <v>2015</v>
      </c>
      <c r="C2" t="s">
        <v>363</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Data_Completeness(LifeExpectancyData[[#This Row],[Life expectancy]:[Schooling]])</f>
        <v>1</v>
      </c>
    </row>
    <row r="3" spans="1:23" x14ac:dyDescent="0.25">
      <c r="A3" t="s">
        <v>362</v>
      </c>
      <c r="B3">
        <v>2014</v>
      </c>
      <c r="C3" t="s">
        <v>363</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Data_Completeness(LifeExpectancyData[[#This Row],[Life expectancy]:[Schooling]])</f>
        <v>1</v>
      </c>
    </row>
    <row r="4" spans="1:23" x14ac:dyDescent="0.25">
      <c r="A4" t="s">
        <v>362</v>
      </c>
      <c r="B4">
        <v>2013</v>
      </c>
      <c r="C4" t="s">
        <v>363</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Data_Completeness(LifeExpectancyData[[#This Row],[Life expectancy]:[Schooling]])</f>
        <v>1</v>
      </c>
    </row>
    <row r="5" spans="1:23" x14ac:dyDescent="0.25">
      <c r="A5" t="s">
        <v>362</v>
      </c>
      <c r="B5">
        <v>2012</v>
      </c>
      <c r="C5" t="s">
        <v>363</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Data_Completeness(LifeExpectancyData[[#This Row],[Life expectancy]:[Schooling]])</f>
        <v>1</v>
      </c>
    </row>
    <row r="6" spans="1:23" x14ac:dyDescent="0.25">
      <c r="A6" t="s">
        <v>362</v>
      </c>
      <c r="B6">
        <v>2011</v>
      </c>
      <c r="C6" t="s">
        <v>363</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Data_Completeness(LifeExpectancyData[[#This Row],[Life expectancy]:[Schooling]])</f>
        <v>1</v>
      </c>
    </row>
    <row r="7" spans="1:23" x14ac:dyDescent="0.25">
      <c r="A7" t="s">
        <v>362</v>
      </c>
      <c r="B7">
        <v>2010</v>
      </c>
      <c r="C7" t="s">
        <v>363</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Data_Completeness(LifeExpectancyData[[#This Row],[Life expectancy]:[Schooling]])</f>
        <v>1</v>
      </c>
    </row>
    <row r="8" spans="1:23" x14ac:dyDescent="0.25">
      <c r="A8" t="s">
        <v>362</v>
      </c>
      <c r="B8">
        <v>2009</v>
      </c>
      <c r="C8" t="s">
        <v>363</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Data_Completeness(LifeExpectancyData[[#This Row],[Life expectancy]:[Schooling]])</f>
        <v>1</v>
      </c>
    </row>
    <row r="9" spans="1:23" x14ac:dyDescent="0.25">
      <c r="A9" t="s">
        <v>362</v>
      </c>
      <c r="B9">
        <v>2008</v>
      </c>
      <c r="C9" t="s">
        <v>363</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Data_Completeness(LifeExpectancyData[[#This Row],[Life expectancy]:[Schooling]])</f>
        <v>1</v>
      </c>
    </row>
    <row r="10" spans="1:23" x14ac:dyDescent="0.25">
      <c r="A10" t="s">
        <v>362</v>
      </c>
      <c r="B10">
        <v>2007</v>
      </c>
      <c r="C10" t="s">
        <v>363</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Data_Completeness(LifeExpectancyData[[#This Row],[Life expectancy]:[Schooling]])</f>
        <v>1</v>
      </c>
    </row>
    <row r="11" spans="1:23" x14ac:dyDescent="0.25">
      <c r="A11" t="s">
        <v>362</v>
      </c>
      <c r="B11">
        <v>2006</v>
      </c>
      <c r="C11" t="s">
        <v>363</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Data_Completeness(LifeExpectancyData[[#This Row],[Life expectancy]:[Schooling]])</f>
        <v>1</v>
      </c>
    </row>
    <row r="12" spans="1:23" x14ac:dyDescent="0.25">
      <c r="A12" t="s">
        <v>362</v>
      </c>
      <c r="B12">
        <v>2005</v>
      </c>
      <c r="C12" t="s">
        <v>363</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Data_Completeness(LifeExpectancyData[[#This Row],[Life expectancy]:[Schooling]])</f>
        <v>1</v>
      </c>
    </row>
    <row r="13" spans="1:23" x14ac:dyDescent="0.25">
      <c r="A13" t="s">
        <v>362</v>
      </c>
      <c r="B13">
        <v>2004</v>
      </c>
      <c r="C13" t="s">
        <v>363</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Data_Completeness(LifeExpectancyData[[#This Row],[Life expectancy]:[Schooling]])</f>
        <v>1</v>
      </c>
    </row>
    <row r="14" spans="1:23" x14ac:dyDescent="0.25">
      <c r="A14" t="s">
        <v>362</v>
      </c>
      <c r="B14">
        <v>2003</v>
      </c>
      <c r="C14" t="s">
        <v>363</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Data_Completeness(LifeExpectancyData[[#This Row],[Life expectancy]:[Schooling]])</f>
        <v>1</v>
      </c>
    </row>
    <row r="15" spans="1:23" x14ac:dyDescent="0.25">
      <c r="A15" t="s">
        <v>362</v>
      </c>
      <c r="B15">
        <v>2002</v>
      </c>
      <c r="C15" t="s">
        <v>363</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Data_Completeness(LifeExpectancyData[[#This Row],[Life expectancy]:[Schooling]])</f>
        <v>1</v>
      </c>
    </row>
    <row r="16" spans="1:23" x14ac:dyDescent="0.25">
      <c r="A16" t="s">
        <v>362</v>
      </c>
      <c r="B16">
        <v>2001</v>
      </c>
      <c r="C16" t="s">
        <v>363</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Data_Completeness(LifeExpectancyData[[#This Row],[Life expectancy]:[Schooling]])</f>
        <v>1</v>
      </c>
    </row>
    <row r="17" spans="1:23" x14ac:dyDescent="0.25">
      <c r="A17" t="s">
        <v>362</v>
      </c>
      <c r="B17">
        <v>2000</v>
      </c>
      <c r="C17" t="s">
        <v>363</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Data_Completeness(LifeExpectancyData[[#This Row],[Life expectancy]:[Schooling]])</f>
        <v>1</v>
      </c>
    </row>
    <row r="18" spans="1:23" x14ac:dyDescent="0.25">
      <c r="A18" t="s">
        <v>364</v>
      </c>
      <c r="B18">
        <v>2015</v>
      </c>
      <c r="C18" t="s">
        <v>363</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Data_Completeness(LifeExpectancyData[[#This Row],[Life expectancy]:[Schooling]])</f>
        <v>1</v>
      </c>
    </row>
    <row r="19" spans="1:23" x14ac:dyDescent="0.25">
      <c r="A19" t="s">
        <v>364</v>
      </c>
      <c r="B19">
        <v>2014</v>
      </c>
      <c r="C19" t="s">
        <v>363</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Data_Completeness(LifeExpectancyData[[#This Row],[Life expectancy]:[Schooling]])</f>
        <v>1</v>
      </c>
    </row>
    <row r="20" spans="1:23" x14ac:dyDescent="0.25">
      <c r="A20" t="s">
        <v>364</v>
      </c>
      <c r="B20">
        <v>2013</v>
      </c>
      <c r="C20" t="s">
        <v>363</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Data_Completeness(LifeExpectancyData[[#This Row],[Life expectancy]:[Schooling]])</f>
        <v>1</v>
      </c>
    </row>
    <row r="21" spans="1:23" x14ac:dyDescent="0.25">
      <c r="A21" t="s">
        <v>364</v>
      </c>
      <c r="B21">
        <v>2012</v>
      </c>
      <c r="C21" t="s">
        <v>363</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Data_Completeness(LifeExpectancyData[[#This Row],[Life expectancy]:[Schooling]])</f>
        <v>1</v>
      </c>
    </row>
    <row r="22" spans="1:23" x14ac:dyDescent="0.25">
      <c r="A22" t="s">
        <v>364</v>
      </c>
      <c r="B22">
        <v>2011</v>
      </c>
      <c r="C22" t="s">
        <v>363</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Data_Completeness(LifeExpectancyData[[#This Row],[Life expectancy]:[Schooling]])</f>
        <v>1</v>
      </c>
    </row>
    <row r="23" spans="1:23" x14ac:dyDescent="0.25">
      <c r="A23" t="s">
        <v>364</v>
      </c>
      <c r="B23">
        <v>2010</v>
      </c>
      <c r="C23" t="s">
        <v>363</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Data_Completeness(LifeExpectancyData[[#This Row],[Life expectancy]:[Schooling]])</f>
        <v>1</v>
      </c>
    </row>
    <row r="24" spans="1:23" x14ac:dyDescent="0.25">
      <c r="A24" t="s">
        <v>364</v>
      </c>
      <c r="B24">
        <v>2009</v>
      </c>
      <c r="C24" t="s">
        <v>363</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Data_Completeness(LifeExpectancyData[[#This Row],[Life expectancy]:[Schooling]])</f>
        <v>1</v>
      </c>
    </row>
    <row r="25" spans="1:23" x14ac:dyDescent="0.25">
      <c r="A25" t="s">
        <v>364</v>
      </c>
      <c r="B25">
        <v>2008</v>
      </c>
      <c r="C25" t="s">
        <v>363</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Data_Completeness(LifeExpectancyData[[#This Row],[Life expectancy]:[Schooling]])</f>
        <v>1</v>
      </c>
    </row>
    <row r="26" spans="1:23" x14ac:dyDescent="0.25">
      <c r="A26" t="s">
        <v>364</v>
      </c>
      <c r="B26">
        <v>2007</v>
      </c>
      <c r="C26" t="s">
        <v>363</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Data_Completeness(LifeExpectancyData[[#This Row],[Life expectancy]:[Schooling]])</f>
        <v>1</v>
      </c>
    </row>
    <row r="27" spans="1:23" x14ac:dyDescent="0.25">
      <c r="A27" t="s">
        <v>364</v>
      </c>
      <c r="B27">
        <v>2006</v>
      </c>
      <c r="C27" t="s">
        <v>363</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Data_Completeness(LifeExpectancyData[[#This Row],[Life expectancy]:[Schooling]])</f>
        <v>1</v>
      </c>
    </row>
    <row r="28" spans="1:23" x14ac:dyDescent="0.25">
      <c r="A28" t="s">
        <v>364</v>
      </c>
      <c r="B28">
        <v>2005</v>
      </c>
      <c r="C28" t="s">
        <v>363</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Data_Completeness(LifeExpectancyData[[#This Row],[Life expectancy]:[Schooling]])</f>
        <v>1</v>
      </c>
    </row>
    <row r="29" spans="1:23" x14ac:dyDescent="0.25">
      <c r="A29" t="s">
        <v>364</v>
      </c>
      <c r="B29">
        <v>2004</v>
      </c>
      <c r="C29" t="s">
        <v>363</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Data_Completeness(LifeExpectancyData[[#This Row],[Life expectancy]:[Schooling]])</f>
        <v>1</v>
      </c>
    </row>
    <row r="30" spans="1:23" x14ac:dyDescent="0.25">
      <c r="A30" t="s">
        <v>364</v>
      </c>
      <c r="B30">
        <v>2003</v>
      </c>
      <c r="C30" t="s">
        <v>363</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Data_Completeness(LifeExpectancyData[[#This Row],[Life expectancy]:[Schooling]])</f>
        <v>1</v>
      </c>
    </row>
    <row r="31" spans="1:23" x14ac:dyDescent="0.25">
      <c r="A31" t="s">
        <v>364</v>
      </c>
      <c r="B31">
        <v>2002</v>
      </c>
      <c r="C31" t="s">
        <v>363</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Data_Completeness(LifeExpectancyData[[#This Row],[Life expectancy]:[Schooling]])</f>
        <v>1</v>
      </c>
    </row>
    <row r="32" spans="1:23" x14ac:dyDescent="0.25">
      <c r="A32" t="s">
        <v>364</v>
      </c>
      <c r="B32">
        <v>2001</v>
      </c>
      <c r="C32" t="s">
        <v>363</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Data_Completeness(LifeExpectancyData[[#This Row],[Life expectancy]:[Schooling]])</f>
        <v>1</v>
      </c>
    </row>
    <row r="33" spans="1:23" x14ac:dyDescent="0.25">
      <c r="A33" t="s">
        <v>364</v>
      </c>
      <c r="B33">
        <v>2000</v>
      </c>
      <c r="C33" t="s">
        <v>363</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Data_Completeness(LifeExpectancyData[[#This Row],[Life expectancy]:[Schooling]])</f>
        <v>1</v>
      </c>
    </row>
    <row r="34" spans="1:23" x14ac:dyDescent="0.25">
      <c r="A34" t="s">
        <v>365</v>
      </c>
      <c r="B34">
        <v>2015</v>
      </c>
      <c r="C34" t="s">
        <v>363</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Data_Completeness(LifeExpectancyData[[#This Row],[Life expectancy]:[Schooling]])</f>
        <v>0</v>
      </c>
    </row>
    <row r="35" spans="1:23" x14ac:dyDescent="0.25">
      <c r="A35" t="s">
        <v>365</v>
      </c>
      <c r="B35">
        <v>2014</v>
      </c>
      <c r="C35" t="s">
        <v>363</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Data_Completeness(LifeExpectancyData[[#This Row],[Life expectancy]:[Schooling]])</f>
        <v>1</v>
      </c>
    </row>
    <row r="36" spans="1:23" x14ac:dyDescent="0.25">
      <c r="A36" t="s">
        <v>365</v>
      </c>
      <c r="B36">
        <v>2013</v>
      </c>
      <c r="C36" t="s">
        <v>363</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Data_Completeness(LifeExpectancyData[[#This Row],[Life expectancy]:[Schooling]])</f>
        <v>1</v>
      </c>
    </row>
    <row r="37" spans="1:23" x14ac:dyDescent="0.25">
      <c r="A37" t="s">
        <v>365</v>
      </c>
      <c r="B37">
        <v>2012</v>
      </c>
      <c r="C37" t="s">
        <v>363</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Data_Completeness(LifeExpectancyData[[#This Row],[Life expectancy]:[Schooling]])</f>
        <v>1</v>
      </c>
    </row>
    <row r="38" spans="1:23" x14ac:dyDescent="0.25">
      <c r="A38" t="s">
        <v>365</v>
      </c>
      <c r="B38">
        <v>2011</v>
      </c>
      <c r="C38" t="s">
        <v>363</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Data_Completeness(LifeExpectancyData[[#This Row],[Life expectancy]:[Schooling]])</f>
        <v>1</v>
      </c>
    </row>
    <row r="39" spans="1:23" x14ac:dyDescent="0.25">
      <c r="A39" t="s">
        <v>365</v>
      </c>
      <c r="B39">
        <v>2010</v>
      </c>
      <c r="C39" t="s">
        <v>363</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Data_Completeness(LifeExpectancyData[[#This Row],[Life expectancy]:[Schooling]])</f>
        <v>1</v>
      </c>
    </row>
    <row r="40" spans="1:23" x14ac:dyDescent="0.25">
      <c r="A40" t="s">
        <v>365</v>
      </c>
      <c r="B40">
        <v>2009</v>
      </c>
      <c r="C40" t="s">
        <v>363</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Data_Completeness(LifeExpectancyData[[#This Row],[Life expectancy]:[Schooling]])</f>
        <v>1</v>
      </c>
    </row>
    <row r="41" spans="1:23" x14ac:dyDescent="0.25">
      <c r="A41" t="s">
        <v>365</v>
      </c>
      <c r="B41">
        <v>2008</v>
      </c>
      <c r="C41" t="s">
        <v>363</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Data_Completeness(LifeExpectancyData[[#This Row],[Life expectancy]:[Schooling]])</f>
        <v>1</v>
      </c>
    </row>
    <row r="42" spans="1:23" x14ac:dyDescent="0.25">
      <c r="A42" t="s">
        <v>365</v>
      </c>
      <c r="B42">
        <v>2007</v>
      </c>
      <c r="C42" t="s">
        <v>363</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Data_Completeness(LifeExpectancyData[[#This Row],[Life expectancy]:[Schooling]])</f>
        <v>1</v>
      </c>
    </row>
    <row r="43" spans="1:23" x14ac:dyDescent="0.25">
      <c r="A43" t="s">
        <v>365</v>
      </c>
      <c r="B43">
        <v>2006</v>
      </c>
      <c r="C43" t="s">
        <v>363</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Data_Completeness(LifeExpectancyData[[#This Row],[Life expectancy]:[Schooling]])</f>
        <v>1</v>
      </c>
    </row>
    <row r="44" spans="1:23" x14ac:dyDescent="0.25">
      <c r="A44" t="s">
        <v>365</v>
      </c>
      <c r="B44">
        <v>2005</v>
      </c>
      <c r="C44" t="s">
        <v>363</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Data_Completeness(LifeExpectancyData[[#This Row],[Life expectancy]:[Schooling]])</f>
        <v>1</v>
      </c>
    </row>
    <row r="45" spans="1:23" x14ac:dyDescent="0.25">
      <c r="A45" t="s">
        <v>365</v>
      </c>
      <c r="B45">
        <v>2004</v>
      </c>
      <c r="C45" t="s">
        <v>363</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Data_Completeness(LifeExpectancyData[[#This Row],[Life expectancy]:[Schooling]])</f>
        <v>1</v>
      </c>
    </row>
    <row r="46" spans="1:23" x14ac:dyDescent="0.25">
      <c r="A46" t="s">
        <v>365</v>
      </c>
      <c r="B46">
        <v>2003</v>
      </c>
      <c r="C46" t="s">
        <v>363</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Data_Completeness(LifeExpectancyData[[#This Row],[Life expectancy]:[Schooling]])</f>
        <v>0</v>
      </c>
    </row>
    <row r="47" spans="1:23" x14ac:dyDescent="0.25">
      <c r="A47" t="s">
        <v>365</v>
      </c>
      <c r="B47">
        <v>2002</v>
      </c>
      <c r="C47" t="s">
        <v>363</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Data_Completeness(LifeExpectancyData[[#This Row],[Life expectancy]:[Schooling]])</f>
        <v>0</v>
      </c>
    </row>
    <row r="48" spans="1:23" x14ac:dyDescent="0.25">
      <c r="A48" t="s">
        <v>365</v>
      </c>
      <c r="B48">
        <v>2001</v>
      </c>
      <c r="C48" t="s">
        <v>363</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Data_Completeness(LifeExpectancyData[[#This Row],[Life expectancy]:[Schooling]])</f>
        <v>0</v>
      </c>
    </row>
    <row r="49" spans="1:23" x14ac:dyDescent="0.25">
      <c r="A49" t="s">
        <v>365</v>
      </c>
      <c r="B49">
        <v>2000</v>
      </c>
      <c r="C49" t="s">
        <v>363</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Data_Completeness(LifeExpectancyData[[#This Row],[Life expectancy]:[Schooling]])</f>
        <v>0</v>
      </c>
    </row>
    <row r="50" spans="1:23" x14ac:dyDescent="0.25">
      <c r="A50" t="s">
        <v>366</v>
      </c>
      <c r="B50">
        <v>2015</v>
      </c>
      <c r="C50" t="s">
        <v>363</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Data_Completeness(LifeExpectancyData[[#This Row],[Life expectancy]:[Schooling]])</f>
        <v>0</v>
      </c>
    </row>
    <row r="51" spans="1:23" x14ac:dyDescent="0.25">
      <c r="A51" t="s">
        <v>366</v>
      </c>
      <c r="B51">
        <v>2014</v>
      </c>
      <c r="C51" t="s">
        <v>363</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Data_Completeness(LifeExpectancyData[[#This Row],[Life expectancy]:[Schooling]])</f>
        <v>1</v>
      </c>
    </row>
    <row r="52" spans="1:23" x14ac:dyDescent="0.25">
      <c r="A52" t="s">
        <v>366</v>
      </c>
      <c r="B52">
        <v>2013</v>
      </c>
      <c r="C52" t="s">
        <v>363</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Data_Completeness(LifeExpectancyData[[#This Row],[Life expectancy]:[Schooling]])</f>
        <v>1</v>
      </c>
    </row>
    <row r="53" spans="1:23" x14ac:dyDescent="0.25">
      <c r="A53" t="s">
        <v>366</v>
      </c>
      <c r="B53">
        <v>2012</v>
      </c>
      <c r="C53" t="s">
        <v>363</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Data_Completeness(LifeExpectancyData[[#This Row],[Life expectancy]:[Schooling]])</f>
        <v>1</v>
      </c>
    </row>
    <row r="54" spans="1:23" x14ac:dyDescent="0.25">
      <c r="A54" t="s">
        <v>366</v>
      </c>
      <c r="B54">
        <v>2011</v>
      </c>
      <c r="C54" t="s">
        <v>363</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Data_Completeness(LifeExpectancyData[[#This Row],[Life expectancy]:[Schooling]])</f>
        <v>1</v>
      </c>
    </row>
    <row r="55" spans="1:23" x14ac:dyDescent="0.25">
      <c r="A55" t="s">
        <v>366</v>
      </c>
      <c r="B55">
        <v>2010</v>
      </c>
      <c r="C55" t="s">
        <v>363</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Data_Completeness(LifeExpectancyData[[#This Row],[Life expectancy]:[Schooling]])</f>
        <v>1</v>
      </c>
    </row>
    <row r="56" spans="1:23" x14ac:dyDescent="0.25">
      <c r="A56" t="s">
        <v>366</v>
      </c>
      <c r="B56">
        <v>2009</v>
      </c>
      <c r="C56" t="s">
        <v>363</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Data_Completeness(LifeExpectancyData[[#This Row],[Life expectancy]:[Schooling]])</f>
        <v>1</v>
      </c>
    </row>
    <row r="57" spans="1:23" x14ac:dyDescent="0.25">
      <c r="A57" t="s">
        <v>366</v>
      </c>
      <c r="B57">
        <v>2008</v>
      </c>
      <c r="C57" t="s">
        <v>363</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Data_Completeness(LifeExpectancyData[[#This Row],[Life expectancy]:[Schooling]])</f>
        <v>1</v>
      </c>
    </row>
    <row r="58" spans="1:23" x14ac:dyDescent="0.25">
      <c r="A58" t="s">
        <v>366</v>
      </c>
      <c r="B58">
        <v>2007</v>
      </c>
      <c r="C58" t="s">
        <v>363</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Data_Completeness(LifeExpectancyData[[#This Row],[Life expectancy]:[Schooling]])</f>
        <v>1</v>
      </c>
    </row>
    <row r="59" spans="1:23" x14ac:dyDescent="0.25">
      <c r="A59" t="s">
        <v>366</v>
      </c>
      <c r="B59">
        <v>2006</v>
      </c>
      <c r="C59" t="s">
        <v>363</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Data_Completeness(LifeExpectancyData[[#This Row],[Life expectancy]:[Schooling]])</f>
        <v>0</v>
      </c>
    </row>
    <row r="60" spans="1:23" x14ac:dyDescent="0.25">
      <c r="A60" t="s">
        <v>366</v>
      </c>
      <c r="B60">
        <v>2005</v>
      </c>
      <c r="C60" t="s">
        <v>363</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Data_Completeness(LifeExpectancyData[[#This Row],[Life expectancy]:[Schooling]])</f>
        <v>0</v>
      </c>
    </row>
    <row r="61" spans="1:23" x14ac:dyDescent="0.25">
      <c r="A61" t="s">
        <v>366</v>
      </c>
      <c r="B61">
        <v>2004</v>
      </c>
      <c r="C61" t="s">
        <v>363</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Data_Completeness(LifeExpectancyData[[#This Row],[Life expectancy]:[Schooling]])</f>
        <v>0</v>
      </c>
    </row>
    <row r="62" spans="1:23" x14ac:dyDescent="0.25">
      <c r="A62" t="s">
        <v>366</v>
      </c>
      <c r="B62">
        <v>2003</v>
      </c>
      <c r="C62" t="s">
        <v>363</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Data_Completeness(LifeExpectancyData[[#This Row],[Life expectancy]:[Schooling]])</f>
        <v>0</v>
      </c>
    </row>
    <row r="63" spans="1:23" x14ac:dyDescent="0.25">
      <c r="A63" t="s">
        <v>366</v>
      </c>
      <c r="B63">
        <v>2002</v>
      </c>
      <c r="C63" t="s">
        <v>363</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Data_Completeness(LifeExpectancyData[[#This Row],[Life expectancy]:[Schooling]])</f>
        <v>0</v>
      </c>
    </row>
    <row r="64" spans="1:23" x14ac:dyDescent="0.25">
      <c r="A64" t="s">
        <v>366</v>
      </c>
      <c r="B64">
        <v>2001</v>
      </c>
      <c r="C64" t="s">
        <v>363</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Data_Completeness(LifeExpectancyData[[#This Row],[Life expectancy]:[Schooling]])</f>
        <v>0</v>
      </c>
    </row>
    <row r="65" spans="1:23" x14ac:dyDescent="0.25">
      <c r="A65" t="s">
        <v>366</v>
      </c>
      <c r="B65">
        <v>2000</v>
      </c>
      <c r="C65" t="s">
        <v>363</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Data_Completeness(LifeExpectancyData[[#This Row],[Life expectancy]:[Schooling]])</f>
        <v>0</v>
      </c>
    </row>
    <row r="66" spans="1:23" x14ac:dyDescent="0.25">
      <c r="A66" t="s">
        <v>367</v>
      </c>
      <c r="B66">
        <v>2015</v>
      </c>
      <c r="C66" t="s">
        <v>363</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Data_Completeness(LifeExpectancyData[[#This Row],[Life expectancy]:[Schooling]])</f>
        <v>0</v>
      </c>
    </row>
    <row r="67" spans="1:23" x14ac:dyDescent="0.25">
      <c r="A67" t="s">
        <v>367</v>
      </c>
      <c r="B67">
        <v>2014</v>
      </c>
      <c r="C67" t="s">
        <v>363</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Data_Completeness(LifeExpectancyData[[#This Row],[Life expectancy]:[Schooling]])</f>
        <v>0</v>
      </c>
    </row>
    <row r="68" spans="1:23" x14ac:dyDescent="0.25">
      <c r="A68" t="s">
        <v>367</v>
      </c>
      <c r="B68">
        <v>2013</v>
      </c>
      <c r="C68" t="s">
        <v>363</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Data_Completeness(LifeExpectancyData[[#This Row],[Life expectancy]:[Schooling]])</f>
        <v>0</v>
      </c>
    </row>
    <row r="69" spans="1:23" x14ac:dyDescent="0.25">
      <c r="A69" t="s">
        <v>367</v>
      </c>
      <c r="B69">
        <v>2012</v>
      </c>
      <c r="C69" t="s">
        <v>363</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Data_Completeness(LifeExpectancyData[[#This Row],[Life expectancy]:[Schooling]])</f>
        <v>0</v>
      </c>
    </row>
    <row r="70" spans="1:23" x14ac:dyDescent="0.25">
      <c r="A70" t="s">
        <v>367</v>
      </c>
      <c r="B70">
        <v>2011</v>
      </c>
      <c r="C70" t="s">
        <v>363</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Data_Completeness(LifeExpectancyData[[#This Row],[Life expectancy]:[Schooling]])</f>
        <v>0</v>
      </c>
    </row>
    <row r="71" spans="1:23" x14ac:dyDescent="0.25">
      <c r="A71" t="s">
        <v>367</v>
      </c>
      <c r="B71">
        <v>2010</v>
      </c>
      <c r="C71" t="s">
        <v>363</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Data_Completeness(LifeExpectancyData[[#This Row],[Life expectancy]:[Schooling]])</f>
        <v>0</v>
      </c>
    </row>
    <row r="72" spans="1:23" x14ac:dyDescent="0.25">
      <c r="A72" t="s">
        <v>367</v>
      </c>
      <c r="B72">
        <v>2009</v>
      </c>
      <c r="C72" t="s">
        <v>363</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Data_Completeness(LifeExpectancyData[[#This Row],[Life expectancy]:[Schooling]])</f>
        <v>0</v>
      </c>
    </row>
    <row r="73" spans="1:23" x14ac:dyDescent="0.25">
      <c r="A73" t="s">
        <v>367</v>
      </c>
      <c r="B73">
        <v>2008</v>
      </c>
      <c r="C73" t="s">
        <v>363</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Data_Completeness(LifeExpectancyData[[#This Row],[Life expectancy]:[Schooling]])</f>
        <v>0</v>
      </c>
    </row>
    <row r="74" spans="1:23" x14ac:dyDescent="0.25">
      <c r="A74" t="s">
        <v>367</v>
      </c>
      <c r="B74">
        <v>2007</v>
      </c>
      <c r="C74" t="s">
        <v>363</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Data_Completeness(LifeExpectancyData[[#This Row],[Life expectancy]:[Schooling]])</f>
        <v>0</v>
      </c>
    </row>
    <row r="75" spans="1:23" x14ac:dyDescent="0.25">
      <c r="A75" t="s">
        <v>367</v>
      </c>
      <c r="B75">
        <v>2006</v>
      </c>
      <c r="C75" t="s">
        <v>363</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Data_Completeness(LifeExpectancyData[[#This Row],[Life expectancy]:[Schooling]])</f>
        <v>0</v>
      </c>
    </row>
    <row r="76" spans="1:23" x14ac:dyDescent="0.25">
      <c r="A76" t="s">
        <v>367</v>
      </c>
      <c r="B76">
        <v>2005</v>
      </c>
      <c r="C76" t="s">
        <v>363</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Data_Completeness(LifeExpectancyData[[#This Row],[Life expectancy]:[Schooling]])</f>
        <v>0</v>
      </c>
    </row>
    <row r="77" spans="1:23" x14ac:dyDescent="0.25">
      <c r="A77" t="s">
        <v>367</v>
      </c>
      <c r="B77">
        <v>2004</v>
      </c>
      <c r="C77" t="s">
        <v>363</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Data_Completeness(LifeExpectancyData[[#This Row],[Life expectancy]:[Schooling]])</f>
        <v>0</v>
      </c>
    </row>
    <row r="78" spans="1:23" x14ac:dyDescent="0.25">
      <c r="A78" t="s">
        <v>367</v>
      </c>
      <c r="B78">
        <v>2003</v>
      </c>
      <c r="C78" t="s">
        <v>363</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Data_Completeness(LifeExpectancyData[[#This Row],[Life expectancy]:[Schooling]])</f>
        <v>0</v>
      </c>
    </row>
    <row r="79" spans="1:23" x14ac:dyDescent="0.25">
      <c r="A79" t="s">
        <v>367</v>
      </c>
      <c r="B79">
        <v>2002</v>
      </c>
      <c r="C79" t="s">
        <v>363</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Data_Completeness(LifeExpectancyData[[#This Row],[Life expectancy]:[Schooling]])</f>
        <v>0</v>
      </c>
    </row>
    <row r="80" spans="1:23" x14ac:dyDescent="0.25">
      <c r="A80" t="s">
        <v>367</v>
      </c>
      <c r="B80">
        <v>2001</v>
      </c>
      <c r="C80" t="s">
        <v>363</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Data_Completeness(LifeExpectancyData[[#This Row],[Life expectancy]:[Schooling]])</f>
        <v>0</v>
      </c>
    </row>
    <row r="81" spans="1:23" x14ac:dyDescent="0.25">
      <c r="A81" t="s">
        <v>367</v>
      </c>
      <c r="B81">
        <v>2000</v>
      </c>
      <c r="C81" t="s">
        <v>363</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Data_Completeness(LifeExpectancyData[[#This Row],[Life expectancy]:[Schooling]])</f>
        <v>0</v>
      </c>
    </row>
    <row r="82" spans="1:23" x14ac:dyDescent="0.25">
      <c r="A82" t="s">
        <v>368</v>
      </c>
      <c r="B82">
        <v>2015</v>
      </c>
      <c r="C82" t="s">
        <v>363</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Data_Completeness(LifeExpectancyData[[#This Row],[Life expectancy]:[Schooling]])</f>
        <v>0</v>
      </c>
    </row>
    <row r="83" spans="1:23" x14ac:dyDescent="0.25">
      <c r="A83" t="s">
        <v>368</v>
      </c>
      <c r="B83">
        <v>2014</v>
      </c>
      <c r="C83" t="s">
        <v>363</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Data_Completeness(LifeExpectancyData[[#This Row],[Life expectancy]:[Schooling]])</f>
        <v>1</v>
      </c>
    </row>
    <row r="84" spans="1:23" x14ac:dyDescent="0.25">
      <c r="A84" t="s">
        <v>368</v>
      </c>
      <c r="B84">
        <v>2013</v>
      </c>
      <c r="C84" t="s">
        <v>363</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Data_Completeness(LifeExpectancyData[[#This Row],[Life expectancy]:[Schooling]])</f>
        <v>1</v>
      </c>
    </row>
    <row r="85" spans="1:23" x14ac:dyDescent="0.25">
      <c r="A85" t="s">
        <v>368</v>
      </c>
      <c r="B85">
        <v>2012</v>
      </c>
      <c r="C85" t="s">
        <v>363</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Data_Completeness(LifeExpectancyData[[#This Row],[Life expectancy]:[Schooling]])</f>
        <v>1</v>
      </c>
    </row>
    <row r="86" spans="1:23" x14ac:dyDescent="0.25">
      <c r="A86" t="s">
        <v>368</v>
      </c>
      <c r="B86">
        <v>2011</v>
      </c>
      <c r="C86" t="s">
        <v>363</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Data_Completeness(LifeExpectancyData[[#This Row],[Life expectancy]:[Schooling]])</f>
        <v>1</v>
      </c>
    </row>
    <row r="87" spans="1:23" x14ac:dyDescent="0.25">
      <c r="A87" t="s">
        <v>368</v>
      </c>
      <c r="B87">
        <v>2010</v>
      </c>
      <c r="C87" t="s">
        <v>363</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Data_Completeness(LifeExpectancyData[[#This Row],[Life expectancy]:[Schooling]])</f>
        <v>1</v>
      </c>
    </row>
    <row r="88" spans="1:23" x14ac:dyDescent="0.25">
      <c r="A88" t="s">
        <v>368</v>
      </c>
      <c r="B88">
        <v>2009</v>
      </c>
      <c r="C88" t="s">
        <v>363</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Data_Completeness(LifeExpectancyData[[#This Row],[Life expectancy]:[Schooling]])</f>
        <v>1</v>
      </c>
    </row>
    <row r="89" spans="1:23" x14ac:dyDescent="0.25">
      <c r="A89" t="s">
        <v>368</v>
      </c>
      <c r="B89">
        <v>2008</v>
      </c>
      <c r="C89" t="s">
        <v>363</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Data_Completeness(LifeExpectancyData[[#This Row],[Life expectancy]:[Schooling]])</f>
        <v>1</v>
      </c>
    </row>
    <row r="90" spans="1:23" x14ac:dyDescent="0.25">
      <c r="A90" t="s">
        <v>368</v>
      </c>
      <c r="B90">
        <v>2007</v>
      </c>
      <c r="C90" t="s">
        <v>363</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Data_Completeness(LifeExpectancyData[[#This Row],[Life expectancy]:[Schooling]])</f>
        <v>1</v>
      </c>
    </row>
    <row r="91" spans="1:23" x14ac:dyDescent="0.25">
      <c r="A91" t="s">
        <v>368</v>
      </c>
      <c r="B91">
        <v>2006</v>
      </c>
      <c r="C91" t="s">
        <v>363</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Data_Completeness(LifeExpectancyData[[#This Row],[Life expectancy]:[Schooling]])</f>
        <v>1</v>
      </c>
    </row>
    <row r="92" spans="1:23" x14ac:dyDescent="0.25">
      <c r="A92" t="s">
        <v>368</v>
      </c>
      <c r="B92">
        <v>2005</v>
      </c>
      <c r="C92" t="s">
        <v>363</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Data_Completeness(LifeExpectancyData[[#This Row],[Life expectancy]:[Schooling]])</f>
        <v>1</v>
      </c>
    </row>
    <row r="93" spans="1:23" x14ac:dyDescent="0.25">
      <c r="A93" t="s">
        <v>368</v>
      </c>
      <c r="B93">
        <v>2004</v>
      </c>
      <c r="C93" t="s">
        <v>363</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Data_Completeness(LifeExpectancyData[[#This Row],[Life expectancy]:[Schooling]])</f>
        <v>1</v>
      </c>
    </row>
    <row r="94" spans="1:23" x14ac:dyDescent="0.25">
      <c r="A94" t="s">
        <v>368</v>
      </c>
      <c r="B94">
        <v>2003</v>
      </c>
      <c r="C94" t="s">
        <v>363</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Data_Completeness(LifeExpectancyData[[#This Row],[Life expectancy]:[Schooling]])</f>
        <v>1</v>
      </c>
    </row>
    <row r="95" spans="1:23" x14ac:dyDescent="0.25">
      <c r="A95" t="s">
        <v>368</v>
      </c>
      <c r="B95">
        <v>2002</v>
      </c>
      <c r="C95" t="s">
        <v>363</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Data_Completeness(LifeExpectancyData[[#This Row],[Life expectancy]:[Schooling]])</f>
        <v>1</v>
      </c>
    </row>
    <row r="96" spans="1:23" x14ac:dyDescent="0.25">
      <c r="A96" t="s">
        <v>368</v>
      </c>
      <c r="B96">
        <v>2001</v>
      </c>
      <c r="C96" t="s">
        <v>363</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Data_Completeness(LifeExpectancyData[[#This Row],[Life expectancy]:[Schooling]])</f>
        <v>0</v>
      </c>
    </row>
    <row r="97" spans="1:23" x14ac:dyDescent="0.25">
      <c r="A97" t="s">
        <v>368</v>
      </c>
      <c r="B97">
        <v>2000</v>
      </c>
      <c r="C97" t="s">
        <v>363</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Data_Completeness(LifeExpectancyData[[#This Row],[Life expectancy]:[Schooling]])</f>
        <v>0</v>
      </c>
    </row>
    <row r="98" spans="1:23" x14ac:dyDescent="0.25">
      <c r="A98" t="s">
        <v>369</v>
      </c>
      <c r="B98">
        <v>2015</v>
      </c>
      <c r="C98" t="s">
        <v>363</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Data_Completeness(LifeExpectancyData[[#This Row],[Life expectancy]:[Schooling]])</f>
        <v>0</v>
      </c>
    </row>
    <row r="99" spans="1:23" x14ac:dyDescent="0.25">
      <c r="A99" t="s">
        <v>369</v>
      </c>
      <c r="B99">
        <v>2014</v>
      </c>
      <c r="C99" t="s">
        <v>363</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Data_Completeness(LifeExpectancyData[[#This Row],[Life expectancy]:[Schooling]])</f>
        <v>1</v>
      </c>
    </row>
    <row r="100" spans="1:23" x14ac:dyDescent="0.25">
      <c r="A100" t="s">
        <v>369</v>
      </c>
      <c r="B100">
        <v>2013</v>
      </c>
      <c r="C100" t="s">
        <v>363</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Data_Completeness(LifeExpectancyData[[#This Row],[Life expectancy]:[Schooling]])</f>
        <v>1</v>
      </c>
    </row>
    <row r="101" spans="1:23" x14ac:dyDescent="0.25">
      <c r="A101" t="s">
        <v>369</v>
      </c>
      <c r="B101">
        <v>2012</v>
      </c>
      <c r="C101" t="s">
        <v>363</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Data_Completeness(LifeExpectancyData[[#This Row],[Life expectancy]:[Schooling]])</f>
        <v>1</v>
      </c>
    </row>
    <row r="102" spans="1:23" x14ac:dyDescent="0.25">
      <c r="A102" t="s">
        <v>369</v>
      </c>
      <c r="B102">
        <v>2011</v>
      </c>
      <c r="C102" t="s">
        <v>363</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Data_Completeness(LifeExpectancyData[[#This Row],[Life expectancy]:[Schooling]])</f>
        <v>1</v>
      </c>
    </row>
    <row r="103" spans="1:23" x14ac:dyDescent="0.25">
      <c r="A103" t="s">
        <v>369</v>
      </c>
      <c r="B103">
        <v>2010</v>
      </c>
      <c r="C103" t="s">
        <v>363</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Data_Completeness(LifeExpectancyData[[#This Row],[Life expectancy]:[Schooling]])</f>
        <v>1</v>
      </c>
    </row>
    <row r="104" spans="1:23" x14ac:dyDescent="0.25">
      <c r="A104" t="s">
        <v>369</v>
      </c>
      <c r="B104">
        <v>2009</v>
      </c>
      <c r="C104" t="s">
        <v>363</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Data_Completeness(LifeExpectancyData[[#This Row],[Life expectancy]:[Schooling]])</f>
        <v>1</v>
      </c>
    </row>
    <row r="105" spans="1:23" x14ac:dyDescent="0.25">
      <c r="A105" t="s">
        <v>369</v>
      </c>
      <c r="B105">
        <v>2008</v>
      </c>
      <c r="C105" t="s">
        <v>363</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Data_Completeness(LifeExpectancyData[[#This Row],[Life expectancy]:[Schooling]])</f>
        <v>1</v>
      </c>
    </row>
    <row r="106" spans="1:23" x14ac:dyDescent="0.25">
      <c r="A106" t="s">
        <v>369</v>
      </c>
      <c r="B106">
        <v>2007</v>
      </c>
      <c r="C106" t="s">
        <v>363</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Data_Completeness(LifeExpectancyData[[#This Row],[Life expectancy]:[Schooling]])</f>
        <v>1</v>
      </c>
    </row>
    <row r="107" spans="1:23" x14ac:dyDescent="0.25">
      <c r="A107" t="s">
        <v>369</v>
      </c>
      <c r="B107">
        <v>2006</v>
      </c>
      <c r="C107" t="s">
        <v>363</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Data_Completeness(LifeExpectancyData[[#This Row],[Life expectancy]:[Schooling]])</f>
        <v>1</v>
      </c>
    </row>
    <row r="108" spans="1:23" x14ac:dyDescent="0.25">
      <c r="A108" t="s">
        <v>369</v>
      </c>
      <c r="B108">
        <v>2005</v>
      </c>
      <c r="C108" t="s">
        <v>363</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Data_Completeness(LifeExpectancyData[[#This Row],[Life expectancy]:[Schooling]])</f>
        <v>1</v>
      </c>
    </row>
    <row r="109" spans="1:23" x14ac:dyDescent="0.25">
      <c r="A109" t="s">
        <v>369</v>
      </c>
      <c r="B109">
        <v>2004</v>
      </c>
      <c r="C109" t="s">
        <v>363</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Data_Completeness(LifeExpectancyData[[#This Row],[Life expectancy]:[Schooling]])</f>
        <v>1</v>
      </c>
    </row>
    <row r="110" spans="1:23" x14ac:dyDescent="0.25">
      <c r="A110" t="s">
        <v>369</v>
      </c>
      <c r="B110">
        <v>2003</v>
      </c>
      <c r="C110" t="s">
        <v>363</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Data_Completeness(LifeExpectancyData[[#This Row],[Life expectancy]:[Schooling]])</f>
        <v>1</v>
      </c>
    </row>
    <row r="111" spans="1:23" x14ac:dyDescent="0.25">
      <c r="A111" t="s">
        <v>369</v>
      </c>
      <c r="B111">
        <v>2002</v>
      </c>
      <c r="C111" t="s">
        <v>363</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Data_Completeness(LifeExpectancyData[[#This Row],[Life expectancy]:[Schooling]])</f>
        <v>1</v>
      </c>
    </row>
    <row r="112" spans="1:23" x14ac:dyDescent="0.25">
      <c r="A112" t="s">
        <v>369</v>
      </c>
      <c r="B112">
        <v>2001</v>
      </c>
      <c r="C112" t="s">
        <v>363</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Data_Completeness(LifeExpectancyData[[#This Row],[Life expectancy]:[Schooling]])</f>
        <v>1</v>
      </c>
    </row>
    <row r="113" spans="1:23" x14ac:dyDescent="0.25">
      <c r="A113" t="s">
        <v>369</v>
      </c>
      <c r="B113">
        <v>2000</v>
      </c>
      <c r="C113" t="s">
        <v>363</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Data_Completeness(LifeExpectancyData[[#This Row],[Life expectancy]:[Schooling]])</f>
        <v>1</v>
      </c>
    </row>
    <row r="114" spans="1:23" x14ac:dyDescent="0.25">
      <c r="A114" t="s">
        <v>370</v>
      </c>
      <c r="B114">
        <v>2015</v>
      </c>
      <c r="C114" t="s">
        <v>371</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Data_Completeness(LifeExpectancyData[[#This Row],[Life expectancy]:[Schooling]])</f>
        <v>0</v>
      </c>
    </row>
    <row r="115" spans="1:23" x14ac:dyDescent="0.25">
      <c r="A115" t="s">
        <v>370</v>
      </c>
      <c r="B115">
        <v>2014</v>
      </c>
      <c r="C115" t="s">
        <v>371</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Data_Completeness(LifeExpectancyData[[#This Row],[Life expectancy]:[Schooling]])</f>
        <v>1</v>
      </c>
    </row>
    <row r="116" spans="1:23" x14ac:dyDescent="0.25">
      <c r="A116" t="s">
        <v>370</v>
      </c>
      <c r="B116">
        <v>2013</v>
      </c>
      <c r="C116" t="s">
        <v>371</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Data_Completeness(LifeExpectancyData[[#This Row],[Life expectancy]:[Schooling]])</f>
        <v>1</v>
      </c>
    </row>
    <row r="117" spans="1:23" x14ac:dyDescent="0.25">
      <c r="A117" t="s">
        <v>370</v>
      </c>
      <c r="B117">
        <v>2012</v>
      </c>
      <c r="C117" t="s">
        <v>371</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Data_Completeness(LifeExpectancyData[[#This Row],[Life expectancy]:[Schooling]])</f>
        <v>1</v>
      </c>
    </row>
    <row r="118" spans="1:23" x14ac:dyDescent="0.25">
      <c r="A118" t="s">
        <v>370</v>
      </c>
      <c r="B118">
        <v>2011</v>
      </c>
      <c r="C118" t="s">
        <v>371</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Data_Completeness(LifeExpectancyData[[#This Row],[Life expectancy]:[Schooling]])</f>
        <v>1</v>
      </c>
    </row>
    <row r="119" spans="1:23" x14ac:dyDescent="0.25">
      <c r="A119" t="s">
        <v>370</v>
      </c>
      <c r="B119">
        <v>2010</v>
      </c>
      <c r="C119" t="s">
        <v>371</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Data_Completeness(LifeExpectancyData[[#This Row],[Life expectancy]:[Schooling]])</f>
        <v>1</v>
      </c>
    </row>
    <row r="120" spans="1:23" x14ac:dyDescent="0.25">
      <c r="A120" t="s">
        <v>370</v>
      </c>
      <c r="B120">
        <v>2009</v>
      </c>
      <c r="C120" t="s">
        <v>371</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Data_Completeness(LifeExpectancyData[[#This Row],[Life expectancy]:[Schooling]])</f>
        <v>1</v>
      </c>
    </row>
    <row r="121" spans="1:23" x14ac:dyDescent="0.25">
      <c r="A121" t="s">
        <v>370</v>
      </c>
      <c r="B121">
        <v>2008</v>
      </c>
      <c r="C121" t="s">
        <v>371</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Data_Completeness(LifeExpectancyData[[#This Row],[Life expectancy]:[Schooling]])</f>
        <v>1</v>
      </c>
    </row>
    <row r="122" spans="1:23" x14ac:dyDescent="0.25">
      <c r="A122" t="s">
        <v>370</v>
      </c>
      <c r="B122">
        <v>2007</v>
      </c>
      <c r="C122" t="s">
        <v>371</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Data_Completeness(LifeExpectancyData[[#This Row],[Life expectancy]:[Schooling]])</f>
        <v>1</v>
      </c>
    </row>
    <row r="123" spans="1:23" x14ac:dyDescent="0.25">
      <c r="A123" t="s">
        <v>370</v>
      </c>
      <c r="B123">
        <v>2006</v>
      </c>
      <c r="C123" t="s">
        <v>371</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Data_Completeness(LifeExpectancyData[[#This Row],[Life expectancy]:[Schooling]])</f>
        <v>1</v>
      </c>
    </row>
    <row r="124" spans="1:23" x14ac:dyDescent="0.25">
      <c r="A124" t="s">
        <v>370</v>
      </c>
      <c r="B124">
        <v>2005</v>
      </c>
      <c r="C124" t="s">
        <v>371</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Data_Completeness(LifeExpectancyData[[#This Row],[Life expectancy]:[Schooling]])</f>
        <v>1</v>
      </c>
    </row>
    <row r="125" spans="1:23" x14ac:dyDescent="0.25">
      <c r="A125" t="s">
        <v>370</v>
      </c>
      <c r="B125">
        <v>2004</v>
      </c>
      <c r="C125" t="s">
        <v>371</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Data_Completeness(LifeExpectancyData[[#This Row],[Life expectancy]:[Schooling]])</f>
        <v>1</v>
      </c>
    </row>
    <row r="126" spans="1:23" x14ac:dyDescent="0.25">
      <c r="A126" t="s">
        <v>370</v>
      </c>
      <c r="B126">
        <v>2003</v>
      </c>
      <c r="C126" t="s">
        <v>371</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Data_Completeness(LifeExpectancyData[[#This Row],[Life expectancy]:[Schooling]])</f>
        <v>1</v>
      </c>
    </row>
    <row r="127" spans="1:23" x14ac:dyDescent="0.25">
      <c r="A127" t="s">
        <v>370</v>
      </c>
      <c r="B127">
        <v>2002</v>
      </c>
      <c r="C127" t="s">
        <v>371</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Data_Completeness(LifeExpectancyData[[#This Row],[Life expectancy]:[Schooling]])</f>
        <v>1</v>
      </c>
    </row>
    <row r="128" spans="1:23" x14ac:dyDescent="0.25">
      <c r="A128" t="s">
        <v>370</v>
      </c>
      <c r="B128">
        <v>2001</v>
      </c>
      <c r="C128" t="s">
        <v>371</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Data_Completeness(LifeExpectancyData[[#This Row],[Life expectancy]:[Schooling]])</f>
        <v>1</v>
      </c>
    </row>
    <row r="129" spans="1:23" x14ac:dyDescent="0.25">
      <c r="A129" t="s">
        <v>370</v>
      </c>
      <c r="B129">
        <v>2000</v>
      </c>
      <c r="C129" t="s">
        <v>371</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Data_Completeness(LifeExpectancyData[[#This Row],[Life expectancy]:[Schooling]])</f>
        <v>0</v>
      </c>
    </row>
    <row r="130" spans="1:23" x14ac:dyDescent="0.25">
      <c r="A130" t="s">
        <v>372</v>
      </c>
      <c r="B130">
        <v>2015</v>
      </c>
      <c r="C130" t="s">
        <v>371</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Data_Completeness(LifeExpectancyData[[#This Row],[Life expectancy]:[Schooling]])</f>
        <v>0</v>
      </c>
    </row>
    <row r="131" spans="1:23" x14ac:dyDescent="0.25">
      <c r="A131" t="s">
        <v>372</v>
      </c>
      <c r="B131">
        <v>2014</v>
      </c>
      <c r="C131" t="s">
        <v>371</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Data_Completeness(LifeExpectancyData[[#This Row],[Life expectancy]:[Schooling]])</f>
        <v>1</v>
      </c>
    </row>
    <row r="132" spans="1:23" x14ac:dyDescent="0.25">
      <c r="A132" t="s">
        <v>372</v>
      </c>
      <c r="B132">
        <v>2013</v>
      </c>
      <c r="C132" t="s">
        <v>371</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Data_Completeness(LifeExpectancyData[[#This Row],[Life expectancy]:[Schooling]])</f>
        <v>1</v>
      </c>
    </row>
    <row r="133" spans="1:23" x14ac:dyDescent="0.25">
      <c r="A133" t="s">
        <v>372</v>
      </c>
      <c r="B133">
        <v>2012</v>
      </c>
      <c r="C133" t="s">
        <v>371</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Data_Completeness(LifeExpectancyData[[#This Row],[Life expectancy]:[Schooling]])</f>
        <v>1</v>
      </c>
    </row>
    <row r="134" spans="1:23" x14ac:dyDescent="0.25">
      <c r="A134" t="s">
        <v>372</v>
      </c>
      <c r="B134">
        <v>2011</v>
      </c>
      <c r="C134" t="s">
        <v>371</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Data_Completeness(LifeExpectancyData[[#This Row],[Life expectancy]:[Schooling]])</f>
        <v>1</v>
      </c>
    </row>
    <row r="135" spans="1:23" x14ac:dyDescent="0.25">
      <c r="A135" t="s">
        <v>372</v>
      </c>
      <c r="B135">
        <v>2010</v>
      </c>
      <c r="C135" t="s">
        <v>371</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Data_Completeness(LifeExpectancyData[[#This Row],[Life expectancy]:[Schooling]])</f>
        <v>1</v>
      </c>
    </row>
    <row r="136" spans="1:23" x14ac:dyDescent="0.25">
      <c r="A136" t="s">
        <v>372</v>
      </c>
      <c r="B136">
        <v>2009</v>
      </c>
      <c r="C136" t="s">
        <v>371</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Data_Completeness(LifeExpectancyData[[#This Row],[Life expectancy]:[Schooling]])</f>
        <v>1</v>
      </c>
    </row>
    <row r="137" spans="1:23" x14ac:dyDescent="0.25">
      <c r="A137" t="s">
        <v>372</v>
      </c>
      <c r="B137">
        <v>2008</v>
      </c>
      <c r="C137" t="s">
        <v>371</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Data_Completeness(LifeExpectancyData[[#This Row],[Life expectancy]:[Schooling]])</f>
        <v>1</v>
      </c>
    </row>
    <row r="138" spans="1:23" x14ac:dyDescent="0.25">
      <c r="A138" t="s">
        <v>372</v>
      </c>
      <c r="B138">
        <v>2007</v>
      </c>
      <c r="C138" t="s">
        <v>371</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Data_Completeness(LifeExpectancyData[[#This Row],[Life expectancy]:[Schooling]])</f>
        <v>1</v>
      </c>
    </row>
    <row r="139" spans="1:23" x14ac:dyDescent="0.25">
      <c r="A139" t="s">
        <v>372</v>
      </c>
      <c r="B139">
        <v>2006</v>
      </c>
      <c r="C139" t="s">
        <v>371</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Data_Completeness(LifeExpectancyData[[#This Row],[Life expectancy]:[Schooling]])</f>
        <v>1</v>
      </c>
    </row>
    <row r="140" spans="1:23" x14ac:dyDescent="0.25">
      <c r="A140" t="s">
        <v>372</v>
      </c>
      <c r="B140">
        <v>2005</v>
      </c>
      <c r="C140" t="s">
        <v>371</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Data_Completeness(LifeExpectancyData[[#This Row],[Life expectancy]:[Schooling]])</f>
        <v>1</v>
      </c>
    </row>
    <row r="141" spans="1:23" x14ac:dyDescent="0.25">
      <c r="A141" t="s">
        <v>372</v>
      </c>
      <c r="B141">
        <v>2004</v>
      </c>
      <c r="C141" t="s">
        <v>371</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Data_Completeness(LifeExpectancyData[[#This Row],[Life expectancy]:[Schooling]])</f>
        <v>1</v>
      </c>
    </row>
    <row r="142" spans="1:23" x14ac:dyDescent="0.25">
      <c r="A142" t="s">
        <v>372</v>
      </c>
      <c r="B142">
        <v>2003</v>
      </c>
      <c r="C142" t="s">
        <v>371</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Data_Completeness(LifeExpectancyData[[#This Row],[Life expectancy]:[Schooling]])</f>
        <v>1</v>
      </c>
    </row>
    <row r="143" spans="1:23" x14ac:dyDescent="0.25">
      <c r="A143" t="s">
        <v>372</v>
      </c>
      <c r="B143">
        <v>2002</v>
      </c>
      <c r="C143" t="s">
        <v>371</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Data_Completeness(LifeExpectancyData[[#This Row],[Life expectancy]:[Schooling]])</f>
        <v>1</v>
      </c>
    </row>
    <row r="144" spans="1:23" x14ac:dyDescent="0.25">
      <c r="A144" t="s">
        <v>372</v>
      </c>
      <c r="B144">
        <v>2001</v>
      </c>
      <c r="C144" t="s">
        <v>371</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Data_Completeness(LifeExpectancyData[[#This Row],[Life expectancy]:[Schooling]])</f>
        <v>1</v>
      </c>
    </row>
    <row r="145" spans="1:23" x14ac:dyDescent="0.25">
      <c r="A145" t="s">
        <v>372</v>
      </c>
      <c r="B145">
        <v>2000</v>
      </c>
      <c r="C145" t="s">
        <v>371</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Data_Completeness(LifeExpectancyData[[#This Row],[Life expectancy]:[Schooling]])</f>
        <v>1</v>
      </c>
    </row>
    <row r="146" spans="1:23" x14ac:dyDescent="0.25">
      <c r="A146" t="s">
        <v>373</v>
      </c>
      <c r="B146">
        <v>2015</v>
      </c>
      <c r="C146" t="s">
        <v>363</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Data_Completeness(LifeExpectancyData[[#This Row],[Life expectancy]:[Schooling]])</f>
        <v>0</v>
      </c>
    </row>
    <row r="147" spans="1:23" x14ac:dyDescent="0.25">
      <c r="A147" t="s">
        <v>373</v>
      </c>
      <c r="B147">
        <v>2014</v>
      </c>
      <c r="C147" t="s">
        <v>363</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Data_Completeness(LifeExpectancyData[[#This Row],[Life expectancy]:[Schooling]])</f>
        <v>1</v>
      </c>
    </row>
    <row r="148" spans="1:23" x14ac:dyDescent="0.25">
      <c r="A148" t="s">
        <v>373</v>
      </c>
      <c r="B148">
        <v>2013</v>
      </c>
      <c r="C148" t="s">
        <v>363</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Data_Completeness(LifeExpectancyData[[#This Row],[Life expectancy]:[Schooling]])</f>
        <v>1</v>
      </c>
    </row>
    <row r="149" spans="1:23" x14ac:dyDescent="0.25">
      <c r="A149" t="s">
        <v>373</v>
      </c>
      <c r="B149">
        <v>2012</v>
      </c>
      <c r="C149" t="s">
        <v>363</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Data_Completeness(LifeExpectancyData[[#This Row],[Life expectancy]:[Schooling]])</f>
        <v>1</v>
      </c>
    </row>
    <row r="150" spans="1:23" x14ac:dyDescent="0.25">
      <c r="A150" t="s">
        <v>373</v>
      </c>
      <c r="B150">
        <v>2011</v>
      </c>
      <c r="C150" t="s">
        <v>363</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Data_Completeness(LifeExpectancyData[[#This Row],[Life expectancy]:[Schooling]])</f>
        <v>1</v>
      </c>
    </row>
    <row r="151" spans="1:23" x14ac:dyDescent="0.25">
      <c r="A151" t="s">
        <v>373</v>
      </c>
      <c r="B151">
        <v>2010</v>
      </c>
      <c r="C151" t="s">
        <v>363</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Data_Completeness(LifeExpectancyData[[#This Row],[Life expectancy]:[Schooling]])</f>
        <v>1</v>
      </c>
    </row>
    <row r="152" spans="1:23" x14ac:dyDescent="0.25">
      <c r="A152" t="s">
        <v>373</v>
      </c>
      <c r="B152">
        <v>2009</v>
      </c>
      <c r="C152" t="s">
        <v>363</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Data_Completeness(LifeExpectancyData[[#This Row],[Life expectancy]:[Schooling]])</f>
        <v>1</v>
      </c>
    </row>
    <row r="153" spans="1:23" x14ac:dyDescent="0.25">
      <c r="A153" t="s">
        <v>373</v>
      </c>
      <c r="B153">
        <v>2008</v>
      </c>
      <c r="C153" t="s">
        <v>363</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Data_Completeness(LifeExpectancyData[[#This Row],[Life expectancy]:[Schooling]])</f>
        <v>1</v>
      </c>
    </row>
    <row r="154" spans="1:23" x14ac:dyDescent="0.25">
      <c r="A154" t="s">
        <v>373</v>
      </c>
      <c r="B154">
        <v>2007</v>
      </c>
      <c r="C154" t="s">
        <v>363</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Data_Completeness(LifeExpectancyData[[#This Row],[Life expectancy]:[Schooling]])</f>
        <v>1</v>
      </c>
    </row>
    <row r="155" spans="1:23" x14ac:dyDescent="0.25">
      <c r="A155" t="s">
        <v>373</v>
      </c>
      <c r="B155">
        <v>2006</v>
      </c>
      <c r="C155" t="s">
        <v>363</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Data_Completeness(LifeExpectancyData[[#This Row],[Life expectancy]:[Schooling]])</f>
        <v>1</v>
      </c>
    </row>
    <row r="156" spans="1:23" x14ac:dyDescent="0.25">
      <c r="A156" t="s">
        <v>373</v>
      </c>
      <c r="B156">
        <v>2005</v>
      </c>
      <c r="C156" t="s">
        <v>363</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Data_Completeness(LifeExpectancyData[[#This Row],[Life expectancy]:[Schooling]])</f>
        <v>1</v>
      </c>
    </row>
    <row r="157" spans="1:23" x14ac:dyDescent="0.25">
      <c r="A157" t="s">
        <v>373</v>
      </c>
      <c r="B157">
        <v>2004</v>
      </c>
      <c r="C157" t="s">
        <v>363</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Data_Completeness(LifeExpectancyData[[#This Row],[Life expectancy]:[Schooling]])</f>
        <v>1</v>
      </c>
    </row>
    <row r="158" spans="1:23" x14ac:dyDescent="0.25">
      <c r="A158" t="s">
        <v>373</v>
      </c>
      <c r="B158">
        <v>2003</v>
      </c>
      <c r="C158" t="s">
        <v>363</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Data_Completeness(LifeExpectancyData[[#This Row],[Life expectancy]:[Schooling]])</f>
        <v>1</v>
      </c>
    </row>
    <row r="159" spans="1:23" x14ac:dyDescent="0.25">
      <c r="A159" t="s">
        <v>373</v>
      </c>
      <c r="B159">
        <v>2002</v>
      </c>
      <c r="C159" t="s">
        <v>363</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Data_Completeness(LifeExpectancyData[[#This Row],[Life expectancy]:[Schooling]])</f>
        <v>1</v>
      </c>
    </row>
    <row r="160" spans="1:23" x14ac:dyDescent="0.25">
      <c r="A160" t="s">
        <v>373</v>
      </c>
      <c r="B160">
        <v>2001</v>
      </c>
      <c r="C160" t="s">
        <v>363</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Data_Completeness(LifeExpectancyData[[#This Row],[Life expectancy]:[Schooling]])</f>
        <v>0</v>
      </c>
    </row>
    <row r="161" spans="1:23" x14ac:dyDescent="0.25">
      <c r="A161" t="s">
        <v>373</v>
      </c>
      <c r="B161">
        <v>2000</v>
      </c>
      <c r="C161" t="s">
        <v>363</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Data_Completeness(LifeExpectancyData[[#This Row],[Life expectancy]:[Schooling]])</f>
        <v>0</v>
      </c>
    </row>
    <row r="162" spans="1:23" x14ac:dyDescent="0.25">
      <c r="A162" t="s">
        <v>374</v>
      </c>
      <c r="B162">
        <v>2015</v>
      </c>
      <c r="C162" t="s">
        <v>363</v>
      </c>
      <c r="D162">
        <v>76.099999999999994</v>
      </c>
      <c r="E162">
        <v>147</v>
      </c>
      <c r="F162">
        <v>0</v>
      </c>
      <c r="H162">
        <v>0</v>
      </c>
      <c r="I162">
        <v>95</v>
      </c>
      <c r="J162">
        <v>0</v>
      </c>
      <c r="K162">
        <v>64.5</v>
      </c>
      <c r="L162">
        <v>0</v>
      </c>
      <c r="M162">
        <v>95</v>
      </c>
      <c r="O162">
        <v>95</v>
      </c>
      <c r="P162">
        <v>0.1</v>
      </c>
      <c r="S162">
        <v>2.5</v>
      </c>
      <c r="T162">
        <v>2.5</v>
      </c>
      <c r="U162">
        <v>0.79</v>
      </c>
      <c r="V162">
        <v>12.6</v>
      </c>
      <c r="W162" t="b">
        <f>Data_Completeness(LifeExpectancyData[[#This Row],[Life expectancy]:[Schooling]])</f>
        <v>0</v>
      </c>
    </row>
    <row r="163" spans="1:23" x14ac:dyDescent="0.25">
      <c r="A163" t="s">
        <v>374</v>
      </c>
      <c r="B163">
        <v>2014</v>
      </c>
      <c r="C163" t="s">
        <v>363</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Data_Completeness(LifeExpectancyData[[#This Row],[Life expectancy]:[Schooling]])</f>
        <v>0</v>
      </c>
    </row>
    <row r="164" spans="1:23" x14ac:dyDescent="0.25">
      <c r="A164" t="s">
        <v>374</v>
      </c>
      <c r="B164">
        <v>2013</v>
      </c>
      <c r="C164" t="s">
        <v>363</v>
      </c>
      <c r="D164">
        <v>74.8</v>
      </c>
      <c r="E164">
        <v>172</v>
      </c>
      <c r="F164">
        <v>0</v>
      </c>
      <c r="G164">
        <v>9.42</v>
      </c>
      <c r="H164">
        <v>0</v>
      </c>
      <c r="I164">
        <v>97</v>
      </c>
      <c r="J164">
        <v>0</v>
      </c>
      <c r="K164">
        <v>63.2</v>
      </c>
      <c r="L164">
        <v>0</v>
      </c>
      <c r="M164">
        <v>97</v>
      </c>
      <c r="N164">
        <v>7.5</v>
      </c>
      <c r="O164">
        <v>97</v>
      </c>
      <c r="P164">
        <v>0.1</v>
      </c>
      <c r="S164">
        <v>2.5</v>
      </c>
      <c r="T164">
        <v>2.5</v>
      </c>
      <c r="U164">
        <v>0.79</v>
      </c>
      <c r="V164">
        <v>12.6</v>
      </c>
      <c r="W164" t="b">
        <f>Data_Completeness(LifeExpectancyData[[#This Row],[Life expectancy]:[Schooling]])</f>
        <v>0</v>
      </c>
    </row>
    <row r="165" spans="1:23" x14ac:dyDescent="0.25">
      <c r="A165" t="s">
        <v>374</v>
      </c>
      <c r="B165">
        <v>2012</v>
      </c>
      <c r="C165" t="s">
        <v>363</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Data_Completeness(LifeExpectancyData[[#This Row],[Life expectancy]:[Schooling]])</f>
        <v>0</v>
      </c>
    </row>
    <row r="166" spans="1:23" x14ac:dyDescent="0.25">
      <c r="A166" t="s">
        <v>374</v>
      </c>
      <c r="B166">
        <v>2011</v>
      </c>
      <c r="C166" t="s">
        <v>363</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Data_Completeness(LifeExpectancyData[[#This Row],[Life expectancy]:[Schooling]])</f>
        <v>0</v>
      </c>
    </row>
    <row r="167" spans="1:23" x14ac:dyDescent="0.25">
      <c r="A167" t="s">
        <v>374</v>
      </c>
      <c r="B167">
        <v>2010</v>
      </c>
      <c r="C167" t="s">
        <v>363</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Data_Completeness(LifeExpectancyData[[#This Row],[Life expectancy]:[Schooling]])</f>
        <v>0</v>
      </c>
    </row>
    <row r="168" spans="1:23" x14ac:dyDescent="0.25">
      <c r="A168" t="s">
        <v>374</v>
      </c>
      <c r="B168">
        <v>2009</v>
      </c>
      <c r="C168" t="s">
        <v>363</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Data_Completeness(LifeExpectancyData[[#This Row],[Life expectancy]:[Schooling]])</f>
        <v>0</v>
      </c>
    </row>
    <row r="169" spans="1:23" x14ac:dyDescent="0.25">
      <c r="A169" t="s">
        <v>374</v>
      </c>
      <c r="B169">
        <v>2008</v>
      </c>
      <c r="C169" t="s">
        <v>363</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Data_Completeness(LifeExpectancyData[[#This Row],[Life expectancy]:[Schooling]])</f>
        <v>0</v>
      </c>
    </row>
    <row r="170" spans="1:23" x14ac:dyDescent="0.25">
      <c r="A170" t="s">
        <v>374</v>
      </c>
      <c r="B170">
        <v>2007</v>
      </c>
      <c r="C170" t="s">
        <v>363</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Data_Completeness(LifeExpectancyData[[#This Row],[Life expectancy]:[Schooling]])</f>
        <v>0</v>
      </c>
    </row>
    <row r="171" spans="1:23" x14ac:dyDescent="0.25">
      <c r="A171" t="s">
        <v>374</v>
      </c>
      <c r="B171">
        <v>2006</v>
      </c>
      <c r="C171" t="s">
        <v>363</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Data_Completeness(LifeExpectancyData[[#This Row],[Life expectancy]:[Schooling]])</f>
        <v>0</v>
      </c>
    </row>
    <row r="172" spans="1:23" x14ac:dyDescent="0.25">
      <c r="A172" t="s">
        <v>374</v>
      </c>
      <c r="B172">
        <v>2005</v>
      </c>
      <c r="C172" t="s">
        <v>363</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Data_Completeness(LifeExpectancyData[[#This Row],[Life expectancy]:[Schooling]])</f>
        <v>0</v>
      </c>
    </row>
    <row r="173" spans="1:23" x14ac:dyDescent="0.25">
      <c r="A173" t="s">
        <v>374</v>
      </c>
      <c r="B173">
        <v>2004</v>
      </c>
      <c r="C173" t="s">
        <v>363</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Data_Completeness(LifeExpectancyData[[#This Row],[Life expectancy]:[Schooling]])</f>
        <v>0</v>
      </c>
    </row>
    <row r="174" spans="1:23" x14ac:dyDescent="0.25">
      <c r="A174" t="s">
        <v>374</v>
      </c>
      <c r="B174">
        <v>2003</v>
      </c>
      <c r="C174" t="s">
        <v>363</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Data_Completeness(LifeExpectancyData[[#This Row],[Life expectancy]:[Schooling]])</f>
        <v>0</v>
      </c>
    </row>
    <row r="175" spans="1:23" x14ac:dyDescent="0.25">
      <c r="A175" t="s">
        <v>374</v>
      </c>
      <c r="B175">
        <v>2002</v>
      </c>
      <c r="C175" t="s">
        <v>363</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Data_Completeness(LifeExpectancyData[[#This Row],[Life expectancy]:[Schooling]])</f>
        <v>0</v>
      </c>
    </row>
    <row r="176" spans="1:23" x14ac:dyDescent="0.25">
      <c r="A176" t="s">
        <v>374</v>
      </c>
      <c r="B176">
        <v>2001</v>
      </c>
      <c r="C176" t="s">
        <v>363</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Data_Completeness(LifeExpectancyData[[#This Row],[Life expectancy]:[Schooling]])</f>
        <v>0</v>
      </c>
    </row>
    <row r="177" spans="1:23" x14ac:dyDescent="0.25">
      <c r="A177" t="s">
        <v>374</v>
      </c>
      <c r="B177">
        <v>2000</v>
      </c>
      <c r="C177" t="s">
        <v>363</v>
      </c>
      <c r="D177">
        <v>72.599999999999994</v>
      </c>
      <c r="E177">
        <v>192</v>
      </c>
      <c r="F177">
        <v>0</v>
      </c>
      <c r="G177">
        <v>12.15</v>
      </c>
      <c r="H177">
        <v>0</v>
      </c>
      <c r="J177">
        <v>0</v>
      </c>
      <c r="K177">
        <v>54.4</v>
      </c>
      <c r="L177">
        <v>0</v>
      </c>
      <c r="M177">
        <v>91</v>
      </c>
      <c r="N177">
        <v>5.21</v>
      </c>
      <c r="O177">
        <v>99</v>
      </c>
      <c r="P177">
        <v>0.1</v>
      </c>
      <c r="S177">
        <v>2.7</v>
      </c>
      <c r="T177">
        <v>2.6</v>
      </c>
      <c r="U177">
        <v>0</v>
      </c>
      <c r="V177">
        <v>12</v>
      </c>
      <c r="W177" t="b">
        <f>Data_Completeness(LifeExpectancyData[[#This Row],[Life expectancy]:[Schooling]])</f>
        <v>0</v>
      </c>
    </row>
    <row r="178" spans="1:23" x14ac:dyDescent="0.25">
      <c r="A178" t="s">
        <v>375</v>
      </c>
      <c r="B178">
        <v>2015</v>
      </c>
      <c r="C178" t="s">
        <v>363</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Data_Completeness(LifeExpectancyData[[#This Row],[Life expectancy]:[Schooling]])</f>
        <v>0</v>
      </c>
    </row>
    <row r="179" spans="1:23" x14ac:dyDescent="0.25">
      <c r="A179" t="s">
        <v>375</v>
      </c>
      <c r="B179">
        <v>2014</v>
      </c>
      <c r="C179" t="s">
        <v>363</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Data_Completeness(LifeExpectancyData[[#This Row],[Life expectancy]:[Schooling]])</f>
        <v>0</v>
      </c>
    </row>
    <row r="180" spans="1:23" x14ac:dyDescent="0.25">
      <c r="A180" t="s">
        <v>375</v>
      </c>
      <c r="B180">
        <v>2013</v>
      </c>
      <c r="C180" t="s">
        <v>363</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Data_Completeness(LifeExpectancyData[[#This Row],[Life expectancy]:[Schooling]])</f>
        <v>0</v>
      </c>
    </row>
    <row r="181" spans="1:23" x14ac:dyDescent="0.25">
      <c r="A181" t="s">
        <v>375</v>
      </c>
      <c r="B181">
        <v>2012</v>
      </c>
      <c r="C181" t="s">
        <v>363</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Data_Completeness(LifeExpectancyData[[#This Row],[Life expectancy]:[Schooling]])</f>
        <v>0</v>
      </c>
    </row>
    <row r="182" spans="1:23" x14ac:dyDescent="0.25">
      <c r="A182" t="s">
        <v>375</v>
      </c>
      <c r="B182">
        <v>2011</v>
      </c>
      <c r="C182" t="s">
        <v>363</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Data_Completeness(LifeExpectancyData[[#This Row],[Life expectancy]:[Schooling]])</f>
        <v>0</v>
      </c>
    </row>
    <row r="183" spans="1:23" x14ac:dyDescent="0.25">
      <c r="A183" t="s">
        <v>375</v>
      </c>
      <c r="B183">
        <v>2010</v>
      </c>
      <c r="C183" t="s">
        <v>363</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Data_Completeness(LifeExpectancyData[[#This Row],[Life expectancy]:[Schooling]])</f>
        <v>0</v>
      </c>
    </row>
    <row r="184" spans="1:23" x14ac:dyDescent="0.25">
      <c r="A184" t="s">
        <v>375</v>
      </c>
      <c r="B184">
        <v>2009</v>
      </c>
      <c r="C184" t="s">
        <v>363</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Data_Completeness(LifeExpectancyData[[#This Row],[Life expectancy]:[Schooling]])</f>
        <v>0</v>
      </c>
    </row>
    <row r="185" spans="1:23" x14ac:dyDescent="0.25">
      <c r="A185" t="s">
        <v>375</v>
      </c>
      <c r="B185">
        <v>2008</v>
      </c>
      <c r="C185" t="s">
        <v>363</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Data_Completeness(LifeExpectancyData[[#This Row],[Life expectancy]:[Schooling]])</f>
        <v>0</v>
      </c>
    </row>
    <row r="186" spans="1:23" x14ac:dyDescent="0.25">
      <c r="A186" t="s">
        <v>375</v>
      </c>
      <c r="B186">
        <v>2007</v>
      </c>
      <c r="C186" t="s">
        <v>363</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Data_Completeness(LifeExpectancyData[[#This Row],[Life expectancy]:[Schooling]])</f>
        <v>0</v>
      </c>
    </row>
    <row r="187" spans="1:23" x14ac:dyDescent="0.25">
      <c r="A187" t="s">
        <v>375</v>
      </c>
      <c r="B187">
        <v>2006</v>
      </c>
      <c r="C187" t="s">
        <v>363</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Data_Completeness(LifeExpectancyData[[#This Row],[Life expectancy]:[Schooling]])</f>
        <v>0</v>
      </c>
    </row>
    <row r="188" spans="1:23" x14ac:dyDescent="0.25">
      <c r="A188" t="s">
        <v>375</v>
      </c>
      <c r="B188">
        <v>2005</v>
      </c>
      <c r="C188" t="s">
        <v>363</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Data_Completeness(LifeExpectancyData[[#This Row],[Life expectancy]:[Schooling]])</f>
        <v>0</v>
      </c>
    </row>
    <row r="189" spans="1:23" x14ac:dyDescent="0.25">
      <c r="A189" t="s">
        <v>375</v>
      </c>
      <c r="B189">
        <v>2004</v>
      </c>
      <c r="C189" t="s">
        <v>363</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Data_Completeness(LifeExpectancyData[[#This Row],[Life expectancy]:[Schooling]])</f>
        <v>0</v>
      </c>
    </row>
    <row r="190" spans="1:23" x14ac:dyDescent="0.25">
      <c r="A190" t="s">
        <v>375</v>
      </c>
      <c r="B190">
        <v>2003</v>
      </c>
      <c r="C190" t="s">
        <v>363</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Data_Completeness(LifeExpectancyData[[#This Row],[Life expectancy]:[Schooling]])</f>
        <v>0</v>
      </c>
    </row>
    <row r="191" spans="1:23" x14ac:dyDescent="0.25">
      <c r="A191" t="s">
        <v>375</v>
      </c>
      <c r="B191">
        <v>2002</v>
      </c>
      <c r="C191" t="s">
        <v>363</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Data_Completeness(LifeExpectancyData[[#This Row],[Life expectancy]:[Schooling]])</f>
        <v>0</v>
      </c>
    </row>
    <row r="192" spans="1:23" x14ac:dyDescent="0.25">
      <c r="A192" t="s">
        <v>375</v>
      </c>
      <c r="B192">
        <v>2001</v>
      </c>
      <c r="C192" t="s">
        <v>363</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Data_Completeness(LifeExpectancyData[[#This Row],[Life expectancy]:[Schooling]])</f>
        <v>0</v>
      </c>
    </row>
    <row r="193" spans="1:23" x14ac:dyDescent="0.25">
      <c r="A193" t="s">
        <v>375</v>
      </c>
      <c r="B193">
        <v>2000</v>
      </c>
      <c r="C193" t="s">
        <v>363</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Data_Completeness(LifeExpectancyData[[#This Row],[Life expectancy]:[Schooling]])</f>
        <v>0</v>
      </c>
    </row>
    <row r="194" spans="1:23" x14ac:dyDescent="0.25">
      <c r="A194" t="s">
        <v>376</v>
      </c>
      <c r="B194">
        <v>2015</v>
      </c>
      <c r="C194" t="s">
        <v>363</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Data_Completeness(LifeExpectancyData[[#This Row],[Life expectancy]:[Schooling]])</f>
        <v>0</v>
      </c>
    </row>
    <row r="195" spans="1:23" x14ac:dyDescent="0.25">
      <c r="A195" t="s">
        <v>376</v>
      </c>
      <c r="B195">
        <v>2014</v>
      </c>
      <c r="C195" t="s">
        <v>363</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Data_Completeness(LifeExpectancyData[[#This Row],[Life expectancy]:[Schooling]])</f>
        <v>1</v>
      </c>
    </row>
    <row r="196" spans="1:23" x14ac:dyDescent="0.25">
      <c r="A196" t="s">
        <v>376</v>
      </c>
      <c r="B196">
        <v>2013</v>
      </c>
      <c r="C196" t="s">
        <v>363</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Data_Completeness(LifeExpectancyData[[#This Row],[Life expectancy]:[Schooling]])</f>
        <v>1</v>
      </c>
    </row>
    <row r="197" spans="1:23" x14ac:dyDescent="0.25">
      <c r="A197" t="s">
        <v>376</v>
      </c>
      <c r="B197">
        <v>2012</v>
      </c>
      <c r="C197" t="s">
        <v>363</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Data_Completeness(LifeExpectancyData[[#This Row],[Life expectancy]:[Schooling]])</f>
        <v>1</v>
      </c>
    </row>
    <row r="198" spans="1:23" x14ac:dyDescent="0.25">
      <c r="A198" t="s">
        <v>376</v>
      </c>
      <c r="B198">
        <v>2011</v>
      </c>
      <c r="C198" t="s">
        <v>363</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Data_Completeness(LifeExpectancyData[[#This Row],[Life expectancy]:[Schooling]])</f>
        <v>1</v>
      </c>
    </row>
    <row r="199" spans="1:23" x14ac:dyDescent="0.25">
      <c r="A199" t="s">
        <v>376</v>
      </c>
      <c r="B199">
        <v>2010</v>
      </c>
      <c r="C199" t="s">
        <v>363</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Data_Completeness(LifeExpectancyData[[#This Row],[Life expectancy]:[Schooling]])</f>
        <v>1</v>
      </c>
    </row>
    <row r="200" spans="1:23" x14ac:dyDescent="0.25">
      <c r="A200" t="s">
        <v>376</v>
      </c>
      <c r="B200">
        <v>2009</v>
      </c>
      <c r="C200" t="s">
        <v>363</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Data_Completeness(LifeExpectancyData[[#This Row],[Life expectancy]:[Schooling]])</f>
        <v>1</v>
      </c>
    </row>
    <row r="201" spans="1:23" x14ac:dyDescent="0.25">
      <c r="A201" t="s">
        <v>376</v>
      </c>
      <c r="B201">
        <v>2008</v>
      </c>
      <c r="C201" t="s">
        <v>363</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Data_Completeness(LifeExpectancyData[[#This Row],[Life expectancy]:[Schooling]])</f>
        <v>1</v>
      </c>
    </row>
    <row r="202" spans="1:23" x14ac:dyDescent="0.25">
      <c r="A202" t="s">
        <v>376</v>
      </c>
      <c r="B202">
        <v>2007</v>
      </c>
      <c r="C202" t="s">
        <v>363</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Data_Completeness(LifeExpectancyData[[#This Row],[Life expectancy]:[Schooling]])</f>
        <v>1</v>
      </c>
    </row>
    <row r="203" spans="1:23" x14ac:dyDescent="0.25">
      <c r="A203" t="s">
        <v>376</v>
      </c>
      <c r="B203">
        <v>2006</v>
      </c>
      <c r="C203" t="s">
        <v>363</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Data_Completeness(LifeExpectancyData[[#This Row],[Life expectancy]:[Schooling]])</f>
        <v>1</v>
      </c>
    </row>
    <row r="204" spans="1:23" x14ac:dyDescent="0.25">
      <c r="A204" t="s">
        <v>376</v>
      </c>
      <c r="B204">
        <v>2005</v>
      </c>
      <c r="C204" t="s">
        <v>363</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Data_Completeness(LifeExpectancyData[[#This Row],[Life expectancy]:[Schooling]])</f>
        <v>1</v>
      </c>
    </row>
    <row r="205" spans="1:23" x14ac:dyDescent="0.25">
      <c r="A205" t="s">
        <v>376</v>
      </c>
      <c r="B205">
        <v>2004</v>
      </c>
      <c r="C205" t="s">
        <v>363</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Data_Completeness(LifeExpectancyData[[#This Row],[Life expectancy]:[Schooling]])</f>
        <v>1</v>
      </c>
    </row>
    <row r="206" spans="1:23" x14ac:dyDescent="0.25">
      <c r="A206" t="s">
        <v>376</v>
      </c>
      <c r="B206">
        <v>2003</v>
      </c>
      <c r="C206" t="s">
        <v>363</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Data_Completeness(LifeExpectancyData[[#This Row],[Life expectancy]:[Schooling]])</f>
        <v>1</v>
      </c>
    </row>
    <row r="207" spans="1:23" x14ac:dyDescent="0.25">
      <c r="A207" t="s">
        <v>376</v>
      </c>
      <c r="B207">
        <v>2002</v>
      </c>
      <c r="C207" t="s">
        <v>363</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Data_Completeness(LifeExpectancyData[[#This Row],[Life expectancy]:[Schooling]])</f>
        <v>0</v>
      </c>
    </row>
    <row r="208" spans="1:23" x14ac:dyDescent="0.25">
      <c r="A208" t="s">
        <v>376</v>
      </c>
      <c r="B208">
        <v>2001</v>
      </c>
      <c r="C208" t="s">
        <v>363</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Data_Completeness(LifeExpectancyData[[#This Row],[Life expectancy]:[Schooling]])</f>
        <v>0</v>
      </c>
    </row>
    <row r="209" spans="1:23" x14ac:dyDescent="0.25">
      <c r="A209" t="s">
        <v>376</v>
      </c>
      <c r="B209">
        <v>2000</v>
      </c>
      <c r="C209" t="s">
        <v>363</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Data_Completeness(LifeExpectancyData[[#This Row],[Life expectancy]:[Schooling]])</f>
        <v>0</v>
      </c>
    </row>
    <row r="210" spans="1:23" x14ac:dyDescent="0.25">
      <c r="A210" t="s">
        <v>377</v>
      </c>
      <c r="B210">
        <v>2015</v>
      </c>
      <c r="C210" t="s">
        <v>363</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Data_Completeness(LifeExpectancyData[[#This Row],[Life expectancy]:[Schooling]])</f>
        <v>0</v>
      </c>
    </row>
    <row r="211" spans="1:23" x14ac:dyDescent="0.25">
      <c r="A211" t="s">
        <v>377</v>
      </c>
      <c r="B211">
        <v>2014</v>
      </c>
      <c r="C211" t="s">
        <v>363</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Data_Completeness(LifeExpectancyData[[#This Row],[Life expectancy]:[Schooling]])</f>
        <v>0</v>
      </c>
    </row>
    <row r="212" spans="1:23" x14ac:dyDescent="0.25">
      <c r="A212" t="s">
        <v>377</v>
      </c>
      <c r="B212">
        <v>2013</v>
      </c>
      <c r="C212" t="s">
        <v>363</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Data_Completeness(LifeExpectancyData[[#This Row],[Life expectancy]:[Schooling]])</f>
        <v>0</v>
      </c>
    </row>
    <row r="213" spans="1:23" x14ac:dyDescent="0.25">
      <c r="A213" t="s">
        <v>377</v>
      </c>
      <c r="B213">
        <v>2012</v>
      </c>
      <c r="C213" t="s">
        <v>363</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Data_Completeness(LifeExpectancyData[[#This Row],[Life expectancy]:[Schooling]])</f>
        <v>0</v>
      </c>
    </row>
    <row r="214" spans="1:23" x14ac:dyDescent="0.25">
      <c r="A214" t="s">
        <v>377</v>
      </c>
      <c r="B214">
        <v>2011</v>
      </c>
      <c r="C214" t="s">
        <v>363</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Data_Completeness(LifeExpectancyData[[#This Row],[Life expectancy]:[Schooling]])</f>
        <v>0</v>
      </c>
    </row>
    <row r="215" spans="1:23" x14ac:dyDescent="0.25">
      <c r="A215" t="s">
        <v>377</v>
      </c>
      <c r="B215">
        <v>2010</v>
      </c>
      <c r="C215" t="s">
        <v>363</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Data_Completeness(LifeExpectancyData[[#This Row],[Life expectancy]:[Schooling]])</f>
        <v>0</v>
      </c>
    </row>
    <row r="216" spans="1:23" x14ac:dyDescent="0.25">
      <c r="A216" t="s">
        <v>377</v>
      </c>
      <c r="B216">
        <v>2009</v>
      </c>
      <c r="C216" t="s">
        <v>363</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Data_Completeness(LifeExpectancyData[[#This Row],[Life expectancy]:[Schooling]])</f>
        <v>0</v>
      </c>
    </row>
    <row r="217" spans="1:23" x14ac:dyDescent="0.25">
      <c r="A217" t="s">
        <v>377</v>
      </c>
      <c r="B217">
        <v>2008</v>
      </c>
      <c r="C217" t="s">
        <v>363</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Data_Completeness(LifeExpectancyData[[#This Row],[Life expectancy]:[Schooling]])</f>
        <v>0</v>
      </c>
    </row>
    <row r="218" spans="1:23" x14ac:dyDescent="0.25">
      <c r="A218" t="s">
        <v>377</v>
      </c>
      <c r="B218">
        <v>2007</v>
      </c>
      <c r="C218" t="s">
        <v>363</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Data_Completeness(LifeExpectancyData[[#This Row],[Life expectancy]:[Schooling]])</f>
        <v>0</v>
      </c>
    </row>
    <row r="219" spans="1:23" x14ac:dyDescent="0.25">
      <c r="A219" t="s">
        <v>377</v>
      </c>
      <c r="B219">
        <v>2006</v>
      </c>
      <c r="C219" t="s">
        <v>363</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Data_Completeness(LifeExpectancyData[[#This Row],[Life expectancy]:[Schooling]])</f>
        <v>0</v>
      </c>
    </row>
    <row r="220" spans="1:23" x14ac:dyDescent="0.25">
      <c r="A220" t="s">
        <v>377</v>
      </c>
      <c r="B220">
        <v>2005</v>
      </c>
      <c r="C220" t="s">
        <v>363</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Data_Completeness(LifeExpectancyData[[#This Row],[Life expectancy]:[Schooling]])</f>
        <v>0</v>
      </c>
    </row>
    <row r="221" spans="1:23" x14ac:dyDescent="0.25">
      <c r="A221" t="s">
        <v>377</v>
      </c>
      <c r="B221">
        <v>2004</v>
      </c>
      <c r="C221" t="s">
        <v>363</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Data_Completeness(LifeExpectancyData[[#This Row],[Life expectancy]:[Schooling]])</f>
        <v>0</v>
      </c>
    </row>
    <row r="222" spans="1:23" x14ac:dyDescent="0.25">
      <c r="A222" t="s">
        <v>377</v>
      </c>
      <c r="B222">
        <v>2003</v>
      </c>
      <c r="C222" t="s">
        <v>363</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Data_Completeness(LifeExpectancyData[[#This Row],[Life expectancy]:[Schooling]])</f>
        <v>0</v>
      </c>
    </row>
    <row r="223" spans="1:23" x14ac:dyDescent="0.25">
      <c r="A223" t="s">
        <v>377</v>
      </c>
      <c r="B223">
        <v>2002</v>
      </c>
      <c r="C223" t="s">
        <v>363</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Data_Completeness(LifeExpectancyData[[#This Row],[Life expectancy]:[Schooling]])</f>
        <v>0</v>
      </c>
    </row>
    <row r="224" spans="1:23" x14ac:dyDescent="0.25">
      <c r="A224" t="s">
        <v>377</v>
      </c>
      <c r="B224">
        <v>2001</v>
      </c>
      <c r="C224" t="s">
        <v>363</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Data_Completeness(LifeExpectancyData[[#This Row],[Life expectancy]:[Schooling]])</f>
        <v>0</v>
      </c>
    </row>
    <row r="225" spans="1:23" x14ac:dyDescent="0.25">
      <c r="A225" t="s">
        <v>377</v>
      </c>
      <c r="B225">
        <v>2000</v>
      </c>
      <c r="C225" t="s">
        <v>363</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Data_Completeness(LifeExpectancyData[[#This Row],[Life expectancy]:[Schooling]])</f>
        <v>0</v>
      </c>
    </row>
    <row r="226" spans="1:23" x14ac:dyDescent="0.25">
      <c r="A226" t="s">
        <v>378</v>
      </c>
      <c r="B226">
        <v>2015</v>
      </c>
      <c r="C226" t="s">
        <v>363</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Data_Completeness(LifeExpectancyData[[#This Row],[Life expectancy]:[Schooling]])</f>
        <v>0</v>
      </c>
    </row>
    <row r="227" spans="1:23" x14ac:dyDescent="0.25">
      <c r="A227" t="s">
        <v>378</v>
      </c>
      <c r="B227">
        <v>2014</v>
      </c>
      <c r="C227" t="s">
        <v>363</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Data_Completeness(LifeExpectancyData[[#This Row],[Life expectancy]:[Schooling]])</f>
        <v>1</v>
      </c>
    </row>
    <row r="228" spans="1:23" x14ac:dyDescent="0.25">
      <c r="A228" t="s">
        <v>378</v>
      </c>
      <c r="B228">
        <v>2013</v>
      </c>
      <c r="C228" t="s">
        <v>363</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Data_Completeness(LifeExpectancyData[[#This Row],[Life expectancy]:[Schooling]])</f>
        <v>1</v>
      </c>
    </row>
    <row r="229" spans="1:23" x14ac:dyDescent="0.25">
      <c r="A229" t="s">
        <v>378</v>
      </c>
      <c r="B229">
        <v>2012</v>
      </c>
      <c r="C229" t="s">
        <v>363</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Data_Completeness(LifeExpectancyData[[#This Row],[Life expectancy]:[Schooling]])</f>
        <v>1</v>
      </c>
    </row>
    <row r="230" spans="1:23" x14ac:dyDescent="0.25">
      <c r="A230" t="s">
        <v>378</v>
      </c>
      <c r="B230">
        <v>2011</v>
      </c>
      <c r="C230" t="s">
        <v>363</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Data_Completeness(LifeExpectancyData[[#This Row],[Life expectancy]:[Schooling]])</f>
        <v>1</v>
      </c>
    </row>
    <row r="231" spans="1:23" x14ac:dyDescent="0.25">
      <c r="A231" t="s">
        <v>378</v>
      </c>
      <c r="B231">
        <v>2010</v>
      </c>
      <c r="C231" t="s">
        <v>363</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Data_Completeness(LifeExpectancyData[[#This Row],[Life expectancy]:[Schooling]])</f>
        <v>1</v>
      </c>
    </row>
    <row r="232" spans="1:23" x14ac:dyDescent="0.25">
      <c r="A232" t="s">
        <v>378</v>
      </c>
      <c r="B232">
        <v>2009</v>
      </c>
      <c r="C232" t="s">
        <v>363</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Data_Completeness(LifeExpectancyData[[#This Row],[Life expectancy]:[Schooling]])</f>
        <v>1</v>
      </c>
    </row>
    <row r="233" spans="1:23" x14ac:dyDescent="0.25">
      <c r="A233" t="s">
        <v>378</v>
      </c>
      <c r="B233">
        <v>2008</v>
      </c>
      <c r="C233" t="s">
        <v>363</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Data_Completeness(LifeExpectancyData[[#This Row],[Life expectancy]:[Schooling]])</f>
        <v>1</v>
      </c>
    </row>
    <row r="234" spans="1:23" x14ac:dyDescent="0.25">
      <c r="A234" t="s">
        <v>378</v>
      </c>
      <c r="B234">
        <v>2007</v>
      </c>
      <c r="C234" t="s">
        <v>363</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Data_Completeness(LifeExpectancyData[[#This Row],[Life expectancy]:[Schooling]])</f>
        <v>1</v>
      </c>
    </row>
    <row r="235" spans="1:23" x14ac:dyDescent="0.25">
      <c r="A235" t="s">
        <v>378</v>
      </c>
      <c r="B235">
        <v>2006</v>
      </c>
      <c r="C235" t="s">
        <v>363</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Data_Completeness(LifeExpectancyData[[#This Row],[Life expectancy]:[Schooling]])</f>
        <v>1</v>
      </c>
    </row>
    <row r="236" spans="1:23" x14ac:dyDescent="0.25">
      <c r="A236" t="s">
        <v>378</v>
      </c>
      <c r="B236">
        <v>2005</v>
      </c>
      <c r="C236" t="s">
        <v>363</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Data_Completeness(LifeExpectancyData[[#This Row],[Life expectancy]:[Schooling]])</f>
        <v>1</v>
      </c>
    </row>
    <row r="237" spans="1:23" x14ac:dyDescent="0.25">
      <c r="A237" t="s">
        <v>378</v>
      </c>
      <c r="B237">
        <v>2004</v>
      </c>
      <c r="C237" t="s">
        <v>363</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Data_Completeness(LifeExpectancyData[[#This Row],[Life expectancy]:[Schooling]])</f>
        <v>1</v>
      </c>
    </row>
    <row r="238" spans="1:23" x14ac:dyDescent="0.25">
      <c r="A238" t="s">
        <v>378</v>
      </c>
      <c r="B238">
        <v>2003</v>
      </c>
      <c r="C238" t="s">
        <v>363</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Data_Completeness(LifeExpectancyData[[#This Row],[Life expectancy]:[Schooling]])</f>
        <v>1</v>
      </c>
    </row>
    <row r="239" spans="1:23" x14ac:dyDescent="0.25">
      <c r="A239" t="s">
        <v>378</v>
      </c>
      <c r="B239">
        <v>2002</v>
      </c>
      <c r="C239" t="s">
        <v>363</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Data_Completeness(LifeExpectancyData[[#This Row],[Life expectancy]:[Schooling]])</f>
        <v>1</v>
      </c>
    </row>
    <row r="240" spans="1:23" x14ac:dyDescent="0.25">
      <c r="A240" t="s">
        <v>378</v>
      </c>
      <c r="B240">
        <v>2001</v>
      </c>
      <c r="C240" t="s">
        <v>363</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Data_Completeness(LifeExpectancyData[[#This Row],[Life expectancy]:[Schooling]])</f>
        <v>1</v>
      </c>
    </row>
    <row r="241" spans="1:23" x14ac:dyDescent="0.25">
      <c r="A241" t="s">
        <v>378</v>
      </c>
      <c r="B241">
        <v>2000</v>
      </c>
      <c r="C241" t="s">
        <v>363</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Data_Completeness(LifeExpectancyData[[#This Row],[Life expectancy]:[Schooling]])</f>
        <v>1</v>
      </c>
    </row>
    <row r="242" spans="1:23" x14ac:dyDescent="0.25">
      <c r="A242" t="s">
        <v>379</v>
      </c>
      <c r="B242">
        <v>2015</v>
      </c>
      <c r="C242" t="s">
        <v>371</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Data_Completeness(LifeExpectancyData[[#This Row],[Life expectancy]:[Schooling]])</f>
        <v>0</v>
      </c>
    </row>
    <row r="243" spans="1:23" x14ac:dyDescent="0.25">
      <c r="A243" t="s">
        <v>379</v>
      </c>
      <c r="B243">
        <v>2014</v>
      </c>
      <c r="C243" t="s">
        <v>371</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Data_Completeness(LifeExpectancyData[[#This Row],[Life expectancy]:[Schooling]])</f>
        <v>1</v>
      </c>
    </row>
    <row r="244" spans="1:23" x14ac:dyDescent="0.25">
      <c r="A244" t="s">
        <v>379</v>
      </c>
      <c r="B244">
        <v>2013</v>
      </c>
      <c r="C244" t="s">
        <v>371</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Data_Completeness(LifeExpectancyData[[#This Row],[Life expectancy]:[Schooling]])</f>
        <v>1</v>
      </c>
    </row>
    <row r="245" spans="1:23" x14ac:dyDescent="0.25">
      <c r="A245" t="s">
        <v>379</v>
      </c>
      <c r="B245">
        <v>2012</v>
      </c>
      <c r="C245" t="s">
        <v>371</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Data_Completeness(LifeExpectancyData[[#This Row],[Life expectancy]:[Schooling]])</f>
        <v>1</v>
      </c>
    </row>
    <row r="246" spans="1:23" x14ac:dyDescent="0.25">
      <c r="A246" t="s">
        <v>379</v>
      </c>
      <c r="B246">
        <v>2011</v>
      </c>
      <c r="C246" t="s">
        <v>371</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Data_Completeness(LifeExpectancyData[[#This Row],[Life expectancy]:[Schooling]])</f>
        <v>1</v>
      </c>
    </row>
    <row r="247" spans="1:23" x14ac:dyDescent="0.25">
      <c r="A247" t="s">
        <v>379</v>
      </c>
      <c r="B247">
        <v>2010</v>
      </c>
      <c r="C247" t="s">
        <v>371</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Data_Completeness(LifeExpectancyData[[#This Row],[Life expectancy]:[Schooling]])</f>
        <v>1</v>
      </c>
    </row>
    <row r="248" spans="1:23" x14ac:dyDescent="0.25">
      <c r="A248" t="s">
        <v>379</v>
      </c>
      <c r="B248">
        <v>2009</v>
      </c>
      <c r="C248" t="s">
        <v>371</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Data_Completeness(LifeExpectancyData[[#This Row],[Life expectancy]:[Schooling]])</f>
        <v>1</v>
      </c>
    </row>
    <row r="249" spans="1:23" x14ac:dyDescent="0.25">
      <c r="A249" t="s">
        <v>379</v>
      </c>
      <c r="B249">
        <v>2008</v>
      </c>
      <c r="C249" t="s">
        <v>371</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Data_Completeness(LifeExpectancyData[[#This Row],[Life expectancy]:[Schooling]])</f>
        <v>1</v>
      </c>
    </row>
    <row r="250" spans="1:23" x14ac:dyDescent="0.25">
      <c r="A250" t="s">
        <v>379</v>
      </c>
      <c r="B250">
        <v>2007</v>
      </c>
      <c r="C250" t="s">
        <v>371</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Data_Completeness(LifeExpectancyData[[#This Row],[Life expectancy]:[Schooling]])</f>
        <v>1</v>
      </c>
    </row>
    <row r="251" spans="1:23" x14ac:dyDescent="0.25">
      <c r="A251" t="s">
        <v>379</v>
      </c>
      <c r="B251">
        <v>2006</v>
      </c>
      <c r="C251" t="s">
        <v>371</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Data_Completeness(LifeExpectancyData[[#This Row],[Life expectancy]:[Schooling]])</f>
        <v>1</v>
      </c>
    </row>
    <row r="252" spans="1:23" x14ac:dyDescent="0.25">
      <c r="A252" t="s">
        <v>379</v>
      </c>
      <c r="B252">
        <v>2005</v>
      </c>
      <c r="C252" t="s">
        <v>371</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Data_Completeness(LifeExpectancyData[[#This Row],[Life expectancy]:[Schooling]])</f>
        <v>1</v>
      </c>
    </row>
    <row r="253" spans="1:23" x14ac:dyDescent="0.25">
      <c r="A253" t="s">
        <v>379</v>
      </c>
      <c r="B253">
        <v>2004</v>
      </c>
      <c r="C253" t="s">
        <v>371</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Data_Completeness(LifeExpectancyData[[#This Row],[Life expectancy]:[Schooling]])</f>
        <v>1</v>
      </c>
    </row>
    <row r="254" spans="1:23" x14ac:dyDescent="0.25">
      <c r="A254" t="s">
        <v>379</v>
      </c>
      <c r="B254">
        <v>2003</v>
      </c>
      <c r="C254" t="s">
        <v>371</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Data_Completeness(LifeExpectancyData[[#This Row],[Life expectancy]:[Schooling]])</f>
        <v>1</v>
      </c>
    </row>
    <row r="255" spans="1:23" x14ac:dyDescent="0.25">
      <c r="A255" t="s">
        <v>379</v>
      </c>
      <c r="B255">
        <v>2002</v>
      </c>
      <c r="C255" t="s">
        <v>371</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Data_Completeness(LifeExpectancyData[[#This Row],[Life expectancy]:[Schooling]])</f>
        <v>1</v>
      </c>
    </row>
    <row r="256" spans="1:23" x14ac:dyDescent="0.25">
      <c r="A256" t="s">
        <v>379</v>
      </c>
      <c r="B256">
        <v>2001</v>
      </c>
      <c r="C256" t="s">
        <v>371</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Data_Completeness(LifeExpectancyData[[#This Row],[Life expectancy]:[Schooling]])</f>
        <v>1</v>
      </c>
    </row>
    <row r="257" spans="1:23" x14ac:dyDescent="0.25">
      <c r="A257" t="s">
        <v>379</v>
      </c>
      <c r="B257">
        <v>2000</v>
      </c>
      <c r="C257" t="s">
        <v>371</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Data_Completeness(LifeExpectancyData[[#This Row],[Life expectancy]:[Schooling]])</f>
        <v>1</v>
      </c>
    </row>
    <row r="258" spans="1:23" x14ac:dyDescent="0.25">
      <c r="A258" t="s">
        <v>380</v>
      </c>
      <c r="B258">
        <v>2015</v>
      </c>
      <c r="C258" t="s">
        <v>363</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Data_Completeness(LifeExpectancyData[[#This Row],[Life expectancy]:[Schooling]])</f>
        <v>0</v>
      </c>
    </row>
    <row r="259" spans="1:23" x14ac:dyDescent="0.25">
      <c r="A259" t="s">
        <v>380</v>
      </c>
      <c r="B259">
        <v>2014</v>
      </c>
      <c r="C259" t="s">
        <v>363</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Data_Completeness(LifeExpectancyData[[#This Row],[Life expectancy]:[Schooling]])</f>
        <v>1</v>
      </c>
    </row>
    <row r="260" spans="1:23" x14ac:dyDescent="0.25">
      <c r="A260" t="s">
        <v>380</v>
      </c>
      <c r="B260">
        <v>2013</v>
      </c>
      <c r="C260" t="s">
        <v>363</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Data_Completeness(LifeExpectancyData[[#This Row],[Life expectancy]:[Schooling]])</f>
        <v>1</v>
      </c>
    </row>
    <row r="261" spans="1:23" x14ac:dyDescent="0.25">
      <c r="A261" t="s">
        <v>380</v>
      </c>
      <c r="B261">
        <v>2012</v>
      </c>
      <c r="C261" t="s">
        <v>363</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Data_Completeness(LifeExpectancyData[[#This Row],[Life expectancy]:[Schooling]])</f>
        <v>1</v>
      </c>
    </row>
    <row r="262" spans="1:23" x14ac:dyDescent="0.25">
      <c r="A262" t="s">
        <v>380</v>
      </c>
      <c r="B262">
        <v>2011</v>
      </c>
      <c r="C262" t="s">
        <v>363</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Data_Completeness(LifeExpectancyData[[#This Row],[Life expectancy]:[Schooling]])</f>
        <v>1</v>
      </c>
    </row>
    <row r="263" spans="1:23" x14ac:dyDescent="0.25">
      <c r="A263" t="s">
        <v>380</v>
      </c>
      <c r="B263">
        <v>2010</v>
      </c>
      <c r="C263" t="s">
        <v>363</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Data_Completeness(LifeExpectancyData[[#This Row],[Life expectancy]:[Schooling]])</f>
        <v>1</v>
      </c>
    </row>
    <row r="264" spans="1:23" x14ac:dyDescent="0.25">
      <c r="A264" t="s">
        <v>380</v>
      </c>
      <c r="B264">
        <v>2009</v>
      </c>
      <c r="C264" t="s">
        <v>363</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Data_Completeness(LifeExpectancyData[[#This Row],[Life expectancy]:[Schooling]])</f>
        <v>1</v>
      </c>
    </row>
    <row r="265" spans="1:23" x14ac:dyDescent="0.25">
      <c r="A265" t="s">
        <v>380</v>
      </c>
      <c r="B265">
        <v>2008</v>
      </c>
      <c r="C265" t="s">
        <v>363</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Data_Completeness(LifeExpectancyData[[#This Row],[Life expectancy]:[Schooling]])</f>
        <v>1</v>
      </c>
    </row>
    <row r="266" spans="1:23" x14ac:dyDescent="0.25">
      <c r="A266" t="s">
        <v>380</v>
      </c>
      <c r="B266">
        <v>2007</v>
      </c>
      <c r="C266" t="s">
        <v>363</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Data_Completeness(LifeExpectancyData[[#This Row],[Life expectancy]:[Schooling]])</f>
        <v>1</v>
      </c>
    </row>
    <row r="267" spans="1:23" x14ac:dyDescent="0.25">
      <c r="A267" t="s">
        <v>380</v>
      </c>
      <c r="B267">
        <v>2006</v>
      </c>
      <c r="C267" t="s">
        <v>363</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Data_Completeness(LifeExpectancyData[[#This Row],[Life expectancy]:[Schooling]])</f>
        <v>1</v>
      </c>
    </row>
    <row r="268" spans="1:23" x14ac:dyDescent="0.25">
      <c r="A268" t="s">
        <v>380</v>
      </c>
      <c r="B268">
        <v>2005</v>
      </c>
      <c r="C268" t="s">
        <v>363</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Data_Completeness(LifeExpectancyData[[#This Row],[Life expectancy]:[Schooling]])</f>
        <v>1</v>
      </c>
    </row>
    <row r="269" spans="1:23" x14ac:dyDescent="0.25">
      <c r="A269" t="s">
        <v>380</v>
      </c>
      <c r="B269">
        <v>2004</v>
      </c>
      <c r="C269" t="s">
        <v>363</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Data_Completeness(LifeExpectancyData[[#This Row],[Life expectancy]:[Schooling]])</f>
        <v>1</v>
      </c>
    </row>
    <row r="270" spans="1:23" x14ac:dyDescent="0.25">
      <c r="A270" t="s">
        <v>380</v>
      </c>
      <c r="B270">
        <v>2003</v>
      </c>
      <c r="C270" t="s">
        <v>363</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Data_Completeness(LifeExpectancyData[[#This Row],[Life expectancy]:[Schooling]])</f>
        <v>1</v>
      </c>
    </row>
    <row r="271" spans="1:23" x14ac:dyDescent="0.25">
      <c r="A271" t="s">
        <v>380</v>
      </c>
      <c r="B271">
        <v>2002</v>
      </c>
      <c r="C271" t="s">
        <v>363</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Data_Completeness(LifeExpectancyData[[#This Row],[Life expectancy]:[Schooling]])</f>
        <v>1</v>
      </c>
    </row>
    <row r="272" spans="1:23" x14ac:dyDescent="0.25">
      <c r="A272" t="s">
        <v>380</v>
      </c>
      <c r="B272">
        <v>2001</v>
      </c>
      <c r="C272" t="s">
        <v>363</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Data_Completeness(LifeExpectancyData[[#This Row],[Life expectancy]:[Schooling]])</f>
        <v>1</v>
      </c>
    </row>
    <row r="273" spans="1:23" x14ac:dyDescent="0.25">
      <c r="A273" t="s">
        <v>380</v>
      </c>
      <c r="B273">
        <v>2000</v>
      </c>
      <c r="C273" t="s">
        <v>363</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Data_Completeness(LifeExpectancyData[[#This Row],[Life expectancy]:[Schooling]])</f>
        <v>1</v>
      </c>
    </row>
    <row r="274" spans="1:23" x14ac:dyDescent="0.25">
      <c r="A274" t="s">
        <v>381</v>
      </c>
      <c r="B274">
        <v>2015</v>
      </c>
      <c r="C274" t="s">
        <v>363</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Data_Completeness(LifeExpectancyData[[#This Row],[Life expectancy]:[Schooling]])</f>
        <v>0</v>
      </c>
    </row>
    <row r="275" spans="1:23" x14ac:dyDescent="0.25">
      <c r="A275" t="s">
        <v>381</v>
      </c>
      <c r="B275">
        <v>2014</v>
      </c>
      <c r="C275" t="s">
        <v>363</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Data_Completeness(LifeExpectancyData[[#This Row],[Life expectancy]:[Schooling]])</f>
        <v>1</v>
      </c>
    </row>
    <row r="276" spans="1:23" x14ac:dyDescent="0.25">
      <c r="A276" t="s">
        <v>381</v>
      </c>
      <c r="B276">
        <v>2013</v>
      </c>
      <c r="C276" t="s">
        <v>363</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Data_Completeness(LifeExpectancyData[[#This Row],[Life expectancy]:[Schooling]])</f>
        <v>1</v>
      </c>
    </row>
    <row r="277" spans="1:23" x14ac:dyDescent="0.25">
      <c r="A277" t="s">
        <v>381</v>
      </c>
      <c r="B277">
        <v>2012</v>
      </c>
      <c r="C277" t="s">
        <v>363</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Data_Completeness(LifeExpectancyData[[#This Row],[Life expectancy]:[Schooling]])</f>
        <v>1</v>
      </c>
    </row>
    <row r="278" spans="1:23" x14ac:dyDescent="0.25">
      <c r="A278" t="s">
        <v>381</v>
      </c>
      <c r="B278">
        <v>2011</v>
      </c>
      <c r="C278" t="s">
        <v>363</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Data_Completeness(LifeExpectancyData[[#This Row],[Life expectancy]:[Schooling]])</f>
        <v>1</v>
      </c>
    </row>
    <row r="279" spans="1:23" x14ac:dyDescent="0.25">
      <c r="A279" t="s">
        <v>381</v>
      </c>
      <c r="B279">
        <v>2010</v>
      </c>
      <c r="C279" t="s">
        <v>363</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Data_Completeness(LifeExpectancyData[[#This Row],[Life expectancy]:[Schooling]])</f>
        <v>1</v>
      </c>
    </row>
    <row r="280" spans="1:23" x14ac:dyDescent="0.25">
      <c r="A280" t="s">
        <v>381</v>
      </c>
      <c r="B280">
        <v>2009</v>
      </c>
      <c r="C280" t="s">
        <v>363</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Data_Completeness(LifeExpectancyData[[#This Row],[Life expectancy]:[Schooling]])</f>
        <v>1</v>
      </c>
    </row>
    <row r="281" spans="1:23" x14ac:dyDescent="0.25">
      <c r="A281" t="s">
        <v>381</v>
      </c>
      <c r="B281">
        <v>2008</v>
      </c>
      <c r="C281" t="s">
        <v>363</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Data_Completeness(LifeExpectancyData[[#This Row],[Life expectancy]:[Schooling]])</f>
        <v>1</v>
      </c>
    </row>
    <row r="282" spans="1:23" x14ac:dyDescent="0.25">
      <c r="A282" t="s">
        <v>381</v>
      </c>
      <c r="B282">
        <v>2007</v>
      </c>
      <c r="C282" t="s">
        <v>363</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Data_Completeness(LifeExpectancyData[[#This Row],[Life expectancy]:[Schooling]])</f>
        <v>1</v>
      </c>
    </row>
    <row r="283" spans="1:23" x14ac:dyDescent="0.25">
      <c r="A283" t="s">
        <v>381</v>
      </c>
      <c r="B283">
        <v>2006</v>
      </c>
      <c r="C283" t="s">
        <v>363</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Data_Completeness(LifeExpectancyData[[#This Row],[Life expectancy]:[Schooling]])</f>
        <v>1</v>
      </c>
    </row>
    <row r="284" spans="1:23" x14ac:dyDescent="0.25">
      <c r="A284" t="s">
        <v>381</v>
      </c>
      <c r="B284">
        <v>2005</v>
      </c>
      <c r="C284" t="s">
        <v>363</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Data_Completeness(LifeExpectancyData[[#This Row],[Life expectancy]:[Schooling]])</f>
        <v>1</v>
      </c>
    </row>
    <row r="285" spans="1:23" x14ac:dyDescent="0.25">
      <c r="A285" t="s">
        <v>381</v>
      </c>
      <c r="B285">
        <v>2004</v>
      </c>
      <c r="C285" t="s">
        <v>363</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Data_Completeness(LifeExpectancyData[[#This Row],[Life expectancy]:[Schooling]])</f>
        <v>1</v>
      </c>
    </row>
    <row r="286" spans="1:23" x14ac:dyDescent="0.25">
      <c r="A286" t="s">
        <v>381</v>
      </c>
      <c r="B286">
        <v>2003</v>
      </c>
      <c r="C286" t="s">
        <v>363</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Data_Completeness(LifeExpectancyData[[#This Row],[Life expectancy]:[Schooling]])</f>
        <v>1</v>
      </c>
    </row>
    <row r="287" spans="1:23" x14ac:dyDescent="0.25">
      <c r="A287" t="s">
        <v>381</v>
      </c>
      <c r="B287">
        <v>2002</v>
      </c>
      <c r="C287" t="s">
        <v>363</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Data_Completeness(LifeExpectancyData[[#This Row],[Life expectancy]:[Schooling]])</f>
        <v>1</v>
      </c>
    </row>
    <row r="288" spans="1:23" x14ac:dyDescent="0.25">
      <c r="A288" t="s">
        <v>381</v>
      </c>
      <c r="B288">
        <v>2001</v>
      </c>
      <c r="C288" t="s">
        <v>363</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Data_Completeness(LifeExpectancyData[[#This Row],[Life expectancy]:[Schooling]])</f>
        <v>0</v>
      </c>
    </row>
    <row r="289" spans="1:23" x14ac:dyDescent="0.25">
      <c r="A289" t="s">
        <v>381</v>
      </c>
      <c r="B289">
        <v>2000</v>
      </c>
      <c r="C289" t="s">
        <v>363</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Data_Completeness(LifeExpectancyData[[#This Row],[Life expectancy]:[Schooling]])</f>
        <v>0</v>
      </c>
    </row>
    <row r="290" spans="1:23" x14ac:dyDescent="0.25">
      <c r="A290" t="s">
        <v>382</v>
      </c>
      <c r="B290">
        <v>2015</v>
      </c>
      <c r="C290" t="s">
        <v>363</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Data_Completeness(LifeExpectancyData[[#This Row],[Life expectancy]:[Schooling]])</f>
        <v>0</v>
      </c>
    </row>
    <row r="291" spans="1:23" x14ac:dyDescent="0.25">
      <c r="A291" t="s">
        <v>382</v>
      </c>
      <c r="B291">
        <v>2014</v>
      </c>
      <c r="C291" t="s">
        <v>363</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Data_Completeness(LifeExpectancyData[[#This Row],[Life expectancy]:[Schooling]])</f>
        <v>1</v>
      </c>
    </row>
    <row r="292" spans="1:23" x14ac:dyDescent="0.25">
      <c r="A292" t="s">
        <v>382</v>
      </c>
      <c r="B292">
        <v>2013</v>
      </c>
      <c r="C292" t="s">
        <v>363</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Data_Completeness(LifeExpectancyData[[#This Row],[Life expectancy]:[Schooling]])</f>
        <v>1</v>
      </c>
    </row>
    <row r="293" spans="1:23" x14ac:dyDescent="0.25">
      <c r="A293" t="s">
        <v>382</v>
      </c>
      <c r="B293">
        <v>2012</v>
      </c>
      <c r="C293" t="s">
        <v>363</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Data_Completeness(LifeExpectancyData[[#This Row],[Life expectancy]:[Schooling]])</f>
        <v>1</v>
      </c>
    </row>
    <row r="294" spans="1:23" x14ac:dyDescent="0.25">
      <c r="A294" t="s">
        <v>382</v>
      </c>
      <c r="B294">
        <v>2011</v>
      </c>
      <c r="C294" t="s">
        <v>363</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Data_Completeness(LifeExpectancyData[[#This Row],[Life expectancy]:[Schooling]])</f>
        <v>1</v>
      </c>
    </row>
    <row r="295" spans="1:23" x14ac:dyDescent="0.25">
      <c r="A295" t="s">
        <v>382</v>
      </c>
      <c r="B295">
        <v>2010</v>
      </c>
      <c r="C295" t="s">
        <v>363</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Data_Completeness(LifeExpectancyData[[#This Row],[Life expectancy]:[Schooling]])</f>
        <v>1</v>
      </c>
    </row>
    <row r="296" spans="1:23" x14ac:dyDescent="0.25">
      <c r="A296" t="s">
        <v>382</v>
      </c>
      <c r="B296">
        <v>2009</v>
      </c>
      <c r="C296" t="s">
        <v>363</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Data_Completeness(LifeExpectancyData[[#This Row],[Life expectancy]:[Schooling]])</f>
        <v>1</v>
      </c>
    </row>
    <row r="297" spans="1:23" x14ac:dyDescent="0.25">
      <c r="A297" t="s">
        <v>382</v>
      </c>
      <c r="B297">
        <v>2008</v>
      </c>
      <c r="C297" t="s">
        <v>363</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Data_Completeness(LifeExpectancyData[[#This Row],[Life expectancy]:[Schooling]])</f>
        <v>1</v>
      </c>
    </row>
    <row r="298" spans="1:23" x14ac:dyDescent="0.25">
      <c r="A298" t="s">
        <v>382</v>
      </c>
      <c r="B298">
        <v>2007</v>
      </c>
      <c r="C298" t="s">
        <v>363</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Data_Completeness(LifeExpectancyData[[#This Row],[Life expectancy]:[Schooling]])</f>
        <v>1</v>
      </c>
    </row>
    <row r="299" spans="1:23" x14ac:dyDescent="0.25">
      <c r="A299" t="s">
        <v>382</v>
      </c>
      <c r="B299">
        <v>2006</v>
      </c>
      <c r="C299" t="s">
        <v>363</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Data_Completeness(LifeExpectancyData[[#This Row],[Life expectancy]:[Schooling]])</f>
        <v>1</v>
      </c>
    </row>
    <row r="300" spans="1:23" x14ac:dyDescent="0.25">
      <c r="A300" t="s">
        <v>382</v>
      </c>
      <c r="B300">
        <v>2005</v>
      </c>
      <c r="C300" t="s">
        <v>363</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Data_Completeness(LifeExpectancyData[[#This Row],[Life expectancy]:[Schooling]])</f>
        <v>1</v>
      </c>
    </row>
    <row r="301" spans="1:23" x14ac:dyDescent="0.25">
      <c r="A301" t="s">
        <v>382</v>
      </c>
      <c r="B301">
        <v>2004</v>
      </c>
      <c r="C301" t="s">
        <v>363</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Data_Completeness(LifeExpectancyData[[#This Row],[Life expectancy]:[Schooling]])</f>
        <v>1</v>
      </c>
    </row>
    <row r="302" spans="1:23" x14ac:dyDescent="0.25">
      <c r="A302" t="s">
        <v>382</v>
      </c>
      <c r="B302">
        <v>2003</v>
      </c>
      <c r="C302" t="s">
        <v>363</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Data_Completeness(LifeExpectancyData[[#This Row],[Life expectancy]:[Schooling]])</f>
        <v>1</v>
      </c>
    </row>
    <row r="303" spans="1:23" x14ac:dyDescent="0.25">
      <c r="A303" t="s">
        <v>382</v>
      </c>
      <c r="B303">
        <v>2002</v>
      </c>
      <c r="C303" t="s">
        <v>363</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Data_Completeness(LifeExpectancyData[[#This Row],[Life expectancy]:[Schooling]])</f>
        <v>1</v>
      </c>
    </row>
    <row r="304" spans="1:23" x14ac:dyDescent="0.25">
      <c r="A304" t="s">
        <v>382</v>
      </c>
      <c r="B304">
        <v>2001</v>
      </c>
      <c r="C304" t="s">
        <v>363</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Data_Completeness(LifeExpectancyData[[#This Row],[Life expectancy]:[Schooling]])</f>
        <v>1</v>
      </c>
    </row>
    <row r="305" spans="1:23" x14ac:dyDescent="0.25">
      <c r="A305" t="s">
        <v>382</v>
      </c>
      <c r="B305">
        <v>2000</v>
      </c>
      <c r="C305" t="s">
        <v>363</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Data_Completeness(LifeExpectancyData[[#This Row],[Life expectancy]:[Schooling]])</f>
        <v>1</v>
      </c>
    </row>
    <row r="306" spans="1:23" x14ac:dyDescent="0.25">
      <c r="A306" t="s">
        <v>383</v>
      </c>
      <c r="B306">
        <v>2015</v>
      </c>
      <c r="C306" t="s">
        <v>363</v>
      </c>
      <c r="D306">
        <v>77</v>
      </c>
      <c r="E306">
        <v>186</v>
      </c>
      <c r="F306">
        <v>8</v>
      </c>
      <c r="H306">
        <v>0</v>
      </c>
      <c r="I306">
        <v>99</v>
      </c>
      <c r="J306">
        <v>0</v>
      </c>
      <c r="K306">
        <v>52.6</v>
      </c>
      <c r="L306">
        <v>10</v>
      </c>
      <c r="M306">
        <v>99</v>
      </c>
      <c r="O306">
        <v>99</v>
      </c>
      <c r="P306">
        <v>0.1</v>
      </c>
      <c r="S306">
        <v>1.2</v>
      </c>
      <c r="T306">
        <v>1.1000000000000001</v>
      </c>
      <c r="U306">
        <v>0.67100000000000004</v>
      </c>
      <c r="V306">
        <v>13.8</v>
      </c>
      <c r="W306" t="b">
        <f>Data_Completeness(LifeExpectancyData[[#This Row],[Life expectancy]:[Schooling]])</f>
        <v>0</v>
      </c>
    </row>
    <row r="307" spans="1:23" x14ac:dyDescent="0.25">
      <c r="A307" t="s">
        <v>383</v>
      </c>
      <c r="B307">
        <v>2014</v>
      </c>
      <c r="C307" t="s">
        <v>363</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Data_Completeness(LifeExpectancyData[[#This Row],[Life expectancy]:[Schooling]])</f>
        <v>0</v>
      </c>
    </row>
    <row r="308" spans="1:23" x14ac:dyDescent="0.25">
      <c r="A308" t="s">
        <v>383</v>
      </c>
      <c r="B308">
        <v>2013</v>
      </c>
      <c r="C308" t="s">
        <v>363</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Data_Completeness(LifeExpectancyData[[#This Row],[Life expectancy]:[Schooling]])</f>
        <v>0</v>
      </c>
    </row>
    <row r="309" spans="1:23" x14ac:dyDescent="0.25">
      <c r="A309" t="s">
        <v>383</v>
      </c>
      <c r="B309">
        <v>2012</v>
      </c>
      <c r="C309" t="s">
        <v>363</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Data_Completeness(LifeExpectancyData[[#This Row],[Life expectancy]:[Schooling]])</f>
        <v>0</v>
      </c>
    </row>
    <row r="310" spans="1:23" x14ac:dyDescent="0.25">
      <c r="A310" t="s">
        <v>383</v>
      </c>
      <c r="B310">
        <v>2011</v>
      </c>
      <c r="C310" t="s">
        <v>363</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Data_Completeness(LifeExpectancyData[[#This Row],[Life expectancy]:[Schooling]])</f>
        <v>0</v>
      </c>
    </row>
    <row r="311" spans="1:23" x14ac:dyDescent="0.25">
      <c r="A311" t="s">
        <v>383</v>
      </c>
      <c r="B311">
        <v>2010</v>
      </c>
      <c r="C311" t="s">
        <v>363</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Data_Completeness(LifeExpectancyData[[#This Row],[Life expectancy]:[Schooling]])</f>
        <v>0</v>
      </c>
    </row>
    <row r="312" spans="1:23" x14ac:dyDescent="0.25">
      <c r="A312" t="s">
        <v>383</v>
      </c>
      <c r="B312">
        <v>2009</v>
      </c>
      <c r="C312" t="s">
        <v>363</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Data_Completeness(LifeExpectancyData[[#This Row],[Life expectancy]:[Schooling]])</f>
        <v>0</v>
      </c>
    </row>
    <row r="313" spans="1:23" x14ac:dyDescent="0.25">
      <c r="A313" t="s">
        <v>383</v>
      </c>
      <c r="B313">
        <v>2008</v>
      </c>
      <c r="C313" t="s">
        <v>363</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Data_Completeness(LifeExpectancyData[[#This Row],[Life expectancy]:[Schooling]])</f>
        <v>0</v>
      </c>
    </row>
    <row r="314" spans="1:23" x14ac:dyDescent="0.25">
      <c r="A314" t="s">
        <v>383</v>
      </c>
      <c r="B314">
        <v>2007</v>
      </c>
      <c r="C314" t="s">
        <v>363</v>
      </c>
      <c r="D314">
        <v>66.8</v>
      </c>
      <c r="E314">
        <v>216</v>
      </c>
      <c r="F314">
        <v>11</v>
      </c>
      <c r="G314">
        <v>3.47</v>
      </c>
      <c r="H314">
        <v>0</v>
      </c>
      <c r="I314">
        <v>84</v>
      </c>
      <c r="J314">
        <v>0</v>
      </c>
      <c r="K314">
        <v>47.3</v>
      </c>
      <c r="L314">
        <v>14</v>
      </c>
      <c r="M314">
        <v>85</v>
      </c>
      <c r="N314">
        <v>4.96</v>
      </c>
      <c r="O314">
        <v>84</v>
      </c>
      <c r="P314">
        <v>0.2</v>
      </c>
      <c r="S314">
        <v>1.3</v>
      </c>
      <c r="T314">
        <v>1.2</v>
      </c>
      <c r="U314">
        <v>0.626</v>
      </c>
      <c r="V314">
        <v>14.1</v>
      </c>
      <c r="W314" t="b">
        <f>Data_Completeness(LifeExpectancyData[[#This Row],[Life expectancy]:[Schooling]])</f>
        <v>0</v>
      </c>
    </row>
    <row r="315" spans="1:23" x14ac:dyDescent="0.25">
      <c r="A315" t="s">
        <v>383</v>
      </c>
      <c r="B315">
        <v>2006</v>
      </c>
      <c r="C315" t="s">
        <v>363</v>
      </c>
      <c r="D315">
        <v>66.2</v>
      </c>
      <c r="E315">
        <v>219</v>
      </c>
      <c r="F315">
        <v>11</v>
      </c>
      <c r="G315">
        <v>3.23</v>
      </c>
      <c r="H315">
        <v>0</v>
      </c>
      <c r="I315">
        <v>83</v>
      </c>
      <c r="J315">
        <v>0</v>
      </c>
      <c r="K315">
        <v>46.7</v>
      </c>
      <c r="L315">
        <v>15</v>
      </c>
      <c r="M315">
        <v>82</v>
      </c>
      <c r="N315">
        <v>5.19</v>
      </c>
      <c r="O315">
        <v>83</v>
      </c>
      <c r="P315">
        <v>0.2</v>
      </c>
      <c r="S315">
        <v>1.3</v>
      </c>
      <c r="T315">
        <v>1.2</v>
      </c>
      <c r="U315">
        <v>0.625</v>
      </c>
      <c r="V315">
        <v>14.3</v>
      </c>
      <c r="W315" t="b">
        <f>Data_Completeness(LifeExpectancyData[[#This Row],[Life expectancy]:[Schooling]])</f>
        <v>0</v>
      </c>
    </row>
    <row r="316" spans="1:23" x14ac:dyDescent="0.25">
      <c r="A316" t="s">
        <v>383</v>
      </c>
      <c r="B316">
        <v>2005</v>
      </c>
      <c r="C316" t="s">
        <v>363</v>
      </c>
      <c r="D316">
        <v>65.7</v>
      </c>
      <c r="E316">
        <v>222</v>
      </c>
      <c r="F316">
        <v>12</v>
      </c>
      <c r="G316">
        <v>2.86</v>
      </c>
      <c r="H316">
        <v>0</v>
      </c>
      <c r="I316">
        <v>85</v>
      </c>
      <c r="J316">
        <v>0</v>
      </c>
      <c r="K316">
        <v>46</v>
      </c>
      <c r="L316">
        <v>16</v>
      </c>
      <c r="M316">
        <v>84</v>
      </c>
      <c r="N316">
        <v>5.67</v>
      </c>
      <c r="O316">
        <v>85</v>
      </c>
      <c r="P316">
        <v>0.2</v>
      </c>
      <c r="S316">
        <v>1.3</v>
      </c>
      <c r="T316">
        <v>1.2</v>
      </c>
      <c r="U316">
        <v>0.622</v>
      </c>
      <c r="V316">
        <v>14.4</v>
      </c>
      <c r="W316" t="b">
        <f>Data_Completeness(LifeExpectancyData[[#This Row],[Life expectancy]:[Schooling]])</f>
        <v>0</v>
      </c>
    </row>
    <row r="317" spans="1:23" x14ac:dyDescent="0.25">
      <c r="A317" t="s">
        <v>383</v>
      </c>
      <c r="B317">
        <v>2004</v>
      </c>
      <c r="C317" t="s">
        <v>363</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Data_Completeness(LifeExpectancyData[[#This Row],[Life expectancy]:[Schooling]])</f>
        <v>0</v>
      </c>
    </row>
    <row r="318" spans="1:23" x14ac:dyDescent="0.25">
      <c r="A318" t="s">
        <v>383</v>
      </c>
      <c r="B318">
        <v>2003</v>
      </c>
      <c r="C318" t="s">
        <v>363</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Data_Completeness(LifeExpectancyData[[#This Row],[Life expectancy]:[Schooling]])</f>
        <v>0</v>
      </c>
    </row>
    <row r="319" spans="1:23" x14ac:dyDescent="0.25">
      <c r="A319" t="s">
        <v>383</v>
      </c>
      <c r="B319">
        <v>2002</v>
      </c>
      <c r="C319" t="s">
        <v>363</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Data_Completeness(LifeExpectancyData[[#This Row],[Life expectancy]:[Schooling]])</f>
        <v>0</v>
      </c>
    </row>
    <row r="320" spans="1:23" x14ac:dyDescent="0.25">
      <c r="A320" t="s">
        <v>383</v>
      </c>
      <c r="B320">
        <v>2001</v>
      </c>
      <c r="C320" t="s">
        <v>363</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Data_Completeness(LifeExpectancyData[[#This Row],[Life expectancy]:[Schooling]])</f>
        <v>0</v>
      </c>
    </row>
    <row r="321" spans="1:23" x14ac:dyDescent="0.25">
      <c r="A321" t="s">
        <v>383</v>
      </c>
      <c r="B321">
        <v>2000</v>
      </c>
      <c r="C321" t="s">
        <v>363</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Data_Completeness(LifeExpectancyData[[#This Row],[Life expectancy]:[Schooling]])</f>
        <v>0</v>
      </c>
    </row>
    <row r="322" spans="1:23" x14ac:dyDescent="0.25">
      <c r="A322" t="s">
        <v>384</v>
      </c>
      <c r="B322">
        <v>2015</v>
      </c>
      <c r="C322" t="s">
        <v>363</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Data_Completeness(LifeExpectancyData[[#This Row],[Life expectancy]:[Schooling]])</f>
        <v>0</v>
      </c>
    </row>
    <row r="323" spans="1:23" x14ac:dyDescent="0.25">
      <c r="A323" t="s">
        <v>384</v>
      </c>
      <c r="B323">
        <v>2014</v>
      </c>
      <c r="C323" t="s">
        <v>363</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Data_Completeness(LifeExpectancyData[[#This Row],[Life expectancy]:[Schooling]])</f>
        <v>1</v>
      </c>
    </row>
    <row r="324" spans="1:23" x14ac:dyDescent="0.25">
      <c r="A324" t="s">
        <v>384</v>
      </c>
      <c r="B324">
        <v>2013</v>
      </c>
      <c r="C324" t="s">
        <v>363</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Data_Completeness(LifeExpectancyData[[#This Row],[Life expectancy]:[Schooling]])</f>
        <v>1</v>
      </c>
    </row>
    <row r="325" spans="1:23" x14ac:dyDescent="0.25">
      <c r="A325" t="s">
        <v>384</v>
      </c>
      <c r="B325">
        <v>2012</v>
      </c>
      <c r="C325" t="s">
        <v>363</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Data_Completeness(LifeExpectancyData[[#This Row],[Life expectancy]:[Schooling]])</f>
        <v>1</v>
      </c>
    </row>
    <row r="326" spans="1:23" x14ac:dyDescent="0.25">
      <c r="A326" t="s">
        <v>384</v>
      </c>
      <c r="B326">
        <v>2011</v>
      </c>
      <c r="C326" t="s">
        <v>363</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Data_Completeness(LifeExpectancyData[[#This Row],[Life expectancy]:[Schooling]])</f>
        <v>1</v>
      </c>
    </row>
    <row r="327" spans="1:23" x14ac:dyDescent="0.25">
      <c r="A327" t="s">
        <v>384</v>
      </c>
      <c r="B327">
        <v>2010</v>
      </c>
      <c r="C327" t="s">
        <v>363</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Data_Completeness(LifeExpectancyData[[#This Row],[Life expectancy]:[Schooling]])</f>
        <v>1</v>
      </c>
    </row>
    <row r="328" spans="1:23" x14ac:dyDescent="0.25">
      <c r="A328" t="s">
        <v>384</v>
      </c>
      <c r="B328">
        <v>2009</v>
      </c>
      <c r="C328" t="s">
        <v>363</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Data_Completeness(LifeExpectancyData[[#This Row],[Life expectancy]:[Schooling]])</f>
        <v>1</v>
      </c>
    </row>
    <row r="329" spans="1:23" x14ac:dyDescent="0.25">
      <c r="A329" t="s">
        <v>384</v>
      </c>
      <c r="B329">
        <v>2008</v>
      </c>
      <c r="C329" t="s">
        <v>363</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Data_Completeness(LifeExpectancyData[[#This Row],[Life expectancy]:[Schooling]])</f>
        <v>1</v>
      </c>
    </row>
    <row r="330" spans="1:23" x14ac:dyDescent="0.25">
      <c r="A330" t="s">
        <v>384</v>
      </c>
      <c r="B330">
        <v>2007</v>
      </c>
      <c r="C330" t="s">
        <v>363</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Data_Completeness(LifeExpectancyData[[#This Row],[Life expectancy]:[Schooling]])</f>
        <v>1</v>
      </c>
    </row>
    <row r="331" spans="1:23" x14ac:dyDescent="0.25">
      <c r="A331" t="s">
        <v>384</v>
      </c>
      <c r="B331">
        <v>2006</v>
      </c>
      <c r="C331" t="s">
        <v>363</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Data_Completeness(LifeExpectancyData[[#This Row],[Life expectancy]:[Schooling]])</f>
        <v>1</v>
      </c>
    </row>
    <row r="332" spans="1:23" x14ac:dyDescent="0.25">
      <c r="A332" t="s">
        <v>384</v>
      </c>
      <c r="B332">
        <v>2005</v>
      </c>
      <c r="C332" t="s">
        <v>363</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Data_Completeness(LifeExpectancyData[[#This Row],[Life expectancy]:[Schooling]])</f>
        <v>1</v>
      </c>
    </row>
    <row r="333" spans="1:23" x14ac:dyDescent="0.25">
      <c r="A333" t="s">
        <v>384</v>
      </c>
      <c r="B333">
        <v>2004</v>
      </c>
      <c r="C333" t="s">
        <v>363</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Data_Completeness(LifeExpectancyData[[#This Row],[Life expectancy]:[Schooling]])</f>
        <v>1</v>
      </c>
    </row>
    <row r="334" spans="1:23" x14ac:dyDescent="0.25">
      <c r="A334" t="s">
        <v>384</v>
      </c>
      <c r="B334">
        <v>2003</v>
      </c>
      <c r="C334" t="s">
        <v>363</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Data_Completeness(LifeExpectancyData[[#This Row],[Life expectancy]:[Schooling]])</f>
        <v>0</v>
      </c>
    </row>
    <row r="335" spans="1:23" x14ac:dyDescent="0.25">
      <c r="A335" t="s">
        <v>384</v>
      </c>
      <c r="B335">
        <v>2002</v>
      </c>
      <c r="C335" t="s">
        <v>363</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Data_Completeness(LifeExpectancyData[[#This Row],[Life expectancy]:[Schooling]])</f>
        <v>0</v>
      </c>
    </row>
    <row r="336" spans="1:23" x14ac:dyDescent="0.25">
      <c r="A336" t="s">
        <v>384</v>
      </c>
      <c r="B336">
        <v>2001</v>
      </c>
      <c r="C336" t="s">
        <v>363</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Data_Completeness(LifeExpectancyData[[#This Row],[Life expectancy]:[Schooling]])</f>
        <v>0</v>
      </c>
    </row>
    <row r="337" spans="1:23" x14ac:dyDescent="0.25">
      <c r="A337" t="s">
        <v>384</v>
      </c>
      <c r="B337">
        <v>2000</v>
      </c>
      <c r="C337" t="s">
        <v>363</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Data_Completeness(LifeExpectancyData[[#This Row],[Life expectancy]:[Schooling]])</f>
        <v>0</v>
      </c>
    </row>
    <row r="338" spans="1:23" x14ac:dyDescent="0.25">
      <c r="A338" t="s">
        <v>385</v>
      </c>
      <c r="B338">
        <v>2015</v>
      </c>
      <c r="C338" t="s">
        <v>363</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Data_Completeness(LifeExpectancyData[[#This Row],[Life expectancy]:[Schooling]])</f>
        <v>0</v>
      </c>
    </row>
    <row r="339" spans="1:23" x14ac:dyDescent="0.25">
      <c r="A339" t="s">
        <v>385</v>
      </c>
      <c r="B339">
        <v>2014</v>
      </c>
      <c r="C339" t="s">
        <v>363</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Data_Completeness(LifeExpectancyData[[#This Row],[Life expectancy]:[Schooling]])</f>
        <v>1</v>
      </c>
    </row>
    <row r="340" spans="1:23" x14ac:dyDescent="0.25">
      <c r="A340" t="s">
        <v>385</v>
      </c>
      <c r="B340">
        <v>2013</v>
      </c>
      <c r="C340" t="s">
        <v>363</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Data_Completeness(LifeExpectancyData[[#This Row],[Life expectancy]:[Schooling]])</f>
        <v>1</v>
      </c>
    </row>
    <row r="341" spans="1:23" x14ac:dyDescent="0.25">
      <c r="A341" t="s">
        <v>385</v>
      </c>
      <c r="B341">
        <v>2012</v>
      </c>
      <c r="C341" t="s">
        <v>363</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Data_Completeness(LifeExpectancyData[[#This Row],[Life expectancy]:[Schooling]])</f>
        <v>1</v>
      </c>
    </row>
    <row r="342" spans="1:23" x14ac:dyDescent="0.25">
      <c r="A342" t="s">
        <v>385</v>
      </c>
      <c r="B342">
        <v>2011</v>
      </c>
      <c r="C342" t="s">
        <v>363</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Data_Completeness(LifeExpectancyData[[#This Row],[Life expectancy]:[Schooling]])</f>
        <v>1</v>
      </c>
    </row>
    <row r="343" spans="1:23" x14ac:dyDescent="0.25">
      <c r="A343" t="s">
        <v>385</v>
      </c>
      <c r="B343">
        <v>2010</v>
      </c>
      <c r="C343" t="s">
        <v>363</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Data_Completeness(LifeExpectancyData[[#This Row],[Life expectancy]:[Schooling]])</f>
        <v>1</v>
      </c>
    </row>
    <row r="344" spans="1:23" x14ac:dyDescent="0.25">
      <c r="A344" t="s">
        <v>385</v>
      </c>
      <c r="B344">
        <v>2009</v>
      </c>
      <c r="C344" t="s">
        <v>363</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Data_Completeness(LifeExpectancyData[[#This Row],[Life expectancy]:[Schooling]])</f>
        <v>1</v>
      </c>
    </row>
    <row r="345" spans="1:23" x14ac:dyDescent="0.25">
      <c r="A345" t="s">
        <v>385</v>
      </c>
      <c r="B345">
        <v>2008</v>
      </c>
      <c r="C345" t="s">
        <v>363</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Data_Completeness(LifeExpectancyData[[#This Row],[Life expectancy]:[Schooling]])</f>
        <v>1</v>
      </c>
    </row>
    <row r="346" spans="1:23" x14ac:dyDescent="0.25">
      <c r="A346" t="s">
        <v>385</v>
      </c>
      <c r="B346">
        <v>2007</v>
      </c>
      <c r="C346" t="s">
        <v>363</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Data_Completeness(LifeExpectancyData[[#This Row],[Life expectancy]:[Schooling]])</f>
        <v>1</v>
      </c>
    </row>
    <row r="347" spans="1:23" x14ac:dyDescent="0.25">
      <c r="A347" t="s">
        <v>385</v>
      </c>
      <c r="B347">
        <v>2006</v>
      </c>
      <c r="C347" t="s">
        <v>363</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Data_Completeness(LifeExpectancyData[[#This Row],[Life expectancy]:[Schooling]])</f>
        <v>1</v>
      </c>
    </row>
    <row r="348" spans="1:23" x14ac:dyDescent="0.25">
      <c r="A348" t="s">
        <v>385</v>
      </c>
      <c r="B348">
        <v>2005</v>
      </c>
      <c r="C348" t="s">
        <v>363</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Data_Completeness(LifeExpectancyData[[#This Row],[Life expectancy]:[Schooling]])</f>
        <v>1</v>
      </c>
    </row>
    <row r="349" spans="1:23" x14ac:dyDescent="0.25">
      <c r="A349" t="s">
        <v>385</v>
      </c>
      <c r="B349">
        <v>2004</v>
      </c>
      <c r="C349" t="s">
        <v>363</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Data_Completeness(LifeExpectancyData[[#This Row],[Life expectancy]:[Schooling]])</f>
        <v>1</v>
      </c>
    </row>
    <row r="350" spans="1:23" x14ac:dyDescent="0.25">
      <c r="A350" t="s">
        <v>385</v>
      </c>
      <c r="B350">
        <v>2003</v>
      </c>
      <c r="C350" t="s">
        <v>363</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Data_Completeness(LifeExpectancyData[[#This Row],[Life expectancy]:[Schooling]])</f>
        <v>1</v>
      </c>
    </row>
    <row r="351" spans="1:23" x14ac:dyDescent="0.25">
      <c r="A351" t="s">
        <v>385</v>
      </c>
      <c r="B351">
        <v>2002</v>
      </c>
      <c r="C351" t="s">
        <v>363</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Data_Completeness(LifeExpectancyData[[#This Row],[Life expectancy]:[Schooling]])</f>
        <v>1</v>
      </c>
    </row>
    <row r="352" spans="1:23" x14ac:dyDescent="0.25">
      <c r="A352" t="s">
        <v>385</v>
      </c>
      <c r="B352">
        <v>2001</v>
      </c>
      <c r="C352" t="s">
        <v>363</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Data_Completeness(LifeExpectancyData[[#This Row],[Life expectancy]:[Schooling]])</f>
        <v>1</v>
      </c>
    </row>
    <row r="353" spans="1:23" x14ac:dyDescent="0.25">
      <c r="A353" t="s">
        <v>385</v>
      </c>
      <c r="B353">
        <v>2000</v>
      </c>
      <c r="C353" t="s">
        <v>363</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Data_Completeness(LifeExpectancyData[[#This Row],[Life expectancy]:[Schooling]])</f>
        <v>1</v>
      </c>
    </row>
    <row r="354" spans="1:23" x14ac:dyDescent="0.25">
      <c r="A354" t="s">
        <v>386</v>
      </c>
      <c r="B354">
        <v>2015</v>
      </c>
      <c r="C354" t="s">
        <v>363</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Data_Completeness(LifeExpectancyData[[#This Row],[Life expectancy]:[Schooling]])</f>
        <v>0</v>
      </c>
    </row>
    <row r="355" spans="1:23" x14ac:dyDescent="0.25">
      <c r="A355" t="s">
        <v>386</v>
      </c>
      <c r="B355">
        <v>2014</v>
      </c>
      <c r="C355" t="s">
        <v>363</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Data_Completeness(LifeExpectancyData[[#This Row],[Life expectancy]:[Schooling]])</f>
        <v>1</v>
      </c>
    </row>
    <row r="356" spans="1:23" x14ac:dyDescent="0.25">
      <c r="A356" t="s">
        <v>386</v>
      </c>
      <c r="B356">
        <v>2013</v>
      </c>
      <c r="C356" t="s">
        <v>363</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Data_Completeness(LifeExpectancyData[[#This Row],[Life expectancy]:[Schooling]])</f>
        <v>1</v>
      </c>
    </row>
    <row r="357" spans="1:23" x14ac:dyDescent="0.25">
      <c r="A357" t="s">
        <v>386</v>
      </c>
      <c r="B357">
        <v>2012</v>
      </c>
      <c r="C357" t="s">
        <v>363</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Data_Completeness(LifeExpectancyData[[#This Row],[Life expectancy]:[Schooling]])</f>
        <v>1</v>
      </c>
    </row>
    <row r="358" spans="1:23" x14ac:dyDescent="0.25">
      <c r="A358" t="s">
        <v>386</v>
      </c>
      <c r="B358">
        <v>2011</v>
      </c>
      <c r="C358" t="s">
        <v>363</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Data_Completeness(LifeExpectancyData[[#This Row],[Life expectancy]:[Schooling]])</f>
        <v>1</v>
      </c>
    </row>
    <row r="359" spans="1:23" x14ac:dyDescent="0.25">
      <c r="A359" t="s">
        <v>386</v>
      </c>
      <c r="B359">
        <v>2010</v>
      </c>
      <c r="C359" t="s">
        <v>363</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Data_Completeness(LifeExpectancyData[[#This Row],[Life expectancy]:[Schooling]])</f>
        <v>1</v>
      </c>
    </row>
    <row r="360" spans="1:23" x14ac:dyDescent="0.25">
      <c r="A360" t="s">
        <v>386</v>
      </c>
      <c r="B360">
        <v>2009</v>
      </c>
      <c r="C360" t="s">
        <v>363</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Data_Completeness(LifeExpectancyData[[#This Row],[Life expectancy]:[Schooling]])</f>
        <v>1</v>
      </c>
    </row>
    <row r="361" spans="1:23" x14ac:dyDescent="0.25">
      <c r="A361" t="s">
        <v>386</v>
      </c>
      <c r="B361">
        <v>2008</v>
      </c>
      <c r="C361" t="s">
        <v>363</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Data_Completeness(LifeExpectancyData[[#This Row],[Life expectancy]:[Schooling]])</f>
        <v>1</v>
      </c>
    </row>
    <row r="362" spans="1:23" x14ac:dyDescent="0.25">
      <c r="A362" t="s">
        <v>386</v>
      </c>
      <c r="B362">
        <v>2007</v>
      </c>
      <c r="C362" t="s">
        <v>363</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Data_Completeness(LifeExpectancyData[[#This Row],[Life expectancy]:[Schooling]])</f>
        <v>1</v>
      </c>
    </row>
    <row r="363" spans="1:23" x14ac:dyDescent="0.25">
      <c r="A363" t="s">
        <v>386</v>
      </c>
      <c r="B363">
        <v>2006</v>
      </c>
      <c r="C363" t="s">
        <v>363</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Data_Completeness(LifeExpectancyData[[#This Row],[Life expectancy]:[Schooling]])</f>
        <v>1</v>
      </c>
    </row>
    <row r="364" spans="1:23" x14ac:dyDescent="0.25">
      <c r="A364" t="s">
        <v>386</v>
      </c>
      <c r="B364">
        <v>2005</v>
      </c>
      <c r="C364" t="s">
        <v>363</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Data_Completeness(LifeExpectancyData[[#This Row],[Life expectancy]:[Schooling]])</f>
        <v>1</v>
      </c>
    </row>
    <row r="365" spans="1:23" x14ac:dyDescent="0.25">
      <c r="A365" t="s">
        <v>386</v>
      </c>
      <c r="B365">
        <v>2004</v>
      </c>
      <c r="C365" t="s">
        <v>363</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Data_Completeness(LifeExpectancyData[[#This Row],[Life expectancy]:[Schooling]])</f>
        <v>1</v>
      </c>
    </row>
    <row r="366" spans="1:23" x14ac:dyDescent="0.25">
      <c r="A366" t="s">
        <v>386</v>
      </c>
      <c r="B366">
        <v>2003</v>
      </c>
      <c r="C366" t="s">
        <v>363</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Data_Completeness(LifeExpectancyData[[#This Row],[Life expectancy]:[Schooling]])</f>
        <v>1</v>
      </c>
    </row>
    <row r="367" spans="1:23" x14ac:dyDescent="0.25">
      <c r="A367" t="s">
        <v>386</v>
      </c>
      <c r="B367">
        <v>2002</v>
      </c>
      <c r="C367" t="s">
        <v>363</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Data_Completeness(LifeExpectancyData[[#This Row],[Life expectancy]:[Schooling]])</f>
        <v>1</v>
      </c>
    </row>
    <row r="368" spans="1:23" x14ac:dyDescent="0.25">
      <c r="A368" t="s">
        <v>386</v>
      </c>
      <c r="B368">
        <v>2001</v>
      </c>
      <c r="C368" t="s">
        <v>363</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Data_Completeness(LifeExpectancyData[[#This Row],[Life expectancy]:[Schooling]])</f>
        <v>1</v>
      </c>
    </row>
    <row r="369" spans="1:23" x14ac:dyDescent="0.25">
      <c r="A369" t="s">
        <v>386</v>
      </c>
      <c r="B369">
        <v>2000</v>
      </c>
      <c r="C369" t="s">
        <v>363</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Data_Completeness(LifeExpectancyData[[#This Row],[Life expectancy]:[Schooling]])</f>
        <v>1</v>
      </c>
    </row>
    <row r="370" spans="1:23" x14ac:dyDescent="0.25">
      <c r="A370" t="s">
        <v>387</v>
      </c>
      <c r="B370">
        <v>2015</v>
      </c>
      <c r="C370" t="s">
        <v>363</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Data_Completeness(LifeExpectancyData[[#This Row],[Life expectancy]:[Schooling]])</f>
        <v>0</v>
      </c>
    </row>
    <row r="371" spans="1:23" x14ac:dyDescent="0.25">
      <c r="A371" t="s">
        <v>387</v>
      </c>
      <c r="B371">
        <v>2014</v>
      </c>
      <c r="C371" t="s">
        <v>363</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Data_Completeness(LifeExpectancyData[[#This Row],[Life expectancy]:[Schooling]])</f>
        <v>0</v>
      </c>
    </row>
    <row r="372" spans="1:23" x14ac:dyDescent="0.25">
      <c r="A372" t="s">
        <v>387</v>
      </c>
      <c r="B372">
        <v>2013</v>
      </c>
      <c r="C372" t="s">
        <v>363</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Data_Completeness(LifeExpectancyData[[#This Row],[Life expectancy]:[Schooling]])</f>
        <v>0</v>
      </c>
    </row>
    <row r="373" spans="1:23" x14ac:dyDescent="0.25">
      <c r="A373" t="s">
        <v>387</v>
      </c>
      <c r="B373">
        <v>2012</v>
      </c>
      <c r="C373" t="s">
        <v>363</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Data_Completeness(LifeExpectancyData[[#This Row],[Life expectancy]:[Schooling]])</f>
        <v>0</v>
      </c>
    </row>
    <row r="374" spans="1:23" x14ac:dyDescent="0.25">
      <c r="A374" t="s">
        <v>387</v>
      </c>
      <c r="B374">
        <v>2011</v>
      </c>
      <c r="C374" t="s">
        <v>363</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Data_Completeness(LifeExpectancyData[[#This Row],[Life expectancy]:[Schooling]])</f>
        <v>0</v>
      </c>
    </row>
    <row r="375" spans="1:23" x14ac:dyDescent="0.25">
      <c r="A375" t="s">
        <v>387</v>
      </c>
      <c r="B375">
        <v>2010</v>
      </c>
      <c r="C375" t="s">
        <v>363</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Data_Completeness(LifeExpectancyData[[#This Row],[Life expectancy]:[Schooling]])</f>
        <v>0</v>
      </c>
    </row>
    <row r="376" spans="1:23" x14ac:dyDescent="0.25">
      <c r="A376" t="s">
        <v>387</v>
      </c>
      <c r="B376">
        <v>2009</v>
      </c>
      <c r="C376" t="s">
        <v>363</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Data_Completeness(LifeExpectancyData[[#This Row],[Life expectancy]:[Schooling]])</f>
        <v>0</v>
      </c>
    </row>
    <row r="377" spans="1:23" x14ac:dyDescent="0.25">
      <c r="A377" t="s">
        <v>387</v>
      </c>
      <c r="B377">
        <v>2008</v>
      </c>
      <c r="C377" t="s">
        <v>363</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Data_Completeness(LifeExpectancyData[[#This Row],[Life expectancy]:[Schooling]])</f>
        <v>0</v>
      </c>
    </row>
    <row r="378" spans="1:23" x14ac:dyDescent="0.25">
      <c r="A378" t="s">
        <v>387</v>
      </c>
      <c r="B378">
        <v>2007</v>
      </c>
      <c r="C378" t="s">
        <v>363</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Data_Completeness(LifeExpectancyData[[#This Row],[Life expectancy]:[Schooling]])</f>
        <v>0</v>
      </c>
    </row>
    <row r="379" spans="1:23" x14ac:dyDescent="0.25">
      <c r="A379" t="s">
        <v>387</v>
      </c>
      <c r="B379">
        <v>2006</v>
      </c>
      <c r="C379" t="s">
        <v>363</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Data_Completeness(LifeExpectancyData[[#This Row],[Life expectancy]:[Schooling]])</f>
        <v>0</v>
      </c>
    </row>
    <row r="380" spans="1:23" x14ac:dyDescent="0.25">
      <c r="A380" t="s">
        <v>387</v>
      </c>
      <c r="B380">
        <v>2005</v>
      </c>
      <c r="C380" t="s">
        <v>363</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Data_Completeness(LifeExpectancyData[[#This Row],[Life expectancy]:[Schooling]])</f>
        <v>0</v>
      </c>
    </row>
    <row r="381" spans="1:23" x14ac:dyDescent="0.25">
      <c r="A381" t="s">
        <v>387</v>
      </c>
      <c r="B381">
        <v>2004</v>
      </c>
      <c r="C381" t="s">
        <v>363</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Data_Completeness(LifeExpectancyData[[#This Row],[Life expectancy]:[Schooling]])</f>
        <v>0</v>
      </c>
    </row>
    <row r="382" spans="1:23" x14ac:dyDescent="0.25">
      <c r="A382" t="s">
        <v>387</v>
      </c>
      <c r="B382">
        <v>2003</v>
      </c>
      <c r="C382" t="s">
        <v>363</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Data_Completeness(LifeExpectancyData[[#This Row],[Life expectancy]:[Schooling]])</f>
        <v>0</v>
      </c>
    </row>
    <row r="383" spans="1:23" x14ac:dyDescent="0.25">
      <c r="A383" t="s">
        <v>387</v>
      </c>
      <c r="B383">
        <v>2002</v>
      </c>
      <c r="C383" t="s">
        <v>363</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Data_Completeness(LifeExpectancyData[[#This Row],[Life expectancy]:[Schooling]])</f>
        <v>0</v>
      </c>
    </row>
    <row r="384" spans="1:23" x14ac:dyDescent="0.25">
      <c r="A384" t="s">
        <v>387</v>
      </c>
      <c r="B384">
        <v>2001</v>
      </c>
      <c r="C384" t="s">
        <v>363</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Data_Completeness(LifeExpectancyData[[#This Row],[Life expectancy]:[Schooling]])</f>
        <v>0</v>
      </c>
    </row>
    <row r="385" spans="1:23" x14ac:dyDescent="0.25">
      <c r="A385" t="s">
        <v>387</v>
      </c>
      <c r="B385">
        <v>2000</v>
      </c>
      <c r="C385" t="s">
        <v>363</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Data_Completeness(LifeExpectancyData[[#This Row],[Life expectancy]:[Schooling]])</f>
        <v>0</v>
      </c>
    </row>
    <row r="386" spans="1:23" x14ac:dyDescent="0.25">
      <c r="A386" t="s">
        <v>388</v>
      </c>
      <c r="B386">
        <v>2015</v>
      </c>
      <c r="C386" t="s">
        <v>371</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Data_Completeness(LifeExpectancyData[[#This Row],[Life expectancy]:[Schooling]])</f>
        <v>0</v>
      </c>
    </row>
    <row r="387" spans="1:23" x14ac:dyDescent="0.25">
      <c r="A387" t="s">
        <v>388</v>
      </c>
      <c r="B387">
        <v>2014</v>
      </c>
      <c r="C387" t="s">
        <v>371</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Data_Completeness(LifeExpectancyData[[#This Row],[Life expectancy]:[Schooling]])</f>
        <v>1</v>
      </c>
    </row>
    <row r="388" spans="1:23" x14ac:dyDescent="0.25">
      <c r="A388" t="s">
        <v>388</v>
      </c>
      <c r="B388">
        <v>2013</v>
      </c>
      <c r="C388" t="s">
        <v>371</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Data_Completeness(LifeExpectancyData[[#This Row],[Life expectancy]:[Schooling]])</f>
        <v>1</v>
      </c>
    </row>
    <row r="389" spans="1:23" x14ac:dyDescent="0.25">
      <c r="A389" t="s">
        <v>388</v>
      </c>
      <c r="B389">
        <v>2012</v>
      </c>
      <c r="C389" t="s">
        <v>371</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Data_Completeness(LifeExpectancyData[[#This Row],[Life expectancy]:[Schooling]])</f>
        <v>1</v>
      </c>
    </row>
    <row r="390" spans="1:23" x14ac:dyDescent="0.25">
      <c r="A390" t="s">
        <v>388</v>
      </c>
      <c r="B390">
        <v>2011</v>
      </c>
      <c r="C390" t="s">
        <v>371</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Data_Completeness(LifeExpectancyData[[#This Row],[Life expectancy]:[Schooling]])</f>
        <v>1</v>
      </c>
    </row>
    <row r="391" spans="1:23" x14ac:dyDescent="0.25">
      <c r="A391" t="s">
        <v>388</v>
      </c>
      <c r="B391">
        <v>2010</v>
      </c>
      <c r="C391" t="s">
        <v>371</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Data_Completeness(LifeExpectancyData[[#This Row],[Life expectancy]:[Schooling]])</f>
        <v>1</v>
      </c>
    </row>
    <row r="392" spans="1:23" x14ac:dyDescent="0.25">
      <c r="A392" t="s">
        <v>388</v>
      </c>
      <c r="B392">
        <v>2009</v>
      </c>
      <c r="C392" t="s">
        <v>371</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Data_Completeness(LifeExpectancyData[[#This Row],[Life expectancy]:[Schooling]])</f>
        <v>1</v>
      </c>
    </row>
    <row r="393" spans="1:23" x14ac:dyDescent="0.25">
      <c r="A393" t="s">
        <v>388</v>
      </c>
      <c r="B393">
        <v>2008</v>
      </c>
      <c r="C393" t="s">
        <v>371</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Data_Completeness(LifeExpectancyData[[#This Row],[Life expectancy]:[Schooling]])</f>
        <v>1</v>
      </c>
    </row>
    <row r="394" spans="1:23" x14ac:dyDescent="0.25">
      <c r="A394" t="s">
        <v>388</v>
      </c>
      <c r="B394">
        <v>2007</v>
      </c>
      <c r="C394" t="s">
        <v>371</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Data_Completeness(LifeExpectancyData[[#This Row],[Life expectancy]:[Schooling]])</f>
        <v>1</v>
      </c>
    </row>
    <row r="395" spans="1:23" x14ac:dyDescent="0.25">
      <c r="A395" t="s">
        <v>388</v>
      </c>
      <c r="B395">
        <v>2006</v>
      </c>
      <c r="C395" t="s">
        <v>371</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Data_Completeness(LifeExpectancyData[[#This Row],[Life expectancy]:[Schooling]])</f>
        <v>1</v>
      </c>
    </row>
    <row r="396" spans="1:23" x14ac:dyDescent="0.25">
      <c r="A396" t="s">
        <v>388</v>
      </c>
      <c r="B396">
        <v>2005</v>
      </c>
      <c r="C396" t="s">
        <v>371</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Data_Completeness(LifeExpectancyData[[#This Row],[Life expectancy]:[Schooling]])</f>
        <v>1</v>
      </c>
    </row>
    <row r="397" spans="1:23" x14ac:dyDescent="0.25">
      <c r="A397" t="s">
        <v>388</v>
      </c>
      <c r="B397">
        <v>2004</v>
      </c>
      <c r="C397" t="s">
        <v>371</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Data_Completeness(LifeExpectancyData[[#This Row],[Life expectancy]:[Schooling]])</f>
        <v>1</v>
      </c>
    </row>
    <row r="398" spans="1:23" x14ac:dyDescent="0.25">
      <c r="A398" t="s">
        <v>388</v>
      </c>
      <c r="B398">
        <v>2003</v>
      </c>
      <c r="C398" t="s">
        <v>371</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Data_Completeness(LifeExpectancyData[[#This Row],[Life expectancy]:[Schooling]])</f>
        <v>1</v>
      </c>
    </row>
    <row r="399" spans="1:23" x14ac:dyDescent="0.25">
      <c r="A399" t="s">
        <v>388</v>
      </c>
      <c r="B399">
        <v>2002</v>
      </c>
      <c r="C399" t="s">
        <v>371</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Data_Completeness(LifeExpectancyData[[#This Row],[Life expectancy]:[Schooling]])</f>
        <v>1</v>
      </c>
    </row>
    <row r="400" spans="1:23" x14ac:dyDescent="0.25">
      <c r="A400" t="s">
        <v>388</v>
      </c>
      <c r="B400">
        <v>2001</v>
      </c>
      <c r="C400" t="s">
        <v>371</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Data_Completeness(LifeExpectancyData[[#This Row],[Life expectancy]:[Schooling]])</f>
        <v>1</v>
      </c>
    </row>
    <row r="401" spans="1:23" x14ac:dyDescent="0.25">
      <c r="A401" t="s">
        <v>388</v>
      </c>
      <c r="B401">
        <v>2000</v>
      </c>
      <c r="C401" t="s">
        <v>371</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Data_Completeness(LifeExpectancyData[[#This Row],[Life expectancy]:[Schooling]])</f>
        <v>1</v>
      </c>
    </row>
    <row r="402" spans="1:23" x14ac:dyDescent="0.25">
      <c r="A402" t="s">
        <v>389</v>
      </c>
      <c r="B402">
        <v>2015</v>
      </c>
      <c r="C402" t="s">
        <v>363</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Data_Completeness(LifeExpectancyData[[#This Row],[Life expectancy]:[Schooling]])</f>
        <v>0</v>
      </c>
    </row>
    <row r="403" spans="1:23" x14ac:dyDescent="0.25">
      <c r="A403" t="s">
        <v>389</v>
      </c>
      <c r="B403">
        <v>2014</v>
      </c>
      <c r="C403" t="s">
        <v>363</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Data_Completeness(LifeExpectancyData[[#This Row],[Life expectancy]:[Schooling]])</f>
        <v>1</v>
      </c>
    </row>
    <row r="404" spans="1:23" x14ac:dyDescent="0.25">
      <c r="A404" t="s">
        <v>389</v>
      </c>
      <c r="B404">
        <v>2013</v>
      </c>
      <c r="C404" t="s">
        <v>363</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Data_Completeness(LifeExpectancyData[[#This Row],[Life expectancy]:[Schooling]])</f>
        <v>1</v>
      </c>
    </row>
    <row r="405" spans="1:23" x14ac:dyDescent="0.25">
      <c r="A405" t="s">
        <v>389</v>
      </c>
      <c r="B405">
        <v>2012</v>
      </c>
      <c r="C405" t="s">
        <v>363</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Data_Completeness(LifeExpectancyData[[#This Row],[Life expectancy]:[Schooling]])</f>
        <v>1</v>
      </c>
    </row>
    <row r="406" spans="1:23" x14ac:dyDescent="0.25">
      <c r="A406" t="s">
        <v>389</v>
      </c>
      <c r="B406">
        <v>2011</v>
      </c>
      <c r="C406" t="s">
        <v>363</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Data_Completeness(LifeExpectancyData[[#This Row],[Life expectancy]:[Schooling]])</f>
        <v>1</v>
      </c>
    </row>
    <row r="407" spans="1:23" x14ac:dyDescent="0.25">
      <c r="A407" t="s">
        <v>389</v>
      </c>
      <c r="B407">
        <v>2010</v>
      </c>
      <c r="C407" t="s">
        <v>363</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Data_Completeness(LifeExpectancyData[[#This Row],[Life expectancy]:[Schooling]])</f>
        <v>1</v>
      </c>
    </row>
    <row r="408" spans="1:23" x14ac:dyDescent="0.25">
      <c r="A408" t="s">
        <v>389</v>
      </c>
      <c r="B408">
        <v>2009</v>
      </c>
      <c r="C408" t="s">
        <v>363</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Data_Completeness(LifeExpectancyData[[#This Row],[Life expectancy]:[Schooling]])</f>
        <v>1</v>
      </c>
    </row>
    <row r="409" spans="1:23" x14ac:dyDescent="0.25">
      <c r="A409" t="s">
        <v>389</v>
      </c>
      <c r="B409">
        <v>2008</v>
      </c>
      <c r="C409" t="s">
        <v>363</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Data_Completeness(LifeExpectancyData[[#This Row],[Life expectancy]:[Schooling]])</f>
        <v>1</v>
      </c>
    </row>
    <row r="410" spans="1:23" x14ac:dyDescent="0.25">
      <c r="A410" t="s">
        <v>389</v>
      </c>
      <c r="B410">
        <v>2007</v>
      </c>
      <c r="C410" t="s">
        <v>363</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Data_Completeness(LifeExpectancyData[[#This Row],[Life expectancy]:[Schooling]])</f>
        <v>1</v>
      </c>
    </row>
    <row r="411" spans="1:23" x14ac:dyDescent="0.25">
      <c r="A411" t="s">
        <v>389</v>
      </c>
      <c r="B411">
        <v>2006</v>
      </c>
      <c r="C411" t="s">
        <v>363</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Data_Completeness(LifeExpectancyData[[#This Row],[Life expectancy]:[Schooling]])</f>
        <v>1</v>
      </c>
    </row>
    <row r="412" spans="1:23" x14ac:dyDescent="0.25">
      <c r="A412" t="s">
        <v>389</v>
      </c>
      <c r="B412">
        <v>2005</v>
      </c>
      <c r="C412" t="s">
        <v>363</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Data_Completeness(LifeExpectancyData[[#This Row],[Life expectancy]:[Schooling]])</f>
        <v>0</v>
      </c>
    </row>
    <row r="413" spans="1:23" x14ac:dyDescent="0.25">
      <c r="A413" t="s">
        <v>389</v>
      </c>
      <c r="B413">
        <v>2004</v>
      </c>
      <c r="C413" t="s">
        <v>363</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Data_Completeness(LifeExpectancyData[[#This Row],[Life expectancy]:[Schooling]])</f>
        <v>0</v>
      </c>
    </row>
    <row r="414" spans="1:23" x14ac:dyDescent="0.25">
      <c r="A414" t="s">
        <v>389</v>
      </c>
      <c r="B414">
        <v>2003</v>
      </c>
      <c r="C414" t="s">
        <v>363</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Data_Completeness(LifeExpectancyData[[#This Row],[Life expectancy]:[Schooling]])</f>
        <v>0</v>
      </c>
    </row>
    <row r="415" spans="1:23" x14ac:dyDescent="0.25">
      <c r="A415" t="s">
        <v>389</v>
      </c>
      <c r="B415">
        <v>2002</v>
      </c>
      <c r="C415" t="s">
        <v>363</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Data_Completeness(LifeExpectancyData[[#This Row],[Life expectancy]:[Schooling]])</f>
        <v>0</v>
      </c>
    </row>
    <row r="416" spans="1:23" x14ac:dyDescent="0.25">
      <c r="A416" t="s">
        <v>389</v>
      </c>
      <c r="B416">
        <v>2001</v>
      </c>
      <c r="C416" t="s">
        <v>363</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Data_Completeness(LifeExpectancyData[[#This Row],[Life expectancy]:[Schooling]])</f>
        <v>0</v>
      </c>
    </row>
    <row r="417" spans="1:23" x14ac:dyDescent="0.25">
      <c r="A417" t="s">
        <v>389</v>
      </c>
      <c r="B417">
        <v>2000</v>
      </c>
      <c r="C417" t="s">
        <v>363</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Data_Completeness(LifeExpectancyData[[#This Row],[Life expectancy]:[Schooling]])</f>
        <v>0</v>
      </c>
    </row>
    <row r="418" spans="1:23" x14ac:dyDescent="0.25">
      <c r="A418" t="s">
        <v>390</v>
      </c>
      <c r="B418">
        <v>2015</v>
      </c>
      <c r="C418" t="s">
        <v>363</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Data_Completeness(LifeExpectancyData[[#This Row],[Life expectancy]:[Schooling]])</f>
        <v>0</v>
      </c>
    </row>
    <row r="419" spans="1:23" x14ac:dyDescent="0.25">
      <c r="A419" t="s">
        <v>390</v>
      </c>
      <c r="B419">
        <v>2014</v>
      </c>
      <c r="C419" t="s">
        <v>363</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Data_Completeness(LifeExpectancyData[[#This Row],[Life expectancy]:[Schooling]])</f>
        <v>1</v>
      </c>
    </row>
    <row r="420" spans="1:23" x14ac:dyDescent="0.25">
      <c r="A420" t="s">
        <v>390</v>
      </c>
      <c r="B420">
        <v>2013</v>
      </c>
      <c r="C420" t="s">
        <v>363</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Data_Completeness(LifeExpectancyData[[#This Row],[Life expectancy]:[Schooling]])</f>
        <v>1</v>
      </c>
    </row>
    <row r="421" spans="1:23" x14ac:dyDescent="0.25">
      <c r="A421" t="s">
        <v>390</v>
      </c>
      <c r="B421">
        <v>2012</v>
      </c>
      <c r="C421" t="s">
        <v>363</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Data_Completeness(LifeExpectancyData[[#This Row],[Life expectancy]:[Schooling]])</f>
        <v>1</v>
      </c>
    </row>
    <row r="422" spans="1:23" x14ac:dyDescent="0.25">
      <c r="A422" t="s">
        <v>390</v>
      </c>
      <c r="B422">
        <v>2011</v>
      </c>
      <c r="C422" t="s">
        <v>363</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Data_Completeness(LifeExpectancyData[[#This Row],[Life expectancy]:[Schooling]])</f>
        <v>1</v>
      </c>
    </row>
    <row r="423" spans="1:23" x14ac:dyDescent="0.25">
      <c r="A423" t="s">
        <v>390</v>
      </c>
      <c r="B423">
        <v>2010</v>
      </c>
      <c r="C423" t="s">
        <v>363</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Data_Completeness(LifeExpectancyData[[#This Row],[Life expectancy]:[Schooling]])</f>
        <v>1</v>
      </c>
    </row>
    <row r="424" spans="1:23" x14ac:dyDescent="0.25">
      <c r="A424" t="s">
        <v>390</v>
      </c>
      <c r="B424">
        <v>2009</v>
      </c>
      <c r="C424" t="s">
        <v>363</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Data_Completeness(LifeExpectancyData[[#This Row],[Life expectancy]:[Schooling]])</f>
        <v>1</v>
      </c>
    </row>
    <row r="425" spans="1:23" x14ac:dyDescent="0.25">
      <c r="A425" t="s">
        <v>390</v>
      </c>
      <c r="B425">
        <v>2008</v>
      </c>
      <c r="C425" t="s">
        <v>363</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Data_Completeness(LifeExpectancyData[[#This Row],[Life expectancy]:[Schooling]])</f>
        <v>1</v>
      </c>
    </row>
    <row r="426" spans="1:23" x14ac:dyDescent="0.25">
      <c r="A426" t="s">
        <v>390</v>
      </c>
      <c r="B426">
        <v>2007</v>
      </c>
      <c r="C426" t="s">
        <v>363</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Data_Completeness(LifeExpectancyData[[#This Row],[Life expectancy]:[Schooling]])</f>
        <v>1</v>
      </c>
    </row>
    <row r="427" spans="1:23" x14ac:dyDescent="0.25">
      <c r="A427" t="s">
        <v>390</v>
      </c>
      <c r="B427">
        <v>2006</v>
      </c>
      <c r="C427" t="s">
        <v>363</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Data_Completeness(LifeExpectancyData[[#This Row],[Life expectancy]:[Schooling]])</f>
        <v>1</v>
      </c>
    </row>
    <row r="428" spans="1:23" x14ac:dyDescent="0.25">
      <c r="A428" t="s">
        <v>390</v>
      </c>
      <c r="B428">
        <v>2005</v>
      </c>
      <c r="C428" t="s">
        <v>363</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Data_Completeness(LifeExpectancyData[[#This Row],[Life expectancy]:[Schooling]])</f>
        <v>1</v>
      </c>
    </row>
    <row r="429" spans="1:23" x14ac:dyDescent="0.25">
      <c r="A429" t="s">
        <v>390</v>
      </c>
      <c r="B429">
        <v>2004</v>
      </c>
      <c r="C429" t="s">
        <v>363</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Data_Completeness(LifeExpectancyData[[#This Row],[Life expectancy]:[Schooling]])</f>
        <v>1</v>
      </c>
    </row>
    <row r="430" spans="1:23" x14ac:dyDescent="0.25">
      <c r="A430" t="s">
        <v>390</v>
      </c>
      <c r="B430">
        <v>2003</v>
      </c>
      <c r="C430" t="s">
        <v>363</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Data_Completeness(LifeExpectancyData[[#This Row],[Life expectancy]:[Schooling]])</f>
        <v>0</v>
      </c>
    </row>
    <row r="431" spans="1:23" x14ac:dyDescent="0.25">
      <c r="A431" t="s">
        <v>390</v>
      </c>
      <c r="B431">
        <v>2002</v>
      </c>
      <c r="C431" t="s">
        <v>363</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Data_Completeness(LifeExpectancyData[[#This Row],[Life expectancy]:[Schooling]])</f>
        <v>0</v>
      </c>
    </row>
    <row r="432" spans="1:23" x14ac:dyDescent="0.25">
      <c r="A432" t="s">
        <v>390</v>
      </c>
      <c r="B432">
        <v>2001</v>
      </c>
      <c r="C432" t="s">
        <v>363</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Data_Completeness(LifeExpectancyData[[#This Row],[Life expectancy]:[Schooling]])</f>
        <v>0</v>
      </c>
    </row>
    <row r="433" spans="1:23" x14ac:dyDescent="0.25">
      <c r="A433" t="s">
        <v>390</v>
      </c>
      <c r="B433">
        <v>2000</v>
      </c>
      <c r="C433" t="s">
        <v>363</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Data_Completeness(LifeExpectancyData[[#This Row],[Life expectancy]:[Schooling]])</f>
        <v>0</v>
      </c>
    </row>
    <row r="434" spans="1:23" x14ac:dyDescent="0.25">
      <c r="A434" t="s">
        <v>391</v>
      </c>
      <c r="B434">
        <v>2015</v>
      </c>
      <c r="C434" t="s">
        <v>363</v>
      </c>
      <c r="D434">
        <v>53.3</v>
      </c>
      <c r="E434">
        <v>397</v>
      </c>
      <c r="F434">
        <v>57</v>
      </c>
      <c r="H434">
        <v>0</v>
      </c>
      <c r="I434">
        <v>83</v>
      </c>
      <c r="J434">
        <v>65</v>
      </c>
      <c r="K434">
        <v>28</v>
      </c>
      <c r="L434">
        <v>79</v>
      </c>
      <c r="M434">
        <v>81</v>
      </c>
      <c r="O434">
        <v>83</v>
      </c>
      <c r="P434">
        <v>1.9</v>
      </c>
      <c r="S434">
        <v>5.5</v>
      </c>
      <c r="T434">
        <v>5.5</v>
      </c>
      <c r="W434" t="b">
        <f>Data_Completeness(LifeExpectancyData[[#This Row],[Life expectancy]:[Schooling]])</f>
        <v>0</v>
      </c>
    </row>
    <row r="435" spans="1:23" x14ac:dyDescent="0.25">
      <c r="A435" t="s">
        <v>391</v>
      </c>
      <c r="B435">
        <v>2014</v>
      </c>
      <c r="C435" t="s">
        <v>363</v>
      </c>
      <c r="D435">
        <v>52.8</v>
      </c>
      <c r="E435">
        <v>47</v>
      </c>
      <c r="F435">
        <v>58</v>
      </c>
      <c r="G435">
        <v>0.01</v>
      </c>
      <c r="H435">
        <v>0</v>
      </c>
      <c r="I435">
        <v>76</v>
      </c>
      <c r="J435">
        <v>50</v>
      </c>
      <c r="K435">
        <v>27.4</v>
      </c>
      <c r="L435">
        <v>80</v>
      </c>
      <c r="M435">
        <v>76</v>
      </c>
      <c r="N435">
        <v>5.72</v>
      </c>
      <c r="O435">
        <v>76</v>
      </c>
      <c r="P435">
        <v>2</v>
      </c>
      <c r="S435">
        <v>5.6</v>
      </c>
      <c r="T435">
        <v>5.6</v>
      </c>
      <c r="W435" t="b">
        <f>Data_Completeness(LifeExpectancyData[[#This Row],[Life expectancy]:[Schooling]])</f>
        <v>0</v>
      </c>
    </row>
    <row r="436" spans="1:23" x14ac:dyDescent="0.25">
      <c r="A436" t="s">
        <v>391</v>
      </c>
      <c r="B436">
        <v>2013</v>
      </c>
      <c r="C436" t="s">
        <v>363</v>
      </c>
      <c r="D436">
        <v>52.3</v>
      </c>
      <c r="E436">
        <v>412</v>
      </c>
      <c r="F436">
        <v>59</v>
      </c>
      <c r="G436">
        <v>3.15</v>
      </c>
      <c r="H436">
        <v>0</v>
      </c>
      <c r="I436">
        <v>8</v>
      </c>
      <c r="J436">
        <v>48</v>
      </c>
      <c r="K436">
        <v>26.8</v>
      </c>
      <c r="L436">
        <v>81</v>
      </c>
      <c r="M436">
        <v>79</v>
      </c>
      <c r="N436">
        <v>5.81</v>
      </c>
      <c r="O436">
        <v>8</v>
      </c>
      <c r="P436">
        <v>2.4</v>
      </c>
      <c r="S436">
        <v>5.8</v>
      </c>
      <c r="T436">
        <v>5.7</v>
      </c>
      <c r="W436" t="b">
        <f>Data_Completeness(LifeExpectancyData[[#This Row],[Life expectancy]:[Schooling]])</f>
        <v>0</v>
      </c>
    </row>
    <row r="437" spans="1:23" x14ac:dyDescent="0.25">
      <c r="A437" t="s">
        <v>391</v>
      </c>
      <c r="B437">
        <v>2012</v>
      </c>
      <c r="C437" t="s">
        <v>363</v>
      </c>
      <c r="D437">
        <v>52</v>
      </c>
      <c r="E437">
        <v>415</v>
      </c>
      <c r="F437">
        <v>59</v>
      </c>
      <c r="G437">
        <v>3.24</v>
      </c>
      <c r="H437">
        <v>0</v>
      </c>
      <c r="I437">
        <v>82</v>
      </c>
      <c r="J437">
        <v>137</v>
      </c>
      <c r="K437">
        <v>26.2</v>
      </c>
      <c r="L437">
        <v>82</v>
      </c>
      <c r="M437">
        <v>83</v>
      </c>
      <c r="N437">
        <v>6.14</v>
      </c>
      <c r="O437">
        <v>82</v>
      </c>
      <c r="P437">
        <v>2.9</v>
      </c>
      <c r="S437">
        <v>5.9</v>
      </c>
      <c r="T437">
        <v>5.9</v>
      </c>
      <c r="W437" t="b">
        <f>Data_Completeness(LifeExpectancyData[[#This Row],[Life expectancy]:[Schooling]])</f>
        <v>0</v>
      </c>
    </row>
    <row r="438" spans="1:23" x14ac:dyDescent="0.25">
      <c r="A438" t="s">
        <v>391</v>
      </c>
      <c r="B438">
        <v>2011</v>
      </c>
      <c r="C438" t="s">
        <v>363</v>
      </c>
      <c r="D438">
        <v>51.7</v>
      </c>
      <c r="E438">
        <v>419</v>
      </c>
      <c r="F438">
        <v>60</v>
      </c>
      <c r="G438">
        <v>3.13</v>
      </c>
      <c r="H438">
        <v>0</v>
      </c>
      <c r="I438">
        <v>62</v>
      </c>
      <c r="J438">
        <v>628</v>
      </c>
      <c r="K438">
        <v>25.6</v>
      </c>
      <c r="L438">
        <v>83</v>
      </c>
      <c r="M438">
        <v>58</v>
      </c>
      <c r="N438">
        <v>6.42</v>
      </c>
      <c r="O438">
        <v>62</v>
      </c>
      <c r="P438">
        <v>3.3</v>
      </c>
      <c r="S438">
        <v>6.1</v>
      </c>
      <c r="T438">
        <v>6</v>
      </c>
      <c r="W438" t="b">
        <f>Data_Completeness(LifeExpectancyData[[#This Row],[Life expectancy]:[Schooling]])</f>
        <v>0</v>
      </c>
    </row>
    <row r="439" spans="1:23" x14ac:dyDescent="0.25">
      <c r="A439" t="s">
        <v>391</v>
      </c>
      <c r="B439">
        <v>2010</v>
      </c>
      <c r="C439" t="s">
        <v>363</v>
      </c>
      <c r="D439">
        <v>51.5</v>
      </c>
      <c r="E439">
        <v>417</v>
      </c>
      <c r="F439">
        <v>60</v>
      </c>
      <c r="G439">
        <v>3.15</v>
      </c>
      <c r="H439">
        <v>0</v>
      </c>
      <c r="I439">
        <v>85</v>
      </c>
      <c r="J439">
        <v>441</v>
      </c>
      <c r="K439">
        <v>25</v>
      </c>
      <c r="L439">
        <v>84</v>
      </c>
      <c r="M439">
        <v>81</v>
      </c>
      <c r="N439">
        <v>6.32</v>
      </c>
      <c r="O439">
        <v>85</v>
      </c>
      <c r="P439">
        <v>3.3</v>
      </c>
      <c r="S439">
        <v>6.3</v>
      </c>
      <c r="T439">
        <v>6.2</v>
      </c>
      <c r="W439" t="b">
        <f>Data_Completeness(LifeExpectancyData[[#This Row],[Life expectancy]:[Schooling]])</f>
        <v>0</v>
      </c>
    </row>
    <row r="440" spans="1:23" x14ac:dyDescent="0.25">
      <c r="A440" t="s">
        <v>391</v>
      </c>
      <c r="B440">
        <v>2009</v>
      </c>
      <c r="C440" t="s">
        <v>363</v>
      </c>
      <c r="D440">
        <v>51</v>
      </c>
      <c r="E440">
        <v>426</v>
      </c>
      <c r="F440">
        <v>60</v>
      </c>
      <c r="G440">
        <v>2.92</v>
      </c>
      <c r="H440">
        <v>0</v>
      </c>
      <c r="I440">
        <v>81</v>
      </c>
      <c r="J440">
        <v>183</v>
      </c>
      <c r="K440">
        <v>24.4</v>
      </c>
      <c r="L440">
        <v>84</v>
      </c>
      <c r="M440">
        <v>77</v>
      </c>
      <c r="N440">
        <v>6.41</v>
      </c>
      <c r="O440">
        <v>81</v>
      </c>
      <c r="P440">
        <v>3.7</v>
      </c>
      <c r="S440">
        <v>6.5</v>
      </c>
      <c r="T440">
        <v>6.4</v>
      </c>
      <c r="W440" t="b">
        <f>Data_Completeness(LifeExpectancyData[[#This Row],[Life expectancy]:[Schooling]])</f>
        <v>0</v>
      </c>
    </row>
    <row r="441" spans="1:23" x14ac:dyDescent="0.25">
      <c r="A441" t="s">
        <v>391</v>
      </c>
      <c r="B441">
        <v>2008</v>
      </c>
      <c r="C441" t="s">
        <v>363</v>
      </c>
      <c r="D441">
        <v>54</v>
      </c>
      <c r="E441">
        <v>437</v>
      </c>
      <c r="F441">
        <v>60</v>
      </c>
      <c r="G441">
        <v>2.69</v>
      </c>
      <c r="H441">
        <v>0</v>
      </c>
      <c r="I441">
        <v>74</v>
      </c>
      <c r="J441">
        <v>12</v>
      </c>
      <c r="K441">
        <v>23.8</v>
      </c>
      <c r="L441">
        <v>85</v>
      </c>
      <c r="M441">
        <v>58</v>
      </c>
      <c r="N441">
        <v>6.21</v>
      </c>
      <c r="O441">
        <v>74</v>
      </c>
      <c r="P441">
        <v>4.0999999999999996</v>
      </c>
      <c r="S441">
        <v>6.6</v>
      </c>
      <c r="T441">
        <v>6.6</v>
      </c>
      <c r="W441" t="b">
        <f>Data_Completeness(LifeExpectancyData[[#This Row],[Life expectancy]:[Schooling]])</f>
        <v>0</v>
      </c>
    </row>
    <row r="442" spans="1:23" x14ac:dyDescent="0.25">
      <c r="A442" t="s">
        <v>391</v>
      </c>
      <c r="B442">
        <v>2007</v>
      </c>
      <c r="C442" t="s">
        <v>363</v>
      </c>
      <c r="D442">
        <v>49.9</v>
      </c>
      <c r="E442">
        <v>443</v>
      </c>
      <c r="F442">
        <v>61</v>
      </c>
      <c r="G442">
        <v>2.58</v>
      </c>
      <c r="H442">
        <v>0</v>
      </c>
      <c r="I442">
        <v>76</v>
      </c>
      <c r="J442">
        <v>5</v>
      </c>
      <c r="K442">
        <v>23.2</v>
      </c>
      <c r="L442">
        <v>87</v>
      </c>
      <c r="M442">
        <v>75</v>
      </c>
      <c r="N442">
        <v>6.35</v>
      </c>
      <c r="O442">
        <v>76</v>
      </c>
      <c r="P442">
        <v>5.3</v>
      </c>
      <c r="S442">
        <v>6.8</v>
      </c>
      <c r="T442">
        <v>6.7</v>
      </c>
      <c r="W442" t="b">
        <f>Data_Completeness(LifeExpectancyData[[#This Row],[Life expectancy]:[Schooling]])</f>
        <v>0</v>
      </c>
    </row>
    <row r="443" spans="1:23" x14ac:dyDescent="0.25">
      <c r="A443" t="s">
        <v>391</v>
      </c>
      <c r="B443">
        <v>2006</v>
      </c>
      <c r="C443" t="s">
        <v>363</v>
      </c>
      <c r="D443">
        <v>49.4</v>
      </c>
      <c r="E443">
        <v>452</v>
      </c>
      <c r="F443">
        <v>62</v>
      </c>
      <c r="G443">
        <v>2.65</v>
      </c>
      <c r="H443">
        <v>0</v>
      </c>
      <c r="I443">
        <v>77</v>
      </c>
      <c r="J443">
        <v>11</v>
      </c>
      <c r="K443">
        <v>22.6</v>
      </c>
      <c r="L443">
        <v>89</v>
      </c>
      <c r="M443">
        <v>76</v>
      </c>
      <c r="N443">
        <v>5.87</v>
      </c>
      <c r="O443">
        <v>77</v>
      </c>
      <c r="P443">
        <v>5.8</v>
      </c>
      <c r="S443">
        <v>7</v>
      </c>
      <c r="T443">
        <v>6.9</v>
      </c>
      <c r="W443" t="b">
        <f>Data_Completeness(LifeExpectancyData[[#This Row],[Life expectancy]:[Schooling]])</f>
        <v>0</v>
      </c>
    </row>
    <row r="444" spans="1:23" x14ac:dyDescent="0.25">
      <c r="A444" t="s">
        <v>391</v>
      </c>
      <c r="B444">
        <v>2005</v>
      </c>
      <c r="C444" t="s">
        <v>363</v>
      </c>
      <c r="D444">
        <v>48.7</v>
      </c>
      <c r="E444">
        <v>466</v>
      </c>
      <c r="F444">
        <v>63</v>
      </c>
      <c r="G444">
        <v>3.11</v>
      </c>
      <c r="H444">
        <v>0</v>
      </c>
      <c r="I444">
        <v>76</v>
      </c>
      <c r="J444">
        <v>115</v>
      </c>
      <c r="K444">
        <v>22.1</v>
      </c>
      <c r="L444">
        <v>90</v>
      </c>
      <c r="M444">
        <v>87</v>
      </c>
      <c r="N444">
        <v>5.39</v>
      </c>
      <c r="O444">
        <v>76</v>
      </c>
      <c r="P444">
        <v>6.1</v>
      </c>
      <c r="S444">
        <v>7.2</v>
      </c>
      <c r="T444">
        <v>7.1</v>
      </c>
      <c r="W444" t="b">
        <f>Data_Completeness(LifeExpectancyData[[#This Row],[Life expectancy]:[Schooling]])</f>
        <v>0</v>
      </c>
    </row>
    <row r="445" spans="1:23" x14ac:dyDescent="0.25">
      <c r="A445" t="s">
        <v>391</v>
      </c>
      <c r="B445">
        <v>2004</v>
      </c>
      <c r="C445" t="s">
        <v>363</v>
      </c>
      <c r="D445">
        <v>48.2</v>
      </c>
      <c r="E445">
        <v>472</v>
      </c>
      <c r="F445">
        <v>64</v>
      </c>
      <c r="G445">
        <v>3.08</v>
      </c>
      <c r="H445">
        <v>0</v>
      </c>
      <c r="I445">
        <v>67</v>
      </c>
      <c r="J445">
        <v>3466</v>
      </c>
      <c r="K445">
        <v>21.5</v>
      </c>
      <c r="L445">
        <v>91</v>
      </c>
      <c r="M445">
        <v>76</v>
      </c>
      <c r="N445">
        <v>5.24</v>
      </c>
      <c r="O445">
        <v>67</v>
      </c>
      <c r="P445">
        <v>6.5</v>
      </c>
      <c r="S445">
        <v>7.3</v>
      </c>
      <c r="T445">
        <v>7.3</v>
      </c>
      <c r="W445" t="b">
        <f>Data_Completeness(LifeExpectancyData[[#This Row],[Life expectancy]:[Schooling]])</f>
        <v>0</v>
      </c>
    </row>
    <row r="446" spans="1:23" x14ac:dyDescent="0.25">
      <c r="A446" t="s">
        <v>391</v>
      </c>
      <c r="B446">
        <v>2003</v>
      </c>
      <c r="C446" t="s">
        <v>363</v>
      </c>
      <c r="D446">
        <v>48</v>
      </c>
      <c r="E446">
        <v>473</v>
      </c>
      <c r="F446">
        <v>64</v>
      </c>
      <c r="G446">
        <v>3.12</v>
      </c>
      <c r="H446">
        <v>0</v>
      </c>
      <c r="I446">
        <v>63</v>
      </c>
      <c r="J446">
        <v>4770</v>
      </c>
      <c r="K446">
        <v>2.9</v>
      </c>
      <c r="L446">
        <v>92</v>
      </c>
      <c r="M446">
        <v>68</v>
      </c>
      <c r="N446">
        <v>4.6500000000000004</v>
      </c>
      <c r="O446">
        <v>61</v>
      </c>
      <c r="P446">
        <v>6.7</v>
      </c>
      <c r="S446">
        <v>7.5</v>
      </c>
      <c r="T446">
        <v>7.5</v>
      </c>
      <c r="W446" t="b">
        <f>Data_Completeness(LifeExpectancyData[[#This Row],[Life expectancy]:[Schooling]])</f>
        <v>0</v>
      </c>
    </row>
    <row r="447" spans="1:23" x14ac:dyDescent="0.25">
      <c r="A447" t="s">
        <v>391</v>
      </c>
      <c r="B447">
        <v>2002</v>
      </c>
      <c r="C447" t="s">
        <v>363</v>
      </c>
      <c r="D447">
        <v>47.7</v>
      </c>
      <c r="E447">
        <v>473</v>
      </c>
      <c r="F447">
        <v>65</v>
      </c>
      <c r="G447">
        <v>3.13</v>
      </c>
      <c r="H447">
        <v>0</v>
      </c>
      <c r="I447">
        <v>48</v>
      </c>
      <c r="J447">
        <v>5882</v>
      </c>
      <c r="K447">
        <v>2.4</v>
      </c>
      <c r="L447">
        <v>93</v>
      </c>
      <c r="M447">
        <v>7</v>
      </c>
      <c r="N447">
        <v>4.47</v>
      </c>
      <c r="O447">
        <v>64</v>
      </c>
      <c r="P447">
        <v>6.9</v>
      </c>
      <c r="S447">
        <v>7.7</v>
      </c>
      <c r="T447">
        <v>7.7</v>
      </c>
      <c r="W447" t="b">
        <f>Data_Completeness(LifeExpectancyData[[#This Row],[Life expectancy]:[Schooling]])</f>
        <v>0</v>
      </c>
    </row>
    <row r="448" spans="1:23" x14ac:dyDescent="0.25">
      <c r="A448" t="s">
        <v>391</v>
      </c>
      <c r="B448">
        <v>2001</v>
      </c>
      <c r="C448" t="s">
        <v>363</v>
      </c>
      <c r="D448">
        <v>47.8</v>
      </c>
      <c r="E448">
        <v>467</v>
      </c>
      <c r="F448">
        <v>65</v>
      </c>
      <c r="G448">
        <v>3.15</v>
      </c>
      <c r="H448">
        <v>0</v>
      </c>
      <c r="I448">
        <v>1</v>
      </c>
      <c r="J448">
        <v>5790</v>
      </c>
      <c r="K448">
        <v>19.899999999999999</v>
      </c>
      <c r="L448">
        <v>94</v>
      </c>
      <c r="M448">
        <v>7</v>
      </c>
      <c r="N448">
        <v>4.8499999999999996</v>
      </c>
      <c r="O448">
        <v>66</v>
      </c>
      <c r="P448">
        <v>7</v>
      </c>
      <c r="S448">
        <v>7.9</v>
      </c>
      <c r="T448">
        <v>7.9</v>
      </c>
      <c r="W448" t="b">
        <f>Data_Completeness(LifeExpectancyData[[#This Row],[Life expectancy]:[Schooling]])</f>
        <v>0</v>
      </c>
    </row>
    <row r="449" spans="1:23" x14ac:dyDescent="0.25">
      <c r="A449" t="s">
        <v>391</v>
      </c>
      <c r="B449">
        <v>2000</v>
      </c>
      <c r="C449" t="s">
        <v>363</v>
      </c>
      <c r="D449">
        <v>47.9</v>
      </c>
      <c r="E449">
        <v>461</v>
      </c>
      <c r="F449">
        <v>67</v>
      </c>
      <c r="G449">
        <v>3.45</v>
      </c>
      <c r="H449">
        <v>0</v>
      </c>
      <c r="J449">
        <v>5729</v>
      </c>
      <c r="K449">
        <v>19.399999999999999</v>
      </c>
      <c r="L449">
        <v>95</v>
      </c>
      <c r="M449">
        <v>66</v>
      </c>
      <c r="N449">
        <v>6</v>
      </c>
      <c r="O449">
        <v>65</v>
      </c>
      <c r="P449">
        <v>7.1</v>
      </c>
      <c r="S449">
        <v>8.1</v>
      </c>
      <c r="T449">
        <v>8.1</v>
      </c>
      <c r="W449" t="b">
        <f>Data_Completeness(LifeExpectancyData[[#This Row],[Life expectancy]:[Schooling]])</f>
        <v>0</v>
      </c>
    </row>
    <row r="450" spans="1:23" x14ac:dyDescent="0.25">
      <c r="A450" t="s">
        <v>392</v>
      </c>
      <c r="B450">
        <v>2015</v>
      </c>
      <c r="C450" t="s">
        <v>363</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Data_Completeness(LifeExpectancyData[[#This Row],[Life expectancy]:[Schooling]])</f>
        <v>0</v>
      </c>
    </row>
    <row r="451" spans="1:23" x14ac:dyDescent="0.25">
      <c r="A451" t="s">
        <v>392</v>
      </c>
      <c r="B451">
        <v>2014</v>
      </c>
      <c r="C451" t="s">
        <v>363</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Data_Completeness(LifeExpectancyData[[#This Row],[Life expectancy]:[Schooling]])</f>
        <v>1</v>
      </c>
    </row>
    <row r="452" spans="1:23" x14ac:dyDescent="0.25">
      <c r="A452" t="s">
        <v>392</v>
      </c>
      <c r="B452">
        <v>2013</v>
      </c>
      <c r="C452" t="s">
        <v>363</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Data_Completeness(LifeExpectancyData[[#This Row],[Life expectancy]:[Schooling]])</f>
        <v>1</v>
      </c>
    </row>
    <row r="453" spans="1:23" x14ac:dyDescent="0.25">
      <c r="A453" t="s">
        <v>392</v>
      </c>
      <c r="B453">
        <v>2012</v>
      </c>
      <c r="C453" t="s">
        <v>363</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Data_Completeness(LifeExpectancyData[[#This Row],[Life expectancy]:[Schooling]])</f>
        <v>1</v>
      </c>
    </row>
    <row r="454" spans="1:23" x14ac:dyDescent="0.25">
      <c r="A454" t="s">
        <v>392</v>
      </c>
      <c r="B454">
        <v>2011</v>
      </c>
      <c r="C454" t="s">
        <v>363</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Data_Completeness(LifeExpectancyData[[#This Row],[Life expectancy]:[Schooling]])</f>
        <v>1</v>
      </c>
    </row>
    <row r="455" spans="1:23" x14ac:dyDescent="0.25">
      <c r="A455" t="s">
        <v>392</v>
      </c>
      <c r="B455">
        <v>2010</v>
      </c>
      <c r="C455" t="s">
        <v>363</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Data_Completeness(LifeExpectancyData[[#This Row],[Life expectancy]:[Schooling]])</f>
        <v>1</v>
      </c>
    </row>
    <row r="456" spans="1:23" x14ac:dyDescent="0.25">
      <c r="A456" t="s">
        <v>392</v>
      </c>
      <c r="B456">
        <v>2009</v>
      </c>
      <c r="C456" t="s">
        <v>363</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Data_Completeness(LifeExpectancyData[[#This Row],[Life expectancy]:[Schooling]])</f>
        <v>1</v>
      </c>
    </row>
    <row r="457" spans="1:23" x14ac:dyDescent="0.25">
      <c r="A457" t="s">
        <v>392</v>
      </c>
      <c r="B457">
        <v>2008</v>
      </c>
      <c r="C457" t="s">
        <v>363</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Data_Completeness(LifeExpectancyData[[#This Row],[Life expectancy]:[Schooling]])</f>
        <v>1</v>
      </c>
    </row>
    <row r="458" spans="1:23" x14ac:dyDescent="0.25">
      <c r="A458" t="s">
        <v>392</v>
      </c>
      <c r="B458">
        <v>2007</v>
      </c>
      <c r="C458" t="s">
        <v>363</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Data_Completeness(LifeExpectancyData[[#This Row],[Life expectancy]:[Schooling]])</f>
        <v>1</v>
      </c>
    </row>
    <row r="459" spans="1:23" x14ac:dyDescent="0.25">
      <c r="A459" t="s">
        <v>392</v>
      </c>
      <c r="B459">
        <v>2006</v>
      </c>
      <c r="C459" t="s">
        <v>363</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Data_Completeness(LifeExpectancyData[[#This Row],[Life expectancy]:[Schooling]])</f>
        <v>1</v>
      </c>
    </row>
    <row r="460" spans="1:23" x14ac:dyDescent="0.25">
      <c r="A460" t="s">
        <v>392</v>
      </c>
      <c r="B460">
        <v>2005</v>
      </c>
      <c r="C460" t="s">
        <v>363</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Data_Completeness(LifeExpectancyData[[#This Row],[Life expectancy]:[Schooling]])</f>
        <v>1</v>
      </c>
    </row>
    <row r="461" spans="1:23" x14ac:dyDescent="0.25">
      <c r="A461" t="s">
        <v>392</v>
      </c>
      <c r="B461">
        <v>2004</v>
      </c>
      <c r="C461" t="s">
        <v>363</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Data_Completeness(LifeExpectancyData[[#This Row],[Life expectancy]:[Schooling]])</f>
        <v>1</v>
      </c>
    </row>
    <row r="462" spans="1:23" x14ac:dyDescent="0.25">
      <c r="A462" t="s">
        <v>392</v>
      </c>
      <c r="B462">
        <v>2003</v>
      </c>
      <c r="C462" t="s">
        <v>363</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Data_Completeness(LifeExpectancyData[[#This Row],[Life expectancy]:[Schooling]])</f>
        <v>1</v>
      </c>
    </row>
    <row r="463" spans="1:23" x14ac:dyDescent="0.25">
      <c r="A463" t="s">
        <v>392</v>
      </c>
      <c r="B463">
        <v>2002</v>
      </c>
      <c r="C463" t="s">
        <v>363</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Data_Completeness(LifeExpectancyData[[#This Row],[Life expectancy]:[Schooling]])</f>
        <v>1</v>
      </c>
    </row>
    <row r="464" spans="1:23" x14ac:dyDescent="0.25">
      <c r="A464" t="s">
        <v>392</v>
      </c>
      <c r="B464">
        <v>2001</v>
      </c>
      <c r="C464" t="s">
        <v>363</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Data_Completeness(LifeExpectancyData[[#This Row],[Life expectancy]:[Schooling]])</f>
        <v>0</v>
      </c>
    </row>
    <row r="465" spans="1:23" x14ac:dyDescent="0.25">
      <c r="A465" t="s">
        <v>392</v>
      </c>
      <c r="B465">
        <v>2000</v>
      </c>
      <c r="C465" t="s">
        <v>363</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Data_Completeness(LifeExpectancyData[[#This Row],[Life expectancy]:[Schooling]])</f>
        <v>0</v>
      </c>
    </row>
    <row r="466" spans="1:23" x14ac:dyDescent="0.25">
      <c r="A466" t="s">
        <v>393</v>
      </c>
      <c r="B466">
        <v>2015</v>
      </c>
      <c r="C466" t="s">
        <v>363</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Data_Completeness(LifeExpectancyData[[#This Row],[Life expectancy]:[Schooling]])</f>
        <v>0</v>
      </c>
    </row>
    <row r="467" spans="1:23" x14ac:dyDescent="0.25">
      <c r="A467" t="s">
        <v>393</v>
      </c>
      <c r="B467">
        <v>2014</v>
      </c>
      <c r="C467" t="s">
        <v>363</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Data_Completeness(LifeExpectancyData[[#This Row],[Life expectancy]:[Schooling]])</f>
        <v>1</v>
      </c>
    </row>
    <row r="468" spans="1:23" x14ac:dyDescent="0.25">
      <c r="A468" t="s">
        <v>393</v>
      </c>
      <c r="B468">
        <v>2013</v>
      </c>
      <c r="C468" t="s">
        <v>363</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Data_Completeness(LifeExpectancyData[[#This Row],[Life expectancy]:[Schooling]])</f>
        <v>1</v>
      </c>
    </row>
    <row r="469" spans="1:23" x14ac:dyDescent="0.25">
      <c r="A469" t="s">
        <v>393</v>
      </c>
      <c r="B469">
        <v>2012</v>
      </c>
      <c r="C469" t="s">
        <v>363</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Data_Completeness(LifeExpectancyData[[#This Row],[Life expectancy]:[Schooling]])</f>
        <v>1</v>
      </c>
    </row>
    <row r="470" spans="1:23" x14ac:dyDescent="0.25">
      <c r="A470" t="s">
        <v>393</v>
      </c>
      <c r="B470">
        <v>2011</v>
      </c>
      <c r="C470" t="s">
        <v>363</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Data_Completeness(LifeExpectancyData[[#This Row],[Life expectancy]:[Schooling]])</f>
        <v>1</v>
      </c>
    </row>
    <row r="471" spans="1:23" x14ac:dyDescent="0.25">
      <c r="A471" t="s">
        <v>393</v>
      </c>
      <c r="B471">
        <v>2010</v>
      </c>
      <c r="C471" t="s">
        <v>363</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Data_Completeness(LifeExpectancyData[[#This Row],[Life expectancy]:[Schooling]])</f>
        <v>1</v>
      </c>
    </row>
    <row r="472" spans="1:23" x14ac:dyDescent="0.25">
      <c r="A472" t="s">
        <v>393</v>
      </c>
      <c r="B472">
        <v>2009</v>
      </c>
      <c r="C472" t="s">
        <v>363</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Data_Completeness(LifeExpectancyData[[#This Row],[Life expectancy]:[Schooling]])</f>
        <v>1</v>
      </c>
    </row>
    <row r="473" spans="1:23" x14ac:dyDescent="0.25">
      <c r="A473" t="s">
        <v>393</v>
      </c>
      <c r="B473">
        <v>2008</v>
      </c>
      <c r="C473" t="s">
        <v>363</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Data_Completeness(LifeExpectancyData[[#This Row],[Life expectancy]:[Schooling]])</f>
        <v>1</v>
      </c>
    </row>
    <row r="474" spans="1:23" x14ac:dyDescent="0.25">
      <c r="A474" t="s">
        <v>393</v>
      </c>
      <c r="B474">
        <v>2007</v>
      </c>
      <c r="C474" t="s">
        <v>363</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Data_Completeness(LifeExpectancyData[[#This Row],[Life expectancy]:[Schooling]])</f>
        <v>1</v>
      </c>
    </row>
    <row r="475" spans="1:23" x14ac:dyDescent="0.25">
      <c r="A475" t="s">
        <v>393</v>
      </c>
      <c r="B475">
        <v>2006</v>
      </c>
      <c r="C475" t="s">
        <v>363</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Data_Completeness(LifeExpectancyData[[#This Row],[Life expectancy]:[Schooling]])</f>
        <v>1</v>
      </c>
    </row>
    <row r="476" spans="1:23" x14ac:dyDescent="0.25">
      <c r="A476" t="s">
        <v>393</v>
      </c>
      <c r="B476">
        <v>2005</v>
      </c>
      <c r="C476" t="s">
        <v>363</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Data_Completeness(LifeExpectancyData[[#This Row],[Life expectancy]:[Schooling]])</f>
        <v>0</v>
      </c>
    </row>
    <row r="477" spans="1:23" x14ac:dyDescent="0.25">
      <c r="A477" t="s">
        <v>393</v>
      </c>
      <c r="B477">
        <v>2004</v>
      </c>
      <c r="C477" t="s">
        <v>363</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Data_Completeness(LifeExpectancyData[[#This Row],[Life expectancy]:[Schooling]])</f>
        <v>0</v>
      </c>
    </row>
    <row r="478" spans="1:23" x14ac:dyDescent="0.25">
      <c r="A478" t="s">
        <v>393</v>
      </c>
      <c r="B478">
        <v>2003</v>
      </c>
      <c r="C478" t="s">
        <v>363</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Data_Completeness(LifeExpectancyData[[#This Row],[Life expectancy]:[Schooling]])</f>
        <v>0</v>
      </c>
    </row>
    <row r="479" spans="1:23" x14ac:dyDescent="0.25">
      <c r="A479" t="s">
        <v>393</v>
      </c>
      <c r="B479">
        <v>2002</v>
      </c>
      <c r="C479" t="s">
        <v>363</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Data_Completeness(LifeExpectancyData[[#This Row],[Life expectancy]:[Schooling]])</f>
        <v>0</v>
      </c>
    </row>
    <row r="480" spans="1:23" x14ac:dyDescent="0.25">
      <c r="A480" t="s">
        <v>393</v>
      </c>
      <c r="B480">
        <v>2001</v>
      </c>
      <c r="C480" t="s">
        <v>363</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Data_Completeness(LifeExpectancyData[[#This Row],[Life expectancy]:[Schooling]])</f>
        <v>0</v>
      </c>
    </row>
    <row r="481" spans="1:23" x14ac:dyDescent="0.25">
      <c r="A481" t="s">
        <v>393</v>
      </c>
      <c r="B481">
        <v>2000</v>
      </c>
      <c r="C481" t="s">
        <v>363</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Data_Completeness(LifeExpectancyData[[#This Row],[Life expectancy]:[Schooling]])</f>
        <v>0</v>
      </c>
    </row>
    <row r="482" spans="1:23" x14ac:dyDescent="0.25">
      <c r="A482" t="s">
        <v>394</v>
      </c>
      <c r="B482">
        <v>2015</v>
      </c>
      <c r="C482" t="s">
        <v>363</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Data_Completeness(LifeExpectancyData[[#This Row],[Life expectancy]:[Schooling]])</f>
        <v>0</v>
      </c>
    </row>
    <row r="483" spans="1:23" x14ac:dyDescent="0.25">
      <c r="A483" t="s">
        <v>394</v>
      </c>
      <c r="B483">
        <v>2014</v>
      </c>
      <c r="C483" t="s">
        <v>363</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Data_Completeness(LifeExpectancyData[[#This Row],[Life expectancy]:[Schooling]])</f>
        <v>1</v>
      </c>
    </row>
    <row r="484" spans="1:23" x14ac:dyDescent="0.25">
      <c r="A484" t="s">
        <v>394</v>
      </c>
      <c r="B484">
        <v>2013</v>
      </c>
      <c r="C484" t="s">
        <v>363</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Data_Completeness(LifeExpectancyData[[#This Row],[Life expectancy]:[Schooling]])</f>
        <v>1</v>
      </c>
    </row>
    <row r="485" spans="1:23" x14ac:dyDescent="0.25">
      <c r="A485" t="s">
        <v>394</v>
      </c>
      <c r="B485">
        <v>2012</v>
      </c>
      <c r="C485" t="s">
        <v>363</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Data_Completeness(LifeExpectancyData[[#This Row],[Life expectancy]:[Schooling]])</f>
        <v>1</v>
      </c>
    </row>
    <row r="486" spans="1:23" x14ac:dyDescent="0.25">
      <c r="A486" t="s">
        <v>394</v>
      </c>
      <c r="B486">
        <v>2011</v>
      </c>
      <c r="C486" t="s">
        <v>363</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Data_Completeness(LifeExpectancyData[[#This Row],[Life expectancy]:[Schooling]])</f>
        <v>1</v>
      </c>
    </row>
    <row r="487" spans="1:23" x14ac:dyDescent="0.25">
      <c r="A487" t="s">
        <v>394</v>
      </c>
      <c r="B487">
        <v>2010</v>
      </c>
      <c r="C487" t="s">
        <v>363</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Data_Completeness(LifeExpectancyData[[#This Row],[Life expectancy]:[Schooling]])</f>
        <v>1</v>
      </c>
    </row>
    <row r="488" spans="1:23" x14ac:dyDescent="0.25">
      <c r="A488" t="s">
        <v>394</v>
      </c>
      <c r="B488">
        <v>2009</v>
      </c>
      <c r="C488" t="s">
        <v>363</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Data_Completeness(LifeExpectancyData[[#This Row],[Life expectancy]:[Schooling]])</f>
        <v>1</v>
      </c>
    </row>
    <row r="489" spans="1:23" x14ac:dyDescent="0.25">
      <c r="A489" t="s">
        <v>394</v>
      </c>
      <c r="B489">
        <v>2008</v>
      </c>
      <c r="C489" t="s">
        <v>363</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Data_Completeness(LifeExpectancyData[[#This Row],[Life expectancy]:[Schooling]])</f>
        <v>1</v>
      </c>
    </row>
    <row r="490" spans="1:23" x14ac:dyDescent="0.25">
      <c r="A490" t="s">
        <v>394</v>
      </c>
      <c r="B490">
        <v>2007</v>
      </c>
      <c r="C490" t="s">
        <v>363</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Data_Completeness(LifeExpectancyData[[#This Row],[Life expectancy]:[Schooling]])</f>
        <v>1</v>
      </c>
    </row>
    <row r="491" spans="1:23" x14ac:dyDescent="0.25">
      <c r="A491" t="s">
        <v>394</v>
      </c>
      <c r="B491">
        <v>2006</v>
      </c>
      <c r="C491" t="s">
        <v>363</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Data_Completeness(LifeExpectancyData[[#This Row],[Life expectancy]:[Schooling]])</f>
        <v>1</v>
      </c>
    </row>
    <row r="492" spans="1:23" x14ac:dyDescent="0.25">
      <c r="A492" t="s">
        <v>394</v>
      </c>
      <c r="B492">
        <v>2005</v>
      </c>
      <c r="C492" t="s">
        <v>363</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Data_Completeness(LifeExpectancyData[[#This Row],[Life expectancy]:[Schooling]])</f>
        <v>1</v>
      </c>
    </row>
    <row r="493" spans="1:23" x14ac:dyDescent="0.25">
      <c r="A493" t="s">
        <v>394</v>
      </c>
      <c r="B493">
        <v>2004</v>
      </c>
      <c r="C493" t="s">
        <v>363</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Data_Completeness(LifeExpectancyData[[#This Row],[Life expectancy]:[Schooling]])</f>
        <v>0</v>
      </c>
    </row>
    <row r="494" spans="1:23" x14ac:dyDescent="0.25">
      <c r="A494" t="s">
        <v>394</v>
      </c>
      <c r="B494">
        <v>2003</v>
      </c>
      <c r="C494" t="s">
        <v>363</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Data_Completeness(LifeExpectancyData[[#This Row],[Life expectancy]:[Schooling]])</f>
        <v>0</v>
      </c>
    </row>
    <row r="495" spans="1:23" x14ac:dyDescent="0.25">
      <c r="A495" t="s">
        <v>394</v>
      </c>
      <c r="B495">
        <v>2002</v>
      </c>
      <c r="C495" t="s">
        <v>363</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Data_Completeness(LifeExpectancyData[[#This Row],[Life expectancy]:[Schooling]])</f>
        <v>0</v>
      </c>
    </row>
    <row r="496" spans="1:23" x14ac:dyDescent="0.25">
      <c r="A496" t="s">
        <v>394</v>
      </c>
      <c r="B496">
        <v>2001</v>
      </c>
      <c r="C496" t="s">
        <v>363</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Data_Completeness(LifeExpectancyData[[#This Row],[Life expectancy]:[Schooling]])</f>
        <v>0</v>
      </c>
    </row>
    <row r="497" spans="1:23" x14ac:dyDescent="0.25">
      <c r="A497" t="s">
        <v>394</v>
      </c>
      <c r="B497">
        <v>2000</v>
      </c>
      <c r="C497" t="s">
        <v>363</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Data_Completeness(LifeExpectancyData[[#This Row],[Life expectancy]:[Schooling]])</f>
        <v>0</v>
      </c>
    </row>
    <row r="498" spans="1:23" x14ac:dyDescent="0.25">
      <c r="A498" t="s">
        <v>395</v>
      </c>
      <c r="B498">
        <v>2015</v>
      </c>
      <c r="C498" t="s">
        <v>363</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Data_Completeness(LifeExpectancyData[[#This Row],[Life expectancy]:[Schooling]])</f>
        <v>0</v>
      </c>
    </row>
    <row r="499" spans="1:23" x14ac:dyDescent="0.25">
      <c r="A499" t="s">
        <v>395</v>
      </c>
      <c r="B499">
        <v>2014</v>
      </c>
      <c r="C499" t="s">
        <v>363</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Data_Completeness(LifeExpectancyData[[#This Row],[Life expectancy]:[Schooling]])</f>
        <v>1</v>
      </c>
    </row>
    <row r="500" spans="1:23" x14ac:dyDescent="0.25">
      <c r="A500" t="s">
        <v>395</v>
      </c>
      <c r="B500">
        <v>2013</v>
      </c>
      <c r="C500" t="s">
        <v>363</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Data_Completeness(LifeExpectancyData[[#This Row],[Life expectancy]:[Schooling]])</f>
        <v>1</v>
      </c>
    </row>
    <row r="501" spans="1:23" x14ac:dyDescent="0.25">
      <c r="A501" t="s">
        <v>395</v>
      </c>
      <c r="B501">
        <v>2012</v>
      </c>
      <c r="C501" t="s">
        <v>363</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Data_Completeness(LifeExpectancyData[[#This Row],[Life expectancy]:[Schooling]])</f>
        <v>1</v>
      </c>
    </row>
    <row r="502" spans="1:23" x14ac:dyDescent="0.25">
      <c r="A502" t="s">
        <v>395</v>
      </c>
      <c r="B502">
        <v>2011</v>
      </c>
      <c r="C502" t="s">
        <v>363</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Data_Completeness(LifeExpectancyData[[#This Row],[Life expectancy]:[Schooling]])</f>
        <v>1</v>
      </c>
    </row>
    <row r="503" spans="1:23" x14ac:dyDescent="0.25">
      <c r="A503" t="s">
        <v>395</v>
      </c>
      <c r="B503">
        <v>2010</v>
      </c>
      <c r="C503" t="s">
        <v>363</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Data_Completeness(LifeExpectancyData[[#This Row],[Life expectancy]:[Schooling]])</f>
        <v>1</v>
      </c>
    </row>
    <row r="504" spans="1:23" x14ac:dyDescent="0.25">
      <c r="A504" t="s">
        <v>395</v>
      </c>
      <c r="B504">
        <v>2009</v>
      </c>
      <c r="C504" t="s">
        <v>363</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Data_Completeness(LifeExpectancyData[[#This Row],[Life expectancy]:[Schooling]])</f>
        <v>1</v>
      </c>
    </row>
    <row r="505" spans="1:23" x14ac:dyDescent="0.25">
      <c r="A505" t="s">
        <v>395</v>
      </c>
      <c r="B505">
        <v>2008</v>
      </c>
      <c r="C505" t="s">
        <v>363</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Data_Completeness(LifeExpectancyData[[#This Row],[Life expectancy]:[Schooling]])</f>
        <v>1</v>
      </c>
    </row>
    <row r="506" spans="1:23" x14ac:dyDescent="0.25">
      <c r="A506" t="s">
        <v>395</v>
      </c>
      <c r="B506">
        <v>2007</v>
      </c>
      <c r="C506" t="s">
        <v>363</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Data_Completeness(LifeExpectancyData[[#This Row],[Life expectancy]:[Schooling]])</f>
        <v>1</v>
      </c>
    </row>
    <row r="507" spans="1:23" x14ac:dyDescent="0.25">
      <c r="A507" t="s">
        <v>395</v>
      </c>
      <c r="B507">
        <v>2006</v>
      </c>
      <c r="C507" t="s">
        <v>363</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Data_Completeness(LifeExpectancyData[[#This Row],[Life expectancy]:[Schooling]])</f>
        <v>1</v>
      </c>
    </row>
    <row r="508" spans="1:23" x14ac:dyDescent="0.25">
      <c r="A508" t="s">
        <v>395</v>
      </c>
      <c r="B508">
        <v>2005</v>
      </c>
      <c r="C508" t="s">
        <v>363</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Data_Completeness(LifeExpectancyData[[#This Row],[Life expectancy]:[Schooling]])</f>
        <v>1</v>
      </c>
    </row>
    <row r="509" spans="1:23" x14ac:dyDescent="0.25">
      <c r="A509" t="s">
        <v>395</v>
      </c>
      <c r="B509">
        <v>2004</v>
      </c>
      <c r="C509" t="s">
        <v>363</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Data_Completeness(LifeExpectancyData[[#This Row],[Life expectancy]:[Schooling]])</f>
        <v>1</v>
      </c>
    </row>
    <row r="510" spans="1:23" x14ac:dyDescent="0.25">
      <c r="A510" t="s">
        <v>395</v>
      </c>
      <c r="B510">
        <v>2003</v>
      </c>
      <c r="C510" t="s">
        <v>363</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Data_Completeness(LifeExpectancyData[[#This Row],[Life expectancy]:[Schooling]])</f>
        <v>1</v>
      </c>
    </row>
    <row r="511" spans="1:23" x14ac:dyDescent="0.25">
      <c r="A511" t="s">
        <v>395</v>
      </c>
      <c r="B511">
        <v>2002</v>
      </c>
      <c r="C511" t="s">
        <v>363</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Data_Completeness(LifeExpectancyData[[#This Row],[Life expectancy]:[Schooling]])</f>
        <v>0</v>
      </c>
    </row>
    <row r="512" spans="1:23" x14ac:dyDescent="0.25">
      <c r="A512" t="s">
        <v>395</v>
      </c>
      <c r="B512">
        <v>2001</v>
      </c>
      <c r="C512" t="s">
        <v>363</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Data_Completeness(LifeExpectancyData[[#This Row],[Life expectancy]:[Schooling]])</f>
        <v>0</v>
      </c>
    </row>
    <row r="513" spans="1:23" x14ac:dyDescent="0.25">
      <c r="A513" t="s">
        <v>395</v>
      </c>
      <c r="B513">
        <v>2000</v>
      </c>
      <c r="C513" t="s">
        <v>363</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Data_Completeness(LifeExpectancyData[[#This Row],[Life expectancy]:[Schooling]])</f>
        <v>0</v>
      </c>
    </row>
    <row r="514" spans="1:23" x14ac:dyDescent="0.25">
      <c r="A514" t="s">
        <v>396</v>
      </c>
      <c r="B514">
        <v>2015</v>
      </c>
      <c r="C514" t="s">
        <v>363</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Data_Completeness(LifeExpectancyData[[#This Row],[Life expectancy]:[Schooling]])</f>
        <v>0</v>
      </c>
    </row>
    <row r="515" spans="1:23" x14ac:dyDescent="0.25">
      <c r="A515" t="s">
        <v>396</v>
      </c>
      <c r="B515">
        <v>2014</v>
      </c>
      <c r="C515" t="s">
        <v>363</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Data_Completeness(LifeExpectancyData[[#This Row],[Life expectancy]:[Schooling]])</f>
        <v>1</v>
      </c>
    </row>
    <row r="516" spans="1:23" x14ac:dyDescent="0.25">
      <c r="A516" t="s">
        <v>396</v>
      </c>
      <c r="B516">
        <v>2013</v>
      </c>
      <c r="C516" t="s">
        <v>363</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Data_Completeness(LifeExpectancyData[[#This Row],[Life expectancy]:[Schooling]])</f>
        <v>1</v>
      </c>
    </row>
    <row r="517" spans="1:23" x14ac:dyDescent="0.25">
      <c r="A517" t="s">
        <v>396</v>
      </c>
      <c r="B517">
        <v>2012</v>
      </c>
      <c r="C517" t="s">
        <v>363</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Data_Completeness(LifeExpectancyData[[#This Row],[Life expectancy]:[Schooling]])</f>
        <v>1</v>
      </c>
    </row>
    <row r="518" spans="1:23" x14ac:dyDescent="0.25">
      <c r="A518" t="s">
        <v>396</v>
      </c>
      <c r="B518">
        <v>2011</v>
      </c>
      <c r="C518" t="s">
        <v>363</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Data_Completeness(LifeExpectancyData[[#This Row],[Life expectancy]:[Schooling]])</f>
        <v>1</v>
      </c>
    </row>
    <row r="519" spans="1:23" x14ac:dyDescent="0.25">
      <c r="A519" t="s">
        <v>396</v>
      </c>
      <c r="B519">
        <v>2010</v>
      </c>
      <c r="C519" t="s">
        <v>363</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Data_Completeness(LifeExpectancyData[[#This Row],[Life expectancy]:[Schooling]])</f>
        <v>1</v>
      </c>
    </row>
    <row r="520" spans="1:23" x14ac:dyDescent="0.25">
      <c r="A520" t="s">
        <v>396</v>
      </c>
      <c r="B520">
        <v>2009</v>
      </c>
      <c r="C520" t="s">
        <v>363</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Data_Completeness(LifeExpectancyData[[#This Row],[Life expectancy]:[Schooling]])</f>
        <v>1</v>
      </c>
    </row>
    <row r="521" spans="1:23" x14ac:dyDescent="0.25">
      <c r="A521" t="s">
        <v>396</v>
      </c>
      <c r="B521">
        <v>2008</v>
      </c>
      <c r="C521" t="s">
        <v>363</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Data_Completeness(LifeExpectancyData[[#This Row],[Life expectancy]:[Schooling]])</f>
        <v>0</v>
      </c>
    </row>
    <row r="522" spans="1:23" x14ac:dyDescent="0.25">
      <c r="A522" t="s">
        <v>396</v>
      </c>
      <c r="B522">
        <v>2007</v>
      </c>
      <c r="C522" t="s">
        <v>363</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Data_Completeness(LifeExpectancyData[[#This Row],[Life expectancy]:[Schooling]])</f>
        <v>0</v>
      </c>
    </row>
    <row r="523" spans="1:23" x14ac:dyDescent="0.25">
      <c r="A523" t="s">
        <v>396</v>
      </c>
      <c r="B523">
        <v>2006</v>
      </c>
      <c r="C523" t="s">
        <v>363</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Data_Completeness(LifeExpectancyData[[#This Row],[Life expectancy]:[Schooling]])</f>
        <v>0</v>
      </c>
    </row>
    <row r="524" spans="1:23" x14ac:dyDescent="0.25">
      <c r="A524" t="s">
        <v>396</v>
      </c>
      <c r="B524">
        <v>2005</v>
      </c>
      <c r="C524" t="s">
        <v>363</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Data_Completeness(LifeExpectancyData[[#This Row],[Life expectancy]:[Schooling]])</f>
        <v>0</v>
      </c>
    </row>
    <row r="525" spans="1:23" x14ac:dyDescent="0.25">
      <c r="A525" t="s">
        <v>396</v>
      </c>
      <c r="B525">
        <v>2004</v>
      </c>
      <c r="C525" t="s">
        <v>363</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Data_Completeness(LifeExpectancyData[[#This Row],[Life expectancy]:[Schooling]])</f>
        <v>0</v>
      </c>
    </row>
    <row r="526" spans="1:23" x14ac:dyDescent="0.25">
      <c r="A526" t="s">
        <v>396</v>
      </c>
      <c r="B526">
        <v>2003</v>
      </c>
      <c r="C526" t="s">
        <v>363</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Data_Completeness(LifeExpectancyData[[#This Row],[Life expectancy]:[Schooling]])</f>
        <v>0</v>
      </c>
    </row>
    <row r="527" spans="1:23" x14ac:dyDescent="0.25">
      <c r="A527" t="s">
        <v>396</v>
      </c>
      <c r="B527">
        <v>2002</v>
      </c>
      <c r="C527" t="s">
        <v>363</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Data_Completeness(LifeExpectancyData[[#This Row],[Life expectancy]:[Schooling]])</f>
        <v>0</v>
      </c>
    </row>
    <row r="528" spans="1:23" x14ac:dyDescent="0.25">
      <c r="A528" t="s">
        <v>396</v>
      </c>
      <c r="B528">
        <v>2001</v>
      </c>
      <c r="C528" t="s">
        <v>363</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Data_Completeness(LifeExpectancyData[[#This Row],[Life expectancy]:[Schooling]])</f>
        <v>0</v>
      </c>
    </row>
    <row r="529" spans="1:23" x14ac:dyDescent="0.25">
      <c r="A529" t="s">
        <v>396</v>
      </c>
      <c r="B529">
        <v>2000</v>
      </c>
      <c r="C529" t="s">
        <v>363</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Data_Completeness(LifeExpectancyData[[#This Row],[Life expectancy]:[Schooling]])</f>
        <v>0</v>
      </c>
    </row>
    <row r="530" spans="1:23" x14ac:dyDescent="0.25">
      <c r="A530" t="s">
        <v>397</v>
      </c>
      <c r="B530">
        <v>2015</v>
      </c>
      <c r="C530" t="s">
        <v>363</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Data_Completeness(LifeExpectancyData[[#This Row],[Life expectancy]:[Schooling]])</f>
        <v>0</v>
      </c>
    </row>
    <row r="531" spans="1:23" x14ac:dyDescent="0.25">
      <c r="A531" t="s">
        <v>397</v>
      </c>
      <c r="B531">
        <v>2014</v>
      </c>
      <c r="C531" t="s">
        <v>363</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Data_Completeness(LifeExpectancyData[[#This Row],[Life expectancy]:[Schooling]])</f>
        <v>1</v>
      </c>
    </row>
    <row r="532" spans="1:23" x14ac:dyDescent="0.25">
      <c r="A532" t="s">
        <v>397</v>
      </c>
      <c r="B532">
        <v>2013</v>
      </c>
      <c r="C532" t="s">
        <v>363</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Data_Completeness(LifeExpectancyData[[#This Row],[Life expectancy]:[Schooling]])</f>
        <v>1</v>
      </c>
    </row>
    <row r="533" spans="1:23" x14ac:dyDescent="0.25">
      <c r="A533" t="s">
        <v>397</v>
      </c>
      <c r="B533">
        <v>2012</v>
      </c>
      <c r="C533" t="s">
        <v>363</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Data_Completeness(LifeExpectancyData[[#This Row],[Life expectancy]:[Schooling]])</f>
        <v>1</v>
      </c>
    </row>
    <row r="534" spans="1:23" x14ac:dyDescent="0.25">
      <c r="A534" t="s">
        <v>397</v>
      </c>
      <c r="B534">
        <v>2011</v>
      </c>
      <c r="C534" t="s">
        <v>363</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Data_Completeness(LifeExpectancyData[[#This Row],[Life expectancy]:[Schooling]])</f>
        <v>1</v>
      </c>
    </row>
    <row r="535" spans="1:23" x14ac:dyDescent="0.25">
      <c r="A535" t="s">
        <v>397</v>
      </c>
      <c r="B535">
        <v>2010</v>
      </c>
      <c r="C535" t="s">
        <v>363</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Data_Completeness(LifeExpectancyData[[#This Row],[Life expectancy]:[Schooling]])</f>
        <v>1</v>
      </c>
    </row>
    <row r="536" spans="1:23" x14ac:dyDescent="0.25">
      <c r="A536" t="s">
        <v>397</v>
      </c>
      <c r="B536">
        <v>2009</v>
      </c>
      <c r="C536" t="s">
        <v>363</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Data_Completeness(LifeExpectancyData[[#This Row],[Life expectancy]:[Schooling]])</f>
        <v>1</v>
      </c>
    </row>
    <row r="537" spans="1:23" x14ac:dyDescent="0.25">
      <c r="A537" t="s">
        <v>397</v>
      </c>
      <c r="B537">
        <v>2008</v>
      </c>
      <c r="C537" t="s">
        <v>363</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Data_Completeness(LifeExpectancyData[[#This Row],[Life expectancy]:[Schooling]])</f>
        <v>1</v>
      </c>
    </row>
    <row r="538" spans="1:23" x14ac:dyDescent="0.25">
      <c r="A538" t="s">
        <v>397</v>
      </c>
      <c r="B538">
        <v>2007</v>
      </c>
      <c r="C538" t="s">
        <v>363</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Data_Completeness(LifeExpectancyData[[#This Row],[Life expectancy]:[Schooling]])</f>
        <v>0</v>
      </c>
    </row>
    <row r="539" spans="1:23" x14ac:dyDescent="0.25">
      <c r="A539" t="s">
        <v>397</v>
      </c>
      <c r="B539">
        <v>2006</v>
      </c>
      <c r="C539" t="s">
        <v>363</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Data_Completeness(LifeExpectancyData[[#This Row],[Life expectancy]:[Schooling]])</f>
        <v>0</v>
      </c>
    </row>
    <row r="540" spans="1:23" x14ac:dyDescent="0.25">
      <c r="A540" t="s">
        <v>397</v>
      </c>
      <c r="B540">
        <v>2005</v>
      </c>
      <c r="C540" t="s">
        <v>363</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Data_Completeness(LifeExpectancyData[[#This Row],[Life expectancy]:[Schooling]])</f>
        <v>0</v>
      </c>
    </row>
    <row r="541" spans="1:23" x14ac:dyDescent="0.25">
      <c r="A541" t="s">
        <v>397</v>
      </c>
      <c r="B541">
        <v>2004</v>
      </c>
      <c r="C541" t="s">
        <v>363</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Data_Completeness(LifeExpectancyData[[#This Row],[Life expectancy]:[Schooling]])</f>
        <v>0</v>
      </c>
    </row>
    <row r="542" spans="1:23" x14ac:dyDescent="0.25">
      <c r="A542" t="s">
        <v>397</v>
      </c>
      <c r="B542">
        <v>2003</v>
      </c>
      <c r="C542" t="s">
        <v>363</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Data_Completeness(LifeExpectancyData[[#This Row],[Life expectancy]:[Schooling]])</f>
        <v>0</v>
      </c>
    </row>
    <row r="543" spans="1:23" x14ac:dyDescent="0.25">
      <c r="A543" t="s">
        <v>397</v>
      </c>
      <c r="B543">
        <v>2002</v>
      </c>
      <c r="C543" t="s">
        <v>363</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Data_Completeness(LifeExpectancyData[[#This Row],[Life expectancy]:[Schooling]])</f>
        <v>0</v>
      </c>
    </row>
    <row r="544" spans="1:23" x14ac:dyDescent="0.25">
      <c r="A544" t="s">
        <v>397</v>
      </c>
      <c r="B544">
        <v>2001</v>
      </c>
      <c r="C544" t="s">
        <v>363</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Data_Completeness(LifeExpectancyData[[#This Row],[Life expectancy]:[Schooling]])</f>
        <v>0</v>
      </c>
    </row>
    <row r="545" spans="1:23" x14ac:dyDescent="0.25">
      <c r="A545" t="s">
        <v>397</v>
      </c>
      <c r="B545">
        <v>2000</v>
      </c>
      <c r="C545" t="s">
        <v>363</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Data_Completeness(LifeExpectancyData[[#This Row],[Life expectancy]:[Schooling]])</f>
        <v>0</v>
      </c>
    </row>
    <row r="546" spans="1:23" x14ac:dyDescent="0.25">
      <c r="A546" t="s">
        <v>398</v>
      </c>
      <c r="B546">
        <v>2015</v>
      </c>
      <c r="C546" t="s">
        <v>363</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Data_Completeness(LifeExpectancyData[[#This Row],[Life expectancy]:[Schooling]])</f>
        <v>0</v>
      </c>
    </row>
    <row r="547" spans="1:23" x14ac:dyDescent="0.25">
      <c r="A547" t="s">
        <v>398</v>
      </c>
      <c r="B547">
        <v>2014</v>
      </c>
      <c r="C547" t="s">
        <v>363</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Data_Completeness(LifeExpectancyData[[#This Row],[Life expectancy]:[Schooling]])</f>
        <v>1</v>
      </c>
    </row>
    <row r="548" spans="1:23" x14ac:dyDescent="0.25">
      <c r="A548" t="s">
        <v>398</v>
      </c>
      <c r="B548">
        <v>2013</v>
      </c>
      <c r="C548" t="s">
        <v>363</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Data_Completeness(LifeExpectancyData[[#This Row],[Life expectancy]:[Schooling]])</f>
        <v>1</v>
      </c>
    </row>
    <row r="549" spans="1:23" x14ac:dyDescent="0.25">
      <c r="A549" t="s">
        <v>398</v>
      </c>
      <c r="B549">
        <v>2012</v>
      </c>
      <c r="C549" t="s">
        <v>363</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Data_Completeness(LifeExpectancyData[[#This Row],[Life expectancy]:[Schooling]])</f>
        <v>1</v>
      </c>
    </row>
    <row r="550" spans="1:23" x14ac:dyDescent="0.25">
      <c r="A550" t="s">
        <v>398</v>
      </c>
      <c r="B550">
        <v>2011</v>
      </c>
      <c r="C550" t="s">
        <v>363</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Data_Completeness(LifeExpectancyData[[#This Row],[Life expectancy]:[Schooling]])</f>
        <v>1</v>
      </c>
    </row>
    <row r="551" spans="1:23" x14ac:dyDescent="0.25">
      <c r="A551" t="s">
        <v>398</v>
      </c>
      <c r="B551">
        <v>2010</v>
      </c>
      <c r="C551" t="s">
        <v>363</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Data_Completeness(LifeExpectancyData[[#This Row],[Life expectancy]:[Schooling]])</f>
        <v>1</v>
      </c>
    </row>
    <row r="552" spans="1:23" x14ac:dyDescent="0.25">
      <c r="A552" t="s">
        <v>398</v>
      </c>
      <c r="B552">
        <v>2009</v>
      </c>
      <c r="C552" t="s">
        <v>363</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Data_Completeness(LifeExpectancyData[[#This Row],[Life expectancy]:[Schooling]])</f>
        <v>1</v>
      </c>
    </row>
    <row r="553" spans="1:23" x14ac:dyDescent="0.25">
      <c r="A553" t="s">
        <v>398</v>
      </c>
      <c r="B553">
        <v>2008</v>
      </c>
      <c r="C553" t="s">
        <v>363</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Data_Completeness(LifeExpectancyData[[#This Row],[Life expectancy]:[Schooling]])</f>
        <v>1</v>
      </c>
    </row>
    <row r="554" spans="1:23" x14ac:dyDescent="0.25">
      <c r="A554" t="s">
        <v>398</v>
      </c>
      <c r="B554">
        <v>2007</v>
      </c>
      <c r="C554" t="s">
        <v>363</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Data_Completeness(LifeExpectancyData[[#This Row],[Life expectancy]:[Schooling]])</f>
        <v>1</v>
      </c>
    </row>
    <row r="555" spans="1:23" x14ac:dyDescent="0.25">
      <c r="A555" t="s">
        <v>398</v>
      </c>
      <c r="B555">
        <v>2006</v>
      </c>
      <c r="C555" t="s">
        <v>363</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Data_Completeness(LifeExpectancyData[[#This Row],[Life expectancy]:[Schooling]])</f>
        <v>1</v>
      </c>
    </row>
    <row r="556" spans="1:23" x14ac:dyDescent="0.25">
      <c r="A556" t="s">
        <v>398</v>
      </c>
      <c r="B556">
        <v>2005</v>
      </c>
      <c r="C556" t="s">
        <v>363</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Data_Completeness(LifeExpectancyData[[#This Row],[Life expectancy]:[Schooling]])</f>
        <v>0</v>
      </c>
    </row>
    <row r="557" spans="1:23" x14ac:dyDescent="0.25">
      <c r="A557" t="s">
        <v>398</v>
      </c>
      <c r="B557">
        <v>2004</v>
      </c>
      <c r="C557" t="s">
        <v>363</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Data_Completeness(LifeExpectancyData[[#This Row],[Life expectancy]:[Schooling]])</f>
        <v>0</v>
      </c>
    </row>
    <row r="558" spans="1:23" x14ac:dyDescent="0.25">
      <c r="A558" t="s">
        <v>398</v>
      </c>
      <c r="B558">
        <v>2003</v>
      </c>
      <c r="C558" t="s">
        <v>363</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Data_Completeness(LifeExpectancyData[[#This Row],[Life expectancy]:[Schooling]])</f>
        <v>0</v>
      </c>
    </row>
    <row r="559" spans="1:23" x14ac:dyDescent="0.25">
      <c r="A559" t="s">
        <v>398</v>
      </c>
      <c r="B559">
        <v>2002</v>
      </c>
      <c r="C559" t="s">
        <v>363</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Data_Completeness(LifeExpectancyData[[#This Row],[Life expectancy]:[Schooling]])</f>
        <v>0</v>
      </c>
    </row>
    <row r="560" spans="1:23" x14ac:dyDescent="0.25">
      <c r="A560" t="s">
        <v>398</v>
      </c>
      <c r="B560">
        <v>2001</v>
      </c>
      <c r="C560" t="s">
        <v>363</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Data_Completeness(LifeExpectancyData[[#This Row],[Life expectancy]:[Schooling]])</f>
        <v>0</v>
      </c>
    </row>
    <row r="561" spans="1:23" x14ac:dyDescent="0.25">
      <c r="A561" t="s">
        <v>398</v>
      </c>
      <c r="B561">
        <v>2000</v>
      </c>
      <c r="C561" t="s">
        <v>363</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Data_Completeness(LifeExpectancyData[[#This Row],[Life expectancy]:[Schooling]])</f>
        <v>0</v>
      </c>
    </row>
    <row r="562" spans="1:23" x14ac:dyDescent="0.25">
      <c r="A562" t="s">
        <v>399</v>
      </c>
      <c r="B562">
        <v>2015</v>
      </c>
      <c r="C562" t="s">
        <v>363</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Data_Completeness(LifeExpectancyData[[#This Row],[Life expectancy]:[Schooling]])</f>
        <v>0</v>
      </c>
    </row>
    <row r="563" spans="1:23" x14ac:dyDescent="0.25">
      <c r="A563" t="s">
        <v>399</v>
      </c>
      <c r="B563">
        <v>2014</v>
      </c>
      <c r="C563" t="s">
        <v>363</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Data_Completeness(LifeExpectancyData[[#This Row],[Life expectancy]:[Schooling]])</f>
        <v>1</v>
      </c>
    </row>
    <row r="564" spans="1:23" x14ac:dyDescent="0.25">
      <c r="A564" t="s">
        <v>399</v>
      </c>
      <c r="B564">
        <v>2013</v>
      </c>
      <c r="C564" t="s">
        <v>363</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Data_Completeness(LifeExpectancyData[[#This Row],[Life expectancy]:[Schooling]])</f>
        <v>1</v>
      </c>
    </row>
    <row r="565" spans="1:23" x14ac:dyDescent="0.25">
      <c r="A565" t="s">
        <v>399</v>
      </c>
      <c r="B565">
        <v>2012</v>
      </c>
      <c r="C565" t="s">
        <v>363</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Data_Completeness(LifeExpectancyData[[#This Row],[Life expectancy]:[Schooling]])</f>
        <v>1</v>
      </c>
    </row>
    <row r="566" spans="1:23" x14ac:dyDescent="0.25">
      <c r="A566" t="s">
        <v>399</v>
      </c>
      <c r="B566">
        <v>2011</v>
      </c>
      <c r="C566" t="s">
        <v>363</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Data_Completeness(LifeExpectancyData[[#This Row],[Life expectancy]:[Schooling]])</f>
        <v>1</v>
      </c>
    </row>
    <row r="567" spans="1:23" x14ac:dyDescent="0.25">
      <c r="A567" t="s">
        <v>399</v>
      </c>
      <c r="B567">
        <v>2010</v>
      </c>
      <c r="C567" t="s">
        <v>363</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Data_Completeness(LifeExpectancyData[[#This Row],[Life expectancy]:[Schooling]])</f>
        <v>1</v>
      </c>
    </row>
    <row r="568" spans="1:23" x14ac:dyDescent="0.25">
      <c r="A568" t="s">
        <v>399</v>
      </c>
      <c r="B568">
        <v>2009</v>
      </c>
      <c r="C568" t="s">
        <v>363</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Data_Completeness(LifeExpectancyData[[#This Row],[Life expectancy]:[Schooling]])</f>
        <v>1</v>
      </c>
    </row>
    <row r="569" spans="1:23" x14ac:dyDescent="0.25">
      <c r="A569" t="s">
        <v>399</v>
      </c>
      <c r="B569">
        <v>2008</v>
      </c>
      <c r="C569" t="s">
        <v>363</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Data_Completeness(LifeExpectancyData[[#This Row],[Life expectancy]:[Schooling]])</f>
        <v>1</v>
      </c>
    </row>
    <row r="570" spans="1:23" x14ac:dyDescent="0.25">
      <c r="A570" t="s">
        <v>399</v>
      </c>
      <c r="B570">
        <v>2007</v>
      </c>
      <c r="C570" t="s">
        <v>363</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Data_Completeness(LifeExpectancyData[[#This Row],[Life expectancy]:[Schooling]])</f>
        <v>1</v>
      </c>
    </row>
    <row r="571" spans="1:23" x14ac:dyDescent="0.25">
      <c r="A571" t="s">
        <v>399</v>
      </c>
      <c r="B571">
        <v>2006</v>
      </c>
      <c r="C571" t="s">
        <v>363</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Data_Completeness(LifeExpectancyData[[#This Row],[Life expectancy]:[Schooling]])</f>
        <v>1</v>
      </c>
    </row>
    <row r="572" spans="1:23" x14ac:dyDescent="0.25">
      <c r="A572" t="s">
        <v>399</v>
      </c>
      <c r="B572">
        <v>2005</v>
      </c>
      <c r="C572" t="s">
        <v>363</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Data_Completeness(LifeExpectancyData[[#This Row],[Life expectancy]:[Schooling]])</f>
        <v>1</v>
      </c>
    </row>
    <row r="573" spans="1:23" x14ac:dyDescent="0.25">
      <c r="A573" t="s">
        <v>399</v>
      </c>
      <c r="B573">
        <v>2004</v>
      </c>
      <c r="C573" t="s">
        <v>363</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Data_Completeness(LifeExpectancyData[[#This Row],[Life expectancy]:[Schooling]])</f>
        <v>1</v>
      </c>
    </row>
    <row r="574" spans="1:23" x14ac:dyDescent="0.25">
      <c r="A574" t="s">
        <v>399</v>
      </c>
      <c r="B574">
        <v>2003</v>
      </c>
      <c r="C574" t="s">
        <v>363</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Data_Completeness(LifeExpectancyData[[#This Row],[Life expectancy]:[Schooling]])</f>
        <v>1</v>
      </c>
    </row>
    <row r="575" spans="1:23" x14ac:dyDescent="0.25">
      <c r="A575" t="s">
        <v>399</v>
      </c>
      <c r="B575">
        <v>2002</v>
      </c>
      <c r="C575" t="s">
        <v>363</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Data_Completeness(LifeExpectancyData[[#This Row],[Life expectancy]:[Schooling]])</f>
        <v>1</v>
      </c>
    </row>
    <row r="576" spans="1:23" x14ac:dyDescent="0.25">
      <c r="A576" t="s">
        <v>399</v>
      </c>
      <c r="B576">
        <v>2001</v>
      </c>
      <c r="C576" t="s">
        <v>363</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Data_Completeness(LifeExpectancyData[[#This Row],[Life expectancy]:[Schooling]])</f>
        <v>1</v>
      </c>
    </row>
    <row r="577" spans="1:23" x14ac:dyDescent="0.25">
      <c r="A577" t="s">
        <v>399</v>
      </c>
      <c r="B577">
        <v>2000</v>
      </c>
      <c r="C577" t="s">
        <v>363</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Data_Completeness(LifeExpectancyData[[#This Row],[Life expectancy]:[Schooling]])</f>
        <v>1</v>
      </c>
    </row>
    <row r="578" spans="1:23" x14ac:dyDescent="0.25">
      <c r="A578" t="s">
        <v>400</v>
      </c>
      <c r="B578">
        <v>2015</v>
      </c>
      <c r="C578" t="s">
        <v>363</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Data_Completeness(LifeExpectancyData[[#This Row],[Life expectancy]:[Schooling]])</f>
        <v>0</v>
      </c>
    </row>
    <row r="579" spans="1:23" x14ac:dyDescent="0.25">
      <c r="A579" t="s">
        <v>400</v>
      </c>
      <c r="B579">
        <v>2014</v>
      </c>
      <c r="C579" t="s">
        <v>363</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Data_Completeness(LifeExpectancyData[[#This Row],[Life expectancy]:[Schooling]])</f>
        <v>1</v>
      </c>
    </row>
    <row r="580" spans="1:23" x14ac:dyDescent="0.25">
      <c r="A580" t="s">
        <v>400</v>
      </c>
      <c r="B580">
        <v>2013</v>
      </c>
      <c r="C580" t="s">
        <v>363</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Data_Completeness(LifeExpectancyData[[#This Row],[Life expectancy]:[Schooling]])</f>
        <v>1</v>
      </c>
    </row>
    <row r="581" spans="1:23" x14ac:dyDescent="0.25">
      <c r="A581" t="s">
        <v>400</v>
      </c>
      <c r="B581">
        <v>2012</v>
      </c>
      <c r="C581" t="s">
        <v>363</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Data_Completeness(LifeExpectancyData[[#This Row],[Life expectancy]:[Schooling]])</f>
        <v>1</v>
      </c>
    </row>
    <row r="582" spans="1:23" x14ac:dyDescent="0.25">
      <c r="A582" t="s">
        <v>400</v>
      </c>
      <c r="B582">
        <v>2011</v>
      </c>
      <c r="C582" t="s">
        <v>363</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Data_Completeness(LifeExpectancyData[[#This Row],[Life expectancy]:[Schooling]])</f>
        <v>1</v>
      </c>
    </row>
    <row r="583" spans="1:23" x14ac:dyDescent="0.25">
      <c r="A583" t="s">
        <v>400</v>
      </c>
      <c r="B583">
        <v>2010</v>
      </c>
      <c r="C583" t="s">
        <v>363</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Data_Completeness(LifeExpectancyData[[#This Row],[Life expectancy]:[Schooling]])</f>
        <v>1</v>
      </c>
    </row>
    <row r="584" spans="1:23" x14ac:dyDescent="0.25">
      <c r="A584" t="s">
        <v>400</v>
      </c>
      <c r="B584">
        <v>2009</v>
      </c>
      <c r="C584" t="s">
        <v>363</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Data_Completeness(LifeExpectancyData[[#This Row],[Life expectancy]:[Schooling]])</f>
        <v>1</v>
      </c>
    </row>
    <row r="585" spans="1:23" x14ac:dyDescent="0.25">
      <c r="A585" t="s">
        <v>400</v>
      </c>
      <c r="B585">
        <v>2008</v>
      </c>
      <c r="C585" t="s">
        <v>363</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Data_Completeness(LifeExpectancyData[[#This Row],[Life expectancy]:[Schooling]])</f>
        <v>1</v>
      </c>
    </row>
    <row r="586" spans="1:23" x14ac:dyDescent="0.25">
      <c r="A586" t="s">
        <v>400</v>
      </c>
      <c r="B586">
        <v>2007</v>
      </c>
      <c r="C586" t="s">
        <v>363</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Data_Completeness(LifeExpectancyData[[#This Row],[Life expectancy]:[Schooling]])</f>
        <v>1</v>
      </c>
    </row>
    <row r="587" spans="1:23" x14ac:dyDescent="0.25">
      <c r="A587" t="s">
        <v>400</v>
      </c>
      <c r="B587">
        <v>2006</v>
      </c>
      <c r="C587" t="s">
        <v>363</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Data_Completeness(LifeExpectancyData[[#This Row],[Life expectancy]:[Schooling]])</f>
        <v>1</v>
      </c>
    </row>
    <row r="588" spans="1:23" x14ac:dyDescent="0.25">
      <c r="A588" t="s">
        <v>400</v>
      </c>
      <c r="B588">
        <v>2005</v>
      </c>
      <c r="C588" t="s">
        <v>363</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Data_Completeness(LifeExpectancyData[[#This Row],[Life expectancy]:[Schooling]])</f>
        <v>1</v>
      </c>
    </row>
    <row r="589" spans="1:23" x14ac:dyDescent="0.25">
      <c r="A589" t="s">
        <v>400</v>
      </c>
      <c r="B589">
        <v>2004</v>
      </c>
      <c r="C589" t="s">
        <v>363</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Data_Completeness(LifeExpectancyData[[#This Row],[Life expectancy]:[Schooling]])</f>
        <v>1</v>
      </c>
    </row>
    <row r="590" spans="1:23" x14ac:dyDescent="0.25">
      <c r="A590" t="s">
        <v>400</v>
      </c>
      <c r="B590">
        <v>2003</v>
      </c>
      <c r="C590" t="s">
        <v>363</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Data_Completeness(LifeExpectancyData[[#This Row],[Life expectancy]:[Schooling]])</f>
        <v>1</v>
      </c>
    </row>
    <row r="591" spans="1:23" x14ac:dyDescent="0.25">
      <c r="A591" t="s">
        <v>400</v>
      </c>
      <c r="B591">
        <v>2002</v>
      </c>
      <c r="C591" t="s">
        <v>363</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Data_Completeness(LifeExpectancyData[[#This Row],[Life expectancy]:[Schooling]])</f>
        <v>1</v>
      </c>
    </row>
    <row r="592" spans="1:23" x14ac:dyDescent="0.25">
      <c r="A592" t="s">
        <v>400</v>
      </c>
      <c r="B592">
        <v>2001</v>
      </c>
      <c r="C592" t="s">
        <v>363</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Data_Completeness(LifeExpectancyData[[#This Row],[Life expectancy]:[Schooling]])</f>
        <v>1</v>
      </c>
    </row>
    <row r="593" spans="1:23" x14ac:dyDescent="0.25">
      <c r="A593" t="s">
        <v>400</v>
      </c>
      <c r="B593">
        <v>2000</v>
      </c>
      <c r="C593" t="s">
        <v>363</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Data_Completeness(LifeExpectancyData[[#This Row],[Life expectancy]:[Schooling]])</f>
        <v>1</v>
      </c>
    </row>
    <row r="594" spans="1:23" x14ac:dyDescent="0.25">
      <c r="A594" t="s">
        <v>401</v>
      </c>
      <c r="B594">
        <v>2015</v>
      </c>
      <c r="C594" t="s">
        <v>363</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Data_Completeness(LifeExpectancyData[[#This Row],[Life expectancy]:[Schooling]])</f>
        <v>0</v>
      </c>
    </row>
    <row r="595" spans="1:23" x14ac:dyDescent="0.25">
      <c r="A595" t="s">
        <v>401</v>
      </c>
      <c r="B595">
        <v>2014</v>
      </c>
      <c r="C595" t="s">
        <v>363</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Data_Completeness(LifeExpectancyData[[#This Row],[Life expectancy]:[Schooling]])</f>
        <v>1</v>
      </c>
    </row>
    <row r="596" spans="1:23" x14ac:dyDescent="0.25">
      <c r="A596" t="s">
        <v>401</v>
      </c>
      <c r="B596">
        <v>2013</v>
      </c>
      <c r="C596" t="s">
        <v>363</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Data_Completeness(LifeExpectancyData[[#This Row],[Life expectancy]:[Schooling]])</f>
        <v>1</v>
      </c>
    </row>
    <row r="597" spans="1:23" x14ac:dyDescent="0.25">
      <c r="A597" t="s">
        <v>401</v>
      </c>
      <c r="B597">
        <v>2012</v>
      </c>
      <c r="C597" t="s">
        <v>363</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Data_Completeness(LifeExpectancyData[[#This Row],[Life expectancy]:[Schooling]])</f>
        <v>1</v>
      </c>
    </row>
    <row r="598" spans="1:23" x14ac:dyDescent="0.25">
      <c r="A598" t="s">
        <v>401</v>
      </c>
      <c r="B598">
        <v>2011</v>
      </c>
      <c r="C598" t="s">
        <v>363</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Data_Completeness(LifeExpectancyData[[#This Row],[Life expectancy]:[Schooling]])</f>
        <v>1</v>
      </c>
    </row>
    <row r="599" spans="1:23" x14ac:dyDescent="0.25">
      <c r="A599" t="s">
        <v>401</v>
      </c>
      <c r="B599">
        <v>2010</v>
      </c>
      <c r="C599" t="s">
        <v>363</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Data_Completeness(LifeExpectancyData[[#This Row],[Life expectancy]:[Schooling]])</f>
        <v>1</v>
      </c>
    </row>
    <row r="600" spans="1:23" x14ac:dyDescent="0.25">
      <c r="A600" t="s">
        <v>401</v>
      </c>
      <c r="B600">
        <v>2009</v>
      </c>
      <c r="C600" t="s">
        <v>363</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Data_Completeness(LifeExpectancyData[[#This Row],[Life expectancy]:[Schooling]])</f>
        <v>1</v>
      </c>
    </row>
    <row r="601" spans="1:23" x14ac:dyDescent="0.25">
      <c r="A601" t="s">
        <v>401</v>
      </c>
      <c r="B601">
        <v>2008</v>
      </c>
      <c r="C601" t="s">
        <v>363</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Data_Completeness(LifeExpectancyData[[#This Row],[Life expectancy]:[Schooling]])</f>
        <v>1</v>
      </c>
    </row>
    <row r="602" spans="1:23" x14ac:dyDescent="0.25">
      <c r="A602" t="s">
        <v>401</v>
      </c>
      <c r="B602">
        <v>2007</v>
      </c>
      <c r="C602" t="s">
        <v>363</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Data_Completeness(LifeExpectancyData[[#This Row],[Life expectancy]:[Schooling]])</f>
        <v>1</v>
      </c>
    </row>
    <row r="603" spans="1:23" x14ac:dyDescent="0.25">
      <c r="A603" t="s">
        <v>401</v>
      </c>
      <c r="B603">
        <v>2006</v>
      </c>
      <c r="C603" t="s">
        <v>363</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Data_Completeness(LifeExpectancyData[[#This Row],[Life expectancy]:[Schooling]])</f>
        <v>1</v>
      </c>
    </row>
    <row r="604" spans="1:23" x14ac:dyDescent="0.25">
      <c r="A604" t="s">
        <v>401</v>
      </c>
      <c r="B604">
        <v>2005</v>
      </c>
      <c r="C604" t="s">
        <v>363</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Data_Completeness(LifeExpectancyData[[#This Row],[Life expectancy]:[Schooling]])</f>
        <v>1</v>
      </c>
    </row>
    <row r="605" spans="1:23" x14ac:dyDescent="0.25">
      <c r="A605" t="s">
        <v>401</v>
      </c>
      <c r="B605">
        <v>2004</v>
      </c>
      <c r="C605" t="s">
        <v>363</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Data_Completeness(LifeExpectancyData[[#This Row],[Life expectancy]:[Schooling]])</f>
        <v>1</v>
      </c>
    </row>
    <row r="606" spans="1:23" x14ac:dyDescent="0.25">
      <c r="A606" t="s">
        <v>401</v>
      </c>
      <c r="B606">
        <v>2003</v>
      </c>
      <c r="C606" t="s">
        <v>363</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Data_Completeness(LifeExpectancyData[[#This Row],[Life expectancy]:[Schooling]])</f>
        <v>1</v>
      </c>
    </row>
    <row r="607" spans="1:23" x14ac:dyDescent="0.25">
      <c r="A607" t="s">
        <v>401</v>
      </c>
      <c r="B607">
        <v>2002</v>
      </c>
      <c r="C607" t="s">
        <v>363</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Data_Completeness(LifeExpectancyData[[#This Row],[Life expectancy]:[Schooling]])</f>
        <v>0</v>
      </c>
    </row>
    <row r="608" spans="1:23" x14ac:dyDescent="0.25">
      <c r="A608" t="s">
        <v>401</v>
      </c>
      <c r="B608">
        <v>2001</v>
      </c>
      <c r="C608" t="s">
        <v>363</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Data_Completeness(LifeExpectancyData[[#This Row],[Life expectancy]:[Schooling]])</f>
        <v>0</v>
      </c>
    </row>
    <row r="609" spans="1:23" x14ac:dyDescent="0.25">
      <c r="A609" t="s">
        <v>401</v>
      </c>
      <c r="B609">
        <v>2000</v>
      </c>
      <c r="C609" t="s">
        <v>363</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Data_Completeness(LifeExpectancyData[[#This Row],[Life expectancy]:[Schooling]])</f>
        <v>0</v>
      </c>
    </row>
    <row r="610" spans="1:23" x14ac:dyDescent="0.25">
      <c r="A610" t="s">
        <v>402</v>
      </c>
      <c r="B610">
        <v>2015</v>
      </c>
      <c r="C610" t="s">
        <v>363</v>
      </c>
      <c r="D610">
        <v>64.7</v>
      </c>
      <c r="E610">
        <v>267</v>
      </c>
      <c r="F610">
        <v>7</v>
      </c>
      <c r="H610">
        <v>0</v>
      </c>
      <c r="I610">
        <v>8</v>
      </c>
      <c r="J610">
        <v>1359</v>
      </c>
      <c r="K610">
        <v>27.4</v>
      </c>
      <c r="L610">
        <v>10</v>
      </c>
      <c r="M610">
        <v>8</v>
      </c>
      <c r="O610">
        <v>8</v>
      </c>
      <c r="P610">
        <v>2.8</v>
      </c>
      <c r="S610">
        <v>7.5</v>
      </c>
      <c r="T610">
        <v>7.1</v>
      </c>
      <c r="U610">
        <v>0.59</v>
      </c>
      <c r="V610">
        <v>11.1</v>
      </c>
      <c r="W610" t="b">
        <f>Data_Completeness(LifeExpectancyData[[#This Row],[Life expectancy]:[Schooling]])</f>
        <v>0</v>
      </c>
    </row>
    <row r="611" spans="1:23" x14ac:dyDescent="0.25">
      <c r="A611" t="s">
        <v>402</v>
      </c>
      <c r="B611">
        <v>2014</v>
      </c>
      <c r="C611" t="s">
        <v>363</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Data_Completeness(LifeExpectancyData[[#This Row],[Life expectancy]:[Schooling]])</f>
        <v>0</v>
      </c>
    </row>
    <row r="612" spans="1:23" x14ac:dyDescent="0.25">
      <c r="A612" t="s">
        <v>402</v>
      </c>
      <c r="B612">
        <v>2013</v>
      </c>
      <c r="C612" t="s">
        <v>363</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Data_Completeness(LifeExpectancyData[[#This Row],[Life expectancy]:[Schooling]])</f>
        <v>0</v>
      </c>
    </row>
    <row r="613" spans="1:23" x14ac:dyDescent="0.25">
      <c r="A613" t="s">
        <v>402</v>
      </c>
      <c r="B613">
        <v>2012</v>
      </c>
      <c r="C613" t="s">
        <v>363</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Data_Completeness(LifeExpectancyData[[#This Row],[Life expectancy]:[Schooling]])</f>
        <v>0</v>
      </c>
    </row>
    <row r="614" spans="1:23" x14ac:dyDescent="0.25">
      <c r="A614" t="s">
        <v>402</v>
      </c>
      <c r="B614">
        <v>2011</v>
      </c>
      <c r="C614" t="s">
        <v>363</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Data_Completeness(LifeExpectancyData[[#This Row],[Life expectancy]:[Schooling]])</f>
        <v>0</v>
      </c>
    </row>
    <row r="615" spans="1:23" x14ac:dyDescent="0.25">
      <c r="A615" t="s">
        <v>402</v>
      </c>
      <c r="B615">
        <v>2010</v>
      </c>
      <c r="C615" t="s">
        <v>363</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Data_Completeness(LifeExpectancyData[[#This Row],[Life expectancy]:[Schooling]])</f>
        <v>0</v>
      </c>
    </row>
    <row r="616" spans="1:23" x14ac:dyDescent="0.25">
      <c r="A616" t="s">
        <v>402</v>
      </c>
      <c r="B616">
        <v>2009</v>
      </c>
      <c r="C616" t="s">
        <v>363</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Data_Completeness(LifeExpectancyData[[#This Row],[Life expectancy]:[Schooling]])</f>
        <v>0</v>
      </c>
    </row>
    <row r="617" spans="1:23" x14ac:dyDescent="0.25">
      <c r="A617" t="s">
        <v>402</v>
      </c>
      <c r="B617">
        <v>2008</v>
      </c>
      <c r="C617" t="s">
        <v>363</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Data_Completeness(LifeExpectancyData[[#This Row],[Life expectancy]:[Schooling]])</f>
        <v>0</v>
      </c>
    </row>
    <row r="618" spans="1:23" x14ac:dyDescent="0.25">
      <c r="A618" t="s">
        <v>402</v>
      </c>
      <c r="B618">
        <v>2007</v>
      </c>
      <c r="C618" t="s">
        <v>363</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Data_Completeness(LifeExpectancyData[[#This Row],[Life expectancy]:[Schooling]])</f>
        <v>0</v>
      </c>
    </row>
    <row r="619" spans="1:23" x14ac:dyDescent="0.25">
      <c r="A619" t="s">
        <v>402</v>
      </c>
      <c r="B619">
        <v>2006</v>
      </c>
      <c r="C619" t="s">
        <v>363</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Data_Completeness(LifeExpectancyData[[#This Row],[Life expectancy]:[Schooling]])</f>
        <v>0</v>
      </c>
    </row>
    <row r="620" spans="1:23" x14ac:dyDescent="0.25">
      <c r="A620" t="s">
        <v>402</v>
      </c>
      <c r="B620">
        <v>2005</v>
      </c>
      <c r="C620" t="s">
        <v>363</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Data_Completeness(LifeExpectancyData[[#This Row],[Life expectancy]:[Schooling]])</f>
        <v>0</v>
      </c>
    </row>
    <row r="621" spans="1:23" x14ac:dyDescent="0.25">
      <c r="A621" t="s">
        <v>402</v>
      </c>
      <c r="B621">
        <v>2004</v>
      </c>
      <c r="C621" t="s">
        <v>363</v>
      </c>
      <c r="D621">
        <v>54.1</v>
      </c>
      <c r="E621">
        <v>48</v>
      </c>
      <c r="F621">
        <v>9</v>
      </c>
      <c r="G621">
        <v>2.58</v>
      </c>
      <c r="H621">
        <v>0</v>
      </c>
      <c r="J621">
        <v>3524</v>
      </c>
      <c r="K621">
        <v>21.2</v>
      </c>
      <c r="L621">
        <v>13</v>
      </c>
      <c r="M621">
        <v>67</v>
      </c>
      <c r="N621">
        <v>2.56</v>
      </c>
      <c r="O621">
        <v>67</v>
      </c>
      <c r="P621">
        <v>6.3</v>
      </c>
      <c r="S621">
        <v>9</v>
      </c>
      <c r="T621">
        <v>8.6</v>
      </c>
      <c r="U621">
        <v>0.497</v>
      </c>
      <c r="V621">
        <v>9.1999999999999993</v>
      </c>
      <c r="W621" t="b">
        <f>Data_Completeness(LifeExpectancyData[[#This Row],[Life expectancy]:[Schooling]])</f>
        <v>0</v>
      </c>
    </row>
    <row r="622" spans="1:23" x14ac:dyDescent="0.25">
      <c r="A622" t="s">
        <v>402</v>
      </c>
      <c r="B622">
        <v>2003</v>
      </c>
      <c r="C622" t="s">
        <v>363</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Data_Completeness(LifeExpectancyData[[#This Row],[Life expectancy]:[Schooling]])</f>
        <v>0</v>
      </c>
    </row>
    <row r="623" spans="1:23" x14ac:dyDescent="0.25">
      <c r="A623" t="s">
        <v>402</v>
      </c>
      <c r="B623">
        <v>2002</v>
      </c>
      <c r="C623" t="s">
        <v>363</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Data_Completeness(LifeExpectancyData[[#This Row],[Life expectancy]:[Schooling]])</f>
        <v>0</v>
      </c>
    </row>
    <row r="624" spans="1:23" x14ac:dyDescent="0.25">
      <c r="A624" t="s">
        <v>402</v>
      </c>
      <c r="B624">
        <v>2001</v>
      </c>
      <c r="C624" t="s">
        <v>363</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Data_Completeness(LifeExpectancyData[[#This Row],[Life expectancy]:[Schooling]])</f>
        <v>0</v>
      </c>
    </row>
    <row r="625" spans="1:23" x14ac:dyDescent="0.25">
      <c r="A625" t="s">
        <v>402</v>
      </c>
      <c r="B625">
        <v>2000</v>
      </c>
      <c r="C625" t="s">
        <v>363</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Data_Completeness(LifeExpectancyData[[#This Row],[Life expectancy]:[Schooling]])</f>
        <v>0</v>
      </c>
    </row>
    <row r="626" spans="1:23" x14ac:dyDescent="0.25">
      <c r="A626" t="s">
        <v>403</v>
      </c>
      <c r="B626">
        <v>2013</v>
      </c>
      <c r="C626" t="s">
        <v>363</v>
      </c>
      <c r="F626">
        <v>0</v>
      </c>
      <c r="G626">
        <v>0.01</v>
      </c>
      <c r="H626">
        <v>0</v>
      </c>
      <c r="I626">
        <v>98</v>
      </c>
      <c r="J626">
        <v>0</v>
      </c>
      <c r="K626">
        <v>82.8</v>
      </c>
      <c r="L626">
        <v>0</v>
      </c>
      <c r="M626">
        <v>98</v>
      </c>
      <c r="N626">
        <v>3.58</v>
      </c>
      <c r="O626">
        <v>98</v>
      </c>
      <c r="P626">
        <v>0.1</v>
      </c>
      <c r="S626">
        <v>0.1</v>
      </c>
      <c r="T626">
        <v>0.1</v>
      </c>
      <c r="W626" t="b">
        <f>Data_Completeness(LifeExpectancyData[[#This Row],[Life expectancy]:[Schooling]])</f>
        <v>0</v>
      </c>
    </row>
    <row r="627" spans="1:23" x14ac:dyDescent="0.25">
      <c r="A627" t="s">
        <v>404</v>
      </c>
      <c r="B627">
        <v>2015</v>
      </c>
      <c r="C627" t="s">
        <v>363</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Data_Completeness(LifeExpectancyData[[#This Row],[Life expectancy]:[Schooling]])</f>
        <v>0</v>
      </c>
    </row>
    <row r="628" spans="1:23" x14ac:dyDescent="0.25">
      <c r="A628" t="s">
        <v>404</v>
      </c>
      <c r="B628">
        <v>2014</v>
      </c>
      <c r="C628" t="s">
        <v>363</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Data_Completeness(LifeExpectancyData[[#This Row],[Life expectancy]:[Schooling]])</f>
        <v>1</v>
      </c>
    </row>
    <row r="629" spans="1:23" x14ac:dyDescent="0.25">
      <c r="A629" t="s">
        <v>404</v>
      </c>
      <c r="B629">
        <v>2013</v>
      </c>
      <c r="C629" t="s">
        <v>363</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Data_Completeness(LifeExpectancyData[[#This Row],[Life expectancy]:[Schooling]])</f>
        <v>1</v>
      </c>
    </row>
    <row r="630" spans="1:23" x14ac:dyDescent="0.25">
      <c r="A630" t="s">
        <v>404</v>
      </c>
      <c r="B630">
        <v>2012</v>
      </c>
      <c r="C630" t="s">
        <v>363</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Data_Completeness(LifeExpectancyData[[#This Row],[Life expectancy]:[Schooling]])</f>
        <v>1</v>
      </c>
    </row>
    <row r="631" spans="1:23" x14ac:dyDescent="0.25">
      <c r="A631" t="s">
        <v>404</v>
      </c>
      <c r="B631">
        <v>2011</v>
      </c>
      <c r="C631" t="s">
        <v>363</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Data_Completeness(LifeExpectancyData[[#This Row],[Life expectancy]:[Schooling]])</f>
        <v>1</v>
      </c>
    </row>
    <row r="632" spans="1:23" x14ac:dyDescent="0.25">
      <c r="A632" t="s">
        <v>404</v>
      </c>
      <c r="B632">
        <v>2010</v>
      </c>
      <c r="C632" t="s">
        <v>363</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Data_Completeness(LifeExpectancyData[[#This Row],[Life expectancy]:[Schooling]])</f>
        <v>1</v>
      </c>
    </row>
    <row r="633" spans="1:23" x14ac:dyDescent="0.25">
      <c r="A633" t="s">
        <v>404</v>
      </c>
      <c r="B633">
        <v>2009</v>
      </c>
      <c r="C633" t="s">
        <v>363</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Data_Completeness(LifeExpectancyData[[#This Row],[Life expectancy]:[Schooling]])</f>
        <v>1</v>
      </c>
    </row>
    <row r="634" spans="1:23" x14ac:dyDescent="0.25">
      <c r="A634" t="s">
        <v>404</v>
      </c>
      <c r="B634">
        <v>2008</v>
      </c>
      <c r="C634" t="s">
        <v>363</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Data_Completeness(LifeExpectancyData[[#This Row],[Life expectancy]:[Schooling]])</f>
        <v>1</v>
      </c>
    </row>
    <row r="635" spans="1:23" x14ac:dyDescent="0.25">
      <c r="A635" t="s">
        <v>404</v>
      </c>
      <c r="B635">
        <v>2007</v>
      </c>
      <c r="C635" t="s">
        <v>363</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Data_Completeness(LifeExpectancyData[[#This Row],[Life expectancy]:[Schooling]])</f>
        <v>1</v>
      </c>
    </row>
    <row r="636" spans="1:23" x14ac:dyDescent="0.25">
      <c r="A636" t="s">
        <v>404</v>
      </c>
      <c r="B636">
        <v>2006</v>
      </c>
      <c r="C636" t="s">
        <v>363</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Data_Completeness(LifeExpectancyData[[#This Row],[Life expectancy]:[Schooling]])</f>
        <v>1</v>
      </c>
    </row>
    <row r="637" spans="1:23" x14ac:dyDescent="0.25">
      <c r="A637" t="s">
        <v>404</v>
      </c>
      <c r="B637">
        <v>2005</v>
      </c>
      <c r="C637" t="s">
        <v>363</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Data_Completeness(LifeExpectancyData[[#This Row],[Life expectancy]:[Schooling]])</f>
        <v>1</v>
      </c>
    </row>
    <row r="638" spans="1:23" x14ac:dyDescent="0.25">
      <c r="A638" t="s">
        <v>404</v>
      </c>
      <c r="B638">
        <v>2004</v>
      </c>
      <c r="C638" t="s">
        <v>363</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Data_Completeness(LifeExpectancyData[[#This Row],[Life expectancy]:[Schooling]])</f>
        <v>1</v>
      </c>
    </row>
    <row r="639" spans="1:23" x14ac:dyDescent="0.25">
      <c r="A639" t="s">
        <v>404</v>
      </c>
      <c r="B639">
        <v>2003</v>
      </c>
      <c r="C639" t="s">
        <v>363</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Data_Completeness(LifeExpectancyData[[#This Row],[Life expectancy]:[Schooling]])</f>
        <v>1</v>
      </c>
    </row>
    <row r="640" spans="1:23" x14ac:dyDescent="0.25">
      <c r="A640" t="s">
        <v>404</v>
      </c>
      <c r="B640">
        <v>2002</v>
      </c>
      <c r="C640" t="s">
        <v>363</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Data_Completeness(LifeExpectancyData[[#This Row],[Life expectancy]:[Schooling]])</f>
        <v>1</v>
      </c>
    </row>
    <row r="641" spans="1:23" x14ac:dyDescent="0.25">
      <c r="A641" t="s">
        <v>404</v>
      </c>
      <c r="B641">
        <v>2001</v>
      </c>
      <c r="C641" t="s">
        <v>363</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Data_Completeness(LifeExpectancyData[[#This Row],[Life expectancy]:[Schooling]])</f>
        <v>1</v>
      </c>
    </row>
    <row r="642" spans="1:23" x14ac:dyDescent="0.25">
      <c r="A642" t="s">
        <v>404</v>
      </c>
      <c r="B642">
        <v>2000</v>
      </c>
      <c r="C642" t="s">
        <v>363</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Data_Completeness(LifeExpectancyData[[#This Row],[Life expectancy]:[Schooling]])</f>
        <v>1</v>
      </c>
    </row>
    <row r="643" spans="1:23" x14ac:dyDescent="0.25">
      <c r="A643" t="s">
        <v>405</v>
      </c>
      <c r="B643">
        <v>2015</v>
      </c>
      <c r="C643" t="s">
        <v>371</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Data_Completeness(LifeExpectancyData[[#This Row],[Life expectancy]:[Schooling]])</f>
        <v>0</v>
      </c>
    </row>
    <row r="644" spans="1:23" x14ac:dyDescent="0.25">
      <c r="A644" t="s">
        <v>405</v>
      </c>
      <c r="B644">
        <v>2014</v>
      </c>
      <c r="C644" t="s">
        <v>371</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Data_Completeness(LifeExpectancyData[[#This Row],[Life expectancy]:[Schooling]])</f>
        <v>1</v>
      </c>
    </row>
    <row r="645" spans="1:23" x14ac:dyDescent="0.25">
      <c r="A645" t="s">
        <v>405</v>
      </c>
      <c r="B645">
        <v>2013</v>
      </c>
      <c r="C645" t="s">
        <v>371</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Data_Completeness(LifeExpectancyData[[#This Row],[Life expectancy]:[Schooling]])</f>
        <v>1</v>
      </c>
    </row>
    <row r="646" spans="1:23" x14ac:dyDescent="0.25">
      <c r="A646" t="s">
        <v>405</v>
      </c>
      <c r="B646">
        <v>2012</v>
      </c>
      <c r="C646" t="s">
        <v>371</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Data_Completeness(LifeExpectancyData[[#This Row],[Life expectancy]:[Schooling]])</f>
        <v>1</v>
      </c>
    </row>
    <row r="647" spans="1:23" x14ac:dyDescent="0.25">
      <c r="A647" t="s">
        <v>405</v>
      </c>
      <c r="B647">
        <v>2011</v>
      </c>
      <c r="C647" t="s">
        <v>371</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Data_Completeness(LifeExpectancyData[[#This Row],[Life expectancy]:[Schooling]])</f>
        <v>1</v>
      </c>
    </row>
    <row r="648" spans="1:23" x14ac:dyDescent="0.25">
      <c r="A648" t="s">
        <v>405</v>
      </c>
      <c r="B648">
        <v>2010</v>
      </c>
      <c r="C648" t="s">
        <v>371</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Data_Completeness(LifeExpectancyData[[#This Row],[Life expectancy]:[Schooling]])</f>
        <v>1</v>
      </c>
    </row>
    <row r="649" spans="1:23" x14ac:dyDescent="0.25">
      <c r="A649" t="s">
        <v>405</v>
      </c>
      <c r="B649">
        <v>2009</v>
      </c>
      <c r="C649" t="s">
        <v>371</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Data_Completeness(LifeExpectancyData[[#This Row],[Life expectancy]:[Schooling]])</f>
        <v>1</v>
      </c>
    </row>
    <row r="650" spans="1:23" x14ac:dyDescent="0.25">
      <c r="A650" t="s">
        <v>405</v>
      </c>
      <c r="B650">
        <v>2008</v>
      </c>
      <c r="C650" t="s">
        <v>371</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Data_Completeness(LifeExpectancyData[[#This Row],[Life expectancy]:[Schooling]])</f>
        <v>1</v>
      </c>
    </row>
    <row r="651" spans="1:23" x14ac:dyDescent="0.25">
      <c r="A651" t="s">
        <v>405</v>
      </c>
      <c r="B651">
        <v>2007</v>
      </c>
      <c r="C651" t="s">
        <v>371</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Data_Completeness(LifeExpectancyData[[#This Row],[Life expectancy]:[Schooling]])</f>
        <v>1</v>
      </c>
    </row>
    <row r="652" spans="1:23" x14ac:dyDescent="0.25">
      <c r="A652" t="s">
        <v>405</v>
      </c>
      <c r="B652">
        <v>2006</v>
      </c>
      <c r="C652" t="s">
        <v>371</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Data_Completeness(LifeExpectancyData[[#This Row],[Life expectancy]:[Schooling]])</f>
        <v>0</v>
      </c>
    </row>
    <row r="653" spans="1:23" x14ac:dyDescent="0.25">
      <c r="A653" t="s">
        <v>405</v>
      </c>
      <c r="B653">
        <v>2005</v>
      </c>
      <c r="C653" t="s">
        <v>371</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Data_Completeness(LifeExpectancyData[[#This Row],[Life expectancy]:[Schooling]])</f>
        <v>0</v>
      </c>
    </row>
    <row r="654" spans="1:23" x14ac:dyDescent="0.25">
      <c r="A654" t="s">
        <v>405</v>
      </c>
      <c r="B654">
        <v>2004</v>
      </c>
      <c r="C654" t="s">
        <v>371</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Data_Completeness(LifeExpectancyData[[#This Row],[Life expectancy]:[Schooling]])</f>
        <v>0</v>
      </c>
    </row>
    <row r="655" spans="1:23" x14ac:dyDescent="0.25">
      <c r="A655" t="s">
        <v>405</v>
      </c>
      <c r="B655">
        <v>2003</v>
      </c>
      <c r="C655" t="s">
        <v>371</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Data_Completeness(LifeExpectancyData[[#This Row],[Life expectancy]:[Schooling]])</f>
        <v>0</v>
      </c>
    </row>
    <row r="656" spans="1:23" x14ac:dyDescent="0.25">
      <c r="A656" t="s">
        <v>405</v>
      </c>
      <c r="B656">
        <v>2002</v>
      </c>
      <c r="C656" t="s">
        <v>371</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Data_Completeness(LifeExpectancyData[[#This Row],[Life expectancy]:[Schooling]])</f>
        <v>0</v>
      </c>
    </row>
    <row r="657" spans="1:23" x14ac:dyDescent="0.25">
      <c r="A657" t="s">
        <v>405</v>
      </c>
      <c r="B657">
        <v>2001</v>
      </c>
      <c r="C657" t="s">
        <v>371</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Data_Completeness(LifeExpectancyData[[#This Row],[Life expectancy]:[Schooling]])</f>
        <v>0</v>
      </c>
    </row>
    <row r="658" spans="1:23" x14ac:dyDescent="0.25">
      <c r="A658" t="s">
        <v>405</v>
      </c>
      <c r="B658">
        <v>2000</v>
      </c>
      <c r="C658" t="s">
        <v>371</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Data_Completeness(LifeExpectancyData[[#This Row],[Life expectancy]:[Schooling]])</f>
        <v>0</v>
      </c>
    </row>
    <row r="659" spans="1:23" x14ac:dyDescent="0.25">
      <c r="A659" t="s">
        <v>406</v>
      </c>
      <c r="B659">
        <v>2015</v>
      </c>
      <c r="C659" t="s">
        <v>363</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Data_Completeness(LifeExpectancyData[[#This Row],[Life expectancy]:[Schooling]])</f>
        <v>0</v>
      </c>
    </row>
    <row r="660" spans="1:23" x14ac:dyDescent="0.25">
      <c r="A660" t="s">
        <v>406</v>
      </c>
      <c r="B660">
        <v>2014</v>
      </c>
      <c r="C660" t="s">
        <v>363</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Data_Completeness(LifeExpectancyData[[#This Row],[Life expectancy]:[Schooling]])</f>
        <v>0</v>
      </c>
    </row>
    <row r="661" spans="1:23" x14ac:dyDescent="0.25">
      <c r="A661" t="s">
        <v>406</v>
      </c>
      <c r="B661">
        <v>2013</v>
      </c>
      <c r="C661" t="s">
        <v>363</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Data_Completeness(LifeExpectancyData[[#This Row],[Life expectancy]:[Schooling]])</f>
        <v>0</v>
      </c>
    </row>
    <row r="662" spans="1:23" x14ac:dyDescent="0.25">
      <c r="A662" t="s">
        <v>406</v>
      </c>
      <c r="B662">
        <v>2012</v>
      </c>
      <c r="C662" t="s">
        <v>363</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Data_Completeness(LifeExpectancyData[[#This Row],[Life expectancy]:[Schooling]])</f>
        <v>0</v>
      </c>
    </row>
    <row r="663" spans="1:23" x14ac:dyDescent="0.25">
      <c r="A663" t="s">
        <v>406</v>
      </c>
      <c r="B663">
        <v>2011</v>
      </c>
      <c r="C663" t="s">
        <v>363</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Data_Completeness(LifeExpectancyData[[#This Row],[Life expectancy]:[Schooling]])</f>
        <v>0</v>
      </c>
    </row>
    <row r="664" spans="1:23" x14ac:dyDescent="0.25">
      <c r="A664" t="s">
        <v>406</v>
      </c>
      <c r="B664">
        <v>2010</v>
      </c>
      <c r="C664" t="s">
        <v>363</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Data_Completeness(LifeExpectancyData[[#This Row],[Life expectancy]:[Schooling]])</f>
        <v>0</v>
      </c>
    </row>
    <row r="665" spans="1:23" x14ac:dyDescent="0.25">
      <c r="A665" t="s">
        <v>406</v>
      </c>
      <c r="B665">
        <v>2009</v>
      </c>
      <c r="C665" t="s">
        <v>363</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Data_Completeness(LifeExpectancyData[[#This Row],[Life expectancy]:[Schooling]])</f>
        <v>0</v>
      </c>
    </row>
    <row r="666" spans="1:23" x14ac:dyDescent="0.25">
      <c r="A666" t="s">
        <v>406</v>
      </c>
      <c r="B666">
        <v>2008</v>
      </c>
      <c r="C666" t="s">
        <v>363</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Data_Completeness(LifeExpectancyData[[#This Row],[Life expectancy]:[Schooling]])</f>
        <v>0</v>
      </c>
    </row>
    <row r="667" spans="1:23" x14ac:dyDescent="0.25">
      <c r="A667" t="s">
        <v>406</v>
      </c>
      <c r="B667">
        <v>2007</v>
      </c>
      <c r="C667" t="s">
        <v>363</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Data_Completeness(LifeExpectancyData[[#This Row],[Life expectancy]:[Schooling]])</f>
        <v>0</v>
      </c>
    </row>
    <row r="668" spans="1:23" x14ac:dyDescent="0.25">
      <c r="A668" t="s">
        <v>406</v>
      </c>
      <c r="B668">
        <v>2006</v>
      </c>
      <c r="C668" t="s">
        <v>363</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Data_Completeness(LifeExpectancyData[[#This Row],[Life expectancy]:[Schooling]])</f>
        <v>0</v>
      </c>
    </row>
    <row r="669" spans="1:23" x14ac:dyDescent="0.25">
      <c r="A669" t="s">
        <v>406</v>
      </c>
      <c r="B669">
        <v>2005</v>
      </c>
      <c r="C669" t="s">
        <v>363</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Data_Completeness(LifeExpectancyData[[#This Row],[Life expectancy]:[Schooling]])</f>
        <v>0</v>
      </c>
    </row>
    <row r="670" spans="1:23" x14ac:dyDescent="0.25">
      <c r="A670" t="s">
        <v>406</v>
      </c>
      <c r="B670">
        <v>2004</v>
      </c>
      <c r="C670" t="s">
        <v>363</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Data_Completeness(LifeExpectancyData[[#This Row],[Life expectancy]:[Schooling]])</f>
        <v>0</v>
      </c>
    </row>
    <row r="671" spans="1:23" x14ac:dyDescent="0.25">
      <c r="A671" t="s">
        <v>406</v>
      </c>
      <c r="B671">
        <v>2003</v>
      </c>
      <c r="C671" t="s">
        <v>363</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Data_Completeness(LifeExpectancyData[[#This Row],[Life expectancy]:[Schooling]])</f>
        <v>0</v>
      </c>
    </row>
    <row r="672" spans="1:23" x14ac:dyDescent="0.25">
      <c r="A672" t="s">
        <v>406</v>
      </c>
      <c r="B672">
        <v>2002</v>
      </c>
      <c r="C672" t="s">
        <v>363</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Data_Completeness(LifeExpectancyData[[#This Row],[Life expectancy]:[Schooling]])</f>
        <v>0</v>
      </c>
    </row>
    <row r="673" spans="1:23" x14ac:dyDescent="0.25">
      <c r="A673" t="s">
        <v>406</v>
      </c>
      <c r="B673">
        <v>2001</v>
      </c>
      <c r="C673" t="s">
        <v>363</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Data_Completeness(LifeExpectancyData[[#This Row],[Life expectancy]:[Schooling]])</f>
        <v>0</v>
      </c>
    </row>
    <row r="674" spans="1:23" x14ac:dyDescent="0.25">
      <c r="A674" t="s">
        <v>406</v>
      </c>
      <c r="B674">
        <v>2000</v>
      </c>
      <c r="C674" t="s">
        <v>363</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Data_Completeness(LifeExpectancyData[[#This Row],[Life expectancy]:[Schooling]])</f>
        <v>0</v>
      </c>
    </row>
    <row r="675" spans="1:23" x14ac:dyDescent="0.25">
      <c r="A675" t="s">
        <v>407</v>
      </c>
      <c r="B675">
        <v>2015</v>
      </c>
      <c r="C675" t="s">
        <v>371</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Data_Completeness(LifeExpectancyData[[#This Row],[Life expectancy]:[Schooling]])</f>
        <v>0</v>
      </c>
    </row>
    <row r="676" spans="1:23" x14ac:dyDescent="0.25">
      <c r="A676" t="s">
        <v>407</v>
      </c>
      <c r="B676">
        <v>2014</v>
      </c>
      <c r="C676" t="s">
        <v>371</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Data_Completeness(LifeExpectancyData[[#This Row],[Life expectancy]:[Schooling]])</f>
        <v>1</v>
      </c>
    </row>
    <row r="677" spans="1:23" x14ac:dyDescent="0.25">
      <c r="A677" t="s">
        <v>407</v>
      </c>
      <c r="B677">
        <v>2013</v>
      </c>
      <c r="C677" t="s">
        <v>371</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Data_Completeness(LifeExpectancyData[[#This Row],[Life expectancy]:[Schooling]])</f>
        <v>1</v>
      </c>
    </row>
    <row r="678" spans="1:23" x14ac:dyDescent="0.25">
      <c r="A678" t="s">
        <v>407</v>
      </c>
      <c r="B678">
        <v>2012</v>
      </c>
      <c r="C678" t="s">
        <v>371</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Data_Completeness(LifeExpectancyData[[#This Row],[Life expectancy]:[Schooling]])</f>
        <v>1</v>
      </c>
    </row>
    <row r="679" spans="1:23" x14ac:dyDescent="0.25">
      <c r="A679" t="s">
        <v>407</v>
      </c>
      <c r="B679">
        <v>2011</v>
      </c>
      <c r="C679" t="s">
        <v>371</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Data_Completeness(LifeExpectancyData[[#This Row],[Life expectancy]:[Schooling]])</f>
        <v>1</v>
      </c>
    </row>
    <row r="680" spans="1:23" x14ac:dyDescent="0.25">
      <c r="A680" t="s">
        <v>407</v>
      </c>
      <c r="B680">
        <v>2010</v>
      </c>
      <c r="C680" t="s">
        <v>371</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Data_Completeness(LifeExpectancyData[[#This Row],[Life expectancy]:[Schooling]])</f>
        <v>1</v>
      </c>
    </row>
    <row r="681" spans="1:23" x14ac:dyDescent="0.25">
      <c r="A681" t="s">
        <v>407</v>
      </c>
      <c r="B681">
        <v>2009</v>
      </c>
      <c r="C681" t="s">
        <v>371</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Data_Completeness(LifeExpectancyData[[#This Row],[Life expectancy]:[Schooling]])</f>
        <v>1</v>
      </c>
    </row>
    <row r="682" spans="1:23" x14ac:dyDescent="0.25">
      <c r="A682" t="s">
        <v>407</v>
      </c>
      <c r="B682">
        <v>2008</v>
      </c>
      <c r="C682" t="s">
        <v>371</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Data_Completeness(LifeExpectancyData[[#This Row],[Life expectancy]:[Schooling]])</f>
        <v>1</v>
      </c>
    </row>
    <row r="683" spans="1:23" x14ac:dyDescent="0.25">
      <c r="A683" t="s">
        <v>407</v>
      </c>
      <c r="B683">
        <v>2007</v>
      </c>
      <c r="C683" t="s">
        <v>371</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Data_Completeness(LifeExpectancyData[[#This Row],[Life expectancy]:[Schooling]])</f>
        <v>1</v>
      </c>
    </row>
    <row r="684" spans="1:23" x14ac:dyDescent="0.25">
      <c r="A684" t="s">
        <v>407</v>
      </c>
      <c r="B684">
        <v>2006</v>
      </c>
      <c r="C684" t="s">
        <v>371</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Data_Completeness(LifeExpectancyData[[#This Row],[Life expectancy]:[Schooling]])</f>
        <v>1</v>
      </c>
    </row>
    <row r="685" spans="1:23" x14ac:dyDescent="0.25">
      <c r="A685" t="s">
        <v>407</v>
      </c>
      <c r="B685">
        <v>2005</v>
      </c>
      <c r="C685" t="s">
        <v>371</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Data_Completeness(LifeExpectancyData[[#This Row],[Life expectancy]:[Schooling]])</f>
        <v>1</v>
      </c>
    </row>
    <row r="686" spans="1:23" x14ac:dyDescent="0.25">
      <c r="A686" t="s">
        <v>407</v>
      </c>
      <c r="B686">
        <v>2004</v>
      </c>
      <c r="C686" t="s">
        <v>371</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Data_Completeness(LifeExpectancyData[[#This Row],[Life expectancy]:[Schooling]])</f>
        <v>1</v>
      </c>
    </row>
    <row r="687" spans="1:23" x14ac:dyDescent="0.25">
      <c r="A687" t="s">
        <v>407</v>
      </c>
      <c r="B687">
        <v>2003</v>
      </c>
      <c r="C687" t="s">
        <v>371</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Data_Completeness(LifeExpectancyData[[#This Row],[Life expectancy]:[Schooling]])</f>
        <v>1</v>
      </c>
    </row>
    <row r="688" spans="1:23" x14ac:dyDescent="0.25">
      <c r="A688" t="s">
        <v>407</v>
      </c>
      <c r="B688">
        <v>2002</v>
      </c>
      <c r="C688" t="s">
        <v>371</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Data_Completeness(LifeExpectancyData[[#This Row],[Life expectancy]:[Schooling]])</f>
        <v>1</v>
      </c>
    </row>
    <row r="689" spans="1:23" x14ac:dyDescent="0.25">
      <c r="A689" t="s">
        <v>407</v>
      </c>
      <c r="B689">
        <v>2001</v>
      </c>
      <c r="C689" t="s">
        <v>371</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Data_Completeness(LifeExpectancyData[[#This Row],[Life expectancy]:[Schooling]])</f>
        <v>1</v>
      </c>
    </row>
    <row r="690" spans="1:23" x14ac:dyDescent="0.25">
      <c r="A690" t="s">
        <v>407</v>
      </c>
      <c r="B690">
        <v>2000</v>
      </c>
      <c r="C690" t="s">
        <v>371</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Data_Completeness(LifeExpectancyData[[#This Row],[Life expectancy]:[Schooling]])</f>
        <v>1</v>
      </c>
    </row>
    <row r="691" spans="1:23" x14ac:dyDescent="0.25">
      <c r="A691" t="s">
        <v>408</v>
      </c>
      <c r="B691">
        <v>2015</v>
      </c>
      <c r="C691" t="s">
        <v>371</v>
      </c>
      <c r="D691">
        <v>78.8</v>
      </c>
      <c r="E691">
        <v>86</v>
      </c>
      <c r="F691">
        <v>0</v>
      </c>
      <c r="H691">
        <v>0</v>
      </c>
      <c r="I691">
        <v>97</v>
      </c>
      <c r="J691">
        <v>9</v>
      </c>
      <c r="K691">
        <v>66.099999999999994</v>
      </c>
      <c r="L691">
        <v>0</v>
      </c>
      <c r="M691">
        <v>97</v>
      </c>
      <c r="O691">
        <v>97</v>
      </c>
      <c r="P691">
        <v>0.1</v>
      </c>
      <c r="S691">
        <v>1.8</v>
      </c>
      <c r="T691">
        <v>1.8</v>
      </c>
      <c r="W691" t="b">
        <f>Data_Completeness(LifeExpectancyData[[#This Row],[Life expectancy]:[Schooling]])</f>
        <v>0</v>
      </c>
    </row>
    <row r="692" spans="1:23" x14ac:dyDescent="0.25">
      <c r="A692" t="s">
        <v>408</v>
      </c>
      <c r="B692">
        <v>2014</v>
      </c>
      <c r="C692" t="s">
        <v>371</v>
      </c>
      <c r="D692">
        <v>78.599999999999994</v>
      </c>
      <c r="E692">
        <v>88</v>
      </c>
      <c r="F692">
        <v>0</v>
      </c>
      <c r="G692">
        <v>12.68</v>
      </c>
      <c r="H692">
        <v>0</v>
      </c>
      <c r="I692">
        <v>99</v>
      </c>
      <c r="J692">
        <v>222</v>
      </c>
      <c r="K692">
        <v>65.599999999999994</v>
      </c>
      <c r="L692">
        <v>0</v>
      </c>
      <c r="M692">
        <v>99</v>
      </c>
      <c r="N692">
        <v>7.41</v>
      </c>
      <c r="O692">
        <v>97</v>
      </c>
      <c r="P692">
        <v>0.1</v>
      </c>
      <c r="S692">
        <v>1.8</v>
      </c>
      <c r="T692">
        <v>1.9</v>
      </c>
      <c r="W692" t="b">
        <f>Data_Completeness(LifeExpectancyData[[#This Row],[Life expectancy]:[Schooling]])</f>
        <v>0</v>
      </c>
    </row>
    <row r="693" spans="1:23" x14ac:dyDescent="0.25">
      <c r="A693" t="s">
        <v>408</v>
      </c>
      <c r="B693">
        <v>2013</v>
      </c>
      <c r="C693" t="s">
        <v>371</v>
      </c>
      <c r="D693">
        <v>78.2</v>
      </c>
      <c r="E693">
        <v>9</v>
      </c>
      <c r="F693">
        <v>0</v>
      </c>
      <c r="G693">
        <v>12.45</v>
      </c>
      <c r="H693">
        <v>0</v>
      </c>
      <c r="I693">
        <v>99</v>
      </c>
      <c r="J693">
        <v>15</v>
      </c>
      <c r="K693">
        <v>65.099999999999994</v>
      </c>
      <c r="L693">
        <v>0</v>
      </c>
      <c r="M693">
        <v>99</v>
      </c>
      <c r="N693">
        <v>7.49</v>
      </c>
      <c r="O693">
        <v>98</v>
      </c>
      <c r="P693">
        <v>0.1</v>
      </c>
      <c r="S693">
        <v>1.8</v>
      </c>
      <c r="T693">
        <v>1.9</v>
      </c>
      <c r="W693" t="b">
        <f>Data_Completeness(LifeExpectancyData[[#This Row],[Life expectancy]:[Schooling]])</f>
        <v>0</v>
      </c>
    </row>
    <row r="694" spans="1:23" x14ac:dyDescent="0.25">
      <c r="A694" t="s">
        <v>408</v>
      </c>
      <c r="B694">
        <v>2012</v>
      </c>
      <c r="C694" t="s">
        <v>371</v>
      </c>
      <c r="D694">
        <v>78</v>
      </c>
      <c r="E694">
        <v>93</v>
      </c>
      <c r="F694">
        <v>0</v>
      </c>
      <c r="G694">
        <v>12.71</v>
      </c>
      <c r="H694">
        <v>0</v>
      </c>
      <c r="I694">
        <v>99</v>
      </c>
      <c r="J694">
        <v>22</v>
      </c>
      <c r="K694">
        <v>64.5</v>
      </c>
      <c r="L694">
        <v>0</v>
      </c>
      <c r="M694">
        <v>99</v>
      </c>
      <c r="N694">
        <v>7.55</v>
      </c>
      <c r="O694">
        <v>99</v>
      </c>
      <c r="P694">
        <v>0.1</v>
      </c>
      <c r="S694">
        <v>1.8</v>
      </c>
      <c r="T694">
        <v>1.9</v>
      </c>
      <c r="W694" t="b">
        <f>Data_Completeness(LifeExpectancyData[[#This Row],[Life expectancy]:[Schooling]])</f>
        <v>0</v>
      </c>
    </row>
    <row r="695" spans="1:23" x14ac:dyDescent="0.25">
      <c r="A695" t="s">
        <v>408</v>
      </c>
      <c r="B695">
        <v>2011</v>
      </c>
      <c r="C695" t="s">
        <v>371</v>
      </c>
      <c r="D695">
        <v>77.8</v>
      </c>
      <c r="E695">
        <v>97</v>
      </c>
      <c r="F695">
        <v>0</v>
      </c>
      <c r="G695">
        <v>12.43</v>
      </c>
      <c r="H695">
        <v>0</v>
      </c>
      <c r="I695">
        <v>99</v>
      </c>
      <c r="J695">
        <v>17</v>
      </c>
      <c r="K695">
        <v>64</v>
      </c>
      <c r="L695">
        <v>0</v>
      </c>
      <c r="M695">
        <v>99</v>
      </c>
      <c r="N695">
        <v>7.5</v>
      </c>
      <c r="O695">
        <v>99</v>
      </c>
      <c r="P695">
        <v>0.1</v>
      </c>
      <c r="S695">
        <v>1.9</v>
      </c>
      <c r="T695">
        <v>1.9</v>
      </c>
      <c r="W695" t="b">
        <f>Data_Completeness(LifeExpectancyData[[#This Row],[Life expectancy]:[Schooling]])</f>
        <v>0</v>
      </c>
    </row>
    <row r="696" spans="1:23" x14ac:dyDescent="0.25">
      <c r="A696" t="s">
        <v>408</v>
      </c>
      <c r="B696">
        <v>2010</v>
      </c>
      <c r="C696" t="s">
        <v>371</v>
      </c>
      <c r="D696">
        <v>77.5</v>
      </c>
      <c r="E696">
        <v>99</v>
      </c>
      <c r="F696">
        <v>0</v>
      </c>
      <c r="G696">
        <v>12.69</v>
      </c>
      <c r="H696">
        <v>0</v>
      </c>
      <c r="I696">
        <v>99</v>
      </c>
      <c r="J696">
        <v>0</v>
      </c>
      <c r="K696">
        <v>63.6</v>
      </c>
      <c r="L696">
        <v>0</v>
      </c>
      <c r="M696">
        <v>99</v>
      </c>
      <c r="N696">
        <v>7.43</v>
      </c>
      <c r="O696">
        <v>99</v>
      </c>
      <c r="P696">
        <v>0.1</v>
      </c>
      <c r="S696">
        <v>1.9</v>
      </c>
      <c r="T696">
        <v>2</v>
      </c>
      <c r="W696" t="b">
        <f>Data_Completeness(LifeExpectancyData[[#This Row],[Life expectancy]:[Schooling]])</f>
        <v>0</v>
      </c>
    </row>
    <row r="697" spans="1:23" x14ac:dyDescent="0.25">
      <c r="A697" t="s">
        <v>408</v>
      </c>
      <c r="B697">
        <v>2009</v>
      </c>
      <c r="C697" t="s">
        <v>371</v>
      </c>
      <c r="D697">
        <v>77.099999999999994</v>
      </c>
      <c r="E697">
        <v>12</v>
      </c>
      <c r="F697">
        <v>0</v>
      </c>
      <c r="G697">
        <v>13.23</v>
      </c>
      <c r="H697">
        <v>0</v>
      </c>
      <c r="I697">
        <v>99</v>
      </c>
      <c r="J697">
        <v>5</v>
      </c>
      <c r="K697">
        <v>63.1</v>
      </c>
      <c r="L697">
        <v>0</v>
      </c>
      <c r="M697">
        <v>99</v>
      </c>
      <c r="N697">
        <v>7.85</v>
      </c>
      <c r="O697">
        <v>99</v>
      </c>
      <c r="P697">
        <v>0.1</v>
      </c>
      <c r="S697">
        <v>1.9</v>
      </c>
      <c r="T697">
        <v>2</v>
      </c>
      <c r="W697" t="b">
        <f>Data_Completeness(LifeExpectancyData[[#This Row],[Life expectancy]:[Schooling]])</f>
        <v>0</v>
      </c>
    </row>
    <row r="698" spans="1:23" x14ac:dyDescent="0.25">
      <c r="A698" t="s">
        <v>408</v>
      </c>
      <c r="B698">
        <v>2008</v>
      </c>
      <c r="C698" t="s">
        <v>371</v>
      </c>
      <c r="D698">
        <v>77</v>
      </c>
      <c r="E698">
        <v>16</v>
      </c>
      <c r="F698">
        <v>0</v>
      </c>
      <c r="G698">
        <v>13.25</v>
      </c>
      <c r="H698">
        <v>0</v>
      </c>
      <c r="I698">
        <v>99</v>
      </c>
      <c r="J698">
        <v>2</v>
      </c>
      <c r="K698">
        <v>62.6</v>
      </c>
      <c r="L698">
        <v>0</v>
      </c>
      <c r="M698">
        <v>99</v>
      </c>
      <c r="N698">
        <v>6.82</v>
      </c>
      <c r="O698">
        <v>99</v>
      </c>
      <c r="P698">
        <v>0.1</v>
      </c>
      <c r="S698">
        <v>1.9</v>
      </c>
      <c r="T698">
        <v>2</v>
      </c>
      <c r="W698" t="b">
        <f>Data_Completeness(LifeExpectancyData[[#This Row],[Life expectancy]:[Schooling]])</f>
        <v>0</v>
      </c>
    </row>
    <row r="699" spans="1:23" x14ac:dyDescent="0.25">
      <c r="A699" t="s">
        <v>408</v>
      </c>
      <c r="B699">
        <v>2007</v>
      </c>
      <c r="C699" t="s">
        <v>371</v>
      </c>
      <c r="D699">
        <v>76.8</v>
      </c>
      <c r="E699">
        <v>17</v>
      </c>
      <c r="F699">
        <v>0</v>
      </c>
      <c r="G699">
        <v>13.43</v>
      </c>
      <c r="H699">
        <v>0</v>
      </c>
      <c r="I699">
        <v>99</v>
      </c>
      <c r="J699">
        <v>2</v>
      </c>
      <c r="K699">
        <v>62.2</v>
      </c>
      <c r="L699">
        <v>0</v>
      </c>
      <c r="M699">
        <v>99</v>
      </c>
      <c r="N699">
        <v>6.52</v>
      </c>
      <c r="O699">
        <v>99</v>
      </c>
      <c r="P699">
        <v>0.1</v>
      </c>
      <c r="S699">
        <v>2</v>
      </c>
      <c r="T699">
        <v>2.1</v>
      </c>
      <c r="W699" t="b">
        <f>Data_Completeness(LifeExpectancyData[[#This Row],[Life expectancy]:[Schooling]])</f>
        <v>0</v>
      </c>
    </row>
    <row r="700" spans="1:23" x14ac:dyDescent="0.25">
      <c r="A700" t="s">
        <v>408</v>
      </c>
      <c r="B700">
        <v>2006</v>
      </c>
      <c r="C700" t="s">
        <v>371</v>
      </c>
      <c r="D700">
        <v>76.5</v>
      </c>
      <c r="E700">
        <v>19</v>
      </c>
      <c r="F700">
        <v>0</v>
      </c>
      <c r="G700">
        <v>13.03</v>
      </c>
      <c r="H700">
        <v>0</v>
      </c>
      <c r="I700">
        <v>98</v>
      </c>
      <c r="J700">
        <v>7</v>
      </c>
      <c r="K700">
        <v>61.8</v>
      </c>
      <c r="L700">
        <v>0</v>
      </c>
      <c r="M700">
        <v>98</v>
      </c>
      <c r="N700">
        <v>6.69</v>
      </c>
      <c r="O700">
        <v>98</v>
      </c>
      <c r="P700">
        <v>0.1</v>
      </c>
      <c r="S700">
        <v>2</v>
      </c>
      <c r="T700">
        <v>2.1</v>
      </c>
      <c r="W700" t="b">
        <f>Data_Completeness(LifeExpectancyData[[#This Row],[Life expectancy]:[Schooling]])</f>
        <v>0</v>
      </c>
    </row>
    <row r="701" spans="1:23" x14ac:dyDescent="0.25">
      <c r="A701" t="s">
        <v>408</v>
      </c>
      <c r="B701">
        <v>2005</v>
      </c>
      <c r="C701" t="s">
        <v>371</v>
      </c>
      <c r="D701">
        <v>75.900000000000006</v>
      </c>
      <c r="E701">
        <v>114</v>
      </c>
      <c r="F701">
        <v>0</v>
      </c>
      <c r="G701">
        <v>13.19</v>
      </c>
      <c r="H701">
        <v>0</v>
      </c>
      <c r="I701">
        <v>99</v>
      </c>
      <c r="J701">
        <v>0</v>
      </c>
      <c r="K701">
        <v>61.3</v>
      </c>
      <c r="L701">
        <v>0</v>
      </c>
      <c r="M701">
        <v>96</v>
      </c>
      <c r="N701">
        <v>6.93</v>
      </c>
      <c r="O701">
        <v>97</v>
      </c>
      <c r="P701">
        <v>0.1</v>
      </c>
      <c r="S701">
        <v>2.1</v>
      </c>
      <c r="T701">
        <v>2.1</v>
      </c>
      <c r="W701" t="b">
        <f>Data_Completeness(LifeExpectancyData[[#This Row],[Life expectancy]:[Schooling]])</f>
        <v>0</v>
      </c>
    </row>
    <row r="702" spans="1:23" x14ac:dyDescent="0.25">
      <c r="A702" t="s">
        <v>408</v>
      </c>
      <c r="B702">
        <v>2004</v>
      </c>
      <c r="C702" t="s">
        <v>371</v>
      </c>
      <c r="D702">
        <v>75.8</v>
      </c>
      <c r="E702">
        <v>116</v>
      </c>
      <c r="F702">
        <v>0</v>
      </c>
      <c r="G702">
        <v>13.24</v>
      </c>
      <c r="H702">
        <v>0</v>
      </c>
      <c r="I702">
        <v>98</v>
      </c>
      <c r="J702">
        <v>17</v>
      </c>
      <c r="K702">
        <v>6.8</v>
      </c>
      <c r="L702">
        <v>0</v>
      </c>
      <c r="M702">
        <v>96</v>
      </c>
      <c r="N702">
        <v>6.9</v>
      </c>
      <c r="O702">
        <v>98</v>
      </c>
      <c r="P702">
        <v>0.1</v>
      </c>
      <c r="S702">
        <v>2.1</v>
      </c>
      <c r="T702">
        <v>2.2000000000000002</v>
      </c>
      <c r="W702" t="b">
        <f>Data_Completeness(LifeExpectancyData[[#This Row],[Life expectancy]:[Schooling]])</f>
        <v>0</v>
      </c>
    </row>
    <row r="703" spans="1:23" x14ac:dyDescent="0.25">
      <c r="A703" t="s">
        <v>408</v>
      </c>
      <c r="B703">
        <v>2003</v>
      </c>
      <c r="C703" t="s">
        <v>371</v>
      </c>
      <c r="D703">
        <v>75.2</v>
      </c>
      <c r="E703">
        <v>122</v>
      </c>
      <c r="F703">
        <v>0</v>
      </c>
      <c r="G703">
        <v>13.01</v>
      </c>
      <c r="H703">
        <v>0</v>
      </c>
      <c r="I703">
        <v>92</v>
      </c>
      <c r="J703">
        <v>30</v>
      </c>
      <c r="K703">
        <v>6.4</v>
      </c>
      <c r="L703">
        <v>0</v>
      </c>
      <c r="M703">
        <v>97</v>
      </c>
      <c r="N703">
        <v>7.13</v>
      </c>
      <c r="O703">
        <v>97</v>
      </c>
      <c r="P703">
        <v>0.1</v>
      </c>
      <c r="S703">
        <v>2.2000000000000002</v>
      </c>
      <c r="T703">
        <v>2.2000000000000002</v>
      </c>
      <c r="W703" t="b">
        <f>Data_Completeness(LifeExpectancyData[[#This Row],[Life expectancy]:[Schooling]])</f>
        <v>0</v>
      </c>
    </row>
    <row r="704" spans="1:23" x14ac:dyDescent="0.25">
      <c r="A704" t="s">
        <v>408</v>
      </c>
      <c r="B704">
        <v>2002</v>
      </c>
      <c r="C704" t="s">
        <v>371</v>
      </c>
      <c r="D704">
        <v>75.3</v>
      </c>
      <c r="E704">
        <v>12</v>
      </c>
      <c r="F704">
        <v>0</v>
      </c>
      <c r="G704">
        <v>13.47</v>
      </c>
      <c r="H704">
        <v>0</v>
      </c>
      <c r="I704">
        <v>86</v>
      </c>
      <c r="J704">
        <v>4</v>
      </c>
      <c r="K704">
        <v>59.9</v>
      </c>
      <c r="L704">
        <v>0</v>
      </c>
      <c r="M704">
        <v>97</v>
      </c>
      <c r="N704">
        <v>6.8</v>
      </c>
      <c r="O704">
        <v>98</v>
      </c>
      <c r="P704">
        <v>0.1</v>
      </c>
      <c r="S704">
        <v>2.2000000000000002</v>
      </c>
      <c r="T704">
        <v>2.2999999999999998</v>
      </c>
      <c r="W704" t="b">
        <f>Data_Completeness(LifeExpectancyData[[#This Row],[Life expectancy]:[Schooling]])</f>
        <v>0</v>
      </c>
    </row>
    <row r="705" spans="1:23" x14ac:dyDescent="0.25">
      <c r="A705" t="s">
        <v>408</v>
      </c>
      <c r="B705">
        <v>2001</v>
      </c>
      <c r="C705" t="s">
        <v>371</v>
      </c>
      <c r="D705">
        <v>75.099999999999994</v>
      </c>
      <c r="E705">
        <v>123</v>
      </c>
      <c r="F705">
        <v>0</v>
      </c>
      <c r="G705">
        <v>13.36</v>
      </c>
      <c r="H705">
        <v>0</v>
      </c>
      <c r="J705">
        <v>6</v>
      </c>
      <c r="K705">
        <v>59.4</v>
      </c>
      <c r="L705">
        <v>0</v>
      </c>
      <c r="M705">
        <v>97</v>
      </c>
      <c r="N705">
        <v>6.42</v>
      </c>
      <c r="O705">
        <v>98</v>
      </c>
      <c r="P705">
        <v>0.1</v>
      </c>
      <c r="S705">
        <v>2.2000000000000002</v>
      </c>
      <c r="T705">
        <v>2.2999999999999998</v>
      </c>
      <c r="W705" t="b">
        <f>Data_Completeness(LifeExpectancyData[[#This Row],[Life expectancy]:[Schooling]])</f>
        <v>0</v>
      </c>
    </row>
    <row r="706" spans="1:23" x14ac:dyDescent="0.25">
      <c r="A706" t="s">
        <v>408</v>
      </c>
      <c r="B706">
        <v>2000</v>
      </c>
      <c r="C706" t="s">
        <v>371</v>
      </c>
      <c r="D706">
        <v>74.7</v>
      </c>
      <c r="E706">
        <v>126</v>
      </c>
      <c r="F706">
        <v>0</v>
      </c>
      <c r="G706">
        <v>13.22</v>
      </c>
      <c r="H706">
        <v>0</v>
      </c>
      <c r="J706">
        <v>9</v>
      </c>
      <c r="K706">
        <v>59</v>
      </c>
      <c r="L706">
        <v>0</v>
      </c>
      <c r="M706">
        <v>98</v>
      </c>
      <c r="N706">
        <v>6.31</v>
      </c>
      <c r="O706">
        <v>98</v>
      </c>
      <c r="P706">
        <v>0.1</v>
      </c>
      <c r="S706">
        <v>2.2999999999999998</v>
      </c>
      <c r="T706">
        <v>2.2999999999999998</v>
      </c>
      <c r="W706" t="b">
        <f>Data_Completeness(LifeExpectancyData[[#This Row],[Life expectancy]:[Schooling]])</f>
        <v>0</v>
      </c>
    </row>
    <row r="707" spans="1:23" x14ac:dyDescent="0.25">
      <c r="A707" t="s">
        <v>409</v>
      </c>
      <c r="B707">
        <v>2015</v>
      </c>
      <c r="C707" t="s">
        <v>363</v>
      </c>
      <c r="D707">
        <v>76</v>
      </c>
      <c r="E707">
        <v>139</v>
      </c>
      <c r="F707">
        <v>6</v>
      </c>
      <c r="H707">
        <v>0</v>
      </c>
      <c r="I707">
        <v>96</v>
      </c>
      <c r="J707">
        <v>0</v>
      </c>
      <c r="K707">
        <v>32.9</v>
      </c>
      <c r="L707">
        <v>7</v>
      </c>
      <c r="M707">
        <v>99</v>
      </c>
      <c r="O707">
        <v>96</v>
      </c>
      <c r="P707">
        <v>0.1</v>
      </c>
      <c r="S707">
        <v>4.9000000000000004</v>
      </c>
      <c r="T707">
        <v>4.9000000000000004</v>
      </c>
      <c r="W707" t="b">
        <f>Data_Completeness(LifeExpectancyData[[#This Row],[Life expectancy]:[Schooling]])</f>
        <v>0</v>
      </c>
    </row>
    <row r="708" spans="1:23" x14ac:dyDescent="0.25">
      <c r="A708" t="s">
        <v>409</v>
      </c>
      <c r="B708">
        <v>2014</v>
      </c>
      <c r="C708" t="s">
        <v>363</v>
      </c>
      <c r="D708">
        <v>73</v>
      </c>
      <c r="E708">
        <v>142</v>
      </c>
      <c r="F708">
        <v>6</v>
      </c>
      <c r="G708">
        <v>0.01</v>
      </c>
      <c r="H708">
        <v>0</v>
      </c>
      <c r="I708">
        <v>93</v>
      </c>
      <c r="J708">
        <v>3</v>
      </c>
      <c r="K708">
        <v>32.4</v>
      </c>
      <c r="L708">
        <v>8</v>
      </c>
      <c r="M708">
        <v>99</v>
      </c>
      <c r="O708">
        <v>93</v>
      </c>
      <c r="P708">
        <v>0.1</v>
      </c>
      <c r="S708">
        <v>4.9000000000000004</v>
      </c>
      <c r="T708">
        <v>4.9000000000000004</v>
      </c>
      <c r="W708" t="b">
        <f>Data_Completeness(LifeExpectancyData[[#This Row],[Life expectancy]:[Schooling]])</f>
        <v>0</v>
      </c>
    </row>
    <row r="709" spans="1:23" x14ac:dyDescent="0.25">
      <c r="A709" t="s">
        <v>409</v>
      </c>
      <c r="B709">
        <v>2013</v>
      </c>
      <c r="C709" t="s">
        <v>363</v>
      </c>
      <c r="D709">
        <v>71</v>
      </c>
      <c r="E709">
        <v>146</v>
      </c>
      <c r="F709">
        <v>6</v>
      </c>
      <c r="G709">
        <v>3.35</v>
      </c>
      <c r="H709">
        <v>0</v>
      </c>
      <c r="I709">
        <v>93</v>
      </c>
      <c r="J709">
        <v>0</v>
      </c>
      <c r="K709">
        <v>31.8</v>
      </c>
      <c r="L709">
        <v>8</v>
      </c>
      <c r="M709">
        <v>99</v>
      </c>
      <c r="O709">
        <v>93</v>
      </c>
      <c r="P709">
        <v>0.1</v>
      </c>
      <c r="S709">
        <v>5</v>
      </c>
      <c r="T709">
        <v>5</v>
      </c>
      <c r="W709" t="b">
        <f>Data_Completeness(LifeExpectancyData[[#This Row],[Life expectancy]:[Schooling]])</f>
        <v>0</v>
      </c>
    </row>
    <row r="710" spans="1:23" x14ac:dyDescent="0.25">
      <c r="A710" t="s">
        <v>409</v>
      </c>
      <c r="B710">
        <v>2012</v>
      </c>
      <c r="C710" t="s">
        <v>363</v>
      </c>
      <c r="D710">
        <v>69.8</v>
      </c>
      <c r="E710">
        <v>149</v>
      </c>
      <c r="F710">
        <v>7</v>
      </c>
      <c r="G710">
        <v>3.61</v>
      </c>
      <c r="H710">
        <v>0</v>
      </c>
      <c r="I710">
        <v>96</v>
      </c>
      <c r="J710">
        <v>0</v>
      </c>
      <c r="K710">
        <v>31.3</v>
      </c>
      <c r="L710">
        <v>9</v>
      </c>
      <c r="M710">
        <v>99</v>
      </c>
      <c r="O710">
        <v>96</v>
      </c>
      <c r="P710">
        <v>0.1</v>
      </c>
      <c r="S710">
        <v>5.0999999999999996</v>
      </c>
      <c r="T710">
        <v>5.0999999999999996</v>
      </c>
      <c r="W710" t="b">
        <f>Data_Completeness(LifeExpectancyData[[#This Row],[Life expectancy]:[Schooling]])</f>
        <v>0</v>
      </c>
    </row>
    <row r="711" spans="1:23" x14ac:dyDescent="0.25">
      <c r="A711" t="s">
        <v>409</v>
      </c>
      <c r="B711">
        <v>2011</v>
      </c>
      <c r="C711" t="s">
        <v>363</v>
      </c>
      <c r="D711">
        <v>69.400000000000006</v>
      </c>
      <c r="E711">
        <v>153</v>
      </c>
      <c r="F711">
        <v>8</v>
      </c>
      <c r="G711">
        <v>3.39</v>
      </c>
      <c r="H711">
        <v>0</v>
      </c>
      <c r="I711">
        <v>94</v>
      </c>
      <c r="J711">
        <v>0</v>
      </c>
      <c r="K711">
        <v>3.8</v>
      </c>
      <c r="L711">
        <v>10</v>
      </c>
      <c r="M711">
        <v>99</v>
      </c>
      <c r="O711">
        <v>94</v>
      </c>
      <c r="P711">
        <v>0.1</v>
      </c>
      <c r="S711">
        <v>5.0999999999999996</v>
      </c>
      <c r="T711">
        <v>5.2</v>
      </c>
      <c r="W711" t="b">
        <f>Data_Completeness(LifeExpectancyData[[#This Row],[Life expectancy]:[Schooling]])</f>
        <v>0</v>
      </c>
    </row>
    <row r="712" spans="1:23" x14ac:dyDescent="0.25">
      <c r="A712" t="s">
        <v>409</v>
      </c>
      <c r="B712">
        <v>2010</v>
      </c>
      <c r="C712" t="s">
        <v>363</v>
      </c>
      <c r="D712">
        <v>69</v>
      </c>
      <c r="E712">
        <v>157</v>
      </c>
      <c r="F712">
        <v>8</v>
      </c>
      <c r="G712">
        <v>3.12</v>
      </c>
      <c r="H712">
        <v>0</v>
      </c>
      <c r="I712">
        <v>93</v>
      </c>
      <c r="J712">
        <v>0</v>
      </c>
      <c r="K712">
        <v>3.3</v>
      </c>
      <c r="L712">
        <v>10</v>
      </c>
      <c r="M712">
        <v>99</v>
      </c>
      <c r="O712">
        <v>93</v>
      </c>
      <c r="P712">
        <v>0.1</v>
      </c>
      <c r="S712">
        <v>5.2</v>
      </c>
      <c r="T712">
        <v>5.2</v>
      </c>
      <c r="W712" t="b">
        <f>Data_Completeness(LifeExpectancyData[[#This Row],[Life expectancy]:[Schooling]])</f>
        <v>0</v>
      </c>
    </row>
    <row r="713" spans="1:23" x14ac:dyDescent="0.25">
      <c r="A713" t="s">
        <v>409</v>
      </c>
      <c r="B713">
        <v>2009</v>
      </c>
      <c r="C713" t="s">
        <v>363</v>
      </c>
      <c r="D713">
        <v>68.7</v>
      </c>
      <c r="E713">
        <v>161</v>
      </c>
      <c r="F713">
        <v>9</v>
      </c>
      <c r="G713">
        <v>3.35</v>
      </c>
      <c r="H713">
        <v>0</v>
      </c>
      <c r="I713">
        <v>93</v>
      </c>
      <c r="J713">
        <v>0</v>
      </c>
      <c r="K713">
        <v>29.7</v>
      </c>
      <c r="L713">
        <v>11</v>
      </c>
      <c r="M713">
        <v>98</v>
      </c>
      <c r="O713">
        <v>93</v>
      </c>
      <c r="P713">
        <v>0.1</v>
      </c>
      <c r="S713">
        <v>5.3</v>
      </c>
      <c r="T713">
        <v>5.3</v>
      </c>
      <c r="W713" t="b">
        <f>Data_Completeness(LifeExpectancyData[[#This Row],[Life expectancy]:[Schooling]])</f>
        <v>0</v>
      </c>
    </row>
    <row r="714" spans="1:23" x14ac:dyDescent="0.25">
      <c r="A714" t="s">
        <v>409</v>
      </c>
      <c r="B714">
        <v>2008</v>
      </c>
      <c r="C714" t="s">
        <v>363</v>
      </c>
      <c r="D714">
        <v>68.599999999999994</v>
      </c>
      <c r="E714">
        <v>164</v>
      </c>
      <c r="F714">
        <v>9</v>
      </c>
      <c r="G714">
        <v>3.16</v>
      </c>
      <c r="H714">
        <v>0</v>
      </c>
      <c r="I714">
        <v>92</v>
      </c>
      <c r="J714">
        <v>8</v>
      </c>
      <c r="K714">
        <v>29.2</v>
      </c>
      <c r="L714">
        <v>12</v>
      </c>
      <c r="M714">
        <v>98</v>
      </c>
      <c r="O714">
        <v>92</v>
      </c>
      <c r="P714">
        <v>0.1</v>
      </c>
      <c r="S714">
        <v>5.4</v>
      </c>
      <c r="T714">
        <v>5.4</v>
      </c>
      <c r="W714" t="b">
        <f>Data_Completeness(LifeExpectancyData[[#This Row],[Life expectancy]:[Schooling]])</f>
        <v>0</v>
      </c>
    </row>
    <row r="715" spans="1:23" x14ac:dyDescent="0.25">
      <c r="A715" t="s">
        <v>409</v>
      </c>
      <c r="B715">
        <v>2007</v>
      </c>
      <c r="C715" t="s">
        <v>363</v>
      </c>
      <c r="D715">
        <v>68.5</v>
      </c>
      <c r="E715">
        <v>166</v>
      </c>
      <c r="F715">
        <v>9</v>
      </c>
      <c r="G715">
        <v>3.13</v>
      </c>
      <c r="H715">
        <v>0</v>
      </c>
      <c r="I715">
        <v>92</v>
      </c>
      <c r="J715">
        <v>3550</v>
      </c>
      <c r="K715">
        <v>28.7</v>
      </c>
      <c r="L715">
        <v>12</v>
      </c>
      <c r="M715">
        <v>99</v>
      </c>
      <c r="O715">
        <v>92</v>
      </c>
      <c r="P715">
        <v>0.1</v>
      </c>
      <c r="S715">
        <v>5.5</v>
      </c>
      <c r="T715">
        <v>5.5</v>
      </c>
      <c r="W715" t="b">
        <f>Data_Completeness(LifeExpectancyData[[#This Row],[Life expectancy]:[Schooling]])</f>
        <v>0</v>
      </c>
    </row>
    <row r="716" spans="1:23" x14ac:dyDescent="0.25">
      <c r="A716" t="s">
        <v>409</v>
      </c>
      <c r="B716">
        <v>2006</v>
      </c>
      <c r="C716" t="s">
        <v>363</v>
      </c>
      <c r="D716">
        <v>68.5</v>
      </c>
      <c r="E716">
        <v>165</v>
      </c>
      <c r="F716">
        <v>10</v>
      </c>
      <c r="G716">
        <v>3.28</v>
      </c>
      <c r="H716">
        <v>0</v>
      </c>
      <c r="I716">
        <v>96</v>
      </c>
      <c r="J716">
        <v>0</v>
      </c>
      <c r="K716">
        <v>28.2</v>
      </c>
      <c r="L716">
        <v>12</v>
      </c>
      <c r="M716">
        <v>98</v>
      </c>
      <c r="O716">
        <v>89</v>
      </c>
      <c r="P716">
        <v>0.1</v>
      </c>
      <c r="S716">
        <v>5.6</v>
      </c>
      <c r="T716">
        <v>5.6</v>
      </c>
      <c r="W716" t="b">
        <f>Data_Completeness(LifeExpectancyData[[#This Row],[Life expectancy]:[Schooling]])</f>
        <v>0</v>
      </c>
    </row>
    <row r="717" spans="1:23" x14ac:dyDescent="0.25">
      <c r="A717" t="s">
        <v>409</v>
      </c>
      <c r="B717">
        <v>2005</v>
      </c>
      <c r="C717" t="s">
        <v>363</v>
      </c>
      <c r="D717">
        <v>68.5</v>
      </c>
      <c r="E717">
        <v>165</v>
      </c>
      <c r="F717">
        <v>10</v>
      </c>
      <c r="G717">
        <v>3.21</v>
      </c>
      <c r="H717">
        <v>0</v>
      </c>
      <c r="I717">
        <v>92</v>
      </c>
      <c r="J717">
        <v>0</v>
      </c>
      <c r="K717">
        <v>27.7</v>
      </c>
      <c r="L717">
        <v>13</v>
      </c>
      <c r="M717">
        <v>97</v>
      </c>
      <c r="O717">
        <v>79</v>
      </c>
      <c r="P717">
        <v>0.1</v>
      </c>
      <c r="S717">
        <v>5.7</v>
      </c>
      <c r="T717">
        <v>5.7</v>
      </c>
      <c r="W717" t="b">
        <f>Data_Completeness(LifeExpectancyData[[#This Row],[Life expectancy]:[Schooling]])</f>
        <v>0</v>
      </c>
    </row>
    <row r="718" spans="1:23" x14ac:dyDescent="0.25">
      <c r="A718" t="s">
        <v>409</v>
      </c>
      <c r="B718">
        <v>2004</v>
      </c>
      <c r="C718" t="s">
        <v>363</v>
      </c>
      <c r="D718">
        <v>68.400000000000006</v>
      </c>
      <c r="E718">
        <v>165</v>
      </c>
      <c r="F718">
        <v>11</v>
      </c>
      <c r="G718">
        <v>3.13</v>
      </c>
      <c r="H718">
        <v>0</v>
      </c>
      <c r="I718">
        <v>98</v>
      </c>
      <c r="J718">
        <v>0</v>
      </c>
      <c r="K718">
        <v>27.2</v>
      </c>
      <c r="L718">
        <v>14</v>
      </c>
      <c r="M718">
        <v>99</v>
      </c>
      <c r="O718">
        <v>72</v>
      </c>
      <c r="P718">
        <v>0.1</v>
      </c>
      <c r="S718">
        <v>5.7</v>
      </c>
      <c r="T718">
        <v>5.7</v>
      </c>
      <c r="W718" t="b">
        <f>Data_Completeness(LifeExpectancyData[[#This Row],[Life expectancy]:[Schooling]])</f>
        <v>0</v>
      </c>
    </row>
    <row r="719" spans="1:23" x14ac:dyDescent="0.25">
      <c r="A719" t="s">
        <v>409</v>
      </c>
      <c r="B719">
        <v>2003</v>
      </c>
      <c r="C719" t="s">
        <v>363</v>
      </c>
      <c r="D719">
        <v>68.099999999999994</v>
      </c>
      <c r="E719">
        <v>165</v>
      </c>
      <c r="F719">
        <v>12</v>
      </c>
      <c r="G719">
        <v>3.13</v>
      </c>
      <c r="H719">
        <v>0</v>
      </c>
      <c r="I719">
        <v>27</v>
      </c>
      <c r="J719">
        <v>0</v>
      </c>
      <c r="K719">
        <v>26.7</v>
      </c>
      <c r="L719">
        <v>15</v>
      </c>
      <c r="M719">
        <v>99</v>
      </c>
      <c r="O719">
        <v>68</v>
      </c>
      <c r="P719">
        <v>0.1</v>
      </c>
      <c r="S719">
        <v>5.8</v>
      </c>
      <c r="T719">
        <v>5.8</v>
      </c>
      <c r="W719" t="b">
        <f>Data_Completeness(LifeExpectancyData[[#This Row],[Life expectancy]:[Schooling]])</f>
        <v>0</v>
      </c>
    </row>
    <row r="720" spans="1:23" x14ac:dyDescent="0.25">
      <c r="A720" t="s">
        <v>409</v>
      </c>
      <c r="B720">
        <v>2002</v>
      </c>
      <c r="C720" t="s">
        <v>363</v>
      </c>
      <c r="D720">
        <v>67.599999999999994</v>
      </c>
      <c r="E720">
        <v>167</v>
      </c>
      <c r="F720">
        <v>14</v>
      </c>
      <c r="G720">
        <v>3.08</v>
      </c>
      <c r="H720">
        <v>0</v>
      </c>
      <c r="J720">
        <v>0</v>
      </c>
      <c r="K720">
        <v>26.2</v>
      </c>
      <c r="L720">
        <v>18</v>
      </c>
      <c r="M720">
        <v>99</v>
      </c>
      <c r="O720">
        <v>64</v>
      </c>
      <c r="P720">
        <v>0.1</v>
      </c>
      <c r="S720">
        <v>5.9</v>
      </c>
      <c r="T720">
        <v>5.9</v>
      </c>
      <c r="W720" t="b">
        <f>Data_Completeness(LifeExpectancyData[[#This Row],[Life expectancy]:[Schooling]])</f>
        <v>0</v>
      </c>
    </row>
    <row r="721" spans="1:23" x14ac:dyDescent="0.25">
      <c r="A721" t="s">
        <v>409</v>
      </c>
      <c r="B721">
        <v>2001</v>
      </c>
      <c r="C721" t="s">
        <v>363</v>
      </c>
      <c r="D721">
        <v>66.599999999999994</v>
      </c>
      <c r="E721">
        <v>177</v>
      </c>
      <c r="F721">
        <v>16</v>
      </c>
      <c r="G721">
        <v>2.5299999999999998</v>
      </c>
      <c r="H721">
        <v>0</v>
      </c>
      <c r="J721">
        <v>0</v>
      </c>
      <c r="K721">
        <v>25.7</v>
      </c>
      <c r="L721">
        <v>21</v>
      </c>
      <c r="M721">
        <v>98</v>
      </c>
      <c r="O721">
        <v>62</v>
      </c>
      <c r="P721">
        <v>0.1</v>
      </c>
      <c r="S721">
        <v>5.9</v>
      </c>
      <c r="T721">
        <v>6</v>
      </c>
      <c r="W721" t="b">
        <f>Data_Completeness(LifeExpectancyData[[#This Row],[Life expectancy]:[Schooling]])</f>
        <v>0</v>
      </c>
    </row>
    <row r="722" spans="1:23" x14ac:dyDescent="0.25">
      <c r="A722" t="s">
        <v>409</v>
      </c>
      <c r="B722">
        <v>2000</v>
      </c>
      <c r="C722" t="s">
        <v>363</v>
      </c>
      <c r="D722">
        <v>65.400000000000006</v>
      </c>
      <c r="E722">
        <v>192</v>
      </c>
      <c r="F722">
        <v>18</v>
      </c>
      <c r="G722">
        <v>3.52</v>
      </c>
      <c r="H722">
        <v>0</v>
      </c>
      <c r="J722">
        <v>0</v>
      </c>
      <c r="K722">
        <v>25.2</v>
      </c>
      <c r="L722">
        <v>25</v>
      </c>
      <c r="M722">
        <v>93</v>
      </c>
      <c r="O722">
        <v>56</v>
      </c>
      <c r="P722">
        <v>0.1</v>
      </c>
      <c r="S722">
        <v>6</v>
      </c>
      <c r="T722">
        <v>6</v>
      </c>
      <c r="W722" t="b">
        <f>Data_Completeness(LifeExpectancyData[[#This Row],[Life expectancy]:[Schooling]])</f>
        <v>0</v>
      </c>
    </row>
    <row r="723" spans="1:23" x14ac:dyDescent="0.25">
      <c r="A723" t="s">
        <v>410</v>
      </c>
      <c r="B723">
        <v>2015</v>
      </c>
      <c r="C723" t="s">
        <v>363</v>
      </c>
      <c r="D723">
        <v>59.8</v>
      </c>
      <c r="E723">
        <v>258</v>
      </c>
      <c r="F723">
        <v>236</v>
      </c>
      <c r="H723">
        <v>0</v>
      </c>
      <c r="I723">
        <v>81</v>
      </c>
      <c r="J723">
        <v>5020</v>
      </c>
      <c r="K723">
        <v>21.6</v>
      </c>
      <c r="L723">
        <v>308</v>
      </c>
      <c r="M723">
        <v>78</v>
      </c>
      <c r="O723">
        <v>81</v>
      </c>
      <c r="P723">
        <v>1.1000000000000001</v>
      </c>
      <c r="S723">
        <v>9.5</v>
      </c>
      <c r="T723">
        <v>9.3000000000000007</v>
      </c>
      <c r="W723" t="b">
        <f>Data_Completeness(LifeExpectancyData[[#This Row],[Life expectancy]:[Schooling]])</f>
        <v>0</v>
      </c>
    </row>
    <row r="724" spans="1:23" x14ac:dyDescent="0.25">
      <c r="A724" t="s">
        <v>410</v>
      </c>
      <c r="B724">
        <v>2014</v>
      </c>
      <c r="C724" t="s">
        <v>363</v>
      </c>
      <c r="D724">
        <v>59.3</v>
      </c>
      <c r="E724">
        <v>266</v>
      </c>
      <c r="F724">
        <v>237</v>
      </c>
      <c r="G724">
        <v>0.01</v>
      </c>
      <c r="H724">
        <v>0</v>
      </c>
      <c r="I724">
        <v>8</v>
      </c>
      <c r="J724">
        <v>33711</v>
      </c>
      <c r="K724">
        <v>21.1</v>
      </c>
      <c r="L724">
        <v>312</v>
      </c>
      <c r="M724">
        <v>79</v>
      </c>
      <c r="N724">
        <v>4.33</v>
      </c>
      <c r="O724">
        <v>8</v>
      </c>
      <c r="P724">
        <v>1.1000000000000001</v>
      </c>
      <c r="S724">
        <v>9.6999999999999993</v>
      </c>
      <c r="T724">
        <v>9.5</v>
      </c>
      <c r="W724" t="b">
        <f>Data_Completeness(LifeExpectancyData[[#This Row],[Life expectancy]:[Schooling]])</f>
        <v>0</v>
      </c>
    </row>
    <row r="725" spans="1:23" x14ac:dyDescent="0.25">
      <c r="A725" t="s">
        <v>410</v>
      </c>
      <c r="B725">
        <v>2013</v>
      </c>
      <c r="C725" t="s">
        <v>363</v>
      </c>
      <c r="D725">
        <v>58.8</v>
      </c>
      <c r="E725">
        <v>272</v>
      </c>
      <c r="F725">
        <v>238</v>
      </c>
      <c r="G725">
        <v>0.01</v>
      </c>
      <c r="H725">
        <v>0</v>
      </c>
      <c r="I725">
        <v>74</v>
      </c>
      <c r="J725">
        <v>88381</v>
      </c>
      <c r="K725">
        <v>2.6</v>
      </c>
      <c r="L725">
        <v>314</v>
      </c>
      <c r="M725">
        <v>74</v>
      </c>
      <c r="N725">
        <v>3.89</v>
      </c>
      <c r="O725">
        <v>74</v>
      </c>
      <c r="P725">
        <v>1.2</v>
      </c>
      <c r="S725">
        <v>9.9</v>
      </c>
      <c r="T725">
        <v>9.6</v>
      </c>
      <c r="W725" t="b">
        <f>Data_Completeness(LifeExpectancyData[[#This Row],[Life expectancy]:[Schooling]])</f>
        <v>0</v>
      </c>
    </row>
    <row r="726" spans="1:23" x14ac:dyDescent="0.25">
      <c r="A726" t="s">
        <v>410</v>
      </c>
      <c r="B726">
        <v>2012</v>
      </c>
      <c r="C726" t="s">
        <v>363</v>
      </c>
      <c r="D726">
        <v>58.3</v>
      </c>
      <c r="E726">
        <v>277</v>
      </c>
      <c r="F726">
        <v>239</v>
      </c>
      <c r="G726">
        <v>0.01</v>
      </c>
      <c r="H726">
        <v>0</v>
      </c>
      <c r="I726">
        <v>75</v>
      </c>
      <c r="J726">
        <v>72029</v>
      </c>
      <c r="K726">
        <v>2.1</v>
      </c>
      <c r="L726">
        <v>317</v>
      </c>
      <c r="M726">
        <v>76</v>
      </c>
      <c r="N726">
        <v>3.77</v>
      </c>
      <c r="O726">
        <v>75</v>
      </c>
      <c r="P726">
        <v>1.5</v>
      </c>
      <c r="S726">
        <v>1</v>
      </c>
      <c r="T726">
        <v>9.8000000000000007</v>
      </c>
      <c r="W726" t="b">
        <f>Data_Completeness(LifeExpectancyData[[#This Row],[Life expectancy]:[Schooling]])</f>
        <v>0</v>
      </c>
    </row>
    <row r="727" spans="1:23" x14ac:dyDescent="0.25">
      <c r="A727" t="s">
        <v>410</v>
      </c>
      <c r="B727">
        <v>2011</v>
      </c>
      <c r="C727" t="s">
        <v>363</v>
      </c>
      <c r="D727">
        <v>57.9</v>
      </c>
      <c r="E727">
        <v>278</v>
      </c>
      <c r="F727">
        <v>239</v>
      </c>
      <c r="G727">
        <v>1.82</v>
      </c>
      <c r="H727">
        <v>0</v>
      </c>
      <c r="I727">
        <v>74</v>
      </c>
      <c r="J727">
        <v>133802</v>
      </c>
      <c r="K727">
        <v>19.600000000000001</v>
      </c>
      <c r="L727">
        <v>319</v>
      </c>
      <c r="M727">
        <v>77</v>
      </c>
      <c r="N727">
        <v>3.53</v>
      </c>
      <c r="O727">
        <v>74</v>
      </c>
      <c r="P727">
        <v>1.6</v>
      </c>
      <c r="S727">
        <v>1.2</v>
      </c>
      <c r="T727">
        <v>1</v>
      </c>
      <c r="W727" t="b">
        <f>Data_Completeness(LifeExpectancyData[[#This Row],[Life expectancy]:[Schooling]])</f>
        <v>0</v>
      </c>
    </row>
    <row r="728" spans="1:23" x14ac:dyDescent="0.25">
      <c r="A728" t="s">
        <v>410</v>
      </c>
      <c r="B728">
        <v>2010</v>
      </c>
      <c r="C728" t="s">
        <v>363</v>
      </c>
      <c r="D728">
        <v>57.4</v>
      </c>
      <c r="E728">
        <v>283</v>
      </c>
      <c r="F728">
        <v>239</v>
      </c>
      <c r="G728">
        <v>1.81</v>
      </c>
      <c r="H728">
        <v>0</v>
      </c>
      <c r="I728">
        <v>6</v>
      </c>
      <c r="J728">
        <v>5407</v>
      </c>
      <c r="K728">
        <v>19.100000000000001</v>
      </c>
      <c r="L728">
        <v>321</v>
      </c>
      <c r="M728">
        <v>76</v>
      </c>
      <c r="N728">
        <v>4.4000000000000004</v>
      </c>
      <c r="O728">
        <v>6</v>
      </c>
      <c r="P728">
        <v>1.6</v>
      </c>
      <c r="S728">
        <v>1.4</v>
      </c>
      <c r="T728">
        <v>1.2</v>
      </c>
      <c r="W728" t="b">
        <f>Data_Completeness(LifeExpectancyData[[#This Row],[Life expectancy]:[Schooling]])</f>
        <v>0</v>
      </c>
    </row>
    <row r="729" spans="1:23" x14ac:dyDescent="0.25">
      <c r="A729" t="s">
        <v>410</v>
      </c>
      <c r="B729">
        <v>2009</v>
      </c>
      <c r="C729" t="s">
        <v>363</v>
      </c>
      <c r="D729">
        <v>56.7</v>
      </c>
      <c r="E729">
        <v>292</v>
      </c>
      <c r="F729">
        <v>238</v>
      </c>
      <c r="G729">
        <v>2.13</v>
      </c>
      <c r="H729">
        <v>0</v>
      </c>
      <c r="I729">
        <v>72</v>
      </c>
      <c r="J729">
        <v>57</v>
      </c>
      <c r="K729">
        <v>18.600000000000001</v>
      </c>
      <c r="L729">
        <v>323</v>
      </c>
      <c r="M729">
        <v>78</v>
      </c>
      <c r="N729">
        <v>5.61</v>
      </c>
      <c r="O729">
        <v>72</v>
      </c>
      <c r="P729">
        <v>1.7</v>
      </c>
      <c r="S729">
        <v>1.6</v>
      </c>
      <c r="T729">
        <v>1.4</v>
      </c>
      <c r="W729" t="b">
        <f>Data_Completeness(LifeExpectancyData[[#This Row],[Life expectancy]:[Schooling]])</f>
        <v>0</v>
      </c>
    </row>
    <row r="730" spans="1:23" x14ac:dyDescent="0.25">
      <c r="A730" t="s">
        <v>410</v>
      </c>
      <c r="B730">
        <v>2008</v>
      </c>
      <c r="C730" t="s">
        <v>363</v>
      </c>
      <c r="D730">
        <v>56.3</v>
      </c>
      <c r="E730">
        <v>295</v>
      </c>
      <c r="F730">
        <v>237</v>
      </c>
      <c r="G730">
        <v>2.09</v>
      </c>
      <c r="H730">
        <v>0</v>
      </c>
      <c r="I730">
        <v>65</v>
      </c>
      <c r="J730">
        <v>12461</v>
      </c>
      <c r="K730">
        <v>18.2</v>
      </c>
      <c r="L730">
        <v>324</v>
      </c>
      <c r="M730">
        <v>64</v>
      </c>
      <c r="N730">
        <v>4.46</v>
      </c>
      <c r="O730">
        <v>65</v>
      </c>
      <c r="P730">
        <v>1.8</v>
      </c>
      <c r="S730">
        <v>1.8</v>
      </c>
      <c r="T730">
        <v>1.7</v>
      </c>
      <c r="W730" t="b">
        <f>Data_Completeness(LifeExpectancyData[[#This Row],[Life expectancy]:[Schooling]])</f>
        <v>0</v>
      </c>
    </row>
    <row r="731" spans="1:23" x14ac:dyDescent="0.25">
      <c r="A731" t="s">
        <v>410</v>
      </c>
      <c r="B731">
        <v>2007</v>
      </c>
      <c r="C731" t="s">
        <v>363</v>
      </c>
      <c r="D731">
        <v>55.7</v>
      </c>
      <c r="E731">
        <v>299</v>
      </c>
      <c r="F731">
        <v>236</v>
      </c>
      <c r="G731">
        <v>1.52</v>
      </c>
      <c r="H731">
        <v>0</v>
      </c>
      <c r="I731">
        <v>7</v>
      </c>
      <c r="J731">
        <v>55577</v>
      </c>
      <c r="K731">
        <v>17.8</v>
      </c>
      <c r="L731">
        <v>326</v>
      </c>
      <c r="M731">
        <v>72</v>
      </c>
      <c r="N731">
        <v>3.61</v>
      </c>
      <c r="O731">
        <v>7</v>
      </c>
      <c r="P731">
        <v>1.9</v>
      </c>
      <c r="S731">
        <v>11.1</v>
      </c>
      <c r="T731">
        <v>1.9</v>
      </c>
      <c r="W731" t="b">
        <f>Data_Completeness(LifeExpectancyData[[#This Row],[Life expectancy]:[Schooling]])</f>
        <v>0</v>
      </c>
    </row>
    <row r="732" spans="1:23" x14ac:dyDescent="0.25">
      <c r="A732" t="s">
        <v>410</v>
      </c>
      <c r="B732">
        <v>2006</v>
      </c>
      <c r="C732" t="s">
        <v>363</v>
      </c>
      <c r="D732">
        <v>55</v>
      </c>
      <c r="E732">
        <v>36</v>
      </c>
      <c r="F732">
        <v>235</v>
      </c>
      <c r="G732">
        <v>1.53</v>
      </c>
      <c r="H732">
        <v>0</v>
      </c>
      <c r="J732">
        <v>80123</v>
      </c>
      <c r="K732">
        <v>17.3</v>
      </c>
      <c r="L732">
        <v>327</v>
      </c>
      <c r="M732">
        <v>62</v>
      </c>
      <c r="N732">
        <v>3.39</v>
      </c>
      <c r="O732">
        <v>62</v>
      </c>
      <c r="P732">
        <v>2</v>
      </c>
      <c r="S732">
        <v>11.3</v>
      </c>
      <c r="T732">
        <v>11.1</v>
      </c>
      <c r="W732" t="b">
        <f>Data_Completeness(LifeExpectancyData[[#This Row],[Life expectancy]:[Schooling]])</f>
        <v>0</v>
      </c>
    </row>
    <row r="733" spans="1:23" x14ac:dyDescent="0.25">
      <c r="A733" t="s">
        <v>410</v>
      </c>
      <c r="B733">
        <v>2005</v>
      </c>
      <c r="C733" t="s">
        <v>363</v>
      </c>
      <c r="D733">
        <v>54.3</v>
      </c>
      <c r="E733">
        <v>314</v>
      </c>
      <c r="F733">
        <v>233</v>
      </c>
      <c r="G733">
        <v>1.43</v>
      </c>
      <c r="H733">
        <v>0</v>
      </c>
      <c r="J733">
        <v>182485</v>
      </c>
      <c r="K733">
        <v>16.899999999999999</v>
      </c>
      <c r="L733">
        <v>329</v>
      </c>
      <c r="M733">
        <v>6</v>
      </c>
      <c r="N733">
        <v>3.14</v>
      </c>
      <c r="O733">
        <v>6</v>
      </c>
      <c r="P733">
        <v>2</v>
      </c>
      <c r="S733">
        <v>11.5</v>
      </c>
      <c r="T733">
        <v>11.3</v>
      </c>
      <c r="W733" t="b">
        <f>Data_Completeness(LifeExpectancyData[[#This Row],[Life expectancy]:[Schooling]])</f>
        <v>0</v>
      </c>
    </row>
    <row r="734" spans="1:23" x14ac:dyDescent="0.25">
      <c r="A734" t="s">
        <v>410</v>
      </c>
      <c r="B734">
        <v>2004</v>
      </c>
      <c r="C734" t="s">
        <v>363</v>
      </c>
      <c r="D734">
        <v>53.5</v>
      </c>
      <c r="E734">
        <v>323</v>
      </c>
      <c r="F734">
        <v>232</v>
      </c>
      <c r="G734">
        <v>1.44</v>
      </c>
      <c r="H734">
        <v>0</v>
      </c>
      <c r="J734">
        <v>44934</v>
      </c>
      <c r="K734">
        <v>16.5</v>
      </c>
      <c r="L734">
        <v>330</v>
      </c>
      <c r="M734">
        <v>52</v>
      </c>
      <c r="N734">
        <v>3.34</v>
      </c>
      <c r="O734">
        <v>54</v>
      </c>
      <c r="P734">
        <v>2.1</v>
      </c>
      <c r="S734">
        <v>11.7</v>
      </c>
      <c r="T734">
        <v>11.5</v>
      </c>
      <c r="W734" t="b">
        <f>Data_Completeness(LifeExpectancyData[[#This Row],[Life expectancy]:[Schooling]])</f>
        <v>0</v>
      </c>
    </row>
    <row r="735" spans="1:23" x14ac:dyDescent="0.25">
      <c r="A735" t="s">
        <v>410</v>
      </c>
      <c r="B735">
        <v>2003</v>
      </c>
      <c r="C735" t="s">
        <v>363</v>
      </c>
      <c r="D735">
        <v>52.8</v>
      </c>
      <c r="E735">
        <v>332</v>
      </c>
      <c r="F735">
        <v>231</v>
      </c>
      <c r="G735">
        <v>1.83</v>
      </c>
      <c r="H735">
        <v>0</v>
      </c>
      <c r="J735">
        <v>21956</v>
      </c>
      <c r="K735">
        <v>16.100000000000001</v>
      </c>
      <c r="L735">
        <v>331</v>
      </c>
      <c r="M735">
        <v>47</v>
      </c>
      <c r="N735">
        <v>3.2</v>
      </c>
      <c r="O735">
        <v>41</v>
      </c>
      <c r="P735">
        <v>2.2000000000000002</v>
      </c>
      <c r="S735">
        <v>11.9</v>
      </c>
      <c r="T735">
        <v>11.7</v>
      </c>
      <c r="W735" t="b">
        <f>Data_Completeness(LifeExpectancyData[[#This Row],[Life expectancy]:[Schooling]])</f>
        <v>0</v>
      </c>
    </row>
    <row r="736" spans="1:23" x14ac:dyDescent="0.25">
      <c r="A736" t="s">
        <v>410</v>
      </c>
      <c r="B736">
        <v>2002</v>
      </c>
      <c r="C736" t="s">
        <v>363</v>
      </c>
      <c r="D736">
        <v>52.1</v>
      </c>
      <c r="E736">
        <v>341</v>
      </c>
      <c r="F736">
        <v>229</v>
      </c>
      <c r="G736">
        <v>1.85</v>
      </c>
      <c r="H736">
        <v>0</v>
      </c>
      <c r="J736">
        <v>30466</v>
      </c>
      <c r="K736">
        <v>15.7</v>
      </c>
      <c r="L736">
        <v>331</v>
      </c>
      <c r="M736">
        <v>4</v>
      </c>
      <c r="N736">
        <v>2.59</v>
      </c>
      <c r="O736">
        <v>38</v>
      </c>
      <c r="P736">
        <v>2.4</v>
      </c>
      <c r="S736">
        <v>12.1</v>
      </c>
      <c r="T736">
        <v>11.9</v>
      </c>
      <c r="W736" t="b">
        <f>Data_Completeness(LifeExpectancyData[[#This Row],[Life expectancy]:[Schooling]])</f>
        <v>0</v>
      </c>
    </row>
    <row r="737" spans="1:23" x14ac:dyDescent="0.25">
      <c r="A737" t="s">
        <v>410</v>
      </c>
      <c r="B737">
        <v>2001</v>
      </c>
      <c r="C737" t="s">
        <v>363</v>
      </c>
      <c r="D737">
        <v>51.8</v>
      </c>
      <c r="E737">
        <v>34</v>
      </c>
      <c r="F737">
        <v>227</v>
      </c>
      <c r="G737">
        <v>1.9</v>
      </c>
      <c r="H737">
        <v>0</v>
      </c>
      <c r="J737">
        <v>8072</v>
      </c>
      <c r="K737">
        <v>15.3</v>
      </c>
      <c r="L737">
        <v>332</v>
      </c>
      <c r="M737">
        <v>3</v>
      </c>
      <c r="N737">
        <v>2.67</v>
      </c>
      <c r="O737">
        <v>3</v>
      </c>
      <c r="P737">
        <v>2.4</v>
      </c>
      <c r="S737">
        <v>12.2</v>
      </c>
      <c r="T737">
        <v>12.1</v>
      </c>
      <c r="W737" t="b">
        <f>Data_Completeness(LifeExpectancyData[[#This Row],[Life expectancy]:[Schooling]])</f>
        <v>0</v>
      </c>
    </row>
    <row r="738" spans="1:23" x14ac:dyDescent="0.25">
      <c r="A738" t="s">
        <v>410</v>
      </c>
      <c r="B738">
        <v>2000</v>
      </c>
      <c r="C738" t="s">
        <v>363</v>
      </c>
      <c r="D738">
        <v>51.3</v>
      </c>
      <c r="E738">
        <v>346</v>
      </c>
      <c r="F738">
        <v>226</v>
      </c>
      <c r="G738">
        <v>1.98</v>
      </c>
      <c r="H738">
        <v>0</v>
      </c>
      <c r="J738">
        <v>8282</v>
      </c>
      <c r="K738">
        <v>14.9</v>
      </c>
      <c r="L738">
        <v>332</v>
      </c>
      <c r="M738">
        <v>42</v>
      </c>
      <c r="N738">
        <v>1.45</v>
      </c>
      <c r="O738">
        <v>4</v>
      </c>
      <c r="P738">
        <v>2.5</v>
      </c>
      <c r="S738">
        <v>12.4</v>
      </c>
      <c r="T738">
        <v>12.3</v>
      </c>
      <c r="W738" t="b">
        <f>Data_Completeness(LifeExpectancyData[[#This Row],[Life expectancy]:[Schooling]])</f>
        <v>0</v>
      </c>
    </row>
    <row r="739" spans="1:23" x14ac:dyDescent="0.25">
      <c r="A739" t="s">
        <v>411</v>
      </c>
      <c r="B739">
        <v>2015</v>
      </c>
      <c r="C739" t="s">
        <v>371</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Data_Completeness(LifeExpectancyData[[#This Row],[Life expectancy]:[Schooling]])</f>
        <v>0</v>
      </c>
    </row>
    <row r="740" spans="1:23" x14ac:dyDescent="0.25">
      <c r="A740" t="s">
        <v>411</v>
      </c>
      <c r="B740">
        <v>2014</v>
      </c>
      <c r="C740" t="s">
        <v>371</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Data_Completeness(LifeExpectancyData[[#This Row],[Life expectancy]:[Schooling]])</f>
        <v>0</v>
      </c>
    </row>
    <row r="741" spans="1:23" x14ac:dyDescent="0.25">
      <c r="A741" t="s">
        <v>411</v>
      </c>
      <c r="B741">
        <v>2013</v>
      </c>
      <c r="C741" t="s">
        <v>371</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Data_Completeness(LifeExpectancyData[[#This Row],[Life expectancy]:[Schooling]])</f>
        <v>0</v>
      </c>
    </row>
    <row r="742" spans="1:23" x14ac:dyDescent="0.25">
      <c r="A742" t="s">
        <v>411</v>
      </c>
      <c r="B742">
        <v>2012</v>
      </c>
      <c r="C742" t="s">
        <v>371</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Data_Completeness(LifeExpectancyData[[#This Row],[Life expectancy]:[Schooling]])</f>
        <v>0</v>
      </c>
    </row>
    <row r="743" spans="1:23" x14ac:dyDescent="0.25">
      <c r="A743" t="s">
        <v>411</v>
      </c>
      <c r="B743">
        <v>2011</v>
      </c>
      <c r="C743" t="s">
        <v>371</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Data_Completeness(LifeExpectancyData[[#This Row],[Life expectancy]:[Schooling]])</f>
        <v>0</v>
      </c>
    </row>
    <row r="744" spans="1:23" x14ac:dyDescent="0.25">
      <c r="A744" t="s">
        <v>411</v>
      </c>
      <c r="B744">
        <v>2010</v>
      </c>
      <c r="C744" t="s">
        <v>371</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Data_Completeness(LifeExpectancyData[[#This Row],[Life expectancy]:[Schooling]])</f>
        <v>0</v>
      </c>
    </row>
    <row r="745" spans="1:23" x14ac:dyDescent="0.25">
      <c r="A745" t="s">
        <v>411</v>
      </c>
      <c r="B745">
        <v>2009</v>
      </c>
      <c r="C745" t="s">
        <v>371</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Data_Completeness(LifeExpectancyData[[#This Row],[Life expectancy]:[Schooling]])</f>
        <v>0</v>
      </c>
    </row>
    <row r="746" spans="1:23" x14ac:dyDescent="0.25">
      <c r="A746" t="s">
        <v>411</v>
      </c>
      <c r="B746">
        <v>2008</v>
      </c>
      <c r="C746" t="s">
        <v>371</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Data_Completeness(LifeExpectancyData[[#This Row],[Life expectancy]:[Schooling]])</f>
        <v>0</v>
      </c>
    </row>
    <row r="747" spans="1:23" x14ac:dyDescent="0.25">
      <c r="A747" t="s">
        <v>411</v>
      </c>
      <c r="B747">
        <v>2007</v>
      </c>
      <c r="C747" t="s">
        <v>371</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Data_Completeness(LifeExpectancyData[[#This Row],[Life expectancy]:[Schooling]])</f>
        <v>0</v>
      </c>
    </row>
    <row r="748" spans="1:23" x14ac:dyDescent="0.25">
      <c r="A748" t="s">
        <v>411</v>
      </c>
      <c r="B748">
        <v>2006</v>
      </c>
      <c r="C748" t="s">
        <v>371</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Data_Completeness(LifeExpectancyData[[#This Row],[Life expectancy]:[Schooling]])</f>
        <v>0</v>
      </c>
    </row>
    <row r="749" spans="1:23" x14ac:dyDescent="0.25">
      <c r="A749" t="s">
        <v>411</v>
      </c>
      <c r="B749">
        <v>2005</v>
      </c>
      <c r="C749" t="s">
        <v>371</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Data_Completeness(LifeExpectancyData[[#This Row],[Life expectancy]:[Schooling]])</f>
        <v>0</v>
      </c>
    </row>
    <row r="750" spans="1:23" x14ac:dyDescent="0.25">
      <c r="A750" t="s">
        <v>411</v>
      </c>
      <c r="B750">
        <v>2004</v>
      </c>
      <c r="C750" t="s">
        <v>371</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Data_Completeness(LifeExpectancyData[[#This Row],[Life expectancy]:[Schooling]])</f>
        <v>0</v>
      </c>
    </row>
    <row r="751" spans="1:23" x14ac:dyDescent="0.25">
      <c r="A751" t="s">
        <v>411</v>
      </c>
      <c r="B751">
        <v>2003</v>
      </c>
      <c r="C751" t="s">
        <v>371</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Data_Completeness(LifeExpectancyData[[#This Row],[Life expectancy]:[Schooling]])</f>
        <v>0</v>
      </c>
    </row>
    <row r="752" spans="1:23" x14ac:dyDescent="0.25">
      <c r="A752" t="s">
        <v>411</v>
      </c>
      <c r="B752">
        <v>2002</v>
      </c>
      <c r="C752" t="s">
        <v>371</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Data_Completeness(LifeExpectancyData[[#This Row],[Life expectancy]:[Schooling]])</f>
        <v>0</v>
      </c>
    </row>
    <row r="753" spans="1:23" x14ac:dyDescent="0.25">
      <c r="A753" t="s">
        <v>411</v>
      </c>
      <c r="B753">
        <v>2001</v>
      </c>
      <c r="C753" t="s">
        <v>371</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Data_Completeness(LifeExpectancyData[[#This Row],[Life expectancy]:[Schooling]])</f>
        <v>0</v>
      </c>
    </row>
    <row r="754" spans="1:23" x14ac:dyDescent="0.25">
      <c r="A754" t="s">
        <v>411</v>
      </c>
      <c r="B754">
        <v>2000</v>
      </c>
      <c r="C754" t="s">
        <v>371</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Data_Completeness(LifeExpectancyData[[#This Row],[Life expectancy]:[Schooling]])</f>
        <v>0</v>
      </c>
    </row>
    <row r="755" spans="1:23" x14ac:dyDescent="0.25">
      <c r="A755" t="s">
        <v>412</v>
      </c>
      <c r="B755">
        <v>2015</v>
      </c>
      <c r="C755" t="s">
        <v>363</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Data_Completeness(LifeExpectancyData[[#This Row],[Life expectancy]:[Schooling]])</f>
        <v>0</v>
      </c>
    </row>
    <row r="756" spans="1:23" x14ac:dyDescent="0.25">
      <c r="A756" t="s">
        <v>412</v>
      </c>
      <c r="B756">
        <v>2014</v>
      </c>
      <c r="C756" t="s">
        <v>363</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Data_Completeness(LifeExpectancyData[[#This Row],[Life expectancy]:[Schooling]])</f>
        <v>1</v>
      </c>
    </row>
    <row r="757" spans="1:23" x14ac:dyDescent="0.25">
      <c r="A757" t="s">
        <v>412</v>
      </c>
      <c r="B757">
        <v>2013</v>
      </c>
      <c r="C757" t="s">
        <v>363</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Data_Completeness(LifeExpectancyData[[#This Row],[Life expectancy]:[Schooling]])</f>
        <v>1</v>
      </c>
    </row>
    <row r="758" spans="1:23" x14ac:dyDescent="0.25">
      <c r="A758" t="s">
        <v>412</v>
      </c>
      <c r="B758">
        <v>2012</v>
      </c>
      <c r="C758" t="s">
        <v>363</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Data_Completeness(LifeExpectancyData[[#This Row],[Life expectancy]:[Schooling]])</f>
        <v>1</v>
      </c>
    </row>
    <row r="759" spans="1:23" x14ac:dyDescent="0.25">
      <c r="A759" t="s">
        <v>412</v>
      </c>
      <c r="B759">
        <v>2011</v>
      </c>
      <c r="C759" t="s">
        <v>363</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Data_Completeness(LifeExpectancyData[[#This Row],[Life expectancy]:[Schooling]])</f>
        <v>1</v>
      </c>
    </row>
    <row r="760" spans="1:23" x14ac:dyDescent="0.25">
      <c r="A760" t="s">
        <v>412</v>
      </c>
      <c r="B760">
        <v>2010</v>
      </c>
      <c r="C760" t="s">
        <v>363</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Data_Completeness(LifeExpectancyData[[#This Row],[Life expectancy]:[Schooling]])</f>
        <v>1</v>
      </c>
    </row>
    <row r="761" spans="1:23" x14ac:dyDescent="0.25">
      <c r="A761" t="s">
        <v>412</v>
      </c>
      <c r="B761">
        <v>2009</v>
      </c>
      <c r="C761" t="s">
        <v>363</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Data_Completeness(LifeExpectancyData[[#This Row],[Life expectancy]:[Schooling]])</f>
        <v>1</v>
      </c>
    </row>
    <row r="762" spans="1:23" x14ac:dyDescent="0.25">
      <c r="A762" t="s">
        <v>412</v>
      </c>
      <c r="B762">
        <v>2008</v>
      </c>
      <c r="C762" t="s">
        <v>363</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Data_Completeness(LifeExpectancyData[[#This Row],[Life expectancy]:[Schooling]])</f>
        <v>1</v>
      </c>
    </row>
    <row r="763" spans="1:23" x14ac:dyDescent="0.25">
      <c r="A763" t="s">
        <v>412</v>
      </c>
      <c r="B763">
        <v>2007</v>
      </c>
      <c r="C763" t="s">
        <v>363</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Data_Completeness(LifeExpectancyData[[#This Row],[Life expectancy]:[Schooling]])</f>
        <v>1</v>
      </c>
    </row>
    <row r="764" spans="1:23" x14ac:dyDescent="0.25">
      <c r="A764" t="s">
        <v>412</v>
      </c>
      <c r="B764">
        <v>2006</v>
      </c>
      <c r="C764" t="s">
        <v>363</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Data_Completeness(LifeExpectancyData[[#This Row],[Life expectancy]:[Schooling]])</f>
        <v>0</v>
      </c>
    </row>
    <row r="765" spans="1:23" x14ac:dyDescent="0.25">
      <c r="A765" t="s">
        <v>412</v>
      </c>
      <c r="B765">
        <v>2005</v>
      </c>
      <c r="C765" t="s">
        <v>363</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Data_Completeness(LifeExpectancyData[[#This Row],[Life expectancy]:[Schooling]])</f>
        <v>0</v>
      </c>
    </row>
    <row r="766" spans="1:23" x14ac:dyDescent="0.25">
      <c r="A766" t="s">
        <v>412</v>
      </c>
      <c r="B766">
        <v>2004</v>
      </c>
      <c r="C766" t="s">
        <v>363</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Data_Completeness(LifeExpectancyData[[#This Row],[Life expectancy]:[Schooling]])</f>
        <v>0</v>
      </c>
    </row>
    <row r="767" spans="1:23" x14ac:dyDescent="0.25">
      <c r="A767" t="s">
        <v>412</v>
      </c>
      <c r="B767">
        <v>2003</v>
      </c>
      <c r="C767" t="s">
        <v>363</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Data_Completeness(LifeExpectancyData[[#This Row],[Life expectancy]:[Schooling]])</f>
        <v>0</v>
      </c>
    </row>
    <row r="768" spans="1:23" x14ac:dyDescent="0.25">
      <c r="A768" t="s">
        <v>412</v>
      </c>
      <c r="B768">
        <v>2002</v>
      </c>
      <c r="C768" t="s">
        <v>363</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Data_Completeness(LifeExpectancyData[[#This Row],[Life expectancy]:[Schooling]])</f>
        <v>0</v>
      </c>
    </row>
    <row r="769" spans="1:23" x14ac:dyDescent="0.25">
      <c r="A769" t="s">
        <v>412</v>
      </c>
      <c r="B769">
        <v>2001</v>
      </c>
      <c r="C769" t="s">
        <v>363</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Data_Completeness(LifeExpectancyData[[#This Row],[Life expectancy]:[Schooling]])</f>
        <v>0</v>
      </c>
    </row>
    <row r="770" spans="1:23" x14ac:dyDescent="0.25">
      <c r="A770" t="s">
        <v>412</v>
      </c>
      <c r="B770">
        <v>2000</v>
      </c>
      <c r="C770" t="s">
        <v>363</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Data_Completeness(LifeExpectancyData[[#This Row],[Life expectancy]:[Schooling]])</f>
        <v>0</v>
      </c>
    </row>
    <row r="771" spans="1:23" x14ac:dyDescent="0.25">
      <c r="A771" t="s">
        <v>413</v>
      </c>
      <c r="B771">
        <v>2013</v>
      </c>
      <c r="C771" t="s">
        <v>363</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Data_Completeness(LifeExpectancyData[[#This Row],[Life expectancy]:[Schooling]])</f>
        <v>0</v>
      </c>
    </row>
    <row r="772" spans="1:23" x14ac:dyDescent="0.25">
      <c r="A772" t="s">
        <v>414</v>
      </c>
      <c r="B772">
        <v>2015</v>
      </c>
      <c r="C772" t="s">
        <v>363</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Data_Completeness(LifeExpectancyData[[#This Row],[Life expectancy]:[Schooling]])</f>
        <v>0</v>
      </c>
    </row>
    <row r="773" spans="1:23" x14ac:dyDescent="0.25">
      <c r="A773" t="s">
        <v>414</v>
      </c>
      <c r="B773">
        <v>2014</v>
      </c>
      <c r="C773" t="s">
        <v>363</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Data_Completeness(LifeExpectancyData[[#This Row],[Life expectancy]:[Schooling]])</f>
        <v>1</v>
      </c>
    </row>
    <row r="774" spans="1:23" x14ac:dyDescent="0.25">
      <c r="A774" t="s">
        <v>414</v>
      </c>
      <c r="B774">
        <v>2013</v>
      </c>
      <c r="C774" t="s">
        <v>363</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Data_Completeness(LifeExpectancyData[[#This Row],[Life expectancy]:[Schooling]])</f>
        <v>1</v>
      </c>
    </row>
    <row r="775" spans="1:23" x14ac:dyDescent="0.25">
      <c r="A775" t="s">
        <v>414</v>
      </c>
      <c r="B775">
        <v>2012</v>
      </c>
      <c r="C775" t="s">
        <v>363</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Data_Completeness(LifeExpectancyData[[#This Row],[Life expectancy]:[Schooling]])</f>
        <v>1</v>
      </c>
    </row>
    <row r="776" spans="1:23" x14ac:dyDescent="0.25">
      <c r="A776" t="s">
        <v>414</v>
      </c>
      <c r="B776">
        <v>2011</v>
      </c>
      <c r="C776" t="s">
        <v>363</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Data_Completeness(LifeExpectancyData[[#This Row],[Life expectancy]:[Schooling]])</f>
        <v>1</v>
      </c>
    </row>
    <row r="777" spans="1:23" x14ac:dyDescent="0.25">
      <c r="A777" t="s">
        <v>414</v>
      </c>
      <c r="B777">
        <v>2010</v>
      </c>
      <c r="C777" t="s">
        <v>363</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Data_Completeness(LifeExpectancyData[[#This Row],[Life expectancy]:[Schooling]])</f>
        <v>1</v>
      </c>
    </row>
    <row r="778" spans="1:23" x14ac:dyDescent="0.25">
      <c r="A778" t="s">
        <v>414</v>
      </c>
      <c r="B778">
        <v>2009</v>
      </c>
      <c r="C778" t="s">
        <v>363</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Data_Completeness(LifeExpectancyData[[#This Row],[Life expectancy]:[Schooling]])</f>
        <v>1</v>
      </c>
    </row>
    <row r="779" spans="1:23" x14ac:dyDescent="0.25">
      <c r="A779" t="s">
        <v>414</v>
      </c>
      <c r="B779">
        <v>2008</v>
      </c>
      <c r="C779" t="s">
        <v>363</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Data_Completeness(LifeExpectancyData[[#This Row],[Life expectancy]:[Schooling]])</f>
        <v>1</v>
      </c>
    </row>
    <row r="780" spans="1:23" x14ac:dyDescent="0.25">
      <c r="A780" t="s">
        <v>414</v>
      </c>
      <c r="B780">
        <v>2007</v>
      </c>
      <c r="C780" t="s">
        <v>363</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Data_Completeness(LifeExpectancyData[[#This Row],[Life expectancy]:[Schooling]])</f>
        <v>1</v>
      </c>
    </row>
    <row r="781" spans="1:23" x14ac:dyDescent="0.25">
      <c r="A781" t="s">
        <v>414</v>
      </c>
      <c r="B781">
        <v>2006</v>
      </c>
      <c r="C781" t="s">
        <v>363</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Data_Completeness(LifeExpectancyData[[#This Row],[Life expectancy]:[Schooling]])</f>
        <v>1</v>
      </c>
    </row>
    <row r="782" spans="1:23" x14ac:dyDescent="0.25">
      <c r="A782" t="s">
        <v>414</v>
      </c>
      <c r="B782">
        <v>2005</v>
      </c>
      <c r="C782" t="s">
        <v>363</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Data_Completeness(LifeExpectancyData[[#This Row],[Life expectancy]:[Schooling]])</f>
        <v>1</v>
      </c>
    </row>
    <row r="783" spans="1:23" x14ac:dyDescent="0.25">
      <c r="A783" t="s">
        <v>414</v>
      </c>
      <c r="B783">
        <v>2004</v>
      </c>
      <c r="C783" t="s">
        <v>363</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Data_Completeness(LifeExpectancyData[[#This Row],[Life expectancy]:[Schooling]])</f>
        <v>1</v>
      </c>
    </row>
    <row r="784" spans="1:23" x14ac:dyDescent="0.25">
      <c r="A784" t="s">
        <v>414</v>
      </c>
      <c r="B784">
        <v>2003</v>
      </c>
      <c r="C784" t="s">
        <v>363</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Data_Completeness(LifeExpectancyData[[#This Row],[Life expectancy]:[Schooling]])</f>
        <v>1</v>
      </c>
    </row>
    <row r="785" spans="1:23" x14ac:dyDescent="0.25">
      <c r="A785" t="s">
        <v>414</v>
      </c>
      <c r="B785">
        <v>2002</v>
      </c>
      <c r="C785" t="s">
        <v>363</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Data_Completeness(LifeExpectancyData[[#This Row],[Life expectancy]:[Schooling]])</f>
        <v>1</v>
      </c>
    </row>
    <row r="786" spans="1:23" x14ac:dyDescent="0.25">
      <c r="A786" t="s">
        <v>414</v>
      </c>
      <c r="B786">
        <v>2001</v>
      </c>
      <c r="C786" t="s">
        <v>363</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Data_Completeness(LifeExpectancyData[[#This Row],[Life expectancy]:[Schooling]])</f>
        <v>1</v>
      </c>
    </row>
    <row r="787" spans="1:23" x14ac:dyDescent="0.25">
      <c r="A787" t="s">
        <v>414</v>
      </c>
      <c r="B787">
        <v>2000</v>
      </c>
      <c r="C787" t="s">
        <v>363</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Data_Completeness(LifeExpectancyData[[#This Row],[Life expectancy]:[Schooling]])</f>
        <v>1</v>
      </c>
    </row>
    <row r="788" spans="1:23" x14ac:dyDescent="0.25">
      <c r="A788" t="s">
        <v>415</v>
      </c>
      <c r="B788">
        <v>2015</v>
      </c>
      <c r="C788" t="s">
        <v>363</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Data_Completeness(LifeExpectancyData[[#This Row],[Life expectancy]:[Schooling]])</f>
        <v>0</v>
      </c>
    </row>
    <row r="789" spans="1:23" x14ac:dyDescent="0.25">
      <c r="A789" t="s">
        <v>415</v>
      </c>
      <c r="B789">
        <v>2014</v>
      </c>
      <c r="C789" t="s">
        <v>363</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Data_Completeness(LifeExpectancyData[[#This Row],[Life expectancy]:[Schooling]])</f>
        <v>1</v>
      </c>
    </row>
    <row r="790" spans="1:23" x14ac:dyDescent="0.25">
      <c r="A790" t="s">
        <v>415</v>
      </c>
      <c r="B790">
        <v>2013</v>
      </c>
      <c r="C790" t="s">
        <v>363</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Data_Completeness(LifeExpectancyData[[#This Row],[Life expectancy]:[Schooling]])</f>
        <v>1</v>
      </c>
    </row>
    <row r="791" spans="1:23" x14ac:dyDescent="0.25">
      <c r="A791" t="s">
        <v>415</v>
      </c>
      <c r="B791">
        <v>2012</v>
      </c>
      <c r="C791" t="s">
        <v>363</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Data_Completeness(LifeExpectancyData[[#This Row],[Life expectancy]:[Schooling]])</f>
        <v>1</v>
      </c>
    </row>
    <row r="792" spans="1:23" x14ac:dyDescent="0.25">
      <c r="A792" t="s">
        <v>415</v>
      </c>
      <c r="B792">
        <v>2011</v>
      </c>
      <c r="C792" t="s">
        <v>363</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Data_Completeness(LifeExpectancyData[[#This Row],[Life expectancy]:[Schooling]])</f>
        <v>1</v>
      </c>
    </row>
    <row r="793" spans="1:23" x14ac:dyDescent="0.25">
      <c r="A793" t="s">
        <v>415</v>
      </c>
      <c r="B793">
        <v>2010</v>
      </c>
      <c r="C793" t="s">
        <v>363</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Data_Completeness(LifeExpectancyData[[#This Row],[Life expectancy]:[Schooling]])</f>
        <v>1</v>
      </c>
    </row>
    <row r="794" spans="1:23" x14ac:dyDescent="0.25">
      <c r="A794" t="s">
        <v>415</v>
      </c>
      <c r="B794">
        <v>2009</v>
      </c>
      <c r="C794" t="s">
        <v>363</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Data_Completeness(LifeExpectancyData[[#This Row],[Life expectancy]:[Schooling]])</f>
        <v>1</v>
      </c>
    </row>
    <row r="795" spans="1:23" x14ac:dyDescent="0.25">
      <c r="A795" t="s">
        <v>415</v>
      </c>
      <c r="B795">
        <v>2008</v>
      </c>
      <c r="C795" t="s">
        <v>363</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Data_Completeness(LifeExpectancyData[[#This Row],[Life expectancy]:[Schooling]])</f>
        <v>1</v>
      </c>
    </row>
    <row r="796" spans="1:23" x14ac:dyDescent="0.25">
      <c r="A796" t="s">
        <v>415</v>
      </c>
      <c r="B796">
        <v>2007</v>
      </c>
      <c r="C796" t="s">
        <v>363</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Data_Completeness(LifeExpectancyData[[#This Row],[Life expectancy]:[Schooling]])</f>
        <v>1</v>
      </c>
    </row>
    <row r="797" spans="1:23" x14ac:dyDescent="0.25">
      <c r="A797" t="s">
        <v>415</v>
      </c>
      <c r="B797">
        <v>2006</v>
      </c>
      <c r="C797" t="s">
        <v>363</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Data_Completeness(LifeExpectancyData[[#This Row],[Life expectancy]:[Schooling]])</f>
        <v>1</v>
      </c>
    </row>
    <row r="798" spans="1:23" x14ac:dyDescent="0.25">
      <c r="A798" t="s">
        <v>415</v>
      </c>
      <c r="B798">
        <v>2005</v>
      </c>
      <c r="C798" t="s">
        <v>363</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Data_Completeness(LifeExpectancyData[[#This Row],[Life expectancy]:[Schooling]])</f>
        <v>1</v>
      </c>
    </row>
    <row r="799" spans="1:23" x14ac:dyDescent="0.25">
      <c r="A799" t="s">
        <v>415</v>
      </c>
      <c r="B799">
        <v>2004</v>
      </c>
      <c r="C799" t="s">
        <v>363</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Data_Completeness(LifeExpectancyData[[#This Row],[Life expectancy]:[Schooling]])</f>
        <v>1</v>
      </c>
    </row>
    <row r="800" spans="1:23" x14ac:dyDescent="0.25">
      <c r="A800" t="s">
        <v>415</v>
      </c>
      <c r="B800">
        <v>2003</v>
      </c>
      <c r="C800" t="s">
        <v>363</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Data_Completeness(LifeExpectancyData[[#This Row],[Life expectancy]:[Schooling]])</f>
        <v>1</v>
      </c>
    </row>
    <row r="801" spans="1:23" x14ac:dyDescent="0.25">
      <c r="A801" t="s">
        <v>415</v>
      </c>
      <c r="B801">
        <v>2002</v>
      </c>
      <c r="C801" t="s">
        <v>363</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Data_Completeness(LifeExpectancyData[[#This Row],[Life expectancy]:[Schooling]])</f>
        <v>1</v>
      </c>
    </row>
    <row r="802" spans="1:23" x14ac:dyDescent="0.25">
      <c r="A802" t="s">
        <v>415</v>
      </c>
      <c r="B802">
        <v>2001</v>
      </c>
      <c r="C802" t="s">
        <v>363</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Data_Completeness(LifeExpectancyData[[#This Row],[Life expectancy]:[Schooling]])</f>
        <v>1</v>
      </c>
    </row>
    <row r="803" spans="1:23" x14ac:dyDescent="0.25">
      <c r="A803" t="s">
        <v>415</v>
      </c>
      <c r="B803">
        <v>2000</v>
      </c>
      <c r="C803" t="s">
        <v>363</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Data_Completeness(LifeExpectancyData[[#This Row],[Life expectancy]:[Schooling]])</f>
        <v>1</v>
      </c>
    </row>
    <row r="804" spans="1:23" x14ac:dyDescent="0.25">
      <c r="A804" t="s">
        <v>416</v>
      </c>
      <c r="B804">
        <v>2015</v>
      </c>
      <c r="C804" t="s">
        <v>363</v>
      </c>
      <c r="D804">
        <v>79</v>
      </c>
      <c r="E804">
        <v>159</v>
      </c>
      <c r="F804">
        <v>51</v>
      </c>
      <c r="H804">
        <v>0</v>
      </c>
      <c r="I804">
        <v>93</v>
      </c>
      <c r="J804">
        <v>5432</v>
      </c>
      <c r="K804">
        <v>61.1</v>
      </c>
      <c r="L804">
        <v>60</v>
      </c>
      <c r="M804">
        <v>93</v>
      </c>
      <c r="O804">
        <v>93</v>
      </c>
      <c r="P804">
        <v>0.1</v>
      </c>
      <c r="S804">
        <v>2.8</v>
      </c>
      <c r="T804">
        <v>2.8</v>
      </c>
      <c r="U804">
        <v>0.68799999999999994</v>
      </c>
      <c r="V804">
        <v>13.1</v>
      </c>
      <c r="W804" t="b">
        <f>Data_Completeness(LifeExpectancyData[[#This Row],[Life expectancy]:[Schooling]])</f>
        <v>0</v>
      </c>
    </row>
    <row r="805" spans="1:23" x14ac:dyDescent="0.25">
      <c r="A805" t="s">
        <v>416</v>
      </c>
      <c r="B805">
        <v>2014</v>
      </c>
      <c r="C805" t="s">
        <v>363</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Data_Completeness(LifeExpectancyData[[#This Row],[Life expectancy]:[Schooling]])</f>
        <v>0</v>
      </c>
    </row>
    <row r="806" spans="1:23" x14ac:dyDescent="0.25">
      <c r="A806" t="s">
        <v>416</v>
      </c>
      <c r="B806">
        <v>2013</v>
      </c>
      <c r="C806" t="s">
        <v>363</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Data_Completeness(LifeExpectancyData[[#This Row],[Life expectancy]:[Schooling]])</f>
        <v>0</v>
      </c>
    </row>
    <row r="807" spans="1:23" x14ac:dyDescent="0.25">
      <c r="A807" t="s">
        <v>416</v>
      </c>
      <c r="B807">
        <v>2012</v>
      </c>
      <c r="C807" t="s">
        <v>363</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Data_Completeness(LifeExpectancyData[[#This Row],[Life expectancy]:[Schooling]])</f>
        <v>0</v>
      </c>
    </row>
    <row r="808" spans="1:23" x14ac:dyDescent="0.25">
      <c r="A808" t="s">
        <v>416</v>
      </c>
      <c r="B808">
        <v>2011</v>
      </c>
      <c r="C808" t="s">
        <v>363</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Data_Completeness(LifeExpectancyData[[#This Row],[Life expectancy]:[Schooling]])</f>
        <v>0</v>
      </c>
    </row>
    <row r="809" spans="1:23" x14ac:dyDescent="0.25">
      <c r="A809" t="s">
        <v>416</v>
      </c>
      <c r="B809">
        <v>2010</v>
      </c>
      <c r="C809" t="s">
        <v>363</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Data_Completeness(LifeExpectancyData[[#This Row],[Life expectancy]:[Schooling]])</f>
        <v>0</v>
      </c>
    </row>
    <row r="810" spans="1:23" x14ac:dyDescent="0.25">
      <c r="A810" t="s">
        <v>416</v>
      </c>
      <c r="B810">
        <v>2009</v>
      </c>
      <c r="C810" t="s">
        <v>363</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Data_Completeness(LifeExpectancyData[[#This Row],[Life expectancy]:[Schooling]])</f>
        <v>0</v>
      </c>
    </row>
    <row r="811" spans="1:23" x14ac:dyDescent="0.25">
      <c r="A811" t="s">
        <v>416</v>
      </c>
      <c r="B811">
        <v>2008</v>
      </c>
      <c r="C811" t="s">
        <v>363</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Data_Completeness(LifeExpectancyData[[#This Row],[Life expectancy]:[Schooling]])</f>
        <v>0</v>
      </c>
    </row>
    <row r="812" spans="1:23" x14ac:dyDescent="0.25">
      <c r="A812" t="s">
        <v>416</v>
      </c>
      <c r="B812">
        <v>2007</v>
      </c>
      <c r="C812" t="s">
        <v>363</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Data_Completeness(LifeExpectancyData[[#This Row],[Life expectancy]:[Schooling]])</f>
        <v>0</v>
      </c>
    </row>
    <row r="813" spans="1:23" x14ac:dyDescent="0.25">
      <c r="A813" t="s">
        <v>416</v>
      </c>
      <c r="B813">
        <v>2006</v>
      </c>
      <c r="C813" t="s">
        <v>363</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Data_Completeness(LifeExpectancyData[[#This Row],[Life expectancy]:[Schooling]])</f>
        <v>0</v>
      </c>
    </row>
    <row r="814" spans="1:23" x14ac:dyDescent="0.25">
      <c r="A814" t="s">
        <v>416</v>
      </c>
      <c r="B814">
        <v>2005</v>
      </c>
      <c r="C814" t="s">
        <v>363</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Data_Completeness(LifeExpectancyData[[#This Row],[Life expectancy]:[Schooling]])</f>
        <v>0</v>
      </c>
    </row>
    <row r="815" spans="1:23" x14ac:dyDescent="0.25">
      <c r="A815" t="s">
        <v>416</v>
      </c>
      <c r="B815">
        <v>2004</v>
      </c>
      <c r="C815" t="s">
        <v>363</v>
      </c>
      <c r="D815">
        <v>69</v>
      </c>
      <c r="E815">
        <v>176</v>
      </c>
      <c r="F815">
        <v>57</v>
      </c>
      <c r="G815">
        <v>0.16</v>
      </c>
      <c r="H815">
        <v>0</v>
      </c>
      <c r="I815">
        <v>97</v>
      </c>
      <c r="J815">
        <v>80</v>
      </c>
      <c r="K815">
        <v>52.9</v>
      </c>
      <c r="L815">
        <v>70</v>
      </c>
      <c r="M815">
        <v>97</v>
      </c>
      <c r="N815">
        <v>5.21</v>
      </c>
      <c r="O815">
        <v>97</v>
      </c>
      <c r="P815">
        <v>0.1</v>
      </c>
      <c r="S815">
        <v>3.3</v>
      </c>
      <c r="T815">
        <v>3.2</v>
      </c>
      <c r="U815">
        <v>0.623</v>
      </c>
      <c r="V815">
        <v>11.2</v>
      </c>
      <c r="W815" t="b">
        <f>Data_Completeness(LifeExpectancyData[[#This Row],[Life expectancy]:[Schooling]])</f>
        <v>0</v>
      </c>
    </row>
    <row r="816" spans="1:23" x14ac:dyDescent="0.25">
      <c r="A816" t="s">
        <v>416</v>
      </c>
      <c r="B816">
        <v>2003</v>
      </c>
      <c r="C816" t="s">
        <v>363</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Data_Completeness(LifeExpectancyData[[#This Row],[Life expectancy]:[Schooling]])</f>
        <v>0</v>
      </c>
    </row>
    <row r="817" spans="1:23" x14ac:dyDescent="0.25">
      <c r="A817" t="s">
        <v>416</v>
      </c>
      <c r="B817">
        <v>2002</v>
      </c>
      <c r="C817" t="s">
        <v>363</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Data_Completeness(LifeExpectancyData[[#This Row],[Life expectancy]:[Schooling]])</f>
        <v>0</v>
      </c>
    </row>
    <row r="818" spans="1:23" x14ac:dyDescent="0.25">
      <c r="A818" t="s">
        <v>416</v>
      </c>
      <c r="B818">
        <v>2001</v>
      </c>
      <c r="C818" t="s">
        <v>363</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Data_Completeness(LifeExpectancyData[[#This Row],[Life expectancy]:[Schooling]])</f>
        <v>0</v>
      </c>
    </row>
    <row r="819" spans="1:23" x14ac:dyDescent="0.25">
      <c r="A819" t="s">
        <v>416</v>
      </c>
      <c r="B819">
        <v>2000</v>
      </c>
      <c r="C819" t="s">
        <v>363</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Data_Completeness(LifeExpectancyData[[#This Row],[Life expectancy]:[Schooling]])</f>
        <v>0</v>
      </c>
    </row>
    <row r="820" spans="1:23" x14ac:dyDescent="0.25">
      <c r="A820" t="s">
        <v>417</v>
      </c>
      <c r="B820">
        <v>2015</v>
      </c>
      <c r="C820" t="s">
        <v>363</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Data_Completeness(LifeExpectancyData[[#This Row],[Life expectancy]:[Schooling]])</f>
        <v>0</v>
      </c>
    </row>
    <row r="821" spans="1:23" x14ac:dyDescent="0.25">
      <c r="A821" t="s">
        <v>417</v>
      </c>
      <c r="B821">
        <v>2014</v>
      </c>
      <c r="C821" t="s">
        <v>363</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Data_Completeness(LifeExpectancyData[[#This Row],[Life expectancy]:[Schooling]])</f>
        <v>1</v>
      </c>
    </row>
    <row r="822" spans="1:23" x14ac:dyDescent="0.25">
      <c r="A822" t="s">
        <v>417</v>
      </c>
      <c r="B822">
        <v>2013</v>
      </c>
      <c r="C822" t="s">
        <v>363</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Data_Completeness(LifeExpectancyData[[#This Row],[Life expectancy]:[Schooling]])</f>
        <v>1</v>
      </c>
    </row>
    <row r="823" spans="1:23" x14ac:dyDescent="0.25">
      <c r="A823" t="s">
        <v>417</v>
      </c>
      <c r="B823">
        <v>2012</v>
      </c>
      <c r="C823" t="s">
        <v>363</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Data_Completeness(LifeExpectancyData[[#This Row],[Life expectancy]:[Schooling]])</f>
        <v>1</v>
      </c>
    </row>
    <row r="824" spans="1:23" x14ac:dyDescent="0.25">
      <c r="A824" t="s">
        <v>417</v>
      </c>
      <c r="B824">
        <v>2011</v>
      </c>
      <c r="C824" t="s">
        <v>363</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Data_Completeness(LifeExpectancyData[[#This Row],[Life expectancy]:[Schooling]])</f>
        <v>1</v>
      </c>
    </row>
    <row r="825" spans="1:23" x14ac:dyDescent="0.25">
      <c r="A825" t="s">
        <v>417</v>
      </c>
      <c r="B825">
        <v>2010</v>
      </c>
      <c r="C825" t="s">
        <v>363</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Data_Completeness(LifeExpectancyData[[#This Row],[Life expectancy]:[Schooling]])</f>
        <v>1</v>
      </c>
    </row>
    <row r="826" spans="1:23" x14ac:dyDescent="0.25">
      <c r="A826" t="s">
        <v>417</v>
      </c>
      <c r="B826">
        <v>2009</v>
      </c>
      <c r="C826" t="s">
        <v>363</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Data_Completeness(LifeExpectancyData[[#This Row],[Life expectancy]:[Schooling]])</f>
        <v>1</v>
      </c>
    </row>
    <row r="827" spans="1:23" x14ac:dyDescent="0.25">
      <c r="A827" t="s">
        <v>417</v>
      </c>
      <c r="B827">
        <v>2008</v>
      </c>
      <c r="C827" t="s">
        <v>363</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Data_Completeness(LifeExpectancyData[[#This Row],[Life expectancy]:[Schooling]])</f>
        <v>1</v>
      </c>
    </row>
    <row r="828" spans="1:23" x14ac:dyDescent="0.25">
      <c r="A828" t="s">
        <v>417</v>
      </c>
      <c r="B828">
        <v>2007</v>
      </c>
      <c r="C828" t="s">
        <v>363</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Data_Completeness(LifeExpectancyData[[#This Row],[Life expectancy]:[Schooling]])</f>
        <v>1</v>
      </c>
    </row>
    <row r="829" spans="1:23" x14ac:dyDescent="0.25">
      <c r="A829" t="s">
        <v>417</v>
      </c>
      <c r="B829">
        <v>2006</v>
      </c>
      <c r="C829" t="s">
        <v>363</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Data_Completeness(LifeExpectancyData[[#This Row],[Life expectancy]:[Schooling]])</f>
        <v>1</v>
      </c>
    </row>
    <row r="830" spans="1:23" x14ac:dyDescent="0.25">
      <c r="A830" t="s">
        <v>417</v>
      </c>
      <c r="B830">
        <v>2005</v>
      </c>
      <c r="C830" t="s">
        <v>363</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Data_Completeness(LifeExpectancyData[[#This Row],[Life expectancy]:[Schooling]])</f>
        <v>1</v>
      </c>
    </row>
    <row r="831" spans="1:23" x14ac:dyDescent="0.25">
      <c r="A831" t="s">
        <v>417</v>
      </c>
      <c r="B831">
        <v>2004</v>
      </c>
      <c r="C831" t="s">
        <v>363</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Data_Completeness(LifeExpectancyData[[#This Row],[Life expectancy]:[Schooling]])</f>
        <v>1</v>
      </c>
    </row>
    <row r="832" spans="1:23" x14ac:dyDescent="0.25">
      <c r="A832" t="s">
        <v>417</v>
      </c>
      <c r="B832">
        <v>2003</v>
      </c>
      <c r="C832" t="s">
        <v>363</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Data_Completeness(LifeExpectancyData[[#This Row],[Life expectancy]:[Schooling]])</f>
        <v>1</v>
      </c>
    </row>
    <row r="833" spans="1:23" x14ac:dyDescent="0.25">
      <c r="A833" t="s">
        <v>417</v>
      </c>
      <c r="B833">
        <v>2002</v>
      </c>
      <c r="C833" t="s">
        <v>363</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Data_Completeness(LifeExpectancyData[[#This Row],[Life expectancy]:[Schooling]])</f>
        <v>1</v>
      </c>
    </row>
    <row r="834" spans="1:23" x14ac:dyDescent="0.25">
      <c r="A834" t="s">
        <v>417</v>
      </c>
      <c r="B834">
        <v>2001</v>
      </c>
      <c r="C834" t="s">
        <v>363</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Data_Completeness(LifeExpectancyData[[#This Row],[Life expectancy]:[Schooling]])</f>
        <v>1</v>
      </c>
    </row>
    <row r="835" spans="1:23" x14ac:dyDescent="0.25">
      <c r="A835" t="s">
        <v>417</v>
      </c>
      <c r="B835">
        <v>2000</v>
      </c>
      <c r="C835" t="s">
        <v>363</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Data_Completeness(LifeExpectancyData[[#This Row],[Life expectancy]:[Schooling]])</f>
        <v>1</v>
      </c>
    </row>
    <row r="836" spans="1:23" x14ac:dyDescent="0.25">
      <c r="A836" t="s">
        <v>418</v>
      </c>
      <c r="B836">
        <v>2015</v>
      </c>
      <c r="C836" t="s">
        <v>363</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Data_Completeness(LifeExpectancyData[[#This Row],[Life expectancy]:[Schooling]])</f>
        <v>0</v>
      </c>
    </row>
    <row r="837" spans="1:23" x14ac:dyDescent="0.25">
      <c r="A837" t="s">
        <v>418</v>
      </c>
      <c r="B837">
        <v>2014</v>
      </c>
      <c r="C837" t="s">
        <v>363</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Data_Completeness(LifeExpectancyData[[#This Row],[Life expectancy]:[Schooling]])</f>
        <v>1</v>
      </c>
    </row>
    <row r="838" spans="1:23" x14ac:dyDescent="0.25">
      <c r="A838" t="s">
        <v>418</v>
      </c>
      <c r="B838">
        <v>2013</v>
      </c>
      <c r="C838" t="s">
        <v>363</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Data_Completeness(LifeExpectancyData[[#This Row],[Life expectancy]:[Schooling]])</f>
        <v>0</v>
      </c>
    </row>
    <row r="839" spans="1:23" x14ac:dyDescent="0.25">
      <c r="A839" t="s">
        <v>418</v>
      </c>
      <c r="B839">
        <v>2012</v>
      </c>
      <c r="C839" t="s">
        <v>363</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Data_Completeness(LifeExpectancyData[[#This Row],[Life expectancy]:[Schooling]])</f>
        <v>0</v>
      </c>
    </row>
    <row r="840" spans="1:23" x14ac:dyDescent="0.25">
      <c r="A840" t="s">
        <v>418</v>
      </c>
      <c r="B840">
        <v>2011</v>
      </c>
      <c r="C840" t="s">
        <v>363</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Data_Completeness(LifeExpectancyData[[#This Row],[Life expectancy]:[Schooling]])</f>
        <v>0</v>
      </c>
    </row>
    <row r="841" spans="1:23" x14ac:dyDescent="0.25">
      <c r="A841" t="s">
        <v>418</v>
      </c>
      <c r="B841">
        <v>2010</v>
      </c>
      <c r="C841" t="s">
        <v>363</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Data_Completeness(LifeExpectancyData[[#This Row],[Life expectancy]:[Schooling]])</f>
        <v>0</v>
      </c>
    </row>
    <row r="842" spans="1:23" x14ac:dyDescent="0.25">
      <c r="A842" t="s">
        <v>418</v>
      </c>
      <c r="B842">
        <v>2009</v>
      </c>
      <c r="C842" t="s">
        <v>363</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Data_Completeness(LifeExpectancyData[[#This Row],[Life expectancy]:[Schooling]])</f>
        <v>0</v>
      </c>
    </row>
    <row r="843" spans="1:23" x14ac:dyDescent="0.25">
      <c r="A843" t="s">
        <v>418</v>
      </c>
      <c r="B843">
        <v>2008</v>
      </c>
      <c r="C843" t="s">
        <v>363</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Data_Completeness(LifeExpectancyData[[#This Row],[Life expectancy]:[Schooling]])</f>
        <v>0</v>
      </c>
    </row>
    <row r="844" spans="1:23" x14ac:dyDescent="0.25">
      <c r="A844" t="s">
        <v>418</v>
      </c>
      <c r="B844">
        <v>2007</v>
      </c>
      <c r="C844" t="s">
        <v>363</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Data_Completeness(LifeExpectancyData[[#This Row],[Life expectancy]:[Schooling]])</f>
        <v>0</v>
      </c>
    </row>
    <row r="845" spans="1:23" x14ac:dyDescent="0.25">
      <c r="A845" t="s">
        <v>418</v>
      </c>
      <c r="B845">
        <v>2006</v>
      </c>
      <c r="C845" t="s">
        <v>363</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Data_Completeness(LifeExpectancyData[[#This Row],[Life expectancy]:[Schooling]])</f>
        <v>0</v>
      </c>
    </row>
    <row r="846" spans="1:23" x14ac:dyDescent="0.25">
      <c r="A846" t="s">
        <v>418</v>
      </c>
      <c r="B846">
        <v>2005</v>
      </c>
      <c r="C846" t="s">
        <v>363</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Data_Completeness(LifeExpectancyData[[#This Row],[Life expectancy]:[Schooling]])</f>
        <v>0</v>
      </c>
    </row>
    <row r="847" spans="1:23" x14ac:dyDescent="0.25">
      <c r="A847" t="s">
        <v>418</v>
      </c>
      <c r="B847">
        <v>2004</v>
      </c>
      <c r="C847" t="s">
        <v>363</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Data_Completeness(LifeExpectancyData[[#This Row],[Life expectancy]:[Schooling]])</f>
        <v>0</v>
      </c>
    </row>
    <row r="848" spans="1:23" x14ac:dyDescent="0.25">
      <c r="A848" t="s">
        <v>418</v>
      </c>
      <c r="B848">
        <v>2003</v>
      </c>
      <c r="C848" t="s">
        <v>363</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Data_Completeness(LifeExpectancyData[[#This Row],[Life expectancy]:[Schooling]])</f>
        <v>0</v>
      </c>
    </row>
    <row r="849" spans="1:23" x14ac:dyDescent="0.25">
      <c r="A849" t="s">
        <v>418</v>
      </c>
      <c r="B849">
        <v>2002</v>
      </c>
      <c r="C849" t="s">
        <v>363</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Data_Completeness(LifeExpectancyData[[#This Row],[Life expectancy]:[Schooling]])</f>
        <v>0</v>
      </c>
    </row>
    <row r="850" spans="1:23" x14ac:dyDescent="0.25">
      <c r="A850" t="s">
        <v>418</v>
      </c>
      <c r="B850">
        <v>2001</v>
      </c>
      <c r="C850" t="s">
        <v>363</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Data_Completeness(LifeExpectancyData[[#This Row],[Life expectancy]:[Schooling]])</f>
        <v>0</v>
      </c>
    </row>
    <row r="851" spans="1:23" x14ac:dyDescent="0.25">
      <c r="A851" t="s">
        <v>418</v>
      </c>
      <c r="B851">
        <v>2000</v>
      </c>
      <c r="C851" t="s">
        <v>363</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Data_Completeness(LifeExpectancyData[[#This Row],[Life expectancy]:[Schooling]])</f>
        <v>0</v>
      </c>
    </row>
    <row r="852" spans="1:23" x14ac:dyDescent="0.25">
      <c r="A852" t="s">
        <v>419</v>
      </c>
      <c r="B852">
        <v>2015</v>
      </c>
      <c r="C852" t="s">
        <v>363</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Data_Completeness(LifeExpectancyData[[#This Row],[Life expectancy]:[Schooling]])</f>
        <v>0</v>
      </c>
    </row>
    <row r="853" spans="1:23" x14ac:dyDescent="0.25">
      <c r="A853" t="s">
        <v>419</v>
      </c>
      <c r="B853">
        <v>2014</v>
      </c>
      <c r="C853" t="s">
        <v>363</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Data_Completeness(LifeExpectancyData[[#This Row],[Life expectancy]:[Schooling]])</f>
        <v>0</v>
      </c>
    </row>
    <row r="854" spans="1:23" x14ac:dyDescent="0.25">
      <c r="A854" t="s">
        <v>419</v>
      </c>
      <c r="B854">
        <v>2013</v>
      </c>
      <c r="C854" t="s">
        <v>363</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Data_Completeness(LifeExpectancyData[[#This Row],[Life expectancy]:[Schooling]])</f>
        <v>0</v>
      </c>
    </row>
    <row r="855" spans="1:23" x14ac:dyDescent="0.25">
      <c r="A855" t="s">
        <v>419</v>
      </c>
      <c r="B855">
        <v>2012</v>
      </c>
      <c r="C855" t="s">
        <v>363</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Data_Completeness(LifeExpectancyData[[#This Row],[Life expectancy]:[Schooling]])</f>
        <v>0</v>
      </c>
    </row>
    <row r="856" spans="1:23" x14ac:dyDescent="0.25">
      <c r="A856" t="s">
        <v>419</v>
      </c>
      <c r="B856">
        <v>2011</v>
      </c>
      <c r="C856" t="s">
        <v>363</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Data_Completeness(LifeExpectancyData[[#This Row],[Life expectancy]:[Schooling]])</f>
        <v>1</v>
      </c>
    </row>
    <row r="857" spans="1:23" x14ac:dyDescent="0.25">
      <c r="A857" t="s">
        <v>419</v>
      </c>
      <c r="B857">
        <v>2010</v>
      </c>
      <c r="C857" t="s">
        <v>363</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Data_Completeness(LifeExpectancyData[[#This Row],[Life expectancy]:[Schooling]])</f>
        <v>1</v>
      </c>
    </row>
    <row r="858" spans="1:23" x14ac:dyDescent="0.25">
      <c r="A858" t="s">
        <v>419</v>
      </c>
      <c r="B858">
        <v>2009</v>
      </c>
      <c r="C858" t="s">
        <v>363</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Data_Completeness(LifeExpectancyData[[#This Row],[Life expectancy]:[Schooling]])</f>
        <v>1</v>
      </c>
    </row>
    <row r="859" spans="1:23" x14ac:dyDescent="0.25">
      <c r="A859" t="s">
        <v>419</v>
      </c>
      <c r="B859">
        <v>2008</v>
      </c>
      <c r="C859" t="s">
        <v>363</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Data_Completeness(LifeExpectancyData[[#This Row],[Life expectancy]:[Schooling]])</f>
        <v>1</v>
      </c>
    </row>
    <row r="860" spans="1:23" x14ac:dyDescent="0.25">
      <c r="A860" t="s">
        <v>419</v>
      </c>
      <c r="B860">
        <v>2007</v>
      </c>
      <c r="C860" t="s">
        <v>363</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Data_Completeness(LifeExpectancyData[[#This Row],[Life expectancy]:[Schooling]])</f>
        <v>1</v>
      </c>
    </row>
    <row r="861" spans="1:23" x14ac:dyDescent="0.25">
      <c r="A861" t="s">
        <v>419</v>
      </c>
      <c r="B861">
        <v>2006</v>
      </c>
      <c r="C861" t="s">
        <v>363</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Data_Completeness(LifeExpectancyData[[#This Row],[Life expectancy]:[Schooling]])</f>
        <v>1</v>
      </c>
    </row>
    <row r="862" spans="1:23" x14ac:dyDescent="0.25">
      <c r="A862" t="s">
        <v>419</v>
      </c>
      <c r="B862">
        <v>2005</v>
      </c>
      <c r="C862" t="s">
        <v>363</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Data_Completeness(LifeExpectancyData[[#This Row],[Life expectancy]:[Schooling]])</f>
        <v>1</v>
      </c>
    </row>
    <row r="863" spans="1:23" x14ac:dyDescent="0.25">
      <c r="A863" t="s">
        <v>419</v>
      </c>
      <c r="B863">
        <v>2004</v>
      </c>
      <c r="C863" t="s">
        <v>363</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Data_Completeness(LifeExpectancyData[[#This Row],[Life expectancy]:[Schooling]])</f>
        <v>1</v>
      </c>
    </row>
    <row r="864" spans="1:23" x14ac:dyDescent="0.25">
      <c r="A864" t="s">
        <v>419</v>
      </c>
      <c r="B864">
        <v>2003</v>
      </c>
      <c r="C864" t="s">
        <v>363</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Data_Completeness(LifeExpectancyData[[#This Row],[Life expectancy]:[Schooling]])</f>
        <v>1</v>
      </c>
    </row>
    <row r="865" spans="1:23" x14ac:dyDescent="0.25">
      <c r="A865" t="s">
        <v>419</v>
      </c>
      <c r="B865">
        <v>2002</v>
      </c>
      <c r="C865" t="s">
        <v>363</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Data_Completeness(LifeExpectancyData[[#This Row],[Life expectancy]:[Schooling]])</f>
        <v>1</v>
      </c>
    </row>
    <row r="866" spans="1:23" x14ac:dyDescent="0.25">
      <c r="A866" t="s">
        <v>419</v>
      </c>
      <c r="B866">
        <v>2001</v>
      </c>
      <c r="C866" t="s">
        <v>363</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Data_Completeness(LifeExpectancyData[[#This Row],[Life expectancy]:[Schooling]])</f>
        <v>0</v>
      </c>
    </row>
    <row r="867" spans="1:23" x14ac:dyDescent="0.25">
      <c r="A867" t="s">
        <v>419</v>
      </c>
      <c r="B867">
        <v>2000</v>
      </c>
      <c r="C867" t="s">
        <v>363</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Data_Completeness(LifeExpectancyData[[#This Row],[Life expectancy]:[Schooling]])</f>
        <v>0</v>
      </c>
    </row>
    <row r="868" spans="1:23" x14ac:dyDescent="0.25">
      <c r="A868" t="s">
        <v>420</v>
      </c>
      <c r="B868">
        <v>2015</v>
      </c>
      <c r="C868" t="s">
        <v>363</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Data_Completeness(LifeExpectancyData[[#This Row],[Life expectancy]:[Schooling]])</f>
        <v>0</v>
      </c>
    </row>
    <row r="869" spans="1:23" x14ac:dyDescent="0.25">
      <c r="A869" t="s">
        <v>420</v>
      </c>
      <c r="B869">
        <v>2014</v>
      </c>
      <c r="C869" t="s">
        <v>363</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Data_Completeness(LifeExpectancyData[[#This Row],[Life expectancy]:[Schooling]])</f>
        <v>1</v>
      </c>
    </row>
    <row r="870" spans="1:23" x14ac:dyDescent="0.25">
      <c r="A870" t="s">
        <v>420</v>
      </c>
      <c r="B870">
        <v>2013</v>
      </c>
      <c r="C870" t="s">
        <v>363</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Data_Completeness(LifeExpectancyData[[#This Row],[Life expectancy]:[Schooling]])</f>
        <v>1</v>
      </c>
    </row>
    <row r="871" spans="1:23" x14ac:dyDescent="0.25">
      <c r="A871" t="s">
        <v>420</v>
      </c>
      <c r="B871">
        <v>2012</v>
      </c>
      <c r="C871" t="s">
        <v>363</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Data_Completeness(LifeExpectancyData[[#This Row],[Life expectancy]:[Schooling]])</f>
        <v>1</v>
      </c>
    </row>
    <row r="872" spans="1:23" x14ac:dyDescent="0.25">
      <c r="A872" t="s">
        <v>420</v>
      </c>
      <c r="B872">
        <v>2011</v>
      </c>
      <c r="C872" t="s">
        <v>363</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Data_Completeness(LifeExpectancyData[[#This Row],[Life expectancy]:[Schooling]])</f>
        <v>1</v>
      </c>
    </row>
    <row r="873" spans="1:23" x14ac:dyDescent="0.25">
      <c r="A873" t="s">
        <v>420</v>
      </c>
      <c r="B873">
        <v>2010</v>
      </c>
      <c r="C873" t="s">
        <v>363</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Data_Completeness(LifeExpectancyData[[#This Row],[Life expectancy]:[Schooling]])</f>
        <v>1</v>
      </c>
    </row>
    <row r="874" spans="1:23" x14ac:dyDescent="0.25">
      <c r="A874" t="s">
        <v>420</v>
      </c>
      <c r="B874">
        <v>2009</v>
      </c>
      <c r="C874" t="s">
        <v>363</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Data_Completeness(LifeExpectancyData[[#This Row],[Life expectancy]:[Schooling]])</f>
        <v>1</v>
      </c>
    </row>
    <row r="875" spans="1:23" x14ac:dyDescent="0.25">
      <c r="A875" t="s">
        <v>420</v>
      </c>
      <c r="B875">
        <v>2008</v>
      </c>
      <c r="C875" t="s">
        <v>363</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Data_Completeness(LifeExpectancyData[[#This Row],[Life expectancy]:[Schooling]])</f>
        <v>1</v>
      </c>
    </row>
    <row r="876" spans="1:23" x14ac:dyDescent="0.25">
      <c r="A876" t="s">
        <v>420</v>
      </c>
      <c r="B876">
        <v>2007</v>
      </c>
      <c r="C876" t="s">
        <v>363</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Data_Completeness(LifeExpectancyData[[#This Row],[Life expectancy]:[Schooling]])</f>
        <v>1</v>
      </c>
    </row>
    <row r="877" spans="1:23" x14ac:dyDescent="0.25">
      <c r="A877" t="s">
        <v>420</v>
      </c>
      <c r="B877">
        <v>2006</v>
      </c>
      <c r="C877" t="s">
        <v>363</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Data_Completeness(LifeExpectancyData[[#This Row],[Life expectancy]:[Schooling]])</f>
        <v>1</v>
      </c>
    </row>
    <row r="878" spans="1:23" x14ac:dyDescent="0.25">
      <c r="A878" t="s">
        <v>420</v>
      </c>
      <c r="B878">
        <v>2005</v>
      </c>
      <c r="C878" t="s">
        <v>363</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Data_Completeness(LifeExpectancyData[[#This Row],[Life expectancy]:[Schooling]])</f>
        <v>1</v>
      </c>
    </row>
    <row r="879" spans="1:23" x14ac:dyDescent="0.25">
      <c r="A879" t="s">
        <v>420</v>
      </c>
      <c r="B879">
        <v>2004</v>
      </c>
      <c r="C879" t="s">
        <v>363</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Data_Completeness(LifeExpectancyData[[#This Row],[Life expectancy]:[Schooling]])</f>
        <v>1</v>
      </c>
    </row>
    <row r="880" spans="1:23" x14ac:dyDescent="0.25">
      <c r="A880" t="s">
        <v>420</v>
      </c>
      <c r="B880">
        <v>2003</v>
      </c>
      <c r="C880" t="s">
        <v>363</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Data_Completeness(LifeExpectancyData[[#This Row],[Life expectancy]:[Schooling]])</f>
        <v>0</v>
      </c>
    </row>
    <row r="881" spans="1:23" x14ac:dyDescent="0.25">
      <c r="A881" t="s">
        <v>420</v>
      </c>
      <c r="B881">
        <v>2002</v>
      </c>
      <c r="C881" t="s">
        <v>363</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Data_Completeness(LifeExpectancyData[[#This Row],[Life expectancy]:[Schooling]])</f>
        <v>0</v>
      </c>
    </row>
    <row r="882" spans="1:23" x14ac:dyDescent="0.25">
      <c r="A882" t="s">
        <v>420</v>
      </c>
      <c r="B882">
        <v>2001</v>
      </c>
      <c r="C882" t="s">
        <v>363</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Data_Completeness(LifeExpectancyData[[#This Row],[Life expectancy]:[Schooling]])</f>
        <v>0</v>
      </c>
    </row>
    <row r="883" spans="1:23" x14ac:dyDescent="0.25">
      <c r="A883" t="s">
        <v>420</v>
      </c>
      <c r="B883">
        <v>2000</v>
      </c>
      <c r="C883" t="s">
        <v>363</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Data_Completeness(LifeExpectancyData[[#This Row],[Life expectancy]:[Schooling]])</f>
        <v>0</v>
      </c>
    </row>
    <row r="884" spans="1:23" x14ac:dyDescent="0.25">
      <c r="A884" t="s">
        <v>421</v>
      </c>
      <c r="B884">
        <v>2015</v>
      </c>
      <c r="C884" t="s">
        <v>363</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Data_Completeness(LifeExpectancyData[[#This Row],[Life expectancy]:[Schooling]])</f>
        <v>0</v>
      </c>
    </row>
    <row r="885" spans="1:23" x14ac:dyDescent="0.25">
      <c r="A885" t="s">
        <v>421</v>
      </c>
      <c r="B885">
        <v>2014</v>
      </c>
      <c r="C885" t="s">
        <v>363</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Data_Completeness(LifeExpectancyData[[#This Row],[Life expectancy]:[Schooling]])</f>
        <v>1</v>
      </c>
    </row>
    <row r="886" spans="1:23" x14ac:dyDescent="0.25">
      <c r="A886" t="s">
        <v>421</v>
      </c>
      <c r="B886">
        <v>2013</v>
      </c>
      <c r="C886" t="s">
        <v>363</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Data_Completeness(LifeExpectancyData[[#This Row],[Life expectancy]:[Schooling]])</f>
        <v>1</v>
      </c>
    </row>
    <row r="887" spans="1:23" x14ac:dyDescent="0.25">
      <c r="A887" t="s">
        <v>421</v>
      </c>
      <c r="B887">
        <v>2012</v>
      </c>
      <c r="C887" t="s">
        <v>363</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Data_Completeness(LifeExpectancyData[[#This Row],[Life expectancy]:[Schooling]])</f>
        <v>1</v>
      </c>
    </row>
    <row r="888" spans="1:23" x14ac:dyDescent="0.25">
      <c r="A888" t="s">
        <v>421</v>
      </c>
      <c r="B888">
        <v>2011</v>
      </c>
      <c r="C888" t="s">
        <v>363</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Data_Completeness(LifeExpectancyData[[#This Row],[Life expectancy]:[Schooling]])</f>
        <v>1</v>
      </c>
    </row>
    <row r="889" spans="1:23" x14ac:dyDescent="0.25">
      <c r="A889" t="s">
        <v>421</v>
      </c>
      <c r="B889">
        <v>2010</v>
      </c>
      <c r="C889" t="s">
        <v>363</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Data_Completeness(LifeExpectancyData[[#This Row],[Life expectancy]:[Schooling]])</f>
        <v>1</v>
      </c>
    </row>
    <row r="890" spans="1:23" x14ac:dyDescent="0.25">
      <c r="A890" t="s">
        <v>421</v>
      </c>
      <c r="B890">
        <v>2009</v>
      </c>
      <c r="C890" t="s">
        <v>363</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Data_Completeness(LifeExpectancyData[[#This Row],[Life expectancy]:[Schooling]])</f>
        <v>1</v>
      </c>
    </row>
    <row r="891" spans="1:23" x14ac:dyDescent="0.25">
      <c r="A891" t="s">
        <v>421</v>
      </c>
      <c r="B891">
        <v>2008</v>
      </c>
      <c r="C891" t="s">
        <v>363</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Data_Completeness(LifeExpectancyData[[#This Row],[Life expectancy]:[Schooling]])</f>
        <v>1</v>
      </c>
    </row>
    <row r="892" spans="1:23" x14ac:dyDescent="0.25">
      <c r="A892" t="s">
        <v>421</v>
      </c>
      <c r="B892">
        <v>2007</v>
      </c>
      <c r="C892" t="s">
        <v>363</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Data_Completeness(LifeExpectancyData[[#This Row],[Life expectancy]:[Schooling]])</f>
        <v>1</v>
      </c>
    </row>
    <row r="893" spans="1:23" x14ac:dyDescent="0.25">
      <c r="A893" t="s">
        <v>421</v>
      </c>
      <c r="B893">
        <v>2006</v>
      </c>
      <c r="C893" t="s">
        <v>363</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Data_Completeness(LifeExpectancyData[[#This Row],[Life expectancy]:[Schooling]])</f>
        <v>0</v>
      </c>
    </row>
    <row r="894" spans="1:23" x14ac:dyDescent="0.25">
      <c r="A894" t="s">
        <v>421</v>
      </c>
      <c r="B894">
        <v>2005</v>
      </c>
      <c r="C894" t="s">
        <v>363</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Data_Completeness(LifeExpectancyData[[#This Row],[Life expectancy]:[Schooling]])</f>
        <v>0</v>
      </c>
    </row>
    <row r="895" spans="1:23" x14ac:dyDescent="0.25">
      <c r="A895" t="s">
        <v>421</v>
      </c>
      <c r="B895">
        <v>2004</v>
      </c>
      <c r="C895" t="s">
        <v>363</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Data_Completeness(LifeExpectancyData[[#This Row],[Life expectancy]:[Schooling]])</f>
        <v>0</v>
      </c>
    </row>
    <row r="896" spans="1:23" x14ac:dyDescent="0.25">
      <c r="A896" t="s">
        <v>421</v>
      </c>
      <c r="B896">
        <v>2003</v>
      </c>
      <c r="C896" t="s">
        <v>363</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Data_Completeness(LifeExpectancyData[[#This Row],[Life expectancy]:[Schooling]])</f>
        <v>0</v>
      </c>
    </row>
    <row r="897" spans="1:23" x14ac:dyDescent="0.25">
      <c r="A897" t="s">
        <v>421</v>
      </c>
      <c r="B897">
        <v>2002</v>
      </c>
      <c r="C897" t="s">
        <v>363</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Data_Completeness(LifeExpectancyData[[#This Row],[Life expectancy]:[Schooling]])</f>
        <v>0</v>
      </c>
    </row>
    <row r="898" spans="1:23" x14ac:dyDescent="0.25">
      <c r="A898" t="s">
        <v>421</v>
      </c>
      <c r="B898">
        <v>2001</v>
      </c>
      <c r="C898" t="s">
        <v>363</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Data_Completeness(LifeExpectancyData[[#This Row],[Life expectancy]:[Schooling]])</f>
        <v>0</v>
      </c>
    </row>
    <row r="899" spans="1:23" x14ac:dyDescent="0.25">
      <c r="A899" t="s">
        <v>421</v>
      </c>
      <c r="B899">
        <v>2000</v>
      </c>
      <c r="C899" t="s">
        <v>363</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Data_Completeness(LifeExpectancyData[[#This Row],[Life expectancy]:[Schooling]])</f>
        <v>0</v>
      </c>
    </row>
    <row r="900" spans="1:23" x14ac:dyDescent="0.25">
      <c r="A900" t="s">
        <v>422</v>
      </c>
      <c r="B900">
        <v>2015</v>
      </c>
      <c r="C900" t="s">
        <v>363</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Data_Completeness(LifeExpectancyData[[#This Row],[Life expectancy]:[Schooling]])</f>
        <v>0</v>
      </c>
    </row>
    <row r="901" spans="1:23" x14ac:dyDescent="0.25">
      <c r="A901" t="s">
        <v>422</v>
      </c>
      <c r="B901">
        <v>2014</v>
      </c>
      <c r="C901" t="s">
        <v>363</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Data_Completeness(LifeExpectancyData[[#This Row],[Life expectancy]:[Schooling]])</f>
        <v>1</v>
      </c>
    </row>
    <row r="902" spans="1:23" x14ac:dyDescent="0.25">
      <c r="A902" t="s">
        <v>422</v>
      </c>
      <c r="B902">
        <v>2013</v>
      </c>
      <c r="C902" t="s">
        <v>363</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Data_Completeness(LifeExpectancyData[[#This Row],[Life expectancy]:[Schooling]])</f>
        <v>1</v>
      </c>
    </row>
    <row r="903" spans="1:23" x14ac:dyDescent="0.25">
      <c r="A903" t="s">
        <v>422</v>
      </c>
      <c r="B903">
        <v>2012</v>
      </c>
      <c r="C903" t="s">
        <v>363</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Data_Completeness(LifeExpectancyData[[#This Row],[Life expectancy]:[Schooling]])</f>
        <v>1</v>
      </c>
    </row>
    <row r="904" spans="1:23" x14ac:dyDescent="0.25">
      <c r="A904" t="s">
        <v>422</v>
      </c>
      <c r="B904">
        <v>2011</v>
      </c>
      <c r="C904" t="s">
        <v>363</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Data_Completeness(LifeExpectancyData[[#This Row],[Life expectancy]:[Schooling]])</f>
        <v>1</v>
      </c>
    </row>
    <row r="905" spans="1:23" x14ac:dyDescent="0.25">
      <c r="A905" t="s">
        <v>422</v>
      </c>
      <c r="B905">
        <v>2010</v>
      </c>
      <c r="C905" t="s">
        <v>363</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Data_Completeness(LifeExpectancyData[[#This Row],[Life expectancy]:[Schooling]])</f>
        <v>1</v>
      </c>
    </row>
    <row r="906" spans="1:23" x14ac:dyDescent="0.25">
      <c r="A906" t="s">
        <v>422</v>
      </c>
      <c r="B906">
        <v>2009</v>
      </c>
      <c r="C906" t="s">
        <v>363</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Data_Completeness(LifeExpectancyData[[#This Row],[Life expectancy]:[Schooling]])</f>
        <v>1</v>
      </c>
    </row>
    <row r="907" spans="1:23" x14ac:dyDescent="0.25">
      <c r="A907" t="s">
        <v>422</v>
      </c>
      <c r="B907">
        <v>2008</v>
      </c>
      <c r="C907" t="s">
        <v>363</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Data_Completeness(LifeExpectancyData[[#This Row],[Life expectancy]:[Schooling]])</f>
        <v>1</v>
      </c>
    </row>
    <row r="908" spans="1:23" x14ac:dyDescent="0.25">
      <c r="A908" t="s">
        <v>422</v>
      </c>
      <c r="B908">
        <v>2007</v>
      </c>
      <c r="C908" t="s">
        <v>363</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Data_Completeness(LifeExpectancyData[[#This Row],[Life expectancy]:[Schooling]])</f>
        <v>1</v>
      </c>
    </row>
    <row r="909" spans="1:23" x14ac:dyDescent="0.25">
      <c r="A909" t="s">
        <v>422</v>
      </c>
      <c r="B909">
        <v>2006</v>
      </c>
      <c r="C909" t="s">
        <v>363</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Data_Completeness(LifeExpectancyData[[#This Row],[Life expectancy]:[Schooling]])</f>
        <v>1</v>
      </c>
    </row>
    <row r="910" spans="1:23" x14ac:dyDescent="0.25">
      <c r="A910" t="s">
        <v>422</v>
      </c>
      <c r="B910">
        <v>2005</v>
      </c>
      <c r="C910" t="s">
        <v>363</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Data_Completeness(LifeExpectancyData[[#This Row],[Life expectancy]:[Schooling]])</f>
        <v>1</v>
      </c>
    </row>
    <row r="911" spans="1:23" x14ac:dyDescent="0.25">
      <c r="A911" t="s">
        <v>422</v>
      </c>
      <c r="B911">
        <v>2004</v>
      </c>
      <c r="C911" t="s">
        <v>363</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Data_Completeness(LifeExpectancyData[[#This Row],[Life expectancy]:[Schooling]])</f>
        <v>1</v>
      </c>
    </row>
    <row r="912" spans="1:23" x14ac:dyDescent="0.25">
      <c r="A912" t="s">
        <v>422</v>
      </c>
      <c r="B912">
        <v>2003</v>
      </c>
      <c r="C912" t="s">
        <v>363</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Data_Completeness(LifeExpectancyData[[#This Row],[Life expectancy]:[Schooling]])</f>
        <v>1</v>
      </c>
    </row>
    <row r="913" spans="1:23" x14ac:dyDescent="0.25">
      <c r="A913" t="s">
        <v>422</v>
      </c>
      <c r="B913">
        <v>2002</v>
      </c>
      <c r="C913" t="s">
        <v>363</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Data_Completeness(LifeExpectancyData[[#This Row],[Life expectancy]:[Schooling]])</f>
        <v>1</v>
      </c>
    </row>
    <row r="914" spans="1:23" x14ac:dyDescent="0.25">
      <c r="A914" t="s">
        <v>422</v>
      </c>
      <c r="B914">
        <v>2001</v>
      </c>
      <c r="C914" t="s">
        <v>363</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Data_Completeness(LifeExpectancyData[[#This Row],[Life expectancy]:[Schooling]])</f>
        <v>1</v>
      </c>
    </row>
    <row r="915" spans="1:23" x14ac:dyDescent="0.25">
      <c r="A915" t="s">
        <v>422</v>
      </c>
      <c r="B915">
        <v>2000</v>
      </c>
      <c r="C915" t="s">
        <v>363</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Data_Completeness(LifeExpectancyData[[#This Row],[Life expectancy]:[Schooling]])</f>
        <v>1</v>
      </c>
    </row>
    <row r="916" spans="1:23" x14ac:dyDescent="0.25">
      <c r="A916" t="s">
        <v>423</v>
      </c>
      <c r="B916">
        <v>2015</v>
      </c>
      <c r="C916" t="s">
        <v>363</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Data_Completeness(LifeExpectancyData[[#This Row],[Life expectancy]:[Schooling]])</f>
        <v>0</v>
      </c>
    </row>
    <row r="917" spans="1:23" x14ac:dyDescent="0.25">
      <c r="A917" t="s">
        <v>423</v>
      </c>
      <c r="B917">
        <v>2014</v>
      </c>
      <c r="C917" t="s">
        <v>363</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Data_Completeness(LifeExpectancyData[[#This Row],[Life expectancy]:[Schooling]])</f>
        <v>0</v>
      </c>
    </row>
    <row r="918" spans="1:23" x14ac:dyDescent="0.25">
      <c r="A918" t="s">
        <v>423</v>
      </c>
      <c r="B918">
        <v>2013</v>
      </c>
      <c r="C918" t="s">
        <v>363</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Data_Completeness(LifeExpectancyData[[#This Row],[Life expectancy]:[Schooling]])</f>
        <v>0</v>
      </c>
    </row>
    <row r="919" spans="1:23" x14ac:dyDescent="0.25">
      <c r="A919" t="s">
        <v>423</v>
      </c>
      <c r="B919">
        <v>2012</v>
      </c>
      <c r="C919" t="s">
        <v>363</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Data_Completeness(LifeExpectancyData[[#This Row],[Life expectancy]:[Schooling]])</f>
        <v>0</v>
      </c>
    </row>
    <row r="920" spans="1:23" x14ac:dyDescent="0.25">
      <c r="A920" t="s">
        <v>423</v>
      </c>
      <c r="B920">
        <v>2011</v>
      </c>
      <c r="C920" t="s">
        <v>363</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Data_Completeness(LifeExpectancyData[[#This Row],[Life expectancy]:[Schooling]])</f>
        <v>0</v>
      </c>
    </row>
    <row r="921" spans="1:23" x14ac:dyDescent="0.25">
      <c r="A921" t="s">
        <v>423</v>
      </c>
      <c r="B921">
        <v>2010</v>
      </c>
      <c r="C921" t="s">
        <v>363</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Data_Completeness(LifeExpectancyData[[#This Row],[Life expectancy]:[Schooling]])</f>
        <v>0</v>
      </c>
    </row>
    <row r="922" spans="1:23" x14ac:dyDescent="0.25">
      <c r="A922" t="s">
        <v>423</v>
      </c>
      <c r="B922">
        <v>2009</v>
      </c>
      <c r="C922" t="s">
        <v>363</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Data_Completeness(LifeExpectancyData[[#This Row],[Life expectancy]:[Schooling]])</f>
        <v>0</v>
      </c>
    </row>
    <row r="923" spans="1:23" x14ac:dyDescent="0.25">
      <c r="A923" t="s">
        <v>423</v>
      </c>
      <c r="B923">
        <v>2008</v>
      </c>
      <c r="C923" t="s">
        <v>363</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Data_Completeness(LifeExpectancyData[[#This Row],[Life expectancy]:[Schooling]])</f>
        <v>0</v>
      </c>
    </row>
    <row r="924" spans="1:23" x14ac:dyDescent="0.25">
      <c r="A924" t="s">
        <v>423</v>
      </c>
      <c r="B924">
        <v>2007</v>
      </c>
      <c r="C924" t="s">
        <v>363</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Data_Completeness(LifeExpectancyData[[#This Row],[Life expectancy]:[Schooling]])</f>
        <v>0</v>
      </c>
    </row>
    <row r="925" spans="1:23" x14ac:dyDescent="0.25">
      <c r="A925" t="s">
        <v>423</v>
      </c>
      <c r="B925">
        <v>2006</v>
      </c>
      <c r="C925" t="s">
        <v>363</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Data_Completeness(LifeExpectancyData[[#This Row],[Life expectancy]:[Schooling]])</f>
        <v>0</v>
      </c>
    </row>
    <row r="926" spans="1:23" x14ac:dyDescent="0.25">
      <c r="A926" t="s">
        <v>423</v>
      </c>
      <c r="B926">
        <v>2005</v>
      </c>
      <c r="C926" t="s">
        <v>363</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Data_Completeness(LifeExpectancyData[[#This Row],[Life expectancy]:[Schooling]])</f>
        <v>0</v>
      </c>
    </row>
    <row r="927" spans="1:23" x14ac:dyDescent="0.25">
      <c r="A927" t="s">
        <v>423</v>
      </c>
      <c r="B927">
        <v>2004</v>
      </c>
      <c r="C927" t="s">
        <v>363</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Data_Completeness(LifeExpectancyData[[#This Row],[Life expectancy]:[Schooling]])</f>
        <v>0</v>
      </c>
    </row>
    <row r="928" spans="1:23" x14ac:dyDescent="0.25">
      <c r="A928" t="s">
        <v>423</v>
      </c>
      <c r="B928">
        <v>2003</v>
      </c>
      <c r="C928" t="s">
        <v>363</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Data_Completeness(LifeExpectancyData[[#This Row],[Life expectancy]:[Schooling]])</f>
        <v>0</v>
      </c>
    </row>
    <row r="929" spans="1:23" x14ac:dyDescent="0.25">
      <c r="A929" t="s">
        <v>423</v>
      </c>
      <c r="B929">
        <v>2002</v>
      </c>
      <c r="C929" t="s">
        <v>363</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Data_Completeness(LifeExpectancyData[[#This Row],[Life expectancy]:[Schooling]])</f>
        <v>0</v>
      </c>
    </row>
    <row r="930" spans="1:23" x14ac:dyDescent="0.25">
      <c r="A930" t="s">
        <v>423</v>
      </c>
      <c r="B930">
        <v>2001</v>
      </c>
      <c r="C930" t="s">
        <v>363</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Data_Completeness(LifeExpectancyData[[#This Row],[Life expectancy]:[Schooling]])</f>
        <v>0</v>
      </c>
    </row>
    <row r="931" spans="1:23" x14ac:dyDescent="0.25">
      <c r="A931" t="s">
        <v>423</v>
      </c>
      <c r="B931">
        <v>2000</v>
      </c>
      <c r="C931" t="s">
        <v>363</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Data_Completeness(LifeExpectancyData[[#This Row],[Life expectancy]:[Schooling]])</f>
        <v>0</v>
      </c>
    </row>
    <row r="932" spans="1:23" x14ac:dyDescent="0.25">
      <c r="A932" t="s">
        <v>424</v>
      </c>
      <c r="B932">
        <v>2015</v>
      </c>
      <c r="C932" t="s">
        <v>363</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Data_Completeness(LifeExpectancyData[[#This Row],[Life expectancy]:[Schooling]])</f>
        <v>0</v>
      </c>
    </row>
    <row r="933" spans="1:23" x14ac:dyDescent="0.25">
      <c r="A933" t="s">
        <v>424</v>
      </c>
      <c r="B933">
        <v>2014</v>
      </c>
      <c r="C933" t="s">
        <v>363</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Data_Completeness(LifeExpectancyData[[#This Row],[Life expectancy]:[Schooling]])</f>
        <v>1</v>
      </c>
    </row>
    <row r="934" spans="1:23" x14ac:dyDescent="0.25">
      <c r="A934" t="s">
        <v>424</v>
      </c>
      <c r="B934">
        <v>2013</v>
      </c>
      <c r="C934" t="s">
        <v>363</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Data_Completeness(LifeExpectancyData[[#This Row],[Life expectancy]:[Schooling]])</f>
        <v>1</v>
      </c>
    </row>
    <row r="935" spans="1:23" x14ac:dyDescent="0.25">
      <c r="A935" t="s">
        <v>424</v>
      </c>
      <c r="B935">
        <v>2012</v>
      </c>
      <c r="C935" t="s">
        <v>363</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Data_Completeness(LifeExpectancyData[[#This Row],[Life expectancy]:[Schooling]])</f>
        <v>1</v>
      </c>
    </row>
    <row r="936" spans="1:23" x14ac:dyDescent="0.25">
      <c r="A936" t="s">
        <v>424</v>
      </c>
      <c r="B936">
        <v>2011</v>
      </c>
      <c r="C936" t="s">
        <v>363</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Data_Completeness(LifeExpectancyData[[#This Row],[Life expectancy]:[Schooling]])</f>
        <v>1</v>
      </c>
    </row>
    <row r="937" spans="1:23" x14ac:dyDescent="0.25">
      <c r="A937" t="s">
        <v>424</v>
      </c>
      <c r="B937">
        <v>2010</v>
      </c>
      <c r="C937" t="s">
        <v>363</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Data_Completeness(LifeExpectancyData[[#This Row],[Life expectancy]:[Schooling]])</f>
        <v>1</v>
      </c>
    </row>
    <row r="938" spans="1:23" x14ac:dyDescent="0.25">
      <c r="A938" t="s">
        <v>424</v>
      </c>
      <c r="B938">
        <v>2009</v>
      </c>
      <c r="C938" t="s">
        <v>363</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Data_Completeness(LifeExpectancyData[[#This Row],[Life expectancy]:[Schooling]])</f>
        <v>1</v>
      </c>
    </row>
    <row r="939" spans="1:23" x14ac:dyDescent="0.25">
      <c r="A939" t="s">
        <v>424</v>
      </c>
      <c r="B939">
        <v>2008</v>
      </c>
      <c r="C939" t="s">
        <v>363</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Data_Completeness(LifeExpectancyData[[#This Row],[Life expectancy]:[Schooling]])</f>
        <v>1</v>
      </c>
    </row>
    <row r="940" spans="1:23" x14ac:dyDescent="0.25">
      <c r="A940" t="s">
        <v>424</v>
      </c>
      <c r="B940">
        <v>2007</v>
      </c>
      <c r="C940" t="s">
        <v>363</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Data_Completeness(LifeExpectancyData[[#This Row],[Life expectancy]:[Schooling]])</f>
        <v>1</v>
      </c>
    </row>
    <row r="941" spans="1:23" x14ac:dyDescent="0.25">
      <c r="A941" t="s">
        <v>424</v>
      </c>
      <c r="B941">
        <v>2006</v>
      </c>
      <c r="C941" t="s">
        <v>363</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Data_Completeness(LifeExpectancyData[[#This Row],[Life expectancy]:[Schooling]])</f>
        <v>1</v>
      </c>
    </row>
    <row r="942" spans="1:23" x14ac:dyDescent="0.25">
      <c r="A942" t="s">
        <v>424</v>
      </c>
      <c r="B942">
        <v>2005</v>
      </c>
      <c r="C942" t="s">
        <v>363</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Data_Completeness(LifeExpectancyData[[#This Row],[Life expectancy]:[Schooling]])</f>
        <v>1</v>
      </c>
    </row>
    <row r="943" spans="1:23" x14ac:dyDescent="0.25">
      <c r="A943" t="s">
        <v>424</v>
      </c>
      <c r="B943">
        <v>2004</v>
      </c>
      <c r="C943" t="s">
        <v>363</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Data_Completeness(LifeExpectancyData[[#This Row],[Life expectancy]:[Schooling]])</f>
        <v>1</v>
      </c>
    </row>
    <row r="944" spans="1:23" x14ac:dyDescent="0.25">
      <c r="A944" t="s">
        <v>424</v>
      </c>
      <c r="B944">
        <v>2003</v>
      </c>
      <c r="C944" t="s">
        <v>363</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Data_Completeness(LifeExpectancyData[[#This Row],[Life expectancy]:[Schooling]])</f>
        <v>1</v>
      </c>
    </row>
    <row r="945" spans="1:23" x14ac:dyDescent="0.25">
      <c r="A945" t="s">
        <v>424</v>
      </c>
      <c r="B945">
        <v>2002</v>
      </c>
      <c r="C945" t="s">
        <v>363</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Data_Completeness(LifeExpectancyData[[#This Row],[Life expectancy]:[Schooling]])</f>
        <v>1</v>
      </c>
    </row>
    <row r="946" spans="1:23" x14ac:dyDescent="0.25">
      <c r="A946" t="s">
        <v>424</v>
      </c>
      <c r="B946">
        <v>2001</v>
      </c>
      <c r="C946" t="s">
        <v>363</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Data_Completeness(LifeExpectancyData[[#This Row],[Life expectancy]:[Schooling]])</f>
        <v>1</v>
      </c>
    </row>
    <row r="947" spans="1:23" x14ac:dyDescent="0.25">
      <c r="A947" t="s">
        <v>424</v>
      </c>
      <c r="B947">
        <v>2000</v>
      </c>
      <c r="C947" t="s">
        <v>363</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Data_Completeness(LifeExpectancyData[[#This Row],[Life expectancy]:[Schooling]])</f>
        <v>1</v>
      </c>
    </row>
    <row r="948" spans="1:23" x14ac:dyDescent="0.25">
      <c r="A948" t="s">
        <v>425</v>
      </c>
      <c r="B948">
        <v>2015</v>
      </c>
      <c r="C948" t="s">
        <v>363</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Data_Completeness(LifeExpectancyData[[#This Row],[Life expectancy]:[Schooling]])</f>
        <v>0</v>
      </c>
    </row>
    <row r="949" spans="1:23" x14ac:dyDescent="0.25">
      <c r="A949" t="s">
        <v>425</v>
      </c>
      <c r="B949">
        <v>2014</v>
      </c>
      <c r="C949" t="s">
        <v>363</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Data_Completeness(LifeExpectancyData[[#This Row],[Life expectancy]:[Schooling]])</f>
        <v>1</v>
      </c>
    </row>
    <row r="950" spans="1:23" x14ac:dyDescent="0.25">
      <c r="A950" t="s">
        <v>425</v>
      </c>
      <c r="B950">
        <v>2013</v>
      </c>
      <c r="C950" t="s">
        <v>363</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Data_Completeness(LifeExpectancyData[[#This Row],[Life expectancy]:[Schooling]])</f>
        <v>1</v>
      </c>
    </row>
    <row r="951" spans="1:23" x14ac:dyDescent="0.25">
      <c r="A951" t="s">
        <v>425</v>
      </c>
      <c r="B951">
        <v>2012</v>
      </c>
      <c r="C951" t="s">
        <v>363</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Data_Completeness(LifeExpectancyData[[#This Row],[Life expectancy]:[Schooling]])</f>
        <v>1</v>
      </c>
    </row>
    <row r="952" spans="1:23" x14ac:dyDescent="0.25">
      <c r="A952" t="s">
        <v>425</v>
      </c>
      <c r="B952">
        <v>2011</v>
      </c>
      <c r="C952" t="s">
        <v>363</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Data_Completeness(LifeExpectancyData[[#This Row],[Life expectancy]:[Schooling]])</f>
        <v>1</v>
      </c>
    </row>
    <row r="953" spans="1:23" x14ac:dyDescent="0.25">
      <c r="A953" t="s">
        <v>425</v>
      </c>
      <c r="B953">
        <v>2010</v>
      </c>
      <c r="C953" t="s">
        <v>363</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Data_Completeness(LifeExpectancyData[[#This Row],[Life expectancy]:[Schooling]])</f>
        <v>1</v>
      </c>
    </row>
    <row r="954" spans="1:23" x14ac:dyDescent="0.25">
      <c r="A954" t="s">
        <v>425</v>
      </c>
      <c r="B954">
        <v>2009</v>
      </c>
      <c r="C954" t="s">
        <v>363</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Data_Completeness(LifeExpectancyData[[#This Row],[Life expectancy]:[Schooling]])</f>
        <v>1</v>
      </c>
    </row>
    <row r="955" spans="1:23" x14ac:dyDescent="0.25">
      <c r="A955" t="s">
        <v>425</v>
      </c>
      <c r="B955">
        <v>2008</v>
      </c>
      <c r="C955" t="s">
        <v>363</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Data_Completeness(LifeExpectancyData[[#This Row],[Life expectancy]:[Schooling]])</f>
        <v>1</v>
      </c>
    </row>
    <row r="956" spans="1:23" x14ac:dyDescent="0.25">
      <c r="A956" t="s">
        <v>425</v>
      </c>
      <c r="B956">
        <v>2007</v>
      </c>
      <c r="C956" t="s">
        <v>363</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Data_Completeness(LifeExpectancyData[[#This Row],[Life expectancy]:[Schooling]])</f>
        <v>1</v>
      </c>
    </row>
    <row r="957" spans="1:23" x14ac:dyDescent="0.25">
      <c r="A957" t="s">
        <v>425</v>
      </c>
      <c r="B957">
        <v>2006</v>
      </c>
      <c r="C957" t="s">
        <v>363</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Data_Completeness(LifeExpectancyData[[#This Row],[Life expectancy]:[Schooling]])</f>
        <v>1</v>
      </c>
    </row>
    <row r="958" spans="1:23" x14ac:dyDescent="0.25">
      <c r="A958" t="s">
        <v>425</v>
      </c>
      <c r="B958">
        <v>2005</v>
      </c>
      <c r="C958" t="s">
        <v>363</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Data_Completeness(LifeExpectancyData[[#This Row],[Life expectancy]:[Schooling]])</f>
        <v>1</v>
      </c>
    </row>
    <row r="959" spans="1:23" x14ac:dyDescent="0.25">
      <c r="A959" t="s">
        <v>425</v>
      </c>
      <c r="B959">
        <v>2004</v>
      </c>
      <c r="C959" t="s">
        <v>363</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Data_Completeness(LifeExpectancyData[[#This Row],[Life expectancy]:[Schooling]])</f>
        <v>0</v>
      </c>
    </row>
    <row r="960" spans="1:23" x14ac:dyDescent="0.25">
      <c r="A960" t="s">
        <v>425</v>
      </c>
      <c r="B960">
        <v>2003</v>
      </c>
      <c r="C960" t="s">
        <v>363</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Data_Completeness(LifeExpectancyData[[#This Row],[Life expectancy]:[Schooling]])</f>
        <v>0</v>
      </c>
    </row>
    <row r="961" spans="1:23" x14ac:dyDescent="0.25">
      <c r="A961" t="s">
        <v>425</v>
      </c>
      <c r="B961">
        <v>2002</v>
      </c>
      <c r="C961" t="s">
        <v>363</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Data_Completeness(LifeExpectancyData[[#This Row],[Life expectancy]:[Schooling]])</f>
        <v>0</v>
      </c>
    </row>
    <row r="962" spans="1:23" x14ac:dyDescent="0.25">
      <c r="A962" t="s">
        <v>425</v>
      </c>
      <c r="B962">
        <v>2001</v>
      </c>
      <c r="C962" t="s">
        <v>363</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Data_Completeness(LifeExpectancyData[[#This Row],[Life expectancy]:[Schooling]])</f>
        <v>0</v>
      </c>
    </row>
    <row r="963" spans="1:23" x14ac:dyDescent="0.25">
      <c r="A963" t="s">
        <v>425</v>
      </c>
      <c r="B963">
        <v>2000</v>
      </c>
      <c r="C963" t="s">
        <v>363</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Data_Completeness(LifeExpectancyData[[#This Row],[Life expectancy]:[Schooling]])</f>
        <v>0</v>
      </c>
    </row>
    <row r="964" spans="1:23" x14ac:dyDescent="0.25">
      <c r="A964" t="s">
        <v>426</v>
      </c>
      <c r="B964">
        <v>2015</v>
      </c>
      <c r="C964" t="s">
        <v>363</v>
      </c>
      <c r="D964">
        <v>61.1</v>
      </c>
      <c r="E964">
        <v>262</v>
      </c>
      <c r="F964">
        <v>3</v>
      </c>
      <c r="H964">
        <v>0</v>
      </c>
      <c r="I964">
        <v>97</v>
      </c>
      <c r="J964">
        <v>71</v>
      </c>
      <c r="K964">
        <v>27.3</v>
      </c>
      <c r="L964">
        <v>5</v>
      </c>
      <c r="M964">
        <v>96</v>
      </c>
      <c r="O964">
        <v>97</v>
      </c>
      <c r="P964">
        <v>1.7</v>
      </c>
      <c r="S964">
        <v>7.3</v>
      </c>
      <c r="T964">
        <v>7.2</v>
      </c>
      <c r="U964">
        <v>0.45</v>
      </c>
      <c r="V964">
        <v>8.9</v>
      </c>
      <c r="W964" t="b">
        <f>Data_Completeness(LifeExpectancyData[[#This Row],[Life expectancy]:[Schooling]])</f>
        <v>0</v>
      </c>
    </row>
    <row r="965" spans="1:23" x14ac:dyDescent="0.25">
      <c r="A965" t="s">
        <v>426</v>
      </c>
      <c r="B965">
        <v>2014</v>
      </c>
      <c r="C965" t="s">
        <v>363</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Data_Completeness(LifeExpectancyData[[#This Row],[Life expectancy]:[Schooling]])</f>
        <v>0</v>
      </c>
    </row>
    <row r="966" spans="1:23" x14ac:dyDescent="0.25">
      <c r="A966" t="s">
        <v>426</v>
      </c>
      <c r="B966">
        <v>2013</v>
      </c>
      <c r="C966" t="s">
        <v>363</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Data_Completeness(LifeExpectancyData[[#This Row],[Life expectancy]:[Schooling]])</f>
        <v>0</v>
      </c>
    </row>
    <row r="967" spans="1:23" x14ac:dyDescent="0.25">
      <c r="A967" t="s">
        <v>426</v>
      </c>
      <c r="B967">
        <v>2012</v>
      </c>
      <c r="C967" t="s">
        <v>363</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Data_Completeness(LifeExpectancyData[[#This Row],[Life expectancy]:[Schooling]])</f>
        <v>0</v>
      </c>
    </row>
    <row r="968" spans="1:23" x14ac:dyDescent="0.25">
      <c r="A968" t="s">
        <v>426</v>
      </c>
      <c r="B968">
        <v>2011</v>
      </c>
      <c r="C968" t="s">
        <v>363</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Data_Completeness(LifeExpectancyData[[#This Row],[Life expectancy]:[Schooling]])</f>
        <v>0</v>
      </c>
    </row>
    <row r="969" spans="1:23" x14ac:dyDescent="0.25">
      <c r="A969" t="s">
        <v>426</v>
      </c>
      <c r="B969">
        <v>2010</v>
      </c>
      <c r="C969" t="s">
        <v>363</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Data_Completeness(LifeExpectancyData[[#This Row],[Life expectancy]:[Schooling]])</f>
        <v>0</v>
      </c>
    </row>
    <row r="970" spans="1:23" x14ac:dyDescent="0.25">
      <c r="A970" t="s">
        <v>426</v>
      </c>
      <c r="B970">
        <v>2009</v>
      </c>
      <c r="C970" t="s">
        <v>363</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Data_Completeness(LifeExpectancyData[[#This Row],[Life expectancy]:[Schooling]])</f>
        <v>0</v>
      </c>
    </row>
    <row r="971" spans="1:23" x14ac:dyDescent="0.25">
      <c r="A971" t="s">
        <v>426</v>
      </c>
      <c r="B971">
        <v>2008</v>
      </c>
      <c r="C971" t="s">
        <v>363</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Data_Completeness(LifeExpectancyData[[#This Row],[Life expectancy]:[Schooling]])</f>
        <v>0</v>
      </c>
    </row>
    <row r="972" spans="1:23" x14ac:dyDescent="0.25">
      <c r="A972" t="s">
        <v>426</v>
      </c>
      <c r="B972">
        <v>2007</v>
      </c>
      <c r="C972" t="s">
        <v>363</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Data_Completeness(LifeExpectancyData[[#This Row],[Life expectancy]:[Schooling]])</f>
        <v>0</v>
      </c>
    </row>
    <row r="973" spans="1:23" x14ac:dyDescent="0.25">
      <c r="A973" t="s">
        <v>426</v>
      </c>
      <c r="B973">
        <v>2006</v>
      </c>
      <c r="C973" t="s">
        <v>363</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Data_Completeness(LifeExpectancyData[[#This Row],[Life expectancy]:[Schooling]])</f>
        <v>0</v>
      </c>
    </row>
    <row r="974" spans="1:23" x14ac:dyDescent="0.25">
      <c r="A974" t="s">
        <v>426</v>
      </c>
      <c r="B974">
        <v>2005</v>
      </c>
      <c r="C974" t="s">
        <v>363</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Data_Completeness(LifeExpectancyData[[#This Row],[Life expectancy]:[Schooling]])</f>
        <v>0</v>
      </c>
    </row>
    <row r="975" spans="1:23" x14ac:dyDescent="0.25">
      <c r="A975" t="s">
        <v>426</v>
      </c>
      <c r="B975">
        <v>2004</v>
      </c>
      <c r="C975" t="s">
        <v>363</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Data_Completeness(LifeExpectancyData[[#This Row],[Life expectancy]:[Schooling]])</f>
        <v>0</v>
      </c>
    </row>
    <row r="976" spans="1:23" x14ac:dyDescent="0.25">
      <c r="A976" t="s">
        <v>426</v>
      </c>
      <c r="B976">
        <v>2003</v>
      </c>
      <c r="C976" t="s">
        <v>363</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Data_Completeness(LifeExpectancyData[[#This Row],[Life expectancy]:[Schooling]])</f>
        <v>0</v>
      </c>
    </row>
    <row r="977" spans="1:23" x14ac:dyDescent="0.25">
      <c r="A977" t="s">
        <v>426</v>
      </c>
      <c r="B977">
        <v>2002</v>
      </c>
      <c r="C977" t="s">
        <v>363</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Data_Completeness(LifeExpectancyData[[#This Row],[Life expectancy]:[Schooling]])</f>
        <v>0</v>
      </c>
    </row>
    <row r="978" spans="1:23" x14ac:dyDescent="0.25">
      <c r="A978" t="s">
        <v>426</v>
      </c>
      <c r="B978">
        <v>2001</v>
      </c>
      <c r="C978" t="s">
        <v>363</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Data_Completeness(LifeExpectancyData[[#This Row],[Life expectancy]:[Schooling]])</f>
        <v>0</v>
      </c>
    </row>
    <row r="979" spans="1:23" x14ac:dyDescent="0.25">
      <c r="A979" t="s">
        <v>426</v>
      </c>
      <c r="B979">
        <v>2000</v>
      </c>
      <c r="C979" t="s">
        <v>363</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Data_Completeness(LifeExpectancyData[[#This Row],[Life expectancy]:[Schooling]])</f>
        <v>0</v>
      </c>
    </row>
    <row r="980" spans="1:23" x14ac:dyDescent="0.25">
      <c r="A980" t="s">
        <v>427</v>
      </c>
      <c r="B980">
        <v>2015</v>
      </c>
      <c r="C980" t="s">
        <v>363</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Data_Completeness(LifeExpectancyData[[#This Row],[Life expectancy]:[Schooling]])</f>
        <v>0</v>
      </c>
    </row>
    <row r="981" spans="1:23" x14ac:dyDescent="0.25">
      <c r="A981" t="s">
        <v>427</v>
      </c>
      <c r="B981">
        <v>2014</v>
      </c>
      <c r="C981" t="s">
        <v>363</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Data_Completeness(LifeExpectancyData[[#This Row],[Life expectancy]:[Schooling]])</f>
        <v>1</v>
      </c>
    </row>
    <row r="982" spans="1:23" x14ac:dyDescent="0.25">
      <c r="A982" t="s">
        <v>427</v>
      </c>
      <c r="B982">
        <v>2013</v>
      </c>
      <c r="C982" t="s">
        <v>363</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Data_Completeness(LifeExpectancyData[[#This Row],[Life expectancy]:[Schooling]])</f>
        <v>1</v>
      </c>
    </row>
    <row r="983" spans="1:23" x14ac:dyDescent="0.25">
      <c r="A983" t="s">
        <v>427</v>
      </c>
      <c r="B983">
        <v>2012</v>
      </c>
      <c r="C983" t="s">
        <v>363</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Data_Completeness(LifeExpectancyData[[#This Row],[Life expectancy]:[Schooling]])</f>
        <v>1</v>
      </c>
    </row>
    <row r="984" spans="1:23" x14ac:dyDescent="0.25">
      <c r="A984" t="s">
        <v>427</v>
      </c>
      <c r="B984">
        <v>2011</v>
      </c>
      <c r="C984" t="s">
        <v>363</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Data_Completeness(LifeExpectancyData[[#This Row],[Life expectancy]:[Schooling]])</f>
        <v>1</v>
      </c>
    </row>
    <row r="985" spans="1:23" x14ac:dyDescent="0.25">
      <c r="A985" t="s">
        <v>427</v>
      </c>
      <c r="B985">
        <v>2010</v>
      </c>
      <c r="C985" t="s">
        <v>363</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Data_Completeness(LifeExpectancyData[[#This Row],[Life expectancy]:[Schooling]])</f>
        <v>1</v>
      </c>
    </row>
    <row r="986" spans="1:23" x14ac:dyDescent="0.25">
      <c r="A986" t="s">
        <v>427</v>
      </c>
      <c r="B986">
        <v>2009</v>
      </c>
      <c r="C986" t="s">
        <v>363</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Data_Completeness(LifeExpectancyData[[#This Row],[Life expectancy]:[Schooling]])</f>
        <v>1</v>
      </c>
    </row>
    <row r="987" spans="1:23" x14ac:dyDescent="0.25">
      <c r="A987" t="s">
        <v>427</v>
      </c>
      <c r="B987">
        <v>2008</v>
      </c>
      <c r="C987" t="s">
        <v>363</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Data_Completeness(LifeExpectancyData[[#This Row],[Life expectancy]:[Schooling]])</f>
        <v>1</v>
      </c>
    </row>
    <row r="988" spans="1:23" x14ac:dyDescent="0.25">
      <c r="A988" t="s">
        <v>427</v>
      </c>
      <c r="B988">
        <v>2007</v>
      </c>
      <c r="C988" t="s">
        <v>363</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Data_Completeness(LifeExpectancyData[[#This Row],[Life expectancy]:[Schooling]])</f>
        <v>1</v>
      </c>
    </row>
    <row r="989" spans="1:23" x14ac:dyDescent="0.25">
      <c r="A989" t="s">
        <v>427</v>
      </c>
      <c r="B989">
        <v>2006</v>
      </c>
      <c r="C989" t="s">
        <v>363</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Data_Completeness(LifeExpectancyData[[#This Row],[Life expectancy]:[Schooling]])</f>
        <v>1</v>
      </c>
    </row>
    <row r="990" spans="1:23" x14ac:dyDescent="0.25">
      <c r="A990" t="s">
        <v>427</v>
      </c>
      <c r="B990">
        <v>2005</v>
      </c>
      <c r="C990" t="s">
        <v>363</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Data_Completeness(LifeExpectancyData[[#This Row],[Life expectancy]:[Schooling]])</f>
        <v>1</v>
      </c>
    </row>
    <row r="991" spans="1:23" x14ac:dyDescent="0.25">
      <c r="A991" t="s">
        <v>427</v>
      </c>
      <c r="B991">
        <v>2004</v>
      </c>
      <c r="C991" t="s">
        <v>363</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Data_Completeness(LifeExpectancyData[[#This Row],[Life expectancy]:[Schooling]])</f>
        <v>1</v>
      </c>
    </row>
    <row r="992" spans="1:23" x14ac:dyDescent="0.25">
      <c r="A992" t="s">
        <v>427</v>
      </c>
      <c r="B992">
        <v>2003</v>
      </c>
      <c r="C992" t="s">
        <v>363</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Data_Completeness(LifeExpectancyData[[#This Row],[Life expectancy]:[Schooling]])</f>
        <v>1</v>
      </c>
    </row>
    <row r="993" spans="1:23" x14ac:dyDescent="0.25">
      <c r="A993" t="s">
        <v>427</v>
      </c>
      <c r="B993">
        <v>2002</v>
      </c>
      <c r="C993" t="s">
        <v>363</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Data_Completeness(LifeExpectancyData[[#This Row],[Life expectancy]:[Schooling]])</f>
        <v>1</v>
      </c>
    </row>
    <row r="994" spans="1:23" x14ac:dyDescent="0.25">
      <c r="A994" t="s">
        <v>427</v>
      </c>
      <c r="B994">
        <v>2001</v>
      </c>
      <c r="C994" t="s">
        <v>363</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Data_Completeness(LifeExpectancyData[[#This Row],[Life expectancy]:[Schooling]])</f>
        <v>1</v>
      </c>
    </row>
    <row r="995" spans="1:23" x14ac:dyDescent="0.25">
      <c r="A995" t="s">
        <v>427</v>
      </c>
      <c r="B995">
        <v>2000</v>
      </c>
      <c r="C995" t="s">
        <v>363</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Data_Completeness(LifeExpectancyData[[#This Row],[Life expectancy]:[Schooling]])</f>
        <v>1</v>
      </c>
    </row>
    <row r="996" spans="1:23" x14ac:dyDescent="0.25">
      <c r="A996" t="s">
        <v>428</v>
      </c>
      <c r="B996">
        <v>2015</v>
      </c>
      <c r="C996" t="s">
        <v>371</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Data_Completeness(LifeExpectancyData[[#This Row],[Life expectancy]:[Schooling]])</f>
        <v>0</v>
      </c>
    </row>
    <row r="997" spans="1:23" x14ac:dyDescent="0.25">
      <c r="A997" t="s">
        <v>428</v>
      </c>
      <c r="B997">
        <v>2014</v>
      </c>
      <c r="C997" t="s">
        <v>371</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Data_Completeness(LifeExpectancyData[[#This Row],[Life expectancy]:[Schooling]])</f>
        <v>1</v>
      </c>
    </row>
    <row r="998" spans="1:23" x14ac:dyDescent="0.25">
      <c r="A998" t="s">
        <v>428</v>
      </c>
      <c r="B998">
        <v>2013</v>
      </c>
      <c r="C998" t="s">
        <v>371</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Data_Completeness(LifeExpectancyData[[#This Row],[Life expectancy]:[Schooling]])</f>
        <v>1</v>
      </c>
    </row>
    <row r="999" spans="1:23" x14ac:dyDescent="0.25">
      <c r="A999" t="s">
        <v>428</v>
      </c>
      <c r="B999">
        <v>2012</v>
      </c>
      <c r="C999" t="s">
        <v>371</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Data_Completeness(LifeExpectancyData[[#This Row],[Life expectancy]:[Schooling]])</f>
        <v>1</v>
      </c>
    </row>
    <row r="1000" spans="1:23" x14ac:dyDescent="0.25">
      <c r="A1000" t="s">
        <v>428</v>
      </c>
      <c r="B1000">
        <v>2011</v>
      </c>
      <c r="C1000" t="s">
        <v>371</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Data_Completeness(LifeExpectancyData[[#This Row],[Life expectancy]:[Schooling]])</f>
        <v>1</v>
      </c>
    </row>
    <row r="1001" spans="1:23" x14ac:dyDescent="0.25">
      <c r="A1001" t="s">
        <v>428</v>
      </c>
      <c r="B1001">
        <v>2010</v>
      </c>
      <c r="C1001" t="s">
        <v>371</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Data_Completeness(LifeExpectancyData[[#This Row],[Life expectancy]:[Schooling]])</f>
        <v>1</v>
      </c>
    </row>
    <row r="1002" spans="1:23" x14ac:dyDescent="0.25">
      <c r="A1002" t="s">
        <v>428</v>
      </c>
      <c r="B1002">
        <v>2009</v>
      </c>
      <c r="C1002" t="s">
        <v>371</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Data_Completeness(LifeExpectancyData[[#This Row],[Life expectancy]:[Schooling]])</f>
        <v>1</v>
      </c>
    </row>
    <row r="1003" spans="1:23" x14ac:dyDescent="0.25">
      <c r="A1003" t="s">
        <v>428</v>
      </c>
      <c r="B1003">
        <v>2008</v>
      </c>
      <c r="C1003" t="s">
        <v>371</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Data_Completeness(LifeExpectancyData[[#This Row],[Life expectancy]:[Schooling]])</f>
        <v>1</v>
      </c>
    </row>
    <row r="1004" spans="1:23" x14ac:dyDescent="0.25">
      <c r="A1004" t="s">
        <v>428</v>
      </c>
      <c r="B1004">
        <v>2007</v>
      </c>
      <c r="C1004" t="s">
        <v>371</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Data_Completeness(LifeExpectancyData[[#This Row],[Life expectancy]:[Schooling]])</f>
        <v>1</v>
      </c>
    </row>
    <row r="1005" spans="1:23" x14ac:dyDescent="0.25">
      <c r="A1005" t="s">
        <v>428</v>
      </c>
      <c r="B1005">
        <v>2006</v>
      </c>
      <c r="C1005" t="s">
        <v>371</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Data_Completeness(LifeExpectancyData[[#This Row],[Life expectancy]:[Schooling]])</f>
        <v>1</v>
      </c>
    </row>
    <row r="1006" spans="1:23" x14ac:dyDescent="0.25">
      <c r="A1006" t="s">
        <v>428</v>
      </c>
      <c r="B1006">
        <v>2005</v>
      </c>
      <c r="C1006" t="s">
        <v>371</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Data_Completeness(LifeExpectancyData[[#This Row],[Life expectancy]:[Schooling]])</f>
        <v>1</v>
      </c>
    </row>
    <row r="1007" spans="1:23" x14ac:dyDescent="0.25">
      <c r="A1007" t="s">
        <v>428</v>
      </c>
      <c r="B1007">
        <v>2004</v>
      </c>
      <c r="C1007" t="s">
        <v>371</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Data_Completeness(LifeExpectancyData[[#This Row],[Life expectancy]:[Schooling]])</f>
        <v>1</v>
      </c>
    </row>
    <row r="1008" spans="1:23" x14ac:dyDescent="0.25">
      <c r="A1008" t="s">
        <v>428</v>
      </c>
      <c r="B1008">
        <v>2003</v>
      </c>
      <c r="C1008" t="s">
        <v>371</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Data_Completeness(LifeExpectancyData[[#This Row],[Life expectancy]:[Schooling]])</f>
        <v>1</v>
      </c>
    </row>
    <row r="1009" spans="1:23" x14ac:dyDescent="0.25">
      <c r="A1009" t="s">
        <v>428</v>
      </c>
      <c r="B1009">
        <v>2002</v>
      </c>
      <c r="C1009" t="s">
        <v>371</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Data_Completeness(LifeExpectancyData[[#This Row],[Life expectancy]:[Schooling]])</f>
        <v>1</v>
      </c>
    </row>
    <row r="1010" spans="1:23" x14ac:dyDescent="0.25">
      <c r="A1010" t="s">
        <v>428</v>
      </c>
      <c r="B1010">
        <v>2001</v>
      </c>
      <c r="C1010" t="s">
        <v>371</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Data_Completeness(LifeExpectancyData[[#This Row],[Life expectancy]:[Schooling]])</f>
        <v>1</v>
      </c>
    </row>
    <row r="1011" spans="1:23" x14ac:dyDescent="0.25">
      <c r="A1011" t="s">
        <v>428</v>
      </c>
      <c r="B1011">
        <v>2000</v>
      </c>
      <c r="C1011" t="s">
        <v>371</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Data_Completeness(LifeExpectancyData[[#This Row],[Life expectancy]:[Schooling]])</f>
        <v>1</v>
      </c>
    </row>
    <row r="1012" spans="1:23" x14ac:dyDescent="0.25">
      <c r="A1012" t="s">
        <v>429</v>
      </c>
      <c r="B1012">
        <v>2015</v>
      </c>
      <c r="C1012" t="s">
        <v>363</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Data_Completeness(LifeExpectancyData[[#This Row],[Life expectancy]:[Schooling]])</f>
        <v>0</v>
      </c>
    </row>
    <row r="1013" spans="1:23" x14ac:dyDescent="0.25">
      <c r="A1013" t="s">
        <v>429</v>
      </c>
      <c r="B1013">
        <v>2014</v>
      </c>
      <c r="C1013" t="s">
        <v>363</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Data_Completeness(LifeExpectancyData[[#This Row],[Life expectancy]:[Schooling]])</f>
        <v>1</v>
      </c>
    </row>
    <row r="1014" spans="1:23" x14ac:dyDescent="0.25">
      <c r="A1014" t="s">
        <v>429</v>
      </c>
      <c r="B1014">
        <v>2013</v>
      </c>
      <c r="C1014" t="s">
        <v>363</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Data_Completeness(LifeExpectancyData[[#This Row],[Life expectancy]:[Schooling]])</f>
        <v>1</v>
      </c>
    </row>
    <row r="1015" spans="1:23" x14ac:dyDescent="0.25">
      <c r="A1015" t="s">
        <v>429</v>
      </c>
      <c r="B1015">
        <v>2012</v>
      </c>
      <c r="C1015" t="s">
        <v>363</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Data_Completeness(LifeExpectancyData[[#This Row],[Life expectancy]:[Schooling]])</f>
        <v>1</v>
      </c>
    </row>
    <row r="1016" spans="1:23" x14ac:dyDescent="0.25">
      <c r="A1016" t="s">
        <v>429</v>
      </c>
      <c r="B1016">
        <v>2011</v>
      </c>
      <c r="C1016" t="s">
        <v>363</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Data_Completeness(LifeExpectancyData[[#This Row],[Life expectancy]:[Schooling]])</f>
        <v>1</v>
      </c>
    </row>
    <row r="1017" spans="1:23" x14ac:dyDescent="0.25">
      <c r="A1017" t="s">
        <v>429</v>
      </c>
      <c r="B1017">
        <v>2010</v>
      </c>
      <c r="C1017" t="s">
        <v>363</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Data_Completeness(LifeExpectancyData[[#This Row],[Life expectancy]:[Schooling]])</f>
        <v>1</v>
      </c>
    </row>
    <row r="1018" spans="1:23" x14ac:dyDescent="0.25">
      <c r="A1018" t="s">
        <v>429</v>
      </c>
      <c r="B1018">
        <v>2009</v>
      </c>
      <c r="C1018" t="s">
        <v>363</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Data_Completeness(LifeExpectancyData[[#This Row],[Life expectancy]:[Schooling]])</f>
        <v>1</v>
      </c>
    </row>
    <row r="1019" spans="1:23" x14ac:dyDescent="0.25">
      <c r="A1019" t="s">
        <v>429</v>
      </c>
      <c r="B1019">
        <v>2008</v>
      </c>
      <c r="C1019" t="s">
        <v>363</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Data_Completeness(LifeExpectancyData[[#This Row],[Life expectancy]:[Schooling]])</f>
        <v>1</v>
      </c>
    </row>
    <row r="1020" spans="1:23" x14ac:dyDescent="0.25">
      <c r="A1020" t="s">
        <v>429</v>
      </c>
      <c r="B1020">
        <v>2007</v>
      </c>
      <c r="C1020" t="s">
        <v>363</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Data_Completeness(LifeExpectancyData[[#This Row],[Life expectancy]:[Schooling]])</f>
        <v>1</v>
      </c>
    </row>
    <row r="1021" spans="1:23" x14ac:dyDescent="0.25">
      <c r="A1021" t="s">
        <v>429</v>
      </c>
      <c r="B1021">
        <v>2006</v>
      </c>
      <c r="C1021" t="s">
        <v>363</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Data_Completeness(LifeExpectancyData[[#This Row],[Life expectancy]:[Schooling]])</f>
        <v>1</v>
      </c>
    </row>
    <row r="1022" spans="1:23" x14ac:dyDescent="0.25">
      <c r="A1022" t="s">
        <v>429</v>
      </c>
      <c r="B1022">
        <v>2005</v>
      </c>
      <c r="C1022" t="s">
        <v>363</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Data_Completeness(LifeExpectancyData[[#This Row],[Life expectancy]:[Schooling]])</f>
        <v>1</v>
      </c>
    </row>
    <row r="1023" spans="1:23" x14ac:dyDescent="0.25">
      <c r="A1023" t="s">
        <v>429</v>
      </c>
      <c r="B1023">
        <v>2004</v>
      </c>
      <c r="C1023" t="s">
        <v>363</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Data_Completeness(LifeExpectancyData[[#This Row],[Life expectancy]:[Schooling]])</f>
        <v>1</v>
      </c>
    </row>
    <row r="1024" spans="1:23" x14ac:dyDescent="0.25">
      <c r="A1024" t="s">
        <v>429</v>
      </c>
      <c r="B1024">
        <v>2003</v>
      </c>
      <c r="C1024" t="s">
        <v>363</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Data_Completeness(LifeExpectancyData[[#This Row],[Life expectancy]:[Schooling]])</f>
        <v>1</v>
      </c>
    </row>
    <row r="1025" spans="1:23" x14ac:dyDescent="0.25">
      <c r="A1025" t="s">
        <v>429</v>
      </c>
      <c r="B1025">
        <v>2002</v>
      </c>
      <c r="C1025" t="s">
        <v>363</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Data_Completeness(LifeExpectancyData[[#This Row],[Life expectancy]:[Schooling]])</f>
        <v>1</v>
      </c>
    </row>
    <row r="1026" spans="1:23" x14ac:dyDescent="0.25">
      <c r="A1026" t="s">
        <v>429</v>
      </c>
      <c r="B1026">
        <v>2001</v>
      </c>
      <c r="C1026" t="s">
        <v>363</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Data_Completeness(LifeExpectancyData[[#This Row],[Life expectancy]:[Schooling]])</f>
        <v>0</v>
      </c>
    </row>
    <row r="1027" spans="1:23" x14ac:dyDescent="0.25">
      <c r="A1027" t="s">
        <v>429</v>
      </c>
      <c r="B1027">
        <v>2000</v>
      </c>
      <c r="C1027" t="s">
        <v>363</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Data_Completeness(LifeExpectancyData[[#This Row],[Life expectancy]:[Schooling]])</f>
        <v>0</v>
      </c>
    </row>
    <row r="1028" spans="1:23" x14ac:dyDescent="0.25">
      <c r="A1028" t="s">
        <v>430</v>
      </c>
      <c r="B1028">
        <v>2015</v>
      </c>
      <c r="C1028" t="s">
        <v>363</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Data_Completeness(LifeExpectancyData[[#This Row],[Life expectancy]:[Schooling]])</f>
        <v>0</v>
      </c>
    </row>
    <row r="1029" spans="1:23" x14ac:dyDescent="0.25">
      <c r="A1029" t="s">
        <v>430</v>
      </c>
      <c r="B1029">
        <v>2014</v>
      </c>
      <c r="C1029" t="s">
        <v>363</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Data_Completeness(LifeExpectancyData[[#This Row],[Life expectancy]:[Schooling]])</f>
        <v>1</v>
      </c>
    </row>
    <row r="1030" spans="1:23" x14ac:dyDescent="0.25">
      <c r="A1030" t="s">
        <v>430</v>
      </c>
      <c r="B1030">
        <v>2013</v>
      </c>
      <c r="C1030" t="s">
        <v>363</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Data_Completeness(LifeExpectancyData[[#This Row],[Life expectancy]:[Schooling]])</f>
        <v>1</v>
      </c>
    </row>
    <row r="1031" spans="1:23" x14ac:dyDescent="0.25">
      <c r="A1031" t="s">
        <v>430</v>
      </c>
      <c r="B1031">
        <v>2012</v>
      </c>
      <c r="C1031" t="s">
        <v>363</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Data_Completeness(LifeExpectancyData[[#This Row],[Life expectancy]:[Schooling]])</f>
        <v>1</v>
      </c>
    </row>
    <row r="1032" spans="1:23" x14ac:dyDescent="0.25">
      <c r="A1032" t="s">
        <v>430</v>
      </c>
      <c r="B1032">
        <v>2011</v>
      </c>
      <c r="C1032" t="s">
        <v>363</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Data_Completeness(LifeExpectancyData[[#This Row],[Life expectancy]:[Schooling]])</f>
        <v>1</v>
      </c>
    </row>
    <row r="1033" spans="1:23" x14ac:dyDescent="0.25">
      <c r="A1033" t="s">
        <v>430</v>
      </c>
      <c r="B1033">
        <v>2010</v>
      </c>
      <c r="C1033" t="s">
        <v>363</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Data_Completeness(LifeExpectancyData[[#This Row],[Life expectancy]:[Schooling]])</f>
        <v>1</v>
      </c>
    </row>
    <row r="1034" spans="1:23" x14ac:dyDescent="0.25">
      <c r="A1034" t="s">
        <v>430</v>
      </c>
      <c r="B1034">
        <v>2009</v>
      </c>
      <c r="C1034" t="s">
        <v>363</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Data_Completeness(LifeExpectancyData[[#This Row],[Life expectancy]:[Schooling]])</f>
        <v>1</v>
      </c>
    </row>
    <row r="1035" spans="1:23" x14ac:dyDescent="0.25">
      <c r="A1035" t="s">
        <v>430</v>
      </c>
      <c r="B1035">
        <v>2008</v>
      </c>
      <c r="C1035" t="s">
        <v>363</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Data_Completeness(LifeExpectancyData[[#This Row],[Life expectancy]:[Schooling]])</f>
        <v>1</v>
      </c>
    </row>
    <row r="1036" spans="1:23" x14ac:dyDescent="0.25">
      <c r="A1036" t="s">
        <v>430</v>
      </c>
      <c r="B1036">
        <v>2007</v>
      </c>
      <c r="C1036" t="s">
        <v>363</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Data_Completeness(LifeExpectancyData[[#This Row],[Life expectancy]:[Schooling]])</f>
        <v>1</v>
      </c>
    </row>
    <row r="1037" spans="1:23" x14ac:dyDescent="0.25">
      <c r="A1037" t="s">
        <v>430</v>
      </c>
      <c r="B1037">
        <v>2006</v>
      </c>
      <c r="C1037" t="s">
        <v>363</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Data_Completeness(LifeExpectancyData[[#This Row],[Life expectancy]:[Schooling]])</f>
        <v>1</v>
      </c>
    </row>
    <row r="1038" spans="1:23" x14ac:dyDescent="0.25">
      <c r="A1038" t="s">
        <v>430</v>
      </c>
      <c r="B1038">
        <v>2005</v>
      </c>
      <c r="C1038" t="s">
        <v>363</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Data_Completeness(LifeExpectancyData[[#This Row],[Life expectancy]:[Schooling]])</f>
        <v>1</v>
      </c>
    </row>
    <row r="1039" spans="1:23" x14ac:dyDescent="0.25">
      <c r="A1039" t="s">
        <v>430</v>
      </c>
      <c r="B1039">
        <v>2004</v>
      </c>
      <c r="C1039" t="s">
        <v>363</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Data_Completeness(LifeExpectancyData[[#This Row],[Life expectancy]:[Schooling]])</f>
        <v>1</v>
      </c>
    </row>
    <row r="1040" spans="1:23" x14ac:dyDescent="0.25">
      <c r="A1040" t="s">
        <v>430</v>
      </c>
      <c r="B1040">
        <v>2003</v>
      </c>
      <c r="C1040" t="s">
        <v>363</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Data_Completeness(LifeExpectancyData[[#This Row],[Life expectancy]:[Schooling]])</f>
        <v>1</v>
      </c>
    </row>
    <row r="1041" spans="1:23" x14ac:dyDescent="0.25">
      <c r="A1041" t="s">
        <v>430</v>
      </c>
      <c r="B1041">
        <v>2002</v>
      </c>
      <c r="C1041" t="s">
        <v>363</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Data_Completeness(LifeExpectancyData[[#This Row],[Life expectancy]:[Schooling]])</f>
        <v>1</v>
      </c>
    </row>
    <row r="1042" spans="1:23" x14ac:dyDescent="0.25">
      <c r="A1042" t="s">
        <v>430</v>
      </c>
      <c r="B1042">
        <v>2001</v>
      </c>
      <c r="C1042" t="s">
        <v>363</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Data_Completeness(LifeExpectancyData[[#This Row],[Life expectancy]:[Schooling]])</f>
        <v>1</v>
      </c>
    </row>
    <row r="1043" spans="1:23" x14ac:dyDescent="0.25">
      <c r="A1043" t="s">
        <v>430</v>
      </c>
      <c r="B1043">
        <v>2000</v>
      </c>
      <c r="C1043" t="s">
        <v>363</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Data_Completeness(LifeExpectancyData[[#This Row],[Life expectancy]:[Schooling]])</f>
        <v>1</v>
      </c>
    </row>
    <row r="1044" spans="1:23" x14ac:dyDescent="0.25">
      <c r="A1044" t="s">
        <v>431</v>
      </c>
      <c r="B1044">
        <v>2015</v>
      </c>
      <c r="C1044" t="s">
        <v>363</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Data_Completeness(LifeExpectancyData[[#This Row],[Life expectancy]:[Schooling]])</f>
        <v>0</v>
      </c>
    </row>
    <row r="1045" spans="1:23" x14ac:dyDescent="0.25">
      <c r="A1045" t="s">
        <v>431</v>
      </c>
      <c r="B1045">
        <v>2014</v>
      </c>
      <c r="C1045" t="s">
        <v>363</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Data_Completeness(LifeExpectancyData[[#This Row],[Life expectancy]:[Schooling]])</f>
        <v>0</v>
      </c>
    </row>
    <row r="1046" spans="1:23" x14ac:dyDescent="0.25">
      <c r="A1046" t="s">
        <v>431</v>
      </c>
      <c r="B1046">
        <v>2013</v>
      </c>
      <c r="C1046" t="s">
        <v>363</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Data_Completeness(LifeExpectancyData[[#This Row],[Life expectancy]:[Schooling]])</f>
        <v>0</v>
      </c>
    </row>
    <row r="1047" spans="1:23" x14ac:dyDescent="0.25">
      <c r="A1047" t="s">
        <v>431</v>
      </c>
      <c r="B1047">
        <v>2012</v>
      </c>
      <c r="C1047" t="s">
        <v>363</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Data_Completeness(LifeExpectancyData[[#This Row],[Life expectancy]:[Schooling]])</f>
        <v>0</v>
      </c>
    </row>
    <row r="1048" spans="1:23" x14ac:dyDescent="0.25">
      <c r="A1048" t="s">
        <v>431</v>
      </c>
      <c r="B1048">
        <v>2011</v>
      </c>
      <c r="C1048" t="s">
        <v>363</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Data_Completeness(LifeExpectancyData[[#This Row],[Life expectancy]:[Schooling]])</f>
        <v>0</v>
      </c>
    </row>
    <row r="1049" spans="1:23" x14ac:dyDescent="0.25">
      <c r="A1049" t="s">
        <v>431</v>
      </c>
      <c r="B1049">
        <v>2010</v>
      </c>
      <c r="C1049" t="s">
        <v>363</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Data_Completeness(LifeExpectancyData[[#This Row],[Life expectancy]:[Schooling]])</f>
        <v>0</v>
      </c>
    </row>
    <row r="1050" spans="1:23" x14ac:dyDescent="0.25">
      <c r="A1050" t="s">
        <v>431</v>
      </c>
      <c r="B1050">
        <v>2009</v>
      </c>
      <c r="C1050" t="s">
        <v>363</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Data_Completeness(LifeExpectancyData[[#This Row],[Life expectancy]:[Schooling]])</f>
        <v>0</v>
      </c>
    </row>
    <row r="1051" spans="1:23" x14ac:dyDescent="0.25">
      <c r="A1051" t="s">
        <v>431</v>
      </c>
      <c r="B1051">
        <v>2008</v>
      </c>
      <c r="C1051" t="s">
        <v>363</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Data_Completeness(LifeExpectancyData[[#This Row],[Life expectancy]:[Schooling]])</f>
        <v>0</v>
      </c>
    </row>
    <row r="1052" spans="1:23" x14ac:dyDescent="0.25">
      <c r="A1052" t="s">
        <v>431</v>
      </c>
      <c r="B1052">
        <v>2007</v>
      </c>
      <c r="C1052" t="s">
        <v>363</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Data_Completeness(LifeExpectancyData[[#This Row],[Life expectancy]:[Schooling]])</f>
        <v>0</v>
      </c>
    </row>
    <row r="1053" spans="1:23" x14ac:dyDescent="0.25">
      <c r="A1053" t="s">
        <v>431</v>
      </c>
      <c r="B1053">
        <v>2006</v>
      </c>
      <c r="C1053" t="s">
        <v>363</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Data_Completeness(LifeExpectancyData[[#This Row],[Life expectancy]:[Schooling]])</f>
        <v>0</v>
      </c>
    </row>
    <row r="1054" spans="1:23" x14ac:dyDescent="0.25">
      <c r="A1054" t="s">
        <v>431</v>
      </c>
      <c r="B1054">
        <v>2005</v>
      </c>
      <c r="C1054" t="s">
        <v>363</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Data_Completeness(LifeExpectancyData[[#This Row],[Life expectancy]:[Schooling]])</f>
        <v>0</v>
      </c>
    </row>
    <row r="1055" spans="1:23" x14ac:dyDescent="0.25">
      <c r="A1055" t="s">
        <v>431</v>
      </c>
      <c r="B1055">
        <v>2004</v>
      </c>
      <c r="C1055" t="s">
        <v>363</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Data_Completeness(LifeExpectancyData[[#This Row],[Life expectancy]:[Schooling]])</f>
        <v>0</v>
      </c>
    </row>
    <row r="1056" spans="1:23" x14ac:dyDescent="0.25">
      <c r="A1056" t="s">
        <v>431</v>
      </c>
      <c r="B1056">
        <v>2003</v>
      </c>
      <c r="C1056" t="s">
        <v>363</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Data_Completeness(LifeExpectancyData[[#This Row],[Life expectancy]:[Schooling]])</f>
        <v>0</v>
      </c>
    </row>
    <row r="1057" spans="1:23" x14ac:dyDescent="0.25">
      <c r="A1057" t="s">
        <v>431</v>
      </c>
      <c r="B1057">
        <v>2002</v>
      </c>
      <c r="C1057" t="s">
        <v>363</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Data_Completeness(LifeExpectancyData[[#This Row],[Life expectancy]:[Schooling]])</f>
        <v>0</v>
      </c>
    </row>
    <row r="1058" spans="1:23" x14ac:dyDescent="0.25">
      <c r="A1058" t="s">
        <v>431</v>
      </c>
      <c r="B1058">
        <v>2001</v>
      </c>
      <c r="C1058" t="s">
        <v>363</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Data_Completeness(LifeExpectancyData[[#This Row],[Life expectancy]:[Schooling]])</f>
        <v>0</v>
      </c>
    </row>
    <row r="1059" spans="1:23" x14ac:dyDescent="0.25">
      <c r="A1059" t="s">
        <v>431</v>
      </c>
      <c r="B1059">
        <v>2000</v>
      </c>
      <c r="C1059" t="s">
        <v>363</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Data_Completeness(LifeExpectancyData[[#This Row],[Life expectancy]:[Schooling]])</f>
        <v>0</v>
      </c>
    </row>
    <row r="1060" spans="1:23" x14ac:dyDescent="0.25">
      <c r="A1060" t="s">
        <v>432</v>
      </c>
      <c r="B1060">
        <v>2015</v>
      </c>
      <c r="C1060" t="s">
        <v>363</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Data_Completeness(LifeExpectancyData[[#This Row],[Life expectancy]:[Schooling]])</f>
        <v>0</v>
      </c>
    </row>
    <row r="1061" spans="1:23" x14ac:dyDescent="0.25">
      <c r="A1061" t="s">
        <v>432</v>
      </c>
      <c r="B1061">
        <v>2014</v>
      </c>
      <c r="C1061" t="s">
        <v>363</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Data_Completeness(LifeExpectancyData[[#This Row],[Life expectancy]:[Schooling]])</f>
        <v>1</v>
      </c>
    </row>
    <row r="1062" spans="1:23" x14ac:dyDescent="0.25">
      <c r="A1062" t="s">
        <v>432</v>
      </c>
      <c r="B1062">
        <v>2013</v>
      </c>
      <c r="C1062" t="s">
        <v>363</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Data_Completeness(LifeExpectancyData[[#This Row],[Life expectancy]:[Schooling]])</f>
        <v>1</v>
      </c>
    </row>
    <row r="1063" spans="1:23" x14ac:dyDescent="0.25">
      <c r="A1063" t="s">
        <v>432</v>
      </c>
      <c r="B1063">
        <v>2012</v>
      </c>
      <c r="C1063" t="s">
        <v>363</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Data_Completeness(LifeExpectancyData[[#This Row],[Life expectancy]:[Schooling]])</f>
        <v>1</v>
      </c>
    </row>
    <row r="1064" spans="1:23" x14ac:dyDescent="0.25">
      <c r="A1064" t="s">
        <v>432</v>
      </c>
      <c r="B1064">
        <v>2011</v>
      </c>
      <c r="C1064" t="s">
        <v>363</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Data_Completeness(LifeExpectancyData[[#This Row],[Life expectancy]:[Schooling]])</f>
        <v>1</v>
      </c>
    </row>
    <row r="1065" spans="1:23" x14ac:dyDescent="0.25">
      <c r="A1065" t="s">
        <v>432</v>
      </c>
      <c r="B1065">
        <v>2010</v>
      </c>
      <c r="C1065" t="s">
        <v>363</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Data_Completeness(LifeExpectancyData[[#This Row],[Life expectancy]:[Schooling]])</f>
        <v>1</v>
      </c>
    </row>
    <row r="1066" spans="1:23" x14ac:dyDescent="0.25">
      <c r="A1066" t="s">
        <v>432</v>
      </c>
      <c r="B1066">
        <v>2009</v>
      </c>
      <c r="C1066" t="s">
        <v>363</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Data_Completeness(LifeExpectancyData[[#This Row],[Life expectancy]:[Schooling]])</f>
        <v>1</v>
      </c>
    </row>
    <row r="1067" spans="1:23" x14ac:dyDescent="0.25">
      <c r="A1067" t="s">
        <v>432</v>
      </c>
      <c r="B1067">
        <v>2008</v>
      </c>
      <c r="C1067" t="s">
        <v>363</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Data_Completeness(LifeExpectancyData[[#This Row],[Life expectancy]:[Schooling]])</f>
        <v>1</v>
      </c>
    </row>
    <row r="1068" spans="1:23" x14ac:dyDescent="0.25">
      <c r="A1068" t="s">
        <v>432</v>
      </c>
      <c r="B1068">
        <v>2007</v>
      </c>
      <c r="C1068" t="s">
        <v>363</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Data_Completeness(LifeExpectancyData[[#This Row],[Life expectancy]:[Schooling]])</f>
        <v>1</v>
      </c>
    </row>
    <row r="1069" spans="1:23" x14ac:dyDescent="0.25">
      <c r="A1069" t="s">
        <v>432</v>
      </c>
      <c r="B1069">
        <v>2006</v>
      </c>
      <c r="C1069" t="s">
        <v>363</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Data_Completeness(LifeExpectancyData[[#This Row],[Life expectancy]:[Schooling]])</f>
        <v>1</v>
      </c>
    </row>
    <row r="1070" spans="1:23" x14ac:dyDescent="0.25">
      <c r="A1070" t="s">
        <v>432</v>
      </c>
      <c r="B1070">
        <v>2005</v>
      </c>
      <c r="C1070" t="s">
        <v>363</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Data_Completeness(LifeExpectancyData[[#This Row],[Life expectancy]:[Schooling]])</f>
        <v>1</v>
      </c>
    </row>
    <row r="1071" spans="1:23" x14ac:dyDescent="0.25">
      <c r="A1071" t="s">
        <v>432</v>
      </c>
      <c r="B1071">
        <v>2004</v>
      </c>
      <c r="C1071" t="s">
        <v>363</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Data_Completeness(LifeExpectancyData[[#This Row],[Life expectancy]:[Schooling]])</f>
        <v>0</v>
      </c>
    </row>
    <row r="1072" spans="1:23" x14ac:dyDescent="0.25">
      <c r="A1072" t="s">
        <v>432</v>
      </c>
      <c r="B1072">
        <v>2003</v>
      </c>
      <c r="C1072" t="s">
        <v>363</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Data_Completeness(LifeExpectancyData[[#This Row],[Life expectancy]:[Schooling]])</f>
        <v>0</v>
      </c>
    </row>
    <row r="1073" spans="1:23" x14ac:dyDescent="0.25">
      <c r="A1073" t="s">
        <v>432</v>
      </c>
      <c r="B1073">
        <v>2002</v>
      </c>
      <c r="C1073" t="s">
        <v>363</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Data_Completeness(LifeExpectancyData[[#This Row],[Life expectancy]:[Schooling]])</f>
        <v>0</v>
      </c>
    </row>
    <row r="1074" spans="1:23" x14ac:dyDescent="0.25">
      <c r="A1074" t="s">
        <v>432</v>
      </c>
      <c r="B1074">
        <v>2001</v>
      </c>
      <c r="C1074" t="s">
        <v>363</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Data_Completeness(LifeExpectancyData[[#This Row],[Life expectancy]:[Schooling]])</f>
        <v>0</v>
      </c>
    </row>
    <row r="1075" spans="1:23" x14ac:dyDescent="0.25">
      <c r="A1075" t="s">
        <v>432</v>
      </c>
      <c r="B1075">
        <v>2000</v>
      </c>
      <c r="C1075" t="s">
        <v>363</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Data_Completeness(LifeExpectancyData[[#This Row],[Life expectancy]:[Schooling]])</f>
        <v>0</v>
      </c>
    </row>
    <row r="1076" spans="1:23" x14ac:dyDescent="0.25">
      <c r="A1076" t="s">
        <v>433</v>
      </c>
      <c r="B1076">
        <v>2015</v>
      </c>
      <c r="C1076" t="s">
        <v>363</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Data_Completeness(LifeExpectancyData[[#This Row],[Life expectancy]:[Schooling]])</f>
        <v>0</v>
      </c>
    </row>
    <row r="1077" spans="1:23" x14ac:dyDescent="0.25">
      <c r="A1077" t="s">
        <v>433</v>
      </c>
      <c r="B1077">
        <v>2014</v>
      </c>
      <c r="C1077" t="s">
        <v>363</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Data_Completeness(LifeExpectancyData[[#This Row],[Life expectancy]:[Schooling]])</f>
        <v>1</v>
      </c>
    </row>
    <row r="1078" spans="1:23" x14ac:dyDescent="0.25">
      <c r="A1078" t="s">
        <v>433</v>
      </c>
      <c r="B1078">
        <v>2013</v>
      </c>
      <c r="C1078" t="s">
        <v>363</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Data_Completeness(LifeExpectancyData[[#This Row],[Life expectancy]:[Schooling]])</f>
        <v>1</v>
      </c>
    </row>
    <row r="1079" spans="1:23" x14ac:dyDescent="0.25">
      <c r="A1079" t="s">
        <v>433</v>
      </c>
      <c r="B1079">
        <v>2012</v>
      </c>
      <c r="C1079" t="s">
        <v>363</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Data_Completeness(LifeExpectancyData[[#This Row],[Life expectancy]:[Schooling]])</f>
        <v>1</v>
      </c>
    </row>
    <row r="1080" spans="1:23" x14ac:dyDescent="0.25">
      <c r="A1080" t="s">
        <v>433</v>
      </c>
      <c r="B1080">
        <v>2011</v>
      </c>
      <c r="C1080" t="s">
        <v>363</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Data_Completeness(LifeExpectancyData[[#This Row],[Life expectancy]:[Schooling]])</f>
        <v>1</v>
      </c>
    </row>
    <row r="1081" spans="1:23" x14ac:dyDescent="0.25">
      <c r="A1081" t="s">
        <v>433</v>
      </c>
      <c r="B1081">
        <v>2010</v>
      </c>
      <c r="C1081" t="s">
        <v>363</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Data_Completeness(LifeExpectancyData[[#This Row],[Life expectancy]:[Schooling]])</f>
        <v>1</v>
      </c>
    </row>
    <row r="1082" spans="1:23" x14ac:dyDescent="0.25">
      <c r="A1082" t="s">
        <v>433</v>
      </c>
      <c r="B1082">
        <v>2009</v>
      </c>
      <c r="C1082" t="s">
        <v>363</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Data_Completeness(LifeExpectancyData[[#This Row],[Life expectancy]:[Schooling]])</f>
        <v>1</v>
      </c>
    </row>
    <row r="1083" spans="1:23" x14ac:dyDescent="0.25">
      <c r="A1083" t="s">
        <v>433</v>
      </c>
      <c r="B1083">
        <v>2008</v>
      </c>
      <c r="C1083" t="s">
        <v>363</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Data_Completeness(LifeExpectancyData[[#This Row],[Life expectancy]:[Schooling]])</f>
        <v>1</v>
      </c>
    </row>
    <row r="1084" spans="1:23" x14ac:dyDescent="0.25">
      <c r="A1084" t="s">
        <v>433</v>
      </c>
      <c r="B1084">
        <v>2007</v>
      </c>
      <c r="C1084" t="s">
        <v>363</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Data_Completeness(LifeExpectancyData[[#This Row],[Life expectancy]:[Schooling]])</f>
        <v>1</v>
      </c>
    </row>
    <row r="1085" spans="1:23" x14ac:dyDescent="0.25">
      <c r="A1085" t="s">
        <v>433</v>
      </c>
      <c r="B1085">
        <v>2006</v>
      </c>
      <c r="C1085" t="s">
        <v>363</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Data_Completeness(LifeExpectancyData[[#This Row],[Life expectancy]:[Schooling]])</f>
        <v>0</v>
      </c>
    </row>
    <row r="1086" spans="1:23" x14ac:dyDescent="0.25">
      <c r="A1086" t="s">
        <v>433</v>
      </c>
      <c r="B1086">
        <v>2005</v>
      </c>
      <c r="C1086" t="s">
        <v>363</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Data_Completeness(LifeExpectancyData[[#This Row],[Life expectancy]:[Schooling]])</f>
        <v>0</v>
      </c>
    </row>
    <row r="1087" spans="1:23" x14ac:dyDescent="0.25">
      <c r="A1087" t="s">
        <v>433</v>
      </c>
      <c r="B1087">
        <v>2004</v>
      </c>
      <c r="C1087" t="s">
        <v>363</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Data_Completeness(LifeExpectancyData[[#This Row],[Life expectancy]:[Schooling]])</f>
        <v>0</v>
      </c>
    </row>
    <row r="1088" spans="1:23" x14ac:dyDescent="0.25">
      <c r="A1088" t="s">
        <v>433</v>
      </c>
      <c r="B1088">
        <v>2003</v>
      </c>
      <c r="C1088" t="s">
        <v>363</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Data_Completeness(LifeExpectancyData[[#This Row],[Life expectancy]:[Schooling]])</f>
        <v>0</v>
      </c>
    </row>
    <row r="1089" spans="1:23" x14ac:dyDescent="0.25">
      <c r="A1089" t="s">
        <v>433</v>
      </c>
      <c r="B1089">
        <v>2002</v>
      </c>
      <c r="C1089" t="s">
        <v>363</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Data_Completeness(LifeExpectancyData[[#This Row],[Life expectancy]:[Schooling]])</f>
        <v>0</v>
      </c>
    </row>
    <row r="1090" spans="1:23" x14ac:dyDescent="0.25">
      <c r="A1090" t="s">
        <v>433</v>
      </c>
      <c r="B1090">
        <v>2001</v>
      </c>
      <c r="C1090" t="s">
        <v>363</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Data_Completeness(LifeExpectancyData[[#This Row],[Life expectancy]:[Schooling]])</f>
        <v>0</v>
      </c>
    </row>
    <row r="1091" spans="1:23" x14ac:dyDescent="0.25">
      <c r="A1091" t="s">
        <v>433</v>
      </c>
      <c r="B1091">
        <v>2000</v>
      </c>
      <c r="C1091" t="s">
        <v>363</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Data_Completeness(LifeExpectancyData[[#This Row],[Life expectancy]:[Schooling]])</f>
        <v>0</v>
      </c>
    </row>
    <row r="1092" spans="1:23" x14ac:dyDescent="0.25">
      <c r="A1092" t="s">
        <v>434</v>
      </c>
      <c r="B1092">
        <v>2015</v>
      </c>
      <c r="C1092" t="s">
        <v>363</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Data_Completeness(LifeExpectancyData[[#This Row],[Life expectancy]:[Schooling]])</f>
        <v>0</v>
      </c>
    </row>
    <row r="1093" spans="1:23" x14ac:dyDescent="0.25">
      <c r="A1093" t="s">
        <v>434</v>
      </c>
      <c r="B1093">
        <v>2014</v>
      </c>
      <c r="C1093" t="s">
        <v>363</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Data_Completeness(LifeExpectancyData[[#This Row],[Life expectancy]:[Schooling]])</f>
        <v>1</v>
      </c>
    </row>
    <row r="1094" spans="1:23" x14ac:dyDescent="0.25">
      <c r="A1094" t="s">
        <v>434</v>
      </c>
      <c r="B1094">
        <v>2013</v>
      </c>
      <c r="C1094" t="s">
        <v>363</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Data_Completeness(LifeExpectancyData[[#This Row],[Life expectancy]:[Schooling]])</f>
        <v>1</v>
      </c>
    </row>
    <row r="1095" spans="1:23" x14ac:dyDescent="0.25">
      <c r="A1095" t="s">
        <v>434</v>
      </c>
      <c r="B1095">
        <v>2012</v>
      </c>
      <c r="C1095" t="s">
        <v>363</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Data_Completeness(LifeExpectancyData[[#This Row],[Life expectancy]:[Schooling]])</f>
        <v>1</v>
      </c>
    </row>
    <row r="1096" spans="1:23" x14ac:dyDescent="0.25">
      <c r="A1096" t="s">
        <v>434</v>
      </c>
      <c r="B1096">
        <v>2011</v>
      </c>
      <c r="C1096" t="s">
        <v>363</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Data_Completeness(LifeExpectancyData[[#This Row],[Life expectancy]:[Schooling]])</f>
        <v>1</v>
      </c>
    </row>
    <row r="1097" spans="1:23" x14ac:dyDescent="0.25">
      <c r="A1097" t="s">
        <v>434</v>
      </c>
      <c r="B1097">
        <v>2010</v>
      </c>
      <c r="C1097" t="s">
        <v>363</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Data_Completeness(LifeExpectancyData[[#This Row],[Life expectancy]:[Schooling]])</f>
        <v>1</v>
      </c>
    </row>
    <row r="1098" spans="1:23" x14ac:dyDescent="0.25">
      <c r="A1098" t="s">
        <v>434</v>
      </c>
      <c r="B1098">
        <v>2009</v>
      </c>
      <c r="C1098" t="s">
        <v>363</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Data_Completeness(LifeExpectancyData[[#This Row],[Life expectancy]:[Schooling]])</f>
        <v>1</v>
      </c>
    </row>
    <row r="1099" spans="1:23" x14ac:dyDescent="0.25">
      <c r="A1099" t="s">
        <v>434</v>
      </c>
      <c r="B1099">
        <v>2008</v>
      </c>
      <c r="C1099" t="s">
        <v>363</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Data_Completeness(LifeExpectancyData[[#This Row],[Life expectancy]:[Schooling]])</f>
        <v>0</v>
      </c>
    </row>
    <row r="1100" spans="1:23" x14ac:dyDescent="0.25">
      <c r="A1100" t="s">
        <v>434</v>
      </c>
      <c r="B1100">
        <v>2007</v>
      </c>
      <c r="C1100" t="s">
        <v>363</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Data_Completeness(LifeExpectancyData[[#This Row],[Life expectancy]:[Schooling]])</f>
        <v>0</v>
      </c>
    </row>
    <row r="1101" spans="1:23" x14ac:dyDescent="0.25">
      <c r="A1101" t="s">
        <v>434</v>
      </c>
      <c r="B1101">
        <v>2006</v>
      </c>
      <c r="C1101" t="s">
        <v>363</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Data_Completeness(LifeExpectancyData[[#This Row],[Life expectancy]:[Schooling]])</f>
        <v>0</v>
      </c>
    </row>
    <row r="1102" spans="1:23" x14ac:dyDescent="0.25">
      <c r="A1102" t="s">
        <v>434</v>
      </c>
      <c r="B1102">
        <v>2005</v>
      </c>
      <c r="C1102" t="s">
        <v>363</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Data_Completeness(LifeExpectancyData[[#This Row],[Life expectancy]:[Schooling]])</f>
        <v>0</v>
      </c>
    </row>
    <row r="1103" spans="1:23" x14ac:dyDescent="0.25">
      <c r="A1103" t="s">
        <v>434</v>
      </c>
      <c r="B1103">
        <v>2004</v>
      </c>
      <c r="C1103" t="s">
        <v>363</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Data_Completeness(LifeExpectancyData[[#This Row],[Life expectancy]:[Schooling]])</f>
        <v>0</v>
      </c>
    </row>
    <row r="1104" spans="1:23" x14ac:dyDescent="0.25">
      <c r="A1104" t="s">
        <v>434</v>
      </c>
      <c r="B1104">
        <v>2003</v>
      </c>
      <c r="C1104" t="s">
        <v>363</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Data_Completeness(LifeExpectancyData[[#This Row],[Life expectancy]:[Schooling]])</f>
        <v>0</v>
      </c>
    </row>
    <row r="1105" spans="1:23" x14ac:dyDescent="0.25">
      <c r="A1105" t="s">
        <v>434</v>
      </c>
      <c r="B1105">
        <v>2002</v>
      </c>
      <c r="C1105" t="s">
        <v>363</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Data_Completeness(LifeExpectancyData[[#This Row],[Life expectancy]:[Schooling]])</f>
        <v>0</v>
      </c>
    </row>
    <row r="1106" spans="1:23" x14ac:dyDescent="0.25">
      <c r="A1106" t="s">
        <v>434</v>
      </c>
      <c r="B1106">
        <v>2001</v>
      </c>
      <c r="C1106" t="s">
        <v>363</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Data_Completeness(LifeExpectancyData[[#This Row],[Life expectancy]:[Schooling]])</f>
        <v>0</v>
      </c>
    </row>
    <row r="1107" spans="1:23" x14ac:dyDescent="0.25">
      <c r="A1107" t="s">
        <v>434</v>
      </c>
      <c r="B1107">
        <v>2000</v>
      </c>
      <c r="C1107" t="s">
        <v>363</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Data_Completeness(LifeExpectancyData[[#This Row],[Life expectancy]:[Schooling]])</f>
        <v>0</v>
      </c>
    </row>
    <row r="1108" spans="1:23" x14ac:dyDescent="0.25">
      <c r="A1108" t="s">
        <v>435</v>
      </c>
      <c r="B1108">
        <v>2015</v>
      </c>
      <c r="C1108" t="s">
        <v>363</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Data_Completeness(LifeExpectancyData[[#This Row],[Life expectancy]:[Schooling]])</f>
        <v>0</v>
      </c>
    </row>
    <row r="1109" spans="1:23" x14ac:dyDescent="0.25">
      <c r="A1109" t="s">
        <v>435</v>
      </c>
      <c r="B1109">
        <v>2014</v>
      </c>
      <c r="C1109" t="s">
        <v>363</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Data_Completeness(LifeExpectancyData[[#This Row],[Life expectancy]:[Schooling]])</f>
        <v>1</v>
      </c>
    </row>
    <row r="1110" spans="1:23" x14ac:dyDescent="0.25">
      <c r="A1110" t="s">
        <v>435</v>
      </c>
      <c r="B1110">
        <v>2013</v>
      </c>
      <c r="C1110" t="s">
        <v>363</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Data_Completeness(LifeExpectancyData[[#This Row],[Life expectancy]:[Schooling]])</f>
        <v>1</v>
      </c>
    </row>
    <row r="1111" spans="1:23" x14ac:dyDescent="0.25">
      <c r="A1111" t="s">
        <v>435</v>
      </c>
      <c r="B1111">
        <v>2012</v>
      </c>
      <c r="C1111" t="s">
        <v>363</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Data_Completeness(LifeExpectancyData[[#This Row],[Life expectancy]:[Schooling]])</f>
        <v>1</v>
      </c>
    </row>
    <row r="1112" spans="1:23" x14ac:dyDescent="0.25">
      <c r="A1112" t="s">
        <v>435</v>
      </c>
      <c r="B1112">
        <v>2011</v>
      </c>
      <c r="C1112" t="s">
        <v>363</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Data_Completeness(LifeExpectancyData[[#This Row],[Life expectancy]:[Schooling]])</f>
        <v>1</v>
      </c>
    </row>
    <row r="1113" spans="1:23" x14ac:dyDescent="0.25">
      <c r="A1113" t="s">
        <v>435</v>
      </c>
      <c r="B1113">
        <v>2010</v>
      </c>
      <c r="C1113" t="s">
        <v>363</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Data_Completeness(LifeExpectancyData[[#This Row],[Life expectancy]:[Schooling]])</f>
        <v>1</v>
      </c>
    </row>
    <row r="1114" spans="1:23" x14ac:dyDescent="0.25">
      <c r="A1114" t="s">
        <v>435</v>
      </c>
      <c r="B1114">
        <v>2009</v>
      </c>
      <c r="C1114" t="s">
        <v>363</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Data_Completeness(LifeExpectancyData[[#This Row],[Life expectancy]:[Schooling]])</f>
        <v>1</v>
      </c>
    </row>
    <row r="1115" spans="1:23" x14ac:dyDescent="0.25">
      <c r="A1115" t="s">
        <v>435</v>
      </c>
      <c r="B1115">
        <v>2008</v>
      </c>
      <c r="C1115" t="s">
        <v>363</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Data_Completeness(LifeExpectancyData[[#This Row],[Life expectancy]:[Schooling]])</f>
        <v>1</v>
      </c>
    </row>
    <row r="1116" spans="1:23" x14ac:dyDescent="0.25">
      <c r="A1116" t="s">
        <v>435</v>
      </c>
      <c r="B1116">
        <v>2007</v>
      </c>
      <c r="C1116" t="s">
        <v>363</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Data_Completeness(LifeExpectancyData[[#This Row],[Life expectancy]:[Schooling]])</f>
        <v>1</v>
      </c>
    </row>
    <row r="1117" spans="1:23" x14ac:dyDescent="0.25">
      <c r="A1117" t="s">
        <v>435</v>
      </c>
      <c r="B1117">
        <v>2006</v>
      </c>
      <c r="C1117" t="s">
        <v>363</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Data_Completeness(LifeExpectancyData[[#This Row],[Life expectancy]:[Schooling]])</f>
        <v>1</v>
      </c>
    </row>
    <row r="1118" spans="1:23" x14ac:dyDescent="0.25">
      <c r="A1118" t="s">
        <v>435</v>
      </c>
      <c r="B1118">
        <v>2005</v>
      </c>
      <c r="C1118" t="s">
        <v>363</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Data_Completeness(LifeExpectancyData[[#This Row],[Life expectancy]:[Schooling]])</f>
        <v>1</v>
      </c>
    </row>
    <row r="1119" spans="1:23" x14ac:dyDescent="0.25">
      <c r="A1119" t="s">
        <v>435</v>
      </c>
      <c r="B1119">
        <v>2004</v>
      </c>
      <c r="C1119" t="s">
        <v>363</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Data_Completeness(LifeExpectancyData[[#This Row],[Life expectancy]:[Schooling]])</f>
        <v>1</v>
      </c>
    </row>
    <row r="1120" spans="1:23" x14ac:dyDescent="0.25">
      <c r="A1120" t="s">
        <v>435</v>
      </c>
      <c r="B1120">
        <v>2003</v>
      </c>
      <c r="C1120" t="s">
        <v>363</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Data_Completeness(LifeExpectancyData[[#This Row],[Life expectancy]:[Schooling]])</f>
        <v>1</v>
      </c>
    </row>
    <row r="1121" spans="1:23" x14ac:dyDescent="0.25">
      <c r="A1121" t="s">
        <v>435</v>
      </c>
      <c r="B1121">
        <v>2002</v>
      </c>
      <c r="C1121" t="s">
        <v>363</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Data_Completeness(LifeExpectancyData[[#This Row],[Life expectancy]:[Schooling]])</f>
        <v>1</v>
      </c>
    </row>
    <row r="1122" spans="1:23" x14ac:dyDescent="0.25">
      <c r="A1122" t="s">
        <v>435</v>
      </c>
      <c r="B1122">
        <v>2001</v>
      </c>
      <c r="C1122" t="s">
        <v>363</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Data_Completeness(LifeExpectancyData[[#This Row],[Life expectancy]:[Schooling]])</f>
        <v>1</v>
      </c>
    </row>
    <row r="1123" spans="1:23" x14ac:dyDescent="0.25">
      <c r="A1123" t="s">
        <v>435</v>
      </c>
      <c r="B1123">
        <v>2000</v>
      </c>
      <c r="C1123" t="s">
        <v>363</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Data_Completeness(LifeExpectancyData[[#This Row],[Life expectancy]:[Schooling]])</f>
        <v>0</v>
      </c>
    </row>
    <row r="1124" spans="1:23" x14ac:dyDescent="0.25">
      <c r="A1124" t="s">
        <v>436</v>
      </c>
      <c r="B1124">
        <v>2015</v>
      </c>
      <c r="C1124" t="s">
        <v>363</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Data_Completeness(LifeExpectancyData[[#This Row],[Life expectancy]:[Schooling]])</f>
        <v>0</v>
      </c>
    </row>
    <row r="1125" spans="1:23" x14ac:dyDescent="0.25">
      <c r="A1125" t="s">
        <v>436</v>
      </c>
      <c r="B1125">
        <v>2014</v>
      </c>
      <c r="C1125" t="s">
        <v>363</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Data_Completeness(LifeExpectancyData[[#This Row],[Life expectancy]:[Schooling]])</f>
        <v>1</v>
      </c>
    </row>
    <row r="1126" spans="1:23" x14ac:dyDescent="0.25">
      <c r="A1126" t="s">
        <v>436</v>
      </c>
      <c r="B1126">
        <v>2013</v>
      </c>
      <c r="C1126" t="s">
        <v>363</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Data_Completeness(LifeExpectancyData[[#This Row],[Life expectancy]:[Schooling]])</f>
        <v>1</v>
      </c>
    </row>
    <row r="1127" spans="1:23" x14ac:dyDescent="0.25">
      <c r="A1127" t="s">
        <v>436</v>
      </c>
      <c r="B1127">
        <v>2012</v>
      </c>
      <c r="C1127" t="s">
        <v>363</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Data_Completeness(LifeExpectancyData[[#This Row],[Life expectancy]:[Schooling]])</f>
        <v>0</v>
      </c>
    </row>
    <row r="1128" spans="1:23" x14ac:dyDescent="0.25">
      <c r="A1128" t="s">
        <v>436</v>
      </c>
      <c r="B1128">
        <v>2011</v>
      </c>
      <c r="C1128" t="s">
        <v>363</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Data_Completeness(LifeExpectancyData[[#This Row],[Life expectancy]:[Schooling]])</f>
        <v>0</v>
      </c>
    </row>
    <row r="1129" spans="1:23" x14ac:dyDescent="0.25">
      <c r="A1129" t="s">
        <v>436</v>
      </c>
      <c r="B1129">
        <v>2010</v>
      </c>
      <c r="C1129" t="s">
        <v>363</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Data_Completeness(LifeExpectancyData[[#This Row],[Life expectancy]:[Schooling]])</f>
        <v>0</v>
      </c>
    </row>
    <row r="1130" spans="1:23" x14ac:dyDescent="0.25">
      <c r="A1130" t="s">
        <v>436</v>
      </c>
      <c r="B1130">
        <v>2009</v>
      </c>
      <c r="C1130" t="s">
        <v>363</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Data_Completeness(LifeExpectancyData[[#This Row],[Life expectancy]:[Schooling]])</f>
        <v>0</v>
      </c>
    </row>
    <row r="1131" spans="1:23" x14ac:dyDescent="0.25">
      <c r="A1131" t="s">
        <v>436</v>
      </c>
      <c r="B1131">
        <v>2008</v>
      </c>
      <c r="C1131" t="s">
        <v>363</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Data_Completeness(LifeExpectancyData[[#This Row],[Life expectancy]:[Schooling]])</f>
        <v>0</v>
      </c>
    </row>
    <row r="1132" spans="1:23" x14ac:dyDescent="0.25">
      <c r="A1132" t="s">
        <v>436</v>
      </c>
      <c r="B1132">
        <v>2007</v>
      </c>
      <c r="C1132" t="s">
        <v>363</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Data_Completeness(LifeExpectancyData[[#This Row],[Life expectancy]:[Schooling]])</f>
        <v>0</v>
      </c>
    </row>
    <row r="1133" spans="1:23" x14ac:dyDescent="0.25">
      <c r="A1133" t="s">
        <v>436</v>
      </c>
      <c r="B1133">
        <v>2006</v>
      </c>
      <c r="C1133" t="s">
        <v>363</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Data_Completeness(LifeExpectancyData[[#This Row],[Life expectancy]:[Schooling]])</f>
        <v>0</v>
      </c>
    </row>
    <row r="1134" spans="1:23" x14ac:dyDescent="0.25">
      <c r="A1134" t="s">
        <v>436</v>
      </c>
      <c r="B1134">
        <v>2005</v>
      </c>
      <c r="C1134" t="s">
        <v>363</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Data_Completeness(LifeExpectancyData[[#This Row],[Life expectancy]:[Schooling]])</f>
        <v>0</v>
      </c>
    </row>
    <row r="1135" spans="1:23" x14ac:dyDescent="0.25">
      <c r="A1135" t="s">
        <v>436</v>
      </c>
      <c r="B1135">
        <v>2004</v>
      </c>
      <c r="C1135" t="s">
        <v>363</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Data_Completeness(LifeExpectancyData[[#This Row],[Life expectancy]:[Schooling]])</f>
        <v>0</v>
      </c>
    </row>
    <row r="1136" spans="1:23" x14ac:dyDescent="0.25">
      <c r="A1136" t="s">
        <v>436</v>
      </c>
      <c r="B1136">
        <v>2003</v>
      </c>
      <c r="C1136" t="s">
        <v>363</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Data_Completeness(LifeExpectancyData[[#This Row],[Life expectancy]:[Schooling]])</f>
        <v>0</v>
      </c>
    </row>
    <row r="1137" spans="1:23" x14ac:dyDescent="0.25">
      <c r="A1137" t="s">
        <v>436</v>
      </c>
      <c r="B1137">
        <v>2002</v>
      </c>
      <c r="C1137" t="s">
        <v>363</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Data_Completeness(LifeExpectancyData[[#This Row],[Life expectancy]:[Schooling]])</f>
        <v>0</v>
      </c>
    </row>
    <row r="1138" spans="1:23" x14ac:dyDescent="0.25">
      <c r="A1138" t="s">
        <v>436</v>
      </c>
      <c r="B1138">
        <v>2001</v>
      </c>
      <c r="C1138" t="s">
        <v>363</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Data_Completeness(LifeExpectancyData[[#This Row],[Life expectancy]:[Schooling]])</f>
        <v>0</v>
      </c>
    </row>
    <row r="1139" spans="1:23" x14ac:dyDescent="0.25">
      <c r="A1139" t="s">
        <v>436</v>
      </c>
      <c r="B1139">
        <v>2000</v>
      </c>
      <c r="C1139" t="s">
        <v>363</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Data_Completeness(LifeExpectancyData[[#This Row],[Life expectancy]:[Schooling]])</f>
        <v>0</v>
      </c>
    </row>
    <row r="1140" spans="1:23" x14ac:dyDescent="0.25">
      <c r="A1140" t="s">
        <v>437</v>
      </c>
      <c r="B1140">
        <v>2015</v>
      </c>
      <c r="C1140" t="s">
        <v>363</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Data_Completeness(LifeExpectancyData[[#This Row],[Life expectancy]:[Schooling]])</f>
        <v>0</v>
      </c>
    </row>
    <row r="1141" spans="1:23" x14ac:dyDescent="0.25">
      <c r="A1141" t="s">
        <v>437</v>
      </c>
      <c r="B1141">
        <v>2014</v>
      </c>
      <c r="C1141" t="s">
        <v>363</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Data_Completeness(LifeExpectancyData[[#This Row],[Life expectancy]:[Schooling]])</f>
        <v>1</v>
      </c>
    </row>
    <row r="1142" spans="1:23" x14ac:dyDescent="0.25">
      <c r="A1142" t="s">
        <v>437</v>
      </c>
      <c r="B1142">
        <v>2013</v>
      </c>
      <c r="C1142" t="s">
        <v>363</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Data_Completeness(LifeExpectancyData[[#This Row],[Life expectancy]:[Schooling]])</f>
        <v>1</v>
      </c>
    </row>
    <row r="1143" spans="1:23" x14ac:dyDescent="0.25">
      <c r="A1143" t="s">
        <v>437</v>
      </c>
      <c r="B1143">
        <v>2012</v>
      </c>
      <c r="C1143" t="s">
        <v>363</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Data_Completeness(LifeExpectancyData[[#This Row],[Life expectancy]:[Schooling]])</f>
        <v>1</v>
      </c>
    </row>
    <row r="1144" spans="1:23" x14ac:dyDescent="0.25">
      <c r="A1144" t="s">
        <v>437</v>
      </c>
      <c r="B1144">
        <v>2011</v>
      </c>
      <c r="C1144" t="s">
        <v>363</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Data_Completeness(LifeExpectancyData[[#This Row],[Life expectancy]:[Schooling]])</f>
        <v>1</v>
      </c>
    </row>
    <row r="1145" spans="1:23" x14ac:dyDescent="0.25">
      <c r="A1145" t="s">
        <v>437</v>
      </c>
      <c r="B1145">
        <v>2010</v>
      </c>
      <c r="C1145" t="s">
        <v>363</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Data_Completeness(LifeExpectancyData[[#This Row],[Life expectancy]:[Schooling]])</f>
        <v>1</v>
      </c>
    </row>
    <row r="1146" spans="1:23" x14ac:dyDescent="0.25">
      <c r="A1146" t="s">
        <v>437</v>
      </c>
      <c r="B1146">
        <v>2009</v>
      </c>
      <c r="C1146" t="s">
        <v>363</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Data_Completeness(LifeExpectancyData[[#This Row],[Life expectancy]:[Schooling]])</f>
        <v>1</v>
      </c>
    </row>
    <row r="1147" spans="1:23" x14ac:dyDescent="0.25">
      <c r="A1147" t="s">
        <v>437</v>
      </c>
      <c r="B1147">
        <v>2008</v>
      </c>
      <c r="C1147" t="s">
        <v>363</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Data_Completeness(LifeExpectancyData[[#This Row],[Life expectancy]:[Schooling]])</f>
        <v>1</v>
      </c>
    </row>
    <row r="1148" spans="1:23" x14ac:dyDescent="0.25">
      <c r="A1148" t="s">
        <v>437</v>
      </c>
      <c r="B1148">
        <v>2007</v>
      </c>
      <c r="C1148" t="s">
        <v>363</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Data_Completeness(LifeExpectancyData[[#This Row],[Life expectancy]:[Schooling]])</f>
        <v>1</v>
      </c>
    </row>
    <row r="1149" spans="1:23" x14ac:dyDescent="0.25">
      <c r="A1149" t="s">
        <v>437</v>
      </c>
      <c r="B1149">
        <v>2006</v>
      </c>
      <c r="C1149" t="s">
        <v>363</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Data_Completeness(LifeExpectancyData[[#This Row],[Life expectancy]:[Schooling]])</f>
        <v>1</v>
      </c>
    </row>
    <row r="1150" spans="1:23" x14ac:dyDescent="0.25">
      <c r="A1150" t="s">
        <v>437</v>
      </c>
      <c r="B1150">
        <v>2005</v>
      </c>
      <c r="C1150" t="s">
        <v>363</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Data_Completeness(LifeExpectancyData[[#This Row],[Life expectancy]:[Schooling]])</f>
        <v>1</v>
      </c>
    </row>
    <row r="1151" spans="1:23" x14ac:dyDescent="0.25">
      <c r="A1151" t="s">
        <v>437</v>
      </c>
      <c r="B1151">
        <v>2004</v>
      </c>
      <c r="C1151" t="s">
        <v>363</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Data_Completeness(LifeExpectancyData[[#This Row],[Life expectancy]:[Schooling]])</f>
        <v>1</v>
      </c>
    </row>
    <row r="1152" spans="1:23" x14ac:dyDescent="0.25">
      <c r="A1152" t="s">
        <v>437</v>
      </c>
      <c r="B1152">
        <v>2003</v>
      </c>
      <c r="C1152" t="s">
        <v>363</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Data_Completeness(LifeExpectancyData[[#This Row],[Life expectancy]:[Schooling]])</f>
        <v>1</v>
      </c>
    </row>
    <row r="1153" spans="1:23" x14ac:dyDescent="0.25">
      <c r="A1153" t="s">
        <v>437</v>
      </c>
      <c r="B1153">
        <v>2002</v>
      </c>
      <c r="C1153" t="s">
        <v>363</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Data_Completeness(LifeExpectancyData[[#This Row],[Life expectancy]:[Schooling]])</f>
        <v>1</v>
      </c>
    </row>
    <row r="1154" spans="1:23" x14ac:dyDescent="0.25">
      <c r="A1154" t="s">
        <v>437</v>
      </c>
      <c r="B1154">
        <v>2001</v>
      </c>
      <c r="C1154" t="s">
        <v>363</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Data_Completeness(LifeExpectancyData[[#This Row],[Life expectancy]:[Schooling]])</f>
        <v>1</v>
      </c>
    </row>
    <row r="1155" spans="1:23" x14ac:dyDescent="0.25">
      <c r="A1155" t="s">
        <v>437</v>
      </c>
      <c r="B1155">
        <v>2000</v>
      </c>
      <c r="C1155" t="s">
        <v>363</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Data_Completeness(LifeExpectancyData[[#This Row],[Life expectancy]:[Schooling]])</f>
        <v>1</v>
      </c>
    </row>
    <row r="1156" spans="1:23" x14ac:dyDescent="0.25">
      <c r="A1156" t="s">
        <v>438</v>
      </c>
      <c r="B1156">
        <v>2015</v>
      </c>
      <c r="C1156" t="s">
        <v>371</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Data_Completeness(LifeExpectancyData[[#This Row],[Life expectancy]:[Schooling]])</f>
        <v>0</v>
      </c>
    </row>
    <row r="1157" spans="1:23" x14ac:dyDescent="0.25">
      <c r="A1157" t="s">
        <v>438</v>
      </c>
      <c r="B1157">
        <v>2014</v>
      </c>
      <c r="C1157" t="s">
        <v>371</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Data_Completeness(LifeExpectancyData[[#This Row],[Life expectancy]:[Schooling]])</f>
        <v>0</v>
      </c>
    </row>
    <row r="1158" spans="1:23" x14ac:dyDescent="0.25">
      <c r="A1158" t="s">
        <v>438</v>
      </c>
      <c r="B1158">
        <v>2013</v>
      </c>
      <c r="C1158" t="s">
        <v>371</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Data_Completeness(LifeExpectancyData[[#This Row],[Life expectancy]:[Schooling]])</f>
        <v>0</v>
      </c>
    </row>
    <row r="1159" spans="1:23" x14ac:dyDescent="0.25">
      <c r="A1159" t="s">
        <v>438</v>
      </c>
      <c r="B1159">
        <v>2012</v>
      </c>
      <c r="C1159" t="s">
        <v>371</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Data_Completeness(LifeExpectancyData[[#This Row],[Life expectancy]:[Schooling]])</f>
        <v>0</v>
      </c>
    </row>
    <row r="1160" spans="1:23" x14ac:dyDescent="0.25">
      <c r="A1160" t="s">
        <v>438</v>
      </c>
      <c r="B1160">
        <v>2011</v>
      </c>
      <c r="C1160" t="s">
        <v>371</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Data_Completeness(LifeExpectancyData[[#This Row],[Life expectancy]:[Schooling]])</f>
        <v>0</v>
      </c>
    </row>
    <row r="1161" spans="1:23" x14ac:dyDescent="0.25">
      <c r="A1161" t="s">
        <v>438</v>
      </c>
      <c r="B1161">
        <v>2010</v>
      </c>
      <c r="C1161" t="s">
        <v>371</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Data_Completeness(LifeExpectancyData[[#This Row],[Life expectancy]:[Schooling]])</f>
        <v>0</v>
      </c>
    </row>
    <row r="1162" spans="1:23" x14ac:dyDescent="0.25">
      <c r="A1162" t="s">
        <v>438</v>
      </c>
      <c r="B1162">
        <v>2009</v>
      </c>
      <c r="C1162" t="s">
        <v>371</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Data_Completeness(LifeExpectancyData[[#This Row],[Life expectancy]:[Schooling]])</f>
        <v>0</v>
      </c>
    </row>
    <row r="1163" spans="1:23" x14ac:dyDescent="0.25">
      <c r="A1163" t="s">
        <v>438</v>
      </c>
      <c r="B1163">
        <v>2008</v>
      </c>
      <c r="C1163" t="s">
        <v>371</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Data_Completeness(LifeExpectancyData[[#This Row],[Life expectancy]:[Schooling]])</f>
        <v>0</v>
      </c>
    </row>
    <row r="1164" spans="1:23" x14ac:dyDescent="0.25">
      <c r="A1164" t="s">
        <v>438</v>
      </c>
      <c r="B1164">
        <v>2007</v>
      </c>
      <c r="C1164" t="s">
        <v>371</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Data_Completeness(LifeExpectancyData[[#This Row],[Life expectancy]:[Schooling]])</f>
        <v>0</v>
      </c>
    </row>
    <row r="1165" spans="1:23" x14ac:dyDescent="0.25">
      <c r="A1165" t="s">
        <v>438</v>
      </c>
      <c r="B1165">
        <v>2006</v>
      </c>
      <c r="C1165" t="s">
        <v>371</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Data_Completeness(LifeExpectancyData[[#This Row],[Life expectancy]:[Schooling]])</f>
        <v>0</v>
      </c>
    </row>
    <row r="1166" spans="1:23" x14ac:dyDescent="0.25">
      <c r="A1166" t="s">
        <v>438</v>
      </c>
      <c r="B1166">
        <v>2005</v>
      </c>
      <c r="C1166" t="s">
        <v>371</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Data_Completeness(LifeExpectancyData[[#This Row],[Life expectancy]:[Schooling]])</f>
        <v>0</v>
      </c>
    </row>
    <row r="1167" spans="1:23" x14ac:dyDescent="0.25">
      <c r="A1167" t="s">
        <v>438</v>
      </c>
      <c r="B1167">
        <v>2004</v>
      </c>
      <c r="C1167" t="s">
        <v>371</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Data_Completeness(LifeExpectancyData[[#This Row],[Life expectancy]:[Schooling]])</f>
        <v>0</v>
      </c>
    </row>
    <row r="1168" spans="1:23" x14ac:dyDescent="0.25">
      <c r="A1168" t="s">
        <v>438</v>
      </c>
      <c r="B1168">
        <v>2003</v>
      </c>
      <c r="C1168" t="s">
        <v>371</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Data_Completeness(LifeExpectancyData[[#This Row],[Life expectancy]:[Schooling]])</f>
        <v>0</v>
      </c>
    </row>
    <row r="1169" spans="1:23" x14ac:dyDescent="0.25">
      <c r="A1169" t="s">
        <v>438</v>
      </c>
      <c r="B1169">
        <v>2002</v>
      </c>
      <c r="C1169" t="s">
        <v>371</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Data_Completeness(LifeExpectancyData[[#This Row],[Life expectancy]:[Schooling]])</f>
        <v>0</v>
      </c>
    </row>
    <row r="1170" spans="1:23" x14ac:dyDescent="0.25">
      <c r="A1170" t="s">
        <v>438</v>
      </c>
      <c r="B1170">
        <v>2001</v>
      </c>
      <c r="C1170" t="s">
        <v>371</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Data_Completeness(LifeExpectancyData[[#This Row],[Life expectancy]:[Schooling]])</f>
        <v>0</v>
      </c>
    </row>
    <row r="1171" spans="1:23" x14ac:dyDescent="0.25">
      <c r="A1171" t="s">
        <v>438</v>
      </c>
      <c r="B1171">
        <v>2000</v>
      </c>
      <c r="C1171" t="s">
        <v>371</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Data_Completeness(LifeExpectancyData[[#This Row],[Life expectancy]:[Schooling]])</f>
        <v>0</v>
      </c>
    </row>
    <row r="1172" spans="1:23" x14ac:dyDescent="0.25">
      <c r="A1172" t="s">
        <v>439</v>
      </c>
      <c r="B1172">
        <v>2015</v>
      </c>
      <c r="C1172" t="s">
        <v>371</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Data_Completeness(LifeExpectancyData[[#This Row],[Life expectancy]:[Schooling]])</f>
        <v>0</v>
      </c>
    </row>
    <row r="1173" spans="1:23" x14ac:dyDescent="0.25">
      <c r="A1173" t="s">
        <v>439</v>
      </c>
      <c r="B1173">
        <v>2014</v>
      </c>
      <c r="C1173" t="s">
        <v>371</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Data_Completeness(LifeExpectancyData[[#This Row],[Life expectancy]:[Schooling]])</f>
        <v>0</v>
      </c>
    </row>
    <row r="1174" spans="1:23" x14ac:dyDescent="0.25">
      <c r="A1174" t="s">
        <v>439</v>
      </c>
      <c r="B1174">
        <v>2013</v>
      </c>
      <c r="C1174" t="s">
        <v>371</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Data_Completeness(LifeExpectancyData[[#This Row],[Life expectancy]:[Schooling]])</f>
        <v>0</v>
      </c>
    </row>
    <row r="1175" spans="1:23" x14ac:dyDescent="0.25">
      <c r="A1175" t="s">
        <v>439</v>
      </c>
      <c r="B1175">
        <v>2012</v>
      </c>
      <c r="C1175" t="s">
        <v>371</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Data_Completeness(LifeExpectancyData[[#This Row],[Life expectancy]:[Schooling]])</f>
        <v>0</v>
      </c>
    </row>
    <row r="1176" spans="1:23" x14ac:dyDescent="0.25">
      <c r="A1176" t="s">
        <v>439</v>
      </c>
      <c r="B1176">
        <v>2011</v>
      </c>
      <c r="C1176" t="s">
        <v>371</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Data_Completeness(LifeExpectancyData[[#This Row],[Life expectancy]:[Schooling]])</f>
        <v>0</v>
      </c>
    </row>
    <row r="1177" spans="1:23" x14ac:dyDescent="0.25">
      <c r="A1177" t="s">
        <v>439</v>
      </c>
      <c r="B1177">
        <v>2010</v>
      </c>
      <c r="C1177" t="s">
        <v>371</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Data_Completeness(LifeExpectancyData[[#This Row],[Life expectancy]:[Schooling]])</f>
        <v>0</v>
      </c>
    </row>
    <row r="1178" spans="1:23" x14ac:dyDescent="0.25">
      <c r="A1178" t="s">
        <v>439</v>
      </c>
      <c r="B1178">
        <v>2009</v>
      </c>
      <c r="C1178" t="s">
        <v>371</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Data_Completeness(LifeExpectancyData[[#This Row],[Life expectancy]:[Schooling]])</f>
        <v>0</v>
      </c>
    </row>
    <row r="1179" spans="1:23" x14ac:dyDescent="0.25">
      <c r="A1179" t="s">
        <v>439</v>
      </c>
      <c r="B1179">
        <v>2008</v>
      </c>
      <c r="C1179" t="s">
        <v>371</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Data_Completeness(LifeExpectancyData[[#This Row],[Life expectancy]:[Schooling]])</f>
        <v>0</v>
      </c>
    </row>
    <row r="1180" spans="1:23" x14ac:dyDescent="0.25">
      <c r="A1180" t="s">
        <v>439</v>
      </c>
      <c r="B1180">
        <v>2007</v>
      </c>
      <c r="C1180" t="s">
        <v>371</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Data_Completeness(LifeExpectancyData[[#This Row],[Life expectancy]:[Schooling]])</f>
        <v>0</v>
      </c>
    </row>
    <row r="1181" spans="1:23" x14ac:dyDescent="0.25">
      <c r="A1181" t="s">
        <v>439</v>
      </c>
      <c r="B1181">
        <v>2006</v>
      </c>
      <c r="C1181" t="s">
        <v>371</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Data_Completeness(LifeExpectancyData[[#This Row],[Life expectancy]:[Schooling]])</f>
        <v>0</v>
      </c>
    </row>
    <row r="1182" spans="1:23" x14ac:dyDescent="0.25">
      <c r="A1182" t="s">
        <v>439</v>
      </c>
      <c r="B1182">
        <v>2005</v>
      </c>
      <c r="C1182" t="s">
        <v>371</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Data_Completeness(LifeExpectancyData[[#This Row],[Life expectancy]:[Schooling]])</f>
        <v>0</v>
      </c>
    </row>
    <row r="1183" spans="1:23" x14ac:dyDescent="0.25">
      <c r="A1183" t="s">
        <v>439</v>
      </c>
      <c r="B1183">
        <v>2004</v>
      </c>
      <c r="C1183" t="s">
        <v>371</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Data_Completeness(LifeExpectancyData[[#This Row],[Life expectancy]:[Schooling]])</f>
        <v>0</v>
      </c>
    </row>
    <row r="1184" spans="1:23" x14ac:dyDescent="0.25">
      <c r="A1184" t="s">
        <v>439</v>
      </c>
      <c r="B1184">
        <v>2003</v>
      </c>
      <c r="C1184" t="s">
        <v>371</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Data_Completeness(LifeExpectancyData[[#This Row],[Life expectancy]:[Schooling]])</f>
        <v>0</v>
      </c>
    </row>
    <row r="1185" spans="1:23" x14ac:dyDescent="0.25">
      <c r="A1185" t="s">
        <v>439</v>
      </c>
      <c r="B1185">
        <v>2002</v>
      </c>
      <c r="C1185" t="s">
        <v>371</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Data_Completeness(LifeExpectancyData[[#This Row],[Life expectancy]:[Schooling]])</f>
        <v>0</v>
      </c>
    </row>
    <row r="1186" spans="1:23" x14ac:dyDescent="0.25">
      <c r="A1186" t="s">
        <v>439</v>
      </c>
      <c r="B1186">
        <v>2001</v>
      </c>
      <c r="C1186" t="s">
        <v>371</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Data_Completeness(LifeExpectancyData[[#This Row],[Life expectancy]:[Schooling]])</f>
        <v>0</v>
      </c>
    </row>
    <row r="1187" spans="1:23" x14ac:dyDescent="0.25">
      <c r="A1187" t="s">
        <v>439</v>
      </c>
      <c r="B1187">
        <v>2000</v>
      </c>
      <c r="C1187" t="s">
        <v>371</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Data_Completeness(LifeExpectancyData[[#This Row],[Life expectancy]:[Schooling]])</f>
        <v>0</v>
      </c>
    </row>
    <row r="1188" spans="1:23" x14ac:dyDescent="0.25">
      <c r="A1188" t="s">
        <v>440</v>
      </c>
      <c r="B1188">
        <v>2015</v>
      </c>
      <c r="C1188" t="s">
        <v>363</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Data_Completeness(LifeExpectancyData[[#This Row],[Life expectancy]:[Schooling]])</f>
        <v>0</v>
      </c>
    </row>
    <row r="1189" spans="1:23" x14ac:dyDescent="0.25">
      <c r="A1189" t="s">
        <v>440</v>
      </c>
      <c r="B1189">
        <v>2014</v>
      </c>
      <c r="C1189" t="s">
        <v>363</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Data_Completeness(LifeExpectancyData[[#This Row],[Life expectancy]:[Schooling]])</f>
        <v>1</v>
      </c>
    </row>
    <row r="1190" spans="1:23" x14ac:dyDescent="0.25">
      <c r="A1190" t="s">
        <v>440</v>
      </c>
      <c r="B1190">
        <v>2013</v>
      </c>
      <c r="C1190" t="s">
        <v>363</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Data_Completeness(LifeExpectancyData[[#This Row],[Life expectancy]:[Schooling]])</f>
        <v>1</v>
      </c>
    </row>
    <row r="1191" spans="1:23" x14ac:dyDescent="0.25">
      <c r="A1191" t="s">
        <v>440</v>
      </c>
      <c r="B1191">
        <v>2012</v>
      </c>
      <c r="C1191" t="s">
        <v>363</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Data_Completeness(LifeExpectancyData[[#This Row],[Life expectancy]:[Schooling]])</f>
        <v>1</v>
      </c>
    </row>
    <row r="1192" spans="1:23" x14ac:dyDescent="0.25">
      <c r="A1192" t="s">
        <v>440</v>
      </c>
      <c r="B1192">
        <v>2011</v>
      </c>
      <c r="C1192" t="s">
        <v>363</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Data_Completeness(LifeExpectancyData[[#This Row],[Life expectancy]:[Schooling]])</f>
        <v>1</v>
      </c>
    </row>
    <row r="1193" spans="1:23" x14ac:dyDescent="0.25">
      <c r="A1193" t="s">
        <v>440</v>
      </c>
      <c r="B1193">
        <v>2010</v>
      </c>
      <c r="C1193" t="s">
        <v>363</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Data_Completeness(LifeExpectancyData[[#This Row],[Life expectancy]:[Schooling]])</f>
        <v>1</v>
      </c>
    </row>
    <row r="1194" spans="1:23" x14ac:dyDescent="0.25">
      <c r="A1194" t="s">
        <v>440</v>
      </c>
      <c r="B1194">
        <v>2009</v>
      </c>
      <c r="C1194" t="s">
        <v>363</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Data_Completeness(LifeExpectancyData[[#This Row],[Life expectancy]:[Schooling]])</f>
        <v>1</v>
      </c>
    </row>
    <row r="1195" spans="1:23" x14ac:dyDescent="0.25">
      <c r="A1195" t="s">
        <v>440</v>
      </c>
      <c r="B1195">
        <v>2008</v>
      </c>
      <c r="C1195" t="s">
        <v>363</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Data_Completeness(LifeExpectancyData[[#This Row],[Life expectancy]:[Schooling]])</f>
        <v>1</v>
      </c>
    </row>
    <row r="1196" spans="1:23" x14ac:dyDescent="0.25">
      <c r="A1196" t="s">
        <v>440</v>
      </c>
      <c r="B1196">
        <v>2007</v>
      </c>
      <c r="C1196" t="s">
        <v>363</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Data_Completeness(LifeExpectancyData[[#This Row],[Life expectancy]:[Schooling]])</f>
        <v>1</v>
      </c>
    </row>
    <row r="1197" spans="1:23" x14ac:dyDescent="0.25">
      <c r="A1197" t="s">
        <v>440</v>
      </c>
      <c r="B1197">
        <v>2006</v>
      </c>
      <c r="C1197" t="s">
        <v>363</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Data_Completeness(LifeExpectancyData[[#This Row],[Life expectancy]:[Schooling]])</f>
        <v>1</v>
      </c>
    </row>
    <row r="1198" spans="1:23" x14ac:dyDescent="0.25">
      <c r="A1198" t="s">
        <v>440</v>
      </c>
      <c r="B1198">
        <v>2005</v>
      </c>
      <c r="C1198" t="s">
        <v>363</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Data_Completeness(LifeExpectancyData[[#This Row],[Life expectancy]:[Schooling]])</f>
        <v>1</v>
      </c>
    </row>
    <row r="1199" spans="1:23" x14ac:dyDescent="0.25">
      <c r="A1199" t="s">
        <v>440</v>
      </c>
      <c r="B1199">
        <v>2004</v>
      </c>
      <c r="C1199" t="s">
        <v>363</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Data_Completeness(LifeExpectancyData[[#This Row],[Life expectancy]:[Schooling]])</f>
        <v>1</v>
      </c>
    </row>
    <row r="1200" spans="1:23" x14ac:dyDescent="0.25">
      <c r="A1200" t="s">
        <v>440</v>
      </c>
      <c r="B1200">
        <v>2003</v>
      </c>
      <c r="C1200" t="s">
        <v>363</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Data_Completeness(LifeExpectancyData[[#This Row],[Life expectancy]:[Schooling]])</f>
        <v>0</v>
      </c>
    </row>
    <row r="1201" spans="1:23" x14ac:dyDescent="0.25">
      <c r="A1201" t="s">
        <v>440</v>
      </c>
      <c r="B1201">
        <v>2002</v>
      </c>
      <c r="C1201" t="s">
        <v>363</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Data_Completeness(LifeExpectancyData[[#This Row],[Life expectancy]:[Schooling]])</f>
        <v>0</v>
      </c>
    </row>
    <row r="1202" spans="1:23" x14ac:dyDescent="0.25">
      <c r="A1202" t="s">
        <v>440</v>
      </c>
      <c r="B1202">
        <v>2001</v>
      </c>
      <c r="C1202" t="s">
        <v>363</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Data_Completeness(LifeExpectancyData[[#This Row],[Life expectancy]:[Schooling]])</f>
        <v>0</v>
      </c>
    </row>
    <row r="1203" spans="1:23" x14ac:dyDescent="0.25">
      <c r="A1203" t="s">
        <v>440</v>
      </c>
      <c r="B1203">
        <v>2000</v>
      </c>
      <c r="C1203" t="s">
        <v>363</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Data_Completeness(LifeExpectancyData[[#This Row],[Life expectancy]:[Schooling]])</f>
        <v>0</v>
      </c>
    </row>
    <row r="1204" spans="1:23" x14ac:dyDescent="0.25">
      <c r="A1204" t="s">
        <v>441</v>
      </c>
      <c r="B1204">
        <v>2015</v>
      </c>
      <c r="C1204" t="s">
        <v>363</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Data_Completeness(LifeExpectancyData[[#This Row],[Life expectancy]:[Schooling]])</f>
        <v>0</v>
      </c>
    </row>
    <row r="1205" spans="1:23" x14ac:dyDescent="0.25">
      <c r="A1205" t="s">
        <v>441</v>
      </c>
      <c r="B1205">
        <v>2014</v>
      </c>
      <c r="C1205" t="s">
        <v>363</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Data_Completeness(LifeExpectancyData[[#This Row],[Life expectancy]:[Schooling]])</f>
        <v>1</v>
      </c>
    </row>
    <row r="1206" spans="1:23" x14ac:dyDescent="0.25">
      <c r="A1206" t="s">
        <v>441</v>
      </c>
      <c r="B1206">
        <v>2013</v>
      </c>
      <c r="C1206" t="s">
        <v>363</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Data_Completeness(LifeExpectancyData[[#This Row],[Life expectancy]:[Schooling]])</f>
        <v>1</v>
      </c>
    </row>
    <row r="1207" spans="1:23" x14ac:dyDescent="0.25">
      <c r="A1207" t="s">
        <v>441</v>
      </c>
      <c r="B1207">
        <v>2012</v>
      </c>
      <c r="C1207" t="s">
        <v>363</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Data_Completeness(LifeExpectancyData[[#This Row],[Life expectancy]:[Schooling]])</f>
        <v>1</v>
      </c>
    </row>
    <row r="1208" spans="1:23" x14ac:dyDescent="0.25">
      <c r="A1208" t="s">
        <v>441</v>
      </c>
      <c r="B1208">
        <v>2011</v>
      </c>
      <c r="C1208" t="s">
        <v>363</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Data_Completeness(LifeExpectancyData[[#This Row],[Life expectancy]:[Schooling]])</f>
        <v>1</v>
      </c>
    </row>
    <row r="1209" spans="1:23" x14ac:dyDescent="0.25">
      <c r="A1209" t="s">
        <v>441</v>
      </c>
      <c r="B1209">
        <v>2010</v>
      </c>
      <c r="C1209" t="s">
        <v>363</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Data_Completeness(LifeExpectancyData[[#This Row],[Life expectancy]:[Schooling]])</f>
        <v>1</v>
      </c>
    </row>
    <row r="1210" spans="1:23" x14ac:dyDescent="0.25">
      <c r="A1210" t="s">
        <v>441</v>
      </c>
      <c r="B1210">
        <v>2009</v>
      </c>
      <c r="C1210" t="s">
        <v>363</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Data_Completeness(LifeExpectancyData[[#This Row],[Life expectancy]:[Schooling]])</f>
        <v>1</v>
      </c>
    </row>
    <row r="1211" spans="1:23" x14ac:dyDescent="0.25">
      <c r="A1211" t="s">
        <v>441</v>
      </c>
      <c r="B1211">
        <v>2008</v>
      </c>
      <c r="C1211" t="s">
        <v>363</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Data_Completeness(LifeExpectancyData[[#This Row],[Life expectancy]:[Schooling]])</f>
        <v>1</v>
      </c>
    </row>
    <row r="1212" spans="1:23" x14ac:dyDescent="0.25">
      <c r="A1212" t="s">
        <v>441</v>
      </c>
      <c r="B1212">
        <v>2007</v>
      </c>
      <c r="C1212" t="s">
        <v>363</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Data_Completeness(LifeExpectancyData[[#This Row],[Life expectancy]:[Schooling]])</f>
        <v>1</v>
      </c>
    </row>
    <row r="1213" spans="1:23" x14ac:dyDescent="0.25">
      <c r="A1213" t="s">
        <v>441</v>
      </c>
      <c r="B1213">
        <v>2006</v>
      </c>
      <c r="C1213" t="s">
        <v>363</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Data_Completeness(LifeExpectancyData[[#This Row],[Life expectancy]:[Schooling]])</f>
        <v>1</v>
      </c>
    </row>
    <row r="1214" spans="1:23" x14ac:dyDescent="0.25">
      <c r="A1214" t="s">
        <v>441</v>
      </c>
      <c r="B1214">
        <v>2005</v>
      </c>
      <c r="C1214" t="s">
        <v>363</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Data_Completeness(LifeExpectancyData[[#This Row],[Life expectancy]:[Schooling]])</f>
        <v>1</v>
      </c>
    </row>
    <row r="1215" spans="1:23" x14ac:dyDescent="0.25">
      <c r="A1215" t="s">
        <v>441</v>
      </c>
      <c r="B1215">
        <v>2004</v>
      </c>
      <c r="C1215" t="s">
        <v>363</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Data_Completeness(LifeExpectancyData[[#This Row],[Life expectancy]:[Schooling]])</f>
        <v>1</v>
      </c>
    </row>
    <row r="1216" spans="1:23" x14ac:dyDescent="0.25">
      <c r="A1216" t="s">
        <v>441</v>
      </c>
      <c r="B1216">
        <v>2003</v>
      </c>
      <c r="C1216" t="s">
        <v>363</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Data_Completeness(LifeExpectancyData[[#This Row],[Life expectancy]:[Schooling]])</f>
        <v>1</v>
      </c>
    </row>
    <row r="1217" spans="1:23" x14ac:dyDescent="0.25">
      <c r="A1217" t="s">
        <v>441</v>
      </c>
      <c r="B1217">
        <v>2002</v>
      </c>
      <c r="C1217" t="s">
        <v>363</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Data_Completeness(LifeExpectancyData[[#This Row],[Life expectancy]:[Schooling]])</f>
        <v>1</v>
      </c>
    </row>
    <row r="1218" spans="1:23" x14ac:dyDescent="0.25">
      <c r="A1218" t="s">
        <v>441</v>
      </c>
      <c r="B1218">
        <v>2001</v>
      </c>
      <c r="C1218" t="s">
        <v>363</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Data_Completeness(LifeExpectancyData[[#This Row],[Life expectancy]:[Schooling]])</f>
        <v>1</v>
      </c>
    </row>
    <row r="1219" spans="1:23" x14ac:dyDescent="0.25">
      <c r="A1219" t="s">
        <v>441</v>
      </c>
      <c r="B1219">
        <v>2000</v>
      </c>
      <c r="C1219" t="s">
        <v>363</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Data_Completeness(LifeExpectancyData[[#This Row],[Life expectancy]:[Schooling]])</f>
        <v>1</v>
      </c>
    </row>
    <row r="1220" spans="1:23" x14ac:dyDescent="0.25">
      <c r="A1220" t="s">
        <v>442</v>
      </c>
      <c r="B1220">
        <v>2015</v>
      </c>
      <c r="C1220" t="s">
        <v>363</v>
      </c>
      <c r="D1220">
        <v>75.5</v>
      </c>
      <c r="E1220">
        <v>83</v>
      </c>
      <c r="F1220">
        <v>18</v>
      </c>
      <c r="H1220">
        <v>0</v>
      </c>
      <c r="I1220">
        <v>98</v>
      </c>
      <c r="J1220">
        <v>615</v>
      </c>
      <c r="K1220">
        <v>59.7</v>
      </c>
      <c r="L1220">
        <v>21</v>
      </c>
      <c r="M1220">
        <v>98</v>
      </c>
      <c r="O1220">
        <v>98</v>
      </c>
      <c r="P1220">
        <v>0.1</v>
      </c>
      <c r="S1220">
        <v>8.5</v>
      </c>
      <c r="T1220">
        <v>8.6</v>
      </c>
      <c r="U1220">
        <v>0.77400000000000002</v>
      </c>
      <c r="V1220">
        <v>14.8</v>
      </c>
      <c r="W1220" t="b">
        <f>Data_Completeness(LifeExpectancyData[[#This Row],[Life expectancy]:[Schooling]])</f>
        <v>0</v>
      </c>
    </row>
    <row r="1221" spans="1:23" x14ac:dyDescent="0.25">
      <c r="A1221" t="s">
        <v>442</v>
      </c>
      <c r="B1221">
        <v>2014</v>
      </c>
      <c r="C1221" t="s">
        <v>363</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Data_Completeness(LifeExpectancyData[[#This Row],[Life expectancy]:[Schooling]])</f>
        <v>0</v>
      </c>
    </row>
    <row r="1222" spans="1:23" x14ac:dyDescent="0.25">
      <c r="A1222" t="s">
        <v>442</v>
      </c>
      <c r="B1222">
        <v>2013</v>
      </c>
      <c r="C1222" t="s">
        <v>363</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Data_Completeness(LifeExpectancyData[[#This Row],[Life expectancy]:[Schooling]])</f>
        <v>0</v>
      </c>
    </row>
    <row r="1223" spans="1:23" x14ac:dyDescent="0.25">
      <c r="A1223" t="s">
        <v>442</v>
      </c>
      <c r="B1223">
        <v>2012</v>
      </c>
      <c r="C1223" t="s">
        <v>363</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Data_Completeness(LifeExpectancyData[[#This Row],[Life expectancy]:[Schooling]])</f>
        <v>0</v>
      </c>
    </row>
    <row r="1224" spans="1:23" x14ac:dyDescent="0.25">
      <c r="A1224" t="s">
        <v>442</v>
      </c>
      <c r="B1224">
        <v>2011</v>
      </c>
      <c r="C1224" t="s">
        <v>363</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Data_Completeness(LifeExpectancyData[[#This Row],[Life expectancy]:[Schooling]])</f>
        <v>0</v>
      </c>
    </row>
    <row r="1225" spans="1:23" x14ac:dyDescent="0.25">
      <c r="A1225" t="s">
        <v>442</v>
      </c>
      <c r="B1225">
        <v>2010</v>
      </c>
      <c r="C1225" t="s">
        <v>363</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Data_Completeness(LifeExpectancyData[[#This Row],[Life expectancy]:[Schooling]])</f>
        <v>0</v>
      </c>
    </row>
    <row r="1226" spans="1:23" x14ac:dyDescent="0.25">
      <c r="A1226" t="s">
        <v>442</v>
      </c>
      <c r="B1226">
        <v>2009</v>
      </c>
      <c r="C1226" t="s">
        <v>363</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Data_Completeness(LifeExpectancyData[[#This Row],[Life expectancy]:[Schooling]])</f>
        <v>0</v>
      </c>
    </row>
    <row r="1227" spans="1:23" x14ac:dyDescent="0.25">
      <c r="A1227" t="s">
        <v>442</v>
      </c>
      <c r="B1227">
        <v>2008</v>
      </c>
      <c r="C1227" t="s">
        <v>363</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Data_Completeness(LifeExpectancyData[[#This Row],[Life expectancy]:[Schooling]])</f>
        <v>0</v>
      </c>
    </row>
    <row r="1228" spans="1:23" x14ac:dyDescent="0.25">
      <c r="A1228" t="s">
        <v>442</v>
      </c>
      <c r="B1228">
        <v>2007</v>
      </c>
      <c r="C1228" t="s">
        <v>363</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Data_Completeness(LifeExpectancyData[[#This Row],[Life expectancy]:[Schooling]])</f>
        <v>0</v>
      </c>
    </row>
    <row r="1229" spans="1:23" x14ac:dyDescent="0.25">
      <c r="A1229" t="s">
        <v>442</v>
      </c>
      <c r="B1229">
        <v>2006</v>
      </c>
      <c r="C1229" t="s">
        <v>363</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Data_Completeness(LifeExpectancyData[[#This Row],[Life expectancy]:[Schooling]])</f>
        <v>0</v>
      </c>
    </row>
    <row r="1230" spans="1:23" x14ac:dyDescent="0.25">
      <c r="A1230" t="s">
        <v>442</v>
      </c>
      <c r="B1230">
        <v>2005</v>
      </c>
      <c r="C1230" t="s">
        <v>363</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Data_Completeness(LifeExpectancyData[[#This Row],[Life expectancy]:[Schooling]])</f>
        <v>0</v>
      </c>
    </row>
    <row r="1231" spans="1:23" x14ac:dyDescent="0.25">
      <c r="A1231" t="s">
        <v>442</v>
      </c>
      <c r="B1231">
        <v>2004</v>
      </c>
      <c r="C1231" t="s">
        <v>363</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Data_Completeness(LifeExpectancyData[[#This Row],[Life expectancy]:[Schooling]])</f>
        <v>0</v>
      </c>
    </row>
    <row r="1232" spans="1:23" x14ac:dyDescent="0.25">
      <c r="A1232" t="s">
        <v>442</v>
      </c>
      <c r="B1232">
        <v>2003</v>
      </c>
      <c r="C1232" t="s">
        <v>363</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Data_Completeness(LifeExpectancyData[[#This Row],[Life expectancy]:[Schooling]])</f>
        <v>0</v>
      </c>
    </row>
    <row r="1233" spans="1:23" x14ac:dyDescent="0.25">
      <c r="A1233" t="s">
        <v>442</v>
      </c>
      <c r="B1233">
        <v>2002</v>
      </c>
      <c r="C1233" t="s">
        <v>363</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Data_Completeness(LifeExpectancyData[[#This Row],[Life expectancy]:[Schooling]])</f>
        <v>0</v>
      </c>
    </row>
    <row r="1234" spans="1:23" x14ac:dyDescent="0.25">
      <c r="A1234" t="s">
        <v>442</v>
      </c>
      <c r="B1234">
        <v>2001</v>
      </c>
      <c r="C1234" t="s">
        <v>363</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Data_Completeness(LifeExpectancyData[[#This Row],[Life expectancy]:[Schooling]])</f>
        <v>0</v>
      </c>
    </row>
    <row r="1235" spans="1:23" x14ac:dyDescent="0.25">
      <c r="A1235" t="s">
        <v>442</v>
      </c>
      <c r="B1235">
        <v>2000</v>
      </c>
      <c r="C1235" t="s">
        <v>363</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Data_Completeness(LifeExpectancyData[[#This Row],[Life expectancy]:[Schooling]])</f>
        <v>0</v>
      </c>
    </row>
    <row r="1236" spans="1:23" x14ac:dyDescent="0.25">
      <c r="A1236" t="s">
        <v>443</v>
      </c>
      <c r="B1236">
        <v>2015</v>
      </c>
      <c r="C1236" t="s">
        <v>363</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Data_Completeness(LifeExpectancyData[[#This Row],[Life expectancy]:[Schooling]])</f>
        <v>0</v>
      </c>
    </row>
    <row r="1237" spans="1:23" x14ac:dyDescent="0.25">
      <c r="A1237" t="s">
        <v>443</v>
      </c>
      <c r="B1237">
        <v>2014</v>
      </c>
      <c r="C1237" t="s">
        <v>363</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Data_Completeness(LifeExpectancyData[[#This Row],[Life expectancy]:[Schooling]])</f>
        <v>1</v>
      </c>
    </row>
    <row r="1238" spans="1:23" x14ac:dyDescent="0.25">
      <c r="A1238" t="s">
        <v>443</v>
      </c>
      <c r="B1238">
        <v>2013</v>
      </c>
      <c r="C1238" t="s">
        <v>363</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Data_Completeness(LifeExpectancyData[[#This Row],[Life expectancy]:[Schooling]])</f>
        <v>1</v>
      </c>
    </row>
    <row r="1239" spans="1:23" x14ac:dyDescent="0.25">
      <c r="A1239" t="s">
        <v>443</v>
      </c>
      <c r="B1239">
        <v>2012</v>
      </c>
      <c r="C1239" t="s">
        <v>363</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Data_Completeness(LifeExpectancyData[[#This Row],[Life expectancy]:[Schooling]])</f>
        <v>1</v>
      </c>
    </row>
    <row r="1240" spans="1:23" x14ac:dyDescent="0.25">
      <c r="A1240" t="s">
        <v>443</v>
      </c>
      <c r="B1240">
        <v>2011</v>
      </c>
      <c r="C1240" t="s">
        <v>363</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Data_Completeness(LifeExpectancyData[[#This Row],[Life expectancy]:[Schooling]])</f>
        <v>1</v>
      </c>
    </row>
    <row r="1241" spans="1:23" x14ac:dyDescent="0.25">
      <c r="A1241" t="s">
        <v>443</v>
      </c>
      <c r="B1241">
        <v>2010</v>
      </c>
      <c r="C1241" t="s">
        <v>363</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Data_Completeness(LifeExpectancyData[[#This Row],[Life expectancy]:[Schooling]])</f>
        <v>1</v>
      </c>
    </row>
    <row r="1242" spans="1:23" x14ac:dyDescent="0.25">
      <c r="A1242" t="s">
        <v>443</v>
      </c>
      <c r="B1242">
        <v>2009</v>
      </c>
      <c r="C1242" t="s">
        <v>363</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Data_Completeness(LifeExpectancyData[[#This Row],[Life expectancy]:[Schooling]])</f>
        <v>1</v>
      </c>
    </row>
    <row r="1243" spans="1:23" x14ac:dyDescent="0.25">
      <c r="A1243" t="s">
        <v>443</v>
      </c>
      <c r="B1243">
        <v>2008</v>
      </c>
      <c r="C1243" t="s">
        <v>363</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Data_Completeness(LifeExpectancyData[[#This Row],[Life expectancy]:[Schooling]])</f>
        <v>1</v>
      </c>
    </row>
    <row r="1244" spans="1:23" x14ac:dyDescent="0.25">
      <c r="A1244" t="s">
        <v>443</v>
      </c>
      <c r="B1244">
        <v>2007</v>
      </c>
      <c r="C1244" t="s">
        <v>363</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Data_Completeness(LifeExpectancyData[[#This Row],[Life expectancy]:[Schooling]])</f>
        <v>1</v>
      </c>
    </row>
    <row r="1245" spans="1:23" x14ac:dyDescent="0.25">
      <c r="A1245" t="s">
        <v>443</v>
      </c>
      <c r="B1245">
        <v>2006</v>
      </c>
      <c r="C1245" t="s">
        <v>363</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Data_Completeness(LifeExpectancyData[[#This Row],[Life expectancy]:[Schooling]])</f>
        <v>1</v>
      </c>
    </row>
    <row r="1246" spans="1:23" x14ac:dyDescent="0.25">
      <c r="A1246" t="s">
        <v>443</v>
      </c>
      <c r="B1246">
        <v>2005</v>
      </c>
      <c r="C1246" t="s">
        <v>363</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Data_Completeness(LifeExpectancyData[[#This Row],[Life expectancy]:[Schooling]])</f>
        <v>1</v>
      </c>
    </row>
    <row r="1247" spans="1:23" x14ac:dyDescent="0.25">
      <c r="A1247" t="s">
        <v>443</v>
      </c>
      <c r="B1247">
        <v>2004</v>
      </c>
      <c r="C1247" t="s">
        <v>363</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Data_Completeness(LifeExpectancyData[[#This Row],[Life expectancy]:[Schooling]])</f>
        <v>1</v>
      </c>
    </row>
    <row r="1248" spans="1:23" x14ac:dyDescent="0.25">
      <c r="A1248" t="s">
        <v>443</v>
      </c>
      <c r="B1248">
        <v>2003</v>
      </c>
      <c r="C1248" t="s">
        <v>363</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Data_Completeness(LifeExpectancyData[[#This Row],[Life expectancy]:[Schooling]])</f>
        <v>0</v>
      </c>
    </row>
    <row r="1249" spans="1:23" x14ac:dyDescent="0.25">
      <c r="A1249" t="s">
        <v>443</v>
      </c>
      <c r="B1249">
        <v>2002</v>
      </c>
      <c r="C1249" t="s">
        <v>363</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Data_Completeness(LifeExpectancyData[[#This Row],[Life expectancy]:[Schooling]])</f>
        <v>0</v>
      </c>
    </row>
    <row r="1250" spans="1:23" x14ac:dyDescent="0.25">
      <c r="A1250" t="s">
        <v>443</v>
      </c>
      <c r="B1250">
        <v>2001</v>
      </c>
      <c r="C1250" t="s">
        <v>363</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Data_Completeness(LifeExpectancyData[[#This Row],[Life expectancy]:[Schooling]])</f>
        <v>0</v>
      </c>
    </row>
    <row r="1251" spans="1:23" x14ac:dyDescent="0.25">
      <c r="A1251" t="s">
        <v>443</v>
      </c>
      <c r="B1251">
        <v>2000</v>
      </c>
      <c r="C1251" t="s">
        <v>363</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Data_Completeness(LifeExpectancyData[[#This Row],[Life expectancy]:[Schooling]])</f>
        <v>0</v>
      </c>
    </row>
    <row r="1252" spans="1:23" x14ac:dyDescent="0.25">
      <c r="A1252" t="s">
        <v>444</v>
      </c>
      <c r="B1252">
        <v>2015</v>
      </c>
      <c r="C1252" t="s">
        <v>371</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Data_Completeness(LifeExpectancyData[[#This Row],[Life expectancy]:[Schooling]])</f>
        <v>0</v>
      </c>
    </row>
    <row r="1253" spans="1:23" x14ac:dyDescent="0.25">
      <c r="A1253" t="s">
        <v>444</v>
      </c>
      <c r="B1253">
        <v>2014</v>
      </c>
      <c r="C1253" t="s">
        <v>371</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Data_Completeness(LifeExpectancyData[[#This Row],[Life expectancy]:[Schooling]])</f>
        <v>1</v>
      </c>
    </row>
    <row r="1254" spans="1:23" x14ac:dyDescent="0.25">
      <c r="A1254" t="s">
        <v>444</v>
      </c>
      <c r="B1254">
        <v>2013</v>
      </c>
      <c r="C1254" t="s">
        <v>371</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Data_Completeness(LifeExpectancyData[[#This Row],[Life expectancy]:[Schooling]])</f>
        <v>1</v>
      </c>
    </row>
    <row r="1255" spans="1:23" x14ac:dyDescent="0.25">
      <c r="A1255" t="s">
        <v>444</v>
      </c>
      <c r="B1255">
        <v>2012</v>
      </c>
      <c r="C1255" t="s">
        <v>371</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Data_Completeness(LifeExpectancyData[[#This Row],[Life expectancy]:[Schooling]])</f>
        <v>1</v>
      </c>
    </row>
    <row r="1256" spans="1:23" x14ac:dyDescent="0.25">
      <c r="A1256" t="s">
        <v>444</v>
      </c>
      <c r="B1256">
        <v>2011</v>
      </c>
      <c r="C1256" t="s">
        <v>371</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Data_Completeness(LifeExpectancyData[[#This Row],[Life expectancy]:[Schooling]])</f>
        <v>1</v>
      </c>
    </row>
    <row r="1257" spans="1:23" x14ac:dyDescent="0.25">
      <c r="A1257" t="s">
        <v>444</v>
      </c>
      <c r="B1257">
        <v>2010</v>
      </c>
      <c r="C1257" t="s">
        <v>371</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Data_Completeness(LifeExpectancyData[[#This Row],[Life expectancy]:[Schooling]])</f>
        <v>1</v>
      </c>
    </row>
    <row r="1258" spans="1:23" x14ac:dyDescent="0.25">
      <c r="A1258" t="s">
        <v>444</v>
      </c>
      <c r="B1258">
        <v>2009</v>
      </c>
      <c r="C1258" t="s">
        <v>371</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Data_Completeness(LifeExpectancyData[[#This Row],[Life expectancy]:[Schooling]])</f>
        <v>0</v>
      </c>
    </row>
    <row r="1259" spans="1:23" x14ac:dyDescent="0.25">
      <c r="A1259" t="s">
        <v>444</v>
      </c>
      <c r="B1259">
        <v>2008</v>
      </c>
      <c r="C1259" t="s">
        <v>371</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Data_Completeness(LifeExpectancyData[[#This Row],[Life expectancy]:[Schooling]])</f>
        <v>0</v>
      </c>
    </row>
    <row r="1260" spans="1:23" x14ac:dyDescent="0.25">
      <c r="A1260" t="s">
        <v>444</v>
      </c>
      <c r="B1260">
        <v>2007</v>
      </c>
      <c r="C1260" t="s">
        <v>371</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Data_Completeness(LifeExpectancyData[[#This Row],[Life expectancy]:[Schooling]])</f>
        <v>0</v>
      </c>
    </row>
    <row r="1261" spans="1:23" x14ac:dyDescent="0.25">
      <c r="A1261" t="s">
        <v>444</v>
      </c>
      <c r="B1261">
        <v>2006</v>
      </c>
      <c r="C1261" t="s">
        <v>371</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Data_Completeness(LifeExpectancyData[[#This Row],[Life expectancy]:[Schooling]])</f>
        <v>0</v>
      </c>
    </row>
    <row r="1262" spans="1:23" x14ac:dyDescent="0.25">
      <c r="A1262" t="s">
        <v>444</v>
      </c>
      <c r="B1262">
        <v>2005</v>
      </c>
      <c r="C1262" t="s">
        <v>371</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Data_Completeness(LifeExpectancyData[[#This Row],[Life expectancy]:[Schooling]])</f>
        <v>0</v>
      </c>
    </row>
    <row r="1263" spans="1:23" x14ac:dyDescent="0.25">
      <c r="A1263" t="s">
        <v>444</v>
      </c>
      <c r="B1263">
        <v>2004</v>
      </c>
      <c r="C1263" t="s">
        <v>371</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Data_Completeness(LifeExpectancyData[[#This Row],[Life expectancy]:[Schooling]])</f>
        <v>0</v>
      </c>
    </row>
    <row r="1264" spans="1:23" x14ac:dyDescent="0.25">
      <c r="A1264" t="s">
        <v>444</v>
      </c>
      <c r="B1264">
        <v>2003</v>
      </c>
      <c r="C1264" t="s">
        <v>371</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Data_Completeness(LifeExpectancyData[[#This Row],[Life expectancy]:[Schooling]])</f>
        <v>0</v>
      </c>
    </row>
    <row r="1265" spans="1:23" x14ac:dyDescent="0.25">
      <c r="A1265" t="s">
        <v>444</v>
      </c>
      <c r="B1265">
        <v>2002</v>
      </c>
      <c r="C1265" t="s">
        <v>371</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Data_Completeness(LifeExpectancyData[[#This Row],[Life expectancy]:[Schooling]])</f>
        <v>0</v>
      </c>
    </row>
    <row r="1266" spans="1:23" x14ac:dyDescent="0.25">
      <c r="A1266" t="s">
        <v>444</v>
      </c>
      <c r="B1266">
        <v>2001</v>
      </c>
      <c r="C1266" t="s">
        <v>371</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Data_Completeness(LifeExpectancyData[[#This Row],[Life expectancy]:[Schooling]])</f>
        <v>0</v>
      </c>
    </row>
    <row r="1267" spans="1:23" x14ac:dyDescent="0.25">
      <c r="A1267" t="s">
        <v>444</v>
      </c>
      <c r="B1267">
        <v>2000</v>
      </c>
      <c r="C1267" t="s">
        <v>371</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Data_Completeness(LifeExpectancyData[[#This Row],[Life expectancy]:[Schooling]])</f>
        <v>0</v>
      </c>
    </row>
    <row r="1268" spans="1:23" x14ac:dyDescent="0.25">
      <c r="A1268" t="s">
        <v>445</v>
      </c>
      <c r="B1268">
        <v>2015</v>
      </c>
      <c r="C1268" t="s">
        <v>363</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Data_Completeness(LifeExpectancyData[[#This Row],[Life expectancy]:[Schooling]])</f>
        <v>0</v>
      </c>
    </row>
    <row r="1269" spans="1:23" x14ac:dyDescent="0.25">
      <c r="A1269" t="s">
        <v>445</v>
      </c>
      <c r="B1269">
        <v>2014</v>
      </c>
      <c r="C1269" t="s">
        <v>363</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Data_Completeness(LifeExpectancyData[[#This Row],[Life expectancy]:[Schooling]])</f>
        <v>1</v>
      </c>
    </row>
    <row r="1270" spans="1:23" x14ac:dyDescent="0.25">
      <c r="A1270" t="s">
        <v>445</v>
      </c>
      <c r="B1270">
        <v>2013</v>
      </c>
      <c r="C1270" t="s">
        <v>363</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Data_Completeness(LifeExpectancyData[[#This Row],[Life expectancy]:[Schooling]])</f>
        <v>1</v>
      </c>
    </row>
    <row r="1271" spans="1:23" x14ac:dyDescent="0.25">
      <c r="A1271" t="s">
        <v>445</v>
      </c>
      <c r="B1271">
        <v>2012</v>
      </c>
      <c r="C1271" t="s">
        <v>363</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Data_Completeness(LifeExpectancyData[[#This Row],[Life expectancy]:[Schooling]])</f>
        <v>1</v>
      </c>
    </row>
    <row r="1272" spans="1:23" x14ac:dyDescent="0.25">
      <c r="A1272" t="s">
        <v>445</v>
      </c>
      <c r="B1272">
        <v>2011</v>
      </c>
      <c r="C1272" t="s">
        <v>363</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Data_Completeness(LifeExpectancyData[[#This Row],[Life expectancy]:[Schooling]])</f>
        <v>1</v>
      </c>
    </row>
    <row r="1273" spans="1:23" x14ac:dyDescent="0.25">
      <c r="A1273" t="s">
        <v>445</v>
      </c>
      <c r="B1273">
        <v>2010</v>
      </c>
      <c r="C1273" t="s">
        <v>363</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Data_Completeness(LifeExpectancyData[[#This Row],[Life expectancy]:[Schooling]])</f>
        <v>1</v>
      </c>
    </row>
    <row r="1274" spans="1:23" x14ac:dyDescent="0.25">
      <c r="A1274" t="s">
        <v>445</v>
      </c>
      <c r="B1274">
        <v>2009</v>
      </c>
      <c r="C1274" t="s">
        <v>363</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Data_Completeness(LifeExpectancyData[[#This Row],[Life expectancy]:[Schooling]])</f>
        <v>1</v>
      </c>
    </row>
    <row r="1275" spans="1:23" x14ac:dyDescent="0.25">
      <c r="A1275" t="s">
        <v>445</v>
      </c>
      <c r="B1275">
        <v>2008</v>
      </c>
      <c r="C1275" t="s">
        <v>363</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Data_Completeness(LifeExpectancyData[[#This Row],[Life expectancy]:[Schooling]])</f>
        <v>1</v>
      </c>
    </row>
    <row r="1276" spans="1:23" x14ac:dyDescent="0.25">
      <c r="A1276" t="s">
        <v>445</v>
      </c>
      <c r="B1276">
        <v>2007</v>
      </c>
      <c r="C1276" t="s">
        <v>363</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Data_Completeness(LifeExpectancyData[[#This Row],[Life expectancy]:[Schooling]])</f>
        <v>1</v>
      </c>
    </row>
    <row r="1277" spans="1:23" x14ac:dyDescent="0.25">
      <c r="A1277" t="s">
        <v>445</v>
      </c>
      <c r="B1277">
        <v>2006</v>
      </c>
      <c r="C1277" t="s">
        <v>363</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Data_Completeness(LifeExpectancyData[[#This Row],[Life expectancy]:[Schooling]])</f>
        <v>1</v>
      </c>
    </row>
    <row r="1278" spans="1:23" x14ac:dyDescent="0.25">
      <c r="A1278" t="s">
        <v>445</v>
      </c>
      <c r="B1278">
        <v>2005</v>
      </c>
      <c r="C1278" t="s">
        <v>363</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Data_Completeness(LifeExpectancyData[[#This Row],[Life expectancy]:[Schooling]])</f>
        <v>1</v>
      </c>
    </row>
    <row r="1279" spans="1:23" x14ac:dyDescent="0.25">
      <c r="A1279" t="s">
        <v>445</v>
      </c>
      <c r="B1279">
        <v>2004</v>
      </c>
      <c r="C1279" t="s">
        <v>363</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Data_Completeness(LifeExpectancyData[[#This Row],[Life expectancy]:[Schooling]])</f>
        <v>1</v>
      </c>
    </row>
    <row r="1280" spans="1:23" x14ac:dyDescent="0.25">
      <c r="A1280" t="s">
        <v>445</v>
      </c>
      <c r="B1280">
        <v>2003</v>
      </c>
      <c r="C1280" t="s">
        <v>363</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Data_Completeness(LifeExpectancyData[[#This Row],[Life expectancy]:[Schooling]])</f>
        <v>1</v>
      </c>
    </row>
    <row r="1281" spans="1:23" x14ac:dyDescent="0.25">
      <c r="A1281" t="s">
        <v>445</v>
      </c>
      <c r="B1281">
        <v>2002</v>
      </c>
      <c r="C1281" t="s">
        <v>363</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Data_Completeness(LifeExpectancyData[[#This Row],[Life expectancy]:[Schooling]])</f>
        <v>1</v>
      </c>
    </row>
    <row r="1282" spans="1:23" x14ac:dyDescent="0.25">
      <c r="A1282" t="s">
        <v>445</v>
      </c>
      <c r="B1282">
        <v>2001</v>
      </c>
      <c r="C1282" t="s">
        <v>363</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Data_Completeness(LifeExpectancyData[[#This Row],[Life expectancy]:[Schooling]])</f>
        <v>1</v>
      </c>
    </row>
    <row r="1283" spans="1:23" x14ac:dyDescent="0.25">
      <c r="A1283" t="s">
        <v>445</v>
      </c>
      <c r="B1283">
        <v>2000</v>
      </c>
      <c r="C1283" t="s">
        <v>363</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Data_Completeness(LifeExpectancyData[[#This Row],[Life expectancy]:[Schooling]])</f>
        <v>1</v>
      </c>
    </row>
    <row r="1284" spans="1:23" x14ac:dyDescent="0.25">
      <c r="A1284" t="s">
        <v>446</v>
      </c>
      <c r="B1284">
        <v>2015</v>
      </c>
      <c r="C1284" t="s">
        <v>371</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Data_Completeness(LifeExpectancyData[[#This Row],[Life expectancy]:[Schooling]])</f>
        <v>0</v>
      </c>
    </row>
    <row r="1285" spans="1:23" x14ac:dyDescent="0.25">
      <c r="A1285" t="s">
        <v>446</v>
      </c>
      <c r="B1285">
        <v>2014</v>
      </c>
      <c r="C1285" t="s">
        <v>371</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Data_Completeness(LifeExpectancyData[[#This Row],[Life expectancy]:[Schooling]])</f>
        <v>1</v>
      </c>
    </row>
    <row r="1286" spans="1:23" x14ac:dyDescent="0.25">
      <c r="A1286" t="s">
        <v>446</v>
      </c>
      <c r="B1286">
        <v>2013</v>
      </c>
      <c r="C1286" t="s">
        <v>371</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Data_Completeness(LifeExpectancyData[[#This Row],[Life expectancy]:[Schooling]])</f>
        <v>1</v>
      </c>
    </row>
    <row r="1287" spans="1:23" x14ac:dyDescent="0.25">
      <c r="A1287" t="s">
        <v>446</v>
      </c>
      <c r="B1287">
        <v>2012</v>
      </c>
      <c r="C1287" t="s">
        <v>371</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Data_Completeness(LifeExpectancyData[[#This Row],[Life expectancy]:[Schooling]])</f>
        <v>1</v>
      </c>
    </row>
    <row r="1288" spans="1:23" x14ac:dyDescent="0.25">
      <c r="A1288" t="s">
        <v>446</v>
      </c>
      <c r="B1288">
        <v>2011</v>
      </c>
      <c r="C1288" t="s">
        <v>371</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Data_Completeness(LifeExpectancyData[[#This Row],[Life expectancy]:[Schooling]])</f>
        <v>1</v>
      </c>
    </row>
    <row r="1289" spans="1:23" x14ac:dyDescent="0.25">
      <c r="A1289" t="s">
        <v>446</v>
      </c>
      <c r="B1289">
        <v>2010</v>
      </c>
      <c r="C1289" t="s">
        <v>371</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Data_Completeness(LifeExpectancyData[[#This Row],[Life expectancy]:[Schooling]])</f>
        <v>1</v>
      </c>
    </row>
    <row r="1290" spans="1:23" x14ac:dyDescent="0.25">
      <c r="A1290" t="s">
        <v>446</v>
      </c>
      <c r="B1290">
        <v>2009</v>
      </c>
      <c r="C1290" t="s">
        <v>371</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Data_Completeness(LifeExpectancyData[[#This Row],[Life expectancy]:[Schooling]])</f>
        <v>1</v>
      </c>
    </row>
    <row r="1291" spans="1:23" x14ac:dyDescent="0.25">
      <c r="A1291" t="s">
        <v>446</v>
      </c>
      <c r="B1291">
        <v>2008</v>
      </c>
      <c r="C1291" t="s">
        <v>371</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Data_Completeness(LifeExpectancyData[[#This Row],[Life expectancy]:[Schooling]])</f>
        <v>1</v>
      </c>
    </row>
    <row r="1292" spans="1:23" x14ac:dyDescent="0.25">
      <c r="A1292" t="s">
        <v>446</v>
      </c>
      <c r="B1292">
        <v>2007</v>
      </c>
      <c r="C1292" t="s">
        <v>371</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Data_Completeness(LifeExpectancyData[[#This Row],[Life expectancy]:[Schooling]])</f>
        <v>1</v>
      </c>
    </row>
    <row r="1293" spans="1:23" x14ac:dyDescent="0.25">
      <c r="A1293" t="s">
        <v>446</v>
      </c>
      <c r="B1293">
        <v>2006</v>
      </c>
      <c r="C1293" t="s">
        <v>371</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Data_Completeness(LifeExpectancyData[[#This Row],[Life expectancy]:[Schooling]])</f>
        <v>1</v>
      </c>
    </row>
    <row r="1294" spans="1:23" x14ac:dyDescent="0.25">
      <c r="A1294" t="s">
        <v>446</v>
      </c>
      <c r="B1294">
        <v>2005</v>
      </c>
      <c r="C1294" t="s">
        <v>371</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Data_Completeness(LifeExpectancyData[[#This Row],[Life expectancy]:[Schooling]])</f>
        <v>1</v>
      </c>
    </row>
    <row r="1295" spans="1:23" x14ac:dyDescent="0.25">
      <c r="A1295" t="s">
        <v>446</v>
      </c>
      <c r="B1295">
        <v>2004</v>
      </c>
      <c r="C1295" t="s">
        <v>371</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Data_Completeness(LifeExpectancyData[[#This Row],[Life expectancy]:[Schooling]])</f>
        <v>1</v>
      </c>
    </row>
    <row r="1296" spans="1:23" x14ac:dyDescent="0.25">
      <c r="A1296" t="s">
        <v>446</v>
      </c>
      <c r="B1296">
        <v>2003</v>
      </c>
      <c r="C1296" t="s">
        <v>371</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Data_Completeness(LifeExpectancyData[[#This Row],[Life expectancy]:[Schooling]])</f>
        <v>1</v>
      </c>
    </row>
    <row r="1297" spans="1:23" x14ac:dyDescent="0.25">
      <c r="A1297" t="s">
        <v>446</v>
      </c>
      <c r="B1297">
        <v>2002</v>
      </c>
      <c r="C1297" t="s">
        <v>371</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Data_Completeness(LifeExpectancyData[[#This Row],[Life expectancy]:[Schooling]])</f>
        <v>1</v>
      </c>
    </row>
    <row r="1298" spans="1:23" x14ac:dyDescent="0.25">
      <c r="A1298" t="s">
        <v>446</v>
      </c>
      <c r="B1298">
        <v>2001</v>
      </c>
      <c r="C1298" t="s">
        <v>371</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Data_Completeness(LifeExpectancyData[[#This Row],[Life expectancy]:[Schooling]])</f>
        <v>1</v>
      </c>
    </row>
    <row r="1299" spans="1:23" x14ac:dyDescent="0.25">
      <c r="A1299" t="s">
        <v>446</v>
      </c>
      <c r="B1299">
        <v>2000</v>
      </c>
      <c r="C1299" t="s">
        <v>371</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Data_Completeness(LifeExpectancyData[[#This Row],[Life expectancy]:[Schooling]])</f>
        <v>1</v>
      </c>
    </row>
    <row r="1300" spans="1:23" x14ac:dyDescent="0.25">
      <c r="A1300" t="s">
        <v>447</v>
      </c>
      <c r="B1300">
        <v>2015</v>
      </c>
      <c r="C1300" t="s">
        <v>363</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Data_Completeness(LifeExpectancyData[[#This Row],[Life expectancy]:[Schooling]])</f>
        <v>0</v>
      </c>
    </row>
    <row r="1301" spans="1:23" x14ac:dyDescent="0.25">
      <c r="A1301" t="s">
        <v>447</v>
      </c>
      <c r="B1301">
        <v>2014</v>
      </c>
      <c r="C1301" t="s">
        <v>363</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Data_Completeness(LifeExpectancyData[[#This Row],[Life expectancy]:[Schooling]])</f>
        <v>1</v>
      </c>
    </row>
    <row r="1302" spans="1:23" x14ac:dyDescent="0.25">
      <c r="A1302" t="s">
        <v>447</v>
      </c>
      <c r="B1302">
        <v>2013</v>
      </c>
      <c r="C1302" t="s">
        <v>363</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Data_Completeness(LifeExpectancyData[[#This Row],[Life expectancy]:[Schooling]])</f>
        <v>1</v>
      </c>
    </row>
    <row r="1303" spans="1:23" x14ac:dyDescent="0.25">
      <c r="A1303" t="s">
        <v>447</v>
      </c>
      <c r="B1303">
        <v>2012</v>
      </c>
      <c r="C1303" t="s">
        <v>363</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Data_Completeness(LifeExpectancyData[[#This Row],[Life expectancy]:[Schooling]])</f>
        <v>1</v>
      </c>
    </row>
    <row r="1304" spans="1:23" x14ac:dyDescent="0.25">
      <c r="A1304" t="s">
        <v>447</v>
      </c>
      <c r="B1304">
        <v>2011</v>
      </c>
      <c r="C1304" t="s">
        <v>363</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Data_Completeness(LifeExpectancyData[[#This Row],[Life expectancy]:[Schooling]])</f>
        <v>1</v>
      </c>
    </row>
    <row r="1305" spans="1:23" x14ac:dyDescent="0.25">
      <c r="A1305" t="s">
        <v>447</v>
      </c>
      <c r="B1305">
        <v>2010</v>
      </c>
      <c r="C1305" t="s">
        <v>363</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Data_Completeness(LifeExpectancyData[[#This Row],[Life expectancy]:[Schooling]])</f>
        <v>1</v>
      </c>
    </row>
    <row r="1306" spans="1:23" x14ac:dyDescent="0.25">
      <c r="A1306" t="s">
        <v>447</v>
      </c>
      <c r="B1306">
        <v>2009</v>
      </c>
      <c r="C1306" t="s">
        <v>363</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Data_Completeness(LifeExpectancyData[[#This Row],[Life expectancy]:[Schooling]])</f>
        <v>1</v>
      </c>
    </row>
    <row r="1307" spans="1:23" x14ac:dyDescent="0.25">
      <c r="A1307" t="s">
        <v>447</v>
      </c>
      <c r="B1307">
        <v>2008</v>
      </c>
      <c r="C1307" t="s">
        <v>363</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Data_Completeness(LifeExpectancyData[[#This Row],[Life expectancy]:[Schooling]])</f>
        <v>1</v>
      </c>
    </row>
    <row r="1308" spans="1:23" x14ac:dyDescent="0.25">
      <c r="A1308" t="s">
        <v>447</v>
      </c>
      <c r="B1308">
        <v>2007</v>
      </c>
      <c r="C1308" t="s">
        <v>363</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Data_Completeness(LifeExpectancyData[[#This Row],[Life expectancy]:[Schooling]])</f>
        <v>1</v>
      </c>
    </row>
    <row r="1309" spans="1:23" x14ac:dyDescent="0.25">
      <c r="A1309" t="s">
        <v>447</v>
      </c>
      <c r="B1309">
        <v>2006</v>
      </c>
      <c r="C1309" t="s">
        <v>363</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Data_Completeness(LifeExpectancyData[[#This Row],[Life expectancy]:[Schooling]])</f>
        <v>1</v>
      </c>
    </row>
    <row r="1310" spans="1:23" x14ac:dyDescent="0.25">
      <c r="A1310" t="s">
        <v>447</v>
      </c>
      <c r="B1310">
        <v>2005</v>
      </c>
      <c r="C1310" t="s">
        <v>363</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Data_Completeness(LifeExpectancyData[[#This Row],[Life expectancy]:[Schooling]])</f>
        <v>1</v>
      </c>
    </row>
    <row r="1311" spans="1:23" x14ac:dyDescent="0.25">
      <c r="A1311" t="s">
        <v>447</v>
      </c>
      <c r="B1311">
        <v>2004</v>
      </c>
      <c r="C1311" t="s">
        <v>363</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Data_Completeness(LifeExpectancyData[[#This Row],[Life expectancy]:[Schooling]])</f>
        <v>1</v>
      </c>
    </row>
    <row r="1312" spans="1:23" x14ac:dyDescent="0.25">
      <c r="A1312" t="s">
        <v>447</v>
      </c>
      <c r="B1312">
        <v>2003</v>
      </c>
      <c r="C1312" t="s">
        <v>363</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Data_Completeness(LifeExpectancyData[[#This Row],[Life expectancy]:[Schooling]])</f>
        <v>1</v>
      </c>
    </row>
    <row r="1313" spans="1:23" x14ac:dyDescent="0.25">
      <c r="A1313" t="s">
        <v>447</v>
      </c>
      <c r="B1313">
        <v>2002</v>
      </c>
      <c r="C1313" t="s">
        <v>363</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Data_Completeness(LifeExpectancyData[[#This Row],[Life expectancy]:[Schooling]])</f>
        <v>0</v>
      </c>
    </row>
    <row r="1314" spans="1:23" x14ac:dyDescent="0.25">
      <c r="A1314" t="s">
        <v>447</v>
      </c>
      <c r="B1314">
        <v>2001</v>
      </c>
      <c r="C1314" t="s">
        <v>363</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Data_Completeness(LifeExpectancyData[[#This Row],[Life expectancy]:[Schooling]])</f>
        <v>0</v>
      </c>
    </row>
    <row r="1315" spans="1:23" x14ac:dyDescent="0.25">
      <c r="A1315" t="s">
        <v>447</v>
      </c>
      <c r="B1315">
        <v>2000</v>
      </c>
      <c r="C1315" t="s">
        <v>363</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Data_Completeness(LifeExpectancyData[[#This Row],[Life expectancy]:[Schooling]])</f>
        <v>0</v>
      </c>
    </row>
    <row r="1316" spans="1:23" x14ac:dyDescent="0.25">
      <c r="A1316" t="s">
        <v>448</v>
      </c>
      <c r="B1316">
        <v>2015</v>
      </c>
      <c r="C1316" t="s">
        <v>371</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Data_Completeness(LifeExpectancyData[[#This Row],[Life expectancy]:[Schooling]])</f>
        <v>0</v>
      </c>
    </row>
    <row r="1317" spans="1:23" x14ac:dyDescent="0.25">
      <c r="A1317" t="s">
        <v>448</v>
      </c>
      <c r="B1317">
        <v>2014</v>
      </c>
      <c r="C1317" t="s">
        <v>371</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Data_Completeness(LifeExpectancyData[[#This Row],[Life expectancy]:[Schooling]])</f>
        <v>0</v>
      </c>
    </row>
    <row r="1318" spans="1:23" x14ac:dyDescent="0.25">
      <c r="A1318" t="s">
        <v>448</v>
      </c>
      <c r="B1318">
        <v>2013</v>
      </c>
      <c r="C1318" t="s">
        <v>371</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Data_Completeness(LifeExpectancyData[[#This Row],[Life expectancy]:[Schooling]])</f>
        <v>0</v>
      </c>
    </row>
    <row r="1319" spans="1:23" x14ac:dyDescent="0.25">
      <c r="A1319" t="s">
        <v>448</v>
      </c>
      <c r="B1319">
        <v>2012</v>
      </c>
      <c r="C1319" t="s">
        <v>371</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Data_Completeness(LifeExpectancyData[[#This Row],[Life expectancy]:[Schooling]])</f>
        <v>0</v>
      </c>
    </row>
    <row r="1320" spans="1:23" x14ac:dyDescent="0.25">
      <c r="A1320" t="s">
        <v>448</v>
      </c>
      <c r="B1320">
        <v>2011</v>
      </c>
      <c r="C1320" t="s">
        <v>371</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Data_Completeness(LifeExpectancyData[[#This Row],[Life expectancy]:[Schooling]])</f>
        <v>0</v>
      </c>
    </row>
    <row r="1321" spans="1:23" x14ac:dyDescent="0.25">
      <c r="A1321" t="s">
        <v>448</v>
      </c>
      <c r="B1321">
        <v>2010</v>
      </c>
      <c r="C1321" t="s">
        <v>371</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Data_Completeness(LifeExpectancyData[[#This Row],[Life expectancy]:[Schooling]])</f>
        <v>0</v>
      </c>
    </row>
    <row r="1322" spans="1:23" x14ac:dyDescent="0.25">
      <c r="A1322" t="s">
        <v>448</v>
      </c>
      <c r="B1322">
        <v>2009</v>
      </c>
      <c r="C1322" t="s">
        <v>371</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Data_Completeness(LifeExpectancyData[[#This Row],[Life expectancy]:[Schooling]])</f>
        <v>0</v>
      </c>
    </row>
    <row r="1323" spans="1:23" x14ac:dyDescent="0.25">
      <c r="A1323" t="s">
        <v>448</v>
      </c>
      <c r="B1323">
        <v>2008</v>
      </c>
      <c r="C1323" t="s">
        <v>371</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Data_Completeness(LifeExpectancyData[[#This Row],[Life expectancy]:[Schooling]])</f>
        <v>0</v>
      </c>
    </row>
    <row r="1324" spans="1:23" x14ac:dyDescent="0.25">
      <c r="A1324" t="s">
        <v>448</v>
      </c>
      <c r="B1324">
        <v>2007</v>
      </c>
      <c r="C1324" t="s">
        <v>371</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Data_Completeness(LifeExpectancyData[[#This Row],[Life expectancy]:[Schooling]])</f>
        <v>0</v>
      </c>
    </row>
    <row r="1325" spans="1:23" x14ac:dyDescent="0.25">
      <c r="A1325" t="s">
        <v>448</v>
      </c>
      <c r="B1325">
        <v>2006</v>
      </c>
      <c r="C1325" t="s">
        <v>371</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Data_Completeness(LifeExpectancyData[[#This Row],[Life expectancy]:[Schooling]])</f>
        <v>0</v>
      </c>
    </row>
    <row r="1326" spans="1:23" x14ac:dyDescent="0.25">
      <c r="A1326" t="s">
        <v>448</v>
      </c>
      <c r="B1326">
        <v>2005</v>
      </c>
      <c r="C1326" t="s">
        <v>371</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Data_Completeness(LifeExpectancyData[[#This Row],[Life expectancy]:[Schooling]])</f>
        <v>0</v>
      </c>
    </row>
    <row r="1327" spans="1:23" x14ac:dyDescent="0.25">
      <c r="A1327" t="s">
        <v>448</v>
      </c>
      <c r="B1327">
        <v>2004</v>
      </c>
      <c r="C1327" t="s">
        <v>371</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Data_Completeness(LifeExpectancyData[[#This Row],[Life expectancy]:[Schooling]])</f>
        <v>0</v>
      </c>
    </row>
    <row r="1328" spans="1:23" x14ac:dyDescent="0.25">
      <c r="A1328" t="s">
        <v>448</v>
      </c>
      <c r="B1328">
        <v>2003</v>
      </c>
      <c r="C1328" t="s">
        <v>371</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Data_Completeness(LifeExpectancyData[[#This Row],[Life expectancy]:[Schooling]])</f>
        <v>0</v>
      </c>
    </row>
    <row r="1329" spans="1:23" x14ac:dyDescent="0.25">
      <c r="A1329" t="s">
        <v>448</v>
      </c>
      <c r="B1329">
        <v>2002</v>
      </c>
      <c r="C1329" t="s">
        <v>371</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Data_Completeness(LifeExpectancyData[[#This Row],[Life expectancy]:[Schooling]])</f>
        <v>0</v>
      </c>
    </row>
    <row r="1330" spans="1:23" x14ac:dyDescent="0.25">
      <c r="A1330" t="s">
        <v>448</v>
      </c>
      <c r="B1330">
        <v>2001</v>
      </c>
      <c r="C1330" t="s">
        <v>371</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Data_Completeness(LifeExpectancyData[[#This Row],[Life expectancy]:[Schooling]])</f>
        <v>0</v>
      </c>
    </row>
    <row r="1331" spans="1:23" x14ac:dyDescent="0.25">
      <c r="A1331" t="s">
        <v>448</v>
      </c>
      <c r="B1331">
        <v>2000</v>
      </c>
      <c r="C1331" t="s">
        <v>371</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Data_Completeness(LifeExpectancyData[[#This Row],[Life expectancy]:[Schooling]])</f>
        <v>0</v>
      </c>
    </row>
    <row r="1332" spans="1:23" x14ac:dyDescent="0.25">
      <c r="A1332" t="s">
        <v>449</v>
      </c>
      <c r="B1332">
        <v>2015</v>
      </c>
      <c r="C1332" t="s">
        <v>363</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Data_Completeness(LifeExpectancyData[[#This Row],[Life expectancy]:[Schooling]])</f>
        <v>0</v>
      </c>
    </row>
    <row r="1333" spans="1:23" x14ac:dyDescent="0.25">
      <c r="A1333" t="s">
        <v>449</v>
      </c>
      <c r="B1333">
        <v>2014</v>
      </c>
      <c r="C1333" t="s">
        <v>363</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Data_Completeness(LifeExpectancyData[[#This Row],[Life expectancy]:[Schooling]])</f>
        <v>1</v>
      </c>
    </row>
    <row r="1334" spans="1:23" x14ac:dyDescent="0.25">
      <c r="A1334" t="s">
        <v>449</v>
      </c>
      <c r="B1334">
        <v>2013</v>
      </c>
      <c r="C1334" t="s">
        <v>363</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Data_Completeness(LifeExpectancyData[[#This Row],[Life expectancy]:[Schooling]])</f>
        <v>1</v>
      </c>
    </row>
    <row r="1335" spans="1:23" x14ac:dyDescent="0.25">
      <c r="A1335" t="s">
        <v>449</v>
      </c>
      <c r="B1335">
        <v>2012</v>
      </c>
      <c r="C1335" t="s">
        <v>363</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Data_Completeness(LifeExpectancyData[[#This Row],[Life expectancy]:[Schooling]])</f>
        <v>1</v>
      </c>
    </row>
    <row r="1336" spans="1:23" x14ac:dyDescent="0.25">
      <c r="A1336" t="s">
        <v>449</v>
      </c>
      <c r="B1336">
        <v>2011</v>
      </c>
      <c r="C1336" t="s">
        <v>363</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Data_Completeness(LifeExpectancyData[[#This Row],[Life expectancy]:[Schooling]])</f>
        <v>1</v>
      </c>
    </row>
    <row r="1337" spans="1:23" x14ac:dyDescent="0.25">
      <c r="A1337" t="s">
        <v>449</v>
      </c>
      <c r="B1337">
        <v>2010</v>
      </c>
      <c r="C1337" t="s">
        <v>363</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Data_Completeness(LifeExpectancyData[[#This Row],[Life expectancy]:[Schooling]])</f>
        <v>1</v>
      </c>
    </row>
    <row r="1338" spans="1:23" x14ac:dyDescent="0.25">
      <c r="A1338" t="s">
        <v>449</v>
      </c>
      <c r="B1338">
        <v>2009</v>
      </c>
      <c r="C1338" t="s">
        <v>363</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Data_Completeness(LifeExpectancyData[[#This Row],[Life expectancy]:[Schooling]])</f>
        <v>1</v>
      </c>
    </row>
    <row r="1339" spans="1:23" x14ac:dyDescent="0.25">
      <c r="A1339" t="s">
        <v>449</v>
      </c>
      <c r="B1339">
        <v>2008</v>
      </c>
      <c r="C1339" t="s">
        <v>363</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Data_Completeness(LifeExpectancyData[[#This Row],[Life expectancy]:[Schooling]])</f>
        <v>1</v>
      </c>
    </row>
    <row r="1340" spans="1:23" x14ac:dyDescent="0.25">
      <c r="A1340" t="s">
        <v>449</v>
      </c>
      <c r="B1340">
        <v>2007</v>
      </c>
      <c r="C1340" t="s">
        <v>363</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Data_Completeness(LifeExpectancyData[[#This Row],[Life expectancy]:[Schooling]])</f>
        <v>1</v>
      </c>
    </row>
    <row r="1341" spans="1:23" x14ac:dyDescent="0.25">
      <c r="A1341" t="s">
        <v>449</v>
      </c>
      <c r="B1341">
        <v>2006</v>
      </c>
      <c r="C1341" t="s">
        <v>363</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Data_Completeness(LifeExpectancyData[[#This Row],[Life expectancy]:[Schooling]])</f>
        <v>1</v>
      </c>
    </row>
    <row r="1342" spans="1:23" x14ac:dyDescent="0.25">
      <c r="A1342" t="s">
        <v>449</v>
      </c>
      <c r="B1342">
        <v>2005</v>
      </c>
      <c r="C1342" t="s">
        <v>363</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Data_Completeness(LifeExpectancyData[[#This Row],[Life expectancy]:[Schooling]])</f>
        <v>1</v>
      </c>
    </row>
    <row r="1343" spans="1:23" x14ac:dyDescent="0.25">
      <c r="A1343" t="s">
        <v>449</v>
      </c>
      <c r="B1343">
        <v>2004</v>
      </c>
      <c r="C1343" t="s">
        <v>363</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Data_Completeness(LifeExpectancyData[[#This Row],[Life expectancy]:[Schooling]])</f>
        <v>1</v>
      </c>
    </row>
    <row r="1344" spans="1:23" x14ac:dyDescent="0.25">
      <c r="A1344" t="s">
        <v>449</v>
      </c>
      <c r="B1344">
        <v>2003</v>
      </c>
      <c r="C1344" t="s">
        <v>363</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Data_Completeness(LifeExpectancyData[[#This Row],[Life expectancy]:[Schooling]])</f>
        <v>1</v>
      </c>
    </row>
    <row r="1345" spans="1:23" x14ac:dyDescent="0.25">
      <c r="A1345" t="s">
        <v>449</v>
      </c>
      <c r="B1345">
        <v>2002</v>
      </c>
      <c r="C1345" t="s">
        <v>363</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Data_Completeness(LifeExpectancyData[[#This Row],[Life expectancy]:[Schooling]])</f>
        <v>1</v>
      </c>
    </row>
    <row r="1346" spans="1:23" x14ac:dyDescent="0.25">
      <c r="A1346" t="s">
        <v>449</v>
      </c>
      <c r="B1346">
        <v>2001</v>
      </c>
      <c r="C1346" t="s">
        <v>363</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Data_Completeness(LifeExpectancyData[[#This Row],[Life expectancy]:[Schooling]])</f>
        <v>1</v>
      </c>
    </row>
    <row r="1347" spans="1:23" x14ac:dyDescent="0.25">
      <c r="A1347" t="s">
        <v>449</v>
      </c>
      <c r="B1347">
        <v>2000</v>
      </c>
      <c r="C1347" t="s">
        <v>363</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Data_Completeness(LifeExpectancyData[[#This Row],[Life expectancy]:[Schooling]])</f>
        <v>1</v>
      </c>
    </row>
    <row r="1348" spans="1:23" x14ac:dyDescent="0.25">
      <c r="A1348" t="s">
        <v>450</v>
      </c>
      <c r="B1348">
        <v>2015</v>
      </c>
      <c r="C1348" t="s">
        <v>363</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Data_Completeness(LifeExpectancyData[[#This Row],[Life expectancy]:[Schooling]])</f>
        <v>0</v>
      </c>
    </row>
    <row r="1349" spans="1:23" x14ac:dyDescent="0.25">
      <c r="A1349" t="s">
        <v>450</v>
      </c>
      <c r="B1349">
        <v>2014</v>
      </c>
      <c r="C1349" t="s">
        <v>363</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Data_Completeness(LifeExpectancyData[[#This Row],[Life expectancy]:[Schooling]])</f>
        <v>1</v>
      </c>
    </row>
    <row r="1350" spans="1:23" x14ac:dyDescent="0.25">
      <c r="A1350" t="s">
        <v>450</v>
      </c>
      <c r="B1350">
        <v>2013</v>
      </c>
      <c r="C1350" t="s">
        <v>363</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Data_Completeness(LifeExpectancyData[[#This Row],[Life expectancy]:[Schooling]])</f>
        <v>1</v>
      </c>
    </row>
    <row r="1351" spans="1:23" x14ac:dyDescent="0.25">
      <c r="A1351" t="s">
        <v>450</v>
      </c>
      <c r="B1351">
        <v>2012</v>
      </c>
      <c r="C1351" t="s">
        <v>363</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Data_Completeness(LifeExpectancyData[[#This Row],[Life expectancy]:[Schooling]])</f>
        <v>1</v>
      </c>
    </row>
    <row r="1352" spans="1:23" x14ac:dyDescent="0.25">
      <c r="A1352" t="s">
        <v>450</v>
      </c>
      <c r="B1352">
        <v>2011</v>
      </c>
      <c r="C1352" t="s">
        <v>363</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Data_Completeness(LifeExpectancyData[[#This Row],[Life expectancy]:[Schooling]])</f>
        <v>1</v>
      </c>
    </row>
    <row r="1353" spans="1:23" x14ac:dyDescent="0.25">
      <c r="A1353" t="s">
        <v>450</v>
      </c>
      <c r="B1353">
        <v>2010</v>
      </c>
      <c r="C1353" t="s">
        <v>363</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Data_Completeness(LifeExpectancyData[[#This Row],[Life expectancy]:[Schooling]])</f>
        <v>1</v>
      </c>
    </row>
    <row r="1354" spans="1:23" x14ac:dyDescent="0.25">
      <c r="A1354" t="s">
        <v>450</v>
      </c>
      <c r="B1354">
        <v>2009</v>
      </c>
      <c r="C1354" t="s">
        <v>363</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Data_Completeness(LifeExpectancyData[[#This Row],[Life expectancy]:[Schooling]])</f>
        <v>1</v>
      </c>
    </row>
    <row r="1355" spans="1:23" x14ac:dyDescent="0.25">
      <c r="A1355" t="s">
        <v>450</v>
      </c>
      <c r="B1355">
        <v>2008</v>
      </c>
      <c r="C1355" t="s">
        <v>363</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Data_Completeness(LifeExpectancyData[[#This Row],[Life expectancy]:[Schooling]])</f>
        <v>1</v>
      </c>
    </row>
    <row r="1356" spans="1:23" x14ac:dyDescent="0.25">
      <c r="A1356" t="s">
        <v>450</v>
      </c>
      <c r="B1356">
        <v>2007</v>
      </c>
      <c r="C1356" t="s">
        <v>363</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Data_Completeness(LifeExpectancyData[[#This Row],[Life expectancy]:[Schooling]])</f>
        <v>1</v>
      </c>
    </row>
    <row r="1357" spans="1:23" x14ac:dyDescent="0.25">
      <c r="A1357" t="s">
        <v>450</v>
      </c>
      <c r="B1357">
        <v>2006</v>
      </c>
      <c r="C1357" t="s">
        <v>363</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Data_Completeness(LifeExpectancyData[[#This Row],[Life expectancy]:[Schooling]])</f>
        <v>1</v>
      </c>
    </row>
    <row r="1358" spans="1:23" x14ac:dyDescent="0.25">
      <c r="A1358" t="s">
        <v>450</v>
      </c>
      <c r="B1358">
        <v>2005</v>
      </c>
      <c r="C1358" t="s">
        <v>363</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Data_Completeness(LifeExpectancyData[[#This Row],[Life expectancy]:[Schooling]])</f>
        <v>1</v>
      </c>
    </row>
    <row r="1359" spans="1:23" x14ac:dyDescent="0.25">
      <c r="A1359" t="s">
        <v>450</v>
      </c>
      <c r="B1359">
        <v>2004</v>
      </c>
      <c r="C1359" t="s">
        <v>363</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Data_Completeness(LifeExpectancyData[[#This Row],[Life expectancy]:[Schooling]])</f>
        <v>1</v>
      </c>
    </row>
    <row r="1360" spans="1:23" x14ac:dyDescent="0.25">
      <c r="A1360" t="s">
        <v>450</v>
      </c>
      <c r="B1360">
        <v>2003</v>
      </c>
      <c r="C1360" t="s">
        <v>363</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Data_Completeness(LifeExpectancyData[[#This Row],[Life expectancy]:[Schooling]])</f>
        <v>1</v>
      </c>
    </row>
    <row r="1361" spans="1:23" x14ac:dyDescent="0.25">
      <c r="A1361" t="s">
        <v>450</v>
      </c>
      <c r="B1361">
        <v>2002</v>
      </c>
      <c r="C1361" t="s">
        <v>363</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Data_Completeness(LifeExpectancyData[[#This Row],[Life expectancy]:[Schooling]])</f>
        <v>1</v>
      </c>
    </row>
    <row r="1362" spans="1:23" x14ac:dyDescent="0.25">
      <c r="A1362" t="s">
        <v>450</v>
      </c>
      <c r="B1362">
        <v>2001</v>
      </c>
      <c r="C1362" t="s">
        <v>363</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Data_Completeness(LifeExpectancyData[[#This Row],[Life expectancy]:[Schooling]])</f>
        <v>1</v>
      </c>
    </row>
    <row r="1363" spans="1:23" x14ac:dyDescent="0.25">
      <c r="A1363" t="s">
        <v>450</v>
      </c>
      <c r="B1363">
        <v>2000</v>
      </c>
      <c r="C1363" t="s">
        <v>363</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Data_Completeness(LifeExpectancyData[[#This Row],[Life expectancy]:[Schooling]])</f>
        <v>1</v>
      </c>
    </row>
    <row r="1364" spans="1:23" x14ac:dyDescent="0.25">
      <c r="A1364" t="s">
        <v>451</v>
      </c>
      <c r="B1364">
        <v>2015</v>
      </c>
      <c r="C1364" t="s">
        <v>363</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Data_Completeness(LifeExpectancyData[[#This Row],[Life expectancy]:[Schooling]])</f>
        <v>0</v>
      </c>
    </row>
    <row r="1365" spans="1:23" x14ac:dyDescent="0.25">
      <c r="A1365" t="s">
        <v>451</v>
      </c>
      <c r="B1365">
        <v>2014</v>
      </c>
      <c r="C1365" t="s">
        <v>363</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Data_Completeness(LifeExpectancyData[[#This Row],[Life expectancy]:[Schooling]])</f>
        <v>1</v>
      </c>
    </row>
    <row r="1366" spans="1:23" x14ac:dyDescent="0.25">
      <c r="A1366" t="s">
        <v>451</v>
      </c>
      <c r="B1366">
        <v>2013</v>
      </c>
      <c r="C1366" t="s">
        <v>363</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Data_Completeness(LifeExpectancyData[[#This Row],[Life expectancy]:[Schooling]])</f>
        <v>1</v>
      </c>
    </row>
    <row r="1367" spans="1:23" x14ac:dyDescent="0.25">
      <c r="A1367" t="s">
        <v>451</v>
      </c>
      <c r="B1367">
        <v>2012</v>
      </c>
      <c r="C1367" t="s">
        <v>363</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Data_Completeness(LifeExpectancyData[[#This Row],[Life expectancy]:[Schooling]])</f>
        <v>1</v>
      </c>
    </row>
    <row r="1368" spans="1:23" x14ac:dyDescent="0.25">
      <c r="A1368" t="s">
        <v>451</v>
      </c>
      <c r="B1368">
        <v>2011</v>
      </c>
      <c r="C1368" t="s">
        <v>363</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Data_Completeness(LifeExpectancyData[[#This Row],[Life expectancy]:[Schooling]])</f>
        <v>1</v>
      </c>
    </row>
    <row r="1369" spans="1:23" x14ac:dyDescent="0.25">
      <c r="A1369" t="s">
        <v>451</v>
      </c>
      <c r="B1369">
        <v>2010</v>
      </c>
      <c r="C1369" t="s">
        <v>363</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Data_Completeness(LifeExpectancyData[[#This Row],[Life expectancy]:[Schooling]])</f>
        <v>1</v>
      </c>
    </row>
    <row r="1370" spans="1:23" x14ac:dyDescent="0.25">
      <c r="A1370" t="s">
        <v>451</v>
      </c>
      <c r="B1370">
        <v>2009</v>
      </c>
      <c r="C1370" t="s">
        <v>363</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Data_Completeness(LifeExpectancyData[[#This Row],[Life expectancy]:[Schooling]])</f>
        <v>1</v>
      </c>
    </row>
    <row r="1371" spans="1:23" x14ac:dyDescent="0.25">
      <c r="A1371" t="s">
        <v>451</v>
      </c>
      <c r="B1371">
        <v>2008</v>
      </c>
      <c r="C1371" t="s">
        <v>363</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Data_Completeness(LifeExpectancyData[[#This Row],[Life expectancy]:[Schooling]])</f>
        <v>1</v>
      </c>
    </row>
    <row r="1372" spans="1:23" x14ac:dyDescent="0.25">
      <c r="A1372" t="s">
        <v>451</v>
      </c>
      <c r="B1372">
        <v>2007</v>
      </c>
      <c r="C1372" t="s">
        <v>363</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Data_Completeness(LifeExpectancyData[[#This Row],[Life expectancy]:[Schooling]])</f>
        <v>1</v>
      </c>
    </row>
    <row r="1373" spans="1:23" x14ac:dyDescent="0.25">
      <c r="A1373" t="s">
        <v>451</v>
      </c>
      <c r="B1373">
        <v>2006</v>
      </c>
      <c r="C1373" t="s">
        <v>363</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Data_Completeness(LifeExpectancyData[[#This Row],[Life expectancy]:[Schooling]])</f>
        <v>1</v>
      </c>
    </row>
    <row r="1374" spans="1:23" x14ac:dyDescent="0.25">
      <c r="A1374" t="s">
        <v>451</v>
      </c>
      <c r="B1374">
        <v>2005</v>
      </c>
      <c r="C1374" t="s">
        <v>363</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Data_Completeness(LifeExpectancyData[[#This Row],[Life expectancy]:[Schooling]])</f>
        <v>1</v>
      </c>
    </row>
    <row r="1375" spans="1:23" x14ac:dyDescent="0.25">
      <c r="A1375" t="s">
        <v>451</v>
      </c>
      <c r="B1375">
        <v>2004</v>
      </c>
      <c r="C1375" t="s">
        <v>363</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Data_Completeness(LifeExpectancyData[[#This Row],[Life expectancy]:[Schooling]])</f>
        <v>1</v>
      </c>
    </row>
    <row r="1376" spans="1:23" x14ac:dyDescent="0.25">
      <c r="A1376" t="s">
        <v>451</v>
      </c>
      <c r="B1376">
        <v>2003</v>
      </c>
      <c r="C1376" t="s">
        <v>363</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Data_Completeness(LifeExpectancyData[[#This Row],[Life expectancy]:[Schooling]])</f>
        <v>1</v>
      </c>
    </row>
    <row r="1377" spans="1:23" x14ac:dyDescent="0.25">
      <c r="A1377" t="s">
        <v>451</v>
      </c>
      <c r="B1377">
        <v>2002</v>
      </c>
      <c r="C1377" t="s">
        <v>363</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Data_Completeness(LifeExpectancyData[[#This Row],[Life expectancy]:[Schooling]])</f>
        <v>1</v>
      </c>
    </row>
    <row r="1378" spans="1:23" x14ac:dyDescent="0.25">
      <c r="A1378" t="s">
        <v>451</v>
      </c>
      <c r="B1378">
        <v>2001</v>
      </c>
      <c r="C1378" t="s">
        <v>363</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Data_Completeness(LifeExpectancyData[[#This Row],[Life expectancy]:[Schooling]])</f>
        <v>0</v>
      </c>
    </row>
    <row r="1379" spans="1:23" x14ac:dyDescent="0.25">
      <c r="A1379" t="s">
        <v>451</v>
      </c>
      <c r="B1379">
        <v>2000</v>
      </c>
      <c r="C1379" t="s">
        <v>363</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Data_Completeness(LifeExpectancyData[[#This Row],[Life expectancy]:[Schooling]])</f>
        <v>0</v>
      </c>
    </row>
    <row r="1380" spans="1:23" x14ac:dyDescent="0.25">
      <c r="A1380" t="s">
        <v>452</v>
      </c>
      <c r="B1380">
        <v>2015</v>
      </c>
      <c r="C1380" t="s">
        <v>363</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Data_Completeness(LifeExpectancyData[[#This Row],[Life expectancy]:[Schooling]])</f>
        <v>0</v>
      </c>
    </row>
    <row r="1381" spans="1:23" x14ac:dyDescent="0.25">
      <c r="A1381" t="s">
        <v>452</v>
      </c>
      <c r="B1381">
        <v>2014</v>
      </c>
      <c r="C1381" t="s">
        <v>363</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Data_Completeness(LifeExpectancyData[[#This Row],[Life expectancy]:[Schooling]])</f>
        <v>1</v>
      </c>
    </row>
    <row r="1382" spans="1:23" x14ac:dyDescent="0.25">
      <c r="A1382" t="s">
        <v>452</v>
      </c>
      <c r="B1382">
        <v>2013</v>
      </c>
      <c r="C1382" t="s">
        <v>363</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Data_Completeness(LifeExpectancyData[[#This Row],[Life expectancy]:[Schooling]])</f>
        <v>1</v>
      </c>
    </row>
    <row r="1383" spans="1:23" x14ac:dyDescent="0.25">
      <c r="A1383" t="s">
        <v>452</v>
      </c>
      <c r="B1383">
        <v>2012</v>
      </c>
      <c r="C1383" t="s">
        <v>363</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Data_Completeness(LifeExpectancyData[[#This Row],[Life expectancy]:[Schooling]])</f>
        <v>1</v>
      </c>
    </row>
    <row r="1384" spans="1:23" x14ac:dyDescent="0.25">
      <c r="A1384" t="s">
        <v>452</v>
      </c>
      <c r="B1384">
        <v>2011</v>
      </c>
      <c r="C1384" t="s">
        <v>363</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Data_Completeness(LifeExpectancyData[[#This Row],[Life expectancy]:[Schooling]])</f>
        <v>1</v>
      </c>
    </row>
    <row r="1385" spans="1:23" x14ac:dyDescent="0.25">
      <c r="A1385" t="s">
        <v>452</v>
      </c>
      <c r="B1385">
        <v>2010</v>
      </c>
      <c r="C1385" t="s">
        <v>363</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Data_Completeness(LifeExpectancyData[[#This Row],[Life expectancy]:[Schooling]])</f>
        <v>1</v>
      </c>
    </row>
    <row r="1386" spans="1:23" x14ac:dyDescent="0.25">
      <c r="A1386" t="s">
        <v>452</v>
      </c>
      <c r="B1386">
        <v>2009</v>
      </c>
      <c r="C1386" t="s">
        <v>363</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Data_Completeness(LifeExpectancyData[[#This Row],[Life expectancy]:[Schooling]])</f>
        <v>1</v>
      </c>
    </row>
    <row r="1387" spans="1:23" x14ac:dyDescent="0.25">
      <c r="A1387" t="s">
        <v>452</v>
      </c>
      <c r="B1387">
        <v>2008</v>
      </c>
      <c r="C1387" t="s">
        <v>363</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Data_Completeness(LifeExpectancyData[[#This Row],[Life expectancy]:[Schooling]])</f>
        <v>1</v>
      </c>
    </row>
    <row r="1388" spans="1:23" x14ac:dyDescent="0.25">
      <c r="A1388" t="s">
        <v>452</v>
      </c>
      <c r="B1388">
        <v>2007</v>
      </c>
      <c r="C1388" t="s">
        <v>363</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Data_Completeness(LifeExpectancyData[[#This Row],[Life expectancy]:[Schooling]])</f>
        <v>1</v>
      </c>
    </row>
    <row r="1389" spans="1:23" x14ac:dyDescent="0.25">
      <c r="A1389" t="s">
        <v>452</v>
      </c>
      <c r="B1389">
        <v>2006</v>
      </c>
      <c r="C1389" t="s">
        <v>363</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Data_Completeness(LifeExpectancyData[[#This Row],[Life expectancy]:[Schooling]])</f>
        <v>1</v>
      </c>
    </row>
    <row r="1390" spans="1:23" x14ac:dyDescent="0.25">
      <c r="A1390" t="s">
        <v>452</v>
      </c>
      <c r="B1390">
        <v>2005</v>
      </c>
      <c r="C1390" t="s">
        <v>363</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Data_Completeness(LifeExpectancyData[[#This Row],[Life expectancy]:[Schooling]])</f>
        <v>1</v>
      </c>
    </row>
    <row r="1391" spans="1:23" x14ac:dyDescent="0.25">
      <c r="A1391" t="s">
        <v>452</v>
      </c>
      <c r="B1391">
        <v>2004</v>
      </c>
      <c r="C1391" t="s">
        <v>363</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Data_Completeness(LifeExpectancyData[[#This Row],[Life expectancy]:[Schooling]])</f>
        <v>1</v>
      </c>
    </row>
    <row r="1392" spans="1:23" x14ac:dyDescent="0.25">
      <c r="A1392" t="s">
        <v>452</v>
      </c>
      <c r="B1392">
        <v>2003</v>
      </c>
      <c r="C1392" t="s">
        <v>363</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Data_Completeness(LifeExpectancyData[[#This Row],[Life expectancy]:[Schooling]])</f>
        <v>1</v>
      </c>
    </row>
    <row r="1393" spans="1:23" x14ac:dyDescent="0.25">
      <c r="A1393" t="s">
        <v>452</v>
      </c>
      <c r="B1393">
        <v>2002</v>
      </c>
      <c r="C1393" t="s">
        <v>363</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Data_Completeness(LifeExpectancyData[[#This Row],[Life expectancy]:[Schooling]])</f>
        <v>1</v>
      </c>
    </row>
    <row r="1394" spans="1:23" x14ac:dyDescent="0.25">
      <c r="A1394" t="s">
        <v>452</v>
      </c>
      <c r="B1394">
        <v>2001</v>
      </c>
      <c r="C1394" t="s">
        <v>363</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Data_Completeness(LifeExpectancyData[[#This Row],[Life expectancy]:[Schooling]])</f>
        <v>1</v>
      </c>
    </row>
    <row r="1395" spans="1:23" x14ac:dyDescent="0.25">
      <c r="A1395" t="s">
        <v>452</v>
      </c>
      <c r="B1395">
        <v>2000</v>
      </c>
      <c r="C1395" t="s">
        <v>363</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Data_Completeness(LifeExpectancyData[[#This Row],[Life expectancy]:[Schooling]])</f>
        <v>1</v>
      </c>
    </row>
    <row r="1396" spans="1:23" x14ac:dyDescent="0.25">
      <c r="A1396" t="s">
        <v>453</v>
      </c>
      <c r="B1396">
        <v>2015</v>
      </c>
      <c r="C1396" t="s">
        <v>363</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Data_Completeness(LifeExpectancyData[[#This Row],[Life expectancy]:[Schooling]])</f>
        <v>0</v>
      </c>
    </row>
    <row r="1397" spans="1:23" x14ac:dyDescent="0.25">
      <c r="A1397" t="s">
        <v>453</v>
      </c>
      <c r="B1397">
        <v>2014</v>
      </c>
      <c r="C1397" t="s">
        <v>363</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Data_Completeness(LifeExpectancyData[[#This Row],[Life expectancy]:[Schooling]])</f>
        <v>0</v>
      </c>
    </row>
    <row r="1398" spans="1:23" x14ac:dyDescent="0.25">
      <c r="A1398" t="s">
        <v>453</v>
      </c>
      <c r="B1398">
        <v>2013</v>
      </c>
      <c r="C1398" t="s">
        <v>363</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Data_Completeness(LifeExpectancyData[[#This Row],[Life expectancy]:[Schooling]])</f>
        <v>0</v>
      </c>
    </row>
    <row r="1399" spans="1:23" x14ac:dyDescent="0.25">
      <c r="A1399" t="s">
        <v>453</v>
      </c>
      <c r="B1399">
        <v>2012</v>
      </c>
      <c r="C1399" t="s">
        <v>363</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Data_Completeness(LifeExpectancyData[[#This Row],[Life expectancy]:[Schooling]])</f>
        <v>0</v>
      </c>
    </row>
    <row r="1400" spans="1:23" x14ac:dyDescent="0.25">
      <c r="A1400" t="s">
        <v>453</v>
      </c>
      <c r="B1400">
        <v>2011</v>
      </c>
      <c r="C1400" t="s">
        <v>363</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Data_Completeness(LifeExpectancyData[[#This Row],[Life expectancy]:[Schooling]])</f>
        <v>0</v>
      </c>
    </row>
    <row r="1401" spans="1:23" x14ac:dyDescent="0.25">
      <c r="A1401" t="s">
        <v>453</v>
      </c>
      <c r="B1401">
        <v>2010</v>
      </c>
      <c r="C1401" t="s">
        <v>363</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Data_Completeness(LifeExpectancyData[[#This Row],[Life expectancy]:[Schooling]])</f>
        <v>0</v>
      </c>
    </row>
    <row r="1402" spans="1:23" x14ac:dyDescent="0.25">
      <c r="A1402" t="s">
        <v>453</v>
      </c>
      <c r="B1402">
        <v>2009</v>
      </c>
      <c r="C1402" t="s">
        <v>363</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Data_Completeness(LifeExpectancyData[[#This Row],[Life expectancy]:[Schooling]])</f>
        <v>0</v>
      </c>
    </row>
    <row r="1403" spans="1:23" x14ac:dyDescent="0.25">
      <c r="A1403" t="s">
        <v>453</v>
      </c>
      <c r="B1403">
        <v>2008</v>
      </c>
      <c r="C1403" t="s">
        <v>363</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Data_Completeness(LifeExpectancyData[[#This Row],[Life expectancy]:[Schooling]])</f>
        <v>0</v>
      </c>
    </row>
    <row r="1404" spans="1:23" x14ac:dyDescent="0.25">
      <c r="A1404" t="s">
        <v>453</v>
      </c>
      <c r="B1404">
        <v>2007</v>
      </c>
      <c r="C1404" t="s">
        <v>363</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Data_Completeness(LifeExpectancyData[[#This Row],[Life expectancy]:[Schooling]])</f>
        <v>0</v>
      </c>
    </row>
    <row r="1405" spans="1:23" x14ac:dyDescent="0.25">
      <c r="A1405" t="s">
        <v>453</v>
      </c>
      <c r="B1405">
        <v>2006</v>
      </c>
      <c r="C1405" t="s">
        <v>363</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Data_Completeness(LifeExpectancyData[[#This Row],[Life expectancy]:[Schooling]])</f>
        <v>0</v>
      </c>
    </row>
    <row r="1406" spans="1:23" x14ac:dyDescent="0.25">
      <c r="A1406" t="s">
        <v>453</v>
      </c>
      <c r="B1406">
        <v>2005</v>
      </c>
      <c r="C1406" t="s">
        <v>363</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Data_Completeness(LifeExpectancyData[[#This Row],[Life expectancy]:[Schooling]])</f>
        <v>0</v>
      </c>
    </row>
    <row r="1407" spans="1:23" x14ac:dyDescent="0.25">
      <c r="A1407" t="s">
        <v>453</v>
      </c>
      <c r="B1407">
        <v>2004</v>
      </c>
      <c r="C1407" t="s">
        <v>363</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Data_Completeness(LifeExpectancyData[[#This Row],[Life expectancy]:[Schooling]])</f>
        <v>0</v>
      </c>
    </row>
    <row r="1408" spans="1:23" x14ac:dyDescent="0.25">
      <c r="A1408" t="s">
        <v>453</v>
      </c>
      <c r="B1408">
        <v>2003</v>
      </c>
      <c r="C1408" t="s">
        <v>363</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Data_Completeness(LifeExpectancyData[[#This Row],[Life expectancy]:[Schooling]])</f>
        <v>0</v>
      </c>
    </row>
    <row r="1409" spans="1:23" x14ac:dyDescent="0.25">
      <c r="A1409" t="s">
        <v>453</v>
      </c>
      <c r="B1409">
        <v>2002</v>
      </c>
      <c r="C1409" t="s">
        <v>363</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Data_Completeness(LifeExpectancyData[[#This Row],[Life expectancy]:[Schooling]])</f>
        <v>0</v>
      </c>
    </row>
    <row r="1410" spans="1:23" x14ac:dyDescent="0.25">
      <c r="A1410" t="s">
        <v>453</v>
      </c>
      <c r="B1410">
        <v>2001</v>
      </c>
      <c r="C1410" t="s">
        <v>363</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Data_Completeness(LifeExpectancyData[[#This Row],[Life expectancy]:[Schooling]])</f>
        <v>0</v>
      </c>
    </row>
    <row r="1411" spans="1:23" x14ac:dyDescent="0.25">
      <c r="A1411" t="s">
        <v>453</v>
      </c>
      <c r="B1411">
        <v>2000</v>
      </c>
      <c r="C1411" t="s">
        <v>363</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Data_Completeness(LifeExpectancyData[[#This Row],[Life expectancy]:[Schooling]])</f>
        <v>0</v>
      </c>
    </row>
    <row r="1412" spans="1:23" x14ac:dyDescent="0.25">
      <c r="A1412" t="s">
        <v>454</v>
      </c>
      <c r="B1412">
        <v>2015</v>
      </c>
      <c r="C1412" t="s">
        <v>363</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Data_Completeness(LifeExpectancyData[[#This Row],[Life expectancy]:[Schooling]])</f>
        <v>0</v>
      </c>
    </row>
    <row r="1413" spans="1:23" x14ac:dyDescent="0.25">
      <c r="A1413" t="s">
        <v>454</v>
      </c>
      <c r="B1413">
        <v>2014</v>
      </c>
      <c r="C1413" t="s">
        <v>363</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Data_Completeness(LifeExpectancyData[[#This Row],[Life expectancy]:[Schooling]])</f>
        <v>0</v>
      </c>
    </row>
    <row r="1414" spans="1:23" x14ac:dyDescent="0.25">
      <c r="A1414" t="s">
        <v>454</v>
      </c>
      <c r="B1414">
        <v>2013</v>
      </c>
      <c r="C1414" t="s">
        <v>363</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Data_Completeness(LifeExpectancyData[[#This Row],[Life expectancy]:[Schooling]])</f>
        <v>0</v>
      </c>
    </row>
    <row r="1415" spans="1:23" x14ac:dyDescent="0.25">
      <c r="A1415" t="s">
        <v>454</v>
      </c>
      <c r="B1415">
        <v>2012</v>
      </c>
      <c r="C1415" t="s">
        <v>363</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Data_Completeness(LifeExpectancyData[[#This Row],[Life expectancy]:[Schooling]])</f>
        <v>0</v>
      </c>
    </row>
    <row r="1416" spans="1:23" x14ac:dyDescent="0.25">
      <c r="A1416" t="s">
        <v>454</v>
      </c>
      <c r="B1416">
        <v>2011</v>
      </c>
      <c r="C1416" t="s">
        <v>363</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Data_Completeness(LifeExpectancyData[[#This Row],[Life expectancy]:[Schooling]])</f>
        <v>0</v>
      </c>
    </row>
    <row r="1417" spans="1:23" x14ac:dyDescent="0.25">
      <c r="A1417" t="s">
        <v>454</v>
      </c>
      <c r="B1417">
        <v>2010</v>
      </c>
      <c r="C1417" t="s">
        <v>363</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Data_Completeness(LifeExpectancyData[[#This Row],[Life expectancy]:[Schooling]])</f>
        <v>0</v>
      </c>
    </row>
    <row r="1418" spans="1:23" x14ac:dyDescent="0.25">
      <c r="A1418" t="s">
        <v>454</v>
      </c>
      <c r="B1418">
        <v>2009</v>
      </c>
      <c r="C1418" t="s">
        <v>363</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Data_Completeness(LifeExpectancyData[[#This Row],[Life expectancy]:[Schooling]])</f>
        <v>0</v>
      </c>
    </row>
    <row r="1419" spans="1:23" x14ac:dyDescent="0.25">
      <c r="A1419" t="s">
        <v>454</v>
      </c>
      <c r="B1419">
        <v>2008</v>
      </c>
      <c r="C1419" t="s">
        <v>363</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Data_Completeness(LifeExpectancyData[[#This Row],[Life expectancy]:[Schooling]])</f>
        <v>0</v>
      </c>
    </row>
    <row r="1420" spans="1:23" x14ac:dyDescent="0.25">
      <c r="A1420" t="s">
        <v>454</v>
      </c>
      <c r="B1420">
        <v>2007</v>
      </c>
      <c r="C1420" t="s">
        <v>363</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Data_Completeness(LifeExpectancyData[[#This Row],[Life expectancy]:[Schooling]])</f>
        <v>0</v>
      </c>
    </row>
    <row r="1421" spans="1:23" x14ac:dyDescent="0.25">
      <c r="A1421" t="s">
        <v>454</v>
      </c>
      <c r="B1421">
        <v>2006</v>
      </c>
      <c r="C1421" t="s">
        <v>363</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Data_Completeness(LifeExpectancyData[[#This Row],[Life expectancy]:[Schooling]])</f>
        <v>0</v>
      </c>
    </row>
    <row r="1422" spans="1:23" x14ac:dyDescent="0.25">
      <c r="A1422" t="s">
        <v>454</v>
      </c>
      <c r="B1422">
        <v>2005</v>
      </c>
      <c r="C1422" t="s">
        <v>363</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Data_Completeness(LifeExpectancyData[[#This Row],[Life expectancy]:[Schooling]])</f>
        <v>0</v>
      </c>
    </row>
    <row r="1423" spans="1:23" x14ac:dyDescent="0.25">
      <c r="A1423" t="s">
        <v>454</v>
      </c>
      <c r="B1423">
        <v>2004</v>
      </c>
      <c r="C1423" t="s">
        <v>363</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Data_Completeness(LifeExpectancyData[[#This Row],[Life expectancy]:[Schooling]])</f>
        <v>0</v>
      </c>
    </row>
    <row r="1424" spans="1:23" x14ac:dyDescent="0.25">
      <c r="A1424" t="s">
        <v>454</v>
      </c>
      <c r="B1424">
        <v>2003</v>
      </c>
      <c r="C1424" t="s">
        <v>363</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Data_Completeness(LifeExpectancyData[[#This Row],[Life expectancy]:[Schooling]])</f>
        <v>0</v>
      </c>
    </row>
    <row r="1425" spans="1:23" x14ac:dyDescent="0.25">
      <c r="A1425" t="s">
        <v>454</v>
      </c>
      <c r="B1425">
        <v>2002</v>
      </c>
      <c r="C1425" t="s">
        <v>363</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Data_Completeness(LifeExpectancyData[[#This Row],[Life expectancy]:[Schooling]])</f>
        <v>0</v>
      </c>
    </row>
    <row r="1426" spans="1:23" x14ac:dyDescent="0.25">
      <c r="A1426" t="s">
        <v>454</v>
      </c>
      <c r="B1426">
        <v>2001</v>
      </c>
      <c r="C1426" t="s">
        <v>363</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Data_Completeness(LifeExpectancyData[[#This Row],[Life expectancy]:[Schooling]])</f>
        <v>0</v>
      </c>
    </row>
    <row r="1427" spans="1:23" x14ac:dyDescent="0.25">
      <c r="A1427" t="s">
        <v>454</v>
      </c>
      <c r="B1427">
        <v>2000</v>
      </c>
      <c r="C1427" t="s">
        <v>363</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Data_Completeness(LifeExpectancyData[[#This Row],[Life expectancy]:[Schooling]])</f>
        <v>0</v>
      </c>
    </row>
    <row r="1428" spans="1:23" x14ac:dyDescent="0.25">
      <c r="A1428" t="s">
        <v>455</v>
      </c>
      <c r="B1428">
        <v>2015</v>
      </c>
      <c r="C1428" t="s">
        <v>363</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Data_Completeness(LifeExpectancyData[[#This Row],[Life expectancy]:[Schooling]])</f>
        <v>0</v>
      </c>
    </row>
    <row r="1429" spans="1:23" x14ac:dyDescent="0.25">
      <c r="A1429" t="s">
        <v>455</v>
      </c>
      <c r="B1429">
        <v>2014</v>
      </c>
      <c r="C1429" t="s">
        <v>363</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Data_Completeness(LifeExpectancyData[[#This Row],[Life expectancy]:[Schooling]])</f>
        <v>0</v>
      </c>
    </row>
    <row r="1430" spans="1:23" x14ac:dyDescent="0.25">
      <c r="A1430" t="s">
        <v>455</v>
      </c>
      <c r="B1430">
        <v>2013</v>
      </c>
      <c r="C1430" t="s">
        <v>363</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Data_Completeness(LifeExpectancyData[[#This Row],[Life expectancy]:[Schooling]])</f>
        <v>0</v>
      </c>
    </row>
    <row r="1431" spans="1:23" x14ac:dyDescent="0.25">
      <c r="A1431" t="s">
        <v>455</v>
      </c>
      <c r="B1431">
        <v>2012</v>
      </c>
      <c r="C1431" t="s">
        <v>363</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Data_Completeness(LifeExpectancyData[[#This Row],[Life expectancy]:[Schooling]])</f>
        <v>0</v>
      </c>
    </row>
    <row r="1432" spans="1:23" x14ac:dyDescent="0.25">
      <c r="A1432" t="s">
        <v>455</v>
      </c>
      <c r="B1432">
        <v>2011</v>
      </c>
      <c r="C1432" t="s">
        <v>363</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Data_Completeness(LifeExpectancyData[[#This Row],[Life expectancy]:[Schooling]])</f>
        <v>0</v>
      </c>
    </row>
    <row r="1433" spans="1:23" x14ac:dyDescent="0.25">
      <c r="A1433" t="s">
        <v>455</v>
      </c>
      <c r="B1433">
        <v>2010</v>
      </c>
      <c r="C1433" t="s">
        <v>363</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Data_Completeness(LifeExpectancyData[[#This Row],[Life expectancy]:[Schooling]])</f>
        <v>0</v>
      </c>
    </row>
    <row r="1434" spans="1:23" x14ac:dyDescent="0.25">
      <c r="A1434" t="s">
        <v>455</v>
      </c>
      <c r="B1434">
        <v>2009</v>
      </c>
      <c r="C1434" t="s">
        <v>363</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Data_Completeness(LifeExpectancyData[[#This Row],[Life expectancy]:[Schooling]])</f>
        <v>0</v>
      </c>
    </row>
    <row r="1435" spans="1:23" x14ac:dyDescent="0.25">
      <c r="A1435" t="s">
        <v>455</v>
      </c>
      <c r="B1435">
        <v>2008</v>
      </c>
      <c r="C1435" t="s">
        <v>363</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Data_Completeness(LifeExpectancyData[[#This Row],[Life expectancy]:[Schooling]])</f>
        <v>0</v>
      </c>
    </row>
    <row r="1436" spans="1:23" x14ac:dyDescent="0.25">
      <c r="A1436" t="s">
        <v>455</v>
      </c>
      <c r="B1436">
        <v>2007</v>
      </c>
      <c r="C1436" t="s">
        <v>363</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Data_Completeness(LifeExpectancyData[[#This Row],[Life expectancy]:[Schooling]])</f>
        <v>0</v>
      </c>
    </row>
    <row r="1437" spans="1:23" x14ac:dyDescent="0.25">
      <c r="A1437" t="s">
        <v>455</v>
      </c>
      <c r="B1437">
        <v>2006</v>
      </c>
      <c r="C1437" t="s">
        <v>363</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Data_Completeness(LifeExpectancyData[[#This Row],[Life expectancy]:[Schooling]])</f>
        <v>0</v>
      </c>
    </row>
    <row r="1438" spans="1:23" x14ac:dyDescent="0.25">
      <c r="A1438" t="s">
        <v>455</v>
      </c>
      <c r="B1438">
        <v>2005</v>
      </c>
      <c r="C1438" t="s">
        <v>363</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Data_Completeness(LifeExpectancyData[[#This Row],[Life expectancy]:[Schooling]])</f>
        <v>0</v>
      </c>
    </row>
    <row r="1439" spans="1:23" x14ac:dyDescent="0.25">
      <c r="A1439" t="s">
        <v>455</v>
      </c>
      <c r="B1439">
        <v>2004</v>
      </c>
      <c r="C1439" t="s">
        <v>363</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Data_Completeness(LifeExpectancyData[[#This Row],[Life expectancy]:[Schooling]])</f>
        <v>0</v>
      </c>
    </row>
    <row r="1440" spans="1:23" x14ac:dyDescent="0.25">
      <c r="A1440" t="s">
        <v>455</v>
      </c>
      <c r="B1440">
        <v>2003</v>
      </c>
      <c r="C1440" t="s">
        <v>363</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Data_Completeness(LifeExpectancyData[[#This Row],[Life expectancy]:[Schooling]])</f>
        <v>0</v>
      </c>
    </row>
    <row r="1441" spans="1:23" x14ac:dyDescent="0.25">
      <c r="A1441" t="s">
        <v>455</v>
      </c>
      <c r="B1441">
        <v>2002</v>
      </c>
      <c r="C1441" t="s">
        <v>363</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Data_Completeness(LifeExpectancyData[[#This Row],[Life expectancy]:[Schooling]])</f>
        <v>0</v>
      </c>
    </row>
    <row r="1442" spans="1:23" x14ac:dyDescent="0.25">
      <c r="A1442" t="s">
        <v>455</v>
      </c>
      <c r="B1442">
        <v>2001</v>
      </c>
      <c r="C1442" t="s">
        <v>363</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Data_Completeness(LifeExpectancyData[[#This Row],[Life expectancy]:[Schooling]])</f>
        <v>0</v>
      </c>
    </row>
    <row r="1443" spans="1:23" x14ac:dyDescent="0.25">
      <c r="A1443" t="s">
        <v>455</v>
      </c>
      <c r="B1443">
        <v>2000</v>
      </c>
      <c r="C1443" t="s">
        <v>363</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Data_Completeness(LifeExpectancyData[[#This Row],[Life expectancy]:[Schooling]])</f>
        <v>0</v>
      </c>
    </row>
    <row r="1444" spans="1:23" x14ac:dyDescent="0.25">
      <c r="A1444" t="s">
        <v>456</v>
      </c>
      <c r="B1444">
        <v>2015</v>
      </c>
      <c r="C1444" t="s">
        <v>371</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Data_Completeness(LifeExpectancyData[[#This Row],[Life expectancy]:[Schooling]])</f>
        <v>0</v>
      </c>
    </row>
    <row r="1445" spans="1:23" x14ac:dyDescent="0.25">
      <c r="A1445" t="s">
        <v>456</v>
      </c>
      <c r="B1445">
        <v>2014</v>
      </c>
      <c r="C1445" t="s">
        <v>371</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Data_Completeness(LifeExpectancyData[[#This Row],[Life expectancy]:[Schooling]])</f>
        <v>1</v>
      </c>
    </row>
    <row r="1446" spans="1:23" x14ac:dyDescent="0.25">
      <c r="A1446" t="s">
        <v>456</v>
      </c>
      <c r="B1446">
        <v>2013</v>
      </c>
      <c r="C1446" t="s">
        <v>371</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Data_Completeness(LifeExpectancyData[[#This Row],[Life expectancy]:[Schooling]])</f>
        <v>1</v>
      </c>
    </row>
    <row r="1447" spans="1:23" x14ac:dyDescent="0.25">
      <c r="A1447" t="s">
        <v>456</v>
      </c>
      <c r="B1447">
        <v>2012</v>
      </c>
      <c r="C1447" t="s">
        <v>371</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Data_Completeness(LifeExpectancyData[[#This Row],[Life expectancy]:[Schooling]])</f>
        <v>1</v>
      </c>
    </row>
    <row r="1448" spans="1:23" x14ac:dyDescent="0.25">
      <c r="A1448" t="s">
        <v>456</v>
      </c>
      <c r="B1448">
        <v>2011</v>
      </c>
      <c r="C1448" t="s">
        <v>371</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Data_Completeness(LifeExpectancyData[[#This Row],[Life expectancy]:[Schooling]])</f>
        <v>1</v>
      </c>
    </row>
    <row r="1449" spans="1:23" x14ac:dyDescent="0.25">
      <c r="A1449" t="s">
        <v>456</v>
      </c>
      <c r="B1449">
        <v>2010</v>
      </c>
      <c r="C1449" t="s">
        <v>371</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Data_Completeness(LifeExpectancyData[[#This Row],[Life expectancy]:[Schooling]])</f>
        <v>1</v>
      </c>
    </row>
    <row r="1450" spans="1:23" x14ac:dyDescent="0.25">
      <c r="A1450" t="s">
        <v>456</v>
      </c>
      <c r="B1450">
        <v>2009</v>
      </c>
      <c r="C1450" t="s">
        <v>371</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Data_Completeness(LifeExpectancyData[[#This Row],[Life expectancy]:[Schooling]])</f>
        <v>1</v>
      </c>
    </row>
    <row r="1451" spans="1:23" x14ac:dyDescent="0.25">
      <c r="A1451" t="s">
        <v>456</v>
      </c>
      <c r="B1451">
        <v>2008</v>
      </c>
      <c r="C1451" t="s">
        <v>371</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Data_Completeness(LifeExpectancyData[[#This Row],[Life expectancy]:[Schooling]])</f>
        <v>1</v>
      </c>
    </row>
    <row r="1452" spans="1:23" x14ac:dyDescent="0.25">
      <c r="A1452" t="s">
        <v>456</v>
      </c>
      <c r="B1452">
        <v>2007</v>
      </c>
      <c r="C1452" t="s">
        <v>371</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Data_Completeness(LifeExpectancyData[[#This Row],[Life expectancy]:[Schooling]])</f>
        <v>1</v>
      </c>
    </row>
    <row r="1453" spans="1:23" x14ac:dyDescent="0.25">
      <c r="A1453" t="s">
        <v>456</v>
      </c>
      <c r="B1453">
        <v>2006</v>
      </c>
      <c r="C1453" t="s">
        <v>371</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Data_Completeness(LifeExpectancyData[[#This Row],[Life expectancy]:[Schooling]])</f>
        <v>1</v>
      </c>
    </row>
    <row r="1454" spans="1:23" x14ac:dyDescent="0.25">
      <c r="A1454" t="s">
        <v>456</v>
      </c>
      <c r="B1454">
        <v>2005</v>
      </c>
      <c r="C1454" t="s">
        <v>371</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Data_Completeness(LifeExpectancyData[[#This Row],[Life expectancy]:[Schooling]])</f>
        <v>1</v>
      </c>
    </row>
    <row r="1455" spans="1:23" x14ac:dyDescent="0.25">
      <c r="A1455" t="s">
        <v>456</v>
      </c>
      <c r="B1455">
        <v>2004</v>
      </c>
      <c r="C1455" t="s">
        <v>371</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Data_Completeness(LifeExpectancyData[[#This Row],[Life expectancy]:[Schooling]])</f>
        <v>1</v>
      </c>
    </row>
    <row r="1456" spans="1:23" x14ac:dyDescent="0.25">
      <c r="A1456" t="s">
        <v>456</v>
      </c>
      <c r="B1456">
        <v>2003</v>
      </c>
      <c r="C1456" t="s">
        <v>371</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Data_Completeness(LifeExpectancyData[[#This Row],[Life expectancy]:[Schooling]])</f>
        <v>1</v>
      </c>
    </row>
    <row r="1457" spans="1:23" x14ac:dyDescent="0.25">
      <c r="A1457" t="s">
        <v>456</v>
      </c>
      <c r="B1457">
        <v>2002</v>
      </c>
      <c r="C1457" t="s">
        <v>371</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Data_Completeness(LifeExpectancyData[[#This Row],[Life expectancy]:[Schooling]])</f>
        <v>1</v>
      </c>
    </row>
    <row r="1458" spans="1:23" x14ac:dyDescent="0.25">
      <c r="A1458" t="s">
        <v>456</v>
      </c>
      <c r="B1458">
        <v>2001</v>
      </c>
      <c r="C1458" t="s">
        <v>371</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Data_Completeness(LifeExpectancyData[[#This Row],[Life expectancy]:[Schooling]])</f>
        <v>1</v>
      </c>
    </row>
    <row r="1459" spans="1:23" x14ac:dyDescent="0.25">
      <c r="A1459" t="s">
        <v>456</v>
      </c>
      <c r="B1459">
        <v>2000</v>
      </c>
      <c r="C1459" t="s">
        <v>371</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Data_Completeness(LifeExpectancyData[[#This Row],[Life expectancy]:[Schooling]])</f>
        <v>1</v>
      </c>
    </row>
    <row r="1460" spans="1:23" x14ac:dyDescent="0.25">
      <c r="A1460" t="s">
        <v>457</v>
      </c>
      <c r="B1460">
        <v>2015</v>
      </c>
      <c r="C1460" t="s">
        <v>363</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Data_Completeness(LifeExpectancyData[[#This Row],[Life expectancy]:[Schooling]])</f>
        <v>0</v>
      </c>
    </row>
    <row r="1461" spans="1:23" x14ac:dyDescent="0.25">
      <c r="A1461" t="s">
        <v>457</v>
      </c>
      <c r="B1461">
        <v>2014</v>
      </c>
      <c r="C1461" t="s">
        <v>363</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Data_Completeness(LifeExpectancyData[[#This Row],[Life expectancy]:[Schooling]])</f>
        <v>1</v>
      </c>
    </row>
    <row r="1462" spans="1:23" x14ac:dyDescent="0.25">
      <c r="A1462" t="s">
        <v>457</v>
      </c>
      <c r="B1462">
        <v>2013</v>
      </c>
      <c r="C1462" t="s">
        <v>363</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Data_Completeness(LifeExpectancyData[[#This Row],[Life expectancy]:[Schooling]])</f>
        <v>1</v>
      </c>
    </row>
    <row r="1463" spans="1:23" x14ac:dyDescent="0.25">
      <c r="A1463" t="s">
        <v>457</v>
      </c>
      <c r="B1463">
        <v>2012</v>
      </c>
      <c r="C1463" t="s">
        <v>363</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Data_Completeness(LifeExpectancyData[[#This Row],[Life expectancy]:[Schooling]])</f>
        <v>1</v>
      </c>
    </row>
    <row r="1464" spans="1:23" x14ac:dyDescent="0.25">
      <c r="A1464" t="s">
        <v>457</v>
      </c>
      <c r="B1464">
        <v>2011</v>
      </c>
      <c r="C1464" t="s">
        <v>363</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Data_Completeness(LifeExpectancyData[[#This Row],[Life expectancy]:[Schooling]])</f>
        <v>1</v>
      </c>
    </row>
    <row r="1465" spans="1:23" x14ac:dyDescent="0.25">
      <c r="A1465" t="s">
        <v>457</v>
      </c>
      <c r="B1465">
        <v>2010</v>
      </c>
      <c r="C1465" t="s">
        <v>363</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Data_Completeness(LifeExpectancyData[[#This Row],[Life expectancy]:[Schooling]])</f>
        <v>1</v>
      </c>
    </row>
    <row r="1466" spans="1:23" x14ac:dyDescent="0.25">
      <c r="A1466" t="s">
        <v>457</v>
      </c>
      <c r="B1466">
        <v>2009</v>
      </c>
      <c r="C1466" t="s">
        <v>363</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Data_Completeness(LifeExpectancyData[[#This Row],[Life expectancy]:[Schooling]])</f>
        <v>1</v>
      </c>
    </row>
    <row r="1467" spans="1:23" x14ac:dyDescent="0.25">
      <c r="A1467" t="s">
        <v>457</v>
      </c>
      <c r="B1467">
        <v>2008</v>
      </c>
      <c r="C1467" t="s">
        <v>363</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Data_Completeness(LifeExpectancyData[[#This Row],[Life expectancy]:[Schooling]])</f>
        <v>1</v>
      </c>
    </row>
    <row r="1468" spans="1:23" x14ac:dyDescent="0.25">
      <c r="A1468" t="s">
        <v>457</v>
      </c>
      <c r="B1468">
        <v>2007</v>
      </c>
      <c r="C1468" t="s">
        <v>363</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Data_Completeness(LifeExpectancyData[[#This Row],[Life expectancy]:[Schooling]])</f>
        <v>1</v>
      </c>
    </row>
    <row r="1469" spans="1:23" x14ac:dyDescent="0.25">
      <c r="A1469" t="s">
        <v>457</v>
      </c>
      <c r="B1469">
        <v>2006</v>
      </c>
      <c r="C1469" t="s">
        <v>363</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Data_Completeness(LifeExpectancyData[[#This Row],[Life expectancy]:[Schooling]])</f>
        <v>1</v>
      </c>
    </row>
    <row r="1470" spans="1:23" x14ac:dyDescent="0.25">
      <c r="A1470" t="s">
        <v>457</v>
      </c>
      <c r="B1470">
        <v>2005</v>
      </c>
      <c r="C1470" t="s">
        <v>363</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Data_Completeness(LifeExpectancyData[[#This Row],[Life expectancy]:[Schooling]])</f>
        <v>1</v>
      </c>
    </row>
    <row r="1471" spans="1:23" x14ac:dyDescent="0.25">
      <c r="A1471" t="s">
        <v>457</v>
      </c>
      <c r="B1471">
        <v>2004</v>
      </c>
      <c r="C1471" t="s">
        <v>363</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Data_Completeness(LifeExpectancyData[[#This Row],[Life expectancy]:[Schooling]])</f>
        <v>1</v>
      </c>
    </row>
    <row r="1472" spans="1:23" x14ac:dyDescent="0.25">
      <c r="A1472" t="s">
        <v>457</v>
      </c>
      <c r="B1472">
        <v>2003</v>
      </c>
      <c r="C1472" t="s">
        <v>363</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Data_Completeness(LifeExpectancyData[[#This Row],[Life expectancy]:[Schooling]])</f>
        <v>1</v>
      </c>
    </row>
    <row r="1473" spans="1:23" x14ac:dyDescent="0.25">
      <c r="A1473" t="s">
        <v>457</v>
      </c>
      <c r="B1473">
        <v>2002</v>
      </c>
      <c r="C1473" t="s">
        <v>363</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Data_Completeness(LifeExpectancyData[[#This Row],[Life expectancy]:[Schooling]])</f>
        <v>1</v>
      </c>
    </row>
    <row r="1474" spans="1:23" x14ac:dyDescent="0.25">
      <c r="A1474" t="s">
        <v>457</v>
      </c>
      <c r="B1474">
        <v>2001</v>
      </c>
      <c r="C1474" t="s">
        <v>363</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Data_Completeness(LifeExpectancyData[[#This Row],[Life expectancy]:[Schooling]])</f>
        <v>1</v>
      </c>
    </row>
    <row r="1475" spans="1:23" x14ac:dyDescent="0.25">
      <c r="A1475" t="s">
        <v>457</v>
      </c>
      <c r="B1475">
        <v>2000</v>
      </c>
      <c r="C1475" t="s">
        <v>363</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Data_Completeness(LifeExpectancyData[[#This Row],[Life expectancy]:[Schooling]])</f>
        <v>1</v>
      </c>
    </row>
    <row r="1476" spans="1:23" x14ac:dyDescent="0.25">
      <c r="A1476" t="s">
        <v>458</v>
      </c>
      <c r="B1476">
        <v>2015</v>
      </c>
      <c r="C1476" t="s">
        <v>363</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Data_Completeness(LifeExpectancyData[[#This Row],[Life expectancy]:[Schooling]])</f>
        <v>0</v>
      </c>
    </row>
    <row r="1477" spans="1:23" x14ac:dyDescent="0.25">
      <c r="A1477" t="s">
        <v>458</v>
      </c>
      <c r="B1477">
        <v>2014</v>
      </c>
      <c r="C1477" t="s">
        <v>363</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Data_Completeness(LifeExpectancyData[[#This Row],[Life expectancy]:[Schooling]])</f>
        <v>1</v>
      </c>
    </row>
    <row r="1478" spans="1:23" x14ac:dyDescent="0.25">
      <c r="A1478" t="s">
        <v>458</v>
      </c>
      <c r="B1478">
        <v>2013</v>
      </c>
      <c r="C1478" t="s">
        <v>363</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Data_Completeness(LifeExpectancyData[[#This Row],[Life expectancy]:[Schooling]])</f>
        <v>1</v>
      </c>
    </row>
    <row r="1479" spans="1:23" x14ac:dyDescent="0.25">
      <c r="A1479" t="s">
        <v>458</v>
      </c>
      <c r="B1479">
        <v>2012</v>
      </c>
      <c r="C1479" t="s">
        <v>363</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Data_Completeness(LifeExpectancyData[[#This Row],[Life expectancy]:[Schooling]])</f>
        <v>1</v>
      </c>
    </row>
    <row r="1480" spans="1:23" x14ac:dyDescent="0.25">
      <c r="A1480" t="s">
        <v>458</v>
      </c>
      <c r="B1480">
        <v>2011</v>
      </c>
      <c r="C1480" t="s">
        <v>363</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Data_Completeness(LifeExpectancyData[[#This Row],[Life expectancy]:[Schooling]])</f>
        <v>1</v>
      </c>
    </row>
    <row r="1481" spans="1:23" x14ac:dyDescent="0.25">
      <c r="A1481" t="s">
        <v>458</v>
      </c>
      <c r="B1481">
        <v>2010</v>
      </c>
      <c r="C1481" t="s">
        <v>363</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Data_Completeness(LifeExpectancyData[[#This Row],[Life expectancy]:[Schooling]])</f>
        <v>1</v>
      </c>
    </row>
    <row r="1482" spans="1:23" x14ac:dyDescent="0.25">
      <c r="A1482" t="s">
        <v>458</v>
      </c>
      <c r="B1482">
        <v>2009</v>
      </c>
      <c r="C1482" t="s">
        <v>363</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Data_Completeness(LifeExpectancyData[[#This Row],[Life expectancy]:[Schooling]])</f>
        <v>1</v>
      </c>
    </row>
    <row r="1483" spans="1:23" x14ac:dyDescent="0.25">
      <c r="A1483" t="s">
        <v>458</v>
      </c>
      <c r="B1483">
        <v>2008</v>
      </c>
      <c r="C1483" t="s">
        <v>363</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Data_Completeness(LifeExpectancyData[[#This Row],[Life expectancy]:[Schooling]])</f>
        <v>1</v>
      </c>
    </row>
    <row r="1484" spans="1:23" x14ac:dyDescent="0.25">
      <c r="A1484" t="s">
        <v>458</v>
      </c>
      <c r="B1484">
        <v>2007</v>
      </c>
      <c r="C1484" t="s">
        <v>363</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Data_Completeness(LifeExpectancyData[[#This Row],[Life expectancy]:[Schooling]])</f>
        <v>1</v>
      </c>
    </row>
    <row r="1485" spans="1:23" x14ac:dyDescent="0.25">
      <c r="A1485" t="s">
        <v>458</v>
      </c>
      <c r="B1485">
        <v>2006</v>
      </c>
      <c r="C1485" t="s">
        <v>363</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Data_Completeness(LifeExpectancyData[[#This Row],[Life expectancy]:[Schooling]])</f>
        <v>1</v>
      </c>
    </row>
    <row r="1486" spans="1:23" x14ac:dyDescent="0.25">
      <c r="A1486" t="s">
        <v>458</v>
      </c>
      <c r="B1486">
        <v>2005</v>
      </c>
      <c r="C1486" t="s">
        <v>363</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Data_Completeness(LifeExpectancyData[[#This Row],[Life expectancy]:[Schooling]])</f>
        <v>1</v>
      </c>
    </row>
    <row r="1487" spans="1:23" x14ac:dyDescent="0.25">
      <c r="A1487" t="s">
        <v>458</v>
      </c>
      <c r="B1487">
        <v>2004</v>
      </c>
      <c r="C1487" t="s">
        <v>363</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Data_Completeness(LifeExpectancyData[[#This Row],[Life expectancy]:[Schooling]])</f>
        <v>1</v>
      </c>
    </row>
    <row r="1488" spans="1:23" x14ac:dyDescent="0.25">
      <c r="A1488" t="s">
        <v>458</v>
      </c>
      <c r="B1488">
        <v>2003</v>
      </c>
      <c r="C1488" t="s">
        <v>363</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Data_Completeness(LifeExpectancyData[[#This Row],[Life expectancy]:[Schooling]])</f>
        <v>1</v>
      </c>
    </row>
    <row r="1489" spans="1:23" x14ac:dyDescent="0.25">
      <c r="A1489" t="s">
        <v>458</v>
      </c>
      <c r="B1489">
        <v>2002</v>
      </c>
      <c r="C1489" t="s">
        <v>363</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Data_Completeness(LifeExpectancyData[[#This Row],[Life expectancy]:[Schooling]])</f>
        <v>0</v>
      </c>
    </row>
    <row r="1490" spans="1:23" x14ac:dyDescent="0.25">
      <c r="A1490" t="s">
        <v>458</v>
      </c>
      <c r="B1490">
        <v>2001</v>
      </c>
      <c r="C1490" t="s">
        <v>363</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Data_Completeness(LifeExpectancyData[[#This Row],[Life expectancy]:[Schooling]])</f>
        <v>0</v>
      </c>
    </row>
    <row r="1491" spans="1:23" x14ac:dyDescent="0.25">
      <c r="A1491" t="s">
        <v>458</v>
      </c>
      <c r="B1491">
        <v>2000</v>
      </c>
      <c r="C1491" t="s">
        <v>363</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Data_Completeness(LifeExpectancyData[[#This Row],[Life expectancy]:[Schooling]])</f>
        <v>0</v>
      </c>
    </row>
    <row r="1492" spans="1:23" x14ac:dyDescent="0.25">
      <c r="A1492" t="s">
        <v>459</v>
      </c>
      <c r="B1492">
        <v>2015</v>
      </c>
      <c r="C1492" t="s">
        <v>363</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Data_Completeness(LifeExpectancyData[[#This Row],[Life expectancy]:[Schooling]])</f>
        <v>0</v>
      </c>
    </row>
    <row r="1493" spans="1:23" x14ac:dyDescent="0.25">
      <c r="A1493" t="s">
        <v>459</v>
      </c>
      <c r="B1493">
        <v>2014</v>
      </c>
      <c r="C1493" t="s">
        <v>363</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Data_Completeness(LifeExpectancyData[[#This Row],[Life expectancy]:[Schooling]])</f>
        <v>1</v>
      </c>
    </row>
    <row r="1494" spans="1:23" x14ac:dyDescent="0.25">
      <c r="A1494" t="s">
        <v>459</v>
      </c>
      <c r="B1494">
        <v>2013</v>
      </c>
      <c r="C1494" t="s">
        <v>363</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Data_Completeness(LifeExpectancyData[[#This Row],[Life expectancy]:[Schooling]])</f>
        <v>1</v>
      </c>
    </row>
    <row r="1495" spans="1:23" x14ac:dyDescent="0.25">
      <c r="A1495" t="s">
        <v>459</v>
      </c>
      <c r="B1495">
        <v>2012</v>
      </c>
      <c r="C1495" t="s">
        <v>363</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Data_Completeness(LifeExpectancyData[[#This Row],[Life expectancy]:[Schooling]])</f>
        <v>1</v>
      </c>
    </row>
    <row r="1496" spans="1:23" x14ac:dyDescent="0.25">
      <c r="A1496" t="s">
        <v>459</v>
      </c>
      <c r="B1496">
        <v>2011</v>
      </c>
      <c r="C1496" t="s">
        <v>363</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Data_Completeness(LifeExpectancyData[[#This Row],[Life expectancy]:[Schooling]])</f>
        <v>1</v>
      </c>
    </row>
    <row r="1497" spans="1:23" x14ac:dyDescent="0.25">
      <c r="A1497" t="s">
        <v>459</v>
      </c>
      <c r="B1497">
        <v>2010</v>
      </c>
      <c r="C1497" t="s">
        <v>363</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Data_Completeness(LifeExpectancyData[[#This Row],[Life expectancy]:[Schooling]])</f>
        <v>1</v>
      </c>
    </row>
    <row r="1498" spans="1:23" x14ac:dyDescent="0.25">
      <c r="A1498" t="s">
        <v>459</v>
      </c>
      <c r="B1498">
        <v>2009</v>
      </c>
      <c r="C1498" t="s">
        <v>363</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Data_Completeness(LifeExpectancyData[[#This Row],[Life expectancy]:[Schooling]])</f>
        <v>1</v>
      </c>
    </row>
    <row r="1499" spans="1:23" x14ac:dyDescent="0.25">
      <c r="A1499" t="s">
        <v>459</v>
      </c>
      <c r="B1499">
        <v>2008</v>
      </c>
      <c r="C1499" t="s">
        <v>363</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Data_Completeness(LifeExpectancyData[[#This Row],[Life expectancy]:[Schooling]])</f>
        <v>1</v>
      </c>
    </row>
    <row r="1500" spans="1:23" x14ac:dyDescent="0.25">
      <c r="A1500" t="s">
        <v>459</v>
      </c>
      <c r="B1500">
        <v>2007</v>
      </c>
      <c r="C1500" t="s">
        <v>363</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Data_Completeness(LifeExpectancyData[[#This Row],[Life expectancy]:[Schooling]])</f>
        <v>0</v>
      </c>
    </row>
    <row r="1501" spans="1:23" x14ac:dyDescent="0.25">
      <c r="A1501" t="s">
        <v>459</v>
      </c>
      <c r="B1501">
        <v>2006</v>
      </c>
      <c r="C1501" t="s">
        <v>363</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Data_Completeness(LifeExpectancyData[[#This Row],[Life expectancy]:[Schooling]])</f>
        <v>0</v>
      </c>
    </row>
    <row r="1502" spans="1:23" x14ac:dyDescent="0.25">
      <c r="A1502" t="s">
        <v>459</v>
      </c>
      <c r="B1502">
        <v>2005</v>
      </c>
      <c r="C1502" t="s">
        <v>363</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Data_Completeness(LifeExpectancyData[[#This Row],[Life expectancy]:[Schooling]])</f>
        <v>0</v>
      </c>
    </row>
    <row r="1503" spans="1:23" x14ac:dyDescent="0.25">
      <c r="A1503" t="s">
        <v>459</v>
      </c>
      <c r="B1503">
        <v>2004</v>
      </c>
      <c r="C1503" t="s">
        <v>363</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Data_Completeness(LifeExpectancyData[[#This Row],[Life expectancy]:[Schooling]])</f>
        <v>0</v>
      </c>
    </row>
    <row r="1504" spans="1:23" x14ac:dyDescent="0.25">
      <c r="A1504" t="s">
        <v>459</v>
      </c>
      <c r="B1504">
        <v>2003</v>
      </c>
      <c r="C1504" t="s">
        <v>363</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Data_Completeness(LifeExpectancyData[[#This Row],[Life expectancy]:[Schooling]])</f>
        <v>0</v>
      </c>
    </row>
    <row r="1505" spans="1:23" x14ac:dyDescent="0.25">
      <c r="A1505" t="s">
        <v>459</v>
      </c>
      <c r="B1505">
        <v>2002</v>
      </c>
      <c r="C1505" t="s">
        <v>363</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Data_Completeness(LifeExpectancyData[[#This Row],[Life expectancy]:[Schooling]])</f>
        <v>0</v>
      </c>
    </row>
    <row r="1506" spans="1:23" x14ac:dyDescent="0.25">
      <c r="A1506" t="s">
        <v>459</v>
      </c>
      <c r="B1506">
        <v>2001</v>
      </c>
      <c r="C1506" t="s">
        <v>363</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Data_Completeness(LifeExpectancyData[[#This Row],[Life expectancy]:[Schooling]])</f>
        <v>0</v>
      </c>
    </row>
    <row r="1507" spans="1:23" x14ac:dyDescent="0.25">
      <c r="A1507" t="s">
        <v>459</v>
      </c>
      <c r="B1507">
        <v>2000</v>
      </c>
      <c r="C1507" t="s">
        <v>363</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Data_Completeness(LifeExpectancyData[[#This Row],[Life expectancy]:[Schooling]])</f>
        <v>0</v>
      </c>
    </row>
    <row r="1508" spans="1:23" x14ac:dyDescent="0.25">
      <c r="A1508" t="s">
        <v>460</v>
      </c>
      <c r="B1508">
        <v>2015</v>
      </c>
      <c r="C1508" t="s">
        <v>363</v>
      </c>
      <c r="D1508">
        <v>72.7</v>
      </c>
      <c r="E1508">
        <v>138</v>
      </c>
      <c r="F1508">
        <v>1</v>
      </c>
      <c r="H1508">
        <v>0</v>
      </c>
      <c r="I1508">
        <v>97</v>
      </c>
      <c r="J1508">
        <v>82</v>
      </c>
      <c r="K1508">
        <v>64.8</v>
      </c>
      <c r="L1508">
        <v>2</v>
      </c>
      <c r="M1508">
        <v>97</v>
      </c>
      <c r="O1508">
        <v>97</v>
      </c>
      <c r="P1508">
        <v>0.1</v>
      </c>
      <c r="S1508">
        <v>5.8</v>
      </c>
      <c r="T1508">
        <v>5.5</v>
      </c>
      <c r="U1508">
        <v>0.71899999999999997</v>
      </c>
      <c r="V1508">
        <v>13.4</v>
      </c>
      <c r="W1508" t="b">
        <f>Data_Completeness(LifeExpectancyData[[#This Row],[Life expectancy]:[Schooling]])</f>
        <v>0</v>
      </c>
    </row>
    <row r="1509" spans="1:23" x14ac:dyDescent="0.25">
      <c r="A1509" t="s">
        <v>460</v>
      </c>
      <c r="B1509">
        <v>2014</v>
      </c>
      <c r="C1509" t="s">
        <v>363</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Data_Completeness(LifeExpectancyData[[#This Row],[Life expectancy]:[Schooling]])</f>
        <v>0</v>
      </c>
    </row>
    <row r="1510" spans="1:23" x14ac:dyDescent="0.25">
      <c r="A1510" t="s">
        <v>460</v>
      </c>
      <c r="B1510">
        <v>2013</v>
      </c>
      <c r="C1510" t="s">
        <v>363</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Data_Completeness(LifeExpectancyData[[#This Row],[Life expectancy]:[Schooling]])</f>
        <v>0</v>
      </c>
    </row>
    <row r="1511" spans="1:23" x14ac:dyDescent="0.25">
      <c r="A1511" t="s">
        <v>460</v>
      </c>
      <c r="B1511">
        <v>2012</v>
      </c>
      <c r="C1511" t="s">
        <v>363</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Data_Completeness(LifeExpectancyData[[#This Row],[Life expectancy]:[Schooling]])</f>
        <v>0</v>
      </c>
    </row>
    <row r="1512" spans="1:23" x14ac:dyDescent="0.25">
      <c r="A1512" t="s">
        <v>460</v>
      </c>
      <c r="B1512">
        <v>2011</v>
      </c>
      <c r="C1512" t="s">
        <v>363</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Data_Completeness(LifeExpectancyData[[#This Row],[Life expectancy]:[Schooling]])</f>
        <v>0</v>
      </c>
    </row>
    <row r="1513" spans="1:23" x14ac:dyDescent="0.25">
      <c r="A1513" t="s">
        <v>460</v>
      </c>
      <c r="B1513">
        <v>2010</v>
      </c>
      <c r="C1513" t="s">
        <v>363</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Data_Completeness(LifeExpectancyData[[#This Row],[Life expectancy]:[Schooling]])</f>
        <v>0</v>
      </c>
    </row>
    <row r="1514" spans="1:23" x14ac:dyDescent="0.25">
      <c r="A1514" t="s">
        <v>460</v>
      </c>
      <c r="B1514">
        <v>2009</v>
      </c>
      <c r="C1514" t="s">
        <v>363</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Data_Completeness(LifeExpectancyData[[#This Row],[Life expectancy]:[Schooling]])</f>
        <v>0</v>
      </c>
    </row>
    <row r="1515" spans="1:23" x14ac:dyDescent="0.25">
      <c r="A1515" t="s">
        <v>460</v>
      </c>
      <c r="B1515">
        <v>2008</v>
      </c>
      <c r="C1515" t="s">
        <v>363</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Data_Completeness(LifeExpectancyData[[#This Row],[Life expectancy]:[Schooling]])</f>
        <v>0</v>
      </c>
    </row>
    <row r="1516" spans="1:23" x14ac:dyDescent="0.25">
      <c r="A1516" t="s">
        <v>460</v>
      </c>
      <c r="B1516">
        <v>2007</v>
      </c>
      <c r="C1516" t="s">
        <v>363</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Data_Completeness(LifeExpectancyData[[#This Row],[Life expectancy]:[Schooling]])</f>
        <v>0</v>
      </c>
    </row>
    <row r="1517" spans="1:23" x14ac:dyDescent="0.25">
      <c r="A1517" t="s">
        <v>460</v>
      </c>
      <c r="B1517">
        <v>2006</v>
      </c>
      <c r="C1517" t="s">
        <v>363</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Data_Completeness(LifeExpectancyData[[#This Row],[Life expectancy]:[Schooling]])</f>
        <v>0</v>
      </c>
    </row>
    <row r="1518" spans="1:23" x14ac:dyDescent="0.25">
      <c r="A1518" t="s">
        <v>460</v>
      </c>
      <c r="B1518">
        <v>2005</v>
      </c>
      <c r="C1518" t="s">
        <v>363</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Data_Completeness(LifeExpectancyData[[#This Row],[Life expectancy]:[Schooling]])</f>
        <v>0</v>
      </c>
    </row>
    <row r="1519" spans="1:23" x14ac:dyDescent="0.25">
      <c r="A1519" t="s">
        <v>460</v>
      </c>
      <c r="B1519">
        <v>2004</v>
      </c>
      <c r="C1519" t="s">
        <v>363</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Data_Completeness(LifeExpectancyData[[#This Row],[Life expectancy]:[Schooling]])</f>
        <v>0</v>
      </c>
    </row>
    <row r="1520" spans="1:23" x14ac:dyDescent="0.25">
      <c r="A1520" t="s">
        <v>460</v>
      </c>
      <c r="B1520">
        <v>2003</v>
      </c>
      <c r="C1520" t="s">
        <v>363</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Data_Completeness(LifeExpectancyData[[#This Row],[Life expectancy]:[Schooling]])</f>
        <v>0</v>
      </c>
    </row>
    <row r="1521" spans="1:23" x14ac:dyDescent="0.25">
      <c r="A1521" t="s">
        <v>460</v>
      </c>
      <c r="B1521">
        <v>2002</v>
      </c>
      <c r="C1521" t="s">
        <v>363</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Data_Completeness(LifeExpectancyData[[#This Row],[Life expectancy]:[Schooling]])</f>
        <v>0</v>
      </c>
    </row>
    <row r="1522" spans="1:23" x14ac:dyDescent="0.25">
      <c r="A1522" t="s">
        <v>460</v>
      </c>
      <c r="B1522">
        <v>2001</v>
      </c>
      <c r="C1522" t="s">
        <v>363</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Data_Completeness(LifeExpectancyData[[#This Row],[Life expectancy]:[Schooling]])</f>
        <v>0</v>
      </c>
    </row>
    <row r="1523" spans="1:23" x14ac:dyDescent="0.25">
      <c r="A1523" t="s">
        <v>460</v>
      </c>
      <c r="B1523">
        <v>2000</v>
      </c>
      <c r="C1523" t="s">
        <v>363</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Data_Completeness(LifeExpectancyData[[#This Row],[Life expectancy]:[Schooling]])</f>
        <v>0</v>
      </c>
    </row>
    <row r="1524" spans="1:23" x14ac:dyDescent="0.25">
      <c r="A1524" t="s">
        <v>461</v>
      </c>
      <c r="B1524">
        <v>2015</v>
      </c>
      <c r="C1524" t="s">
        <v>371</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Data_Completeness(LifeExpectancyData[[#This Row],[Life expectancy]:[Schooling]])</f>
        <v>0</v>
      </c>
    </row>
    <row r="1525" spans="1:23" x14ac:dyDescent="0.25">
      <c r="A1525" t="s">
        <v>461</v>
      </c>
      <c r="B1525">
        <v>2014</v>
      </c>
      <c r="C1525" t="s">
        <v>371</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Data_Completeness(LifeExpectancyData[[#This Row],[Life expectancy]:[Schooling]])</f>
        <v>1</v>
      </c>
    </row>
    <row r="1526" spans="1:23" x14ac:dyDescent="0.25">
      <c r="A1526" t="s">
        <v>461</v>
      </c>
      <c r="B1526">
        <v>2013</v>
      </c>
      <c r="C1526" t="s">
        <v>371</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Data_Completeness(LifeExpectancyData[[#This Row],[Life expectancy]:[Schooling]])</f>
        <v>1</v>
      </c>
    </row>
    <row r="1527" spans="1:23" x14ac:dyDescent="0.25">
      <c r="A1527" t="s">
        <v>461</v>
      </c>
      <c r="B1527">
        <v>2012</v>
      </c>
      <c r="C1527" t="s">
        <v>371</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Data_Completeness(LifeExpectancyData[[#This Row],[Life expectancy]:[Schooling]])</f>
        <v>1</v>
      </c>
    </row>
    <row r="1528" spans="1:23" x14ac:dyDescent="0.25">
      <c r="A1528" t="s">
        <v>461</v>
      </c>
      <c r="B1528">
        <v>2011</v>
      </c>
      <c r="C1528" t="s">
        <v>371</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Data_Completeness(LifeExpectancyData[[#This Row],[Life expectancy]:[Schooling]])</f>
        <v>1</v>
      </c>
    </row>
    <row r="1529" spans="1:23" x14ac:dyDescent="0.25">
      <c r="A1529" t="s">
        <v>461</v>
      </c>
      <c r="B1529">
        <v>2010</v>
      </c>
      <c r="C1529" t="s">
        <v>371</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Data_Completeness(LifeExpectancyData[[#This Row],[Life expectancy]:[Schooling]])</f>
        <v>1</v>
      </c>
    </row>
    <row r="1530" spans="1:23" x14ac:dyDescent="0.25">
      <c r="A1530" t="s">
        <v>461</v>
      </c>
      <c r="B1530">
        <v>2009</v>
      </c>
      <c r="C1530" t="s">
        <v>371</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Data_Completeness(LifeExpectancyData[[#This Row],[Life expectancy]:[Schooling]])</f>
        <v>1</v>
      </c>
    </row>
    <row r="1531" spans="1:23" x14ac:dyDescent="0.25">
      <c r="A1531" t="s">
        <v>461</v>
      </c>
      <c r="B1531">
        <v>2008</v>
      </c>
      <c r="C1531" t="s">
        <v>371</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Data_Completeness(LifeExpectancyData[[#This Row],[Life expectancy]:[Schooling]])</f>
        <v>1</v>
      </c>
    </row>
    <row r="1532" spans="1:23" x14ac:dyDescent="0.25">
      <c r="A1532" t="s">
        <v>461</v>
      </c>
      <c r="B1532">
        <v>2007</v>
      </c>
      <c r="C1532" t="s">
        <v>371</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Data_Completeness(LifeExpectancyData[[#This Row],[Life expectancy]:[Schooling]])</f>
        <v>1</v>
      </c>
    </row>
    <row r="1533" spans="1:23" x14ac:dyDescent="0.25">
      <c r="A1533" t="s">
        <v>461</v>
      </c>
      <c r="B1533">
        <v>2006</v>
      </c>
      <c r="C1533" t="s">
        <v>371</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Data_Completeness(LifeExpectancyData[[#This Row],[Life expectancy]:[Schooling]])</f>
        <v>1</v>
      </c>
    </row>
    <row r="1534" spans="1:23" x14ac:dyDescent="0.25">
      <c r="A1534" t="s">
        <v>461</v>
      </c>
      <c r="B1534">
        <v>2005</v>
      </c>
      <c r="C1534" t="s">
        <v>371</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Data_Completeness(LifeExpectancyData[[#This Row],[Life expectancy]:[Schooling]])</f>
        <v>1</v>
      </c>
    </row>
    <row r="1535" spans="1:23" x14ac:dyDescent="0.25">
      <c r="A1535" t="s">
        <v>461</v>
      </c>
      <c r="B1535">
        <v>2004</v>
      </c>
      <c r="C1535" t="s">
        <v>371</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Data_Completeness(LifeExpectancyData[[#This Row],[Life expectancy]:[Schooling]])</f>
        <v>1</v>
      </c>
    </row>
    <row r="1536" spans="1:23" x14ac:dyDescent="0.25">
      <c r="A1536" t="s">
        <v>461</v>
      </c>
      <c r="B1536">
        <v>2003</v>
      </c>
      <c r="C1536" t="s">
        <v>371</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Data_Completeness(LifeExpectancyData[[#This Row],[Life expectancy]:[Schooling]])</f>
        <v>1</v>
      </c>
    </row>
    <row r="1537" spans="1:23" x14ac:dyDescent="0.25">
      <c r="A1537" t="s">
        <v>461</v>
      </c>
      <c r="B1537">
        <v>2002</v>
      </c>
      <c r="C1537" t="s">
        <v>371</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Data_Completeness(LifeExpectancyData[[#This Row],[Life expectancy]:[Schooling]])</f>
        <v>1</v>
      </c>
    </row>
    <row r="1538" spans="1:23" x14ac:dyDescent="0.25">
      <c r="A1538" t="s">
        <v>461</v>
      </c>
      <c r="B1538">
        <v>2001</v>
      </c>
      <c r="C1538" t="s">
        <v>371</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Data_Completeness(LifeExpectancyData[[#This Row],[Life expectancy]:[Schooling]])</f>
        <v>1</v>
      </c>
    </row>
    <row r="1539" spans="1:23" x14ac:dyDescent="0.25">
      <c r="A1539" t="s">
        <v>461</v>
      </c>
      <c r="B1539">
        <v>2000</v>
      </c>
      <c r="C1539" t="s">
        <v>371</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Data_Completeness(LifeExpectancyData[[#This Row],[Life expectancy]:[Schooling]])</f>
        <v>1</v>
      </c>
    </row>
    <row r="1540" spans="1:23" x14ac:dyDescent="0.25">
      <c r="A1540" t="s">
        <v>462</v>
      </c>
      <c r="B1540">
        <v>2015</v>
      </c>
      <c r="C1540" t="s">
        <v>371</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Data_Completeness(LifeExpectancyData[[#This Row],[Life expectancy]:[Schooling]])</f>
        <v>0</v>
      </c>
    </row>
    <row r="1541" spans="1:23" x14ac:dyDescent="0.25">
      <c r="A1541" t="s">
        <v>462</v>
      </c>
      <c r="B1541">
        <v>2014</v>
      </c>
      <c r="C1541" t="s">
        <v>371</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Data_Completeness(LifeExpectancyData[[#This Row],[Life expectancy]:[Schooling]])</f>
        <v>1</v>
      </c>
    </row>
    <row r="1542" spans="1:23" x14ac:dyDescent="0.25">
      <c r="A1542" t="s">
        <v>462</v>
      </c>
      <c r="B1542">
        <v>2013</v>
      </c>
      <c r="C1542" t="s">
        <v>371</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Data_Completeness(LifeExpectancyData[[#This Row],[Life expectancy]:[Schooling]])</f>
        <v>1</v>
      </c>
    </row>
    <row r="1543" spans="1:23" x14ac:dyDescent="0.25">
      <c r="A1543" t="s">
        <v>462</v>
      </c>
      <c r="B1543">
        <v>2012</v>
      </c>
      <c r="C1543" t="s">
        <v>371</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Data_Completeness(LifeExpectancyData[[#This Row],[Life expectancy]:[Schooling]])</f>
        <v>1</v>
      </c>
    </row>
    <row r="1544" spans="1:23" x14ac:dyDescent="0.25">
      <c r="A1544" t="s">
        <v>462</v>
      </c>
      <c r="B1544">
        <v>2011</v>
      </c>
      <c r="C1544" t="s">
        <v>371</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Data_Completeness(LifeExpectancyData[[#This Row],[Life expectancy]:[Schooling]])</f>
        <v>1</v>
      </c>
    </row>
    <row r="1545" spans="1:23" x14ac:dyDescent="0.25">
      <c r="A1545" t="s">
        <v>462</v>
      </c>
      <c r="B1545">
        <v>2010</v>
      </c>
      <c r="C1545" t="s">
        <v>371</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Data_Completeness(LifeExpectancyData[[#This Row],[Life expectancy]:[Schooling]])</f>
        <v>1</v>
      </c>
    </row>
    <row r="1546" spans="1:23" x14ac:dyDescent="0.25">
      <c r="A1546" t="s">
        <v>462</v>
      </c>
      <c r="B1546">
        <v>2009</v>
      </c>
      <c r="C1546" t="s">
        <v>371</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Data_Completeness(LifeExpectancyData[[#This Row],[Life expectancy]:[Schooling]])</f>
        <v>1</v>
      </c>
    </row>
    <row r="1547" spans="1:23" x14ac:dyDescent="0.25">
      <c r="A1547" t="s">
        <v>462</v>
      </c>
      <c r="B1547">
        <v>2008</v>
      </c>
      <c r="C1547" t="s">
        <v>371</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Data_Completeness(LifeExpectancyData[[#This Row],[Life expectancy]:[Schooling]])</f>
        <v>1</v>
      </c>
    </row>
    <row r="1548" spans="1:23" x14ac:dyDescent="0.25">
      <c r="A1548" t="s">
        <v>462</v>
      </c>
      <c r="B1548">
        <v>2007</v>
      </c>
      <c r="C1548" t="s">
        <v>371</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Data_Completeness(LifeExpectancyData[[#This Row],[Life expectancy]:[Schooling]])</f>
        <v>1</v>
      </c>
    </row>
    <row r="1549" spans="1:23" x14ac:dyDescent="0.25">
      <c r="A1549" t="s">
        <v>462</v>
      </c>
      <c r="B1549">
        <v>2006</v>
      </c>
      <c r="C1549" t="s">
        <v>371</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Data_Completeness(LifeExpectancyData[[#This Row],[Life expectancy]:[Schooling]])</f>
        <v>1</v>
      </c>
    </row>
    <row r="1550" spans="1:23" x14ac:dyDescent="0.25">
      <c r="A1550" t="s">
        <v>462</v>
      </c>
      <c r="B1550">
        <v>2005</v>
      </c>
      <c r="C1550" t="s">
        <v>371</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Data_Completeness(LifeExpectancyData[[#This Row],[Life expectancy]:[Schooling]])</f>
        <v>1</v>
      </c>
    </row>
    <row r="1551" spans="1:23" x14ac:dyDescent="0.25">
      <c r="A1551" t="s">
        <v>462</v>
      </c>
      <c r="B1551">
        <v>2004</v>
      </c>
      <c r="C1551" t="s">
        <v>371</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Data_Completeness(LifeExpectancyData[[#This Row],[Life expectancy]:[Schooling]])</f>
        <v>1</v>
      </c>
    </row>
    <row r="1552" spans="1:23" x14ac:dyDescent="0.25">
      <c r="A1552" t="s">
        <v>462</v>
      </c>
      <c r="B1552">
        <v>2003</v>
      </c>
      <c r="C1552" t="s">
        <v>371</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Data_Completeness(LifeExpectancyData[[#This Row],[Life expectancy]:[Schooling]])</f>
        <v>1</v>
      </c>
    </row>
    <row r="1553" spans="1:23" x14ac:dyDescent="0.25">
      <c r="A1553" t="s">
        <v>462</v>
      </c>
      <c r="B1553">
        <v>2002</v>
      </c>
      <c r="C1553" t="s">
        <v>371</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Data_Completeness(LifeExpectancyData[[#This Row],[Life expectancy]:[Schooling]])</f>
        <v>1</v>
      </c>
    </row>
    <row r="1554" spans="1:23" x14ac:dyDescent="0.25">
      <c r="A1554" t="s">
        <v>462</v>
      </c>
      <c r="B1554">
        <v>2001</v>
      </c>
      <c r="C1554" t="s">
        <v>371</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Data_Completeness(LifeExpectancyData[[#This Row],[Life expectancy]:[Schooling]])</f>
        <v>1</v>
      </c>
    </row>
    <row r="1555" spans="1:23" x14ac:dyDescent="0.25">
      <c r="A1555" t="s">
        <v>462</v>
      </c>
      <c r="B1555">
        <v>2000</v>
      </c>
      <c r="C1555" t="s">
        <v>371</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Data_Completeness(LifeExpectancyData[[#This Row],[Life expectancy]:[Schooling]])</f>
        <v>1</v>
      </c>
    </row>
    <row r="1556" spans="1:23" x14ac:dyDescent="0.25">
      <c r="A1556" t="s">
        <v>463</v>
      </c>
      <c r="B1556">
        <v>2015</v>
      </c>
      <c r="C1556" t="s">
        <v>363</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Data_Completeness(LifeExpectancyData[[#This Row],[Life expectancy]:[Schooling]])</f>
        <v>0</v>
      </c>
    </row>
    <row r="1557" spans="1:23" x14ac:dyDescent="0.25">
      <c r="A1557" t="s">
        <v>463</v>
      </c>
      <c r="B1557">
        <v>2014</v>
      </c>
      <c r="C1557" t="s">
        <v>363</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Data_Completeness(LifeExpectancyData[[#This Row],[Life expectancy]:[Schooling]])</f>
        <v>1</v>
      </c>
    </row>
    <row r="1558" spans="1:23" x14ac:dyDescent="0.25">
      <c r="A1558" t="s">
        <v>463</v>
      </c>
      <c r="B1558">
        <v>2013</v>
      </c>
      <c r="C1558" t="s">
        <v>363</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Data_Completeness(LifeExpectancyData[[#This Row],[Life expectancy]:[Schooling]])</f>
        <v>1</v>
      </c>
    </row>
    <row r="1559" spans="1:23" x14ac:dyDescent="0.25">
      <c r="A1559" t="s">
        <v>463</v>
      </c>
      <c r="B1559">
        <v>2012</v>
      </c>
      <c r="C1559" t="s">
        <v>363</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Data_Completeness(LifeExpectancyData[[#This Row],[Life expectancy]:[Schooling]])</f>
        <v>1</v>
      </c>
    </row>
    <row r="1560" spans="1:23" x14ac:dyDescent="0.25">
      <c r="A1560" t="s">
        <v>463</v>
      </c>
      <c r="B1560">
        <v>2011</v>
      </c>
      <c r="C1560" t="s">
        <v>363</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Data_Completeness(LifeExpectancyData[[#This Row],[Life expectancy]:[Schooling]])</f>
        <v>1</v>
      </c>
    </row>
    <row r="1561" spans="1:23" x14ac:dyDescent="0.25">
      <c r="A1561" t="s">
        <v>463</v>
      </c>
      <c r="B1561">
        <v>2010</v>
      </c>
      <c r="C1561" t="s">
        <v>363</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Data_Completeness(LifeExpectancyData[[#This Row],[Life expectancy]:[Schooling]])</f>
        <v>1</v>
      </c>
    </row>
    <row r="1562" spans="1:23" x14ac:dyDescent="0.25">
      <c r="A1562" t="s">
        <v>463</v>
      </c>
      <c r="B1562">
        <v>2009</v>
      </c>
      <c r="C1562" t="s">
        <v>363</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Data_Completeness(LifeExpectancyData[[#This Row],[Life expectancy]:[Schooling]])</f>
        <v>1</v>
      </c>
    </row>
    <row r="1563" spans="1:23" x14ac:dyDescent="0.25">
      <c r="A1563" t="s">
        <v>463</v>
      </c>
      <c r="B1563">
        <v>2008</v>
      </c>
      <c r="C1563" t="s">
        <v>363</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Data_Completeness(LifeExpectancyData[[#This Row],[Life expectancy]:[Schooling]])</f>
        <v>1</v>
      </c>
    </row>
    <row r="1564" spans="1:23" x14ac:dyDescent="0.25">
      <c r="A1564" t="s">
        <v>463</v>
      </c>
      <c r="B1564">
        <v>2007</v>
      </c>
      <c r="C1564" t="s">
        <v>363</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Data_Completeness(LifeExpectancyData[[#This Row],[Life expectancy]:[Schooling]])</f>
        <v>1</v>
      </c>
    </row>
    <row r="1565" spans="1:23" x14ac:dyDescent="0.25">
      <c r="A1565" t="s">
        <v>463</v>
      </c>
      <c r="B1565">
        <v>2006</v>
      </c>
      <c r="C1565" t="s">
        <v>363</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Data_Completeness(LifeExpectancyData[[#This Row],[Life expectancy]:[Schooling]])</f>
        <v>1</v>
      </c>
    </row>
    <row r="1566" spans="1:23" x14ac:dyDescent="0.25">
      <c r="A1566" t="s">
        <v>463</v>
      </c>
      <c r="B1566">
        <v>2005</v>
      </c>
      <c r="C1566" t="s">
        <v>363</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Data_Completeness(LifeExpectancyData[[#This Row],[Life expectancy]:[Schooling]])</f>
        <v>1</v>
      </c>
    </row>
    <row r="1567" spans="1:23" x14ac:dyDescent="0.25">
      <c r="A1567" t="s">
        <v>463</v>
      </c>
      <c r="B1567">
        <v>2004</v>
      </c>
      <c r="C1567" t="s">
        <v>363</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Data_Completeness(LifeExpectancyData[[#This Row],[Life expectancy]:[Schooling]])</f>
        <v>1</v>
      </c>
    </row>
    <row r="1568" spans="1:23" x14ac:dyDescent="0.25">
      <c r="A1568" t="s">
        <v>463</v>
      </c>
      <c r="B1568">
        <v>2003</v>
      </c>
      <c r="C1568" t="s">
        <v>363</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Data_Completeness(LifeExpectancyData[[#This Row],[Life expectancy]:[Schooling]])</f>
        <v>1</v>
      </c>
    </row>
    <row r="1569" spans="1:23" x14ac:dyDescent="0.25">
      <c r="A1569" t="s">
        <v>463</v>
      </c>
      <c r="B1569">
        <v>2002</v>
      </c>
      <c r="C1569" t="s">
        <v>363</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Data_Completeness(LifeExpectancyData[[#This Row],[Life expectancy]:[Schooling]])</f>
        <v>1</v>
      </c>
    </row>
    <row r="1570" spans="1:23" x14ac:dyDescent="0.25">
      <c r="A1570" t="s">
        <v>463</v>
      </c>
      <c r="B1570">
        <v>2001</v>
      </c>
      <c r="C1570" t="s">
        <v>363</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Data_Completeness(LifeExpectancyData[[#This Row],[Life expectancy]:[Schooling]])</f>
        <v>0</v>
      </c>
    </row>
    <row r="1571" spans="1:23" x14ac:dyDescent="0.25">
      <c r="A1571" t="s">
        <v>463</v>
      </c>
      <c r="B1571">
        <v>2000</v>
      </c>
      <c r="C1571" t="s">
        <v>363</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Data_Completeness(LifeExpectancyData[[#This Row],[Life expectancy]:[Schooling]])</f>
        <v>0</v>
      </c>
    </row>
    <row r="1572" spans="1:23" x14ac:dyDescent="0.25">
      <c r="A1572" t="s">
        <v>464</v>
      </c>
      <c r="B1572">
        <v>2015</v>
      </c>
      <c r="C1572" t="s">
        <v>363</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Data_Completeness(LifeExpectancyData[[#This Row],[Life expectancy]:[Schooling]])</f>
        <v>0</v>
      </c>
    </row>
    <row r="1573" spans="1:23" x14ac:dyDescent="0.25">
      <c r="A1573" t="s">
        <v>464</v>
      </c>
      <c r="B1573">
        <v>2014</v>
      </c>
      <c r="C1573" t="s">
        <v>363</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Data_Completeness(LifeExpectancyData[[#This Row],[Life expectancy]:[Schooling]])</f>
        <v>1</v>
      </c>
    </row>
    <row r="1574" spans="1:23" x14ac:dyDescent="0.25">
      <c r="A1574" t="s">
        <v>464</v>
      </c>
      <c r="B1574">
        <v>2013</v>
      </c>
      <c r="C1574" t="s">
        <v>363</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Data_Completeness(LifeExpectancyData[[#This Row],[Life expectancy]:[Schooling]])</f>
        <v>1</v>
      </c>
    </row>
    <row r="1575" spans="1:23" x14ac:dyDescent="0.25">
      <c r="A1575" t="s">
        <v>464</v>
      </c>
      <c r="B1575">
        <v>2012</v>
      </c>
      <c r="C1575" t="s">
        <v>363</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Data_Completeness(LifeExpectancyData[[#This Row],[Life expectancy]:[Schooling]])</f>
        <v>1</v>
      </c>
    </row>
    <row r="1576" spans="1:23" x14ac:dyDescent="0.25">
      <c r="A1576" t="s">
        <v>464</v>
      </c>
      <c r="B1576">
        <v>2011</v>
      </c>
      <c r="C1576" t="s">
        <v>363</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Data_Completeness(LifeExpectancyData[[#This Row],[Life expectancy]:[Schooling]])</f>
        <v>1</v>
      </c>
    </row>
    <row r="1577" spans="1:23" x14ac:dyDescent="0.25">
      <c r="A1577" t="s">
        <v>464</v>
      </c>
      <c r="B1577">
        <v>2010</v>
      </c>
      <c r="C1577" t="s">
        <v>363</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Data_Completeness(LifeExpectancyData[[#This Row],[Life expectancy]:[Schooling]])</f>
        <v>1</v>
      </c>
    </row>
    <row r="1578" spans="1:23" x14ac:dyDescent="0.25">
      <c r="A1578" t="s">
        <v>464</v>
      </c>
      <c r="B1578">
        <v>2009</v>
      </c>
      <c r="C1578" t="s">
        <v>363</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Data_Completeness(LifeExpectancyData[[#This Row],[Life expectancy]:[Schooling]])</f>
        <v>1</v>
      </c>
    </row>
    <row r="1579" spans="1:23" x14ac:dyDescent="0.25">
      <c r="A1579" t="s">
        <v>464</v>
      </c>
      <c r="B1579">
        <v>2008</v>
      </c>
      <c r="C1579" t="s">
        <v>363</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Data_Completeness(LifeExpectancyData[[#This Row],[Life expectancy]:[Schooling]])</f>
        <v>1</v>
      </c>
    </row>
    <row r="1580" spans="1:23" x14ac:dyDescent="0.25">
      <c r="A1580" t="s">
        <v>464</v>
      </c>
      <c r="B1580">
        <v>2007</v>
      </c>
      <c r="C1580" t="s">
        <v>363</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Data_Completeness(LifeExpectancyData[[#This Row],[Life expectancy]:[Schooling]])</f>
        <v>1</v>
      </c>
    </row>
    <row r="1581" spans="1:23" x14ac:dyDescent="0.25">
      <c r="A1581" t="s">
        <v>464</v>
      </c>
      <c r="B1581">
        <v>2006</v>
      </c>
      <c r="C1581" t="s">
        <v>363</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Data_Completeness(LifeExpectancyData[[#This Row],[Life expectancy]:[Schooling]])</f>
        <v>1</v>
      </c>
    </row>
    <row r="1582" spans="1:23" x14ac:dyDescent="0.25">
      <c r="A1582" t="s">
        <v>464</v>
      </c>
      <c r="B1582">
        <v>2005</v>
      </c>
      <c r="C1582" t="s">
        <v>363</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Data_Completeness(LifeExpectancyData[[#This Row],[Life expectancy]:[Schooling]])</f>
        <v>1</v>
      </c>
    </row>
    <row r="1583" spans="1:23" x14ac:dyDescent="0.25">
      <c r="A1583" t="s">
        <v>464</v>
      </c>
      <c r="B1583">
        <v>2004</v>
      </c>
      <c r="C1583" t="s">
        <v>363</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Data_Completeness(LifeExpectancyData[[#This Row],[Life expectancy]:[Schooling]])</f>
        <v>1</v>
      </c>
    </row>
    <row r="1584" spans="1:23" x14ac:dyDescent="0.25">
      <c r="A1584" t="s">
        <v>464</v>
      </c>
      <c r="B1584">
        <v>2003</v>
      </c>
      <c r="C1584" t="s">
        <v>363</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Data_Completeness(LifeExpectancyData[[#This Row],[Life expectancy]:[Schooling]])</f>
        <v>1</v>
      </c>
    </row>
    <row r="1585" spans="1:23" x14ac:dyDescent="0.25">
      <c r="A1585" t="s">
        <v>464</v>
      </c>
      <c r="B1585">
        <v>2002</v>
      </c>
      <c r="C1585" t="s">
        <v>363</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Data_Completeness(LifeExpectancyData[[#This Row],[Life expectancy]:[Schooling]])</f>
        <v>1</v>
      </c>
    </row>
    <row r="1586" spans="1:23" x14ac:dyDescent="0.25">
      <c r="A1586" t="s">
        <v>464</v>
      </c>
      <c r="B1586">
        <v>2001</v>
      </c>
      <c r="C1586" t="s">
        <v>363</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Data_Completeness(LifeExpectancyData[[#This Row],[Life expectancy]:[Schooling]])</f>
        <v>0</v>
      </c>
    </row>
    <row r="1587" spans="1:23" x14ac:dyDescent="0.25">
      <c r="A1587" t="s">
        <v>464</v>
      </c>
      <c r="B1587">
        <v>2000</v>
      </c>
      <c r="C1587" t="s">
        <v>363</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Data_Completeness(LifeExpectancyData[[#This Row],[Life expectancy]:[Schooling]])</f>
        <v>0</v>
      </c>
    </row>
    <row r="1588" spans="1:23" x14ac:dyDescent="0.25">
      <c r="A1588" t="s">
        <v>465</v>
      </c>
      <c r="B1588">
        <v>2015</v>
      </c>
      <c r="C1588" t="s">
        <v>363</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Data_Completeness(LifeExpectancyData[[#This Row],[Life expectancy]:[Schooling]])</f>
        <v>0</v>
      </c>
    </row>
    <row r="1589" spans="1:23" x14ac:dyDescent="0.25">
      <c r="A1589" t="s">
        <v>465</v>
      </c>
      <c r="B1589">
        <v>2014</v>
      </c>
      <c r="C1589" t="s">
        <v>363</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Data_Completeness(LifeExpectancyData[[#This Row],[Life expectancy]:[Schooling]])</f>
        <v>1</v>
      </c>
    </row>
    <row r="1590" spans="1:23" x14ac:dyDescent="0.25">
      <c r="A1590" t="s">
        <v>465</v>
      </c>
      <c r="B1590">
        <v>2013</v>
      </c>
      <c r="C1590" t="s">
        <v>363</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Data_Completeness(LifeExpectancyData[[#This Row],[Life expectancy]:[Schooling]])</f>
        <v>1</v>
      </c>
    </row>
    <row r="1591" spans="1:23" x14ac:dyDescent="0.25">
      <c r="A1591" t="s">
        <v>465</v>
      </c>
      <c r="B1591">
        <v>2012</v>
      </c>
      <c r="C1591" t="s">
        <v>363</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Data_Completeness(LifeExpectancyData[[#This Row],[Life expectancy]:[Schooling]])</f>
        <v>1</v>
      </c>
    </row>
    <row r="1592" spans="1:23" x14ac:dyDescent="0.25">
      <c r="A1592" t="s">
        <v>465</v>
      </c>
      <c r="B1592">
        <v>2011</v>
      </c>
      <c r="C1592" t="s">
        <v>363</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Data_Completeness(LifeExpectancyData[[#This Row],[Life expectancy]:[Schooling]])</f>
        <v>1</v>
      </c>
    </row>
    <row r="1593" spans="1:23" x14ac:dyDescent="0.25">
      <c r="A1593" t="s">
        <v>465</v>
      </c>
      <c r="B1593">
        <v>2010</v>
      </c>
      <c r="C1593" t="s">
        <v>363</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Data_Completeness(LifeExpectancyData[[#This Row],[Life expectancy]:[Schooling]])</f>
        <v>1</v>
      </c>
    </row>
    <row r="1594" spans="1:23" x14ac:dyDescent="0.25">
      <c r="A1594" t="s">
        <v>465</v>
      </c>
      <c r="B1594">
        <v>2009</v>
      </c>
      <c r="C1594" t="s">
        <v>363</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Data_Completeness(LifeExpectancyData[[#This Row],[Life expectancy]:[Schooling]])</f>
        <v>1</v>
      </c>
    </row>
    <row r="1595" spans="1:23" x14ac:dyDescent="0.25">
      <c r="A1595" t="s">
        <v>465</v>
      </c>
      <c r="B1595">
        <v>2008</v>
      </c>
      <c r="C1595" t="s">
        <v>363</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Data_Completeness(LifeExpectancyData[[#This Row],[Life expectancy]:[Schooling]])</f>
        <v>1</v>
      </c>
    </row>
    <row r="1596" spans="1:23" x14ac:dyDescent="0.25">
      <c r="A1596" t="s">
        <v>465</v>
      </c>
      <c r="B1596">
        <v>2007</v>
      </c>
      <c r="C1596" t="s">
        <v>363</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Data_Completeness(LifeExpectancyData[[#This Row],[Life expectancy]:[Schooling]])</f>
        <v>1</v>
      </c>
    </row>
    <row r="1597" spans="1:23" x14ac:dyDescent="0.25">
      <c r="A1597" t="s">
        <v>465</v>
      </c>
      <c r="B1597">
        <v>2006</v>
      </c>
      <c r="C1597" t="s">
        <v>363</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Data_Completeness(LifeExpectancyData[[#This Row],[Life expectancy]:[Schooling]])</f>
        <v>1</v>
      </c>
    </row>
    <row r="1598" spans="1:23" x14ac:dyDescent="0.25">
      <c r="A1598" t="s">
        <v>465</v>
      </c>
      <c r="B1598">
        <v>2005</v>
      </c>
      <c r="C1598" t="s">
        <v>363</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Data_Completeness(LifeExpectancyData[[#This Row],[Life expectancy]:[Schooling]])</f>
        <v>1</v>
      </c>
    </row>
    <row r="1599" spans="1:23" x14ac:dyDescent="0.25">
      <c r="A1599" t="s">
        <v>465</v>
      </c>
      <c r="B1599">
        <v>2004</v>
      </c>
      <c r="C1599" t="s">
        <v>363</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Data_Completeness(LifeExpectancyData[[#This Row],[Life expectancy]:[Schooling]])</f>
        <v>1</v>
      </c>
    </row>
    <row r="1600" spans="1:23" x14ac:dyDescent="0.25">
      <c r="A1600" t="s">
        <v>465</v>
      </c>
      <c r="B1600">
        <v>2003</v>
      </c>
      <c r="C1600" t="s">
        <v>363</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Data_Completeness(LifeExpectancyData[[#This Row],[Life expectancy]:[Schooling]])</f>
        <v>1</v>
      </c>
    </row>
    <row r="1601" spans="1:23" x14ac:dyDescent="0.25">
      <c r="A1601" t="s">
        <v>465</v>
      </c>
      <c r="B1601">
        <v>2002</v>
      </c>
      <c r="C1601" t="s">
        <v>363</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Data_Completeness(LifeExpectancyData[[#This Row],[Life expectancy]:[Schooling]])</f>
        <v>1</v>
      </c>
    </row>
    <row r="1602" spans="1:23" x14ac:dyDescent="0.25">
      <c r="A1602" t="s">
        <v>465</v>
      </c>
      <c r="B1602">
        <v>2001</v>
      </c>
      <c r="C1602" t="s">
        <v>363</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Data_Completeness(LifeExpectancyData[[#This Row],[Life expectancy]:[Schooling]])</f>
        <v>1</v>
      </c>
    </row>
    <row r="1603" spans="1:23" x14ac:dyDescent="0.25">
      <c r="A1603" t="s">
        <v>465</v>
      </c>
      <c r="B1603">
        <v>2000</v>
      </c>
      <c r="C1603" t="s">
        <v>363</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Data_Completeness(LifeExpectancyData[[#This Row],[Life expectancy]:[Schooling]])</f>
        <v>1</v>
      </c>
    </row>
    <row r="1604" spans="1:23" x14ac:dyDescent="0.25">
      <c r="A1604" t="s">
        <v>466</v>
      </c>
      <c r="B1604">
        <v>2015</v>
      </c>
      <c r="C1604" t="s">
        <v>363</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Data_Completeness(LifeExpectancyData[[#This Row],[Life expectancy]:[Schooling]])</f>
        <v>0</v>
      </c>
    </row>
    <row r="1605" spans="1:23" x14ac:dyDescent="0.25">
      <c r="A1605" t="s">
        <v>466</v>
      </c>
      <c r="B1605">
        <v>2014</v>
      </c>
      <c r="C1605" t="s">
        <v>363</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Data_Completeness(LifeExpectancyData[[#This Row],[Life expectancy]:[Schooling]])</f>
        <v>1</v>
      </c>
    </row>
    <row r="1606" spans="1:23" x14ac:dyDescent="0.25">
      <c r="A1606" t="s">
        <v>466</v>
      </c>
      <c r="B1606">
        <v>2013</v>
      </c>
      <c r="C1606" t="s">
        <v>363</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Data_Completeness(LifeExpectancyData[[#This Row],[Life expectancy]:[Schooling]])</f>
        <v>1</v>
      </c>
    </row>
    <row r="1607" spans="1:23" x14ac:dyDescent="0.25">
      <c r="A1607" t="s">
        <v>466</v>
      </c>
      <c r="B1607">
        <v>2012</v>
      </c>
      <c r="C1607" t="s">
        <v>363</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Data_Completeness(LifeExpectancyData[[#This Row],[Life expectancy]:[Schooling]])</f>
        <v>1</v>
      </c>
    </row>
    <row r="1608" spans="1:23" x14ac:dyDescent="0.25">
      <c r="A1608" t="s">
        <v>466</v>
      </c>
      <c r="B1608">
        <v>2011</v>
      </c>
      <c r="C1608" t="s">
        <v>363</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Data_Completeness(LifeExpectancyData[[#This Row],[Life expectancy]:[Schooling]])</f>
        <v>1</v>
      </c>
    </row>
    <row r="1609" spans="1:23" x14ac:dyDescent="0.25">
      <c r="A1609" t="s">
        <v>466</v>
      </c>
      <c r="B1609">
        <v>2010</v>
      </c>
      <c r="C1609" t="s">
        <v>363</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Data_Completeness(LifeExpectancyData[[#This Row],[Life expectancy]:[Schooling]])</f>
        <v>1</v>
      </c>
    </row>
    <row r="1610" spans="1:23" x14ac:dyDescent="0.25">
      <c r="A1610" t="s">
        <v>466</v>
      </c>
      <c r="B1610">
        <v>2009</v>
      </c>
      <c r="C1610" t="s">
        <v>363</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Data_Completeness(LifeExpectancyData[[#This Row],[Life expectancy]:[Schooling]])</f>
        <v>1</v>
      </c>
    </row>
    <row r="1611" spans="1:23" x14ac:dyDescent="0.25">
      <c r="A1611" t="s">
        <v>466</v>
      </c>
      <c r="B1611">
        <v>2008</v>
      </c>
      <c r="C1611" t="s">
        <v>363</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Data_Completeness(LifeExpectancyData[[#This Row],[Life expectancy]:[Schooling]])</f>
        <v>1</v>
      </c>
    </row>
    <row r="1612" spans="1:23" x14ac:dyDescent="0.25">
      <c r="A1612" t="s">
        <v>466</v>
      </c>
      <c r="B1612">
        <v>2007</v>
      </c>
      <c r="C1612" t="s">
        <v>363</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Data_Completeness(LifeExpectancyData[[#This Row],[Life expectancy]:[Schooling]])</f>
        <v>1</v>
      </c>
    </row>
    <row r="1613" spans="1:23" x14ac:dyDescent="0.25">
      <c r="A1613" t="s">
        <v>466</v>
      </c>
      <c r="B1613">
        <v>2006</v>
      </c>
      <c r="C1613" t="s">
        <v>363</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Data_Completeness(LifeExpectancyData[[#This Row],[Life expectancy]:[Schooling]])</f>
        <v>1</v>
      </c>
    </row>
    <row r="1614" spans="1:23" x14ac:dyDescent="0.25">
      <c r="A1614" t="s">
        <v>466</v>
      </c>
      <c r="B1614">
        <v>2005</v>
      </c>
      <c r="C1614" t="s">
        <v>363</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Data_Completeness(LifeExpectancyData[[#This Row],[Life expectancy]:[Schooling]])</f>
        <v>1</v>
      </c>
    </row>
    <row r="1615" spans="1:23" x14ac:dyDescent="0.25">
      <c r="A1615" t="s">
        <v>466</v>
      </c>
      <c r="B1615">
        <v>2004</v>
      </c>
      <c r="C1615" t="s">
        <v>363</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Data_Completeness(LifeExpectancyData[[#This Row],[Life expectancy]:[Schooling]])</f>
        <v>1</v>
      </c>
    </row>
    <row r="1616" spans="1:23" x14ac:dyDescent="0.25">
      <c r="A1616" t="s">
        <v>466</v>
      </c>
      <c r="B1616">
        <v>2003</v>
      </c>
      <c r="C1616" t="s">
        <v>363</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Data_Completeness(LifeExpectancyData[[#This Row],[Life expectancy]:[Schooling]])</f>
        <v>1</v>
      </c>
    </row>
    <row r="1617" spans="1:23" x14ac:dyDescent="0.25">
      <c r="A1617" t="s">
        <v>466</v>
      </c>
      <c r="B1617">
        <v>2002</v>
      </c>
      <c r="C1617" t="s">
        <v>363</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Data_Completeness(LifeExpectancyData[[#This Row],[Life expectancy]:[Schooling]])</f>
        <v>1</v>
      </c>
    </row>
    <row r="1618" spans="1:23" x14ac:dyDescent="0.25">
      <c r="A1618" t="s">
        <v>466</v>
      </c>
      <c r="B1618">
        <v>2001</v>
      </c>
      <c r="C1618" t="s">
        <v>363</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Data_Completeness(LifeExpectancyData[[#This Row],[Life expectancy]:[Schooling]])</f>
        <v>1</v>
      </c>
    </row>
    <row r="1619" spans="1:23" x14ac:dyDescent="0.25">
      <c r="A1619" t="s">
        <v>466</v>
      </c>
      <c r="B1619">
        <v>2000</v>
      </c>
      <c r="C1619" t="s">
        <v>363</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Data_Completeness(LifeExpectancyData[[#This Row],[Life expectancy]:[Schooling]])</f>
        <v>1</v>
      </c>
    </row>
    <row r="1620" spans="1:23" x14ac:dyDescent="0.25">
      <c r="A1620" t="s">
        <v>467</v>
      </c>
      <c r="B1620">
        <v>2015</v>
      </c>
      <c r="C1620" t="s">
        <v>363</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Data_Completeness(LifeExpectancyData[[#This Row],[Life expectancy]:[Schooling]])</f>
        <v>0</v>
      </c>
    </row>
    <row r="1621" spans="1:23" x14ac:dyDescent="0.25">
      <c r="A1621" t="s">
        <v>467</v>
      </c>
      <c r="B1621">
        <v>2014</v>
      </c>
      <c r="C1621" t="s">
        <v>363</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Data_Completeness(LifeExpectancyData[[#This Row],[Life expectancy]:[Schooling]])</f>
        <v>1</v>
      </c>
    </row>
    <row r="1622" spans="1:23" x14ac:dyDescent="0.25">
      <c r="A1622" t="s">
        <v>467</v>
      </c>
      <c r="B1622">
        <v>2013</v>
      </c>
      <c r="C1622" t="s">
        <v>363</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Data_Completeness(LifeExpectancyData[[#This Row],[Life expectancy]:[Schooling]])</f>
        <v>1</v>
      </c>
    </row>
    <row r="1623" spans="1:23" x14ac:dyDescent="0.25">
      <c r="A1623" t="s">
        <v>467</v>
      </c>
      <c r="B1623">
        <v>2012</v>
      </c>
      <c r="C1623" t="s">
        <v>363</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Data_Completeness(LifeExpectancyData[[#This Row],[Life expectancy]:[Schooling]])</f>
        <v>1</v>
      </c>
    </row>
    <row r="1624" spans="1:23" x14ac:dyDescent="0.25">
      <c r="A1624" t="s">
        <v>467</v>
      </c>
      <c r="B1624">
        <v>2011</v>
      </c>
      <c r="C1624" t="s">
        <v>363</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Data_Completeness(LifeExpectancyData[[#This Row],[Life expectancy]:[Schooling]])</f>
        <v>1</v>
      </c>
    </row>
    <row r="1625" spans="1:23" x14ac:dyDescent="0.25">
      <c r="A1625" t="s">
        <v>467</v>
      </c>
      <c r="B1625">
        <v>2010</v>
      </c>
      <c r="C1625" t="s">
        <v>363</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Data_Completeness(LifeExpectancyData[[#This Row],[Life expectancy]:[Schooling]])</f>
        <v>1</v>
      </c>
    </row>
    <row r="1626" spans="1:23" x14ac:dyDescent="0.25">
      <c r="A1626" t="s">
        <v>467</v>
      </c>
      <c r="B1626">
        <v>2009</v>
      </c>
      <c r="C1626" t="s">
        <v>363</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Data_Completeness(LifeExpectancyData[[#This Row],[Life expectancy]:[Schooling]])</f>
        <v>1</v>
      </c>
    </row>
    <row r="1627" spans="1:23" x14ac:dyDescent="0.25">
      <c r="A1627" t="s">
        <v>467</v>
      </c>
      <c r="B1627">
        <v>2008</v>
      </c>
      <c r="C1627" t="s">
        <v>363</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Data_Completeness(LifeExpectancyData[[#This Row],[Life expectancy]:[Schooling]])</f>
        <v>1</v>
      </c>
    </row>
    <row r="1628" spans="1:23" x14ac:dyDescent="0.25">
      <c r="A1628" t="s">
        <v>467</v>
      </c>
      <c r="B1628">
        <v>2007</v>
      </c>
      <c r="C1628" t="s">
        <v>363</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Data_Completeness(LifeExpectancyData[[#This Row],[Life expectancy]:[Schooling]])</f>
        <v>1</v>
      </c>
    </row>
    <row r="1629" spans="1:23" x14ac:dyDescent="0.25">
      <c r="A1629" t="s">
        <v>467</v>
      </c>
      <c r="B1629">
        <v>2006</v>
      </c>
      <c r="C1629" t="s">
        <v>363</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Data_Completeness(LifeExpectancyData[[#This Row],[Life expectancy]:[Schooling]])</f>
        <v>1</v>
      </c>
    </row>
    <row r="1630" spans="1:23" x14ac:dyDescent="0.25">
      <c r="A1630" t="s">
        <v>467</v>
      </c>
      <c r="B1630">
        <v>2005</v>
      </c>
      <c r="C1630" t="s">
        <v>363</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Data_Completeness(LifeExpectancyData[[#This Row],[Life expectancy]:[Schooling]])</f>
        <v>1</v>
      </c>
    </row>
    <row r="1631" spans="1:23" x14ac:dyDescent="0.25">
      <c r="A1631" t="s">
        <v>467</v>
      </c>
      <c r="B1631">
        <v>2004</v>
      </c>
      <c r="C1631" t="s">
        <v>363</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Data_Completeness(LifeExpectancyData[[#This Row],[Life expectancy]:[Schooling]])</f>
        <v>1</v>
      </c>
    </row>
    <row r="1632" spans="1:23" x14ac:dyDescent="0.25">
      <c r="A1632" t="s">
        <v>467</v>
      </c>
      <c r="B1632">
        <v>2003</v>
      </c>
      <c r="C1632" t="s">
        <v>363</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Data_Completeness(LifeExpectancyData[[#This Row],[Life expectancy]:[Schooling]])</f>
        <v>1</v>
      </c>
    </row>
    <row r="1633" spans="1:23" x14ac:dyDescent="0.25">
      <c r="A1633" t="s">
        <v>467</v>
      </c>
      <c r="B1633">
        <v>2002</v>
      </c>
      <c r="C1633" t="s">
        <v>363</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Data_Completeness(LifeExpectancyData[[#This Row],[Life expectancy]:[Schooling]])</f>
        <v>0</v>
      </c>
    </row>
    <row r="1634" spans="1:23" x14ac:dyDescent="0.25">
      <c r="A1634" t="s">
        <v>467</v>
      </c>
      <c r="B1634">
        <v>2001</v>
      </c>
      <c r="C1634" t="s">
        <v>363</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Data_Completeness(LifeExpectancyData[[#This Row],[Life expectancy]:[Schooling]])</f>
        <v>0</v>
      </c>
    </row>
    <row r="1635" spans="1:23" x14ac:dyDescent="0.25">
      <c r="A1635" t="s">
        <v>467</v>
      </c>
      <c r="B1635">
        <v>2000</v>
      </c>
      <c r="C1635" t="s">
        <v>363</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Data_Completeness(LifeExpectancyData[[#This Row],[Life expectancy]:[Schooling]])</f>
        <v>0</v>
      </c>
    </row>
    <row r="1636" spans="1:23" x14ac:dyDescent="0.25">
      <c r="A1636" t="s">
        <v>468</v>
      </c>
      <c r="B1636">
        <v>2015</v>
      </c>
      <c r="C1636" t="s">
        <v>371</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Data_Completeness(LifeExpectancyData[[#This Row],[Life expectancy]:[Schooling]])</f>
        <v>0</v>
      </c>
    </row>
    <row r="1637" spans="1:23" x14ac:dyDescent="0.25">
      <c r="A1637" t="s">
        <v>468</v>
      </c>
      <c r="B1637">
        <v>2014</v>
      </c>
      <c r="C1637" t="s">
        <v>371</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Data_Completeness(LifeExpectancyData[[#This Row],[Life expectancy]:[Schooling]])</f>
        <v>1</v>
      </c>
    </row>
    <row r="1638" spans="1:23" x14ac:dyDescent="0.25">
      <c r="A1638" t="s">
        <v>468</v>
      </c>
      <c r="B1638">
        <v>2013</v>
      </c>
      <c r="C1638" t="s">
        <v>371</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Data_Completeness(LifeExpectancyData[[#This Row],[Life expectancy]:[Schooling]])</f>
        <v>1</v>
      </c>
    </row>
    <row r="1639" spans="1:23" x14ac:dyDescent="0.25">
      <c r="A1639" t="s">
        <v>468</v>
      </c>
      <c r="B1639">
        <v>2012</v>
      </c>
      <c r="C1639" t="s">
        <v>371</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Data_Completeness(LifeExpectancyData[[#This Row],[Life expectancy]:[Schooling]])</f>
        <v>1</v>
      </c>
    </row>
    <row r="1640" spans="1:23" x14ac:dyDescent="0.25">
      <c r="A1640" t="s">
        <v>468</v>
      </c>
      <c r="B1640">
        <v>2011</v>
      </c>
      <c r="C1640" t="s">
        <v>371</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Data_Completeness(LifeExpectancyData[[#This Row],[Life expectancy]:[Schooling]])</f>
        <v>1</v>
      </c>
    </row>
    <row r="1641" spans="1:23" x14ac:dyDescent="0.25">
      <c r="A1641" t="s">
        <v>468</v>
      </c>
      <c r="B1641">
        <v>2010</v>
      </c>
      <c r="C1641" t="s">
        <v>371</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Data_Completeness(LifeExpectancyData[[#This Row],[Life expectancy]:[Schooling]])</f>
        <v>1</v>
      </c>
    </row>
    <row r="1642" spans="1:23" x14ac:dyDescent="0.25">
      <c r="A1642" t="s">
        <v>468</v>
      </c>
      <c r="B1642">
        <v>2009</v>
      </c>
      <c r="C1642" t="s">
        <v>371</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Data_Completeness(LifeExpectancyData[[#This Row],[Life expectancy]:[Schooling]])</f>
        <v>1</v>
      </c>
    </row>
    <row r="1643" spans="1:23" x14ac:dyDescent="0.25">
      <c r="A1643" t="s">
        <v>468</v>
      </c>
      <c r="B1643">
        <v>2008</v>
      </c>
      <c r="C1643" t="s">
        <v>371</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Data_Completeness(LifeExpectancyData[[#This Row],[Life expectancy]:[Schooling]])</f>
        <v>1</v>
      </c>
    </row>
    <row r="1644" spans="1:23" x14ac:dyDescent="0.25">
      <c r="A1644" t="s">
        <v>468</v>
      </c>
      <c r="B1644">
        <v>2007</v>
      </c>
      <c r="C1644" t="s">
        <v>371</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Data_Completeness(LifeExpectancyData[[#This Row],[Life expectancy]:[Schooling]])</f>
        <v>1</v>
      </c>
    </row>
    <row r="1645" spans="1:23" x14ac:dyDescent="0.25">
      <c r="A1645" t="s">
        <v>468</v>
      </c>
      <c r="B1645">
        <v>2006</v>
      </c>
      <c r="C1645" t="s">
        <v>371</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Data_Completeness(LifeExpectancyData[[#This Row],[Life expectancy]:[Schooling]])</f>
        <v>1</v>
      </c>
    </row>
    <row r="1646" spans="1:23" x14ac:dyDescent="0.25">
      <c r="A1646" t="s">
        <v>468</v>
      </c>
      <c r="B1646">
        <v>2005</v>
      </c>
      <c r="C1646" t="s">
        <v>371</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Data_Completeness(LifeExpectancyData[[#This Row],[Life expectancy]:[Schooling]])</f>
        <v>1</v>
      </c>
    </row>
    <row r="1647" spans="1:23" x14ac:dyDescent="0.25">
      <c r="A1647" t="s">
        <v>468</v>
      </c>
      <c r="B1647">
        <v>2004</v>
      </c>
      <c r="C1647" t="s">
        <v>371</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Data_Completeness(LifeExpectancyData[[#This Row],[Life expectancy]:[Schooling]])</f>
        <v>1</v>
      </c>
    </row>
    <row r="1648" spans="1:23" x14ac:dyDescent="0.25">
      <c r="A1648" t="s">
        <v>468</v>
      </c>
      <c r="B1648">
        <v>2003</v>
      </c>
      <c r="C1648" t="s">
        <v>371</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Data_Completeness(LifeExpectancyData[[#This Row],[Life expectancy]:[Schooling]])</f>
        <v>1</v>
      </c>
    </row>
    <row r="1649" spans="1:23" x14ac:dyDescent="0.25">
      <c r="A1649" t="s">
        <v>468</v>
      </c>
      <c r="B1649">
        <v>2002</v>
      </c>
      <c r="C1649" t="s">
        <v>371</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Data_Completeness(LifeExpectancyData[[#This Row],[Life expectancy]:[Schooling]])</f>
        <v>0</v>
      </c>
    </row>
    <row r="1650" spans="1:23" x14ac:dyDescent="0.25">
      <c r="A1650" t="s">
        <v>468</v>
      </c>
      <c r="B1650">
        <v>2001</v>
      </c>
      <c r="C1650" t="s">
        <v>371</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Data_Completeness(LifeExpectancyData[[#This Row],[Life expectancy]:[Schooling]])</f>
        <v>0</v>
      </c>
    </row>
    <row r="1651" spans="1:23" x14ac:dyDescent="0.25">
      <c r="A1651" t="s">
        <v>468</v>
      </c>
      <c r="B1651">
        <v>2000</v>
      </c>
      <c r="C1651" t="s">
        <v>371</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Data_Completeness(LifeExpectancyData[[#This Row],[Life expectancy]:[Schooling]])</f>
        <v>0</v>
      </c>
    </row>
    <row r="1652" spans="1:23" x14ac:dyDescent="0.25">
      <c r="A1652" t="s">
        <v>469</v>
      </c>
      <c r="B1652">
        <v>2013</v>
      </c>
      <c r="C1652" t="s">
        <v>363</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Data_Completeness(LifeExpectancyData[[#This Row],[Life expectancy]:[Schooling]])</f>
        <v>0</v>
      </c>
    </row>
    <row r="1653" spans="1:23" x14ac:dyDescent="0.25">
      <c r="A1653" t="s">
        <v>470</v>
      </c>
      <c r="B1653">
        <v>2015</v>
      </c>
      <c r="C1653" t="s">
        <v>363</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Data_Completeness(LifeExpectancyData[[#This Row],[Life expectancy]:[Schooling]])</f>
        <v>0</v>
      </c>
    </row>
    <row r="1654" spans="1:23" x14ac:dyDescent="0.25">
      <c r="A1654" t="s">
        <v>470</v>
      </c>
      <c r="B1654">
        <v>2014</v>
      </c>
      <c r="C1654" t="s">
        <v>363</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Data_Completeness(LifeExpectancyData[[#This Row],[Life expectancy]:[Schooling]])</f>
        <v>1</v>
      </c>
    </row>
    <row r="1655" spans="1:23" x14ac:dyDescent="0.25">
      <c r="A1655" t="s">
        <v>470</v>
      </c>
      <c r="B1655">
        <v>2013</v>
      </c>
      <c r="C1655" t="s">
        <v>363</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Data_Completeness(LifeExpectancyData[[#This Row],[Life expectancy]:[Schooling]])</f>
        <v>1</v>
      </c>
    </row>
    <row r="1656" spans="1:23" x14ac:dyDescent="0.25">
      <c r="A1656" t="s">
        <v>470</v>
      </c>
      <c r="B1656">
        <v>2012</v>
      </c>
      <c r="C1656" t="s">
        <v>363</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Data_Completeness(LifeExpectancyData[[#This Row],[Life expectancy]:[Schooling]])</f>
        <v>1</v>
      </c>
    </row>
    <row r="1657" spans="1:23" x14ac:dyDescent="0.25">
      <c r="A1657" t="s">
        <v>470</v>
      </c>
      <c r="B1657">
        <v>2011</v>
      </c>
      <c r="C1657" t="s">
        <v>363</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Data_Completeness(LifeExpectancyData[[#This Row],[Life expectancy]:[Schooling]])</f>
        <v>1</v>
      </c>
    </row>
    <row r="1658" spans="1:23" x14ac:dyDescent="0.25">
      <c r="A1658" t="s">
        <v>470</v>
      </c>
      <c r="B1658">
        <v>2010</v>
      </c>
      <c r="C1658" t="s">
        <v>363</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Data_Completeness(LifeExpectancyData[[#This Row],[Life expectancy]:[Schooling]])</f>
        <v>1</v>
      </c>
    </row>
    <row r="1659" spans="1:23" x14ac:dyDescent="0.25">
      <c r="A1659" t="s">
        <v>470</v>
      </c>
      <c r="B1659">
        <v>2009</v>
      </c>
      <c r="C1659" t="s">
        <v>363</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Data_Completeness(LifeExpectancyData[[#This Row],[Life expectancy]:[Schooling]])</f>
        <v>1</v>
      </c>
    </row>
    <row r="1660" spans="1:23" x14ac:dyDescent="0.25">
      <c r="A1660" t="s">
        <v>470</v>
      </c>
      <c r="B1660">
        <v>2008</v>
      </c>
      <c r="C1660" t="s">
        <v>363</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Data_Completeness(LifeExpectancyData[[#This Row],[Life expectancy]:[Schooling]])</f>
        <v>1</v>
      </c>
    </row>
    <row r="1661" spans="1:23" x14ac:dyDescent="0.25">
      <c r="A1661" t="s">
        <v>470</v>
      </c>
      <c r="B1661">
        <v>2007</v>
      </c>
      <c r="C1661" t="s">
        <v>363</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Data_Completeness(LifeExpectancyData[[#This Row],[Life expectancy]:[Schooling]])</f>
        <v>1</v>
      </c>
    </row>
    <row r="1662" spans="1:23" x14ac:dyDescent="0.25">
      <c r="A1662" t="s">
        <v>470</v>
      </c>
      <c r="B1662">
        <v>2006</v>
      </c>
      <c r="C1662" t="s">
        <v>363</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Data_Completeness(LifeExpectancyData[[#This Row],[Life expectancy]:[Schooling]])</f>
        <v>1</v>
      </c>
    </row>
    <row r="1663" spans="1:23" x14ac:dyDescent="0.25">
      <c r="A1663" t="s">
        <v>470</v>
      </c>
      <c r="B1663">
        <v>2005</v>
      </c>
      <c r="C1663" t="s">
        <v>363</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Data_Completeness(LifeExpectancyData[[#This Row],[Life expectancy]:[Schooling]])</f>
        <v>1</v>
      </c>
    </row>
    <row r="1664" spans="1:23" x14ac:dyDescent="0.25">
      <c r="A1664" t="s">
        <v>470</v>
      </c>
      <c r="B1664">
        <v>2004</v>
      </c>
      <c r="C1664" t="s">
        <v>363</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Data_Completeness(LifeExpectancyData[[#This Row],[Life expectancy]:[Schooling]])</f>
        <v>0</v>
      </c>
    </row>
    <row r="1665" spans="1:23" x14ac:dyDescent="0.25">
      <c r="A1665" t="s">
        <v>470</v>
      </c>
      <c r="B1665">
        <v>2003</v>
      </c>
      <c r="C1665" t="s">
        <v>363</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Data_Completeness(LifeExpectancyData[[#This Row],[Life expectancy]:[Schooling]])</f>
        <v>0</v>
      </c>
    </row>
    <row r="1666" spans="1:23" x14ac:dyDescent="0.25">
      <c r="A1666" t="s">
        <v>470</v>
      </c>
      <c r="B1666">
        <v>2002</v>
      </c>
      <c r="C1666" t="s">
        <v>363</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Data_Completeness(LifeExpectancyData[[#This Row],[Life expectancy]:[Schooling]])</f>
        <v>0</v>
      </c>
    </row>
    <row r="1667" spans="1:23" x14ac:dyDescent="0.25">
      <c r="A1667" t="s">
        <v>470</v>
      </c>
      <c r="B1667">
        <v>2001</v>
      </c>
      <c r="C1667" t="s">
        <v>363</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Data_Completeness(LifeExpectancyData[[#This Row],[Life expectancy]:[Schooling]])</f>
        <v>0</v>
      </c>
    </row>
    <row r="1668" spans="1:23" x14ac:dyDescent="0.25">
      <c r="A1668" t="s">
        <v>470</v>
      </c>
      <c r="B1668">
        <v>2000</v>
      </c>
      <c r="C1668" t="s">
        <v>363</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Data_Completeness(LifeExpectancyData[[#This Row],[Life expectancy]:[Schooling]])</f>
        <v>0</v>
      </c>
    </row>
    <row r="1669" spans="1:23" x14ac:dyDescent="0.25">
      <c r="A1669" t="s">
        <v>471</v>
      </c>
      <c r="B1669">
        <v>2015</v>
      </c>
      <c r="C1669" t="s">
        <v>363</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Data_Completeness(LifeExpectancyData[[#This Row],[Life expectancy]:[Schooling]])</f>
        <v>0</v>
      </c>
    </row>
    <row r="1670" spans="1:23" x14ac:dyDescent="0.25">
      <c r="A1670" t="s">
        <v>471</v>
      </c>
      <c r="B1670">
        <v>2014</v>
      </c>
      <c r="C1670" t="s">
        <v>363</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Data_Completeness(LifeExpectancyData[[#This Row],[Life expectancy]:[Schooling]])</f>
        <v>1</v>
      </c>
    </row>
    <row r="1671" spans="1:23" x14ac:dyDescent="0.25">
      <c r="A1671" t="s">
        <v>471</v>
      </c>
      <c r="B1671">
        <v>2013</v>
      </c>
      <c r="C1671" t="s">
        <v>363</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Data_Completeness(LifeExpectancyData[[#This Row],[Life expectancy]:[Schooling]])</f>
        <v>1</v>
      </c>
    </row>
    <row r="1672" spans="1:23" x14ac:dyDescent="0.25">
      <c r="A1672" t="s">
        <v>471</v>
      </c>
      <c r="B1672">
        <v>2012</v>
      </c>
      <c r="C1672" t="s">
        <v>363</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Data_Completeness(LifeExpectancyData[[#This Row],[Life expectancy]:[Schooling]])</f>
        <v>1</v>
      </c>
    </row>
    <row r="1673" spans="1:23" x14ac:dyDescent="0.25">
      <c r="A1673" t="s">
        <v>471</v>
      </c>
      <c r="B1673">
        <v>2011</v>
      </c>
      <c r="C1673" t="s">
        <v>363</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Data_Completeness(LifeExpectancyData[[#This Row],[Life expectancy]:[Schooling]])</f>
        <v>1</v>
      </c>
    </row>
    <row r="1674" spans="1:23" x14ac:dyDescent="0.25">
      <c r="A1674" t="s">
        <v>471</v>
      </c>
      <c r="B1674">
        <v>2010</v>
      </c>
      <c r="C1674" t="s">
        <v>363</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Data_Completeness(LifeExpectancyData[[#This Row],[Life expectancy]:[Schooling]])</f>
        <v>1</v>
      </c>
    </row>
    <row r="1675" spans="1:23" x14ac:dyDescent="0.25">
      <c r="A1675" t="s">
        <v>471</v>
      </c>
      <c r="B1675">
        <v>2009</v>
      </c>
      <c r="C1675" t="s">
        <v>363</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Data_Completeness(LifeExpectancyData[[#This Row],[Life expectancy]:[Schooling]])</f>
        <v>1</v>
      </c>
    </row>
    <row r="1676" spans="1:23" x14ac:dyDescent="0.25">
      <c r="A1676" t="s">
        <v>471</v>
      </c>
      <c r="B1676">
        <v>2008</v>
      </c>
      <c r="C1676" t="s">
        <v>363</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Data_Completeness(LifeExpectancyData[[#This Row],[Life expectancy]:[Schooling]])</f>
        <v>1</v>
      </c>
    </row>
    <row r="1677" spans="1:23" x14ac:dyDescent="0.25">
      <c r="A1677" t="s">
        <v>471</v>
      </c>
      <c r="B1677">
        <v>2007</v>
      </c>
      <c r="C1677" t="s">
        <v>363</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Data_Completeness(LifeExpectancyData[[#This Row],[Life expectancy]:[Schooling]])</f>
        <v>1</v>
      </c>
    </row>
    <row r="1678" spans="1:23" x14ac:dyDescent="0.25">
      <c r="A1678" t="s">
        <v>471</v>
      </c>
      <c r="B1678">
        <v>2006</v>
      </c>
      <c r="C1678" t="s">
        <v>363</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Data_Completeness(LifeExpectancyData[[#This Row],[Life expectancy]:[Schooling]])</f>
        <v>1</v>
      </c>
    </row>
    <row r="1679" spans="1:23" x14ac:dyDescent="0.25">
      <c r="A1679" t="s">
        <v>471</v>
      </c>
      <c r="B1679">
        <v>2005</v>
      </c>
      <c r="C1679" t="s">
        <v>363</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Data_Completeness(LifeExpectancyData[[#This Row],[Life expectancy]:[Schooling]])</f>
        <v>1</v>
      </c>
    </row>
    <row r="1680" spans="1:23" x14ac:dyDescent="0.25">
      <c r="A1680" t="s">
        <v>471</v>
      </c>
      <c r="B1680">
        <v>2004</v>
      </c>
      <c r="C1680" t="s">
        <v>363</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Data_Completeness(LifeExpectancyData[[#This Row],[Life expectancy]:[Schooling]])</f>
        <v>1</v>
      </c>
    </row>
    <row r="1681" spans="1:23" x14ac:dyDescent="0.25">
      <c r="A1681" t="s">
        <v>471</v>
      </c>
      <c r="B1681">
        <v>2003</v>
      </c>
      <c r="C1681" t="s">
        <v>363</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Data_Completeness(LifeExpectancyData[[#This Row],[Life expectancy]:[Schooling]])</f>
        <v>1</v>
      </c>
    </row>
    <row r="1682" spans="1:23" x14ac:dyDescent="0.25">
      <c r="A1682" t="s">
        <v>471</v>
      </c>
      <c r="B1682">
        <v>2002</v>
      </c>
      <c r="C1682" t="s">
        <v>363</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Data_Completeness(LifeExpectancyData[[#This Row],[Life expectancy]:[Schooling]])</f>
        <v>1</v>
      </c>
    </row>
    <row r="1683" spans="1:23" x14ac:dyDescent="0.25">
      <c r="A1683" t="s">
        <v>471</v>
      </c>
      <c r="B1683">
        <v>2001</v>
      </c>
      <c r="C1683" t="s">
        <v>363</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Data_Completeness(LifeExpectancyData[[#This Row],[Life expectancy]:[Schooling]])</f>
        <v>1</v>
      </c>
    </row>
    <row r="1684" spans="1:23" x14ac:dyDescent="0.25">
      <c r="A1684" t="s">
        <v>471</v>
      </c>
      <c r="B1684">
        <v>2000</v>
      </c>
      <c r="C1684" t="s">
        <v>363</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Data_Completeness(LifeExpectancyData[[#This Row],[Life expectancy]:[Schooling]])</f>
        <v>1</v>
      </c>
    </row>
    <row r="1685" spans="1:23" x14ac:dyDescent="0.25">
      <c r="A1685" t="s">
        <v>472</v>
      </c>
      <c r="B1685">
        <v>2015</v>
      </c>
      <c r="C1685" t="s">
        <v>363</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Data_Completeness(LifeExpectancyData[[#This Row],[Life expectancy]:[Schooling]])</f>
        <v>0</v>
      </c>
    </row>
    <row r="1686" spans="1:23" x14ac:dyDescent="0.25">
      <c r="A1686" t="s">
        <v>472</v>
      </c>
      <c r="B1686">
        <v>2014</v>
      </c>
      <c r="C1686" t="s">
        <v>363</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Data_Completeness(LifeExpectancyData[[#This Row],[Life expectancy]:[Schooling]])</f>
        <v>1</v>
      </c>
    </row>
    <row r="1687" spans="1:23" x14ac:dyDescent="0.25">
      <c r="A1687" t="s">
        <v>472</v>
      </c>
      <c r="B1687">
        <v>2013</v>
      </c>
      <c r="C1687" t="s">
        <v>363</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Data_Completeness(LifeExpectancyData[[#This Row],[Life expectancy]:[Schooling]])</f>
        <v>1</v>
      </c>
    </row>
    <row r="1688" spans="1:23" x14ac:dyDescent="0.25">
      <c r="A1688" t="s">
        <v>472</v>
      </c>
      <c r="B1688">
        <v>2012</v>
      </c>
      <c r="C1688" t="s">
        <v>363</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Data_Completeness(LifeExpectancyData[[#This Row],[Life expectancy]:[Schooling]])</f>
        <v>1</v>
      </c>
    </row>
    <row r="1689" spans="1:23" x14ac:dyDescent="0.25">
      <c r="A1689" t="s">
        <v>472</v>
      </c>
      <c r="B1689">
        <v>2011</v>
      </c>
      <c r="C1689" t="s">
        <v>363</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Data_Completeness(LifeExpectancyData[[#This Row],[Life expectancy]:[Schooling]])</f>
        <v>1</v>
      </c>
    </row>
    <row r="1690" spans="1:23" x14ac:dyDescent="0.25">
      <c r="A1690" t="s">
        <v>472</v>
      </c>
      <c r="B1690">
        <v>2010</v>
      </c>
      <c r="C1690" t="s">
        <v>363</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Data_Completeness(LifeExpectancyData[[#This Row],[Life expectancy]:[Schooling]])</f>
        <v>1</v>
      </c>
    </row>
    <row r="1691" spans="1:23" x14ac:dyDescent="0.25">
      <c r="A1691" t="s">
        <v>472</v>
      </c>
      <c r="B1691">
        <v>2009</v>
      </c>
      <c r="C1691" t="s">
        <v>363</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Data_Completeness(LifeExpectancyData[[#This Row],[Life expectancy]:[Schooling]])</f>
        <v>1</v>
      </c>
    </row>
    <row r="1692" spans="1:23" x14ac:dyDescent="0.25">
      <c r="A1692" t="s">
        <v>472</v>
      </c>
      <c r="B1692">
        <v>2008</v>
      </c>
      <c r="C1692" t="s">
        <v>363</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Data_Completeness(LifeExpectancyData[[#This Row],[Life expectancy]:[Schooling]])</f>
        <v>1</v>
      </c>
    </row>
    <row r="1693" spans="1:23" x14ac:dyDescent="0.25">
      <c r="A1693" t="s">
        <v>472</v>
      </c>
      <c r="B1693">
        <v>2007</v>
      </c>
      <c r="C1693" t="s">
        <v>363</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Data_Completeness(LifeExpectancyData[[#This Row],[Life expectancy]:[Schooling]])</f>
        <v>1</v>
      </c>
    </row>
    <row r="1694" spans="1:23" x14ac:dyDescent="0.25">
      <c r="A1694" t="s">
        <v>472</v>
      </c>
      <c r="B1694">
        <v>2006</v>
      </c>
      <c r="C1694" t="s">
        <v>363</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Data_Completeness(LifeExpectancyData[[#This Row],[Life expectancy]:[Schooling]])</f>
        <v>1</v>
      </c>
    </row>
    <row r="1695" spans="1:23" x14ac:dyDescent="0.25">
      <c r="A1695" t="s">
        <v>472</v>
      </c>
      <c r="B1695">
        <v>2005</v>
      </c>
      <c r="C1695" t="s">
        <v>363</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Data_Completeness(LifeExpectancyData[[#This Row],[Life expectancy]:[Schooling]])</f>
        <v>1</v>
      </c>
    </row>
    <row r="1696" spans="1:23" x14ac:dyDescent="0.25">
      <c r="A1696" t="s">
        <v>472</v>
      </c>
      <c r="B1696">
        <v>2004</v>
      </c>
      <c r="C1696" t="s">
        <v>363</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Data_Completeness(LifeExpectancyData[[#This Row],[Life expectancy]:[Schooling]])</f>
        <v>1</v>
      </c>
    </row>
    <row r="1697" spans="1:23" x14ac:dyDescent="0.25">
      <c r="A1697" t="s">
        <v>472</v>
      </c>
      <c r="B1697">
        <v>2003</v>
      </c>
      <c r="C1697" t="s">
        <v>363</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Data_Completeness(LifeExpectancyData[[#This Row],[Life expectancy]:[Schooling]])</f>
        <v>1</v>
      </c>
    </row>
    <row r="1698" spans="1:23" x14ac:dyDescent="0.25">
      <c r="A1698" t="s">
        <v>472</v>
      </c>
      <c r="B1698">
        <v>2002</v>
      </c>
      <c r="C1698" t="s">
        <v>363</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Data_Completeness(LifeExpectancyData[[#This Row],[Life expectancy]:[Schooling]])</f>
        <v>1</v>
      </c>
    </row>
    <row r="1699" spans="1:23" x14ac:dyDescent="0.25">
      <c r="A1699" t="s">
        <v>472</v>
      </c>
      <c r="B1699">
        <v>2001</v>
      </c>
      <c r="C1699" t="s">
        <v>363</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Data_Completeness(LifeExpectancyData[[#This Row],[Life expectancy]:[Schooling]])</f>
        <v>1</v>
      </c>
    </row>
    <row r="1700" spans="1:23" x14ac:dyDescent="0.25">
      <c r="A1700" t="s">
        <v>472</v>
      </c>
      <c r="B1700">
        <v>2000</v>
      </c>
      <c r="C1700" t="s">
        <v>363</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Data_Completeness(LifeExpectancyData[[#This Row],[Life expectancy]:[Schooling]])</f>
        <v>1</v>
      </c>
    </row>
    <row r="1701" spans="1:23" x14ac:dyDescent="0.25">
      <c r="A1701" t="s">
        <v>473</v>
      </c>
      <c r="B1701">
        <v>2015</v>
      </c>
      <c r="C1701" t="s">
        <v>363</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Data_Completeness(LifeExpectancyData[[#This Row],[Life expectancy]:[Schooling]])</f>
        <v>0</v>
      </c>
    </row>
    <row r="1702" spans="1:23" x14ac:dyDescent="0.25">
      <c r="A1702" t="s">
        <v>473</v>
      </c>
      <c r="B1702">
        <v>2014</v>
      </c>
      <c r="C1702" t="s">
        <v>363</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Data_Completeness(LifeExpectancyData[[#This Row],[Life expectancy]:[Schooling]])</f>
        <v>0</v>
      </c>
    </row>
    <row r="1703" spans="1:23" x14ac:dyDescent="0.25">
      <c r="A1703" t="s">
        <v>473</v>
      </c>
      <c r="B1703">
        <v>2013</v>
      </c>
      <c r="C1703" t="s">
        <v>363</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Data_Completeness(LifeExpectancyData[[#This Row],[Life expectancy]:[Schooling]])</f>
        <v>0</v>
      </c>
    </row>
    <row r="1704" spans="1:23" x14ac:dyDescent="0.25">
      <c r="A1704" t="s">
        <v>473</v>
      </c>
      <c r="B1704">
        <v>2012</v>
      </c>
      <c r="C1704" t="s">
        <v>363</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Data_Completeness(LifeExpectancyData[[#This Row],[Life expectancy]:[Schooling]])</f>
        <v>0</v>
      </c>
    </row>
    <row r="1705" spans="1:23" x14ac:dyDescent="0.25">
      <c r="A1705" t="s">
        <v>473</v>
      </c>
      <c r="B1705">
        <v>2011</v>
      </c>
      <c r="C1705" t="s">
        <v>363</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Data_Completeness(LifeExpectancyData[[#This Row],[Life expectancy]:[Schooling]])</f>
        <v>0</v>
      </c>
    </row>
    <row r="1706" spans="1:23" x14ac:dyDescent="0.25">
      <c r="A1706" t="s">
        <v>473</v>
      </c>
      <c r="B1706">
        <v>2010</v>
      </c>
      <c r="C1706" t="s">
        <v>363</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Data_Completeness(LifeExpectancyData[[#This Row],[Life expectancy]:[Schooling]])</f>
        <v>0</v>
      </c>
    </row>
    <row r="1707" spans="1:23" x14ac:dyDescent="0.25">
      <c r="A1707" t="s">
        <v>473</v>
      </c>
      <c r="B1707">
        <v>2009</v>
      </c>
      <c r="C1707" t="s">
        <v>363</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Data_Completeness(LifeExpectancyData[[#This Row],[Life expectancy]:[Schooling]])</f>
        <v>0</v>
      </c>
    </row>
    <row r="1708" spans="1:23" x14ac:dyDescent="0.25">
      <c r="A1708" t="s">
        <v>473</v>
      </c>
      <c r="B1708">
        <v>2008</v>
      </c>
      <c r="C1708" t="s">
        <v>363</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Data_Completeness(LifeExpectancyData[[#This Row],[Life expectancy]:[Schooling]])</f>
        <v>0</v>
      </c>
    </row>
    <row r="1709" spans="1:23" x14ac:dyDescent="0.25">
      <c r="A1709" t="s">
        <v>473</v>
      </c>
      <c r="B1709">
        <v>2007</v>
      </c>
      <c r="C1709" t="s">
        <v>363</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Data_Completeness(LifeExpectancyData[[#This Row],[Life expectancy]:[Schooling]])</f>
        <v>0</v>
      </c>
    </row>
    <row r="1710" spans="1:23" x14ac:dyDescent="0.25">
      <c r="A1710" t="s">
        <v>473</v>
      </c>
      <c r="B1710">
        <v>2006</v>
      </c>
      <c r="C1710" t="s">
        <v>363</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Data_Completeness(LifeExpectancyData[[#This Row],[Life expectancy]:[Schooling]])</f>
        <v>0</v>
      </c>
    </row>
    <row r="1711" spans="1:23" x14ac:dyDescent="0.25">
      <c r="A1711" t="s">
        <v>473</v>
      </c>
      <c r="B1711">
        <v>2005</v>
      </c>
      <c r="C1711" t="s">
        <v>363</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Data_Completeness(LifeExpectancyData[[#This Row],[Life expectancy]:[Schooling]])</f>
        <v>0</v>
      </c>
    </row>
    <row r="1712" spans="1:23" x14ac:dyDescent="0.25">
      <c r="A1712" t="s">
        <v>473</v>
      </c>
      <c r="B1712">
        <v>2004</v>
      </c>
      <c r="C1712" t="s">
        <v>363</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Data_Completeness(LifeExpectancyData[[#This Row],[Life expectancy]:[Schooling]])</f>
        <v>0</v>
      </c>
    </row>
    <row r="1713" spans="1:23" x14ac:dyDescent="0.25">
      <c r="A1713" t="s">
        <v>473</v>
      </c>
      <c r="B1713">
        <v>2003</v>
      </c>
      <c r="C1713" t="s">
        <v>363</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Data_Completeness(LifeExpectancyData[[#This Row],[Life expectancy]:[Schooling]])</f>
        <v>0</v>
      </c>
    </row>
    <row r="1714" spans="1:23" x14ac:dyDescent="0.25">
      <c r="A1714" t="s">
        <v>473</v>
      </c>
      <c r="B1714">
        <v>2002</v>
      </c>
      <c r="C1714" t="s">
        <v>363</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Data_Completeness(LifeExpectancyData[[#This Row],[Life expectancy]:[Schooling]])</f>
        <v>0</v>
      </c>
    </row>
    <row r="1715" spans="1:23" x14ac:dyDescent="0.25">
      <c r="A1715" t="s">
        <v>473</v>
      </c>
      <c r="B1715">
        <v>2001</v>
      </c>
      <c r="C1715" t="s">
        <v>363</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Data_Completeness(LifeExpectancyData[[#This Row],[Life expectancy]:[Schooling]])</f>
        <v>0</v>
      </c>
    </row>
    <row r="1716" spans="1:23" x14ac:dyDescent="0.25">
      <c r="A1716" t="s">
        <v>473</v>
      </c>
      <c r="B1716">
        <v>2000</v>
      </c>
      <c r="C1716" t="s">
        <v>363</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Data_Completeness(LifeExpectancyData[[#This Row],[Life expectancy]:[Schooling]])</f>
        <v>0</v>
      </c>
    </row>
    <row r="1717" spans="1:23" x14ac:dyDescent="0.25">
      <c r="A1717" t="s">
        <v>474</v>
      </c>
      <c r="B1717">
        <v>2013</v>
      </c>
      <c r="C1717" t="s">
        <v>363</v>
      </c>
      <c r="F1717">
        <v>0</v>
      </c>
      <c r="G1717">
        <v>0.01</v>
      </c>
      <c r="H1717">
        <v>0</v>
      </c>
      <c r="I1717">
        <v>99</v>
      </c>
      <c r="J1717">
        <v>0</v>
      </c>
      <c r="L1717">
        <v>0</v>
      </c>
      <c r="M1717">
        <v>99</v>
      </c>
      <c r="N1717">
        <v>4.3</v>
      </c>
      <c r="O1717">
        <v>99</v>
      </c>
      <c r="P1717">
        <v>0.1</v>
      </c>
      <c r="W1717" t="b">
        <f>Data_Completeness(LifeExpectancyData[[#This Row],[Life expectancy]:[Schooling]])</f>
        <v>0</v>
      </c>
    </row>
    <row r="1718" spans="1:23" x14ac:dyDescent="0.25">
      <c r="A1718" t="s">
        <v>475</v>
      </c>
      <c r="B1718">
        <v>2015</v>
      </c>
      <c r="C1718" t="s">
        <v>363</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Data_Completeness(LifeExpectancyData[[#This Row],[Life expectancy]:[Schooling]])</f>
        <v>0</v>
      </c>
    </row>
    <row r="1719" spans="1:23" x14ac:dyDescent="0.25">
      <c r="A1719" t="s">
        <v>475</v>
      </c>
      <c r="B1719">
        <v>2014</v>
      </c>
      <c r="C1719" t="s">
        <v>363</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Data_Completeness(LifeExpectancyData[[#This Row],[Life expectancy]:[Schooling]])</f>
        <v>1</v>
      </c>
    </row>
    <row r="1720" spans="1:23" x14ac:dyDescent="0.25">
      <c r="A1720" t="s">
        <v>475</v>
      </c>
      <c r="B1720">
        <v>2013</v>
      </c>
      <c r="C1720" t="s">
        <v>363</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Data_Completeness(LifeExpectancyData[[#This Row],[Life expectancy]:[Schooling]])</f>
        <v>1</v>
      </c>
    </row>
    <row r="1721" spans="1:23" x14ac:dyDescent="0.25">
      <c r="A1721" t="s">
        <v>475</v>
      </c>
      <c r="B1721">
        <v>2012</v>
      </c>
      <c r="C1721" t="s">
        <v>363</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Data_Completeness(LifeExpectancyData[[#This Row],[Life expectancy]:[Schooling]])</f>
        <v>1</v>
      </c>
    </row>
    <row r="1722" spans="1:23" x14ac:dyDescent="0.25">
      <c r="A1722" t="s">
        <v>475</v>
      </c>
      <c r="B1722">
        <v>2011</v>
      </c>
      <c r="C1722" t="s">
        <v>363</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Data_Completeness(LifeExpectancyData[[#This Row],[Life expectancy]:[Schooling]])</f>
        <v>1</v>
      </c>
    </row>
    <row r="1723" spans="1:23" x14ac:dyDescent="0.25">
      <c r="A1723" t="s">
        <v>475</v>
      </c>
      <c r="B1723">
        <v>2010</v>
      </c>
      <c r="C1723" t="s">
        <v>363</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Data_Completeness(LifeExpectancyData[[#This Row],[Life expectancy]:[Schooling]])</f>
        <v>1</v>
      </c>
    </row>
    <row r="1724" spans="1:23" x14ac:dyDescent="0.25">
      <c r="A1724" t="s">
        <v>475</v>
      </c>
      <c r="B1724">
        <v>2009</v>
      </c>
      <c r="C1724" t="s">
        <v>363</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Data_Completeness(LifeExpectancyData[[#This Row],[Life expectancy]:[Schooling]])</f>
        <v>1</v>
      </c>
    </row>
    <row r="1725" spans="1:23" x14ac:dyDescent="0.25">
      <c r="A1725" t="s">
        <v>475</v>
      </c>
      <c r="B1725">
        <v>2008</v>
      </c>
      <c r="C1725" t="s">
        <v>363</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Data_Completeness(LifeExpectancyData[[#This Row],[Life expectancy]:[Schooling]])</f>
        <v>1</v>
      </c>
    </row>
    <row r="1726" spans="1:23" x14ac:dyDescent="0.25">
      <c r="A1726" t="s">
        <v>475</v>
      </c>
      <c r="B1726">
        <v>2007</v>
      </c>
      <c r="C1726" t="s">
        <v>363</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Data_Completeness(LifeExpectancyData[[#This Row],[Life expectancy]:[Schooling]])</f>
        <v>1</v>
      </c>
    </row>
    <row r="1727" spans="1:23" x14ac:dyDescent="0.25">
      <c r="A1727" t="s">
        <v>475</v>
      </c>
      <c r="B1727">
        <v>2006</v>
      </c>
      <c r="C1727" t="s">
        <v>363</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Data_Completeness(LifeExpectancyData[[#This Row],[Life expectancy]:[Schooling]])</f>
        <v>1</v>
      </c>
    </row>
    <row r="1728" spans="1:23" x14ac:dyDescent="0.25">
      <c r="A1728" t="s">
        <v>475</v>
      </c>
      <c r="B1728">
        <v>2005</v>
      </c>
      <c r="C1728" t="s">
        <v>363</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Data_Completeness(LifeExpectancyData[[#This Row],[Life expectancy]:[Schooling]])</f>
        <v>1</v>
      </c>
    </row>
    <row r="1729" spans="1:23" x14ac:dyDescent="0.25">
      <c r="A1729" t="s">
        <v>475</v>
      </c>
      <c r="B1729">
        <v>2004</v>
      </c>
      <c r="C1729" t="s">
        <v>363</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Data_Completeness(LifeExpectancyData[[#This Row],[Life expectancy]:[Schooling]])</f>
        <v>1</v>
      </c>
    </row>
    <row r="1730" spans="1:23" x14ac:dyDescent="0.25">
      <c r="A1730" t="s">
        <v>475</v>
      </c>
      <c r="B1730">
        <v>2003</v>
      </c>
      <c r="C1730" t="s">
        <v>363</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Data_Completeness(LifeExpectancyData[[#This Row],[Life expectancy]:[Schooling]])</f>
        <v>1</v>
      </c>
    </row>
    <row r="1731" spans="1:23" x14ac:dyDescent="0.25">
      <c r="A1731" t="s">
        <v>475</v>
      </c>
      <c r="B1731">
        <v>2002</v>
      </c>
      <c r="C1731" t="s">
        <v>363</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Data_Completeness(LifeExpectancyData[[#This Row],[Life expectancy]:[Schooling]])</f>
        <v>1</v>
      </c>
    </row>
    <row r="1732" spans="1:23" x14ac:dyDescent="0.25">
      <c r="A1732" t="s">
        <v>475</v>
      </c>
      <c r="B1732">
        <v>2001</v>
      </c>
      <c r="C1732" t="s">
        <v>363</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Data_Completeness(LifeExpectancyData[[#This Row],[Life expectancy]:[Schooling]])</f>
        <v>1</v>
      </c>
    </row>
    <row r="1733" spans="1:23" x14ac:dyDescent="0.25">
      <c r="A1733" t="s">
        <v>475</v>
      </c>
      <c r="B1733">
        <v>2000</v>
      </c>
      <c r="C1733" t="s">
        <v>363</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Data_Completeness(LifeExpectancyData[[#This Row],[Life expectancy]:[Schooling]])</f>
        <v>1</v>
      </c>
    </row>
    <row r="1734" spans="1:23" x14ac:dyDescent="0.25">
      <c r="A1734" t="s">
        <v>476</v>
      </c>
      <c r="B1734">
        <v>2015</v>
      </c>
      <c r="C1734" t="s">
        <v>363</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Data_Completeness(LifeExpectancyData[[#This Row],[Life expectancy]:[Schooling]])</f>
        <v>0</v>
      </c>
    </row>
    <row r="1735" spans="1:23" x14ac:dyDescent="0.25">
      <c r="A1735" t="s">
        <v>476</v>
      </c>
      <c r="B1735">
        <v>2014</v>
      </c>
      <c r="C1735" t="s">
        <v>363</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Data_Completeness(LifeExpectancyData[[#This Row],[Life expectancy]:[Schooling]])</f>
        <v>1</v>
      </c>
    </row>
    <row r="1736" spans="1:23" x14ac:dyDescent="0.25">
      <c r="A1736" t="s">
        <v>476</v>
      </c>
      <c r="B1736">
        <v>2013</v>
      </c>
      <c r="C1736" t="s">
        <v>363</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Data_Completeness(LifeExpectancyData[[#This Row],[Life expectancy]:[Schooling]])</f>
        <v>1</v>
      </c>
    </row>
    <row r="1737" spans="1:23" x14ac:dyDescent="0.25">
      <c r="A1737" t="s">
        <v>476</v>
      </c>
      <c r="B1737">
        <v>2012</v>
      </c>
      <c r="C1737" t="s">
        <v>363</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Data_Completeness(LifeExpectancyData[[#This Row],[Life expectancy]:[Schooling]])</f>
        <v>1</v>
      </c>
    </row>
    <row r="1738" spans="1:23" x14ac:dyDescent="0.25">
      <c r="A1738" t="s">
        <v>476</v>
      </c>
      <c r="B1738">
        <v>2011</v>
      </c>
      <c r="C1738" t="s">
        <v>363</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Data_Completeness(LifeExpectancyData[[#This Row],[Life expectancy]:[Schooling]])</f>
        <v>1</v>
      </c>
    </row>
    <row r="1739" spans="1:23" x14ac:dyDescent="0.25">
      <c r="A1739" t="s">
        <v>476</v>
      </c>
      <c r="B1739">
        <v>2010</v>
      </c>
      <c r="C1739" t="s">
        <v>363</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Data_Completeness(LifeExpectancyData[[#This Row],[Life expectancy]:[Schooling]])</f>
        <v>1</v>
      </c>
    </row>
    <row r="1740" spans="1:23" x14ac:dyDescent="0.25">
      <c r="A1740" t="s">
        <v>476</v>
      </c>
      <c r="B1740">
        <v>2009</v>
      </c>
      <c r="C1740" t="s">
        <v>363</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Data_Completeness(LifeExpectancyData[[#This Row],[Life expectancy]:[Schooling]])</f>
        <v>1</v>
      </c>
    </row>
    <row r="1741" spans="1:23" x14ac:dyDescent="0.25">
      <c r="A1741" t="s">
        <v>476</v>
      </c>
      <c r="B1741">
        <v>2008</v>
      </c>
      <c r="C1741" t="s">
        <v>363</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Data_Completeness(LifeExpectancyData[[#This Row],[Life expectancy]:[Schooling]])</f>
        <v>1</v>
      </c>
    </row>
    <row r="1742" spans="1:23" x14ac:dyDescent="0.25">
      <c r="A1742" t="s">
        <v>476</v>
      </c>
      <c r="B1742">
        <v>2007</v>
      </c>
      <c r="C1742" t="s">
        <v>363</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Data_Completeness(LifeExpectancyData[[#This Row],[Life expectancy]:[Schooling]])</f>
        <v>1</v>
      </c>
    </row>
    <row r="1743" spans="1:23" x14ac:dyDescent="0.25">
      <c r="A1743" t="s">
        <v>476</v>
      </c>
      <c r="B1743">
        <v>2006</v>
      </c>
      <c r="C1743" t="s">
        <v>363</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Data_Completeness(LifeExpectancyData[[#This Row],[Life expectancy]:[Schooling]])</f>
        <v>1</v>
      </c>
    </row>
    <row r="1744" spans="1:23" x14ac:dyDescent="0.25">
      <c r="A1744" t="s">
        <v>476</v>
      </c>
      <c r="B1744">
        <v>2005</v>
      </c>
      <c r="C1744" t="s">
        <v>363</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Data_Completeness(LifeExpectancyData[[#This Row],[Life expectancy]:[Schooling]])</f>
        <v>0</v>
      </c>
    </row>
    <row r="1745" spans="1:23" x14ac:dyDescent="0.25">
      <c r="A1745" t="s">
        <v>476</v>
      </c>
      <c r="B1745">
        <v>2004</v>
      </c>
      <c r="C1745" t="s">
        <v>363</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Data_Completeness(LifeExpectancyData[[#This Row],[Life expectancy]:[Schooling]])</f>
        <v>0</v>
      </c>
    </row>
    <row r="1746" spans="1:23" x14ac:dyDescent="0.25">
      <c r="A1746" t="s">
        <v>476</v>
      </c>
      <c r="B1746">
        <v>2003</v>
      </c>
      <c r="C1746" t="s">
        <v>363</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Data_Completeness(LifeExpectancyData[[#This Row],[Life expectancy]:[Schooling]])</f>
        <v>0</v>
      </c>
    </row>
    <row r="1747" spans="1:23" x14ac:dyDescent="0.25">
      <c r="A1747" t="s">
        <v>476</v>
      </c>
      <c r="B1747">
        <v>2002</v>
      </c>
      <c r="C1747" t="s">
        <v>363</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Data_Completeness(LifeExpectancyData[[#This Row],[Life expectancy]:[Schooling]])</f>
        <v>0</v>
      </c>
    </row>
    <row r="1748" spans="1:23" x14ac:dyDescent="0.25">
      <c r="A1748" t="s">
        <v>476</v>
      </c>
      <c r="B1748">
        <v>2001</v>
      </c>
      <c r="C1748" t="s">
        <v>363</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Data_Completeness(LifeExpectancyData[[#This Row],[Life expectancy]:[Schooling]])</f>
        <v>0</v>
      </c>
    </row>
    <row r="1749" spans="1:23" x14ac:dyDescent="0.25">
      <c r="A1749" t="s">
        <v>476</v>
      </c>
      <c r="B1749">
        <v>2000</v>
      </c>
      <c r="C1749" t="s">
        <v>363</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Data_Completeness(LifeExpectancyData[[#This Row],[Life expectancy]:[Schooling]])</f>
        <v>0</v>
      </c>
    </row>
    <row r="1750" spans="1:23" x14ac:dyDescent="0.25">
      <c r="A1750" t="s">
        <v>477</v>
      </c>
      <c r="B1750">
        <v>2015</v>
      </c>
      <c r="C1750" t="s">
        <v>363</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Data_Completeness(LifeExpectancyData[[#This Row],[Life expectancy]:[Schooling]])</f>
        <v>0</v>
      </c>
    </row>
    <row r="1751" spans="1:23" x14ac:dyDescent="0.25">
      <c r="A1751" t="s">
        <v>477</v>
      </c>
      <c r="B1751">
        <v>2014</v>
      </c>
      <c r="C1751" t="s">
        <v>363</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Data_Completeness(LifeExpectancyData[[#This Row],[Life expectancy]:[Schooling]])</f>
        <v>1</v>
      </c>
    </row>
    <row r="1752" spans="1:23" x14ac:dyDescent="0.25">
      <c r="A1752" t="s">
        <v>477</v>
      </c>
      <c r="B1752">
        <v>2013</v>
      </c>
      <c r="C1752" t="s">
        <v>363</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Data_Completeness(LifeExpectancyData[[#This Row],[Life expectancy]:[Schooling]])</f>
        <v>1</v>
      </c>
    </row>
    <row r="1753" spans="1:23" x14ac:dyDescent="0.25">
      <c r="A1753" t="s">
        <v>477</v>
      </c>
      <c r="B1753">
        <v>2012</v>
      </c>
      <c r="C1753" t="s">
        <v>363</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Data_Completeness(LifeExpectancyData[[#This Row],[Life expectancy]:[Schooling]])</f>
        <v>1</v>
      </c>
    </row>
    <row r="1754" spans="1:23" x14ac:dyDescent="0.25">
      <c r="A1754" t="s">
        <v>477</v>
      </c>
      <c r="B1754">
        <v>2011</v>
      </c>
      <c r="C1754" t="s">
        <v>363</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Data_Completeness(LifeExpectancyData[[#This Row],[Life expectancy]:[Schooling]])</f>
        <v>1</v>
      </c>
    </row>
    <row r="1755" spans="1:23" x14ac:dyDescent="0.25">
      <c r="A1755" t="s">
        <v>477</v>
      </c>
      <c r="B1755">
        <v>2010</v>
      </c>
      <c r="C1755" t="s">
        <v>363</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Data_Completeness(LifeExpectancyData[[#This Row],[Life expectancy]:[Schooling]])</f>
        <v>1</v>
      </c>
    </row>
    <row r="1756" spans="1:23" x14ac:dyDescent="0.25">
      <c r="A1756" t="s">
        <v>477</v>
      </c>
      <c r="B1756">
        <v>2009</v>
      </c>
      <c r="C1756" t="s">
        <v>363</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Data_Completeness(LifeExpectancyData[[#This Row],[Life expectancy]:[Schooling]])</f>
        <v>1</v>
      </c>
    </row>
    <row r="1757" spans="1:23" x14ac:dyDescent="0.25">
      <c r="A1757" t="s">
        <v>477</v>
      </c>
      <c r="B1757">
        <v>2008</v>
      </c>
      <c r="C1757" t="s">
        <v>363</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Data_Completeness(LifeExpectancyData[[#This Row],[Life expectancy]:[Schooling]])</f>
        <v>1</v>
      </c>
    </row>
    <row r="1758" spans="1:23" x14ac:dyDescent="0.25">
      <c r="A1758" t="s">
        <v>477</v>
      </c>
      <c r="B1758">
        <v>2007</v>
      </c>
      <c r="C1758" t="s">
        <v>363</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Data_Completeness(LifeExpectancyData[[#This Row],[Life expectancy]:[Schooling]])</f>
        <v>1</v>
      </c>
    </row>
    <row r="1759" spans="1:23" x14ac:dyDescent="0.25">
      <c r="A1759" t="s">
        <v>477</v>
      </c>
      <c r="B1759">
        <v>2006</v>
      </c>
      <c r="C1759" t="s">
        <v>363</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Data_Completeness(LifeExpectancyData[[#This Row],[Life expectancy]:[Schooling]])</f>
        <v>1</v>
      </c>
    </row>
    <row r="1760" spans="1:23" x14ac:dyDescent="0.25">
      <c r="A1760" t="s">
        <v>477</v>
      </c>
      <c r="B1760">
        <v>2005</v>
      </c>
      <c r="C1760" t="s">
        <v>363</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Data_Completeness(LifeExpectancyData[[#This Row],[Life expectancy]:[Schooling]])</f>
        <v>1</v>
      </c>
    </row>
    <row r="1761" spans="1:23" x14ac:dyDescent="0.25">
      <c r="A1761" t="s">
        <v>477</v>
      </c>
      <c r="B1761">
        <v>2004</v>
      </c>
      <c r="C1761" t="s">
        <v>363</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Data_Completeness(LifeExpectancyData[[#This Row],[Life expectancy]:[Schooling]])</f>
        <v>1</v>
      </c>
    </row>
    <row r="1762" spans="1:23" x14ac:dyDescent="0.25">
      <c r="A1762" t="s">
        <v>477</v>
      </c>
      <c r="B1762">
        <v>2003</v>
      </c>
      <c r="C1762" t="s">
        <v>363</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Data_Completeness(LifeExpectancyData[[#This Row],[Life expectancy]:[Schooling]])</f>
        <v>1</v>
      </c>
    </row>
    <row r="1763" spans="1:23" x14ac:dyDescent="0.25">
      <c r="A1763" t="s">
        <v>477</v>
      </c>
      <c r="B1763">
        <v>2002</v>
      </c>
      <c r="C1763" t="s">
        <v>363</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Data_Completeness(LifeExpectancyData[[#This Row],[Life expectancy]:[Schooling]])</f>
        <v>1</v>
      </c>
    </row>
    <row r="1764" spans="1:23" x14ac:dyDescent="0.25">
      <c r="A1764" t="s">
        <v>477</v>
      </c>
      <c r="B1764">
        <v>2001</v>
      </c>
      <c r="C1764" t="s">
        <v>363</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Data_Completeness(LifeExpectancyData[[#This Row],[Life expectancy]:[Schooling]])</f>
        <v>1</v>
      </c>
    </row>
    <row r="1765" spans="1:23" x14ac:dyDescent="0.25">
      <c r="A1765" t="s">
        <v>477</v>
      </c>
      <c r="B1765">
        <v>2000</v>
      </c>
      <c r="C1765" t="s">
        <v>363</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Data_Completeness(LifeExpectancyData[[#This Row],[Life expectancy]:[Schooling]])</f>
        <v>1</v>
      </c>
    </row>
    <row r="1766" spans="1:23" x14ac:dyDescent="0.25">
      <c r="A1766" t="s">
        <v>478</v>
      </c>
      <c r="B1766">
        <v>2015</v>
      </c>
      <c r="C1766" t="s">
        <v>363</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Data_Completeness(LifeExpectancyData[[#This Row],[Life expectancy]:[Schooling]])</f>
        <v>0</v>
      </c>
    </row>
    <row r="1767" spans="1:23" x14ac:dyDescent="0.25">
      <c r="A1767" t="s">
        <v>478</v>
      </c>
      <c r="B1767">
        <v>2014</v>
      </c>
      <c r="C1767" t="s">
        <v>363</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Data_Completeness(LifeExpectancyData[[#This Row],[Life expectancy]:[Schooling]])</f>
        <v>1</v>
      </c>
    </row>
    <row r="1768" spans="1:23" x14ac:dyDescent="0.25">
      <c r="A1768" t="s">
        <v>478</v>
      </c>
      <c r="B1768">
        <v>2013</v>
      </c>
      <c r="C1768" t="s">
        <v>363</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Data_Completeness(LifeExpectancyData[[#This Row],[Life expectancy]:[Schooling]])</f>
        <v>1</v>
      </c>
    </row>
    <row r="1769" spans="1:23" x14ac:dyDescent="0.25">
      <c r="A1769" t="s">
        <v>478</v>
      </c>
      <c r="B1769">
        <v>2012</v>
      </c>
      <c r="C1769" t="s">
        <v>363</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Data_Completeness(LifeExpectancyData[[#This Row],[Life expectancy]:[Schooling]])</f>
        <v>1</v>
      </c>
    </row>
    <row r="1770" spans="1:23" x14ac:dyDescent="0.25">
      <c r="A1770" t="s">
        <v>478</v>
      </c>
      <c r="B1770">
        <v>2011</v>
      </c>
      <c r="C1770" t="s">
        <v>363</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Data_Completeness(LifeExpectancyData[[#This Row],[Life expectancy]:[Schooling]])</f>
        <v>1</v>
      </c>
    </row>
    <row r="1771" spans="1:23" x14ac:dyDescent="0.25">
      <c r="A1771" t="s">
        <v>478</v>
      </c>
      <c r="B1771">
        <v>2010</v>
      </c>
      <c r="C1771" t="s">
        <v>363</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Data_Completeness(LifeExpectancyData[[#This Row],[Life expectancy]:[Schooling]])</f>
        <v>1</v>
      </c>
    </row>
    <row r="1772" spans="1:23" x14ac:dyDescent="0.25">
      <c r="A1772" t="s">
        <v>478</v>
      </c>
      <c r="B1772">
        <v>2009</v>
      </c>
      <c r="C1772" t="s">
        <v>363</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Data_Completeness(LifeExpectancyData[[#This Row],[Life expectancy]:[Schooling]])</f>
        <v>1</v>
      </c>
    </row>
    <row r="1773" spans="1:23" x14ac:dyDescent="0.25">
      <c r="A1773" t="s">
        <v>478</v>
      </c>
      <c r="B1773">
        <v>2008</v>
      </c>
      <c r="C1773" t="s">
        <v>363</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Data_Completeness(LifeExpectancyData[[#This Row],[Life expectancy]:[Schooling]])</f>
        <v>1</v>
      </c>
    </row>
    <row r="1774" spans="1:23" x14ac:dyDescent="0.25">
      <c r="A1774" t="s">
        <v>478</v>
      </c>
      <c r="B1774">
        <v>2007</v>
      </c>
      <c r="C1774" t="s">
        <v>363</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Data_Completeness(LifeExpectancyData[[#This Row],[Life expectancy]:[Schooling]])</f>
        <v>1</v>
      </c>
    </row>
    <row r="1775" spans="1:23" x14ac:dyDescent="0.25">
      <c r="A1775" t="s">
        <v>478</v>
      </c>
      <c r="B1775">
        <v>2006</v>
      </c>
      <c r="C1775" t="s">
        <v>363</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Data_Completeness(LifeExpectancyData[[#This Row],[Life expectancy]:[Schooling]])</f>
        <v>1</v>
      </c>
    </row>
    <row r="1776" spans="1:23" x14ac:dyDescent="0.25">
      <c r="A1776" t="s">
        <v>478</v>
      </c>
      <c r="B1776">
        <v>2005</v>
      </c>
      <c r="C1776" t="s">
        <v>363</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Data_Completeness(LifeExpectancyData[[#This Row],[Life expectancy]:[Schooling]])</f>
        <v>1</v>
      </c>
    </row>
    <row r="1777" spans="1:23" x14ac:dyDescent="0.25">
      <c r="A1777" t="s">
        <v>478</v>
      </c>
      <c r="B1777">
        <v>2004</v>
      </c>
      <c r="C1777" t="s">
        <v>363</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Data_Completeness(LifeExpectancyData[[#This Row],[Life expectancy]:[Schooling]])</f>
        <v>1</v>
      </c>
    </row>
    <row r="1778" spans="1:23" x14ac:dyDescent="0.25">
      <c r="A1778" t="s">
        <v>478</v>
      </c>
      <c r="B1778">
        <v>2003</v>
      </c>
      <c r="C1778" t="s">
        <v>363</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Data_Completeness(LifeExpectancyData[[#This Row],[Life expectancy]:[Schooling]])</f>
        <v>1</v>
      </c>
    </row>
    <row r="1779" spans="1:23" x14ac:dyDescent="0.25">
      <c r="A1779" t="s">
        <v>478</v>
      </c>
      <c r="B1779">
        <v>2002</v>
      </c>
      <c r="C1779" t="s">
        <v>363</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Data_Completeness(LifeExpectancyData[[#This Row],[Life expectancy]:[Schooling]])</f>
        <v>1</v>
      </c>
    </row>
    <row r="1780" spans="1:23" x14ac:dyDescent="0.25">
      <c r="A1780" t="s">
        <v>478</v>
      </c>
      <c r="B1780">
        <v>2001</v>
      </c>
      <c r="C1780" t="s">
        <v>363</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Data_Completeness(LifeExpectancyData[[#This Row],[Life expectancy]:[Schooling]])</f>
        <v>1</v>
      </c>
    </row>
    <row r="1781" spans="1:23" x14ac:dyDescent="0.25">
      <c r="A1781" t="s">
        <v>478</v>
      </c>
      <c r="B1781">
        <v>2000</v>
      </c>
      <c r="C1781" t="s">
        <v>363</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Data_Completeness(LifeExpectancyData[[#This Row],[Life expectancy]:[Schooling]])</f>
        <v>0</v>
      </c>
    </row>
    <row r="1782" spans="1:23" x14ac:dyDescent="0.25">
      <c r="A1782" t="s">
        <v>479</v>
      </c>
      <c r="B1782">
        <v>2015</v>
      </c>
      <c r="C1782" t="s">
        <v>363</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Data_Completeness(LifeExpectancyData[[#This Row],[Life expectancy]:[Schooling]])</f>
        <v>0</v>
      </c>
    </row>
    <row r="1783" spans="1:23" x14ac:dyDescent="0.25">
      <c r="A1783" t="s">
        <v>479</v>
      </c>
      <c r="B1783">
        <v>2014</v>
      </c>
      <c r="C1783" t="s">
        <v>363</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Data_Completeness(LifeExpectancyData[[#This Row],[Life expectancy]:[Schooling]])</f>
        <v>1</v>
      </c>
    </row>
    <row r="1784" spans="1:23" x14ac:dyDescent="0.25">
      <c r="A1784" t="s">
        <v>479</v>
      </c>
      <c r="B1784">
        <v>2013</v>
      </c>
      <c r="C1784" t="s">
        <v>363</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Data_Completeness(LifeExpectancyData[[#This Row],[Life expectancy]:[Schooling]])</f>
        <v>1</v>
      </c>
    </row>
    <row r="1785" spans="1:23" x14ac:dyDescent="0.25">
      <c r="A1785" t="s">
        <v>479</v>
      </c>
      <c r="B1785">
        <v>2012</v>
      </c>
      <c r="C1785" t="s">
        <v>363</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Data_Completeness(LifeExpectancyData[[#This Row],[Life expectancy]:[Schooling]])</f>
        <v>1</v>
      </c>
    </row>
    <row r="1786" spans="1:23" x14ac:dyDescent="0.25">
      <c r="A1786" t="s">
        <v>479</v>
      </c>
      <c r="B1786">
        <v>2011</v>
      </c>
      <c r="C1786" t="s">
        <v>363</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Data_Completeness(LifeExpectancyData[[#This Row],[Life expectancy]:[Schooling]])</f>
        <v>1</v>
      </c>
    </row>
    <row r="1787" spans="1:23" x14ac:dyDescent="0.25">
      <c r="A1787" t="s">
        <v>479</v>
      </c>
      <c r="B1787">
        <v>2010</v>
      </c>
      <c r="C1787" t="s">
        <v>363</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Data_Completeness(LifeExpectancyData[[#This Row],[Life expectancy]:[Schooling]])</f>
        <v>1</v>
      </c>
    </row>
    <row r="1788" spans="1:23" x14ac:dyDescent="0.25">
      <c r="A1788" t="s">
        <v>479</v>
      </c>
      <c r="B1788">
        <v>2009</v>
      </c>
      <c r="C1788" t="s">
        <v>363</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Data_Completeness(LifeExpectancyData[[#This Row],[Life expectancy]:[Schooling]])</f>
        <v>1</v>
      </c>
    </row>
    <row r="1789" spans="1:23" x14ac:dyDescent="0.25">
      <c r="A1789" t="s">
        <v>479</v>
      </c>
      <c r="B1789">
        <v>2008</v>
      </c>
      <c r="C1789" t="s">
        <v>363</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Data_Completeness(LifeExpectancyData[[#This Row],[Life expectancy]:[Schooling]])</f>
        <v>1</v>
      </c>
    </row>
    <row r="1790" spans="1:23" x14ac:dyDescent="0.25">
      <c r="A1790" t="s">
        <v>479</v>
      </c>
      <c r="B1790">
        <v>2007</v>
      </c>
      <c r="C1790" t="s">
        <v>363</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Data_Completeness(LifeExpectancyData[[#This Row],[Life expectancy]:[Schooling]])</f>
        <v>1</v>
      </c>
    </row>
    <row r="1791" spans="1:23" x14ac:dyDescent="0.25">
      <c r="A1791" t="s">
        <v>479</v>
      </c>
      <c r="B1791">
        <v>2006</v>
      </c>
      <c r="C1791" t="s">
        <v>363</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Data_Completeness(LifeExpectancyData[[#This Row],[Life expectancy]:[Schooling]])</f>
        <v>1</v>
      </c>
    </row>
    <row r="1792" spans="1:23" x14ac:dyDescent="0.25">
      <c r="A1792" t="s">
        <v>479</v>
      </c>
      <c r="B1792">
        <v>2005</v>
      </c>
      <c r="C1792" t="s">
        <v>363</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Data_Completeness(LifeExpectancyData[[#This Row],[Life expectancy]:[Schooling]])</f>
        <v>1</v>
      </c>
    </row>
    <row r="1793" spans="1:23" x14ac:dyDescent="0.25">
      <c r="A1793" t="s">
        <v>479</v>
      </c>
      <c r="B1793">
        <v>2004</v>
      </c>
      <c r="C1793" t="s">
        <v>363</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Data_Completeness(LifeExpectancyData[[#This Row],[Life expectancy]:[Schooling]])</f>
        <v>1</v>
      </c>
    </row>
    <row r="1794" spans="1:23" x14ac:dyDescent="0.25">
      <c r="A1794" t="s">
        <v>479</v>
      </c>
      <c r="B1794">
        <v>2003</v>
      </c>
      <c r="C1794" t="s">
        <v>363</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Data_Completeness(LifeExpectancyData[[#This Row],[Life expectancy]:[Schooling]])</f>
        <v>1</v>
      </c>
    </row>
    <row r="1795" spans="1:23" x14ac:dyDescent="0.25">
      <c r="A1795" t="s">
        <v>479</v>
      </c>
      <c r="B1795">
        <v>2002</v>
      </c>
      <c r="C1795" t="s">
        <v>363</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Data_Completeness(LifeExpectancyData[[#This Row],[Life expectancy]:[Schooling]])</f>
        <v>0</v>
      </c>
    </row>
    <row r="1796" spans="1:23" x14ac:dyDescent="0.25">
      <c r="A1796" t="s">
        <v>479</v>
      </c>
      <c r="B1796">
        <v>2001</v>
      </c>
      <c r="C1796" t="s">
        <v>363</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Data_Completeness(LifeExpectancyData[[#This Row],[Life expectancy]:[Schooling]])</f>
        <v>0</v>
      </c>
    </row>
    <row r="1797" spans="1:23" x14ac:dyDescent="0.25">
      <c r="A1797" t="s">
        <v>479</v>
      </c>
      <c r="B1797">
        <v>2000</v>
      </c>
      <c r="C1797" t="s">
        <v>363</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Data_Completeness(LifeExpectancyData[[#This Row],[Life expectancy]:[Schooling]])</f>
        <v>0</v>
      </c>
    </row>
    <row r="1798" spans="1:23" x14ac:dyDescent="0.25">
      <c r="A1798" t="s">
        <v>480</v>
      </c>
      <c r="B1798">
        <v>2015</v>
      </c>
      <c r="C1798" t="s">
        <v>363</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Data_Completeness(LifeExpectancyData[[#This Row],[Life expectancy]:[Schooling]])</f>
        <v>0</v>
      </c>
    </row>
    <row r="1799" spans="1:23" x14ac:dyDescent="0.25">
      <c r="A1799" t="s">
        <v>480</v>
      </c>
      <c r="B1799">
        <v>2014</v>
      </c>
      <c r="C1799" t="s">
        <v>363</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Data_Completeness(LifeExpectancyData[[#This Row],[Life expectancy]:[Schooling]])</f>
        <v>1</v>
      </c>
    </row>
    <row r="1800" spans="1:23" x14ac:dyDescent="0.25">
      <c r="A1800" t="s">
        <v>480</v>
      </c>
      <c r="B1800">
        <v>2013</v>
      </c>
      <c r="C1800" t="s">
        <v>363</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Data_Completeness(LifeExpectancyData[[#This Row],[Life expectancy]:[Schooling]])</f>
        <v>1</v>
      </c>
    </row>
    <row r="1801" spans="1:23" x14ac:dyDescent="0.25">
      <c r="A1801" t="s">
        <v>480</v>
      </c>
      <c r="B1801">
        <v>2012</v>
      </c>
      <c r="C1801" t="s">
        <v>363</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Data_Completeness(LifeExpectancyData[[#This Row],[Life expectancy]:[Schooling]])</f>
        <v>1</v>
      </c>
    </row>
    <row r="1802" spans="1:23" x14ac:dyDescent="0.25">
      <c r="A1802" t="s">
        <v>480</v>
      </c>
      <c r="B1802">
        <v>2011</v>
      </c>
      <c r="C1802" t="s">
        <v>363</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Data_Completeness(LifeExpectancyData[[#This Row],[Life expectancy]:[Schooling]])</f>
        <v>1</v>
      </c>
    </row>
    <row r="1803" spans="1:23" x14ac:dyDescent="0.25">
      <c r="A1803" t="s">
        <v>480</v>
      </c>
      <c r="B1803">
        <v>2010</v>
      </c>
      <c r="C1803" t="s">
        <v>363</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Data_Completeness(LifeExpectancyData[[#This Row],[Life expectancy]:[Schooling]])</f>
        <v>1</v>
      </c>
    </row>
    <row r="1804" spans="1:23" x14ac:dyDescent="0.25">
      <c r="A1804" t="s">
        <v>480</v>
      </c>
      <c r="B1804">
        <v>2009</v>
      </c>
      <c r="C1804" t="s">
        <v>363</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Data_Completeness(LifeExpectancyData[[#This Row],[Life expectancy]:[Schooling]])</f>
        <v>0</v>
      </c>
    </row>
    <row r="1805" spans="1:23" x14ac:dyDescent="0.25">
      <c r="A1805" t="s">
        <v>480</v>
      </c>
      <c r="B1805">
        <v>2008</v>
      </c>
      <c r="C1805" t="s">
        <v>363</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Data_Completeness(LifeExpectancyData[[#This Row],[Life expectancy]:[Schooling]])</f>
        <v>0</v>
      </c>
    </row>
    <row r="1806" spans="1:23" x14ac:dyDescent="0.25">
      <c r="A1806" t="s">
        <v>480</v>
      </c>
      <c r="B1806">
        <v>2007</v>
      </c>
      <c r="C1806" t="s">
        <v>363</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Data_Completeness(LifeExpectancyData[[#This Row],[Life expectancy]:[Schooling]])</f>
        <v>0</v>
      </c>
    </row>
    <row r="1807" spans="1:23" x14ac:dyDescent="0.25">
      <c r="A1807" t="s">
        <v>480</v>
      </c>
      <c r="B1807">
        <v>2006</v>
      </c>
      <c r="C1807" t="s">
        <v>363</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Data_Completeness(LifeExpectancyData[[#This Row],[Life expectancy]:[Schooling]])</f>
        <v>0</v>
      </c>
    </row>
    <row r="1808" spans="1:23" x14ac:dyDescent="0.25">
      <c r="A1808" t="s">
        <v>480</v>
      </c>
      <c r="B1808">
        <v>2005</v>
      </c>
      <c r="C1808" t="s">
        <v>363</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Data_Completeness(LifeExpectancyData[[#This Row],[Life expectancy]:[Schooling]])</f>
        <v>0</v>
      </c>
    </row>
    <row r="1809" spans="1:23" x14ac:dyDescent="0.25">
      <c r="A1809" t="s">
        <v>480</v>
      </c>
      <c r="B1809">
        <v>2004</v>
      </c>
      <c r="C1809" t="s">
        <v>363</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Data_Completeness(LifeExpectancyData[[#This Row],[Life expectancy]:[Schooling]])</f>
        <v>0</v>
      </c>
    </row>
    <row r="1810" spans="1:23" x14ac:dyDescent="0.25">
      <c r="A1810" t="s">
        <v>480</v>
      </c>
      <c r="B1810">
        <v>2003</v>
      </c>
      <c r="C1810" t="s">
        <v>363</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Data_Completeness(LifeExpectancyData[[#This Row],[Life expectancy]:[Schooling]])</f>
        <v>0</v>
      </c>
    </row>
    <row r="1811" spans="1:23" x14ac:dyDescent="0.25">
      <c r="A1811" t="s">
        <v>480</v>
      </c>
      <c r="B1811">
        <v>2002</v>
      </c>
      <c r="C1811" t="s">
        <v>363</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Data_Completeness(LifeExpectancyData[[#This Row],[Life expectancy]:[Schooling]])</f>
        <v>0</v>
      </c>
    </row>
    <row r="1812" spans="1:23" x14ac:dyDescent="0.25">
      <c r="A1812" t="s">
        <v>480</v>
      </c>
      <c r="B1812">
        <v>2001</v>
      </c>
      <c r="C1812" t="s">
        <v>363</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Data_Completeness(LifeExpectancyData[[#This Row],[Life expectancy]:[Schooling]])</f>
        <v>0</v>
      </c>
    </row>
    <row r="1813" spans="1:23" x14ac:dyDescent="0.25">
      <c r="A1813" t="s">
        <v>480</v>
      </c>
      <c r="B1813">
        <v>2000</v>
      </c>
      <c r="C1813" t="s">
        <v>363</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Data_Completeness(LifeExpectancyData[[#This Row],[Life expectancy]:[Schooling]])</f>
        <v>0</v>
      </c>
    </row>
    <row r="1814" spans="1:23" x14ac:dyDescent="0.25">
      <c r="A1814" t="s">
        <v>481</v>
      </c>
      <c r="B1814">
        <v>2013</v>
      </c>
      <c r="C1814" t="s">
        <v>363</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Data_Completeness(LifeExpectancyData[[#This Row],[Life expectancy]:[Schooling]])</f>
        <v>0</v>
      </c>
    </row>
    <row r="1815" spans="1:23" x14ac:dyDescent="0.25">
      <c r="A1815" t="s">
        <v>482</v>
      </c>
      <c r="B1815">
        <v>2015</v>
      </c>
      <c r="C1815" t="s">
        <v>363</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Data_Completeness(LifeExpectancyData[[#This Row],[Life expectancy]:[Schooling]])</f>
        <v>0</v>
      </c>
    </row>
    <row r="1816" spans="1:23" x14ac:dyDescent="0.25">
      <c r="A1816" t="s">
        <v>482</v>
      </c>
      <c r="B1816">
        <v>2014</v>
      </c>
      <c r="C1816" t="s">
        <v>363</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Data_Completeness(LifeExpectancyData[[#This Row],[Life expectancy]:[Schooling]])</f>
        <v>1</v>
      </c>
    </row>
    <row r="1817" spans="1:23" x14ac:dyDescent="0.25">
      <c r="A1817" t="s">
        <v>482</v>
      </c>
      <c r="B1817">
        <v>2013</v>
      </c>
      <c r="C1817" t="s">
        <v>363</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Data_Completeness(LifeExpectancyData[[#This Row],[Life expectancy]:[Schooling]])</f>
        <v>1</v>
      </c>
    </row>
    <row r="1818" spans="1:23" x14ac:dyDescent="0.25">
      <c r="A1818" t="s">
        <v>482</v>
      </c>
      <c r="B1818">
        <v>2012</v>
      </c>
      <c r="C1818" t="s">
        <v>363</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Data_Completeness(LifeExpectancyData[[#This Row],[Life expectancy]:[Schooling]])</f>
        <v>1</v>
      </c>
    </row>
    <row r="1819" spans="1:23" x14ac:dyDescent="0.25">
      <c r="A1819" t="s">
        <v>482</v>
      </c>
      <c r="B1819">
        <v>2011</v>
      </c>
      <c r="C1819" t="s">
        <v>363</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Data_Completeness(LifeExpectancyData[[#This Row],[Life expectancy]:[Schooling]])</f>
        <v>1</v>
      </c>
    </row>
    <row r="1820" spans="1:23" x14ac:dyDescent="0.25">
      <c r="A1820" t="s">
        <v>482</v>
      </c>
      <c r="B1820">
        <v>2010</v>
      </c>
      <c r="C1820" t="s">
        <v>363</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Data_Completeness(LifeExpectancyData[[#This Row],[Life expectancy]:[Schooling]])</f>
        <v>1</v>
      </c>
    </row>
    <row r="1821" spans="1:23" x14ac:dyDescent="0.25">
      <c r="A1821" t="s">
        <v>482</v>
      </c>
      <c r="B1821">
        <v>2009</v>
      </c>
      <c r="C1821" t="s">
        <v>363</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Data_Completeness(LifeExpectancyData[[#This Row],[Life expectancy]:[Schooling]])</f>
        <v>1</v>
      </c>
    </row>
    <row r="1822" spans="1:23" x14ac:dyDescent="0.25">
      <c r="A1822" t="s">
        <v>482</v>
      </c>
      <c r="B1822">
        <v>2008</v>
      </c>
      <c r="C1822" t="s">
        <v>363</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Data_Completeness(LifeExpectancyData[[#This Row],[Life expectancy]:[Schooling]])</f>
        <v>1</v>
      </c>
    </row>
    <row r="1823" spans="1:23" x14ac:dyDescent="0.25">
      <c r="A1823" t="s">
        <v>482</v>
      </c>
      <c r="B1823">
        <v>2007</v>
      </c>
      <c r="C1823" t="s">
        <v>363</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Data_Completeness(LifeExpectancyData[[#This Row],[Life expectancy]:[Schooling]])</f>
        <v>1</v>
      </c>
    </row>
    <row r="1824" spans="1:23" x14ac:dyDescent="0.25">
      <c r="A1824" t="s">
        <v>482</v>
      </c>
      <c r="B1824">
        <v>2006</v>
      </c>
      <c r="C1824" t="s">
        <v>363</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Data_Completeness(LifeExpectancyData[[#This Row],[Life expectancy]:[Schooling]])</f>
        <v>1</v>
      </c>
    </row>
    <row r="1825" spans="1:23" x14ac:dyDescent="0.25">
      <c r="A1825" t="s">
        <v>482</v>
      </c>
      <c r="B1825">
        <v>2005</v>
      </c>
      <c r="C1825" t="s">
        <v>363</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Data_Completeness(LifeExpectancyData[[#This Row],[Life expectancy]:[Schooling]])</f>
        <v>1</v>
      </c>
    </row>
    <row r="1826" spans="1:23" x14ac:dyDescent="0.25">
      <c r="A1826" t="s">
        <v>482</v>
      </c>
      <c r="B1826">
        <v>2004</v>
      </c>
      <c r="C1826" t="s">
        <v>363</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Data_Completeness(LifeExpectancyData[[#This Row],[Life expectancy]:[Schooling]])</f>
        <v>1</v>
      </c>
    </row>
    <row r="1827" spans="1:23" x14ac:dyDescent="0.25">
      <c r="A1827" t="s">
        <v>482</v>
      </c>
      <c r="B1827">
        <v>2003</v>
      </c>
      <c r="C1827" t="s">
        <v>363</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Data_Completeness(LifeExpectancyData[[#This Row],[Life expectancy]:[Schooling]])</f>
        <v>1</v>
      </c>
    </row>
    <row r="1828" spans="1:23" x14ac:dyDescent="0.25">
      <c r="A1828" t="s">
        <v>482</v>
      </c>
      <c r="B1828">
        <v>2002</v>
      </c>
      <c r="C1828" t="s">
        <v>363</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Data_Completeness(LifeExpectancyData[[#This Row],[Life expectancy]:[Schooling]])</f>
        <v>0</v>
      </c>
    </row>
    <row r="1829" spans="1:23" x14ac:dyDescent="0.25">
      <c r="A1829" t="s">
        <v>482</v>
      </c>
      <c r="B1829">
        <v>2001</v>
      </c>
      <c r="C1829" t="s">
        <v>363</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Data_Completeness(LifeExpectancyData[[#This Row],[Life expectancy]:[Schooling]])</f>
        <v>0</v>
      </c>
    </row>
    <row r="1830" spans="1:23" x14ac:dyDescent="0.25">
      <c r="A1830" t="s">
        <v>482</v>
      </c>
      <c r="B1830">
        <v>2000</v>
      </c>
      <c r="C1830" t="s">
        <v>363</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Data_Completeness(LifeExpectancyData[[#This Row],[Life expectancy]:[Schooling]])</f>
        <v>0</v>
      </c>
    </row>
    <row r="1831" spans="1:23" x14ac:dyDescent="0.25">
      <c r="A1831" t="s">
        <v>483</v>
      </c>
      <c r="B1831">
        <v>2015</v>
      </c>
      <c r="C1831" t="s">
        <v>371</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Data_Completeness(LifeExpectancyData[[#This Row],[Life expectancy]:[Schooling]])</f>
        <v>0</v>
      </c>
    </row>
    <row r="1832" spans="1:23" x14ac:dyDescent="0.25">
      <c r="A1832" t="s">
        <v>483</v>
      </c>
      <c r="B1832">
        <v>2014</v>
      </c>
      <c r="C1832" t="s">
        <v>371</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Data_Completeness(LifeExpectancyData[[#This Row],[Life expectancy]:[Schooling]])</f>
        <v>1</v>
      </c>
    </row>
    <row r="1833" spans="1:23" x14ac:dyDescent="0.25">
      <c r="A1833" t="s">
        <v>483</v>
      </c>
      <c r="B1833">
        <v>2013</v>
      </c>
      <c r="C1833" t="s">
        <v>371</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Data_Completeness(LifeExpectancyData[[#This Row],[Life expectancy]:[Schooling]])</f>
        <v>1</v>
      </c>
    </row>
    <row r="1834" spans="1:23" x14ac:dyDescent="0.25">
      <c r="A1834" t="s">
        <v>483</v>
      </c>
      <c r="B1834">
        <v>2012</v>
      </c>
      <c r="C1834" t="s">
        <v>371</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Data_Completeness(LifeExpectancyData[[#This Row],[Life expectancy]:[Schooling]])</f>
        <v>1</v>
      </c>
    </row>
    <row r="1835" spans="1:23" x14ac:dyDescent="0.25">
      <c r="A1835" t="s">
        <v>483</v>
      </c>
      <c r="B1835">
        <v>2011</v>
      </c>
      <c r="C1835" t="s">
        <v>371</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Data_Completeness(LifeExpectancyData[[#This Row],[Life expectancy]:[Schooling]])</f>
        <v>1</v>
      </c>
    </row>
    <row r="1836" spans="1:23" x14ac:dyDescent="0.25">
      <c r="A1836" t="s">
        <v>483</v>
      </c>
      <c r="B1836">
        <v>2010</v>
      </c>
      <c r="C1836" t="s">
        <v>371</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Data_Completeness(LifeExpectancyData[[#This Row],[Life expectancy]:[Schooling]])</f>
        <v>0</v>
      </c>
    </row>
    <row r="1837" spans="1:23" x14ac:dyDescent="0.25">
      <c r="A1837" t="s">
        <v>483</v>
      </c>
      <c r="B1837">
        <v>2009</v>
      </c>
      <c r="C1837" t="s">
        <v>371</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Data_Completeness(LifeExpectancyData[[#This Row],[Life expectancy]:[Schooling]])</f>
        <v>0</v>
      </c>
    </row>
    <row r="1838" spans="1:23" x14ac:dyDescent="0.25">
      <c r="A1838" t="s">
        <v>483</v>
      </c>
      <c r="B1838">
        <v>2008</v>
      </c>
      <c r="C1838" t="s">
        <v>371</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Data_Completeness(LifeExpectancyData[[#This Row],[Life expectancy]:[Schooling]])</f>
        <v>0</v>
      </c>
    </row>
    <row r="1839" spans="1:23" x14ac:dyDescent="0.25">
      <c r="A1839" t="s">
        <v>483</v>
      </c>
      <c r="B1839">
        <v>2007</v>
      </c>
      <c r="C1839" t="s">
        <v>371</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Data_Completeness(LifeExpectancyData[[#This Row],[Life expectancy]:[Schooling]])</f>
        <v>0</v>
      </c>
    </row>
    <row r="1840" spans="1:23" x14ac:dyDescent="0.25">
      <c r="A1840" t="s">
        <v>483</v>
      </c>
      <c r="B1840">
        <v>2006</v>
      </c>
      <c r="C1840" t="s">
        <v>371</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Data_Completeness(LifeExpectancyData[[#This Row],[Life expectancy]:[Schooling]])</f>
        <v>0</v>
      </c>
    </row>
    <row r="1841" spans="1:23" x14ac:dyDescent="0.25">
      <c r="A1841" t="s">
        <v>483</v>
      </c>
      <c r="B1841">
        <v>2005</v>
      </c>
      <c r="C1841" t="s">
        <v>371</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Data_Completeness(LifeExpectancyData[[#This Row],[Life expectancy]:[Schooling]])</f>
        <v>0</v>
      </c>
    </row>
    <row r="1842" spans="1:23" x14ac:dyDescent="0.25">
      <c r="A1842" t="s">
        <v>483</v>
      </c>
      <c r="B1842">
        <v>2004</v>
      </c>
      <c r="C1842" t="s">
        <v>371</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Data_Completeness(LifeExpectancyData[[#This Row],[Life expectancy]:[Schooling]])</f>
        <v>0</v>
      </c>
    </row>
    <row r="1843" spans="1:23" x14ac:dyDescent="0.25">
      <c r="A1843" t="s">
        <v>483</v>
      </c>
      <c r="B1843">
        <v>2003</v>
      </c>
      <c r="C1843" t="s">
        <v>371</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Data_Completeness(LifeExpectancyData[[#This Row],[Life expectancy]:[Schooling]])</f>
        <v>0</v>
      </c>
    </row>
    <row r="1844" spans="1:23" x14ac:dyDescent="0.25">
      <c r="A1844" t="s">
        <v>483</v>
      </c>
      <c r="B1844">
        <v>2002</v>
      </c>
      <c r="C1844" t="s">
        <v>371</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Data_Completeness(LifeExpectancyData[[#This Row],[Life expectancy]:[Schooling]])</f>
        <v>0</v>
      </c>
    </row>
    <row r="1845" spans="1:23" x14ac:dyDescent="0.25">
      <c r="A1845" t="s">
        <v>483</v>
      </c>
      <c r="B1845">
        <v>2001</v>
      </c>
      <c r="C1845" t="s">
        <v>371</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Data_Completeness(LifeExpectancyData[[#This Row],[Life expectancy]:[Schooling]])</f>
        <v>0</v>
      </c>
    </row>
    <row r="1846" spans="1:23" x14ac:dyDescent="0.25">
      <c r="A1846" t="s">
        <v>483</v>
      </c>
      <c r="B1846">
        <v>2000</v>
      </c>
      <c r="C1846" t="s">
        <v>371</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Data_Completeness(LifeExpectancyData[[#This Row],[Life expectancy]:[Schooling]])</f>
        <v>0</v>
      </c>
    </row>
    <row r="1847" spans="1:23" x14ac:dyDescent="0.25">
      <c r="A1847" t="s">
        <v>484</v>
      </c>
      <c r="B1847">
        <v>2015</v>
      </c>
      <c r="C1847" t="s">
        <v>371</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Data_Completeness(LifeExpectancyData[[#This Row],[Life expectancy]:[Schooling]])</f>
        <v>0</v>
      </c>
    </row>
    <row r="1848" spans="1:23" x14ac:dyDescent="0.25">
      <c r="A1848" t="s">
        <v>484</v>
      </c>
      <c r="B1848">
        <v>2014</v>
      </c>
      <c r="C1848" t="s">
        <v>371</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Data_Completeness(LifeExpectancyData[[#This Row],[Life expectancy]:[Schooling]])</f>
        <v>0</v>
      </c>
    </row>
    <row r="1849" spans="1:23" x14ac:dyDescent="0.25">
      <c r="A1849" t="s">
        <v>484</v>
      </c>
      <c r="B1849">
        <v>2013</v>
      </c>
      <c r="C1849" t="s">
        <v>371</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Data_Completeness(LifeExpectancyData[[#This Row],[Life expectancy]:[Schooling]])</f>
        <v>0</v>
      </c>
    </row>
    <row r="1850" spans="1:23" x14ac:dyDescent="0.25">
      <c r="A1850" t="s">
        <v>484</v>
      </c>
      <c r="B1850">
        <v>2012</v>
      </c>
      <c r="C1850" t="s">
        <v>371</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Data_Completeness(LifeExpectancyData[[#This Row],[Life expectancy]:[Schooling]])</f>
        <v>0</v>
      </c>
    </row>
    <row r="1851" spans="1:23" x14ac:dyDescent="0.25">
      <c r="A1851" t="s">
        <v>484</v>
      </c>
      <c r="B1851">
        <v>2011</v>
      </c>
      <c r="C1851" t="s">
        <v>371</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Data_Completeness(LifeExpectancyData[[#This Row],[Life expectancy]:[Schooling]])</f>
        <v>0</v>
      </c>
    </row>
    <row r="1852" spans="1:23" x14ac:dyDescent="0.25">
      <c r="A1852" t="s">
        <v>484</v>
      </c>
      <c r="B1852">
        <v>2010</v>
      </c>
      <c r="C1852" t="s">
        <v>371</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Data_Completeness(LifeExpectancyData[[#This Row],[Life expectancy]:[Schooling]])</f>
        <v>0</v>
      </c>
    </row>
    <row r="1853" spans="1:23" x14ac:dyDescent="0.25">
      <c r="A1853" t="s">
        <v>484</v>
      </c>
      <c r="B1853">
        <v>2009</v>
      </c>
      <c r="C1853" t="s">
        <v>371</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Data_Completeness(LifeExpectancyData[[#This Row],[Life expectancy]:[Schooling]])</f>
        <v>0</v>
      </c>
    </row>
    <row r="1854" spans="1:23" x14ac:dyDescent="0.25">
      <c r="A1854" t="s">
        <v>484</v>
      </c>
      <c r="B1854">
        <v>2008</v>
      </c>
      <c r="C1854" t="s">
        <v>371</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Data_Completeness(LifeExpectancyData[[#This Row],[Life expectancy]:[Schooling]])</f>
        <v>0</v>
      </c>
    </row>
    <row r="1855" spans="1:23" x14ac:dyDescent="0.25">
      <c r="A1855" t="s">
        <v>484</v>
      </c>
      <c r="B1855">
        <v>2007</v>
      </c>
      <c r="C1855" t="s">
        <v>371</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Data_Completeness(LifeExpectancyData[[#This Row],[Life expectancy]:[Schooling]])</f>
        <v>0</v>
      </c>
    </row>
    <row r="1856" spans="1:23" x14ac:dyDescent="0.25">
      <c r="A1856" t="s">
        <v>484</v>
      </c>
      <c r="B1856">
        <v>2006</v>
      </c>
      <c r="C1856" t="s">
        <v>371</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Data_Completeness(LifeExpectancyData[[#This Row],[Life expectancy]:[Schooling]])</f>
        <v>0</v>
      </c>
    </row>
    <row r="1857" spans="1:23" x14ac:dyDescent="0.25">
      <c r="A1857" t="s">
        <v>484</v>
      </c>
      <c r="B1857">
        <v>2005</v>
      </c>
      <c r="C1857" t="s">
        <v>371</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Data_Completeness(LifeExpectancyData[[#This Row],[Life expectancy]:[Schooling]])</f>
        <v>0</v>
      </c>
    </row>
    <row r="1858" spans="1:23" x14ac:dyDescent="0.25">
      <c r="A1858" t="s">
        <v>484</v>
      </c>
      <c r="B1858">
        <v>2004</v>
      </c>
      <c r="C1858" t="s">
        <v>371</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Data_Completeness(LifeExpectancyData[[#This Row],[Life expectancy]:[Schooling]])</f>
        <v>0</v>
      </c>
    </row>
    <row r="1859" spans="1:23" x14ac:dyDescent="0.25">
      <c r="A1859" t="s">
        <v>484</v>
      </c>
      <c r="B1859">
        <v>2003</v>
      </c>
      <c r="C1859" t="s">
        <v>371</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Data_Completeness(LifeExpectancyData[[#This Row],[Life expectancy]:[Schooling]])</f>
        <v>0</v>
      </c>
    </row>
    <row r="1860" spans="1:23" x14ac:dyDescent="0.25">
      <c r="A1860" t="s">
        <v>484</v>
      </c>
      <c r="B1860">
        <v>2002</v>
      </c>
      <c r="C1860" t="s">
        <v>371</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Data_Completeness(LifeExpectancyData[[#This Row],[Life expectancy]:[Schooling]])</f>
        <v>0</v>
      </c>
    </row>
    <row r="1861" spans="1:23" x14ac:dyDescent="0.25">
      <c r="A1861" t="s">
        <v>484</v>
      </c>
      <c r="B1861">
        <v>2001</v>
      </c>
      <c r="C1861" t="s">
        <v>371</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Data_Completeness(LifeExpectancyData[[#This Row],[Life expectancy]:[Schooling]])</f>
        <v>0</v>
      </c>
    </row>
    <row r="1862" spans="1:23" x14ac:dyDescent="0.25">
      <c r="A1862" t="s">
        <v>484</v>
      </c>
      <c r="B1862">
        <v>2000</v>
      </c>
      <c r="C1862" t="s">
        <v>371</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Data_Completeness(LifeExpectancyData[[#This Row],[Life expectancy]:[Schooling]])</f>
        <v>0</v>
      </c>
    </row>
    <row r="1863" spans="1:23" x14ac:dyDescent="0.25">
      <c r="A1863" t="s">
        <v>485</v>
      </c>
      <c r="B1863">
        <v>2015</v>
      </c>
      <c r="C1863" t="s">
        <v>363</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Data_Completeness(LifeExpectancyData[[#This Row],[Life expectancy]:[Schooling]])</f>
        <v>0</v>
      </c>
    </row>
    <row r="1864" spans="1:23" x14ac:dyDescent="0.25">
      <c r="A1864" t="s">
        <v>485</v>
      </c>
      <c r="B1864">
        <v>2014</v>
      </c>
      <c r="C1864" t="s">
        <v>363</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Data_Completeness(LifeExpectancyData[[#This Row],[Life expectancy]:[Schooling]])</f>
        <v>1</v>
      </c>
    </row>
    <row r="1865" spans="1:23" x14ac:dyDescent="0.25">
      <c r="A1865" t="s">
        <v>485</v>
      </c>
      <c r="B1865">
        <v>2013</v>
      </c>
      <c r="C1865" t="s">
        <v>363</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Data_Completeness(LifeExpectancyData[[#This Row],[Life expectancy]:[Schooling]])</f>
        <v>1</v>
      </c>
    </row>
    <row r="1866" spans="1:23" x14ac:dyDescent="0.25">
      <c r="A1866" t="s">
        <v>485</v>
      </c>
      <c r="B1866">
        <v>2012</v>
      </c>
      <c r="C1866" t="s">
        <v>363</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Data_Completeness(LifeExpectancyData[[#This Row],[Life expectancy]:[Schooling]])</f>
        <v>1</v>
      </c>
    </row>
    <row r="1867" spans="1:23" x14ac:dyDescent="0.25">
      <c r="A1867" t="s">
        <v>485</v>
      </c>
      <c r="B1867">
        <v>2011</v>
      </c>
      <c r="C1867" t="s">
        <v>363</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Data_Completeness(LifeExpectancyData[[#This Row],[Life expectancy]:[Schooling]])</f>
        <v>1</v>
      </c>
    </row>
    <row r="1868" spans="1:23" x14ac:dyDescent="0.25">
      <c r="A1868" t="s">
        <v>485</v>
      </c>
      <c r="B1868">
        <v>2010</v>
      </c>
      <c r="C1868" t="s">
        <v>363</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Data_Completeness(LifeExpectancyData[[#This Row],[Life expectancy]:[Schooling]])</f>
        <v>1</v>
      </c>
    </row>
    <row r="1869" spans="1:23" x14ac:dyDescent="0.25">
      <c r="A1869" t="s">
        <v>485</v>
      </c>
      <c r="B1869">
        <v>2009</v>
      </c>
      <c r="C1869" t="s">
        <v>363</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Data_Completeness(LifeExpectancyData[[#This Row],[Life expectancy]:[Schooling]])</f>
        <v>1</v>
      </c>
    </row>
    <row r="1870" spans="1:23" x14ac:dyDescent="0.25">
      <c r="A1870" t="s">
        <v>485</v>
      </c>
      <c r="B1870">
        <v>2008</v>
      </c>
      <c r="C1870" t="s">
        <v>363</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Data_Completeness(LifeExpectancyData[[#This Row],[Life expectancy]:[Schooling]])</f>
        <v>1</v>
      </c>
    </row>
    <row r="1871" spans="1:23" x14ac:dyDescent="0.25">
      <c r="A1871" t="s">
        <v>485</v>
      </c>
      <c r="B1871">
        <v>2007</v>
      </c>
      <c r="C1871" t="s">
        <v>363</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Data_Completeness(LifeExpectancyData[[#This Row],[Life expectancy]:[Schooling]])</f>
        <v>1</v>
      </c>
    </row>
    <row r="1872" spans="1:23" x14ac:dyDescent="0.25">
      <c r="A1872" t="s">
        <v>485</v>
      </c>
      <c r="B1872">
        <v>2006</v>
      </c>
      <c r="C1872" t="s">
        <v>363</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Data_Completeness(LifeExpectancyData[[#This Row],[Life expectancy]:[Schooling]])</f>
        <v>1</v>
      </c>
    </row>
    <row r="1873" spans="1:23" x14ac:dyDescent="0.25">
      <c r="A1873" t="s">
        <v>485</v>
      </c>
      <c r="B1873">
        <v>2005</v>
      </c>
      <c r="C1873" t="s">
        <v>363</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Data_Completeness(LifeExpectancyData[[#This Row],[Life expectancy]:[Schooling]])</f>
        <v>1</v>
      </c>
    </row>
    <row r="1874" spans="1:23" x14ac:dyDescent="0.25">
      <c r="A1874" t="s">
        <v>485</v>
      </c>
      <c r="B1874">
        <v>2004</v>
      </c>
      <c r="C1874" t="s">
        <v>363</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Data_Completeness(LifeExpectancyData[[#This Row],[Life expectancy]:[Schooling]])</f>
        <v>1</v>
      </c>
    </row>
    <row r="1875" spans="1:23" x14ac:dyDescent="0.25">
      <c r="A1875" t="s">
        <v>485</v>
      </c>
      <c r="B1875">
        <v>2003</v>
      </c>
      <c r="C1875" t="s">
        <v>363</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Data_Completeness(LifeExpectancyData[[#This Row],[Life expectancy]:[Schooling]])</f>
        <v>1</v>
      </c>
    </row>
    <row r="1876" spans="1:23" x14ac:dyDescent="0.25">
      <c r="A1876" t="s">
        <v>485</v>
      </c>
      <c r="B1876">
        <v>2002</v>
      </c>
      <c r="C1876" t="s">
        <v>363</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Data_Completeness(LifeExpectancyData[[#This Row],[Life expectancy]:[Schooling]])</f>
        <v>1</v>
      </c>
    </row>
    <row r="1877" spans="1:23" x14ac:dyDescent="0.25">
      <c r="A1877" t="s">
        <v>485</v>
      </c>
      <c r="B1877">
        <v>2001</v>
      </c>
      <c r="C1877" t="s">
        <v>363</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Data_Completeness(LifeExpectancyData[[#This Row],[Life expectancy]:[Schooling]])</f>
        <v>1</v>
      </c>
    </row>
    <row r="1878" spans="1:23" x14ac:dyDescent="0.25">
      <c r="A1878" t="s">
        <v>485</v>
      </c>
      <c r="B1878">
        <v>2000</v>
      </c>
      <c r="C1878" t="s">
        <v>363</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Data_Completeness(LifeExpectancyData[[#This Row],[Life expectancy]:[Schooling]])</f>
        <v>1</v>
      </c>
    </row>
    <row r="1879" spans="1:23" x14ac:dyDescent="0.25">
      <c r="A1879" t="s">
        <v>486</v>
      </c>
      <c r="B1879">
        <v>2015</v>
      </c>
      <c r="C1879" t="s">
        <v>363</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Data_Completeness(LifeExpectancyData[[#This Row],[Life expectancy]:[Schooling]])</f>
        <v>0</v>
      </c>
    </row>
    <row r="1880" spans="1:23" x14ac:dyDescent="0.25">
      <c r="A1880" t="s">
        <v>486</v>
      </c>
      <c r="B1880">
        <v>2014</v>
      </c>
      <c r="C1880" t="s">
        <v>363</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Data_Completeness(LifeExpectancyData[[#This Row],[Life expectancy]:[Schooling]])</f>
        <v>1</v>
      </c>
    </row>
    <row r="1881" spans="1:23" x14ac:dyDescent="0.25">
      <c r="A1881" t="s">
        <v>486</v>
      </c>
      <c r="B1881">
        <v>2013</v>
      </c>
      <c r="C1881" t="s">
        <v>363</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Data_Completeness(LifeExpectancyData[[#This Row],[Life expectancy]:[Schooling]])</f>
        <v>1</v>
      </c>
    </row>
    <row r="1882" spans="1:23" x14ac:dyDescent="0.25">
      <c r="A1882" t="s">
        <v>486</v>
      </c>
      <c r="B1882">
        <v>2012</v>
      </c>
      <c r="C1882" t="s">
        <v>363</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Data_Completeness(LifeExpectancyData[[#This Row],[Life expectancy]:[Schooling]])</f>
        <v>1</v>
      </c>
    </row>
    <row r="1883" spans="1:23" x14ac:dyDescent="0.25">
      <c r="A1883" t="s">
        <v>486</v>
      </c>
      <c r="B1883">
        <v>2011</v>
      </c>
      <c r="C1883" t="s">
        <v>363</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Data_Completeness(LifeExpectancyData[[#This Row],[Life expectancy]:[Schooling]])</f>
        <v>1</v>
      </c>
    </row>
    <row r="1884" spans="1:23" x14ac:dyDescent="0.25">
      <c r="A1884" t="s">
        <v>486</v>
      </c>
      <c r="B1884">
        <v>2010</v>
      </c>
      <c r="C1884" t="s">
        <v>363</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Data_Completeness(LifeExpectancyData[[#This Row],[Life expectancy]:[Schooling]])</f>
        <v>1</v>
      </c>
    </row>
    <row r="1885" spans="1:23" x14ac:dyDescent="0.25">
      <c r="A1885" t="s">
        <v>486</v>
      </c>
      <c r="B1885">
        <v>2009</v>
      </c>
      <c r="C1885" t="s">
        <v>363</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Data_Completeness(LifeExpectancyData[[#This Row],[Life expectancy]:[Schooling]])</f>
        <v>1</v>
      </c>
    </row>
    <row r="1886" spans="1:23" x14ac:dyDescent="0.25">
      <c r="A1886" t="s">
        <v>486</v>
      </c>
      <c r="B1886">
        <v>2008</v>
      </c>
      <c r="C1886" t="s">
        <v>363</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Data_Completeness(LifeExpectancyData[[#This Row],[Life expectancy]:[Schooling]])</f>
        <v>0</v>
      </c>
    </row>
    <row r="1887" spans="1:23" x14ac:dyDescent="0.25">
      <c r="A1887" t="s">
        <v>486</v>
      </c>
      <c r="B1887">
        <v>2007</v>
      </c>
      <c r="C1887" t="s">
        <v>363</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Data_Completeness(LifeExpectancyData[[#This Row],[Life expectancy]:[Schooling]])</f>
        <v>0</v>
      </c>
    </row>
    <row r="1888" spans="1:23" x14ac:dyDescent="0.25">
      <c r="A1888" t="s">
        <v>486</v>
      </c>
      <c r="B1888">
        <v>2006</v>
      </c>
      <c r="C1888" t="s">
        <v>363</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Data_Completeness(LifeExpectancyData[[#This Row],[Life expectancy]:[Schooling]])</f>
        <v>0</v>
      </c>
    </row>
    <row r="1889" spans="1:23" x14ac:dyDescent="0.25">
      <c r="A1889" t="s">
        <v>486</v>
      </c>
      <c r="B1889">
        <v>2005</v>
      </c>
      <c r="C1889" t="s">
        <v>363</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Data_Completeness(LifeExpectancyData[[#This Row],[Life expectancy]:[Schooling]])</f>
        <v>0</v>
      </c>
    </row>
    <row r="1890" spans="1:23" x14ac:dyDescent="0.25">
      <c r="A1890" t="s">
        <v>486</v>
      </c>
      <c r="B1890">
        <v>2004</v>
      </c>
      <c r="C1890" t="s">
        <v>363</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Data_Completeness(LifeExpectancyData[[#This Row],[Life expectancy]:[Schooling]])</f>
        <v>0</v>
      </c>
    </row>
    <row r="1891" spans="1:23" x14ac:dyDescent="0.25">
      <c r="A1891" t="s">
        <v>486</v>
      </c>
      <c r="B1891">
        <v>2003</v>
      </c>
      <c r="C1891" t="s">
        <v>363</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Data_Completeness(LifeExpectancyData[[#This Row],[Life expectancy]:[Schooling]])</f>
        <v>0</v>
      </c>
    </row>
    <row r="1892" spans="1:23" x14ac:dyDescent="0.25">
      <c r="A1892" t="s">
        <v>486</v>
      </c>
      <c r="B1892">
        <v>2002</v>
      </c>
      <c r="C1892" t="s">
        <v>363</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Data_Completeness(LifeExpectancyData[[#This Row],[Life expectancy]:[Schooling]])</f>
        <v>0</v>
      </c>
    </row>
    <row r="1893" spans="1:23" x14ac:dyDescent="0.25">
      <c r="A1893" t="s">
        <v>486</v>
      </c>
      <c r="B1893">
        <v>2001</v>
      </c>
      <c r="C1893" t="s">
        <v>363</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Data_Completeness(LifeExpectancyData[[#This Row],[Life expectancy]:[Schooling]])</f>
        <v>0</v>
      </c>
    </row>
    <row r="1894" spans="1:23" x14ac:dyDescent="0.25">
      <c r="A1894" t="s">
        <v>486</v>
      </c>
      <c r="B1894">
        <v>2000</v>
      </c>
      <c r="C1894" t="s">
        <v>363</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Data_Completeness(LifeExpectancyData[[#This Row],[Life expectancy]:[Schooling]])</f>
        <v>0</v>
      </c>
    </row>
    <row r="1895" spans="1:23" x14ac:dyDescent="0.25">
      <c r="A1895" t="s">
        <v>487</v>
      </c>
      <c r="B1895">
        <v>2015</v>
      </c>
      <c r="C1895" t="s">
        <v>363</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Data_Completeness(LifeExpectancyData[[#This Row],[Life expectancy]:[Schooling]])</f>
        <v>0</v>
      </c>
    </row>
    <row r="1896" spans="1:23" x14ac:dyDescent="0.25">
      <c r="A1896" t="s">
        <v>487</v>
      </c>
      <c r="B1896">
        <v>2014</v>
      </c>
      <c r="C1896" t="s">
        <v>363</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Data_Completeness(LifeExpectancyData[[#This Row],[Life expectancy]:[Schooling]])</f>
        <v>1</v>
      </c>
    </row>
    <row r="1897" spans="1:23" x14ac:dyDescent="0.25">
      <c r="A1897" t="s">
        <v>487</v>
      </c>
      <c r="B1897">
        <v>2013</v>
      </c>
      <c r="C1897" t="s">
        <v>363</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Data_Completeness(LifeExpectancyData[[#This Row],[Life expectancy]:[Schooling]])</f>
        <v>1</v>
      </c>
    </row>
    <row r="1898" spans="1:23" x14ac:dyDescent="0.25">
      <c r="A1898" t="s">
        <v>487</v>
      </c>
      <c r="B1898">
        <v>2012</v>
      </c>
      <c r="C1898" t="s">
        <v>363</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Data_Completeness(LifeExpectancyData[[#This Row],[Life expectancy]:[Schooling]])</f>
        <v>1</v>
      </c>
    </row>
    <row r="1899" spans="1:23" x14ac:dyDescent="0.25">
      <c r="A1899" t="s">
        <v>487</v>
      </c>
      <c r="B1899">
        <v>2011</v>
      </c>
      <c r="C1899" t="s">
        <v>363</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Data_Completeness(LifeExpectancyData[[#This Row],[Life expectancy]:[Schooling]])</f>
        <v>1</v>
      </c>
    </row>
    <row r="1900" spans="1:23" x14ac:dyDescent="0.25">
      <c r="A1900" t="s">
        <v>487</v>
      </c>
      <c r="B1900">
        <v>2010</v>
      </c>
      <c r="C1900" t="s">
        <v>363</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Data_Completeness(LifeExpectancyData[[#This Row],[Life expectancy]:[Schooling]])</f>
        <v>1</v>
      </c>
    </row>
    <row r="1901" spans="1:23" x14ac:dyDescent="0.25">
      <c r="A1901" t="s">
        <v>487</v>
      </c>
      <c r="B1901">
        <v>2009</v>
      </c>
      <c r="C1901" t="s">
        <v>363</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Data_Completeness(LifeExpectancyData[[#This Row],[Life expectancy]:[Schooling]])</f>
        <v>1</v>
      </c>
    </row>
    <row r="1902" spans="1:23" x14ac:dyDescent="0.25">
      <c r="A1902" t="s">
        <v>487</v>
      </c>
      <c r="B1902">
        <v>2008</v>
      </c>
      <c r="C1902" t="s">
        <v>363</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Data_Completeness(LifeExpectancyData[[#This Row],[Life expectancy]:[Schooling]])</f>
        <v>1</v>
      </c>
    </row>
    <row r="1903" spans="1:23" x14ac:dyDescent="0.25">
      <c r="A1903" t="s">
        <v>487</v>
      </c>
      <c r="B1903">
        <v>2007</v>
      </c>
      <c r="C1903" t="s">
        <v>363</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Data_Completeness(LifeExpectancyData[[#This Row],[Life expectancy]:[Schooling]])</f>
        <v>1</v>
      </c>
    </row>
    <row r="1904" spans="1:23" x14ac:dyDescent="0.25">
      <c r="A1904" t="s">
        <v>487</v>
      </c>
      <c r="B1904">
        <v>2006</v>
      </c>
      <c r="C1904" t="s">
        <v>363</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Data_Completeness(LifeExpectancyData[[#This Row],[Life expectancy]:[Schooling]])</f>
        <v>1</v>
      </c>
    </row>
    <row r="1905" spans="1:23" x14ac:dyDescent="0.25">
      <c r="A1905" t="s">
        <v>487</v>
      </c>
      <c r="B1905">
        <v>2005</v>
      </c>
      <c r="C1905" t="s">
        <v>363</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Data_Completeness(LifeExpectancyData[[#This Row],[Life expectancy]:[Schooling]])</f>
        <v>1</v>
      </c>
    </row>
    <row r="1906" spans="1:23" x14ac:dyDescent="0.25">
      <c r="A1906" t="s">
        <v>487</v>
      </c>
      <c r="B1906">
        <v>2004</v>
      </c>
      <c r="C1906" t="s">
        <v>363</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Data_Completeness(LifeExpectancyData[[#This Row],[Life expectancy]:[Schooling]])</f>
        <v>0</v>
      </c>
    </row>
    <row r="1907" spans="1:23" x14ac:dyDescent="0.25">
      <c r="A1907" t="s">
        <v>487</v>
      </c>
      <c r="B1907">
        <v>2003</v>
      </c>
      <c r="C1907" t="s">
        <v>363</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Data_Completeness(LifeExpectancyData[[#This Row],[Life expectancy]:[Schooling]])</f>
        <v>0</v>
      </c>
    </row>
    <row r="1908" spans="1:23" x14ac:dyDescent="0.25">
      <c r="A1908" t="s">
        <v>487</v>
      </c>
      <c r="B1908">
        <v>2002</v>
      </c>
      <c r="C1908" t="s">
        <v>363</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Data_Completeness(LifeExpectancyData[[#This Row],[Life expectancy]:[Schooling]])</f>
        <v>0</v>
      </c>
    </row>
    <row r="1909" spans="1:23" x14ac:dyDescent="0.25">
      <c r="A1909" t="s">
        <v>487</v>
      </c>
      <c r="B1909">
        <v>2001</v>
      </c>
      <c r="C1909" t="s">
        <v>363</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Data_Completeness(LifeExpectancyData[[#This Row],[Life expectancy]:[Schooling]])</f>
        <v>0</v>
      </c>
    </row>
    <row r="1910" spans="1:23" x14ac:dyDescent="0.25">
      <c r="A1910" t="s">
        <v>487</v>
      </c>
      <c r="B1910">
        <v>2000</v>
      </c>
      <c r="C1910" t="s">
        <v>363</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Data_Completeness(LifeExpectancyData[[#This Row],[Life expectancy]:[Schooling]])</f>
        <v>0</v>
      </c>
    </row>
    <row r="1911" spans="1:23" x14ac:dyDescent="0.25">
      <c r="A1911" t="s">
        <v>488</v>
      </c>
      <c r="B1911">
        <v>2013</v>
      </c>
      <c r="C1911" t="s">
        <v>363</v>
      </c>
      <c r="F1911">
        <v>0</v>
      </c>
      <c r="G1911">
        <v>0.01</v>
      </c>
      <c r="H1911">
        <v>0</v>
      </c>
      <c r="I1911">
        <v>99</v>
      </c>
      <c r="J1911">
        <v>0</v>
      </c>
      <c r="K1911">
        <v>77.3</v>
      </c>
      <c r="L1911">
        <v>0</v>
      </c>
      <c r="M1911">
        <v>99</v>
      </c>
      <c r="N1911">
        <v>7.2</v>
      </c>
      <c r="O1911">
        <v>99</v>
      </c>
      <c r="P1911">
        <v>0.1</v>
      </c>
      <c r="S1911">
        <v>0.1</v>
      </c>
      <c r="T1911">
        <v>0.1</v>
      </c>
      <c r="W1911" t="b">
        <f>Data_Completeness(LifeExpectancyData[[#This Row],[Life expectancy]:[Schooling]])</f>
        <v>0</v>
      </c>
    </row>
    <row r="1912" spans="1:23" x14ac:dyDescent="0.25">
      <c r="A1912" t="s">
        <v>489</v>
      </c>
      <c r="B1912">
        <v>2015</v>
      </c>
      <c r="C1912" t="s">
        <v>371</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Data_Completeness(LifeExpectancyData[[#This Row],[Life expectancy]:[Schooling]])</f>
        <v>0</v>
      </c>
    </row>
    <row r="1913" spans="1:23" x14ac:dyDescent="0.25">
      <c r="A1913" t="s">
        <v>489</v>
      </c>
      <c r="B1913">
        <v>2014</v>
      </c>
      <c r="C1913" t="s">
        <v>371</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Data_Completeness(LifeExpectancyData[[#This Row],[Life expectancy]:[Schooling]])</f>
        <v>0</v>
      </c>
    </row>
    <row r="1914" spans="1:23" x14ac:dyDescent="0.25">
      <c r="A1914" t="s">
        <v>489</v>
      </c>
      <c r="B1914">
        <v>2013</v>
      </c>
      <c r="C1914" t="s">
        <v>371</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Data_Completeness(LifeExpectancyData[[#This Row],[Life expectancy]:[Schooling]])</f>
        <v>0</v>
      </c>
    </row>
    <row r="1915" spans="1:23" x14ac:dyDescent="0.25">
      <c r="A1915" t="s">
        <v>489</v>
      </c>
      <c r="B1915">
        <v>2012</v>
      </c>
      <c r="C1915" t="s">
        <v>371</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Data_Completeness(LifeExpectancyData[[#This Row],[Life expectancy]:[Schooling]])</f>
        <v>0</v>
      </c>
    </row>
    <row r="1916" spans="1:23" x14ac:dyDescent="0.25">
      <c r="A1916" t="s">
        <v>489</v>
      </c>
      <c r="B1916">
        <v>2011</v>
      </c>
      <c r="C1916" t="s">
        <v>371</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Data_Completeness(LifeExpectancyData[[#This Row],[Life expectancy]:[Schooling]])</f>
        <v>0</v>
      </c>
    </row>
    <row r="1917" spans="1:23" x14ac:dyDescent="0.25">
      <c r="A1917" t="s">
        <v>489</v>
      </c>
      <c r="B1917">
        <v>2010</v>
      </c>
      <c r="C1917" t="s">
        <v>371</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Data_Completeness(LifeExpectancyData[[#This Row],[Life expectancy]:[Schooling]])</f>
        <v>0</v>
      </c>
    </row>
    <row r="1918" spans="1:23" x14ac:dyDescent="0.25">
      <c r="A1918" t="s">
        <v>489</v>
      </c>
      <c r="B1918">
        <v>2009</v>
      </c>
      <c r="C1918" t="s">
        <v>371</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Data_Completeness(LifeExpectancyData[[#This Row],[Life expectancy]:[Schooling]])</f>
        <v>0</v>
      </c>
    </row>
    <row r="1919" spans="1:23" x14ac:dyDescent="0.25">
      <c r="A1919" t="s">
        <v>489</v>
      </c>
      <c r="B1919">
        <v>2008</v>
      </c>
      <c r="C1919" t="s">
        <v>371</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Data_Completeness(LifeExpectancyData[[#This Row],[Life expectancy]:[Schooling]])</f>
        <v>0</v>
      </c>
    </row>
    <row r="1920" spans="1:23" x14ac:dyDescent="0.25">
      <c r="A1920" t="s">
        <v>489</v>
      </c>
      <c r="B1920">
        <v>2007</v>
      </c>
      <c r="C1920" t="s">
        <v>371</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Data_Completeness(LifeExpectancyData[[#This Row],[Life expectancy]:[Schooling]])</f>
        <v>0</v>
      </c>
    </row>
    <row r="1921" spans="1:23" x14ac:dyDescent="0.25">
      <c r="A1921" t="s">
        <v>489</v>
      </c>
      <c r="B1921">
        <v>2006</v>
      </c>
      <c r="C1921" t="s">
        <v>371</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Data_Completeness(LifeExpectancyData[[#This Row],[Life expectancy]:[Schooling]])</f>
        <v>0</v>
      </c>
    </row>
    <row r="1922" spans="1:23" x14ac:dyDescent="0.25">
      <c r="A1922" t="s">
        <v>489</v>
      </c>
      <c r="B1922">
        <v>2005</v>
      </c>
      <c r="C1922" t="s">
        <v>371</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Data_Completeness(LifeExpectancyData[[#This Row],[Life expectancy]:[Schooling]])</f>
        <v>0</v>
      </c>
    </row>
    <row r="1923" spans="1:23" x14ac:dyDescent="0.25">
      <c r="A1923" t="s">
        <v>489</v>
      </c>
      <c r="B1923">
        <v>2004</v>
      </c>
      <c r="C1923" t="s">
        <v>371</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Data_Completeness(LifeExpectancyData[[#This Row],[Life expectancy]:[Schooling]])</f>
        <v>0</v>
      </c>
    </row>
    <row r="1924" spans="1:23" x14ac:dyDescent="0.25">
      <c r="A1924" t="s">
        <v>489</v>
      </c>
      <c r="B1924">
        <v>2003</v>
      </c>
      <c r="C1924" t="s">
        <v>371</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Data_Completeness(LifeExpectancyData[[#This Row],[Life expectancy]:[Schooling]])</f>
        <v>0</v>
      </c>
    </row>
    <row r="1925" spans="1:23" x14ac:dyDescent="0.25">
      <c r="A1925" t="s">
        <v>489</v>
      </c>
      <c r="B1925">
        <v>2002</v>
      </c>
      <c r="C1925" t="s">
        <v>371</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Data_Completeness(LifeExpectancyData[[#This Row],[Life expectancy]:[Schooling]])</f>
        <v>0</v>
      </c>
    </row>
    <row r="1926" spans="1:23" x14ac:dyDescent="0.25">
      <c r="A1926" t="s">
        <v>489</v>
      </c>
      <c r="B1926">
        <v>2001</v>
      </c>
      <c r="C1926" t="s">
        <v>371</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Data_Completeness(LifeExpectancyData[[#This Row],[Life expectancy]:[Schooling]])</f>
        <v>0</v>
      </c>
    </row>
    <row r="1927" spans="1:23" x14ac:dyDescent="0.25">
      <c r="A1927" t="s">
        <v>489</v>
      </c>
      <c r="B1927">
        <v>2000</v>
      </c>
      <c r="C1927" t="s">
        <v>371</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Data_Completeness(LifeExpectancyData[[#This Row],[Life expectancy]:[Schooling]])</f>
        <v>0</v>
      </c>
    </row>
    <row r="1928" spans="1:23" x14ac:dyDescent="0.25">
      <c r="A1928" t="s">
        <v>490</v>
      </c>
      <c r="B1928">
        <v>2015</v>
      </c>
      <c r="C1928" t="s">
        <v>363</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Data_Completeness(LifeExpectancyData[[#This Row],[Life expectancy]:[Schooling]])</f>
        <v>0</v>
      </c>
    </row>
    <row r="1929" spans="1:23" x14ac:dyDescent="0.25">
      <c r="A1929" t="s">
        <v>490</v>
      </c>
      <c r="B1929">
        <v>2014</v>
      </c>
      <c r="C1929" t="s">
        <v>363</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Data_Completeness(LifeExpectancyData[[#This Row],[Life expectancy]:[Schooling]])</f>
        <v>0</v>
      </c>
    </row>
    <row r="1930" spans="1:23" x14ac:dyDescent="0.25">
      <c r="A1930" t="s">
        <v>490</v>
      </c>
      <c r="B1930">
        <v>2013</v>
      </c>
      <c r="C1930" t="s">
        <v>363</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Data_Completeness(LifeExpectancyData[[#This Row],[Life expectancy]:[Schooling]])</f>
        <v>0</v>
      </c>
    </row>
    <row r="1931" spans="1:23" x14ac:dyDescent="0.25">
      <c r="A1931" t="s">
        <v>490</v>
      </c>
      <c r="B1931">
        <v>2012</v>
      </c>
      <c r="C1931" t="s">
        <v>363</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Data_Completeness(LifeExpectancyData[[#This Row],[Life expectancy]:[Schooling]])</f>
        <v>0</v>
      </c>
    </row>
    <row r="1932" spans="1:23" x14ac:dyDescent="0.25">
      <c r="A1932" t="s">
        <v>490</v>
      </c>
      <c r="B1932">
        <v>2011</v>
      </c>
      <c r="C1932" t="s">
        <v>363</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Data_Completeness(LifeExpectancyData[[#This Row],[Life expectancy]:[Schooling]])</f>
        <v>0</v>
      </c>
    </row>
    <row r="1933" spans="1:23" x14ac:dyDescent="0.25">
      <c r="A1933" t="s">
        <v>490</v>
      </c>
      <c r="B1933">
        <v>2010</v>
      </c>
      <c r="C1933" t="s">
        <v>363</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Data_Completeness(LifeExpectancyData[[#This Row],[Life expectancy]:[Schooling]])</f>
        <v>0</v>
      </c>
    </row>
    <row r="1934" spans="1:23" x14ac:dyDescent="0.25">
      <c r="A1934" t="s">
        <v>490</v>
      </c>
      <c r="B1934">
        <v>2009</v>
      </c>
      <c r="C1934" t="s">
        <v>363</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Data_Completeness(LifeExpectancyData[[#This Row],[Life expectancy]:[Schooling]])</f>
        <v>0</v>
      </c>
    </row>
    <row r="1935" spans="1:23" x14ac:dyDescent="0.25">
      <c r="A1935" t="s">
        <v>490</v>
      </c>
      <c r="B1935">
        <v>2008</v>
      </c>
      <c r="C1935" t="s">
        <v>363</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Data_Completeness(LifeExpectancyData[[#This Row],[Life expectancy]:[Schooling]])</f>
        <v>0</v>
      </c>
    </row>
    <row r="1936" spans="1:23" x14ac:dyDescent="0.25">
      <c r="A1936" t="s">
        <v>490</v>
      </c>
      <c r="B1936">
        <v>2007</v>
      </c>
      <c r="C1936" t="s">
        <v>363</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Data_Completeness(LifeExpectancyData[[#This Row],[Life expectancy]:[Schooling]])</f>
        <v>0</v>
      </c>
    </row>
    <row r="1937" spans="1:23" x14ac:dyDescent="0.25">
      <c r="A1937" t="s">
        <v>490</v>
      </c>
      <c r="B1937">
        <v>2006</v>
      </c>
      <c r="C1937" t="s">
        <v>363</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Data_Completeness(LifeExpectancyData[[#This Row],[Life expectancy]:[Schooling]])</f>
        <v>0</v>
      </c>
    </row>
    <row r="1938" spans="1:23" x14ac:dyDescent="0.25">
      <c r="A1938" t="s">
        <v>490</v>
      </c>
      <c r="B1938">
        <v>2005</v>
      </c>
      <c r="C1938" t="s">
        <v>363</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Data_Completeness(LifeExpectancyData[[#This Row],[Life expectancy]:[Schooling]])</f>
        <v>0</v>
      </c>
    </row>
    <row r="1939" spans="1:23" x14ac:dyDescent="0.25">
      <c r="A1939" t="s">
        <v>490</v>
      </c>
      <c r="B1939">
        <v>2004</v>
      </c>
      <c r="C1939" t="s">
        <v>363</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Data_Completeness(LifeExpectancyData[[#This Row],[Life expectancy]:[Schooling]])</f>
        <v>0</v>
      </c>
    </row>
    <row r="1940" spans="1:23" x14ac:dyDescent="0.25">
      <c r="A1940" t="s">
        <v>490</v>
      </c>
      <c r="B1940">
        <v>2003</v>
      </c>
      <c r="C1940" t="s">
        <v>363</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Data_Completeness(LifeExpectancyData[[#This Row],[Life expectancy]:[Schooling]])</f>
        <v>0</v>
      </c>
    </row>
    <row r="1941" spans="1:23" x14ac:dyDescent="0.25">
      <c r="A1941" t="s">
        <v>490</v>
      </c>
      <c r="B1941">
        <v>2002</v>
      </c>
      <c r="C1941" t="s">
        <v>363</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Data_Completeness(LifeExpectancyData[[#This Row],[Life expectancy]:[Schooling]])</f>
        <v>0</v>
      </c>
    </row>
    <row r="1942" spans="1:23" x14ac:dyDescent="0.25">
      <c r="A1942" t="s">
        <v>490</v>
      </c>
      <c r="B1942">
        <v>2001</v>
      </c>
      <c r="C1942" t="s">
        <v>363</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Data_Completeness(LifeExpectancyData[[#This Row],[Life expectancy]:[Schooling]])</f>
        <v>0</v>
      </c>
    </row>
    <row r="1943" spans="1:23" x14ac:dyDescent="0.25">
      <c r="A1943" t="s">
        <v>490</v>
      </c>
      <c r="B1943">
        <v>2000</v>
      </c>
      <c r="C1943" t="s">
        <v>363</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Data_Completeness(LifeExpectancyData[[#This Row],[Life expectancy]:[Schooling]])</f>
        <v>0</v>
      </c>
    </row>
    <row r="1944" spans="1:23" x14ac:dyDescent="0.25">
      <c r="A1944" t="s">
        <v>491</v>
      </c>
      <c r="B1944">
        <v>2015</v>
      </c>
      <c r="C1944" t="s">
        <v>363</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Data_Completeness(LifeExpectancyData[[#This Row],[Life expectancy]:[Schooling]])</f>
        <v>0</v>
      </c>
    </row>
    <row r="1945" spans="1:23" x14ac:dyDescent="0.25">
      <c r="A1945" t="s">
        <v>491</v>
      </c>
      <c r="B1945">
        <v>2014</v>
      </c>
      <c r="C1945" t="s">
        <v>363</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Data_Completeness(LifeExpectancyData[[#This Row],[Life expectancy]:[Schooling]])</f>
        <v>1</v>
      </c>
    </row>
    <row r="1946" spans="1:23" x14ac:dyDescent="0.25">
      <c r="A1946" t="s">
        <v>491</v>
      </c>
      <c r="B1946">
        <v>2013</v>
      </c>
      <c r="C1946" t="s">
        <v>363</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Data_Completeness(LifeExpectancyData[[#This Row],[Life expectancy]:[Schooling]])</f>
        <v>1</v>
      </c>
    </row>
    <row r="1947" spans="1:23" x14ac:dyDescent="0.25">
      <c r="A1947" t="s">
        <v>491</v>
      </c>
      <c r="B1947">
        <v>2012</v>
      </c>
      <c r="C1947" t="s">
        <v>363</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Data_Completeness(LifeExpectancyData[[#This Row],[Life expectancy]:[Schooling]])</f>
        <v>1</v>
      </c>
    </row>
    <row r="1948" spans="1:23" x14ac:dyDescent="0.25">
      <c r="A1948" t="s">
        <v>491</v>
      </c>
      <c r="B1948">
        <v>2011</v>
      </c>
      <c r="C1948" t="s">
        <v>363</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Data_Completeness(LifeExpectancyData[[#This Row],[Life expectancy]:[Schooling]])</f>
        <v>1</v>
      </c>
    </row>
    <row r="1949" spans="1:23" x14ac:dyDescent="0.25">
      <c r="A1949" t="s">
        <v>491</v>
      </c>
      <c r="B1949">
        <v>2010</v>
      </c>
      <c r="C1949" t="s">
        <v>363</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Data_Completeness(LifeExpectancyData[[#This Row],[Life expectancy]:[Schooling]])</f>
        <v>1</v>
      </c>
    </row>
    <row r="1950" spans="1:23" x14ac:dyDescent="0.25">
      <c r="A1950" t="s">
        <v>491</v>
      </c>
      <c r="B1950">
        <v>2009</v>
      </c>
      <c r="C1950" t="s">
        <v>363</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Data_Completeness(LifeExpectancyData[[#This Row],[Life expectancy]:[Schooling]])</f>
        <v>1</v>
      </c>
    </row>
    <row r="1951" spans="1:23" x14ac:dyDescent="0.25">
      <c r="A1951" t="s">
        <v>491</v>
      </c>
      <c r="B1951">
        <v>2008</v>
      </c>
      <c r="C1951" t="s">
        <v>363</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Data_Completeness(LifeExpectancyData[[#This Row],[Life expectancy]:[Schooling]])</f>
        <v>1</v>
      </c>
    </row>
    <row r="1952" spans="1:23" x14ac:dyDescent="0.25">
      <c r="A1952" t="s">
        <v>491</v>
      </c>
      <c r="B1952">
        <v>2007</v>
      </c>
      <c r="C1952" t="s">
        <v>363</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Data_Completeness(LifeExpectancyData[[#This Row],[Life expectancy]:[Schooling]])</f>
        <v>1</v>
      </c>
    </row>
    <row r="1953" spans="1:23" x14ac:dyDescent="0.25">
      <c r="A1953" t="s">
        <v>491</v>
      </c>
      <c r="B1953">
        <v>2006</v>
      </c>
      <c r="C1953" t="s">
        <v>363</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Data_Completeness(LifeExpectancyData[[#This Row],[Life expectancy]:[Schooling]])</f>
        <v>1</v>
      </c>
    </row>
    <row r="1954" spans="1:23" x14ac:dyDescent="0.25">
      <c r="A1954" t="s">
        <v>491</v>
      </c>
      <c r="B1954">
        <v>2005</v>
      </c>
      <c r="C1954" t="s">
        <v>363</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Data_Completeness(LifeExpectancyData[[#This Row],[Life expectancy]:[Schooling]])</f>
        <v>1</v>
      </c>
    </row>
    <row r="1955" spans="1:23" x14ac:dyDescent="0.25">
      <c r="A1955" t="s">
        <v>491</v>
      </c>
      <c r="B1955">
        <v>2004</v>
      </c>
      <c r="C1955" t="s">
        <v>363</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Data_Completeness(LifeExpectancyData[[#This Row],[Life expectancy]:[Schooling]])</f>
        <v>1</v>
      </c>
    </row>
    <row r="1956" spans="1:23" x14ac:dyDescent="0.25">
      <c r="A1956" t="s">
        <v>491</v>
      </c>
      <c r="B1956">
        <v>2003</v>
      </c>
      <c r="C1956" t="s">
        <v>363</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Data_Completeness(LifeExpectancyData[[#This Row],[Life expectancy]:[Schooling]])</f>
        <v>1</v>
      </c>
    </row>
    <row r="1957" spans="1:23" x14ac:dyDescent="0.25">
      <c r="A1957" t="s">
        <v>491</v>
      </c>
      <c r="B1957">
        <v>2002</v>
      </c>
      <c r="C1957" t="s">
        <v>363</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Data_Completeness(LifeExpectancyData[[#This Row],[Life expectancy]:[Schooling]])</f>
        <v>0</v>
      </c>
    </row>
    <row r="1958" spans="1:23" x14ac:dyDescent="0.25">
      <c r="A1958" t="s">
        <v>491</v>
      </c>
      <c r="B1958">
        <v>2001</v>
      </c>
      <c r="C1958" t="s">
        <v>363</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Data_Completeness(LifeExpectancyData[[#This Row],[Life expectancy]:[Schooling]])</f>
        <v>0</v>
      </c>
    </row>
    <row r="1959" spans="1:23" x14ac:dyDescent="0.25">
      <c r="A1959" t="s">
        <v>491</v>
      </c>
      <c r="B1959">
        <v>2000</v>
      </c>
      <c r="C1959" t="s">
        <v>363</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Data_Completeness(LifeExpectancyData[[#This Row],[Life expectancy]:[Schooling]])</f>
        <v>0</v>
      </c>
    </row>
    <row r="1960" spans="1:23" x14ac:dyDescent="0.25">
      <c r="A1960" t="s">
        <v>492</v>
      </c>
      <c r="B1960">
        <v>2013</v>
      </c>
      <c r="C1960" t="s">
        <v>363</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Data_Completeness(LifeExpectancyData[[#This Row],[Life expectancy]:[Schooling]])</f>
        <v>0</v>
      </c>
    </row>
    <row r="1961" spans="1:23" x14ac:dyDescent="0.25">
      <c r="A1961" t="s">
        <v>493</v>
      </c>
      <c r="B1961">
        <v>2015</v>
      </c>
      <c r="C1961" t="s">
        <v>363</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Data_Completeness(LifeExpectancyData[[#This Row],[Life expectancy]:[Schooling]])</f>
        <v>0</v>
      </c>
    </row>
    <row r="1962" spans="1:23" x14ac:dyDescent="0.25">
      <c r="A1962" t="s">
        <v>493</v>
      </c>
      <c r="B1962">
        <v>2014</v>
      </c>
      <c r="C1962" t="s">
        <v>363</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Data_Completeness(LifeExpectancyData[[#This Row],[Life expectancy]:[Schooling]])</f>
        <v>1</v>
      </c>
    </row>
    <row r="1963" spans="1:23" x14ac:dyDescent="0.25">
      <c r="A1963" t="s">
        <v>493</v>
      </c>
      <c r="B1963">
        <v>2013</v>
      </c>
      <c r="C1963" t="s">
        <v>363</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Data_Completeness(LifeExpectancyData[[#This Row],[Life expectancy]:[Schooling]])</f>
        <v>1</v>
      </c>
    </row>
    <row r="1964" spans="1:23" x14ac:dyDescent="0.25">
      <c r="A1964" t="s">
        <v>493</v>
      </c>
      <c r="B1964">
        <v>2012</v>
      </c>
      <c r="C1964" t="s">
        <v>363</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Data_Completeness(LifeExpectancyData[[#This Row],[Life expectancy]:[Schooling]])</f>
        <v>1</v>
      </c>
    </row>
    <row r="1965" spans="1:23" x14ac:dyDescent="0.25">
      <c r="A1965" t="s">
        <v>493</v>
      </c>
      <c r="B1965">
        <v>2011</v>
      </c>
      <c r="C1965" t="s">
        <v>363</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Data_Completeness(LifeExpectancyData[[#This Row],[Life expectancy]:[Schooling]])</f>
        <v>1</v>
      </c>
    </row>
    <row r="1966" spans="1:23" x14ac:dyDescent="0.25">
      <c r="A1966" t="s">
        <v>493</v>
      </c>
      <c r="B1966">
        <v>2010</v>
      </c>
      <c r="C1966" t="s">
        <v>363</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Data_Completeness(LifeExpectancyData[[#This Row],[Life expectancy]:[Schooling]])</f>
        <v>1</v>
      </c>
    </row>
    <row r="1967" spans="1:23" x14ac:dyDescent="0.25">
      <c r="A1967" t="s">
        <v>493</v>
      </c>
      <c r="B1967">
        <v>2009</v>
      </c>
      <c r="C1967" t="s">
        <v>363</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Data_Completeness(LifeExpectancyData[[#This Row],[Life expectancy]:[Schooling]])</f>
        <v>1</v>
      </c>
    </row>
    <row r="1968" spans="1:23" x14ac:dyDescent="0.25">
      <c r="A1968" t="s">
        <v>493</v>
      </c>
      <c r="B1968">
        <v>2008</v>
      </c>
      <c r="C1968" t="s">
        <v>363</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Data_Completeness(LifeExpectancyData[[#This Row],[Life expectancy]:[Schooling]])</f>
        <v>1</v>
      </c>
    </row>
    <row r="1969" spans="1:23" x14ac:dyDescent="0.25">
      <c r="A1969" t="s">
        <v>493</v>
      </c>
      <c r="B1969">
        <v>2007</v>
      </c>
      <c r="C1969" t="s">
        <v>363</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Data_Completeness(LifeExpectancyData[[#This Row],[Life expectancy]:[Schooling]])</f>
        <v>1</v>
      </c>
    </row>
    <row r="1970" spans="1:23" x14ac:dyDescent="0.25">
      <c r="A1970" t="s">
        <v>493</v>
      </c>
      <c r="B1970">
        <v>2006</v>
      </c>
      <c r="C1970" t="s">
        <v>363</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Data_Completeness(LifeExpectancyData[[#This Row],[Life expectancy]:[Schooling]])</f>
        <v>1</v>
      </c>
    </row>
    <row r="1971" spans="1:23" x14ac:dyDescent="0.25">
      <c r="A1971" t="s">
        <v>493</v>
      </c>
      <c r="B1971">
        <v>2005</v>
      </c>
      <c r="C1971" t="s">
        <v>363</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Data_Completeness(LifeExpectancyData[[#This Row],[Life expectancy]:[Schooling]])</f>
        <v>1</v>
      </c>
    </row>
    <row r="1972" spans="1:23" x14ac:dyDescent="0.25">
      <c r="A1972" t="s">
        <v>493</v>
      </c>
      <c r="B1972">
        <v>2004</v>
      </c>
      <c r="C1972" t="s">
        <v>363</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Data_Completeness(LifeExpectancyData[[#This Row],[Life expectancy]:[Schooling]])</f>
        <v>1</v>
      </c>
    </row>
    <row r="1973" spans="1:23" x14ac:dyDescent="0.25">
      <c r="A1973" t="s">
        <v>493</v>
      </c>
      <c r="B1973">
        <v>2003</v>
      </c>
      <c r="C1973" t="s">
        <v>363</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Data_Completeness(LifeExpectancyData[[#This Row],[Life expectancy]:[Schooling]])</f>
        <v>1</v>
      </c>
    </row>
    <row r="1974" spans="1:23" x14ac:dyDescent="0.25">
      <c r="A1974" t="s">
        <v>493</v>
      </c>
      <c r="B1974">
        <v>2002</v>
      </c>
      <c r="C1974" t="s">
        <v>363</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Data_Completeness(LifeExpectancyData[[#This Row],[Life expectancy]:[Schooling]])</f>
        <v>1</v>
      </c>
    </row>
    <row r="1975" spans="1:23" x14ac:dyDescent="0.25">
      <c r="A1975" t="s">
        <v>493</v>
      </c>
      <c r="B1975">
        <v>2001</v>
      </c>
      <c r="C1975" t="s">
        <v>363</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Data_Completeness(LifeExpectancyData[[#This Row],[Life expectancy]:[Schooling]])</f>
        <v>1</v>
      </c>
    </row>
    <row r="1976" spans="1:23" x14ac:dyDescent="0.25">
      <c r="A1976" t="s">
        <v>493</v>
      </c>
      <c r="B1976">
        <v>2000</v>
      </c>
      <c r="C1976" t="s">
        <v>363</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Data_Completeness(LifeExpectancyData[[#This Row],[Life expectancy]:[Schooling]])</f>
        <v>0</v>
      </c>
    </row>
    <row r="1977" spans="1:23" x14ac:dyDescent="0.25">
      <c r="A1977" t="s">
        <v>494</v>
      </c>
      <c r="B1977">
        <v>2015</v>
      </c>
      <c r="C1977" t="s">
        <v>363</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Data_Completeness(LifeExpectancyData[[#This Row],[Life expectancy]:[Schooling]])</f>
        <v>0</v>
      </c>
    </row>
    <row r="1978" spans="1:23" x14ac:dyDescent="0.25">
      <c r="A1978" t="s">
        <v>494</v>
      </c>
      <c r="B1978">
        <v>2014</v>
      </c>
      <c r="C1978" t="s">
        <v>363</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Data_Completeness(LifeExpectancyData[[#This Row],[Life expectancy]:[Schooling]])</f>
        <v>1</v>
      </c>
    </row>
    <row r="1979" spans="1:23" x14ac:dyDescent="0.25">
      <c r="A1979" t="s">
        <v>494</v>
      </c>
      <c r="B1979">
        <v>2013</v>
      </c>
      <c r="C1979" t="s">
        <v>363</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Data_Completeness(LifeExpectancyData[[#This Row],[Life expectancy]:[Schooling]])</f>
        <v>1</v>
      </c>
    </row>
    <row r="1980" spans="1:23" x14ac:dyDescent="0.25">
      <c r="A1980" t="s">
        <v>494</v>
      </c>
      <c r="B1980">
        <v>2012</v>
      </c>
      <c r="C1980" t="s">
        <v>363</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Data_Completeness(LifeExpectancyData[[#This Row],[Life expectancy]:[Schooling]])</f>
        <v>1</v>
      </c>
    </row>
    <row r="1981" spans="1:23" x14ac:dyDescent="0.25">
      <c r="A1981" t="s">
        <v>494</v>
      </c>
      <c r="B1981">
        <v>2011</v>
      </c>
      <c r="C1981" t="s">
        <v>363</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Data_Completeness(LifeExpectancyData[[#This Row],[Life expectancy]:[Schooling]])</f>
        <v>1</v>
      </c>
    </row>
    <row r="1982" spans="1:23" x14ac:dyDescent="0.25">
      <c r="A1982" t="s">
        <v>494</v>
      </c>
      <c r="B1982">
        <v>2010</v>
      </c>
      <c r="C1982" t="s">
        <v>363</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Data_Completeness(LifeExpectancyData[[#This Row],[Life expectancy]:[Schooling]])</f>
        <v>1</v>
      </c>
    </row>
    <row r="1983" spans="1:23" x14ac:dyDescent="0.25">
      <c r="A1983" t="s">
        <v>494</v>
      </c>
      <c r="B1983">
        <v>2009</v>
      </c>
      <c r="C1983" t="s">
        <v>363</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Data_Completeness(LifeExpectancyData[[#This Row],[Life expectancy]:[Schooling]])</f>
        <v>1</v>
      </c>
    </row>
    <row r="1984" spans="1:23" x14ac:dyDescent="0.25">
      <c r="A1984" t="s">
        <v>494</v>
      </c>
      <c r="B1984">
        <v>2008</v>
      </c>
      <c r="C1984" t="s">
        <v>363</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Data_Completeness(LifeExpectancyData[[#This Row],[Life expectancy]:[Schooling]])</f>
        <v>1</v>
      </c>
    </row>
    <row r="1985" spans="1:23" x14ac:dyDescent="0.25">
      <c r="A1985" t="s">
        <v>494</v>
      </c>
      <c r="B1985">
        <v>2007</v>
      </c>
      <c r="C1985" t="s">
        <v>363</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Data_Completeness(LifeExpectancyData[[#This Row],[Life expectancy]:[Schooling]])</f>
        <v>1</v>
      </c>
    </row>
    <row r="1986" spans="1:23" x14ac:dyDescent="0.25">
      <c r="A1986" t="s">
        <v>494</v>
      </c>
      <c r="B1986">
        <v>2006</v>
      </c>
      <c r="C1986" t="s">
        <v>363</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Data_Completeness(LifeExpectancyData[[#This Row],[Life expectancy]:[Schooling]])</f>
        <v>1</v>
      </c>
    </row>
    <row r="1987" spans="1:23" x14ac:dyDescent="0.25">
      <c r="A1987" t="s">
        <v>494</v>
      </c>
      <c r="B1987">
        <v>2005</v>
      </c>
      <c r="C1987" t="s">
        <v>363</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Data_Completeness(LifeExpectancyData[[#This Row],[Life expectancy]:[Schooling]])</f>
        <v>1</v>
      </c>
    </row>
    <row r="1988" spans="1:23" x14ac:dyDescent="0.25">
      <c r="A1988" t="s">
        <v>494</v>
      </c>
      <c r="B1988">
        <v>2004</v>
      </c>
      <c r="C1988" t="s">
        <v>363</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Data_Completeness(LifeExpectancyData[[#This Row],[Life expectancy]:[Schooling]])</f>
        <v>1</v>
      </c>
    </row>
    <row r="1989" spans="1:23" x14ac:dyDescent="0.25">
      <c r="A1989" t="s">
        <v>494</v>
      </c>
      <c r="B1989">
        <v>2003</v>
      </c>
      <c r="C1989" t="s">
        <v>363</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Data_Completeness(LifeExpectancyData[[#This Row],[Life expectancy]:[Schooling]])</f>
        <v>1</v>
      </c>
    </row>
    <row r="1990" spans="1:23" x14ac:dyDescent="0.25">
      <c r="A1990" t="s">
        <v>494</v>
      </c>
      <c r="B1990">
        <v>2002</v>
      </c>
      <c r="C1990" t="s">
        <v>363</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Data_Completeness(LifeExpectancyData[[#This Row],[Life expectancy]:[Schooling]])</f>
        <v>1</v>
      </c>
    </row>
    <row r="1991" spans="1:23" x14ac:dyDescent="0.25">
      <c r="A1991" t="s">
        <v>494</v>
      </c>
      <c r="B1991">
        <v>2001</v>
      </c>
      <c r="C1991" t="s">
        <v>363</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Data_Completeness(LifeExpectancyData[[#This Row],[Life expectancy]:[Schooling]])</f>
        <v>1</v>
      </c>
    </row>
    <row r="1992" spans="1:23" x14ac:dyDescent="0.25">
      <c r="A1992" t="s">
        <v>494</v>
      </c>
      <c r="B1992">
        <v>2000</v>
      </c>
      <c r="C1992" t="s">
        <v>363</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Data_Completeness(LifeExpectancyData[[#This Row],[Life expectancy]:[Schooling]])</f>
        <v>1</v>
      </c>
    </row>
    <row r="1993" spans="1:23" x14ac:dyDescent="0.25">
      <c r="A1993" t="s">
        <v>495</v>
      </c>
      <c r="B1993">
        <v>2015</v>
      </c>
      <c r="C1993" t="s">
        <v>363</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Data_Completeness(LifeExpectancyData[[#This Row],[Life expectancy]:[Schooling]])</f>
        <v>0</v>
      </c>
    </row>
    <row r="1994" spans="1:23" x14ac:dyDescent="0.25">
      <c r="A1994" t="s">
        <v>495</v>
      </c>
      <c r="B1994">
        <v>2014</v>
      </c>
      <c r="C1994" t="s">
        <v>363</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Data_Completeness(LifeExpectancyData[[#This Row],[Life expectancy]:[Schooling]])</f>
        <v>1</v>
      </c>
    </row>
    <row r="1995" spans="1:23" x14ac:dyDescent="0.25">
      <c r="A1995" t="s">
        <v>495</v>
      </c>
      <c r="B1995">
        <v>2013</v>
      </c>
      <c r="C1995" t="s">
        <v>363</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Data_Completeness(LifeExpectancyData[[#This Row],[Life expectancy]:[Schooling]])</f>
        <v>1</v>
      </c>
    </row>
    <row r="1996" spans="1:23" x14ac:dyDescent="0.25">
      <c r="A1996" t="s">
        <v>495</v>
      </c>
      <c r="B1996">
        <v>2012</v>
      </c>
      <c r="C1996" t="s">
        <v>363</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Data_Completeness(LifeExpectancyData[[#This Row],[Life expectancy]:[Schooling]])</f>
        <v>1</v>
      </c>
    </row>
    <row r="1997" spans="1:23" x14ac:dyDescent="0.25">
      <c r="A1997" t="s">
        <v>495</v>
      </c>
      <c r="B1997">
        <v>2011</v>
      </c>
      <c r="C1997" t="s">
        <v>363</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Data_Completeness(LifeExpectancyData[[#This Row],[Life expectancy]:[Schooling]])</f>
        <v>1</v>
      </c>
    </row>
    <row r="1998" spans="1:23" x14ac:dyDescent="0.25">
      <c r="A1998" t="s">
        <v>495</v>
      </c>
      <c r="B1998">
        <v>2010</v>
      </c>
      <c r="C1998" t="s">
        <v>363</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Data_Completeness(LifeExpectancyData[[#This Row],[Life expectancy]:[Schooling]])</f>
        <v>1</v>
      </c>
    </row>
    <row r="1999" spans="1:23" x14ac:dyDescent="0.25">
      <c r="A1999" t="s">
        <v>495</v>
      </c>
      <c r="B1999">
        <v>2009</v>
      </c>
      <c r="C1999" t="s">
        <v>363</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Data_Completeness(LifeExpectancyData[[#This Row],[Life expectancy]:[Schooling]])</f>
        <v>1</v>
      </c>
    </row>
    <row r="2000" spans="1:23" x14ac:dyDescent="0.25">
      <c r="A2000" t="s">
        <v>495</v>
      </c>
      <c r="B2000">
        <v>2008</v>
      </c>
      <c r="C2000" t="s">
        <v>363</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Data_Completeness(LifeExpectancyData[[#This Row],[Life expectancy]:[Schooling]])</f>
        <v>1</v>
      </c>
    </row>
    <row r="2001" spans="1:23" x14ac:dyDescent="0.25">
      <c r="A2001" t="s">
        <v>495</v>
      </c>
      <c r="B2001">
        <v>2007</v>
      </c>
      <c r="C2001" t="s">
        <v>363</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Data_Completeness(LifeExpectancyData[[#This Row],[Life expectancy]:[Schooling]])</f>
        <v>1</v>
      </c>
    </row>
    <row r="2002" spans="1:23" x14ac:dyDescent="0.25">
      <c r="A2002" t="s">
        <v>495</v>
      </c>
      <c r="B2002">
        <v>2006</v>
      </c>
      <c r="C2002" t="s">
        <v>363</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Data_Completeness(LifeExpectancyData[[#This Row],[Life expectancy]:[Schooling]])</f>
        <v>1</v>
      </c>
    </row>
    <row r="2003" spans="1:23" x14ac:dyDescent="0.25">
      <c r="A2003" t="s">
        <v>495</v>
      </c>
      <c r="B2003">
        <v>2005</v>
      </c>
      <c r="C2003" t="s">
        <v>363</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Data_Completeness(LifeExpectancyData[[#This Row],[Life expectancy]:[Schooling]])</f>
        <v>1</v>
      </c>
    </row>
    <row r="2004" spans="1:23" x14ac:dyDescent="0.25">
      <c r="A2004" t="s">
        <v>495</v>
      </c>
      <c r="B2004">
        <v>2004</v>
      </c>
      <c r="C2004" t="s">
        <v>363</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Data_Completeness(LifeExpectancyData[[#This Row],[Life expectancy]:[Schooling]])</f>
        <v>1</v>
      </c>
    </row>
    <row r="2005" spans="1:23" x14ac:dyDescent="0.25">
      <c r="A2005" t="s">
        <v>495</v>
      </c>
      <c r="B2005">
        <v>2003</v>
      </c>
      <c r="C2005" t="s">
        <v>363</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Data_Completeness(LifeExpectancyData[[#This Row],[Life expectancy]:[Schooling]])</f>
        <v>1</v>
      </c>
    </row>
    <row r="2006" spans="1:23" x14ac:dyDescent="0.25">
      <c r="A2006" t="s">
        <v>495</v>
      </c>
      <c r="B2006">
        <v>2002</v>
      </c>
      <c r="C2006" t="s">
        <v>363</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Data_Completeness(LifeExpectancyData[[#This Row],[Life expectancy]:[Schooling]])</f>
        <v>0</v>
      </c>
    </row>
    <row r="2007" spans="1:23" x14ac:dyDescent="0.25">
      <c r="A2007" t="s">
        <v>495</v>
      </c>
      <c r="B2007">
        <v>2001</v>
      </c>
      <c r="C2007" t="s">
        <v>363</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Data_Completeness(LifeExpectancyData[[#This Row],[Life expectancy]:[Schooling]])</f>
        <v>0</v>
      </c>
    </row>
    <row r="2008" spans="1:23" x14ac:dyDescent="0.25">
      <c r="A2008" t="s">
        <v>495</v>
      </c>
      <c r="B2008">
        <v>2000</v>
      </c>
      <c r="C2008" t="s">
        <v>363</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Data_Completeness(LifeExpectancyData[[#This Row],[Life expectancy]:[Schooling]])</f>
        <v>0</v>
      </c>
    </row>
    <row r="2009" spans="1:23" x14ac:dyDescent="0.25">
      <c r="A2009" t="s">
        <v>496</v>
      </c>
      <c r="B2009">
        <v>2015</v>
      </c>
      <c r="C2009" t="s">
        <v>363</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Data_Completeness(LifeExpectancyData[[#This Row],[Life expectancy]:[Schooling]])</f>
        <v>0</v>
      </c>
    </row>
    <row r="2010" spans="1:23" x14ac:dyDescent="0.25">
      <c r="A2010" t="s">
        <v>496</v>
      </c>
      <c r="B2010">
        <v>2014</v>
      </c>
      <c r="C2010" t="s">
        <v>363</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Data_Completeness(LifeExpectancyData[[#This Row],[Life expectancy]:[Schooling]])</f>
        <v>1</v>
      </c>
    </row>
    <row r="2011" spans="1:23" x14ac:dyDescent="0.25">
      <c r="A2011" t="s">
        <v>496</v>
      </c>
      <c r="B2011">
        <v>2013</v>
      </c>
      <c r="C2011" t="s">
        <v>363</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Data_Completeness(LifeExpectancyData[[#This Row],[Life expectancy]:[Schooling]])</f>
        <v>1</v>
      </c>
    </row>
    <row r="2012" spans="1:23" x14ac:dyDescent="0.25">
      <c r="A2012" t="s">
        <v>496</v>
      </c>
      <c r="B2012">
        <v>2012</v>
      </c>
      <c r="C2012" t="s">
        <v>363</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Data_Completeness(LifeExpectancyData[[#This Row],[Life expectancy]:[Schooling]])</f>
        <v>1</v>
      </c>
    </row>
    <row r="2013" spans="1:23" x14ac:dyDescent="0.25">
      <c r="A2013" t="s">
        <v>496</v>
      </c>
      <c r="B2013">
        <v>2011</v>
      </c>
      <c r="C2013" t="s">
        <v>363</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Data_Completeness(LifeExpectancyData[[#This Row],[Life expectancy]:[Schooling]])</f>
        <v>1</v>
      </c>
    </row>
    <row r="2014" spans="1:23" x14ac:dyDescent="0.25">
      <c r="A2014" t="s">
        <v>496</v>
      </c>
      <c r="B2014">
        <v>2010</v>
      </c>
      <c r="C2014" t="s">
        <v>363</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Data_Completeness(LifeExpectancyData[[#This Row],[Life expectancy]:[Schooling]])</f>
        <v>1</v>
      </c>
    </row>
    <row r="2015" spans="1:23" x14ac:dyDescent="0.25">
      <c r="A2015" t="s">
        <v>496</v>
      </c>
      <c r="B2015">
        <v>2009</v>
      </c>
      <c r="C2015" t="s">
        <v>363</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Data_Completeness(LifeExpectancyData[[#This Row],[Life expectancy]:[Schooling]])</f>
        <v>1</v>
      </c>
    </row>
    <row r="2016" spans="1:23" x14ac:dyDescent="0.25">
      <c r="A2016" t="s">
        <v>496</v>
      </c>
      <c r="B2016">
        <v>2008</v>
      </c>
      <c r="C2016" t="s">
        <v>363</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Data_Completeness(LifeExpectancyData[[#This Row],[Life expectancy]:[Schooling]])</f>
        <v>1</v>
      </c>
    </row>
    <row r="2017" spans="1:23" x14ac:dyDescent="0.25">
      <c r="A2017" t="s">
        <v>496</v>
      </c>
      <c r="B2017">
        <v>2007</v>
      </c>
      <c r="C2017" t="s">
        <v>363</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Data_Completeness(LifeExpectancyData[[#This Row],[Life expectancy]:[Schooling]])</f>
        <v>1</v>
      </c>
    </row>
    <row r="2018" spans="1:23" x14ac:dyDescent="0.25">
      <c r="A2018" t="s">
        <v>496</v>
      </c>
      <c r="B2018">
        <v>2006</v>
      </c>
      <c r="C2018" t="s">
        <v>363</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Data_Completeness(LifeExpectancyData[[#This Row],[Life expectancy]:[Schooling]])</f>
        <v>1</v>
      </c>
    </row>
    <row r="2019" spans="1:23" x14ac:dyDescent="0.25">
      <c r="A2019" t="s">
        <v>496</v>
      </c>
      <c r="B2019">
        <v>2005</v>
      </c>
      <c r="C2019" t="s">
        <v>363</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Data_Completeness(LifeExpectancyData[[#This Row],[Life expectancy]:[Schooling]])</f>
        <v>1</v>
      </c>
    </row>
    <row r="2020" spans="1:23" x14ac:dyDescent="0.25">
      <c r="A2020" t="s">
        <v>496</v>
      </c>
      <c r="B2020">
        <v>2004</v>
      </c>
      <c r="C2020" t="s">
        <v>363</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Data_Completeness(LifeExpectancyData[[#This Row],[Life expectancy]:[Schooling]])</f>
        <v>1</v>
      </c>
    </row>
    <row r="2021" spans="1:23" x14ac:dyDescent="0.25">
      <c r="A2021" t="s">
        <v>496</v>
      </c>
      <c r="B2021">
        <v>2003</v>
      </c>
      <c r="C2021" t="s">
        <v>363</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Data_Completeness(LifeExpectancyData[[#This Row],[Life expectancy]:[Schooling]])</f>
        <v>1</v>
      </c>
    </row>
    <row r="2022" spans="1:23" x14ac:dyDescent="0.25">
      <c r="A2022" t="s">
        <v>496</v>
      </c>
      <c r="B2022">
        <v>2002</v>
      </c>
      <c r="C2022" t="s">
        <v>363</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Data_Completeness(LifeExpectancyData[[#This Row],[Life expectancy]:[Schooling]])</f>
        <v>0</v>
      </c>
    </row>
    <row r="2023" spans="1:23" x14ac:dyDescent="0.25">
      <c r="A2023" t="s">
        <v>496</v>
      </c>
      <c r="B2023">
        <v>2001</v>
      </c>
      <c r="C2023" t="s">
        <v>363</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Data_Completeness(LifeExpectancyData[[#This Row],[Life expectancy]:[Schooling]])</f>
        <v>0</v>
      </c>
    </row>
    <row r="2024" spans="1:23" x14ac:dyDescent="0.25">
      <c r="A2024" t="s">
        <v>496</v>
      </c>
      <c r="B2024">
        <v>2000</v>
      </c>
      <c r="C2024" t="s">
        <v>363</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Data_Completeness(LifeExpectancyData[[#This Row],[Life expectancy]:[Schooling]])</f>
        <v>0</v>
      </c>
    </row>
    <row r="2025" spans="1:23" x14ac:dyDescent="0.25">
      <c r="A2025" t="s">
        <v>497</v>
      </c>
      <c r="B2025">
        <v>2015</v>
      </c>
      <c r="C2025" t="s">
        <v>363</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Data_Completeness(LifeExpectancyData[[#This Row],[Life expectancy]:[Schooling]])</f>
        <v>0</v>
      </c>
    </row>
    <row r="2026" spans="1:23" x14ac:dyDescent="0.25">
      <c r="A2026" t="s">
        <v>497</v>
      </c>
      <c r="B2026">
        <v>2014</v>
      </c>
      <c r="C2026" t="s">
        <v>363</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Data_Completeness(LifeExpectancyData[[#This Row],[Life expectancy]:[Schooling]])</f>
        <v>1</v>
      </c>
    </row>
    <row r="2027" spans="1:23" x14ac:dyDescent="0.25">
      <c r="A2027" t="s">
        <v>497</v>
      </c>
      <c r="B2027">
        <v>2013</v>
      </c>
      <c r="C2027" t="s">
        <v>363</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Data_Completeness(LifeExpectancyData[[#This Row],[Life expectancy]:[Schooling]])</f>
        <v>1</v>
      </c>
    </row>
    <row r="2028" spans="1:23" x14ac:dyDescent="0.25">
      <c r="A2028" t="s">
        <v>497</v>
      </c>
      <c r="B2028">
        <v>2012</v>
      </c>
      <c r="C2028" t="s">
        <v>363</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Data_Completeness(LifeExpectancyData[[#This Row],[Life expectancy]:[Schooling]])</f>
        <v>1</v>
      </c>
    </row>
    <row r="2029" spans="1:23" x14ac:dyDescent="0.25">
      <c r="A2029" t="s">
        <v>497</v>
      </c>
      <c r="B2029">
        <v>2011</v>
      </c>
      <c r="C2029" t="s">
        <v>363</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Data_Completeness(LifeExpectancyData[[#This Row],[Life expectancy]:[Schooling]])</f>
        <v>1</v>
      </c>
    </row>
    <row r="2030" spans="1:23" x14ac:dyDescent="0.25">
      <c r="A2030" t="s">
        <v>497</v>
      </c>
      <c r="B2030">
        <v>2010</v>
      </c>
      <c r="C2030" t="s">
        <v>363</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Data_Completeness(LifeExpectancyData[[#This Row],[Life expectancy]:[Schooling]])</f>
        <v>1</v>
      </c>
    </row>
    <row r="2031" spans="1:23" x14ac:dyDescent="0.25">
      <c r="A2031" t="s">
        <v>497</v>
      </c>
      <c r="B2031">
        <v>2009</v>
      </c>
      <c r="C2031" t="s">
        <v>363</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Data_Completeness(LifeExpectancyData[[#This Row],[Life expectancy]:[Schooling]])</f>
        <v>1</v>
      </c>
    </row>
    <row r="2032" spans="1:23" x14ac:dyDescent="0.25">
      <c r="A2032" t="s">
        <v>497</v>
      </c>
      <c r="B2032">
        <v>2008</v>
      </c>
      <c r="C2032" t="s">
        <v>363</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Data_Completeness(LifeExpectancyData[[#This Row],[Life expectancy]:[Schooling]])</f>
        <v>1</v>
      </c>
    </row>
    <row r="2033" spans="1:23" x14ac:dyDescent="0.25">
      <c r="A2033" t="s">
        <v>497</v>
      </c>
      <c r="B2033">
        <v>2007</v>
      </c>
      <c r="C2033" t="s">
        <v>363</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Data_Completeness(LifeExpectancyData[[#This Row],[Life expectancy]:[Schooling]])</f>
        <v>1</v>
      </c>
    </row>
    <row r="2034" spans="1:23" x14ac:dyDescent="0.25">
      <c r="A2034" t="s">
        <v>497</v>
      </c>
      <c r="B2034">
        <v>2006</v>
      </c>
      <c r="C2034" t="s">
        <v>363</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Data_Completeness(LifeExpectancyData[[#This Row],[Life expectancy]:[Schooling]])</f>
        <v>1</v>
      </c>
    </row>
    <row r="2035" spans="1:23" x14ac:dyDescent="0.25">
      <c r="A2035" t="s">
        <v>497</v>
      </c>
      <c r="B2035">
        <v>2005</v>
      </c>
      <c r="C2035" t="s">
        <v>363</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Data_Completeness(LifeExpectancyData[[#This Row],[Life expectancy]:[Schooling]])</f>
        <v>1</v>
      </c>
    </row>
    <row r="2036" spans="1:23" x14ac:dyDescent="0.25">
      <c r="A2036" t="s">
        <v>497</v>
      </c>
      <c r="B2036">
        <v>2004</v>
      </c>
      <c r="C2036" t="s">
        <v>363</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Data_Completeness(LifeExpectancyData[[#This Row],[Life expectancy]:[Schooling]])</f>
        <v>1</v>
      </c>
    </row>
    <row r="2037" spans="1:23" x14ac:dyDescent="0.25">
      <c r="A2037" t="s">
        <v>497</v>
      </c>
      <c r="B2037">
        <v>2003</v>
      </c>
      <c r="C2037" t="s">
        <v>363</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Data_Completeness(LifeExpectancyData[[#This Row],[Life expectancy]:[Schooling]])</f>
        <v>1</v>
      </c>
    </row>
    <row r="2038" spans="1:23" x14ac:dyDescent="0.25">
      <c r="A2038" t="s">
        <v>497</v>
      </c>
      <c r="B2038">
        <v>2002</v>
      </c>
      <c r="C2038" t="s">
        <v>363</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Data_Completeness(LifeExpectancyData[[#This Row],[Life expectancy]:[Schooling]])</f>
        <v>1</v>
      </c>
    </row>
    <row r="2039" spans="1:23" x14ac:dyDescent="0.25">
      <c r="A2039" t="s">
        <v>497</v>
      </c>
      <c r="B2039">
        <v>2001</v>
      </c>
      <c r="C2039" t="s">
        <v>363</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Data_Completeness(LifeExpectancyData[[#This Row],[Life expectancy]:[Schooling]])</f>
        <v>1</v>
      </c>
    </row>
    <row r="2040" spans="1:23" x14ac:dyDescent="0.25">
      <c r="A2040" t="s">
        <v>497</v>
      </c>
      <c r="B2040">
        <v>2000</v>
      </c>
      <c r="C2040" t="s">
        <v>363</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Data_Completeness(LifeExpectancyData[[#This Row],[Life expectancy]:[Schooling]])</f>
        <v>1</v>
      </c>
    </row>
    <row r="2041" spans="1:23" x14ac:dyDescent="0.25">
      <c r="A2041" t="s">
        <v>498</v>
      </c>
      <c r="B2041">
        <v>2015</v>
      </c>
      <c r="C2041" t="s">
        <v>371</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Data_Completeness(LifeExpectancyData[[#This Row],[Life expectancy]:[Schooling]])</f>
        <v>0</v>
      </c>
    </row>
    <row r="2042" spans="1:23" x14ac:dyDescent="0.25">
      <c r="A2042" t="s">
        <v>498</v>
      </c>
      <c r="B2042">
        <v>2014</v>
      </c>
      <c r="C2042" t="s">
        <v>371</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Data_Completeness(LifeExpectancyData[[#This Row],[Life expectancy]:[Schooling]])</f>
        <v>1</v>
      </c>
    </row>
    <row r="2043" spans="1:23" x14ac:dyDescent="0.25">
      <c r="A2043" t="s">
        <v>498</v>
      </c>
      <c r="B2043">
        <v>2013</v>
      </c>
      <c r="C2043" t="s">
        <v>371</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Data_Completeness(LifeExpectancyData[[#This Row],[Life expectancy]:[Schooling]])</f>
        <v>1</v>
      </c>
    </row>
    <row r="2044" spans="1:23" x14ac:dyDescent="0.25">
      <c r="A2044" t="s">
        <v>498</v>
      </c>
      <c r="B2044">
        <v>2012</v>
      </c>
      <c r="C2044" t="s">
        <v>371</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Data_Completeness(LifeExpectancyData[[#This Row],[Life expectancy]:[Schooling]])</f>
        <v>1</v>
      </c>
    </row>
    <row r="2045" spans="1:23" x14ac:dyDescent="0.25">
      <c r="A2045" t="s">
        <v>498</v>
      </c>
      <c r="B2045">
        <v>2011</v>
      </c>
      <c r="C2045" t="s">
        <v>371</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Data_Completeness(LifeExpectancyData[[#This Row],[Life expectancy]:[Schooling]])</f>
        <v>1</v>
      </c>
    </row>
    <row r="2046" spans="1:23" x14ac:dyDescent="0.25">
      <c r="A2046" t="s">
        <v>498</v>
      </c>
      <c r="B2046">
        <v>2010</v>
      </c>
      <c r="C2046" t="s">
        <v>371</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Data_Completeness(LifeExpectancyData[[#This Row],[Life expectancy]:[Schooling]])</f>
        <v>1</v>
      </c>
    </row>
    <row r="2047" spans="1:23" x14ac:dyDescent="0.25">
      <c r="A2047" t="s">
        <v>498</v>
      </c>
      <c r="B2047">
        <v>2009</v>
      </c>
      <c r="C2047" t="s">
        <v>371</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Data_Completeness(LifeExpectancyData[[#This Row],[Life expectancy]:[Schooling]])</f>
        <v>1</v>
      </c>
    </row>
    <row r="2048" spans="1:23" x14ac:dyDescent="0.25">
      <c r="A2048" t="s">
        <v>498</v>
      </c>
      <c r="B2048">
        <v>2008</v>
      </c>
      <c r="C2048" t="s">
        <v>371</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Data_Completeness(LifeExpectancyData[[#This Row],[Life expectancy]:[Schooling]])</f>
        <v>1</v>
      </c>
    </row>
    <row r="2049" spans="1:23" x14ac:dyDescent="0.25">
      <c r="A2049" t="s">
        <v>498</v>
      </c>
      <c r="B2049">
        <v>2007</v>
      </c>
      <c r="C2049" t="s">
        <v>371</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Data_Completeness(LifeExpectancyData[[#This Row],[Life expectancy]:[Schooling]])</f>
        <v>1</v>
      </c>
    </row>
    <row r="2050" spans="1:23" x14ac:dyDescent="0.25">
      <c r="A2050" t="s">
        <v>498</v>
      </c>
      <c r="B2050">
        <v>2006</v>
      </c>
      <c r="C2050" t="s">
        <v>371</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Data_Completeness(LifeExpectancyData[[#This Row],[Life expectancy]:[Schooling]])</f>
        <v>1</v>
      </c>
    </row>
    <row r="2051" spans="1:23" x14ac:dyDescent="0.25">
      <c r="A2051" t="s">
        <v>498</v>
      </c>
      <c r="B2051">
        <v>2005</v>
      </c>
      <c r="C2051" t="s">
        <v>371</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Data_Completeness(LifeExpectancyData[[#This Row],[Life expectancy]:[Schooling]])</f>
        <v>1</v>
      </c>
    </row>
    <row r="2052" spans="1:23" x14ac:dyDescent="0.25">
      <c r="A2052" t="s">
        <v>498</v>
      </c>
      <c r="B2052">
        <v>2004</v>
      </c>
      <c r="C2052" t="s">
        <v>371</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Data_Completeness(LifeExpectancyData[[#This Row],[Life expectancy]:[Schooling]])</f>
        <v>1</v>
      </c>
    </row>
    <row r="2053" spans="1:23" x14ac:dyDescent="0.25">
      <c r="A2053" t="s">
        <v>498</v>
      </c>
      <c r="B2053">
        <v>2003</v>
      </c>
      <c r="C2053" t="s">
        <v>371</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Data_Completeness(LifeExpectancyData[[#This Row],[Life expectancy]:[Schooling]])</f>
        <v>1</v>
      </c>
    </row>
    <row r="2054" spans="1:23" x14ac:dyDescent="0.25">
      <c r="A2054" t="s">
        <v>498</v>
      </c>
      <c r="B2054">
        <v>2002</v>
      </c>
      <c r="C2054" t="s">
        <v>371</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Data_Completeness(LifeExpectancyData[[#This Row],[Life expectancy]:[Schooling]])</f>
        <v>1</v>
      </c>
    </row>
    <row r="2055" spans="1:23" x14ac:dyDescent="0.25">
      <c r="A2055" t="s">
        <v>498</v>
      </c>
      <c r="B2055">
        <v>2001</v>
      </c>
      <c r="C2055" t="s">
        <v>371</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Data_Completeness(LifeExpectancyData[[#This Row],[Life expectancy]:[Schooling]])</f>
        <v>1</v>
      </c>
    </row>
    <row r="2056" spans="1:23" x14ac:dyDescent="0.25">
      <c r="A2056" t="s">
        <v>498</v>
      </c>
      <c r="B2056">
        <v>2000</v>
      </c>
      <c r="C2056" t="s">
        <v>371</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Data_Completeness(LifeExpectancyData[[#This Row],[Life expectancy]:[Schooling]])</f>
        <v>1</v>
      </c>
    </row>
    <row r="2057" spans="1:23" x14ac:dyDescent="0.25">
      <c r="A2057" t="s">
        <v>499</v>
      </c>
      <c r="B2057">
        <v>2015</v>
      </c>
      <c r="C2057" t="s">
        <v>371</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Data_Completeness(LifeExpectancyData[[#This Row],[Life expectancy]:[Schooling]])</f>
        <v>0</v>
      </c>
    </row>
    <row r="2058" spans="1:23" x14ac:dyDescent="0.25">
      <c r="A2058" t="s">
        <v>499</v>
      </c>
      <c r="B2058">
        <v>2014</v>
      </c>
      <c r="C2058" t="s">
        <v>371</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Data_Completeness(LifeExpectancyData[[#This Row],[Life expectancy]:[Schooling]])</f>
        <v>1</v>
      </c>
    </row>
    <row r="2059" spans="1:23" x14ac:dyDescent="0.25">
      <c r="A2059" t="s">
        <v>499</v>
      </c>
      <c r="B2059">
        <v>2013</v>
      </c>
      <c r="C2059" t="s">
        <v>371</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Data_Completeness(LifeExpectancyData[[#This Row],[Life expectancy]:[Schooling]])</f>
        <v>1</v>
      </c>
    </row>
    <row r="2060" spans="1:23" x14ac:dyDescent="0.25">
      <c r="A2060" t="s">
        <v>499</v>
      </c>
      <c r="B2060">
        <v>2012</v>
      </c>
      <c r="C2060" t="s">
        <v>371</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Data_Completeness(LifeExpectancyData[[#This Row],[Life expectancy]:[Schooling]])</f>
        <v>1</v>
      </c>
    </row>
    <row r="2061" spans="1:23" x14ac:dyDescent="0.25">
      <c r="A2061" t="s">
        <v>499</v>
      </c>
      <c r="B2061">
        <v>2011</v>
      </c>
      <c r="C2061" t="s">
        <v>371</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Data_Completeness(LifeExpectancyData[[#This Row],[Life expectancy]:[Schooling]])</f>
        <v>1</v>
      </c>
    </row>
    <row r="2062" spans="1:23" x14ac:dyDescent="0.25">
      <c r="A2062" t="s">
        <v>499</v>
      </c>
      <c r="B2062">
        <v>2010</v>
      </c>
      <c r="C2062" t="s">
        <v>371</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Data_Completeness(LifeExpectancyData[[#This Row],[Life expectancy]:[Schooling]])</f>
        <v>1</v>
      </c>
    </row>
    <row r="2063" spans="1:23" x14ac:dyDescent="0.25">
      <c r="A2063" t="s">
        <v>499</v>
      </c>
      <c r="B2063">
        <v>2009</v>
      </c>
      <c r="C2063" t="s">
        <v>371</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Data_Completeness(LifeExpectancyData[[#This Row],[Life expectancy]:[Schooling]])</f>
        <v>1</v>
      </c>
    </row>
    <row r="2064" spans="1:23" x14ac:dyDescent="0.25">
      <c r="A2064" t="s">
        <v>499</v>
      </c>
      <c r="B2064">
        <v>2008</v>
      </c>
      <c r="C2064" t="s">
        <v>371</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Data_Completeness(LifeExpectancyData[[#This Row],[Life expectancy]:[Schooling]])</f>
        <v>1</v>
      </c>
    </row>
    <row r="2065" spans="1:23" x14ac:dyDescent="0.25">
      <c r="A2065" t="s">
        <v>499</v>
      </c>
      <c r="B2065">
        <v>2007</v>
      </c>
      <c r="C2065" t="s">
        <v>371</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Data_Completeness(LifeExpectancyData[[#This Row],[Life expectancy]:[Schooling]])</f>
        <v>1</v>
      </c>
    </row>
    <row r="2066" spans="1:23" x14ac:dyDescent="0.25">
      <c r="A2066" t="s">
        <v>499</v>
      </c>
      <c r="B2066">
        <v>2006</v>
      </c>
      <c r="C2066" t="s">
        <v>371</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Data_Completeness(LifeExpectancyData[[#This Row],[Life expectancy]:[Schooling]])</f>
        <v>1</v>
      </c>
    </row>
    <row r="2067" spans="1:23" x14ac:dyDescent="0.25">
      <c r="A2067" t="s">
        <v>499</v>
      </c>
      <c r="B2067">
        <v>2005</v>
      </c>
      <c r="C2067" t="s">
        <v>371</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Data_Completeness(LifeExpectancyData[[#This Row],[Life expectancy]:[Schooling]])</f>
        <v>1</v>
      </c>
    </row>
    <row r="2068" spans="1:23" x14ac:dyDescent="0.25">
      <c r="A2068" t="s">
        <v>499</v>
      </c>
      <c r="B2068">
        <v>2004</v>
      </c>
      <c r="C2068" t="s">
        <v>371</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Data_Completeness(LifeExpectancyData[[#This Row],[Life expectancy]:[Schooling]])</f>
        <v>1</v>
      </c>
    </row>
    <row r="2069" spans="1:23" x14ac:dyDescent="0.25">
      <c r="A2069" t="s">
        <v>499</v>
      </c>
      <c r="B2069">
        <v>2003</v>
      </c>
      <c r="C2069" t="s">
        <v>371</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Data_Completeness(LifeExpectancyData[[#This Row],[Life expectancy]:[Schooling]])</f>
        <v>1</v>
      </c>
    </row>
    <row r="2070" spans="1:23" x14ac:dyDescent="0.25">
      <c r="A2070" t="s">
        <v>499</v>
      </c>
      <c r="B2070">
        <v>2002</v>
      </c>
      <c r="C2070" t="s">
        <v>371</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Data_Completeness(LifeExpectancyData[[#This Row],[Life expectancy]:[Schooling]])</f>
        <v>1</v>
      </c>
    </row>
    <row r="2071" spans="1:23" x14ac:dyDescent="0.25">
      <c r="A2071" t="s">
        <v>499</v>
      </c>
      <c r="B2071">
        <v>2001</v>
      </c>
      <c r="C2071" t="s">
        <v>371</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Data_Completeness(LifeExpectancyData[[#This Row],[Life expectancy]:[Schooling]])</f>
        <v>1</v>
      </c>
    </row>
    <row r="2072" spans="1:23" x14ac:dyDescent="0.25">
      <c r="A2072" t="s">
        <v>499</v>
      </c>
      <c r="B2072">
        <v>2000</v>
      </c>
      <c r="C2072" t="s">
        <v>371</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Data_Completeness(LifeExpectancyData[[#This Row],[Life expectancy]:[Schooling]])</f>
        <v>1</v>
      </c>
    </row>
    <row r="2073" spans="1:23" x14ac:dyDescent="0.25">
      <c r="A2073" t="s">
        <v>500</v>
      </c>
      <c r="B2073">
        <v>2015</v>
      </c>
      <c r="C2073" t="s">
        <v>363</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Data_Completeness(LifeExpectancyData[[#This Row],[Life expectancy]:[Schooling]])</f>
        <v>0</v>
      </c>
    </row>
    <row r="2074" spans="1:23" x14ac:dyDescent="0.25">
      <c r="A2074" t="s">
        <v>500</v>
      </c>
      <c r="B2074">
        <v>2014</v>
      </c>
      <c r="C2074" t="s">
        <v>363</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Data_Completeness(LifeExpectancyData[[#This Row],[Life expectancy]:[Schooling]])</f>
        <v>0</v>
      </c>
    </row>
    <row r="2075" spans="1:23" x14ac:dyDescent="0.25">
      <c r="A2075" t="s">
        <v>500</v>
      </c>
      <c r="B2075">
        <v>2013</v>
      </c>
      <c r="C2075" t="s">
        <v>363</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Data_Completeness(LifeExpectancyData[[#This Row],[Life expectancy]:[Schooling]])</f>
        <v>0</v>
      </c>
    </row>
    <row r="2076" spans="1:23" x14ac:dyDescent="0.25">
      <c r="A2076" t="s">
        <v>500</v>
      </c>
      <c r="B2076">
        <v>2012</v>
      </c>
      <c r="C2076" t="s">
        <v>363</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Data_Completeness(LifeExpectancyData[[#This Row],[Life expectancy]:[Schooling]])</f>
        <v>0</v>
      </c>
    </row>
    <row r="2077" spans="1:23" x14ac:dyDescent="0.25">
      <c r="A2077" t="s">
        <v>500</v>
      </c>
      <c r="B2077">
        <v>2011</v>
      </c>
      <c r="C2077" t="s">
        <v>363</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Data_Completeness(LifeExpectancyData[[#This Row],[Life expectancy]:[Schooling]])</f>
        <v>0</v>
      </c>
    </row>
    <row r="2078" spans="1:23" x14ac:dyDescent="0.25">
      <c r="A2078" t="s">
        <v>500</v>
      </c>
      <c r="B2078">
        <v>2010</v>
      </c>
      <c r="C2078" t="s">
        <v>363</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Data_Completeness(LifeExpectancyData[[#This Row],[Life expectancy]:[Schooling]])</f>
        <v>0</v>
      </c>
    </row>
    <row r="2079" spans="1:23" x14ac:dyDescent="0.25">
      <c r="A2079" t="s">
        <v>500</v>
      </c>
      <c r="B2079">
        <v>2009</v>
      </c>
      <c r="C2079" t="s">
        <v>363</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Data_Completeness(LifeExpectancyData[[#This Row],[Life expectancy]:[Schooling]])</f>
        <v>0</v>
      </c>
    </row>
    <row r="2080" spans="1:23" x14ac:dyDescent="0.25">
      <c r="A2080" t="s">
        <v>500</v>
      </c>
      <c r="B2080">
        <v>2008</v>
      </c>
      <c r="C2080" t="s">
        <v>363</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Data_Completeness(LifeExpectancyData[[#This Row],[Life expectancy]:[Schooling]])</f>
        <v>0</v>
      </c>
    </row>
    <row r="2081" spans="1:23" x14ac:dyDescent="0.25">
      <c r="A2081" t="s">
        <v>500</v>
      </c>
      <c r="B2081">
        <v>2007</v>
      </c>
      <c r="C2081" t="s">
        <v>363</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Data_Completeness(LifeExpectancyData[[#This Row],[Life expectancy]:[Schooling]])</f>
        <v>0</v>
      </c>
    </row>
    <row r="2082" spans="1:23" x14ac:dyDescent="0.25">
      <c r="A2082" t="s">
        <v>500</v>
      </c>
      <c r="B2082">
        <v>2006</v>
      </c>
      <c r="C2082" t="s">
        <v>363</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Data_Completeness(LifeExpectancyData[[#This Row],[Life expectancy]:[Schooling]])</f>
        <v>0</v>
      </c>
    </row>
    <row r="2083" spans="1:23" x14ac:dyDescent="0.25">
      <c r="A2083" t="s">
        <v>500</v>
      </c>
      <c r="B2083">
        <v>2005</v>
      </c>
      <c r="C2083" t="s">
        <v>363</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Data_Completeness(LifeExpectancyData[[#This Row],[Life expectancy]:[Schooling]])</f>
        <v>0</v>
      </c>
    </row>
    <row r="2084" spans="1:23" x14ac:dyDescent="0.25">
      <c r="A2084" t="s">
        <v>500</v>
      </c>
      <c r="B2084">
        <v>2004</v>
      </c>
      <c r="C2084" t="s">
        <v>363</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Data_Completeness(LifeExpectancyData[[#This Row],[Life expectancy]:[Schooling]])</f>
        <v>0</v>
      </c>
    </row>
    <row r="2085" spans="1:23" x14ac:dyDescent="0.25">
      <c r="A2085" t="s">
        <v>500</v>
      </c>
      <c r="B2085">
        <v>2003</v>
      </c>
      <c r="C2085" t="s">
        <v>363</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Data_Completeness(LifeExpectancyData[[#This Row],[Life expectancy]:[Schooling]])</f>
        <v>0</v>
      </c>
    </row>
    <row r="2086" spans="1:23" x14ac:dyDescent="0.25">
      <c r="A2086" t="s">
        <v>500</v>
      </c>
      <c r="B2086">
        <v>2002</v>
      </c>
      <c r="C2086" t="s">
        <v>363</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Data_Completeness(LifeExpectancyData[[#This Row],[Life expectancy]:[Schooling]])</f>
        <v>0</v>
      </c>
    </row>
    <row r="2087" spans="1:23" x14ac:dyDescent="0.25">
      <c r="A2087" t="s">
        <v>500</v>
      </c>
      <c r="B2087">
        <v>2001</v>
      </c>
      <c r="C2087" t="s">
        <v>363</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Data_Completeness(LifeExpectancyData[[#This Row],[Life expectancy]:[Schooling]])</f>
        <v>0</v>
      </c>
    </row>
    <row r="2088" spans="1:23" x14ac:dyDescent="0.25">
      <c r="A2088" t="s">
        <v>500</v>
      </c>
      <c r="B2088">
        <v>2000</v>
      </c>
      <c r="C2088" t="s">
        <v>363</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Data_Completeness(LifeExpectancyData[[#This Row],[Life expectancy]:[Schooling]])</f>
        <v>0</v>
      </c>
    </row>
    <row r="2089" spans="1:23" x14ac:dyDescent="0.25">
      <c r="A2089" t="s">
        <v>501</v>
      </c>
      <c r="B2089">
        <v>2015</v>
      </c>
      <c r="C2089" t="s">
        <v>363</v>
      </c>
      <c r="D2089">
        <v>82.3</v>
      </c>
      <c r="E2089">
        <v>64</v>
      </c>
      <c r="F2089">
        <v>1</v>
      </c>
      <c r="H2089">
        <v>0</v>
      </c>
      <c r="I2089">
        <v>98</v>
      </c>
      <c r="J2089">
        <v>7</v>
      </c>
      <c r="K2089">
        <v>31.7</v>
      </c>
      <c r="L2089">
        <v>2</v>
      </c>
      <c r="M2089">
        <v>98</v>
      </c>
      <c r="O2089">
        <v>98</v>
      </c>
      <c r="P2089">
        <v>0.1</v>
      </c>
      <c r="S2089">
        <v>1.5</v>
      </c>
      <c r="T2089">
        <v>1</v>
      </c>
      <c r="W2089" t="b">
        <f>Data_Completeness(LifeExpectancyData[[#This Row],[Life expectancy]:[Schooling]])</f>
        <v>0</v>
      </c>
    </row>
    <row r="2090" spans="1:23" x14ac:dyDescent="0.25">
      <c r="A2090" t="s">
        <v>501</v>
      </c>
      <c r="B2090">
        <v>2014</v>
      </c>
      <c r="C2090" t="s">
        <v>363</v>
      </c>
      <c r="D2090">
        <v>82</v>
      </c>
      <c r="E2090">
        <v>66</v>
      </c>
      <c r="F2090">
        <v>1</v>
      </c>
      <c r="G2090">
        <v>0.01</v>
      </c>
      <c r="H2090">
        <v>0</v>
      </c>
      <c r="I2090">
        <v>99</v>
      </c>
      <c r="J2090">
        <v>442</v>
      </c>
      <c r="K2090">
        <v>31.2</v>
      </c>
      <c r="L2090">
        <v>2</v>
      </c>
      <c r="M2090">
        <v>99</v>
      </c>
      <c r="N2090">
        <v>7.37</v>
      </c>
      <c r="O2090">
        <v>99</v>
      </c>
      <c r="P2090">
        <v>0.1</v>
      </c>
      <c r="S2090">
        <v>1.5</v>
      </c>
      <c r="T2090">
        <v>1</v>
      </c>
      <c r="W2090" t="b">
        <f>Data_Completeness(LifeExpectancyData[[#This Row],[Life expectancy]:[Schooling]])</f>
        <v>0</v>
      </c>
    </row>
    <row r="2091" spans="1:23" x14ac:dyDescent="0.25">
      <c r="A2091" t="s">
        <v>501</v>
      </c>
      <c r="B2091">
        <v>2013</v>
      </c>
      <c r="C2091" t="s">
        <v>363</v>
      </c>
      <c r="D2091">
        <v>81.7</v>
      </c>
      <c r="E2091">
        <v>68</v>
      </c>
      <c r="F2091">
        <v>1</v>
      </c>
      <c r="G2091">
        <v>9.33</v>
      </c>
      <c r="H2091">
        <v>0</v>
      </c>
      <c r="I2091">
        <v>99</v>
      </c>
      <c r="J2091">
        <v>107</v>
      </c>
      <c r="K2091">
        <v>3.8</v>
      </c>
      <c r="L2091">
        <v>2</v>
      </c>
      <c r="M2091">
        <v>99</v>
      </c>
      <c r="N2091">
        <v>7.2</v>
      </c>
      <c r="O2091">
        <v>99</v>
      </c>
      <c r="P2091">
        <v>0.1</v>
      </c>
      <c r="S2091">
        <v>1.5</v>
      </c>
      <c r="T2091">
        <v>1</v>
      </c>
      <c r="W2091" t="b">
        <f>Data_Completeness(LifeExpectancyData[[#This Row],[Life expectancy]:[Schooling]])</f>
        <v>0</v>
      </c>
    </row>
    <row r="2092" spans="1:23" x14ac:dyDescent="0.25">
      <c r="A2092" t="s">
        <v>501</v>
      </c>
      <c r="B2092">
        <v>2012</v>
      </c>
      <c r="C2092" t="s">
        <v>363</v>
      </c>
      <c r="D2092">
        <v>81.2</v>
      </c>
      <c r="E2092">
        <v>69</v>
      </c>
      <c r="F2092">
        <v>1</v>
      </c>
      <c r="G2092">
        <v>9.56</v>
      </c>
      <c r="H2092">
        <v>0</v>
      </c>
      <c r="I2092">
        <v>99</v>
      </c>
      <c r="J2092">
        <v>2</v>
      </c>
      <c r="K2092">
        <v>3.4</v>
      </c>
      <c r="L2092">
        <v>2</v>
      </c>
      <c r="M2092">
        <v>99</v>
      </c>
      <c r="N2092">
        <v>7.1</v>
      </c>
      <c r="O2092">
        <v>99</v>
      </c>
      <c r="P2092">
        <v>0.1</v>
      </c>
      <c r="S2092">
        <v>1.5</v>
      </c>
      <c r="T2092">
        <v>1</v>
      </c>
      <c r="W2092" t="b">
        <f>Data_Completeness(LifeExpectancyData[[#This Row],[Life expectancy]:[Schooling]])</f>
        <v>0</v>
      </c>
    </row>
    <row r="2093" spans="1:23" x14ac:dyDescent="0.25">
      <c r="A2093" t="s">
        <v>501</v>
      </c>
      <c r="B2093">
        <v>2011</v>
      </c>
      <c r="C2093" t="s">
        <v>363</v>
      </c>
      <c r="D2093">
        <v>81.099999999999994</v>
      </c>
      <c r="E2093">
        <v>72</v>
      </c>
      <c r="F2093">
        <v>2</v>
      </c>
      <c r="G2093">
        <v>9.34</v>
      </c>
      <c r="H2093">
        <v>0</v>
      </c>
      <c r="I2093">
        <v>99</v>
      </c>
      <c r="J2093">
        <v>42</v>
      </c>
      <c r="K2093">
        <v>3</v>
      </c>
      <c r="L2093">
        <v>2</v>
      </c>
      <c r="M2093">
        <v>98</v>
      </c>
      <c r="N2093">
        <v>6.83</v>
      </c>
      <c r="O2093">
        <v>99</v>
      </c>
      <c r="P2093">
        <v>0.1</v>
      </c>
      <c r="S2093">
        <v>1.5</v>
      </c>
      <c r="T2093">
        <v>1</v>
      </c>
      <c r="W2093" t="b">
        <f>Data_Completeness(LifeExpectancyData[[#This Row],[Life expectancy]:[Schooling]])</f>
        <v>0</v>
      </c>
    </row>
    <row r="2094" spans="1:23" x14ac:dyDescent="0.25">
      <c r="A2094" t="s">
        <v>501</v>
      </c>
      <c r="B2094">
        <v>2010</v>
      </c>
      <c r="C2094" t="s">
        <v>363</v>
      </c>
      <c r="D2094">
        <v>87</v>
      </c>
      <c r="E2094">
        <v>74</v>
      </c>
      <c r="F2094">
        <v>2</v>
      </c>
      <c r="G2094">
        <v>9.23</v>
      </c>
      <c r="H2094">
        <v>0</v>
      </c>
      <c r="I2094">
        <v>94</v>
      </c>
      <c r="J2094">
        <v>114</v>
      </c>
      <c r="K2094">
        <v>29.5</v>
      </c>
      <c r="L2094">
        <v>2</v>
      </c>
      <c r="M2094">
        <v>95</v>
      </c>
      <c r="N2094">
        <v>6.79</v>
      </c>
      <c r="O2094">
        <v>94</v>
      </c>
      <c r="P2094">
        <v>0.1</v>
      </c>
      <c r="S2094">
        <v>1.5</v>
      </c>
      <c r="T2094">
        <v>1</v>
      </c>
      <c r="W2094" t="b">
        <f>Data_Completeness(LifeExpectancyData[[#This Row],[Life expectancy]:[Schooling]])</f>
        <v>0</v>
      </c>
    </row>
    <row r="2095" spans="1:23" x14ac:dyDescent="0.25">
      <c r="A2095" t="s">
        <v>501</v>
      </c>
      <c r="B2095">
        <v>2009</v>
      </c>
      <c r="C2095" t="s">
        <v>363</v>
      </c>
      <c r="D2095">
        <v>86</v>
      </c>
      <c r="E2095">
        <v>75</v>
      </c>
      <c r="F2095">
        <v>2</v>
      </c>
      <c r="G2095">
        <v>8.9700000000000006</v>
      </c>
      <c r="H2095">
        <v>0</v>
      </c>
      <c r="I2095">
        <v>94</v>
      </c>
      <c r="J2095">
        <v>17</v>
      </c>
      <c r="K2095">
        <v>29.1</v>
      </c>
      <c r="L2095">
        <v>2</v>
      </c>
      <c r="M2095">
        <v>95</v>
      </c>
      <c r="N2095">
        <v>6.66</v>
      </c>
      <c r="O2095">
        <v>94</v>
      </c>
      <c r="P2095">
        <v>0.1</v>
      </c>
      <c r="S2095">
        <v>1.5</v>
      </c>
      <c r="T2095">
        <v>1</v>
      </c>
      <c r="W2095" t="b">
        <f>Data_Completeness(LifeExpectancyData[[#This Row],[Life expectancy]:[Schooling]])</f>
        <v>0</v>
      </c>
    </row>
    <row r="2096" spans="1:23" x14ac:dyDescent="0.25">
      <c r="A2096" t="s">
        <v>501</v>
      </c>
      <c r="B2096">
        <v>2008</v>
      </c>
      <c r="C2096" t="s">
        <v>363</v>
      </c>
      <c r="D2096">
        <v>83</v>
      </c>
      <c r="E2096">
        <v>75</v>
      </c>
      <c r="F2096">
        <v>2</v>
      </c>
      <c r="G2096">
        <v>9.31</v>
      </c>
      <c r="H2096">
        <v>0</v>
      </c>
      <c r="I2096">
        <v>94</v>
      </c>
      <c r="J2096">
        <v>2</v>
      </c>
      <c r="K2096">
        <v>28.6</v>
      </c>
      <c r="L2096">
        <v>2</v>
      </c>
      <c r="M2096">
        <v>92</v>
      </c>
      <c r="N2096">
        <v>6.16</v>
      </c>
      <c r="O2096">
        <v>94</v>
      </c>
      <c r="P2096">
        <v>0.1</v>
      </c>
      <c r="S2096">
        <v>1.5</v>
      </c>
      <c r="T2096">
        <v>1</v>
      </c>
      <c r="W2096" t="b">
        <f>Data_Completeness(LifeExpectancyData[[#This Row],[Life expectancy]:[Schooling]])</f>
        <v>0</v>
      </c>
    </row>
    <row r="2097" spans="1:23" x14ac:dyDescent="0.25">
      <c r="A2097" t="s">
        <v>501</v>
      </c>
      <c r="B2097">
        <v>2007</v>
      </c>
      <c r="C2097" t="s">
        <v>363</v>
      </c>
      <c r="D2097">
        <v>79.8</v>
      </c>
      <c r="E2097">
        <v>77</v>
      </c>
      <c r="F2097">
        <v>2</v>
      </c>
      <c r="G2097">
        <v>9.0500000000000007</v>
      </c>
      <c r="H2097">
        <v>0</v>
      </c>
      <c r="I2097">
        <v>91</v>
      </c>
      <c r="J2097">
        <v>194</v>
      </c>
      <c r="K2097">
        <v>28.2</v>
      </c>
      <c r="L2097">
        <v>2</v>
      </c>
      <c r="M2097">
        <v>91</v>
      </c>
      <c r="N2097">
        <v>5.99</v>
      </c>
      <c r="O2097">
        <v>91</v>
      </c>
      <c r="P2097">
        <v>0.1</v>
      </c>
      <c r="S2097">
        <v>1.5</v>
      </c>
      <c r="T2097">
        <v>1</v>
      </c>
      <c r="W2097" t="b">
        <f>Data_Completeness(LifeExpectancyData[[#This Row],[Life expectancy]:[Schooling]])</f>
        <v>0</v>
      </c>
    </row>
    <row r="2098" spans="1:23" x14ac:dyDescent="0.25">
      <c r="A2098" t="s">
        <v>501</v>
      </c>
      <c r="B2098">
        <v>2006</v>
      </c>
      <c r="C2098" t="s">
        <v>363</v>
      </c>
      <c r="D2098">
        <v>79.400000000000006</v>
      </c>
      <c r="E2098">
        <v>79</v>
      </c>
      <c r="F2098">
        <v>2</v>
      </c>
      <c r="G2098">
        <v>8.83</v>
      </c>
      <c r="H2098">
        <v>0</v>
      </c>
      <c r="I2098">
        <v>99</v>
      </c>
      <c r="J2098">
        <v>28</v>
      </c>
      <c r="K2098">
        <v>27.7</v>
      </c>
      <c r="L2098">
        <v>2</v>
      </c>
      <c r="M2098">
        <v>98</v>
      </c>
      <c r="N2098">
        <v>5.76</v>
      </c>
      <c r="O2098">
        <v>98</v>
      </c>
      <c r="P2098">
        <v>0.1</v>
      </c>
      <c r="S2098">
        <v>1.5</v>
      </c>
      <c r="T2098">
        <v>1</v>
      </c>
      <c r="W2098" t="b">
        <f>Data_Completeness(LifeExpectancyData[[#This Row],[Life expectancy]:[Schooling]])</f>
        <v>0</v>
      </c>
    </row>
    <row r="2099" spans="1:23" x14ac:dyDescent="0.25">
      <c r="A2099" t="s">
        <v>501</v>
      </c>
      <c r="B2099">
        <v>2005</v>
      </c>
      <c r="C2099" t="s">
        <v>363</v>
      </c>
      <c r="D2099">
        <v>78.7</v>
      </c>
      <c r="E2099">
        <v>84</v>
      </c>
      <c r="F2099">
        <v>2</v>
      </c>
      <c r="G2099">
        <v>9.0299999999999994</v>
      </c>
      <c r="H2099">
        <v>0</v>
      </c>
      <c r="I2099">
        <v>99</v>
      </c>
      <c r="J2099">
        <v>7</v>
      </c>
      <c r="K2099">
        <v>27.2</v>
      </c>
      <c r="L2099">
        <v>3</v>
      </c>
      <c r="M2099">
        <v>96</v>
      </c>
      <c r="N2099">
        <v>5.33</v>
      </c>
      <c r="O2099">
        <v>96</v>
      </c>
      <c r="P2099">
        <v>0.1</v>
      </c>
      <c r="S2099">
        <v>1.6</v>
      </c>
      <c r="T2099">
        <v>1</v>
      </c>
      <c r="W2099" t="b">
        <f>Data_Completeness(LifeExpectancyData[[#This Row],[Life expectancy]:[Schooling]])</f>
        <v>0</v>
      </c>
    </row>
    <row r="2100" spans="1:23" x14ac:dyDescent="0.25">
      <c r="A2100" t="s">
        <v>501</v>
      </c>
      <c r="B2100">
        <v>2004</v>
      </c>
      <c r="C2100" t="s">
        <v>363</v>
      </c>
      <c r="D2100">
        <v>78.2</v>
      </c>
      <c r="E2100">
        <v>89</v>
      </c>
      <c r="F2100">
        <v>3</v>
      </c>
      <c r="G2100">
        <v>9.18</v>
      </c>
      <c r="H2100">
        <v>0</v>
      </c>
      <c r="I2100">
        <v>92</v>
      </c>
      <c r="J2100">
        <v>11</v>
      </c>
      <c r="K2100">
        <v>26.7</v>
      </c>
      <c r="L2100">
        <v>3</v>
      </c>
      <c r="M2100">
        <v>9</v>
      </c>
      <c r="N2100">
        <v>4.96</v>
      </c>
      <c r="O2100">
        <v>88</v>
      </c>
      <c r="P2100">
        <v>0.1</v>
      </c>
      <c r="S2100">
        <v>1.6</v>
      </c>
      <c r="T2100">
        <v>1</v>
      </c>
      <c r="W2100" t="b">
        <f>Data_Completeness(LifeExpectancyData[[#This Row],[Life expectancy]:[Schooling]])</f>
        <v>0</v>
      </c>
    </row>
    <row r="2101" spans="1:23" x14ac:dyDescent="0.25">
      <c r="A2101" t="s">
        <v>501</v>
      </c>
      <c r="B2101">
        <v>2003</v>
      </c>
      <c r="C2101" t="s">
        <v>363</v>
      </c>
      <c r="D2101">
        <v>77.599999999999994</v>
      </c>
      <c r="E2101">
        <v>95</v>
      </c>
      <c r="F2101">
        <v>3</v>
      </c>
      <c r="G2101">
        <v>9.66</v>
      </c>
      <c r="H2101">
        <v>0</v>
      </c>
      <c r="I2101">
        <v>91</v>
      </c>
      <c r="J2101">
        <v>33</v>
      </c>
      <c r="K2101">
        <v>26.2</v>
      </c>
      <c r="L2101">
        <v>3</v>
      </c>
      <c r="M2101">
        <v>94</v>
      </c>
      <c r="N2101">
        <v>4.93</v>
      </c>
      <c r="O2101">
        <v>97</v>
      </c>
      <c r="P2101">
        <v>0.1</v>
      </c>
      <c r="S2101">
        <v>1.6</v>
      </c>
      <c r="T2101">
        <v>1</v>
      </c>
      <c r="W2101" t="b">
        <f>Data_Completeness(LifeExpectancyData[[#This Row],[Life expectancy]:[Schooling]])</f>
        <v>0</v>
      </c>
    </row>
    <row r="2102" spans="1:23" x14ac:dyDescent="0.25">
      <c r="A2102" t="s">
        <v>501</v>
      </c>
      <c r="B2102">
        <v>2002</v>
      </c>
      <c r="C2102" t="s">
        <v>363</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Data_Completeness(LifeExpectancyData[[#This Row],[Life expectancy]:[Schooling]])</f>
        <v>0</v>
      </c>
    </row>
    <row r="2103" spans="1:23" x14ac:dyDescent="0.25">
      <c r="A2103" t="s">
        <v>501</v>
      </c>
      <c r="B2103">
        <v>2001</v>
      </c>
      <c r="C2103" t="s">
        <v>363</v>
      </c>
      <c r="D2103">
        <v>76.7</v>
      </c>
      <c r="E2103">
        <v>17</v>
      </c>
      <c r="F2103">
        <v>3</v>
      </c>
      <c r="G2103">
        <v>11.45</v>
      </c>
      <c r="H2103">
        <v>0</v>
      </c>
      <c r="I2103">
        <v>89</v>
      </c>
      <c r="J2103">
        <v>23060</v>
      </c>
      <c r="K2103">
        <v>25.2</v>
      </c>
      <c r="L2103">
        <v>4</v>
      </c>
      <c r="M2103">
        <v>99</v>
      </c>
      <c r="N2103">
        <v>4.76</v>
      </c>
      <c r="O2103">
        <v>97</v>
      </c>
      <c r="P2103">
        <v>0.1</v>
      </c>
      <c r="S2103">
        <v>1.6</v>
      </c>
      <c r="T2103">
        <v>1.1000000000000001</v>
      </c>
      <c r="W2103" t="b">
        <f>Data_Completeness(LifeExpectancyData[[#This Row],[Life expectancy]:[Schooling]])</f>
        <v>0</v>
      </c>
    </row>
    <row r="2104" spans="1:23" x14ac:dyDescent="0.25">
      <c r="A2104" t="s">
        <v>501</v>
      </c>
      <c r="B2104">
        <v>2000</v>
      </c>
      <c r="C2104" t="s">
        <v>363</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Data_Completeness(LifeExpectancyData[[#This Row],[Life expectancy]:[Schooling]])</f>
        <v>0</v>
      </c>
    </row>
    <row r="2105" spans="1:23" x14ac:dyDescent="0.25">
      <c r="A2105" t="s">
        <v>502</v>
      </c>
      <c r="B2105">
        <v>2015</v>
      </c>
      <c r="C2105" t="s">
        <v>363</v>
      </c>
      <c r="D2105">
        <v>72.099999999999994</v>
      </c>
      <c r="E2105">
        <v>157</v>
      </c>
      <c r="F2105">
        <v>1</v>
      </c>
      <c r="H2105">
        <v>0</v>
      </c>
      <c r="I2105">
        <v>88</v>
      </c>
      <c r="J2105">
        <v>0</v>
      </c>
      <c r="K2105">
        <v>53.4</v>
      </c>
      <c r="L2105">
        <v>1</v>
      </c>
      <c r="M2105">
        <v>88</v>
      </c>
      <c r="O2105">
        <v>87</v>
      </c>
      <c r="P2105">
        <v>0.1</v>
      </c>
      <c r="S2105">
        <v>2.7</v>
      </c>
      <c r="T2105">
        <v>2.8</v>
      </c>
      <c r="W2105" t="b">
        <f>Data_Completeness(LifeExpectancyData[[#This Row],[Life expectancy]:[Schooling]])</f>
        <v>0</v>
      </c>
    </row>
    <row r="2106" spans="1:23" x14ac:dyDescent="0.25">
      <c r="A2106" t="s">
        <v>502</v>
      </c>
      <c r="B2106">
        <v>2014</v>
      </c>
      <c r="C2106" t="s">
        <v>363</v>
      </c>
      <c r="D2106">
        <v>71.8</v>
      </c>
      <c r="E2106">
        <v>162</v>
      </c>
      <c r="F2106">
        <v>1</v>
      </c>
      <c r="G2106">
        <v>9.99</v>
      </c>
      <c r="H2106">
        <v>0</v>
      </c>
      <c r="I2106">
        <v>92</v>
      </c>
      <c r="J2106">
        <v>2</v>
      </c>
      <c r="K2106">
        <v>52.7</v>
      </c>
      <c r="L2106">
        <v>1</v>
      </c>
      <c r="M2106">
        <v>92</v>
      </c>
      <c r="N2106">
        <v>1.32</v>
      </c>
      <c r="O2106">
        <v>9</v>
      </c>
      <c r="P2106">
        <v>0.1</v>
      </c>
      <c r="S2106">
        <v>2.7</v>
      </c>
      <c r="T2106">
        <v>2.8</v>
      </c>
      <c r="W2106" t="b">
        <f>Data_Completeness(LifeExpectancyData[[#This Row],[Life expectancy]:[Schooling]])</f>
        <v>0</v>
      </c>
    </row>
    <row r="2107" spans="1:23" x14ac:dyDescent="0.25">
      <c r="A2107" t="s">
        <v>502</v>
      </c>
      <c r="B2107">
        <v>2013</v>
      </c>
      <c r="C2107" t="s">
        <v>363</v>
      </c>
      <c r="D2107">
        <v>71.7</v>
      </c>
      <c r="E2107">
        <v>163</v>
      </c>
      <c r="F2107">
        <v>1</v>
      </c>
      <c r="G2107">
        <v>10.49</v>
      </c>
      <c r="H2107">
        <v>0</v>
      </c>
      <c r="I2107">
        <v>91</v>
      </c>
      <c r="J2107">
        <v>27</v>
      </c>
      <c r="K2107">
        <v>52.1</v>
      </c>
      <c r="L2107">
        <v>1</v>
      </c>
      <c r="M2107">
        <v>92</v>
      </c>
      <c r="N2107">
        <v>1.5</v>
      </c>
      <c r="O2107">
        <v>9</v>
      </c>
      <c r="P2107">
        <v>0.1</v>
      </c>
      <c r="S2107">
        <v>2.7</v>
      </c>
      <c r="T2107">
        <v>2.9</v>
      </c>
      <c r="W2107" t="b">
        <f>Data_Completeness(LifeExpectancyData[[#This Row],[Life expectancy]:[Schooling]])</f>
        <v>0</v>
      </c>
    </row>
    <row r="2108" spans="1:23" x14ac:dyDescent="0.25">
      <c r="A2108" t="s">
        <v>502</v>
      </c>
      <c r="B2108">
        <v>2012</v>
      </c>
      <c r="C2108" t="s">
        <v>363</v>
      </c>
      <c r="D2108">
        <v>79</v>
      </c>
      <c r="E2108">
        <v>175</v>
      </c>
      <c r="F2108">
        <v>1</v>
      </c>
      <c r="G2108">
        <v>10.68</v>
      </c>
      <c r="H2108">
        <v>0</v>
      </c>
      <c r="I2108">
        <v>94</v>
      </c>
      <c r="J2108">
        <v>11</v>
      </c>
      <c r="K2108">
        <v>51.5</v>
      </c>
      <c r="L2108">
        <v>1</v>
      </c>
      <c r="M2108">
        <v>92</v>
      </c>
      <c r="N2108">
        <v>11.87</v>
      </c>
      <c r="O2108">
        <v>92</v>
      </c>
      <c r="P2108">
        <v>0.1</v>
      </c>
      <c r="S2108">
        <v>2.7</v>
      </c>
      <c r="T2108">
        <v>2.9</v>
      </c>
      <c r="W2108" t="b">
        <f>Data_Completeness(LifeExpectancyData[[#This Row],[Life expectancy]:[Schooling]])</f>
        <v>0</v>
      </c>
    </row>
    <row r="2109" spans="1:23" x14ac:dyDescent="0.25">
      <c r="A2109" t="s">
        <v>502</v>
      </c>
      <c r="B2109">
        <v>2011</v>
      </c>
      <c r="C2109" t="s">
        <v>363</v>
      </c>
      <c r="D2109">
        <v>77</v>
      </c>
      <c r="E2109">
        <v>177</v>
      </c>
      <c r="F2109">
        <v>1</v>
      </c>
      <c r="G2109">
        <v>9.4499999999999993</v>
      </c>
      <c r="H2109">
        <v>0</v>
      </c>
      <c r="I2109">
        <v>96</v>
      </c>
      <c r="J2109">
        <v>0</v>
      </c>
      <c r="K2109">
        <v>5.9</v>
      </c>
      <c r="L2109">
        <v>1</v>
      </c>
      <c r="M2109">
        <v>96</v>
      </c>
      <c r="N2109">
        <v>1.61</v>
      </c>
      <c r="O2109">
        <v>93</v>
      </c>
      <c r="P2109">
        <v>0.1</v>
      </c>
      <c r="S2109">
        <v>2.8</v>
      </c>
      <c r="T2109">
        <v>3</v>
      </c>
      <c r="W2109" t="b">
        <f>Data_Completeness(LifeExpectancyData[[#This Row],[Life expectancy]:[Schooling]])</f>
        <v>0</v>
      </c>
    </row>
    <row r="2110" spans="1:23" x14ac:dyDescent="0.25">
      <c r="A2110" t="s">
        <v>502</v>
      </c>
      <c r="B2110">
        <v>2010</v>
      </c>
      <c r="C2110" t="s">
        <v>363</v>
      </c>
      <c r="D2110">
        <v>68.8</v>
      </c>
      <c r="E2110">
        <v>219</v>
      </c>
      <c r="F2110">
        <v>1</v>
      </c>
      <c r="G2110">
        <v>8.25</v>
      </c>
      <c r="H2110">
        <v>0</v>
      </c>
      <c r="I2110">
        <v>98</v>
      </c>
      <c r="J2110">
        <v>0</v>
      </c>
      <c r="K2110">
        <v>5.4</v>
      </c>
      <c r="L2110">
        <v>1</v>
      </c>
      <c r="M2110">
        <v>97</v>
      </c>
      <c r="N2110">
        <v>12.8</v>
      </c>
      <c r="O2110">
        <v>9</v>
      </c>
      <c r="P2110">
        <v>0.1</v>
      </c>
      <c r="S2110">
        <v>2.8</v>
      </c>
      <c r="T2110">
        <v>3</v>
      </c>
      <c r="W2110" t="b">
        <f>Data_Completeness(LifeExpectancyData[[#This Row],[Life expectancy]:[Schooling]])</f>
        <v>0</v>
      </c>
    </row>
    <row r="2111" spans="1:23" x14ac:dyDescent="0.25">
      <c r="A2111" t="s">
        <v>502</v>
      </c>
      <c r="B2111">
        <v>2009</v>
      </c>
      <c r="C2111" t="s">
        <v>363</v>
      </c>
      <c r="D2111">
        <v>69</v>
      </c>
      <c r="E2111">
        <v>218</v>
      </c>
      <c r="F2111">
        <v>1</v>
      </c>
      <c r="G2111">
        <v>8.4499999999999993</v>
      </c>
      <c r="H2111">
        <v>0</v>
      </c>
      <c r="I2111">
        <v>89</v>
      </c>
      <c r="J2111">
        <v>0</v>
      </c>
      <c r="K2111">
        <v>49.9</v>
      </c>
      <c r="L2111">
        <v>1</v>
      </c>
      <c r="M2111">
        <v>87</v>
      </c>
      <c r="N2111">
        <v>12.49</v>
      </c>
      <c r="O2111">
        <v>85</v>
      </c>
      <c r="P2111">
        <v>0.1</v>
      </c>
      <c r="S2111">
        <v>2.9</v>
      </c>
      <c r="T2111">
        <v>3.1</v>
      </c>
      <c r="W2111" t="b">
        <f>Data_Completeness(LifeExpectancyData[[#This Row],[Life expectancy]:[Schooling]])</f>
        <v>0</v>
      </c>
    </row>
    <row r="2112" spans="1:23" x14ac:dyDescent="0.25">
      <c r="A2112" t="s">
        <v>502</v>
      </c>
      <c r="B2112">
        <v>2008</v>
      </c>
      <c r="C2112" t="s">
        <v>363</v>
      </c>
      <c r="D2112">
        <v>68.900000000000006</v>
      </c>
      <c r="E2112">
        <v>228</v>
      </c>
      <c r="F2112">
        <v>1</v>
      </c>
      <c r="G2112">
        <v>9.07</v>
      </c>
      <c r="H2112">
        <v>0</v>
      </c>
      <c r="I2112">
        <v>97</v>
      </c>
      <c r="J2112">
        <v>0</v>
      </c>
      <c r="K2112">
        <v>49.5</v>
      </c>
      <c r="L2112">
        <v>1</v>
      </c>
      <c r="M2112">
        <v>96</v>
      </c>
      <c r="N2112">
        <v>11.41</v>
      </c>
      <c r="O2112">
        <v>9</v>
      </c>
      <c r="P2112">
        <v>0.1</v>
      </c>
      <c r="S2112">
        <v>2.9</v>
      </c>
      <c r="T2112">
        <v>3.1</v>
      </c>
      <c r="W2112" t="b">
        <f>Data_Completeness(LifeExpectancyData[[#This Row],[Life expectancy]:[Schooling]])</f>
        <v>0</v>
      </c>
    </row>
    <row r="2113" spans="1:23" x14ac:dyDescent="0.25">
      <c r="A2113" t="s">
        <v>502</v>
      </c>
      <c r="B2113">
        <v>2007</v>
      </c>
      <c r="C2113" t="s">
        <v>363</v>
      </c>
      <c r="D2113">
        <v>68.3</v>
      </c>
      <c r="E2113">
        <v>237</v>
      </c>
      <c r="F2113">
        <v>1</v>
      </c>
      <c r="G2113">
        <v>9.66</v>
      </c>
      <c r="H2113">
        <v>0</v>
      </c>
      <c r="I2113">
        <v>95</v>
      </c>
      <c r="J2113">
        <v>10</v>
      </c>
      <c r="K2113">
        <v>49.1</v>
      </c>
      <c r="L2113">
        <v>1</v>
      </c>
      <c r="M2113">
        <v>93</v>
      </c>
      <c r="N2113">
        <v>1.88</v>
      </c>
      <c r="O2113">
        <v>92</v>
      </c>
      <c r="P2113">
        <v>0.1</v>
      </c>
      <c r="S2113">
        <v>3</v>
      </c>
      <c r="T2113">
        <v>3.2</v>
      </c>
      <c r="W2113" t="b">
        <f>Data_Completeness(LifeExpectancyData[[#This Row],[Life expectancy]:[Schooling]])</f>
        <v>0</v>
      </c>
    </row>
    <row r="2114" spans="1:23" x14ac:dyDescent="0.25">
      <c r="A2114" t="s">
        <v>502</v>
      </c>
      <c r="B2114">
        <v>2006</v>
      </c>
      <c r="C2114" t="s">
        <v>363</v>
      </c>
      <c r="D2114">
        <v>68</v>
      </c>
      <c r="E2114">
        <v>242</v>
      </c>
      <c r="F2114">
        <v>1</v>
      </c>
      <c r="G2114">
        <v>8.36</v>
      </c>
      <c r="H2114">
        <v>0</v>
      </c>
      <c r="I2114">
        <v>98</v>
      </c>
      <c r="J2114">
        <v>34</v>
      </c>
      <c r="K2114">
        <v>48.7</v>
      </c>
      <c r="L2114">
        <v>1</v>
      </c>
      <c r="M2114">
        <v>98</v>
      </c>
      <c r="N2114">
        <v>1.63</v>
      </c>
      <c r="O2114">
        <v>97</v>
      </c>
      <c r="P2114">
        <v>0.1</v>
      </c>
      <c r="S2114">
        <v>3.1</v>
      </c>
      <c r="T2114">
        <v>3.3</v>
      </c>
      <c r="W2114" t="b">
        <f>Data_Completeness(LifeExpectancyData[[#This Row],[Life expectancy]:[Schooling]])</f>
        <v>0</v>
      </c>
    </row>
    <row r="2115" spans="1:23" x14ac:dyDescent="0.25">
      <c r="A2115" t="s">
        <v>502</v>
      </c>
      <c r="B2115">
        <v>2005</v>
      </c>
      <c r="C2115" t="s">
        <v>363</v>
      </c>
      <c r="D2115">
        <v>67.3</v>
      </c>
      <c r="E2115">
        <v>248</v>
      </c>
      <c r="F2115">
        <v>1</v>
      </c>
      <c r="G2115">
        <v>10.78</v>
      </c>
      <c r="H2115">
        <v>0</v>
      </c>
      <c r="I2115">
        <v>99</v>
      </c>
      <c r="J2115">
        <v>6</v>
      </c>
      <c r="K2115">
        <v>48.3</v>
      </c>
      <c r="L2115">
        <v>1</v>
      </c>
      <c r="M2115">
        <v>99</v>
      </c>
      <c r="N2115">
        <v>9.15</v>
      </c>
      <c r="O2115">
        <v>98</v>
      </c>
      <c r="P2115">
        <v>0.1</v>
      </c>
      <c r="S2115">
        <v>3.1</v>
      </c>
      <c r="T2115">
        <v>3.3</v>
      </c>
      <c r="W2115" t="b">
        <f>Data_Completeness(LifeExpectancyData[[#This Row],[Life expectancy]:[Schooling]])</f>
        <v>0</v>
      </c>
    </row>
    <row r="2116" spans="1:23" x14ac:dyDescent="0.25">
      <c r="A2116" t="s">
        <v>502</v>
      </c>
      <c r="B2116">
        <v>2004</v>
      </c>
      <c r="C2116" t="s">
        <v>363</v>
      </c>
      <c r="D2116">
        <v>68</v>
      </c>
      <c r="E2116">
        <v>225</v>
      </c>
      <c r="F2116">
        <v>1</v>
      </c>
      <c r="G2116">
        <v>12.27</v>
      </c>
      <c r="H2116">
        <v>0</v>
      </c>
      <c r="I2116">
        <v>99</v>
      </c>
      <c r="J2116">
        <v>4</v>
      </c>
      <c r="K2116">
        <v>47.9</v>
      </c>
      <c r="L2116">
        <v>1</v>
      </c>
      <c r="M2116">
        <v>98</v>
      </c>
      <c r="N2116">
        <v>8.49</v>
      </c>
      <c r="O2116">
        <v>98</v>
      </c>
      <c r="P2116">
        <v>0.1</v>
      </c>
      <c r="S2116">
        <v>3.2</v>
      </c>
      <c r="T2116">
        <v>3.4</v>
      </c>
      <c r="W2116" t="b">
        <f>Data_Completeness(LifeExpectancyData[[#This Row],[Life expectancy]:[Schooling]])</f>
        <v>0</v>
      </c>
    </row>
    <row r="2117" spans="1:23" x14ac:dyDescent="0.25">
      <c r="A2117" t="s">
        <v>502</v>
      </c>
      <c r="B2117">
        <v>2003</v>
      </c>
      <c r="C2117" t="s">
        <v>363</v>
      </c>
      <c r="D2117">
        <v>67.599999999999994</v>
      </c>
      <c r="E2117">
        <v>226</v>
      </c>
      <c r="F2117">
        <v>1</v>
      </c>
      <c r="G2117">
        <v>8.15</v>
      </c>
      <c r="H2117">
        <v>0</v>
      </c>
      <c r="I2117">
        <v>99</v>
      </c>
      <c r="J2117">
        <v>87</v>
      </c>
      <c r="K2117">
        <v>47.6</v>
      </c>
      <c r="L2117">
        <v>1</v>
      </c>
      <c r="M2117">
        <v>98</v>
      </c>
      <c r="N2117">
        <v>8.24</v>
      </c>
      <c r="O2117">
        <v>98</v>
      </c>
      <c r="P2117">
        <v>0.1</v>
      </c>
      <c r="S2117">
        <v>3.3</v>
      </c>
      <c r="T2117">
        <v>3.5</v>
      </c>
      <c r="W2117" t="b">
        <f>Data_Completeness(LifeExpectancyData[[#This Row],[Life expectancy]:[Schooling]])</f>
        <v>0</v>
      </c>
    </row>
    <row r="2118" spans="1:23" x14ac:dyDescent="0.25">
      <c r="A2118" t="s">
        <v>502</v>
      </c>
      <c r="B2118">
        <v>2002</v>
      </c>
      <c r="C2118" t="s">
        <v>363</v>
      </c>
      <c r="D2118">
        <v>67.5</v>
      </c>
      <c r="E2118">
        <v>225</v>
      </c>
      <c r="F2118">
        <v>1</v>
      </c>
      <c r="G2118">
        <v>6.71</v>
      </c>
      <c r="H2118">
        <v>0</v>
      </c>
      <c r="I2118">
        <v>99</v>
      </c>
      <c r="J2118">
        <v>4929</v>
      </c>
      <c r="K2118">
        <v>47.2</v>
      </c>
      <c r="L2118">
        <v>1</v>
      </c>
      <c r="M2118">
        <v>98</v>
      </c>
      <c r="N2118">
        <v>8.31</v>
      </c>
      <c r="O2118">
        <v>97</v>
      </c>
      <c r="P2118">
        <v>0.1</v>
      </c>
      <c r="S2118">
        <v>3.4</v>
      </c>
      <c r="T2118">
        <v>3.6</v>
      </c>
      <c r="W2118" t="b">
        <f>Data_Completeness(LifeExpectancyData[[#This Row],[Life expectancy]:[Schooling]])</f>
        <v>0</v>
      </c>
    </row>
    <row r="2119" spans="1:23" x14ac:dyDescent="0.25">
      <c r="A2119" t="s">
        <v>502</v>
      </c>
      <c r="B2119">
        <v>2001</v>
      </c>
      <c r="C2119" t="s">
        <v>363</v>
      </c>
      <c r="D2119">
        <v>67.599999999999994</v>
      </c>
      <c r="E2119">
        <v>228</v>
      </c>
      <c r="F2119">
        <v>1</v>
      </c>
      <c r="G2119">
        <v>10.98</v>
      </c>
      <c r="H2119">
        <v>0</v>
      </c>
      <c r="I2119">
        <v>94</v>
      </c>
      <c r="J2119">
        <v>457</v>
      </c>
      <c r="K2119">
        <v>46.8</v>
      </c>
      <c r="L2119">
        <v>1</v>
      </c>
      <c r="M2119">
        <v>98</v>
      </c>
      <c r="N2119">
        <v>7</v>
      </c>
      <c r="O2119">
        <v>97</v>
      </c>
      <c r="P2119">
        <v>0.1</v>
      </c>
      <c r="S2119">
        <v>3.5</v>
      </c>
      <c r="T2119">
        <v>3.6</v>
      </c>
      <c r="W2119" t="b">
        <f>Data_Completeness(LifeExpectancyData[[#This Row],[Life expectancy]:[Schooling]])</f>
        <v>0</v>
      </c>
    </row>
    <row r="2120" spans="1:23" x14ac:dyDescent="0.25">
      <c r="A2120" t="s">
        <v>502</v>
      </c>
      <c r="B2120">
        <v>2000</v>
      </c>
      <c r="C2120" t="s">
        <v>363</v>
      </c>
      <c r="D2120">
        <v>67.099999999999994</v>
      </c>
      <c r="E2120">
        <v>235</v>
      </c>
      <c r="F2120">
        <v>1</v>
      </c>
      <c r="G2120">
        <v>9.89</v>
      </c>
      <c r="H2120">
        <v>0</v>
      </c>
      <c r="I2120">
        <v>92</v>
      </c>
      <c r="J2120">
        <v>687</v>
      </c>
      <c r="K2120">
        <v>46.5</v>
      </c>
      <c r="L2120">
        <v>2</v>
      </c>
      <c r="M2120">
        <v>97</v>
      </c>
      <c r="N2120">
        <v>6.65</v>
      </c>
      <c r="O2120">
        <v>95</v>
      </c>
      <c r="P2120">
        <v>0.1</v>
      </c>
      <c r="S2120">
        <v>3.6</v>
      </c>
      <c r="T2120">
        <v>3.7</v>
      </c>
      <c r="W2120" t="b">
        <f>Data_Completeness(LifeExpectancyData[[#This Row],[Life expectancy]:[Schooling]])</f>
        <v>0</v>
      </c>
    </row>
    <row r="2121" spans="1:23" x14ac:dyDescent="0.25">
      <c r="A2121" t="s">
        <v>503</v>
      </c>
      <c r="B2121">
        <v>2015</v>
      </c>
      <c r="C2121" t="s">
        <v>371</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Data_Completeness(LifeExpectancyData[[#This Row],[Life expectancy]:[Schooling]])</f>
        <v>0</v>
      </c>
    </row>
    <row r="2122" spans="1:23" x14ac:dyDescent="0.25">
      <c r="A2122" t="s">
        <v>503</v>
      </c>
      <c r="B2122">
        <v>2014</v>
      </c>
      <c r="C2122" t="s">
        <v>371</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Data_Completeness(LifeExpectancyData[[#This Row],[Life expectancy]:[Schooling]])</f>
        <v>1</v>
      </c>
    </row>
    <row r="2123" spans="1:23" x14ac:dyDescent="0.25">
      <c r="A2123" t="s">
        <v>503</v>
      </c>
      <c r="B2123">
        <v>2013</v>
      </c>
      <c r="C2123" t="s">
        <v>371</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Data_Completeness(LifeExpectancyData[[#This Row],[Life expectancy]:[Schooling]])</f>
        <v>1</v>
      </c>
    </row>
    <row r="2124" spans="1:23" x14ac:dyDescent="0.25">
      <c r="A2124" t="s">
        <v>503</v>
      </c>
      <c r="B2124">
        <v>2012</v>
      </c>
      <c r="C2124" t="s">
        <v>371</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Data_Completeness(LifeExpectancyData[[#This Row],[Life expectancy]:[Schooling]])</f>
        <v>1</v>
      </c>
    </row>
    <row r="2125" spans="1:23" x14ac:dyDescent="0.25">
      <c r="A2125" t="s">
        <v>503</v>
      </c>
      <c r="B2125">
        <v>2011</v>
      </c>
      <c r="C2125" t="s">
        <v>371</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Data_Completeness(LifeExpectancyData[[#This Row],[Life expectancy]:[Schooling]])</f>
        <v>1</v>
      </c>
    </row>
    <row r="2126" spans="1:23" x14ac:dyDescent="0.25">
      <c r="A2126" t="s">
        <v>503</v>
      </c>
      <c r="B2126">
        <v>2010</v>
      </c>
      <c r="C2126" t="s">
        <v>371</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Data_Completeness(LifeExpectancyData[[#This Row],[Life expectancy]:[Schooling]])</f>
        <v>1</v>
      </c>
    </row>
    <row r="2127" spans="1:23" x14ac:dyDescent="0.25">
      <c r="A2127" t="s">
        <v>503</v>
      </c>
      <c r="B2127">
        <v>2009</v>
      </c>
      <c r="C2127" t="s">
        <v>371</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Data_Completeness(LifeExpectancyData[[#This Row],[Life expectancy]:[Schooling]])</f>
        <v>1</v>
      </c>
    </row>
    <row r="2128" spans="1:23" x14ac:dyDescent="0.25">
      <c r="A2128" t="s">
        <v>503</v>
      </c>
      <c r="B2128">
        <v>2008</v>
      </c>
      <c r="C2128" t="s">
        <v>371</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Data_Completeness(LifeExpectancyData[[#This Row],[Life expectancy]:[Schooling]])</f>
        <v>1</v>
      </c>
    </row>
    <row r="2129" spans="1:23" x14ac:dyDescent="0.25">
      <c r="A2129" t="s">
        <v>503</v>
      </c>
      <c r="B2129">
        <v>2007</v>
      </c>
      <c r="C2129" t="s">
        <v>371</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Data_Completeness(LifeExpectancyData[[#This Row],[Life expectancy]:[Schooling]])</f>
        <v>1</v>
      </c>
    </row>
    <row r="2130" spans="1:23" x14ac:dyDescent="0.25">
      <c r="A2130" t="s">
        <v>503</v>
      </c>
      <c r="B2130">
        <v>2006</v>
      </c>
      <c r="C2130" t="s">
        <v>371</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Data_Completeness(LifeExpectancyData[[#This Row],[Life expectancy]:[Schooling]])</f>
        <v>1</v>
      </c>
    </row>
    <row r="2131" spans="1:23" x14ac:dyDescent="0.25">
      <c r="A2131" t="s">
        <v>503</v>
      </c>
      <c r="B2131">
        <v>2005</v>
      </c>
      <c r="C2131" t="s">
        <v>371</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Data_Completeness(LifeExpectancyData[[#This Row],[Life expectancy]:[Schooling]])</f>
        <v>1</v>
      </c>
    </row>
    <row r="2132" spans="1:23" x14ac:dyDescent="0.25">
      <c r="A2132" t="s">
        <v>503</v>
      </c>
      <c r="B2132">
        <v>2004</v>
      </c>
      <c r="C2132" t="s">
        <v>371</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Data_Completeness(LifeExpectancyData[[#This Row],[Life expectancy]:[Schooling]])</f>
        <v>1</v>
      </c>
    </row>
    <row r="2133" spans="1:23" x14ac:dyDescent="0.25">
      <c r="A2133" t="s">
        <v>503</v>
      </c>
      <c r="B2133">
        <v>2003</v>
      </c>
      <c r="C2133" t="s">
        <v>371</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Data_Completeness(LifeExpectancyData[[#This Row],[Life expectancy]:[Schooling]])</f>
        <v>1</v>
      </c>
    </row>
    <row r="2134" spans="1:23" x14ac:dyDescent="0.25">
      <c r="A2134" t="s">
        <v>503</v>
      </c>
      <c r="B2134">
        <v>2002</v>
      </c>
      <c r="C2134" t="s">
        <v>371</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Data_Completeness(LifeExpectancyData[[#This Row],[Life expectancy]:[Schooling]])</f>
        <v>1</v>
      </c>
    </row>
    <row r="2135" spans="1:23" x14ac:dyDescent="0.25">
      <c r="A2135" t="s">
        <v>503</v>
      </c>
      <c r="B2135">
        <v>2001</v>
      </c>
      <c r="C2135" t="s">
        <v>371</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Data_Completeness(LifeExpectancyData[[#This Row],[Life expectancy]:[Schooling]])</f>
        <v>1</v>
      </c>
    </row>
    <row r="2136" spans="1:23" x14ac:dyDescent="0.25">
      <c r="A2136" t="s">
        <v>503</v>
      </c>
      <c r="B2136">
        <v>2000</v>
      </c>
      <c r="C2136" t="s">
        <v>371</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Data_Completeness(LifeExpectancyData[[#This Row],[Life expectancy]:[Schooling]])</f>
        <v>1</v>
      </c>
    </row>
    <row r="2137" spans="1:23" x14ac:dyDescent="0.25">
      <c r="A2137" t="s">
        <v>504</v>
      </c>
      <c r="B2137">
        <v>2015</v>
      </c>
      <c r="C2137" t="s">
        <v>363</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Data_Completeness(LifeExpectancyData[[#This Row],[Life expectancy]:[Schooling]])</f>
        <v>0</v>
      </c>
    </row>
    <row r="2138" spans="1:23" x14ac:dyDescent="0.25">
      <c r="A2138" t="s">
        <v>504</v>
      </c>
      <c r="B2138">
        <v>2014</v>
      </c>
      <c r="C2138" t="s">
        <v>363</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Data_Completeness(LifeExpectancyData[[#This Row],[Life expectancy]:[Schooling]])</f>
        <v>1</v>
      </c>
    </row>
    <row r="2139" spans="1:23" x14ac:dyDescent="0.25">
      <c r="A2139" t="s">
        <v>504</v>
      </c>
      <c r="B2139">
        <v>2013</v>
      </c>
      <c r="C2139" t="s">
        <v>363</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Data_Completeness(LifeExpectancyData[[#This Row],[Life expectancy]:[Schooling]])</f>
        <v>1</v>
      </c>
    </row>
    <row r="2140" spans="1:23" x14ac:dyDescent="0.25">
      <c r="A2140" t="s">
        <v>504</v>
      </c>
      <c r="B2140">
        <v>2012</v>
      </c>
      <c r="C2140" t="s">
        <v>363</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Data_Completeness(LifeExpectancyData[[#This Row],[Life expectancy]:[Schooling]])</f>
        <v>1</v>
      </c>
    </row>
    <row r="2141" spans="1:23" x14ac:dyDescent="0.25">
      <c r="A2141" t="s">
        <v>504</v>
      </c>
      <c r="B2141">
        <v>2011</v>
      </c>
      <c r="C2141" t="s">
        <v>363</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Data_Completeness(LifeExpectancyData[[#This Row],[Life expectancy]:[Schooling]])</f>
        <v>1</v>
      </c>
    </row>
    <row r="2142" spans="1:23" x14ac:dyDescent="0.25">
      <c r="A2142" t="s">
        <v>504</v>
      </c>
      <c r="B2142">
        <v>2010</v>
      </c>
      <c r="C2142" t="s">
        <v>363</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Data_Completeness(LifeExpectancyData[[#This Row],[Life expectancy]:[Schooling]])</f>
        <v>1</v>
      </c>
    </row>
    <row r="2143" spans="1:23" x14ac:dyDescent="0.25">
      <c r="A2143" t="s">
        <v>504</v>
      </c>
      <c r="B2143">
        <v>2009</v>
      </c>
      <c r="C2143" t="s">
        <v>363</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Data_Completeness(LifeExpectancyData[[#This Row],[Life expectancy]:[Schooling]])</f>
        <v>1</v>
      </c>
    </row>
    <row r="2144" spans="1:23" x14ac:dyDescent="0.25">
      <c r="A2144" t="s">
        <v>504</v>
      </c>
      <c r="B2144">
        <v>2008</v>
      </c>
      <c r="C2144" t="s">
        <v>363</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Data_Completeness(LifeExpectancyData[[#This Row],[Life expectancy]:[Schooling]])</f>
        <v>1</v>
      </c>
    </row>
    <row r="2145" spans="1:23" x14ac:dyDescent="0.25">
      <c r="A2145" t="s">
        <v>504</v>
      </c>
      <c r="B2145">
        <v>2007</v>
      </c>
      <c r="C2145" t="s">
        <v>363</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Data_Completeness(LifeExpectancyData[[#This Row],[Life expectancy]:[Schooling]])</f>
        <v>1</v>
      </c>
    </row>
    <row r="2146" spans="1:23" x14ac:dyDescent="0.25">
      <c r="A2146" t="s">
        <v>504</v>
      </c>
      <c r="B2146">
        <v>2006</v>
      </c>
      <c r="C2146" t="s">
        <v>363</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Data_Completeness(LifeExpectancyData[[#This Row],[Life expectancy]:[Schooling]])</f>
        <v>1</v>
      </c>
    </row>
    <row r="2147" spans="1:23" x14ac:dyDescent="0.25">
      <c r="A2147" t="s">
        <v>504</v>
      </c>
      <c r="B2147">
        <v>2005</v>
      </c>
      <c r="C2147" t="s">
        <v>363</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Data_Completeness(LifeExpectancyData[[#This Row],[Life expectancy]:[Schooling]])</f>
        <v>1</v>
      </c>
    </row>
    <row r="2148" spans="1:23" x14ac:dyDescent="0.25">
      <c r="A2148" t="s">
        <v>504</v>
      </c>
      <c r="B2148">
        <v>2004</v>
      </c>
      <c r="C2148" t="s">
        <v>363</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Data_Completeness(LifeExpectancyData[[#This Row],[Life expectancy]:[Schooling]])</f>
        <v>1</v>
      </c>
    </row>
    <row r="2149" spans="1:23" x14ac:dyDescent="0.25">
      <c r="A2149" t="s">
        <v>504</v>
      </c>
      <c r="B2149">
        <v>2003</v>
      </c>
      <c r="C2149" t="s">
        <v>363</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Data_Completeness(LifeExpectancyData[[#This Row],[Life expectancy]:[Schooling]])</f>
        <v>1</v>
      </c>
    </row>
    <row r="2150" spans="1:23" x14ac:dyDescent="0.25">
      <c r="A2150" t="s">
        <v>504</v>
      </c>
      <c r="B2150">
        <v>2002</v>
      </c>
      <c r="C2150" t="s">
        <v>363</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Data_Completeness(LifeExpectancyData[[#This Row],[Life expectancy]:[Schooling]])</f>
        <v>1</v>
      </c>
    </row>
    <row r="2151" spans="1:23" x14ac:dyDescent="0.25">
      <c r="A2151" t="s">
        <v>504</v>
      </c>
      <c r="B2151">
        <v>2001</v>
      </c>
      <c r="C2151" t="s">
        <v>363</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Data_Completeness(LifeExpectancyData[[#This Row],[Life expectancy]:[Schooling]])</f>
        <v>1</v>
      </c>
    </row>
    <row r="2152" spans="1:23" x14ac:dyDescent="0.25">
      <c r="A2152" t="s">
        <v>504</v>
      </c>
      <c r="B2152">
        <v>2000</v>
      </c>
      <c r="C2152" t="s">
        <v>363</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Data_Completeness(LifeExpectancyData[[#This Row],[Life expectancy]:[Schooling]])</f>
        <v>0</v>
      </c>
    </row>
    <row r="2153" spans="1:23" x14ac:dyDescent="0.25">
      <c r="A2153" t="s">
        <v>505</v>
      </c>
      <c r="B2153">
        <v>2015</v>
      </c>
      <c r="C2153" t="s">
        <v>363</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Data_Completeness(LifeExpectancyData[[#This Row],[Life expectancy]:[Schooling]])</f>
        <v>0</v>
      </c>
    </row>
    <row r="2154" spans="1:23" x14ac:dyDescent="0.25">
      <c r="A2154" t="s">
        <v>505</v>
      </c>
      <c r="B2154">
        <v>2014</v>
      </c>
      <c r="C2154" t="s">
        <v>363</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Data_Completeness(LifeExpectancyData[[#This Row],[Life expectancy]:[Schooling]])</f>
        <v>1</v>
      </c>
    </row>
    <row r="2155" spans="1:23" x14ac:dyDescent="0.25">
      <c r="A2155" t="s">
        <v>505</v>
      </c>
      <c r="B2155">
        <v>2013</v>
      </c>
      <c r="C2155" t="s">
        <v>363</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Data_Completeness(LifeExpectancyData[[#This Row],[Life expectancy]:[Schooling]])</f>
        <v>1</v>
      </c>
    </row>
    <row r="2156" spans="1:23" x14ac:dyDescent="0.25">
      <c r="A2156" t="s">
        <v>505</v>
      </c>
      <c r="B2156">
        <v>2012</v>
      </c>
      <c r="C2156" t="s">
        <v>363</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Data_Completeness(LifeExpectancyData[[#This Row],[Life expectancy]:[Schooling]])</f>
        <v>1</v>
      </c>
    </row>
    <row r="2157" spans="1:23" x14ac:dyDescent="0.25">
      <c r="A2157" t="s">
        <v>505</v>
      </c>
      <c r="B2157">
        <v>2011</v>
      </c>
      <c r="C2157" t="s">
        <v>363</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Data_Completeness(LifeExpectancyData[[#This Row],[Life expectancy]:[Schooling]])</f>
        <v>1</v>
      </c>
    </row>
    <row r="2158" spans="1:23" x14ac:dyDescent="0.25">
      <c r="A2158" t="s">
        <v>505</v>
      </c>
      <c r="B2158">
        <v>2010</v>
      </c>
      <c r="C2158" t="s">
        <v>363</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Data_Completeness(LifeExpectancyData[[#This Row],[Life expectancy]:[Schooling]])</f>
        <v>1</v>
      </c>
    </row>
    <row r="2159" spans="1:23" x14ac:dyDescent="0.25">
      <c r="A2159" t="s">
        <v>505</v>
      </c>
      <c r="B2159">
        <v>2009</v>
      </c>
      <c r="C2159" t="s">
        <v>363</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Data_Completeness(LifeExpectancyData[[#This Row],[Life expectancy]:[Schooling]])</f>
        <v>1</v>
      </c>
    </row>
    <row r="2160" spans="1:23" x14ac:dyDescent="0.25">
      <c r="A2160" t="s">
        <v>505</v>
      </c>
      <c r="B2160">
        <v>2008</v>
      </c>
      <c r="C2160" t="s">
        <v>363</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Data_Completeness(LifeExpectancyData[[#This Row],[Life expectancy]:[Schooling]])</f>
        <v>1</v>
      </c>
    </row>
    <row r="2161" spans="1:23" x14ac:dyDescent="0.25">
      <c r="A2161" t="s">
        <v>505</v>
      </c>
      <c r="B2161">
        <v>2007</v>
      </c>
      <c r="C2161" t="s">
        <v>363</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Data_Completeness(LifeExpectancyData[[#This Row],[Life expectancy]:[Schooling]])</f>
        <v>1</v>
      </c>
    </row>
    <row r="2162" spans="1:23" x14ac:dyDescent="0.25">
      <c r="A2162" t="s">
        <v>505</v>
      </c>
      <c r="B2162">
        <v>2006</v>
      </c>
      <c r="C2162" t="s">
        <v>363</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Data_Completeness(LifeExpectancyData[[#This Row],[Life expectancy]:[Schooling]])</f>
        <v>1</v>
      </c>
    </row>
    <row r="2163" spans="1:23" x14ac:dyDescent="0.25">
      <c r="A2163" t="s">
        <v>505</v>
      </c>
      <c r="B2163">
        <v>2005</v>
      </c>
      <c r="C2163" t="s">
        <v>363</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Data_Completeness(LifeExpectancyData[[#This Row],[Life expectancy]:[Schooling]])</f>
        <v>1</v>
      </c>
    </row>
    <row r="2164" spans="1:23" x14ac:dyDescent="0.25">
      <c r="A2164" t="s">
        <v>505</v>
      </c>
      <c r="B2164">
        <v>2004</v>
      </c>
      <c r="C2164" t="s">
        <v>363</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Data_Completeness(LifeExpectancyData[[#This Row],[Life expectancy]:[Schooling]])</f>
        <v>1</v>
      </c>
    </row>
    <row r="2165" spans="1:23" x14ac:dyDescent="0.25">
      <c r="A2165" t="s">
        <v>505</v>
      </c>
      <c r="B2165">
        <v>2003</v>
      </c>
      <c r="C2165" t="s">
        <v>363</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Data_Completeness(LifeExpectancyData[[#This Row],[Life expectancy]:[Schooling]])</f>
        <v>1</v>
      </c>
    </row>
    <row r="2166" spans="1:23" x14ac:dyDescent="0.25">
      <c r="A2166" t="s">
        <v>505</v>
      </c>
      <c r="B2166">
        <v>2002</v>
      </c>
      <c r="C2166" t="s">
        <v>363</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Data_Completeness(LifeExpectancyData[[#This Row],[Life expectancy]:[Schooling]])</f>
        <v>1</v>
      </c>
    </row>
    <row r="2167" spans="1:23" x14ac:dyDescent="0.25">
      <c r="A2167" t="s">
        <v>505</v>
      </c>
      <c r="B2167">
        <v>2001</v>
      </c>
      <c r="C2167" t="s">
        <v>363</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Data_Completeness(LifeExpectancyData[[#This Row],[Life expectancy]:[Schooling]])</f>
        <v>0</v>
      </c>
    </row>
    <row r="2168" spans="1:23" x14ac:dyDescent="0.25">
      <c r="A2168" t="s">
        <v>505</v>
      </c>
      <c r="B2168">
        <v>2000</v>
      </c>
      <c r="C2168" t="s">
        <v>363</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Data_Completeness(LifeExpectancyData[[#This Row],[Life expectancy]:[Schooling]])</f>
        <v>0</v>
      </c>
    </row>
    <row r="2169" spans="1:23" x14ac:dyDescent="0.25">
      <c r="A2169" t="s">
        <v>506</v>
      </c>
      <c r="B2169">
        <v>2013</v>
      </c>
      <c r="C2169" t="s">
        <v>363</v>
      </c>
      <c r="F2169">
        <v>0</v>
      </c>
      <c r="G2169">
        <v>8.5399999999999991</v>
      </c>
      <c r="H2169">
        <v>0</v>
      </c>
      <c r="I2169">
        <v>97</v>
      </c>
      <c r="J2169">
        <v>0</v>
      </c>
      <c r="K2169">
        <v>5.2</v>
      </c>
      <c r="L2169">
        <v>0</v>
      </c>
      <c r="M2169">
        <v>96</v>
      </c>
      <c r="N2169">
        <v>6.14</v>
      </c>
      <c r="O2169">
        <v>96</v>
      </c>
      <c r="P2169">
        <v>0.1</v>
      </c>
      <c r="S2169">
        <v>3.7</v>
      </c>
      <c r="T2169">
        <v>3.6</v>
      </c>
      <c r="U2169">
        <v>0.749</v>
      </c>
      <c r="V2169">
        <v>13.4</v>
      </c>
      <c r="W2169" t="b">
        <f>Data_Completeness(LifeExpectancyData[[#This Row],[Life expectancy]:[Schooling]])</f>
        <v>0</v>
      </c>
    </row>
    <row r="2170" spans="1:23" x14ac:dyDescent="0.25">
      <c r="A2170" t="s">
        <v>507</v>
      </c>
      <c r="B2170">
        <v>2015</v>
      </c>
      <c r="C2170" t="s">
        <v>363</v>
      </c>
      <c r="D2170">
        <v>75.2</v>
      </c>
      <c r="E2170">
        <v>138</v>
      </c>
      <c r="F2170">
        <v>0</v>
      </c>
      <c r="H2170">
        <v>0</v>
      </c>
      <c r="I2170">
        <v>99</v>
      </c>
      <c r="J2170">
        <v>0</v>
      </c>
      <c r="K2170">
        <v>47.5</v>
      </c>
      <c r="L2170">
        <v>0</v>
      </c>
      <c r="M2170">
        <v>99</v>
      </c>
      <c r="O2170">
        <v>99</v>
      </c>
      <c r="P2170">
        <v>0.1</v>
      </c>
      <c r="S2170">
        <v>4.3</v>
      </c>
      <c r="T2170">
        <v>4.3</v>
      </c>
      <c r="U2170">
        <v>0.73499999999999999</v>
      </c>
      <c r="V2170">
        <v>13.1</v>
      </c>
      <c r="W2170" t="b">
        <f>Data_Completeness(LifeExpectancyData[[#This Row],[Life expectancy]:[Schooling]])</f>
        <v>0</v>
      </c>
    </row>
    <row r="2171" spans="1:23" x14ac:dyDescent="0.25">
      <c r="A2171" t="s">
        <v>507</v>
      </c>
      <c r="B2171">
        <v>2014</v>
      </c>
      <c r="C2171" t="s">
        <v>363</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Data_Completeness(LifeExpectancyData[[#This Row],[Life expectancy]:[Schooling]])</f>
        <v>0</v>
      </c>
    </row>
    <row r="2172" spans="1:23" x14ac:dyDescent="0.25">
      <c r="A2172" t="s">
        <v>507</v>
      </c>
      <c r="B2172">
        <v>2013</v>
      </c>
      <c r="C2172" t="s">
        <v>363</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Data_Completeness(LifeExpectancyData[[#This Row],[Life expectancy]:[Schooling]])</f>
        <v>0</v>
      </c>
    </row>
    <row r="2173" spans="1:23" x14ac:dyDescent="0.25">
      <c r="A2173" t="s">
        <v>507</v>
      </c>
      <c r="B2173">
        <v>2012</v>
      </c>
      <c r="C2173" t="s">
        <v>363</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Data_Completeness(LifeExpectancyData[[#This Row],[Life expectancy]:[Schooling]])</f>
        <v>0</v>
      </c>
    </row>
    <row r="2174" spans="1:23" x14ac:dyDescent="0.25">
      <c r="A2174" t="s">
        <v>507</v>
      </c>
      <c r="B2174">
        <v>2011</v>
      </c>
      <c r="C2174" t="s">
        <v>363</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Data_Completeness(LifeExpectancyData[[#This Row],[Life expectancy]:[Schooling]])</f>
        <v>0</v>
      </c>
    </row>
    <row r="2175" spans="1:23" x14ac:dyDescent="0.25">
      <c r="A2175" t="s">
        <v>507</v>
      </c>
      <c r="B2175">
        <v>2010</v>
      </c>
      <c r="C2175" t="s">
        <v>363</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Data_Completeness(LifeExpectancyData[[#This Row],[Life expectancy]:[Schooling]])</f>
        <v>0</v>
      </c>
    </row>
    <row r="2176" spans="1:23" x14ac:dyDescent="0.25">
      <c r="A2176" t="s">
        <v>507</v>
      </c>
      <c r="B2176">
        <v>2009</v>
      </c>
      <c r="C2176" t="s">
        <v>363</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Data_Completeness(LifeExpectancyData[[#This Row],[Life expectancy]:[Schooling]])</f>
        <v>0</v>
      </c>
    </row>
    <row r="2177" spans="1:23" x14ac:dyDescent="0.25">
      <c r="A2177" t="s">
        <v>507</v>
      </c>
      <c r="B2177">
        <v>2008</v>
      </c>
      <c r="C2177" t="s">
        <v>363</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Data_Completeness(LifeExpectancyData[[#This Row],[Life expectancy]:[Schooling]])</f>
        <v>0</v>
      </c>
    </row>
    <row r="2178" spans="1:23" x14ac:dyDescent="0.25">
      <c r="A2178" t="s">
        <v>507</v>
      </c>
      <c r="B2178">
        <v>2007</v>
      </c>
      <c r="C2178" t="s">
        <v>363</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Data_Completeness(LifeExpectancyData[[#This Row],[Life expectancy]:[Schooling]])</f>
        <v>0</v>
      </c>
    </row>
    <row r="2179" spans="1:23" x14ac:dyDescent="0.25">
      <c r="A2179" t="s">
        <v>507</v>
      </c>
      <c r="B2179">
        <v>2006</v>
      </c>
      <c r="C2179" t="s">
        <v>363</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Data_Completeness(LifeExpectancyData[[#This Row],[Life expectancy]:[Schooling]])</f>
        <v>0</v>
      </c>
    </row>
    <row r="2180" spans="1:23" x14ac:dyDescent="0.25">
      <c r="A2180" t="s">
        <v>507</v>
      </c>
      <c r="B2180">
        <v>2005</v>
      </c>
      <c r="C2180" t="s">
        <v>363</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Data_Completeness(LifeExpectancyData[[#This Row],[Life expectancy]:[Schooling]])</f>
        <v>0</v>
      </c>
    </row>
    <row r="2181" spans="1:23" x14ac:dyDescent="0.25">
      <c r="A2181" t="s">
        <v>507</v>
      </c>
      <c r="B2181">
        <v>2004</v>
      </c>
      <c r="C2181" t="s">
        <v>363</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Data_Completeness(LifeExpectancyData[[#This Row],[Life expectancy]:[Schooling]])</f>
        <v>0</v>
      </c>
    </row>
    <row r="2182" spans="1:23" x14ac:dyDescent="0.25">
      <c r="A2182" t="s">
        <v>507</v>
      </c>
      <c r="B2182">
        <v>2003</v>
      </c>
      <c r="C2182" t="s">
        <v>363</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Data_Completeness(LifeExpectancyData[[#This Row],[Life expectancy]:[Schooling]])</f>
        <v>0</v>
      </c>
    </row>
    <row r="2183" spans="1:23" x14ac:dyDescent="0.25">
      <c r="A2183" t="s">
        <v>507</v>
      </c>
      <c r="B2183">
        <v>2002</v>
      </c>
      <c r="C2183" t="s">
        <v>363</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Data_Completeness(LifeExpectancyData[[#This Row],[Life expectancy]:[Schooling]])</f>
        <v>0</v>
      </c>
    </row>
    <row r="2184" spans="1:23" x14ac:dyDescent="0.25">
      <c r="A2184" t="s">
        <v>507</v>
      </c>
      <c r="B2184">
        <v>2001</v>
      </c>
      <c r="C2184" t="s">
        <v>363</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Data_Completeness(LifeExpectancyData[[#This Row],[Life expectancy]:[Schooling]])</f>
        <v>0</v>
      </c>
    </row>
    <row r="2185" spans="1:23" x14ac:dyDescent="0.25">
      <c r="A2185" t="s">
        <v>507</v>
      </c>
      <c r="B2185">
        <v>2000</v>
      </c>
      <c r="C2185" t="s">
        <v>363</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Data_Completeness(LifeExpectancyData[[#This Row],[Life expectancy]:[Schooling]])</f>
        <v>0</v>
      </c>
    </row>
    <row r="2186" spans="1:23" x14ac:dyDescent="0.25">
      <c r="A2186" t="s">
        <v>508</v>
      </c>
      <c r="B2186">
        <v>2015</v>
      </c>
      <c r="C2186" t="s">
        <v>363</v>
      </c>
      <c r="D2186">
        <v>73.2</v>
      </c>
      <c r="E2186">
        <v>156</v>
      </c>
      <c r="F2186">
        <v>0</v>
      </c>
      <c r="H2186">
        <v>0</v>
      </c>
      <c r="I2186">
        <v>98</v>
      </c>
      <c r="J2186">
        <v>0</v>
      </c>
      <c r="K2186">
        <v>54.1</v>
      </c>
      <c r="L2186">
        <v>0</v>
      </c>
      <c r="M2186">
        <v>97</v>
      </c>
      <c r="O2186">
        <v>98</v>
      </c>
      <c r="P2186">
        <v>0.1</v>
      </c>
      <c r="S2186">
        <v>3.5</v>
      </c>
      <c r="T2186">
        <v>3.4</v>
      </c>
      <c r="U2186">
        <v>0.72</v>
      </c>
      <c r="V2186">
        <v>13.3</v>
      </c>
      <c r="W2186" t="b">
        <f>Data_Completeness(LifeExpectancyData[[#This Row],[Life expectancy]:[Schooling]])</f>
        <v>0</v>
      </c>
    </row>
    <row r="2187" spans="1:23" x14ac:dyDescent="0.25">
      <c r="A2187" t="s">
        <v>508</v>
      </c>
      <c r="B2187">
        <v>2014</v>
      </c>
      <c r="C2187" t="s">
        <v>363</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Data_Completeness(LifeExpectancyData[[#This Row],[Life expectancy]:[Schooling]])</f>
        <v>0</v>
      </c>
    </row>
    <row r="2188" spans="1:23" x14ac:dyDescent="0.25">
      <c r="A2188" t="s">
        <v>508</v>
      </c>
      <c r="B2188">
        <v>2013</v>
      </c>
      <c r="C2188" t="s">
        <v>363</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Data_Completeness(LifeExpectancyData[[#This Row],[Life expectancy]:[Schooling]])</f>
        <v>0</v>
      </c>
    </row>
    <row r="2189" spans="1:23" x14ac:dyDescent="0.25">
      <c r="A2189" t="s">
        <v>508</v>
      </c>
      <c r="B2189">
        <v>2012</v>
      </c>
      <c r="C2189" t="s">
        <v>363</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Data_Completeness(LifeExpectancyData[[#This Row],[Life expectancy]:[Schooling]])</f>
        <v>0</v>
      </c>
    </row>
    <row r="2190" spans="1:23" x14ac:dyDescent="0.25">
      <c r="A2190" t="s">
        <v>508</v>
      </c>
      <c r="B2190">
        <v>2011</v>
      </c>
      <c r="C2190" t="s">
        <v>363</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Data_Completeness(LifeExpectancyData[[#This Row],[Life expectancy]:[Schooling]])</f>
        <v>0</v>
      </c>
    </row>
    <row r="2191" spans="1:23" x14ac:dyDescent="0.25">
      <c r="A2191" t="s">
        <v>508</v>
      </c>
      <c r="B2191">
        <v>2010</v>
      </c>
      <c r="C2191" t="s">
        <v>363</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Data_Completeness(LifeExpectancyData[[#This Row],[Life expectancy]:[Schooling]])</f>
        <v>0</v>
      </c>
    </row>
    <row r="2192" spans="1:23" x14ac:dyDescent="0.25">
      <c r="A2192" t="s">
        <v>508</v>
      </c>
      <c r="B2192">
        <v>2009</v>
      </c>
      <c r="C2192" t="s">
        <v>363</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Data_Completeness(LifeExpectancyData[[#This Row],[Life expectancy]:[Schooling]])</f>
        <v>0</v>
      </c>
    </row>
    <row r="2193" spans="1:23" x14ac:dyDescent="0.25">
      <c r="A2193" t="s">
        <v>508</v>
      </c>
      <c r="B2193">
        <v>2008</v>
      </c>
      <c r="C2193" t="s">
        <v>363</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Data_Completeness(LifeExpectancyData[[#This Row],[Life expectancy]:[Schooling]])</f>
        <v>0</v>
      </c>
    </row>
    <row r="2194" spans="1:23" x14ac:dyDescent="0.25">
      <c r="A2194" t="s">
        <v>508</v>
      </c>
      <c r="B2194">
        <v>2007</v>
      </c>
      <c r="C2194" t="s">
        <v>363</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Data_Completeness(LifeExpectancyData[[#This Row],[Life expectancy]:[Schooling]])</f>
        <v>0</v>
      </c>
    </row>
    <row r="2195" spans="1:23" x14ac:dyDescent="0.25">
      <c r="A2195" t="s">
        <v>508</v>
      </c>
      <c r="B2195">
        <v>2006</v>
      </c>
      <c r="C2195" t="s">
        <v>363</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Data_Completeness(LifeExpectancyData[[#This Row],[Life expectancy]:[Schooling]])</f>
        <v>0</v>
      </c>
    </row>
    <row r="2196" spans="1:23" x14ac:dyDescent="0.25">
      <c r="A2196" t="s">
        <v>508</v>
      </c>
      <c r="B2196">
        <v>2005</v>
      </c>
      <c r="C2196" t="s">
        <v>363</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Data_Completeness(LifeExpectancyData[[#This Row],[Life expectancy]:[Schooling]])</f>
        <v>0</v>
      </c>
    </row>
    <row r="2197" spans="1:23" x14ac:dyDescent="0.25">
      <c r="A2197" t="s">
        <v>508</v>
      </c>
      <c r="B2197">
        <v>2004</v>
      </c>
      <c r="C2197" t="s">
        <v>363</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Data_Completeness(LifeExpectancyData[[#This Row],[Life expectancy]:[Schooling]])</f>
        <v>0</v>
      </c>
    </row>
    <row r="2198" spans="1:23" x14ac:dyDescent="0.25">
      <c r="A2198" t="s">
        <v>508</v>
      </c>
      <c r="B2198">
        <v>2003</v>
      </c>
      <c r="C2198" t="s">
        <v>363</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Data_Completeness(LifeExpectancyData[[#This Row],[Life expectancy]:[Schooling]])</f>
        <v>0</v>
      </c>
    </row>
    <row r="2199" spans="1:23" x14ac:dyDescent="0.25">
      <c r="A2199" t="s">
        <v>508</v>
      </c>
      <c r="B2199">
        <v>2002</v>
      </c>
      <c r="C2199" t="s">
        <v>363</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Data_Completeness(LifeExpectancyData[[#This Row],[Life expectancy]:[Schooling]])</f>
        <v>0</v>
      </c>
    </row>
    <row r="2200" spans="1:23" x14ac:dyDescent="0.25">
      <c r="A2200" t="s">
        <v>508</v>
      </c>
      <c r="B2200">
        <v>2001</v>
      </c>
      <c r="C2200" t="s">
        <v>363</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Data_Completeness(LifeExpectancyData[[#This Row],[Life expectancy]:[Schooling]])</f>
        <v>0</v>
      </c>
    </row>
    <row r="2201" spans="1:23" x14ac:dyDescent="0.25">
      <c r="A2201" t="s">
        <v>508</v>
      </c>
      <c r="B2201">
        <v>2000</v>
      </c>
      <c r="C2201" t="s">
        <v>363</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Data_Completeness(LifeExpectancyData[[#This Row],[Life expectancy]:[Schooling]])</f>
        <v>0</v>
      </c>
    </row>
    <row r="2202" spans="1:23" x14ac:dyDescent="0.25">
      <c r="A2202" t="s">
        <v>509</v>
      </c>
      <c r="B2202">
        <v>2015</v>
      </c>
      <c r="C2202" t="s">
        <v>363</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Data_Completeness(LifeExpectancyData[[#This Row],[Life expectancy]:[Schooling]])</f>
        <v>0</v>
      </c>
    </row>
    <row r="2203" spans="1:23" x14ac:dyDescent="0.25">
      <c r="A2203" t="s">
        <v>509</v>
      </c>
      <c r="B2203">
        <v>2014</v>
      </c>
      <c r="C2203" t="s">
        <v>363</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Data_Completeness(LifeExpectancyData[[#This Row],[Life expectancy]:[Schooling]])</f>
        <v>1</v>
      </c>
    </row>
    <row r="2204" spans="1:23" x14ac:dyDescent="0.25">
      <c r="A2204" t="s">
        <v>509</v>
      </c>
      <c r="B2204">
        <v>2013</v>
      </c>
      <c r="C2204" t="s">
        <v>363</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Data_Completeness(LifeExpectancyData[[#This Row],[Life expectancy]:[Schooling]])</f>
        <v>1</v>
      </c>
    </row>
    <row r="2205" spans="1:23" x14ac:dyDescent="0.25">
      <c r="A2205" t="s">
        <v>509</v>
      </c>
      <c r="B2205">
        <v>2012</v>
      </c>
      <c r="C2205" t="s">
        <v>363</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Data_Completeness(LifeExpectancyData[[#This Row],[Life expectancy]:[Schooling]])</f>
        <v>1</v>
      </c>
    </row>
    <row r="2206" spans="1:23" x14ac:dyDescent="0.25">
      <c r="A2206" t="s">
        <v>509</v>
      </c>
      <c r="B2206">
        <v>2011</v>
      </c>
      <c r="C2206" t="s">
        <v>363</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Data_Completeness(LifeExpectancyData[[#This Row],[Life expectancy]:[Schooling]])</f>
        <v>1</v>
      </c>
    </row>
    <row r="2207" spans="1:23" x14ac:dyDescent="0.25">
      <c r="A2207" t="s">
        <v>509</v>
      </c>
      <c r="B2207">
        <v>2010</v>
      </c>
      <c r="C2207" t="s">
        <v>363</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Data_Completeness(LifeExpectancyData[[#This Row],[Life expectancy]:[Schooling]])</f>
        <v>1</v>
      </c>
    </row>
    <row r="2208" spans="1:23" x14ac:dyDescent="0.25">
      <c r="A2208" t="s">
        <v>509</v>
      </c>
      <c r="B2208">
        <v>2009</v>
      </c>
      <c r="C2208" t="s">
        <v>363</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Data_Completeness(LifeExpectancyData[[#This Row],[Life expectancy]:[Schooling]])</f>
        <v>1</v>
      </c>
    </row>
    <row r="2209" spans="1:23" x14ac:dyDescent="0.25">
      <c r="A2209" t="s">
        <v>509</v>
      </c>
      <c r="B2209">
        <v>2008</v>
      </c>
      <c r="C2209" t="s">
        <v>363</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Data_Completeness(LifeExpectancyData[[#This Row],[Life expectancy]:[Schooling]])</f>
        <v>1</v>
      </c>
    </row>
    <row r="2210" spans="1:23" x14ac:dyDescent="0.25">
      <c r="A2210" t="s">
        <v>509</v>
      </c>
      <c r="B2210">
        <v>2007</v>
      </c>
      <c r="C2210" t="s">
        <v>363</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Data_Completeness(LifeExpectancyData[[#This Row],[Life expectancy]:[Schooling]])</f>
        <v>1</v>
      </c>
    </row>
    <row r="2211" spans="1:23" x14ac:dyDescent="0.25">
      <c r="A2211" t="s">
        <v>509</v>
      </c>
      <c r="B2211">
        <v>2006</v>
      </c>
      <c r="C2211" t="s">
        <v>363</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Data_Completeness(LifeExpectancyData[[#This Row],[Life expectancy]:[Schooling]])</f>
        <v>1</v>
      </c>
    </row>
    <row r="2212" spans="1:23" x14ac:dyDescent="0.25">
      <c r="A2212" t="s">
        <v>509</v>
      </c>
      <c r="B2212">
        <v>2005</v>
      </c>
      <c r="C2212" t="s">
        <v>363</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Data_Completeness(LifeExpectancyData[[#This Row],[Life expectancy]:[Schooling]])</f>
        <v>1</v>
      </c>
    </row>
    <row r="2213" spans="1:23" x14ac:dyDescent="0.25">
      <c r="A2213" t="s">
        <v>509</v>
      </c>
      <c r="B2213">
        <v>2004</v>
      </c>
      <c r="C2213" t="s">
        <v>363</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Data_Completeness(LifeExpectancyData[[#This Row],[Life expectancy]:[Schooling]])</f>
        <v>1</v>
      </c>
    </row>
    <row r="2214" spans="1:23" x14ac:dyDescent="0.25">
      <c r="A2214" t="s">
        <v>509</v>
      </c>
      <c r="B2214">
        <v>2003</v>
      </c>
      <c r="C2214" t="s">
        <v>363</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Data_Completeness(LifeExpectancyData[[#This Row],[Life expectancy]:[Schooling]])</f>
        <v>1</v>
      </c>
    </row>
    <row r="2215" spans="1:23" x14ac:dyDescent="0.25">
      <c r="A2215" t="s">
        <v>509</v>
      </c>
      <c r="B2215">
        <v>2002</v>
      </c>
      <c r="C2215" t="s">
        <v>363</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Data_Completeness(LifeExpectancyData[[#This Row],[Life expectancy]:[Schooling]])</f>
        <v>1</v>
      </c>
    </row>
    <row r="2216" spans="1:23" x14ac:dyDescent="0.25">
      <c r="A2216" t="s">
        <v>509</v>
      </c>
      <c r="B2216">
        <v>2001</v>
      </c>
      <c r="C2216" t="s">
        <v>363</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Data_Completeness(LifeExpectancyData[[#This Row],[Life expectancy]:[Schooling]])</f>
        <v>1</v>
      </c>
    </row>
    <row r="2217" spans="1:23" x14ac:dyDescent="0.25">
      <c r="A2217" t="s">
        <v>509</v>
      </c>
      <c r="B2217">
        <v>2000</v>
      </c>
      <c r="C2217" t="s">
        <v>363</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Data_Completeness(LifeExpectancyData[[#This Row],[Life expectancy]:[Schooling]])</f>
        <v>1</v>
      </c>
    </row>
    <row r="2218" spans="1:23" x14ac:dyDescent="0.25">
      <c r="A2218" t="s">
        <v>510</v>
      </c>
      <c r="B2218">
        <v>2013</v>
      </c>
      <c r="C2218" t="s">
        <v>363</v>
      </c>
      <c r="F2218">
        <v>0</v>
      </c>
      <c r="G2218">
        <v>0.01</v>
      </c>
      <c r="H2218">
        <v>0</v>
      </c>
      <c r="I2218">
        <v>69</v>
      </c>
      <c r="J2218">
        <v>0</v>
      </c>
      <c r="L2218">
        <v>0</v>
      </c>
      <c r="M2218">
        <v>69</v>
      </c>
      <c r="N2218">
        <v>6.5</v>
      </c>
      <c r="O2218">
        <v>69</v>
      </c>
      <c r="P2218">
        <v>0.1</v>
      </c>
      <c r="V2218">
        <v>15.1</v>
      </c>
      <c r="W2218" t="b">
        <f>Data_Completeness(LifeExpectancyData[[#This Row],[Life expectancy]:[Schooling]])</f>
        <v>0</v>
      </c>
    </row>
    <row r="2219" spans="1:23" x14ac:dyDescent="0.25">
      <c r="A2219" t="s">
        <v>511</v>
      </c>
      <c r="B2219">
        <v>2015</v>
      </c>
      <c r="C2219" t="s">
        <v>363</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Data_Completeness(LifeExpectancyData[[#This Row],[Life expectancy]:[Schooling]])</f>
        <v>0</v>
      </c>
    </row>
    <row r="2220" spans="1:23" x14ac:dyDescent="0.25">
      <c r="A2220" t="s">
        <v>511</v>
      </c>
      <c r="B2220">
        <v>2014</v>
      </c>
      <c r="C2220" t="s">
        <v>363</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Data_Completeness(LifeExpectancyData[[#This Row],[Life expectancy]:[Schooling]])</f>
        <v>1</v>
      </c>
    </row>
    <row r="2221" spans="1:23" x14ac:dyDescent="0.25">
      <c r="A2221" t="s">
        <v>511</v>
      </c>
      <c r="B2221">
        <v>2013</v>
      </c>
      <c r="C2221" t="s">
        <v>363</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Data_Completeness(LifeExpectancyData[[#This Row],[Life expectancy]:[Schooling]])</f>
        <v>1</v>
      </c>
    </row>
    <row r="2222" spans="1:23" x14ac:dyDescent="0.25">
      <c r="A2222" t="s">
        <v>511</v>
      </c>
      <c r="B2222">
        <v>2012</v>
      </c>
      <c r="C2222" t="s">
        <v>363</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Data_Completeness(LifeExpectancyData[[#This Row],[Life expectancy]:[Schooling]])</f>
        <v>1</v>
      </c>
    </row>
    <row r="2223" spans="1:23" x14ac:dyDescent="0.25">
      <c r="A2223" t="s">
        <v>511</v>
      </c>
      <c r="B2223">
        <v>2011</v>
      </c>
      <c r="C2223" t="s">
        <v>363</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Data_Completeness(LifeExpectancyData[[#This Row],[Life expectancy]:[Schooling]])</f>
        <v>1</v>
      </c>
    </row>
    <row r="2224" spans="1:23" x14ac:dyDescent="0.25">
      <c r="A2224" t="s">
        <v>511</v>
      </c>
      <c r="B2224">
        <v>2010</v>
      </c>
      <c r="C2224" t="s">
        <v>363</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Data_Completeness(LifeExpectancyData[[#This Row],[Life expectancy]:[Schooling]])</f>
        <v>1</v>
      </c>
    </row>
    <row r="2225" spans="1:23" x14ac:dyDescent="0.25">
      <c r="A2225" t="s">
        <v>511</v>
      </c>
      <c r="B2225">
        <v>2009</v>
      </c>
      <c r="C2225" t="s">
        <v>363</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Data_Completeness(LifeExpectancyData[[#This Row],[Life expectancy]:[Schooling]])</f>
        <v>1</v>
      </c>
    </row>
    <row r="2226" spans="1:23" x14ac:dyDescent="0.25">
      <c r="A2226" t="s">
        <v>511</v>
      </c>
      <c r="B2226">
        <v>2008</v>
      </c>
      <c r="C2226" t="s">
        <v>363</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Data_Completeness(LifeExpectancyData[[#This Row],[Life expectancy]:[Schooling]])</f>
        <v>1</v>
      </c>
    </row>
    <row r="2227" spans="1:23" x14ac:dyDescent="0.25">
      <c r="A2227" t="s">
        <v>511</v>
      </c>
      <c r="B2227">
        <v>2007</v>
      </c>
      <c r="C2227" t="s">
        <v>363</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Data_Completeness(LifeExpectancyData[[#This Row],[Life expectancy]:[Schooling]])</f>
        <v>1</v>
      </c>
    </row>
    <row r="2228" spans="1:23" x14ac:dyDescent="0.25">
      <c r="A2228" t="s">
        <v>511</v>
      </c>
      <c r="B2228">
        <v>2006</v>
      </c>
      <c r="C2228" t="s">
        <v>363</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Data_Completeness(LifeExpectancyData[[#This Row],[Life expectancy]:[Schooling]])</f>
        <v>1</v>
      </c>
    </row>
    <row r="2229" spans="1:23" x14ac:dyDescent="0.25">
      <c r="A2229" t="s">
        <v>511</v>
      </c>
      <c r="B2229">
        <v>2005</v>
      </c>
      <c r="C2229" t="s">
        <v>363</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Data_Completeness(LifeExpectancyData[[#This Row],[Life expectancy]:[Schooling]])</f>
        <v>1</v>
      </c>
    </row>
    <row r="2230" spans="1:23" x14ac:dyDescent="0.25">
      <c r="A2230" t="s">
        <v>511</v>
      </c>
      <c r="B2230">
        <v>2004</v>
      </c>
      <c r="C2230" t="s">
        <v>363</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Data_Completeness(LifeExpectancyData[[#This Row],[Life expectancy]:[Schooling]])</f>
        <v>1</v>
      </c>
    </row>
    <row r="2231" spans="1:23" x14ac:dyDescent="0.25">
      <c r="A2231" t="s">
        <v>511</v>
      </c>
      <c r="B2231">
        <v>2003</v>
      </c>
      <c r="C2231" t="s">
        <v>363</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Data_Completeness(LifeExpectancyData[[#This Row],[Life expectancy]:[Schooling]])</f>
        <v>1</v>
      </c>
    </row>
    <row r="2232" spans="1:23" x14ac:dyDescent="0.25">
      <c r="A2232" t="s">
        <v>511</v>
      </c>
      <c r="B2232">
        <v>2002</v>
      </c>
      <c r="C2232" t="s">
        <v>363</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Data_Completeness(LifeExpectancyData[[#This Row],[Life expectancy]:[Schooling]])</f>
        <v>0</v>
      </c>
    </row>
    <row r="2233" spans="1:23" x14ac:dyDescent="0.25">
      <c r="A2233" t="s">
        <v>511</v>
      </c>
      <c r="B2233">
        <v>2001</v>
      </c>
      <c r="C2233" t="s">
        <v>363</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Data_Completeness(LifeExpectancyData[[#This Row],[Life expectancy]:[Schooling]])</f>
        <v>0</v>
      </c>
    </row>
    <row r="2234" spans="1:23" x14ac:dyDescent="0.25">
      <c r="A2234" t="s">
        <v>511</v>
      </c>
      <c r="B2234">
        <v>2000</v>
      </c>
      <c r="C2234" t="s">
        <v>363</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Data_Completeness(LifeExpectancyData[[#This Row],[Life expectancy]:[Schooling]])</f>
        <v>0</v>
      </c>
    </row>
    <row r="2235" spans="1:23" x14ac:dyDescent="0.25">
      <c r="A2235" t="s">
        <v>512</v>
      </c>
      <c r="B2235">
        <v>2015</v>
      </c>
      <c r="C2235" t="s">
        <v>363</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Data_Completeness(LifeExpectancyData[[#This Row],[Life expectancy]:[Schooling]])</f>
        <v>0</v>
      </c>
    </row>
    <row r="2236" spans="1:23" x14ac:dyDescent="0.25">
      <c r="A2236" t="s">
        <v>512</v>
      </c>
      <c r="B2236">
        <v>2014</v>
      </c>
      <c r="C2236" t="s">
        <v>363</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Data_Completeness(LifeExpectancyData[[#This Row],[Life expectancy]:[Schooling]])</f>
        <v>0</v>
      </c>
    </row>
    <row r="2237" spans="1:23" x14ac:dyDescent="0.25">
      <c r="A2237" t="s">
        <v>512</v>
      </c>
      <c r="B2237">
        <v>2013</v>
      </c>
      <c r="C2237" t="s">
        <v>363</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Data_Completeness(LifeExpectancyData[[#This Row],[Life expectancy]:[Schooling]])</f>
        <v>0</v>
      </c>
    </row>
    <row r="2238" spans="1:23" x14ac:dyDescent="0.25">
      <c r="A2238" t="s">
        <v>512</v>
      </c>
      <c r="B2238">
        <v>2012</v>
      </c>
      <c r="C2238" t="s">
        <v>363</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Data_Completeness(LifeExpectancyData[[#This Row],[Life expectancy]:[Schooling]])</f>
        <v>0</v>
      </c>
    </row>
    <row r="2239" spans="1:23" x14ac:dyDescent="0.25">
      <c r="A2239" t="s">
        <v>512</v>
      </c>
      <c r="B2239">
        <v>2011</v>
      </c>
      <c r="C2239" t="s">
        <v>363</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Data_Completeness(LifeExpectancyData[[#This Row],[Life expectancy]:[Schooling]])</f>
        <v>0</v>
      </c>
    </row>
    <row r="2240" spans="1:23" x14ac:dyDescent="0.25">
      <c r="A2240" t="s">
        <v>512</v>
      </c>
      <c r="B2240">
        <v>2010</v>
      </c>
      <c r="C2240" t="s">
        <v>363</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Data_Completeness(LifeExpectancyData[[#This Row],[Life expectancy]:[Schooling]])</f>
        <v>0</v>
      </c>
    </row>
    <row r="2241" spans="1:23" x14ac:dyDescent="0.25">
      <c r="A2241" t="s">
        <v>512</v>
      </c>
      <c r="B2241">
        <v>2009</v>
      </c>
      <c r="C2241" t="s">
        <v>363</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Data_Completeness(LifeExpectancyData[[#This Row],[Life expectancy]:[Schooling]])</f>
        <v>0</v>
      </c>
    </row>
    <row r="2242" spans="1:23" x14ac:dyDescent="0.25">
      <c r="A2242" t="s">
        <v>512</v>
      </c>
      <c r="B2242">
        <v>2008</v>
      </c>
      <c r="C2242" t="s">
        <v>363</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Data_Completeness(LifeExpectancyData[[#This Row],[Life expectancy]:[Schooling]])</f>
        <v>0</v>
      </c>
    </row>
    <row r="2243" spans="1:23" x14ac:dyDescent="0.25">
      <c r="A2243" t="s">
        <v>512</v>
      </c>
      <c r="B2243">
        <v>2007</v>
      </c>
      <c r="C2243" t="s">
        <v>363</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Data_Completeness(LifeExpectancyData[[#This Row],[Life expectancy]:[Schooling]])</f>
        <v>0</v>
      </c>
    </row>
    <row r="2244" spans="1:23" x14ac:dyDescent="0.25">
      <c r="A2244" t="s">
        <v>512</v>
      </c>
      <c r="B2244">
        <v>2006</v>
      </c>
      <c r="C2244" t="s">
        <v>363</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Data_Completeness(LifeExpectancyData[[#This Row],[Life expectancy]:[Schooling]])</f>
        <v>0</v>
      </c>
    </row>
    <row r="2245" spans="1:23" x14ac:dyDescent="0.25">
      <c r="A2245" t="s">
        <v>512</v>
      </c>
      <c r="B2245">
        <v>2005</v>
      </c>
      <c r="C2245" t="s">
        <v>363</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Data_Completeness(LifeExpectancyData[[#This Row],[Life expectancy]:[Schooling]])</f>
        <v>0</v>
      </c>
    </row>
    <row r="2246" spans="1:23" x14ac:dyDescent="0.25">
      <c r="A2246" t="s">
        <v>512</v>
      </c>
      <c r="B2246">
        <v>2004</v>
      </c>
      <c r="C2246" t="s">
        <v>363</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Data_Completeness(LifeExpectancyData[[#This Row],[Life expectancy]:[Schooling]])</f>
        <v>0</v>
      </c>
    </row>
    <row r="2247" spans="1:23" x14ac:dyDescent="0.25">
      <c r="A2247" t="s">
        <v>512</v>
      </c>
      <c r="B2247">
        <v>2003</v>
      </c>
      <c r="C2247" t="s">
        <v>363</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Data_Completeness(LifeExpectancyData[[#This Row],[Life expectancy]:[Schooling]])</f>
        <v>0</v>
      </c>
    </row>
    <row r="2248" spans="1:23" x14ac:dyDescent="0.25">
      <c r="A2248" t="s">
        <v>512</v>
      </c>
      <c r="B2248">
        <v>2002</v>
      </c>
      <c r="C2248" t="s">
        <v>363</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Data_Completeness(LifeExpectancyData[[#This Row],[Life expectancy]:[Schooling]])</f>
        <v>0</v>
      </c>
    </row>
    <row r="2249" spans="1:23" x14ac:dyDescent="0.25">
      <c r="A2249" t="s">
        <v>512</v>
      </c>
      <c r="B2249">
        <v>2001</v>
      </c>
      <c r="C2249" t="s">
        <v>363</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Data_Completeness(LifeExpectancyData[[#This Row],[Life expectancy]:[Schooling]])</f>
        <v>0</v>
      </c>
    </row>
    <row r="2250" spans="1:23" x14ac:dyDescent="0.25">
      <c r="A2250" t="s">
        <v>512</v>
      </c>
      <c r="B2250">
        <v>2000</v>
      </c>
      <c r="C2250" t="s">
        <v>363</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Data_Completeness(LifeExpectancyData[[#This Row],[Life expectancy]:[Schooling]])</f>
        <v>0</v>
      </c>
    </row>
    <row r="2251" spans="1:23" x14ac:dyDescent="0.25">
      <c r="A2251" t="s">
        <v>513</v>
      </c>
      <c r="B2251">
        <v>2015</v>
      </c>
      <c r="C2251" t="s">
        <v>363</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Data_Completeness(LifeExpectancyData[[#This Row],[Life expectancy]:[Schooling]])</f>
        <v>0</v>
      </c>
    </row>
    <row r="2252" spans="1:23" x14ac:dyDescent="0.25">
      <c r="A2252" t="s">
        <v>513</v>
      </c>
      <c r="B2252">
        <v>2014</v>
      </c>
      <c r="C2252" t="s">
        <v>363</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Data_Completeness(LifeExpectancyData[[#This Row],[Life expectancy]:[Schooling]])</f>
        <v>1</v>
      </c>
    </row>
    <row r="2253" spans="1:23" x14ac:dyDescent="0.25">
      <c r="A2253" t="s">
        <v>513</v>
      </c>
      <c r="B2253">
        <v>2013</v>
      </c>
      <c r="C2253" t="s">
        <v>363</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Data_Completeness(LifeExpectancyData[[#This Row],[Life expectancy]:[Schooling]])</f>
        <v>1</v>
      </c>
    </row>
    <row r="2254" spans="1:23" x14ac:dyDescent="0.25">
      <c r="A2254" t="s">
        <v>513</v>
      </c>
      <c r="B2254">
        <v>2012</v>
      </c>
      <c r="C2254" t="s">
        <v>363</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Data_Completeness(LifeExpectancyData[[#This Row],[Life expectancy]:[Schooling]])</f>
        <v>1</v>
      </c>
    </row>
    <row r="2255" spans="1:23" x14ac:dyDescent="0.25">
      <c r="A2255" t="s">
        <v>513</v>
      </c>
      <c r="B2255">
        <v>2011</v>
      </c>
      <c r="C2255" t="s">
        <v>363</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Data_Completeness(LifeExpectancyData[[#This Row],[Life expectancy]:[Schooling]])</f>
        <v>1</v>
      </c>
    </row>
    <row r="2256" spans="1:23" x14ac:dyDescent="0.25">
      <c r="A2256" t="s">
        <v>513</v>
      </c>
      <c r="B2256">
        <v>2010</v>
      </c>
      <c r="C2256" t="s">
        <v>363</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Data_Completeness(LifeExpectancyData[[#This Row],[Life expectancy]:[Schooling]])</f>
        <v>1</v>
      </c>
    </row>
    <row r="2257" spans="1:23" x14ac:dyDescent="0.25">
      <c r="A2257" t="s">
        <v>513</v>
      </c>
      <c r="B2257">
        <v>2009</v>
      </c>
      <c r="C2257" t="s">
        <v>363</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Data_Completeness(LifeExpectancyData[[#This Row],[Life expectancy]:[Schooling]])</f>
        <v>1</v>
      </c>
    </row>
    <row r="2258" spans="1:23" x14ac:dyDescent="0.25">
      <c r="A2258" t="s">
        <v>513</v>
      </c>
      <c r="B2258">
        <v>2008</v>
      </c>
      <c r="C2258" t="s">
        <v>363</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Data_Completeness(LifeExpectancyData[[#This Row],[Life expectancy]:[Schooling]])</f>
        <v>1</v>
      </c>
    </row>
    <row r="2259" spans="1:23" x14ac:dyDescent="0.25">
      <c r="A2259" t="s">
        <v>513</v>
      </c>
      <c r="B2259">
        <v>2007</v>
      </c>
      <c r="C2259" t="s">
        <v>363</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Data_Completeness(LifeExpectancyData[[#This Row],[Life expectancy]:[Schooling]])</f>
        <v>1</v>
      </c>
    </row>
    <row r="2260" spans="1:23" x14ac:dyDescent="0.25">
      <c r="A2260" t="s">
        <v>513</v>
      </c>
      <c r="B2260">
        <v>2006</v>
      </c>
      <c r="C2260" t="s">
        <v>363</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Data_Completeness(LifeExpectancyData[[#This Row],[Life expectancy]:[Schooling]])</f>
        <v>1</v>
      </c>
    </row>
    <row r="2261" spans="1:23" x14ac:dyDescent="0.25">
      <c r="A2261" t="s">
        <v>513</v>
      </c>
      <c r="B2261">
        <v>2005</v>
      </c>
      <c r="C2261" t="s">
        <v>363</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Data_Completeness(LifeExpectancyData[[#This Row],[Life expectancy]:[Schooling]])</f>
        <v>1</v>
      </c>
    </row>
    <row r="2262" spans="1:23" x14ac:dyDescent="0.25">
      <c r="A2262" t="s">
        <v>513</v>
      </c>
      <c r="B2262">
        <v>2004</v>
      </c>
      <c r="C2262" t="s">
        <v>363</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Data_Completeness(LifeExpectancyData[[#This Row],[Life expectancy]:[Schooling]])</f>
        <v>1</v>
      </c>
    </row>
    <row r="2263" spans="1:23" x14ac:dyDescent="0.25">
      <c r="A2263" t="s">
        <v>513</v>
      </c>
      <c r="B2263">
        <v>2003</v>
      </c>
      <c r="C2263" t="s">
        <v>363</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Data_Completeness(LifeExpectancyData[[#This Row],[Life expectancy]:[Schooling]])</f>
        <v>0</v>
      </c>
    </row>
    <row r="2264" spans="1:23" x14ac:dyDescent="0.25">
      <c r="A2264" t="s">
        <v>513</v>
      </c>
      <c r="B2264">
        <v>2002</v>
      </c>
      <c r="C2264" t="s">
        <v>363</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Data_Completeness(LifeExpectancyData[[#This Row],[Life expectancy]:[Schooling]])</f>
        <v>0</v>
      </c>
    </row>
    <row r="2265" spans="1:23" x14ac:dyDescent="0.25">
      <c r="A2265" t="s">
        <v>513</v>
      </c>
      <c r="B2265">
        <v>2001</v>
      </c>
      <c r="C2265" t="s">
        <v>363</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Data_Completeness(LifeExpectancyData[[#This Row],[Life expectancy]:[Schooling]])</f>
        <v>0</v>
      </c>
    </row>
    <row r="2266" spans="1:23" x14ac:dyDescent="0.25">
      <c r="A2266" t="s">
        <v>513</v>
      </c>
      <c r="B2266">
        <v>2000</v>
      </c>
      <c r="C2266" t="s">
        <v>363</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Data_Completeness(LifeExpectancyData[[#This Row],[Life expectancy]:[Schooling]])</f>
        <v>0</v>
      </c>
    </row>
    <row r="2267" spans="1:23" x14ac:dyDescent="0.25">
      <c r="A2267" t="s">
        <v>514</v>
      </c>
      <c r="B2267">
        <v>2015</v>
      </c>
      <c r="C2267" t="s">
        <v>363</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Data_Completeness(LifeExpectancyData[[#This Row],[Life expectancy]:[Schooling]])</f>
        <v>0</v>
      </c>
    </row>
    <row r="2268" spans="1:23" x14ac:dyDescent="0.25">
      <c r="A2268" t="s">
        <v>514</v>
      </c>
      <c r="B2268">
        <v>2014</v>
      </c>
      <c r="C2268" t="s">
        <v>363</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Data_Completeness(LifeExpectancyData[[#This Row],[Life expectancy]:[Schooling]])</f>
        <v>1</v>
      </c>
    </row>
    <row r="2269" spans="1:23" x14ac:dyDescent="0.25">
      <c r="A2269" t="s">
        <v>514</v>
      </c>
      <c r="B2269">
        <v>2013</v>
      </c>
      <c r="C2269" t="s">
        <v>363</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Data_Completeness(LifeExpectancyData[[#This Row],[Life expectancy]:[Schooling]])</f>
        <v>1</v>
      </c>
    </row>
    <row r="2270" spans="1:23" x14ac:dyDescent="0.25">
      <c r="A2270" t="s">
        <v>514</v>
      </c>
      <c r="B2270">
        <v>2012</v>
      </c>
      <c r="C2270" t="s">
        <v>363</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Data_Completeness(LifeExpectancyData[[#This Row],[Life expectancy]:[Schooling]])</f>
        <v>1</v>
      </c>
    </row>
    <row r="2271" spans="1:23" x14ac:dyDescent="0.25">
      <c r="A2271" t="s">
        <v>514</v>
      </c>
      <c r="B2271">
        <v>2011</v>
      </c>
      <c r="C2271" t="s">
        <v>363</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Data_Completeness(LifeExpectancyData[[#This Row],[Life expectancy]:[Schooling]])</f>
        <v>1</v>
      </c>
    </row>
    <row r="2272" spans="1:23" x14ac:dyDescent="0.25">
      <c r="A2272" t="s">
        <v>514</v>
      </c>
      <c r="B2272">
        <v>2010</v>
      </c>
      <c r="C2272" t="s">
        <v>363</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Data_Completeness(LifeExpectancyData[[#This Row],[Life expectancy]:[Schooling]])</f>
        <v>1</v>
      </c>
    </row>
    <row r="2273" spans="1:23" x14ac:dyDescent="0.25">
      <c r="A2273" t="s">
        <v>514</v>
      </c>
      <c r="B2273">
        <v>2009</v>
      </c>
      <c r="C2273" t="s">
        <v>363</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Data_Completeness(LifeExpectancyData[[#This Row],[Life expectancy]:[Schooling]])</f>
        <v>1</v>
      </c>
    </row>
    <row r="2274" spans="1:23" x14ac:dyDescent="0.25">
      <c r="A2274" t="s">
        <v>514</v>
      </c>
      <c r="B2274">
        <v>2008</v>
      </c>
      <c r="C2274" t="s">
        <v>363</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Data_Completeness(LifeExpectancyData[[#This Row],[Life expectancy]:[Schooling]])</f>
        <v>1</v>
      </c>
    </row>
    <row r="2275" spans="1:23" x14ac:dyDescent="0.25">
      <c r="A2275" t="s">
        <v>514</v>
      </c>
      <c r="B2275">
        <v>2007</v>
      </c>
      <c r="C2275" t="s">
        <v>363</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Data_Completeness(LifeExpectancyData[[#This Row],[Life expectancy]:[Schooling]])</f>
        <v>1</v>
      </c>
    </row>
    <row r="2276" spans="1:23" x14ac:dyDescent="0.25">
      <c r="A2276" t="s">
        <v>514</v>
      </c>
      <c r="B2276">
        <v>2006</v>
      </c>
      <c r="C2276" t="s">
        <v>363</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Data_Completeness(LifeExpectancyData[[#This Row],[Life expectancy]:[Schooling]])</f>
        <v>1</v>
      </c>
    </row>
    <row r="2277" spans="1:23" x14ac:dyDescent="0.25">
      <c r="A2277" t="s">
        <v>514</v>
      </c>
      <c r="B2277">
        <v>2005</v>
      </c>
      <c r="C2277" t="s">
        <v>363</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Data_Completeness(LifeExpectancyData[[#This Row],[Life expectancy]:[Schooling]])</f>
        <v>1</v>
      </c>
    </row>
    <row r="2278" spans="1:23" x14ac:dyDescent="0.25">
      <c r="A2278" t="s">
        <v>514</v>
      </c>
      <c r="B2278">
        <v>2004</v>
      </c>
      <c r="C2278" t="s">
        <v>363</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Data_Completeness(LifeExpectancyData[[#This Row],[Life expectancy]:[Schooling]])</f>
        <v>1</v>
      </c>
    </row>
    <row r="2279" spans="1:23" x14ac:dyDescent="0.25">
      <c r="A2279" t="s">
        <v>514</v>
      </c>
      <c r="B2279">
        <v>2003</v>
      </c>
      <c r="C2279" t="s">
        <v>363</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Data_Completeness(LifeExpectancyData[[#This Row],[Life expectancy]:[Schooling]])</f>
        <v>0</v>
      </c>
    </row>
    <row r="2280" spans="1:23" x14ac:dyDescent="0.25">
      <c r="A2280" t="s">
        <v>514</v>
      </c>
      <c r="B2280">
        <v>2002</v>
      </c>
      <c r="C2280" t="s">
        <v>363</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Data_Completeness(LifeExpectancyData[[#This Row],[Life expectancy]:[Schooling]])</f>
        <v>0</v>
      </c>
    </row>
    <row r="2281" spans="1:23" x14ac:dyDescent="0.25">
      <c r="A2281" t="s">
        <v>514</v>
      </c>
      <c r="B2281">
        <v>2001</v>
      </c>
      <c r="C2281" t="s">
        <v>363</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Data_Completeness(LifeExpectancyData[[#This Row],[Life expectancy]:[Schooling]])</f>
        <v>0</v>
      </c>
    </row>
    <row r="2282" spans="1:23" x14ac:dyDescent="0.25">
      <c r="A2282" t="s">
        <v>514</v>
      </c>
      <c r="B2282">
        <v>2000</v>
      </c>
      <c r="C2282" t="s">
        <v>363</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Data_Completeness(LifeExpectancyData[[#This Row],[Life expectancy]:[Schooling]])</f>
        <v>0</v>
      </c>
    </row>
    <row r="2283" spans="1:23" x14ac:dyDescent="0.25">
      <c r="A2283" t="s">
        <v>515</v>
      </c>
      <c r="B2283">
        <v>2015</v>
      </c>
      <c r="C2283" t="s">
        <v>363</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Data_Completeness(LifeExpectancyData[[#This Row],[Life expectancy]:[Schooling]])</f>
        <v>0</v>
      </c>
    </row>
    <row r="2284" spans="1:23" x14ac:dyDescent="0.25">
      <c r="A2284" t="s">
        <v>515</v>
      </c>
      <c r="B2284">
        <v>2014</v>
      </c>
      <c r="C2284" t="s">
        <v>363</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Data_Completeness(LifeExpectancyData[[#This Row],[Life expectancy]:[Schooling]])</f>
        <v>1</v>
      </c>
    </row>
    <row r="2285" spans="1:23" x14ac:dyDescent="0.25">
      <c r="A2285" t="s">
        <v>515</v>
      </c>
      <c r="B2285">
        <v>2013</v>
      </c>
      <c r="C2285" t="s">
        <v>363</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Data_Completeness(LifeExpectancyData[[#This Row],[Life expectancy]:[Schooling]])</f>
        <v>1</v>
      </c>
    </row>
    <row r="2286" spans="1:23" x14ac:dyDescent="0.25">
      <c r="A2286" t="s">
        <v>515</v>
      </c>
      <c r="B2286">
        <v>2012</v>
      </c>
      <c r="C2286" t="s">
        <v>363</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Data_Completeness(LifeExpectancyData[[#This Row],[Life expectancy]:[Schooling]])</f>
        <v>1</v>
      </c>
    </row>
    <row r="2287" spans="1:23" x14ac:dyDescent="0.25">
      <c r="A2287" t="s">
        <v>515</v>
      </c>
      <c r="B2287">
        <v>2011</v>
      </c>
      <c r="C2287" t="s">
        <v>363</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Data_Completeness(LifeExpectancyData[[#This Row],[Life expectancy]:[Schooling]])</f>
        <v>1</v>
      </c>
    </row>
    <row r="2288" spans="1:23" x14ac:dyDescent="0.25">
      <c r="A2288" t="s">
        <v>515</v>
      </c>
      <c r="B2288">
        <v>2010</v>
      </c>
      <c r="C2288" t="s">
        <v>363</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Data_Completeness(LifeExpectancyData[[#This Row],[Life expectancy]:[Schooling]])</f>
        <v>1</v>
      </c>
    </row>
    <row r="2289" spans="1:23" x14ac:dyDescent="0.25">
      <c r="A2289" t="s">
        <v>515</v>
      </c>
      <c r="B2289">
        <v>2009</v>
      </c>
      <c r="C2289" t="s">
        <v>363</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Data_Completeness(LifeExpectancyData[[#This Row],[Life expectancy]:[Schooling]])</f>
        <v>1</v>
      </c>
    </row>
    <row r="2290" spans="1:23" x14ac:dyDescent="0.25">
      <c r="A2290" t="s">
        <v>515</v>
      </c>
      <c r="B2290">
        <v>2008</v>
      </c>
      <c r="C2290" t="s">
        <v>363</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Data_Completeness(LifeExpectancyData[[#This Row],[Life expectancy]:[Schooling]])</f>
        <v>1</v>
      </c>
    </row>
    <row r="2291" spans="1:23" x14ac:dyDescent="0.25">
      <c r="A2291" t="s">
        <v>515</v>
      </c>
      <c r="B2291">
        <v>2007</v>
      </c>
      <c r="C2291" t="s">
        <v>363</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Data_Completeness(LifeExpectancyData[[#This Row],[Life expectancy]:[Schooling]])</f>
        <v>1</v>
      </c>
    </row>
    <row r="2292" spans="1:23" x14ac:dyDescent="0.25">
      <c r="A2292" t="s">
        <v>515</v>
      </c>
      <c r="B2292">
        <v>2006</v>
      </c>
      <c r="C2292" t="s">
        <v>363</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Data_Completeness(LifeExpectancyData[[#This Row],[Life expectancy]:[Schooling]])</f>
        <v>1</v>
      </c>
    </row>
    <row r="2293" spans="1:23" x14ac:dyDescent="0.25">
      <c r="A2293" t="s">
        <v>515</v>
      </c>
      <c r="B2293">
        <v>2005</v>
      </c>
      <c r="C2293" t="s">
        <v>363</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Data_Completeness(LifeExpectancyData[[#This Row],[Life expectancy]:[Schooling]])</f>
        <v>1</v>
      </c>
    </row>
    <row r="2294" spans="1:23" x14ac:dyDescent="0.25">
      <c r="A2294" t="s">
        <v>515</v>
      </c>
      <c r="B2294">
        <v>2004</v>
      </c>
      <c r="C2294" t="s">
        <v>363</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Data_Completeness(LifeExpectancyData[[#This Row],[Life expectancy]:[Schooling]])</f>
        <v>1</v>
      </c>
    </row>
    <row r="2295" spans="1:23" x14ac:dyDescent="0.25">
      <c r="A2295" t="s">
        <v>515</v>
      </c>
      <c r="B2295">
        <v>2003</v>
      </c>
      <c r="C2295" t="s">
        <v>363</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Data_Completeness(LifeExpectancyData[[#This Row],[Life expectancy]:[Schooling]])</f>
        <v>1</v>
      </c>
    </row>
    <row r="2296" spans="1:23" x14ac:dyDescent="0.25">
      <c r="A2296" t="s">
        <v>515</v>
      </c>
      <c r="B2296">
        <v>2002</v>
      </c>
      <c r="C2296" t="s">
        <v>363</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Data_Completeness(LifeExpectancyData[[#This Row],[Life expectancy]:[Schooling]])</f>
        <v>1</v>
      </c>
    </row>
    <row r="2297" spans="1:23" x14ac:dyDescent="0.25">
      <c r="A2297" t="s">
        <v>515</v>
      </c>
      <c r="B2297">
        <v>2001</v>
      </c>
      <c r="C2297" t="s">
        <v>363</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Data_Completeness(LifeExpectancyData[[#This Row],[Life expectancy]:[Schooling]])</f>
        <v>1</v>
      </c>
    </row>
    <row r="2298" spans="1:23" x14ac:dyDescent="0.25">
      <c r="A2298" t="s">
        <v>515</v>
      </c>
      <c r="B2298">
        <v>2000</v>
      </c>
      <c r="C2298" t="s">
        <v>363</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Data_Completeness(LifeExpectancyData[[#This Row],[Life expectancy]:[Schooling]])</f>
        <v>1</v>
      </c>
    </row>
    <row r="2299" spans="1:23" x14ac:dyDescent="0.25">
      <c r="A2299" t="s">
        <v>516</v>
      </c>
      <c r="B2299">
        <v>2015</v>
      </c>
      <c r="C2299" t="s">
        <v>363</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Data_Completeness(LifeExpectancyData[[#This Row],[Life expectancy]:[Schooling]])</f>
        <v>0</v>
      </c>
    </row>
    <row r="2300" spans="1:23" x14ac:dyDescent="0.25">
      <c r="A2300" t="s">
        <v>516</v>
      </c>
      <c r="B2300">
        <v>2014</v>
      </c>
      <c r="C2300" t="s">
        <v>363</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Data_Completeness(LifeExpectancyData[[#This Row],[Life expectancy]:[Schooling]])</f>
        <v>1</v>
      </c>
    </row>
    <row r="2301" spans="1:23" x14ac:dyDescent="0.25">
      <c r="A2301" t="s">
        <v>516</v>
      </c>
      <c r="B2301">
        <v>2013</v>
      </c>
      <c r="C2301" t="s">
        <v>363</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Data_Completeness(LifeExpectancyData[[#This Row],[Life expectancy]:[Schooling]])</f>
        <v>1</v>
      </c>
    </row>
    <row r="2302" spans="1:23" x14ac:dyDescent="0.25">
      <c r="A2302" t="s">
        <v>516</v>
      </c>
      <c r="B2302">
        <v>2012</v>
      </c>
      <c r="C2302" t="s">
        <v>363</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Data_Completeness(LifeExpectancyData[[#This Row],[Life expectancy]:[Schooling]])</f>
        <v>1</v>
      </c>
    </row>
    <row r="2303" spans="1:23" x14ac:dyDescent="0.25">
      <c r="A2303" t="s">
        <v>516</v>
      </c>
      <c r="B2303">
        <v>2011</v>
      </c>
      <c r="C2303" t="s">
        <v>363</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Data_Completeness(LifeExpectancyData[[#This Row],[Life expectancy]:[Schooling]])</f>
        <v>1</v>
      </c>
    </row>
    <row r="2304" spans="1:23" x14ac:dyDescent="0.25">
      <c r="A2304" t="s">
        <v>516</v>
      </c>
      <c r="B2304">
        <v>2010</v>
      </c>
      <c r="C2304" t="s">
        <v>363</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Data_Completeness(LifeExpectancyData[[#This Row],[Life expectancy]:[Schooling]])</f>
        <v>1</v>
      </c>
    </row>
    <row r="2305" spans="1:23" x14ac:dyDescent="0.25">
      <c r="A2305" t="s">
        <v>516</v>
      </c>
      <c r="B2305">
        <v>2009</v>
      </c>
      <c r="C2305" t="s">
        <v>363</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Data_Completeness(LifeExpectancyData[[#This Row],[Life expectancy]:[Schooling]])</f>
        <v>1</v>
      </c>
    </row>
    <row r="2306" spans="1:23" x14ac:dyDescent="0.25">
      <c r="A2306" t="s">
        <v>516</v>
      </c>
      <c r="B2306">
        <v>2008</v>
      </c>
      <c r="C2306" t="s">
        <v>363</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Data_Completeness(LifeExpectancyData[[#This Row],[Life expectancy]:[Schooling]])</f>
        <v>1</v>
      </c>
    </row>
    <row r="2307" spans="1:23" x14ac:dyDescent="0.25">
      <c r="A2307" t="s">
        <v>516</v>
      </c>
      <c r="B2307">
        <v>2007</v>
      </c>
      <c r="C2307" t="s">
        <v>363</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Data_Completeness(LifeExpectancyData[[#This Row],[Life expectancy]:[Schooling]])</f>
        <v>1</v>
      </c>
    </row>
    <row r="2308" spans="1:23" x14ac:dyDescent="0.25">
      <c r="A2308" t="s">
        <v>516</v>
      </c>
      <c r="B2308">
        <v>2006</v>
      </c>
      <c r="C2308" t="s">
        <v>363</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Data_Completeness(LifeExpectancyData[[#This Row],[Life expectancy]:[Schooling]])</f>
        <v>0</v>
      </c>
    </row>
    <row r="2309" spans="1:23" x14ac:dyDescent="0.25">
      <c r="A2309" t="s">
        <v>516</v>
      </c>
      <c r="B2309">
        <v>2005</v>
      </c>
      <c r="C2309" t="s">
        <v>363</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Data_Completeness(LifeExpectancyData[[#This Row],[Life expectancy]:[Schooling]])</f>
        <v>0</v>
      </c>
    </row>
    <row r="2310" spans="1:23" x14ac:dyDescent="0.25">
      <c r="A2310" t="s">
        <v>516</v>
      </c>
      <c r="B2310">
        <v>2004</v>
      </c>
      <c r="C2310" t="s">
        <v>363</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Data_Completeness(LifeExpectancyData[[#This Row],[Life expectancy]:[Schooling]])</f>
        <v>0</v>
      </c>
    </row>
    <row r="2311" spans="1:23" x14ac:dyDescent="0.25">
      <c r="A2311" t="s">
        <v>516</v>
      </c>
      <c r="B2311">
        <v>2003</v>
      </c>
      <c r="C2311" t="s">
        <v>363</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Data_Completeness(LifeExpectancyData[[#This Row],[Life expectancy]:[Schooling]])</f>
        <v>0</v>
      </c>
    </row>
    <row r="2312" spans="1:23" x14ac:dyDescent="0.25">
      <c r="A2312" t="s">
        <v>516</v>
      </c>
      <c r="B2312">
        <v>2002</v>
      </c>
      <c r="C2312" t="s">
        <v>363</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Data_Completeness(LifeExpectancyData[[#This Row],[Life expectancy]:[Schooling]])</f>
        <v>0</v>
      </c>
    </row>
    <row r="2313" spans="1:23" x14ac:dyDescent="0.25">
      <c r="A2313" t="s">
        <v>516</v>
      </c>
      <c r="B2313">
        <v>2001</v>
      </c>
      <c r="C2313" t="s">
        <v>363</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Data_Completeness(LifeExpectancyData[[#This Row],[Life expectancy]:[Schooling]])</f>
        <v>0</v>
      </c>
    </row>
    <row r="2314" spans="1:23" x14ac:dyDescent="0.25">
      <c r="A2314" t="s">
        <v>516</v>
      </c>
      <c r="B2314">
        <v>2000</v>
      </c>
      <c r="C2314" t="s">
        <v>363</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Data_Completeness(LifeExpectancyData[[#This Row],[Life expectancy]:[Schooling]])</f>
        <v>0</v>
      </c>
    </row>
    <row r="2315" spans="1:23" x14ac:dyDescent="0.25">
      <c r="A2315" t="s">
        <v>517</v>
      </c>
      <c r="B2315">
        <v>2015</v>
      </c>
      <c r="C2315" t="s">
        <v>371</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Data_Completeness(LifeExpectancyData[[#This Row],[Life expectancy]:[Schooling]])</f>
        <v>0</v>
      </c>
    </row>
    <row r="2316" spans="1:23" x14ac:dyDescent="0.25">
      <c r="A2316" t="s">
        <v>517</v>
      </c>
      <c r="B2316">
        <v>2014</v>
      </c>
      <c r="C2316" t="s">
        <v>371</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Data_Completeness(LifeExpectancyData[[#This Row],[Life expectancy]:[Schooling]])</f>
        <v>0</v>
      </c>
    </row>
    <row r="2317" spans="1:23" x14ac:dyDescent="0.25">
      <c r="A2317" t="s">
        <v>517</v>
      </c>
      <c r="B2317">
        <v>2013</v>
      </c>
      <c r="C2317" t="s">
        <v>371</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Data_Completeness(LifeExpectancyData[[#This Row],[Life expectancy]:[Schooling]])</f>
        <v>0</v>
      </c>
    </row>
    <row r="2318" spans="1:23" x14ac:dyDescent="0.25">
      <c r="A2318" t="s">
        <v>517</v>
      </c>
      <c r="B2318">
        <v>2012</v>
      </c>
      <c r="C2318" t="s">
        <v>371</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Data_Completeness(LifeExpectancyData[[#This Row],[Life expectancy]:[Schooling]])</f>
        <v>0</v>
      </c>
    </row>
    <row r="2319" spans="1:23" x14ac:dyDescent="0.25">
      <c r="A2319" t="s">
        <v>517</v>
      </c>
      <c r="B2319">
        <v>2011</v>
      </c>
      <c r="C2319" t="s">
        <v>371</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Data_Completeness(LifeExpectancyData[[#This Row],[Life expectancy]:[Schooling]])</f>
        <v>0</v>
      </c>
    </row>
    <row r="2320" spans="1:23" x14ac:dyDescent="0.25">
      <c r="A2320" t="s">
        <v>517</v>
      </c>
      <c r="B2320">
        <v>2010</v>
      </c>
      <c r="C2320" t="s">
        <v>371</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Data_Completeness(LifeExpectancyData[[#This Row],[Life expectancy]:[Schooling]])</f>
        <v>0</v>
      </c>
    </row>
    <row r="2321" spans="1:23" x14ac:dyDescent="0.25">
      <c r="A2321" t="s">
        <v>517</v>
      </c>
      <c r="B2321">
        <v>2009</v>
      </c>
      <c r="C2321" t="s">
        <v>371</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Data_Completeness(LifeExpectancyData[[#This Row],[Life expectancy]:[Schooling]])</f>
        <v>0</v>
      </c>
    </row>
    <row r="2322" spans="1:23" x14ac:dyDescent="0.25">
      <c r="A2322" t="s">
        <v>517</v>
      </c>
      <c r="B2322">
        <v>2008</v>
      </c>
      <c r="C2322" t="s">
        <v>371</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Data_Completeness(LifeExpectancyData[[#This Row],[Life expectancy]:[Schooling]])</f>
        <v>0</v>
      </c>
    </row>
    <row r="2323" spans="1:23" x14ac:dyDescent="0.25">
      <c r="A2323" t="s">
        <v>517</v>
      </c>
      <c r="B2323">
        <v>2007</v>
      </c>
      <c r="C2323" t="s">
        <v>371</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Data_Completeness(LifeExpectancyData[[#This Row],[Life expectancy]:[Schooling]])</f>
        <v>0</v>
      </c>
    </row>
    <row r="2324" spans="1:23" x14ac:dyDescent="0.25">
      <c r="A2324" t="s">
        <v>517</v>
      </c>
      <c r="B2324">
        <v>2006</v>
      </c>
      <c r="C2324" t="s">
        <v>371</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Data_Completeness(LifeExpectancyData[[#This Row],[Life expectancy]:[Schooling]])</f>
        <v>0</v>
      </c>
    </row>
    <row r="2325" spans="1:23" x14ac:dyDescent="0.25">
      <c r="A2325" t="s">
        <v>517</v>
      </c>
      <c r="B2325">
        <v>2005</v>
      </c>
      <c r="C2325" t="s">
        <v>371</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Data_Completeness(LifeExpectancyData[[#This Row],[Life expectancy]:[Schooling]])</f>
        <v>0</v>
      </c>
    </row>
    <row r="2326" spans="1:23" x14ac:dyDescent="0.25">
      <c r="A2326" t="s">
        <v>517</v>
      </c>
      <c r="B2326">
        <v>2004</v>
      </c>
      <c r="C2326" t="s">
        <v>371</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Data_Completeness(LifeExpectancyData[[#This Row],[Life expectancy]:[Schooling]])</f>
        <v>0</v>
      </c>
    </row>
    <row r="2327" spans="1:23" x14ac:dyDescent="0.25">
      <c r="A2327" t="s">
        <v>517</v>
      </c>
      <c r="B2327">
        <v>2003</v>
      </c>
      <c r="C2327" t="s">
        <v>371</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Data_Completeness(LifeExpectancyData[[#This Row],[Life expectancy]:[Schooling]])</f>
        <v>0</v>
      </c>
    </row>
    <row r="2328" spans="1:23" x14ac:dyDescent="0.25">
      <c r="A2328" t="s">
        <v>517</v>
      </c>
      <c r="B2328">
        <v>2002</v>
      </c>
      <c r="C2328" t="s">
        <v>371</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Data_Completeness(LifeExpectancyData[[#This Row],[Life expectancy]:[Schooling]])</f>
        <v>0</v>
      </c>
    </row>
    <row r="2329" spans="1:23" x14ac:dyDescent="0.25">
      <c r="A2329" t="s">
        <v>517</v>
      </c>
      <c r="B2329">
        <v>2001</v>
      </c>
      <c r="C2329" t="s">
        <v>371</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Data_Completeness(LifeExpectancyData[[#This Row],[Life expectancy]:[Schooling]])</f>
        <v>0</v>
      </c>
    </row>
    <row r="2330" spans="1:23" x14ac:dyDescent="0.25">
      <c r="A2330" t="s">
        <v>517</v>
      </c>
      <c r="B2330">
        <v>2000</v>
      </c>
      <c r="C2330" t="s">
        <v>371</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Data_Completeness(LifeExpectancyData[[#This Row],[Life expectancy]:[Schooling]])</f>
        <v>0</v>
      </c>
    </row>
    <row r="2331" spans="1:23" x14ac:dyDescent="0.25">
      <c r="A2331" t="s">
        <v>518</v>
      </c>
      <c r="B2331">
        <v>2015</v>
      </c>
      <c r="C2331" t="s">
        <v>371</v>
      </c>
      <c r="D2331">
        <v>76.7</v>
      </c>
      <c r="E2331">
        <v>19</v>
      </c>
      <c r="F2331">
        <v>0</v>
      </c>
      <c r="H2331">
        <v>0</v>
      </c>
      <c r="I2331">
        <v>96</v>
      </c>
      <c r="J2331">
        <v>1</v>
      </c>
      <c r="K2331">
        <v>59.1</v>
      </c>
      <c r="L2331">
        <v>0</v>
      </c>
      <c r="M2331">
        <v>96</v>
      </c>
      <c r="O2331">
        <v>96</v>
      </c>
      <c r="P2331">
        <v>0.1</v>
      </c>
      <c r="S2331">
        <v>1.2</v>
      </c>
      <c r="T2331">
        <v>1.2</v>
      </c>
      <c r="U2331">
        <v>0.84199999999999997</v>
      </c>
      <c r="V2331">
        <v>15</v>
      </c>
      <c r="W2331" t="b">
        <f>Data_Completeness(LifeExpectancyData[[#This Row],[Life expectancy]:[Schooling]])</f>
        <v>0</v>
      </c>
    </row>
    <row r="2332" spans="1:23" x14ac:dyDescent="0.25">
      <c r="A2332" t="s">
        <v>518</v>
      </c>
      <c r="B2332">
        <v>2014</v>
      </c>
      <c r="C2332" t="s">
        <v>371</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Data_Completeness(LifeExpectancyData[[#This Row],[Life expectancy]:[Schooling]])</f>
        <v>0</v>
      </c>
    </row>
    <row r="2333" spans="1:23" x14ac:dyDescent="0.25">
      <c r="A2333" t="s">
        <v>518</v>
      </c>
      <c r="B2333">
        <v>2013</v>
      </c>
      <c r="C2333" t="s">
        <v>371</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Data_Completeness(LifeExpectancyData[[#This Row],[Life expectancy]:[Schooling]])</f>
        <v>0</v>
      </c>
    </row>
    <row r="2334" spans="1:23" x14ac:dyDescent="0.25">
      <c r="A2334" t="s">
        <v>518</v>
      </c>
      <c r="B2334">
        <v>2012</v>
      </c>
      <c r="C2334" t="s">
        <v>371</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Data_Completeness(LifeExpectancyData[[#This Row],[Life expectancy]:[Schooling]])</f>
        <v>0</v>
      </c>
    </row>
    <row r="2335" spans="1:23" x14ac:dyDescent="0.25">
      <c r="A2335" t="s">
        <v>518</v>
      </c>
      <c r="B2335">
        <v>2011</v>
      </c>
      <c r="C2335" t="s">
        <v>371</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Data_Completeness(LifeExpectancyData[[#This Row],[Life expectancy]:[Schooling]])</f>
        <v>0</v>
      </c>
    </row>
    <row r="2336" spans="1:23" x14ac:dyDescent="0.25">
      <c r="A2336" t="s">
        <v>518</v>
      </c>
      <c r="B2336">
        <v>2010</v>
      </c>
      <c r="C2336" t="s">
        <v>371</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Data_Completeness(LifeExpectancyData[[#This Row],[Life expectancy]:[Schooling]])</f>
        <v>0</v>
      </c>
    </row>
    <row r="2337" spans="1:23" x14ac:dyDescent="0.25">
      <c r="A2337" t="s">
        <v>518</v>
      </c>
      <c r="B2337">
        <v>2009</v>
      </c>
      <c r="C2337" t="s">
        <v>371</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Data_Completeness(LifeExpectancyData[[#This Row],[Life expectancy]:[Schooling]])</f>
        <v>0</v>
      </c>
    </row>
    <row r="2338" spans="1:23" x14ac:dyDescent="0.25">
      <c r="A2338" t="s">
        <v>518</v>
      </c>
      <c r="B2338">
        <v>2008</v>
      </c>
      <c r="C2338" t="s">
        <v>371</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Data_Completeness(LifeExpectancyData[[#This Row],[Life expectancy]:[Schooling]])</f>
        <v>0</v>
      </c>
    </row>
    <row r="2339" spans="1:23" x14ac:dyDescent="0.25">
      <c r="A2339" t="s">
        <v>518</v>
      </c>
      <c r="B2339">
        <v>2007</v>
      </c>
      <c r="C2339" t="s">
        <v>371</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Data_Completeness(LifeExpectancyData[[#This Row],[Life expectancy]:[Schooling]])</f>
        <v>0</v>
      </c>
    </row>
    <row r="2340" spans="1:23" x14ac:dyDescent="0.25">
      <c r="A2340" t="s">
        <v>518</v>
      </c>
      <c r="B2340">
        <v>2006</v>
      </c>
      <c r="C2340" t="s">
        <v>371</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Data_Completeness(LifeExpectancyData[[#This Row],[Life expectancy]:[Schooling]])</f>
        <v>0</v>
      </c>
    </row>
    <row r="2341" spans="1:23" x14ac:dyDescent="0.25">
      <c r="A2341" t="s">
        <v>518</v>
      </c>
      <c r="B2341">
        <v>2005</v>
      </c>
      <c r="C2341" t="s">
        <v>371</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Data_Completeness(LifeExpectancyData[[#This Row],[Life expectancy]:[Schooling]])</f>
        <v>0</v>
      </c>
    </row>
    <row r="2342" spans="1:23" x14ac:dyDescent="0.25">
      <c r="A2342" t="s">
        <v>518</v>
      </c>
      <c r="B2342">
        <v>2004</v>
      </c>
      <c r="C2342" t="s">
        <v>371</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Data_Completeness(LifeExpectancyData[[#This Row],[Life expectancy]:[Schooling]])</f>
        <v>0</v>
      </c>
    </row>
    <row r="2343" spans="1:23" x14ac:dyDescent="0.25">
      <c r="A2343" t="s">
        <v>518</v>
      </c>
      <c r="B2343">
        <v>2003</v>
      </c>
      <c r="C2343" t="s">
        <v>371</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Data_Completeness(LifeExpectancyData[[#This Row],[Life expectancy]:[Schooling]])</f>
        <v>0</v>
      </c>
    </row>
    <row r="2344" spans="1:23" x14ac:dyDescent="0.25">
      <c r="A2344" t="s">
        <v>518</v>
      </c>
      <c r="B2344">
        <v>2002</v>
      </c>
      <c r="C2344" t="s">
        <v>371</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Data_Completeness(LifeExpectancyData[[#This Row],[Life expectancy]:[Schooling]])</f>
        <v>0</v>
      </c>
    </row>
    <row r="2345" spans="1:23" x14ac:dyDescent="0.25">
      <c r="A2345" t="s">
        <v>518</v>
      </c>
      <c r="B2345">
        <v>2001</v>
      </c>
      <c r="C2345" t="s">
        <v>371</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Data_Completeness(LifeExpectancyData[[#This Row],[Life expectancy]:[Schooling]])</f>
        <v>0</v>
      </c>
    </row>
    <row r="2346" spans="1:23" x14ac:dyDescent="0.25">
      <c r="A2346" t="s">
        <v>518</v>
      </c>
      <c r="B2346">
        <v>2000</v>
      </c>
      <c r="C2346" t="s">
        <v>371</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Data_Completeness(LifeExpectancyData[[#This Row],[Life expectancy]:[Schooling]])</f>
        <v>0</v>
      </c>
    </row>
    <row r="2347" spans="1:23" x14ac:dyDescent="0.25">
      <c r="A2347" t="s">
        <v>519</v>
      </c>
      <c r="B2347">
        <v>2015</v>
      </c>
      <c r="C2347" t="s">
        <v>371</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Data_Completeness(LifeExpectancyData[[#This Row],[Life expectancy]:[Schooling]])</f>
        <v>0</v>
      </c>
    </row>
    <row r="2348" spans="1:23" x14ac:dyDescent="0.25">
      <c r="A2348" t="s">
        <v>519</v>
      </c>
      <c r="B2348">
        <v>2014</v>
      </c>
      <c r="C2348" t="s">
        <v>371</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Data_Completeness(LifeExpectancyData[[#This Row],[Life expectancy]:[Schooling]])</f>
        <v>0</v>
      </c>
    </row>
    <row r="2349" spans="1:23" x14ac:dyDescent="0.25">
      <c r="A2349" t="s">
        <v>519</v>
      </c>
      <c r="B2349">
        <v>2013</v>
      </c>
      <c r="C2349" t="s">
        <v>371</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Data_Completeness(LifeExpectancyData[[#This Row],[Life expectancy]:[Schooling]])</f>
        <v>0</v>
      </c>
    </row>
    <row r="2350" spans="1:23" x14ac:dyDescent="0.25">
      <c r="A2350" t="s">
        <v>519</v>
      </c>
      <c r="B2350">
        <v>2012</v>
      </c>
      <c r="C2350" t="s">
        <v>371</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Data_Completeness(LifeExpectancyData[[#This Row],[Life expectancy]:[Schooling]])</f>
        <v>0</v>
      </c>
    </row>
    <row r="2351" spans="1:23" x14ac:dyDescent="0.25">
      <c r="A2351" t="s">
        <v>519</v>
      </c>
      <c r="B2351">
        <v>2011</v>
      </c>
      <c r="C2351" t="s">
        <v>371</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Data_Completeness(LifeExpectancyData[[#This Row],[Life expectancy]:[Schooling]])</f>
        <v>0</v>
      </c>
    </row>
    <row r="2352" spans="1:23" x14ac:dyDescent="0.25">
      <c r="A2352" t="s">
        <v>519</v>
      </c>
      <c r="B2352">
        <v>2010</v>
      </c>
      <c r="C2352" t="s">
        <v>371</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Data_Completeness(LifeExpectancyData[[#This Row],[Life expectancy]:[Schooling]])</f>
        <v>0</v>
      </c>
    </row>
    <row r="2353" spans="1:23" x14ac:dyDescent="0.25">
      <c r="A2353" t="s">
        <v>519</v>
      </c>
      <c r="B2353">
        <v>2009</v>
      </c>
      <c r="C2353" t="s">
        <v>371</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Data_Completeness(LifeExpectancyData[[#This Row],[Life expectancy]:[Schooling]])</f>
        <v>0</v>
      </c>
    </row>
    <row r="2354" spans="1:23" x14ac:dyDescent="0.25">
      <c r="A2354" t="s">
        <v>519</v>
      </c>
      <c r="B2354">
        <v>2008</v>
      </c>
      <c r="C2354" t="s">
        <v>371</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Data_Completeness(LifeExpectancyData[[#This Row],[Life expectancy]:[Schooling]])</f>
        <v>0</v>
      </c>
    </row>
    <row r="2355" spans="1:23" x14ac:dyDescent="0.25">
      <c r="A2355" t="s">
        <v>519</v>
      </c>
      <c r="B2355">
        <v>2007</v>
      </c>
      <c r="C2355" t="s">
        <v>371</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Data_Completeness(LifeExpectancyData[[#This Row],[Life expectancy]:[Schooling]])</f>
        <v>0</v>
      </c>
    </row>
    <row r="2356" spans="1:23" x14ac:dyDescent="0.25">
      <c r="A2356" t="s">
        <v>519</v>
      </c>
      <c r="B2356">
        <v>2006</v>
      </c>
      <c r="C2356" t="s">
        <v>371</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Data_Completeness(LifeExpectancyData[[#This Row],[Life expectancy]:[Schooling]])</f>
        <v>0</v>
      </c>
    </row>
    <row r="2357" spans="1:23" x14ac:dyDescent="0.25">
      <c r="A2357" t="s">
        <v>519</v>
      </c>
      <c r="B2357">
        <v>2005</v>
      </c>
      <c r="C2357" t="s">
        <v>371</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Data_Completeness(LifeExpectancyData[[#This Row],[Life expectancy]:[Schooling]])</f>
        <v>0</v>
      </c>
    </row>
    <row r="2358" spans="1:23" x14ac:dyDescent="0.25">
      <c r="A2358" t="s">
        <v>519</v>
      </c>
      <c r="B2358">
        <v>2004</v>
      </c>
      <c r="C2358" t="s">
        <v>371</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Data_Completeness(LifeExpectancyData[[#This Row],[Life expectancy]:[Schooling]])</f>
        <v>0</v>
      </c>
    </row>
    <row r="2359" spans="1:23" x14ac:dyDescent="0.25">
      <c r="A2359" t="s">
        <v>519</v>
      </c>
      <c r="B2359">
        <v>2003</v>
      </c>
      <c r="C2359" t="s">
        <v>371</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Data_Completeness(LifeExpectancyData[[#This Row],[Life expectancy]:[Schooling]])</f>
        <v>0</v>
      </c>
    </row>
    <row r="2360" spans="1:23" x14ac:dyDescent="0.25">
      <c r="A2360" t="s">
        <v>519</v>
      </c>
      <c r="B2360">
        <v>2002</v>
      </c>
      <c r="C2360" t="s">
        <v>371</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Data_Completeness(LifeExpectancyData[[#This Row],[Life expectancy]:[Schooling]])</f>
        <v>0</v>
      </c>
    </row>
    <row r="2361" spans="1:23" x14ac:dyDescent="0.25">
      <c r="A2361" t="s">
        <v>519</v>
      </c>
      <c r="B2361">
        <v>2001</v>
      </c>
      <c r="C2361" t="s">
        <v>371</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Data_Completeness(LifeExpectancyData[[#This Row],[Life expectancy]:[Schooling]])</f>
        <v>0</v>
      </c>
    </row>
    <row r="2362" spans="1:23" x14ac:dyDescent="0.25">
      <c r="A2362" t="s">
        <v>519</v>
      </c>
      <c r="B2362">
        <v>2000</v>
      </c>
      <c r="C2362" t="s">
        <v>371</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Data_Completeness(LifeExpectancyData[[#This Row],[Life expectancy]:[Schooling]])</f>
        <v>0</v>
      </c>
    </row>
    <row r="2363" spans="1:23" x14ac:dyDescent="0.25">
      <c r="A2363" t="s">
        <v>520</v>
      </c>
      <c r="B2363">
        <v>2015</v>
      </c>
      <c r="C2363" t="s">
        <v>363</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Data_Completeness(LifeExpectancyData[[#This Row],[Life expectancy]:[Schooling]])</f>
        <v>0</v>
      </c>
    </row>
    <row r="2364" spans="1:23" x14ac:dyDescent="0.25">
      <c r="A2364" t="s">
        <v>520</v>
      </c>
      <c r="B2364">
        <v>2014</v>
      </c>
      <c r="C2364" t="s">
        <v>363</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Data_Completeness(LifeExpectancyData[[#This Row],[Life expectancy]:[Schooling]])</f>
        <v>1</v>
      </c>
    </row>
    <row r="2365" spans="1:23" x14ac:dyDescent="0.25">
      <c r="A2365" t="s">
        <v>520</v>
      </c>
      <c r="B2365">
        <v>2013</v>
      </c>
      <c r="C2365" t="s">
        <v>363</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Data_Completeness(LifeExpectancyData[[#This Row],[Life expectancy]:[Schooling]])</f>
        <v>1</v>
      </c>
    </row>
    <row r="2366" spans="1:23" x14ac:dyDescent="0.25">
      <c r="A2366" t="s">
        <v>520</v>
      </c>
      <c r="B2366">
        <v>2012</v>
      </c>
      <c r="C2366" t="s">
        <v>363</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Data_Completeness(LifeExpectancyData[[#This Row],[Life expectancy]:[Schooling]])</f>
        <v>1</v>
      </c>
    </row>
    <row r="2367" spans="1:23" x14ac:dyDescent="0.25">
      <c r="A2367" t="s">
        <v>520</v>
      </c>
      <c r="B2367">
        <v>2011</v>
      </c>
      <c r="C2367" t="s">
        <v>363</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Data_Completeness(LifeExpectancyData[[#This Row],[Life expectancy]:[Schooling]])</f>
        <v>1</v>
      </c>
    </row>
    <row r="2368" spans="1:23" x14ac:dyDescent="0.25">
      <c r="A2368" t="s">
        <v>520</v>
      </c>
      <c r="B2368">
        <v>2010</v>
      </c>
      <c r="C2368" t="s">
        <v>363</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Data_Completeness(LifeExpectancyData[[#This Row],[Life expectancy]:[Schooling]])</f>
        <v>1</v>
      </c>
    </row>
    <row r="2369" spans="1:23" x14ac:dyDescent="0.25">
      <c r="A2369" t="s">
        <v>520</v>
      </c>
      <c r="B2369">
        <v>2009</v>
      </c>
      <c r="C2369" t="s">
        <v>363</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Data_Completeness(LifeExpectancyData[[#This Row],[Life expectancy]:[Schooling]])</f>
        <v>1</v>
      </c>
    </row>
    <row r="2370" spans="1:23" x14ac:dyDescent="0.25">
      <c r="A2370" t="s">
        <v>520</v>
      </c>
      <c r="B2370">
        <v>2008</v>
      </c>
      <c r="C2370" t="s">
        <v>363</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Data_Completeness(LifeExpectancyData[[#This Row],[Life expectancy]:[Schooling]])</f>
        <v>1</v>
      </c>
    </row>
    <row r="2371" spans="1:23" x14ac:dyDescent="0.25">
      <c r="A2371" t="s">
        <v>520</v>
      </c>
      <c r="B2371">
        <v>2007</v>
      </c>
      <c r="C2371" t="s">
        <v>363</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Data_Completeness(LifeExpectancyData[[#This Row],[Life expectancy]:[Schooling]])</f>
        <v>1</v>
      </c>
    </row>
    <row r="2372" spans="1:23" x14ac:dyDescent="0.25">
      <c r="A2372" t="s">
        <v>520</v>
      </c>
      <c r="B2372">
        <v>2006</v>
      </c>
      <c r="C2372" t="s">
        <v>363</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Data_Completeness(LifeExpectancyData[[#This Row],[Life expectancy]:[Schooling]])</f>
        <v>1</v>
      </c>
    </row>
    <row r="2373" spans="1:23" x14ac:dyDescent="0.25">
      <c r="A2373" t="s">
        <v>520</v>
      </c>
      <c r="B2373">
        <v>2005</v>
      </c>
      <c r="C2373" t="s">
        <v>363</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Data_Completeness(LifeExpectancyData[[#This Row],[Life expectancy]:[Schooling]])</f>
        <v>1</v>
      </c>
    </row>
    <row r="2374" spans="1:23" x14ac:dyDescent="0.25">
      <c r="A2374" t="s">
        <v>520</v>
      </c>
      <c r="B2374">
        <v>2004</v>
      </c>
      <c r="C2374" t="s">
        <v>363</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Data_Completeness(LifeExpectancyData[[#This Row],[Life expectancy]:[Schooling]])</f>
        <v>1</v>
      </c>
    </row>
    <row r="2375" spans="1:23" x14ac:dyDescent="0.25">
      <c r="A2375" t="s">
        <v>520</v>
      </c>
      <c r="B2375">
        <v>2003</v>
      </c>
      <c r="C2375" t="s">
        <v>363</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Data_Completeness(LifeExpectancyData[[#This Row],[Life expectancy]:[Schooling]])</f>
        <v>1</v>
      </c>
    </row>
    <row r="2376" spans="1:23" x14ac:dyDescent="0.25">
      <c r="A2376" t="s">
        <v>520</v>
      </c>
      <c r="B2376">
        <v>2002</v>
      </c>
      <c r="C2376" t="s">
        <v>363</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Data_Completeness(LifeExpectancyData[[#This Row],[Life expectancy]:[Schooling]])</f>
        <v>1</v>
      </c>
    </row>
    <row r="2377" spans="1:23" x14ac:dyDescent="0.25">
      <c r="A2377" t="s">
        <v>520</v>
      </c>
      <c r="B2377">
        <v>2001</v>
      </c>
      <c r="C2377" t="s">
        <v>363</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Data_Completeness(LifeExpectancyData[[#This Row],[Life expectancy]:[Schooling]])</f>
        <v>1</v>
      </c>
    </row>
    <row r="2378" spans="1:23" x14ac:dyDescent="0.25">
      <c r="A2378" t="s">
        <v>520</v>
      </c>
      <c r="B2378">
        <v>2000</v>
      </c>
      <c r="C2378" t="s">
        <v>363</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Data_Completeness(LifeExpectancyData[[#This Row],[Life expectancy]:[Schooling]])</f>
        <v>1</v>
      </c>
    </row>
    <row r="2379" spans="1:23" x14ac:dyDescent="0.25">
      <c r="A2379" t="s">
        <v>521</v>
      </c>
      <c r="B2379">
        <v>2015</v>
      </c>
      <c r="C2379" t="s">
        <v>363</v>
      </c>
      <c r="D2379">
        <v>55</v>
      </c>
      <c r="E2379">
        <v>312</v>
      </c>
      <c r="F2379">
        <v>50</v>
      </c>
      <c r="H2379">
        <v>0</v>
      </c>
      <c r="I2379">
        <v>42</v>
      </c>
      <c r="J2379">
        <v>7497</v>
      </c>
      <c r="K2379">
        <v>24.3</v>
      </c>
      <c r="L2379">
        <v>80</v>
      </c>
      <c r="M2379">
        <v>47</v>
      </c>
      <c r="O2379">
        <v>42</v>
      </c>
      <c r="P2379">
        <v>0.7</v>
      </c>
      <c r="Q2379">
        <v>426.98536999999999</v>
      </c>
      <c r="S2379">
        <v>6.6</v>
      </c>
      <c r="T2379">
        <v>6.4</v>
      </c>
      <c r="W2379" t="b">
        <f>Data_Completeness(LifeExpectancyData[[#This Row],[Life expectancy]:[Schooling]])</f>
        <v>0</v>
      </c>
    </row>
    <row r="2380" spans="1:23" x14ac:dyDescent="0.25">
      <c r="A2380" t="s">
        <v>521</v>
      </c>
      <c r="B2380">
        <v>2014</v>
      </c>
      <c r="C2380" t="s">
        <v>363</v>
      </c>
      <c r="D2380">
        <v>54.3</v>
      </c>
      <c r="E2380">
        <v>321</v>
      </c>
      <c r="F2380">
        <v>51</v>
      </c>
      <c r="G2380">
        <v>0.01</v>
      </c>
      <c r="H2380">
        <v>0</v>
      </c>
      <c r="I2380">
        <v>42</v>
      </c>
      <c r="J2380">
        <v>10229</v>
      </c>
      <c r="K2380">
        <v>23.8</v>
      </c>
      <c r="L2380">
        <v>80</v>
      </c>
      <c r="M2380">
        <v>47</v>
      </c>
      <c r="O2380">
        <v>42</v>
      </c>
      <c r="P2380">
        <v>0.8</v>
      </c>
      <c r="Q2380">
        <v>417.89143000000001</v>
      </c>
      <c r="S2380">
        <v>6.7</v>
      </c>
      <c r="T2380">
        <v>6.5</v>
      </c>
      <c r="W2380" t="b">
        <f>Data_Completeness(LifeExpectancyData[[#This Row],[Life expectancy]:[Schooling]])</f>
        <v>0</v>
      </c>
    </row>
    <row r="2381" spans="1:23" x14ac:dyDescent="0.25">
      <c r="A2381" t="s">
        <v>521</v>
      </c>
      <c r="B2381">
        <v>2013</v>
      </c>
      <c r="C2381" t="s">
        <v>363</v>
      </c>
      <c r="D2381">
        <v>54.2</v>
      </c>
      <c r="E2381">
        <v>318</v>
      </c>
      <c r="F2381">
        <v>51</v>
      </c>
      <c r="G2381">
        <v>0.01</v>
      </c>
      <c r="H2381">
        <v>0</v>
      </c>
      <c r="I2381">
        <v>42</v>
      </c>
      <c r="J2381">
        <v>3173</v>
      </c>
      <c r="K2381">
        <v>23.3</v>
      </c>
      <c r="L2381">
        <v>81</v>
      </c>
      <c r="M2381">
        <v>47</v>
      </c>
      <c r="O2381">
        <v>42</v>
      </c>
      <c r="P2381">
        <v>0.8</v>
      </c>
      <c r="Q2381">
        <v>47.5432354</v>
      </c>
      <c r="S2381">
        <v>6.8</v>
      </c>
      <c r="T2381">
        <v>6.6</v>
      </c>
      <c r="W2381" t="b">
        <f>Data_Completeness(LifeExpectancyData[[#This Row],[Life expectancy]:[Schooling]])</f>
        <v>0</v>
      </c>
    </row>
    <row r="2382" spans="1:23" x14ac:dyDescent="0.25">
      <c r="A2382" t="s">
        <v>521</v>
      </c>
      <c r="B2382">
        <v>2012</v>
      </c>
      <c r="C2382" t="s">
        <v>363</v>
      </c>
      <c r="D2382">
        <v>53.1</v>
      </c>
      <c r="E2382">
        <v>336</v>
      </c>
      <c r="F2382">
        <v>51</v>
      </c>
      <c r="G2382">
        <v>0.01</v>
      </c>
      <c r="H2382">
        <v>0</v>
      </c>
      <c r="J2382">
        <v>9983</v>
      </c>
      <c r="K2382">
        <v>22.9</v>
      </c>
      <c r="L2382">
        <v>82</v>
      </c>
      <c r="M2382">
        <v>47</v>
      </c>
      <c r="O2382">
        <v>42</v>
      </c>
      <c r="P2382">
        <v>0.8</v>
      </c>
      <c r="S2382">
        <v>6.8</v>
      </c>
      <c r="T2382">
        <v>6.7</v>
      </c>
      <c r="W2382" t="b">
        <f>Data_Completeness(LifeExpectancyData[[#This Row],[Life expectancy]:[Schooling]])</f>
        <v>0</v>
      </c>
    </row>
    <row r="2383" spans="1:23" x14ac:dyDescent="0.25">
      <c r="A2383" t="s">
        <v>521</v>
      </c>
      <c r="B2383">
        <v>2011</v>
      </c>
      <c r="C2383" t="s">
        <v>363</v>
      </c>
      <c r="D2383">
        <v>53.1</v>
      </c>
      <c r="E2383">
        <v>329</v>
      </c>
      <c r="F2383">
        <v>51</v>
      </c>
      <c r="G2383">
        <v>0.01</v>
      </c>
      <c r="H2383">
        <v>0</v>
      </c>
      <c r="J2383">
        <v>17298</v>
      </c>
      <c r="K2383">
        <v>22.4</v>
      </c>
      <c r="L2383">
        <v>82</v>
      </c>
      <c r="M2383">
        <v>49</v>
      </c>
      <c r="O2383">
        <v>41</v>
      </c>
      <c r="P2383">
        <v>0.8</v>
      </c>
      <c r="S2383">
        <v>6.9</v>
      </c>
      <c r="T2383">
        <v>6.7</v>
      </c>
      <c r="W2383" t="b">
        <f>Data_Completeness(LifeExpectancyData[[#This Row],[Life expectancy]:[Schooling]])</f>
        <v>0</v>
      </c>
    </row>
    <row r="2384" spans="1:23" x14ac:dyDescent="0.25">
      <c r="A2384" t="s">
        <v>521</v>
      </c>
      <c r="B2384">
        <v>2010</v>
      </c>
      <c r="C2384" t="s">
        <v>363</v>
      </c>
      <c r="D2384">
        <v>52.4</v>
      </c>
      <c r="E2384">
        <v>336</v>
      </c>
      <c r="F2384">
        <v>52</v>
      </c>
      <c r="G2384">
        <v>0.01</v>
      </c>
      <c r="H2384">
        <v>0</v>
      </c>
      <c r="J2384">
        <v>115</v>
      </c>
      <c r="K2384">
        <v>22</v>
      </c>
      <c r="L2384">
        <v>83</v>
      </c>
      <c r="M2384">
        <v>49</v>
      </c>
      <c r="O2384">
        <v>45</v>
      </c>
      <c r="P2384">
        <v>0.8</v>
      </c>
      <c r="S2384">
        <v>7</v>
      </c>
      <c r="T2384">
        <v>6.8</v>
      </c>
      <c r="W2384" t="b">
        <f>Data_Completeness(LifeExpectancyData[[#This Row],[Life expectancy]:[Schooling]])</f>
        <v>0</v>
      </c>
    </row>
    <row r="2385" spans="1:23" x14ac:dyDescent="0.25">
      <c r="A2385" t="s">
        <v>521</v>
      </c>
      <c r="B2385">
        <v>2009</v>
      </c>
      <c r="C2385" t="s">
        <v>363</v>
      </c>
      <c r="D2385">
        <v>52.2</v>
      </c>
      <c r="E2385">
        <v>335</v>
      </c>
      <c r="F2385">
        <v>52</v>
      </c>
      <c r="G2385">
        <v>0.01</v>
      </c>
      <c r="H2385">
        <v>0</v>
      </c>
      <c r="J2385">
        <v>13</v>
      </c>
      <c r="K2385">
        <v>21.5</v>
      </c>
      <c r="L2385">
        <v>84</v>
      </c>
      <c r="M2385">
        <v>41</v>
      </c>
      <c r="O2385">
        <v>42</v>
      </c>
      <c r="P2385">
        <v>0.8</v>
      </c>
      <c r="S2385">
        <v>7.1</v>
      </c>
      <c r="T2385">
        <v>6.9</v>
      </c>
      <c r="W2385" t="b">
        <f>Data_Completeness(LifeExpectancyData[[#This Row],[Life expectancy]:[Schooling]])</f>
        <v>0</v>
      </c>
    </row>
    <row r="2386" spans="1:23" x14ac:dyDescent="0.25">
      <c r="A2386" t="s">
        <v>521</v>
      </c>
      <c r="B2386">
        <v>2008</v>
      </c>
      <c r="C2386" t="s">
        <v>363</v>
      </c>
      <c r="D2386">
        <v>51.9</v>
      </c>
      <c r="E2386">
        <v>336</v>
      </c>
      <c r="F2386">
        <v>52</v>
      </c>
      <c r="G2386">
        <v>0.01</v>
      </c>
      <c r="H2386">
        <v>0</v>
      </c>
      <c r="J2386">
        <v>1081</v>
      </c>
      <c r="K2386">
        <v>21.1</v>
      </c>
      <c r="L2386">
        <v>84</v>
      </c>
      <c r="M2386">
        <v>4</v>
      </c>
      <c r="O2386">
        <v>31</v>
      </c>
      <c r="P2386">
        <v>0.9</v>
      </c>
      <c r="S2386">
        <v>7.2</v>
      </c>
      <c r="T2386">
        <v>7</v>
      </c>
      <c r="W2386" t="b">
        <f>Data_Completeness(LifeExpectancyData[[#This Row],[Life expectancy]:[Schooling]])</f>
        <v>0</v>
      </c>
    </row>
    <row r="2387" spans="1:23" x14ac:dyDescent="0.25">
      <c r="A2387" t="s">
        <v>521</v>
      </c>
      <c r="B2387">
        <v>2007</v>
      </c>
      <c r="C2387" t="s">
        <v>363</v>
      </c>
      <c r="D2387">
        <v>51.5</v>
      </c>
      <c r="E2387">
        <v>34</v>
      </c>
      <c r="F2387">
        <v>52</v>
      </c>
      <c r="G2387">
        <v>0.01</v>
      </c>
      <c r="H2387">
        <v>0</v>
      </c>
      <c r="J2387">
        <v>1149</v>
      </c>
      <c r="K2387">
        <v>2.7</v>
      </c>
      <c r="L2387">
        <v>84</v>
      </c>
      <c r="M2387">
        <v>4</v>
      </c>
      <c r="O2387">
        <v>4</v>
      </c>
      <c r="P2387">
        <v>0.9</v>
      </c>
      <c r="S2387">
        <v>7.3</v>
      </c>
      <c r="T2387">
        <v>7.1</v>
      </c>
      <c r="W2387" t="b">
        <f>Data_Completeness(LifeExpectancyData[[#This Row],[Life expectancy]:[Schooling]])</f>
        <v>0</v>
      </c>
    </row>
    <row r="2388" spans="1:23" x14ac:dyDescent="0.25">
      <c r="A2388" t="s">
        <v>521</v>
      </c>
      <c r="B2388">
        <v>2006</v>
      </c>
      <c r="C2388" t="s">
        <v>363</v>
      </c>
      <c r="D2388">
        <v>51.5</v>
      </c>
      <c r="E2388">
        <v>337</v>
      </c>
      <c r="F2388">
        <v>51</v>
      </c>
      <c r="G2388">
        <v>0.01</v>
      </c>
      <c r="H2388">
        <v>0</v>
      </c>
      <c r="J2388">
        <v>7</v>
      </c>
      <c r="K2388">
        <v>2.2000000000000002</v>
      </c>
      <c r="L2388">
        <v>83</v>
      </c>
      <c r="M2388">
        <v>26</v>
      </c>
      <c r="O2388">
        <v>26</v>
      </c>
      <c r="P2388">
        <v>0.9</v>
      </c>
      <c r="S2388">
        <v>7.4</v>
      </c>
      <c r="T2388">
        <v>7.2</v>
      </c>
      <c r="W2388" t="b">
        <f>Data_Completeness(LifeExpectancyData[[#This Row],[Life expectancy]:[Schooling]])</f>
        <v>0</v>
      </c>
    </row>
    <row r="2389" spans="1:23" x14ac:dyDescent="0.25">
      <c r="A2389" t="s">
        <v>521</v>
      </c>
      <c r="B2389">
        <v>2005</v>
      </c>
      <c r="C2389" t="s">
        <v>363</v>
      </c>
      <c r="D2389">
        <v>51.6</v>
      </c>
      <c r="E2389">
        <v>334</v>
      </c>
      <c r="F2389">
        <v>50</v>
      </c>
      <c r="G2389">
        <v>0.01</v>
      </c>
      <c r="H2389">
        <v>0</v>
      </c>
      <c r="J2389">
        <v>0</v>
      </c>
      <c r="K2389">
        <v>19.8</v>
      </c>
      <c r="L2389">
        <v>82</v>
      </c>
      <c r="M2389">
        <v>35</v>
      </c>
      <c r="O2389">
        <v>35</v>
      </c>
      <c r="P2389">
        <v>0.9</v>
      </c>
      <c r="S2389">
        <v>7.5</v>
      </c>
      <c r="T2389">
        <v>7.3</v>
      </c>
      <c r="W2389" t="b">
        <f>Data_Completeness(LifeExpectancyData[[#This Row],[Life expectancy]:[Schooling]])</f>
        <v>0</v>
      </c>
    </row>
    <row r="2390" spans="1:23" x14ac:dyDescent="0.25">
      <c r="A2390" t="s">
        <v>521</v>
      </c>
      <c r="B2390">
        <v>2004</v>
      </c>
      <c r="C2390" t="s">
        <v>363</v>
      </c>
      <c r="D2390">
        <v>51.2</v>
      </c>
      <c r="E2390">
        <v>341</v>
      </c>
      <c r="F2390">
        <v>49</v>
      </c>
      <c r="G2390">
        <v>0.01</v>
      </c>
      <c r="H2390">
        <v>0</v>
      </c>
      <c r="J2390">
        <v>12008</v>
      </c>
      <c r="K2390">
        <v>19.399999999999999</v>
      </c>
      <c r="L2390">
        <v>80</v>
      </c>
      <c r="M2390">
        <v>3</v>
      </c>
      <c r="O2390">
        <v>3</v>
      </c>
      <c r="P2390">
        <v>0.9</v>
      </c>
      <c r="S2390">
        <v>7.6</v>
      </c>
      <c r="T2390">
        <v>7.4</v>
      </c>
      <c r="W2390" t="b">
        <f>Data_Completeness(LifeExpectancyData[[#This Row],[Life expectancy]:[Schooling]])</f>
        <v>0</v>
      </c>
    </row>
    <row r="2391" spans="1:23" x14ac:dyDescent="0.25">
      <c r="A2391" t="s">
        <v>521</v>
      </c>
      <c r="B2391">
        <v>2003</v>
      </c>
      <c r="C2391" t="s">
        <v>363</v>
      </c>
      <c r="D2391">
        <v>51.1</v>
      </c>
      <c r="E2391">
        <v>344</v>
      </c>
      <c r="F2391">
        <v>48</v>
      </c>
      <c r="G2391">
        <v>0.01</v>
      </c>
      <c r="H2391">
        <v>0</v>
      </c>
      <c r="J2391">
        <v>8257</v>
      </c>
      <c r="K2391">
        <v>19</v>
      </c>
      <c r="L2391">
        <v>78</v>
      </c>
      <c r="M2391">
        <v>4</v>
      </c>
      <c r="O2391">
        <v>4</v>
      </c>
      <c r="P2391">
        <v>0.9</v>
      </c>
      <c r="S2391">
        <v>7.7</v>
      </c>
      <c r="T2391">
        <v>7.5</v>
      </c>
      <c r="W2391" t="b">
        <f>Data_Completeness(LifeExpectancyData[[#This Row],[Life expectancy]:[Schooling]])</f>
        <v>0</v>
      </c>
    </row>
    <row r="2392" spans="1:23" x14ac:dyDescent="0.25">
      <c r="A2392" t="s">
        <v>521</v>
      </c>
      <c r="B2392">
        <v>2002</v>
      </c>
      <c r="C2392" t="s">
        <v>363</v>
      </c>
      <c r="D2392">
        <v>58</v>
      </c>
      <c r="E2392">
        <v>348</v>
      </c>
      <c r="F2392">
        <v>47</v>
      </c>
      <c r="G2392">
        <v>0.01</v>
      </c>
      <c r="H2392">
        <v>0</v>
      </c>
      <c r="J2392">
        <v>9559</v>
      </c>
      <c r="K2392">
        <v>18.600000000000001</v>
      </c>
      <c r="L2392">
        <v>77</v>
      </c>
      <c r="M2392">
        <v>4</v>
      </c>
      <c r="O2392">
        <v>4</v>
      </c>
      <c r="P2392">
        <v>0.9</v>
      </c>
      <c r="S2392">
        <v>7.8</v>
      </c>
      <c r="T2392">
        <v>7.6</v>
      </c>
      <c r="W2392" t="b">
        <f>Data_Completeness(LifeExpectancyData[[#This Row],[Life expectancy]:[Schooling]])</f>
        <v>0</v>
      </c>
    </row>
    <row r="2393" spans="1:23" x14ac:dyDescent="0.25">
      <c r="A2393" t="s">
        <v>521</v>
      </c>
      <c r="B2393">
        <v>2001</v>
      </c>
      <c r="C2393" t="s">
        <v>363</v>
      </c>
      <c r="D2393">
        <v>57</v>
      </c>
      <c r="E2393">
        <v>352</v>
      </c>
      <c r="F2393">
        <v>46</v>
      </c>
      <c r="G2393">
        <v>0.01</v>
      </c>
      <c r="H2393">
        <v>0</v>
      </c>
      <c r="J2393">
        <v>3571</v>
      </c>
      <c r="K2393">
        <v>18.2</v>
      </c>
      <c r="L2393">
        <v>75</v>
      </c>
      <c r="M2393">
        <v>33</v>
      </c>
      <c r="O2393">
        <v>33</v>
      </c>
      <c r="P2393">
        <v>0.8</v>
      </c>
      <c r="S2393">
        <v>7.9</v>
      </c>
      <c r="T2393">
        <v>7.7</v>
      </c>
      <c r="W2393" t="b">
        <f>Data_Completeness(LifeExpectancyData[[#This Row],[Life expectancy]:[Schooling]])</f>
        <v>0</v>
      </c>
    </row>
    <row r="2394" spans="1:23" x14ac:dyDescent="0.25">
      <c r="A2394" t="s">
        <v>521</v>
      </c>
      <c r="B2394">
        <v>2000</v>
      </c>
      <c r="C2394" t="s">
        <v>363</v>
      </c>
      <c r="D2394">
        <v>55</v>
      </c>
      <c r="E2394">
        <v>355</v>
      </c>
      <c r="F2394">
        <v>45</v>
      </c>
      <c r="G2394">
        <v>0.01</v>
      </c>
      <c r="H2394">
        <v>0</v>
      </c>
      <c r="J2394">
        <v>3965</v>
      </c>
      <c r="K2394">
        <v>17.8</v>
      </c>
      <c r="L2394">
        <v>74</v>
      </c>
      <c r="M2394">
        <v>37</v>
      </c>
      <c r="O2394">
        <v>33</v>
      </c>
      <c r="P2394">
        <v>0.8</v>
      </c>
      <c r="S2394">
        <v>8</v>
      </c>
      <c r="T2394">
        <v>7.9</v>
      </c>
      <c r="W2394" t="b">
        <f>Data_Completeness(LifeExpectancyData[[#This Row],[Life expectancy]:[Schooling]])</f>
        <v>0</v>
      </c>
    </row>
    <row r="2395" spans="1:23" x14ac:dyDescent="0.25">
      <c r="A2395" t="s">
        <v>522</v>
      </c>
      <c r="B2395">
        <v>2015</v>
      </c>
      <c r="C2395" t="s">
        <v>363</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Data_Completeness(LifeExpectancyData[[#This Row],[Life expectancy]:[Schooling]])</f>
        <v>0</v>
      </c>
    </row>
    <row r="2396" spans="1:23" x14ac:dyDescent="0.25">
      <c r="A2396" t="s">
        <v>522</v>
      </c>
      <c r="B2396">
        <v>2014</v>
      </c>
      <c r="C2396" t="s">
        <v>363</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Data_Completeness(LifeExpectancyData[[#This Row],[Life expectancy]:[Schooling]])</f>
        <v>1</v>
      </c>
    </row>
    <row r="2397" spans="1:23" x14ac:dyDescent="0.25">
      <c r="A2397" t="s">
        <v>522</v>
      </c>
      <c r="B2397">
        <v>2013</v>
      </c>
      <c r="C2397" t="s">
        <v>363</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Data_Completeness(LifeExpectancyData[[#This Row],[Life expectancy]:[Schooling]])</f>
        <v>1</v>
      </c>
    </row>
    <row r="2398" spans="1:23" x14ac:dyDescent="0.25">
      <c r="A2398" t="s">
        <v>522</v>
      </c>
      <c r="B2398">
        <v>2012</v>
      </c>
      <c r="C2398" t="s">
        <v>363</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Data_Completeness(LifeExpectancyData[[#This Row],[Life expectancy]:[Schooling]])</f>
        <v>1</v>
      </c>
    </row>
    <row r="2399" spans="1:23" x14ac:dyDescent="0.25">
      <c r="A2399" t="s">
        <v>522</v>
      </c>
      <c r="B2399">
        <v>2011</v>
      </c>
      <c r="C2399" t="s">
        <v>363</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Data_Completeness(LifeExpectancyData[[#This Row],[Life expectancy]:[Schooling]])</f>
        <v>1</v>
      </c>
    </row>
    <row r="2400" spans="1:23" x14ac:dyDescent="0.25">
      <c r="A2400" t="s">
        <v>522</v>
      </c>
      <c r="B2400">
        <v>2010</v>
      </c>
      <c r="C2400" t="s">
        <v>363</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Data_Completeness(LifeExpectancyData[[#This Row],[Life expectancy]:[Schooling]])</f>
        <v>1</v>
      </c>
    </row>
    <row r="2401" spans="1:23" x14ac:dyDescent="0.25">
      <c r="A2401" t="s">
        <v>522</v>
      </c>
      <c r="B2401">
        <v>2009</v>
      </c>
      <c r="C2401" t="s">
        <v>363</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Data_Completeness(LifeExpectancyData[[#This Row],[Life expectancy]:[Schooling]])</f>
        <v>1</v>
      </c>
    </row>
    <row r="2402" spans="1:23" x14ac:dyDescent="0.25">
      <c r="A2402" t="s">
        <v>522</v>
      </c>
      <c r="B2402">
        <v>2008</v>
      </c>
      <c r="C2402" t="s">
        <v>363</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Data_Completeness(LifeExpectancyData[[#This Row],[Life expectancy]:[Schooling]])</f>
        <v>1</v>
      </c>
    </row>
    <row r="2403" spans="1:23" x14ac:dyDescent="0.25">
      <c r="A2403" t="s">
        <v>522</v>
      </c>
      <c r="B2403">
        <v>2007</v>
      </c>
      <c r="C2403" t="s">
        <v>363</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Data_Completeness(LifeExpectancyData[[#This Row],[Life expectancy]:[Schooling]])</f>
        <v>1</v>
      </c>
    </row>
    <row r="2404" spans="1:23" x14ac:dyDescent="0.25">
      <c r="A2404" t="s">
        <v>522</v>
      </c>
      <c r="B2404">
        <v>2006</v>
      </c>
      <c r="C2404" t="s">
        <v>363</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Data_Completeness(LifeExpectancyData[[#This Row],[Life expectancy]:[Schooling]])</f>
        <v>1</v>
      </c>
    </row>
    <row r="2405" spans="1:23" x14ac:dyDescent="0.25">
      <c r="A2405" t="s">
        <v>522</v>
      </c>
      <c r="B2405">
        <v>2005</v>
      </c>
      <c r="C2405" t="s">
        <v>363</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Data_Completeness(LifeExpectancyData[[#This Row],[Life expectancy]:[Schooling]])</f>
        <v>1</v>
      </c>
    </row>
    <row r="2406" spans="1:23" x14ac:dyDescent="0.25">
      <c r="A2406" t="s">
        <v>522</v>
      </c>
      <c r="B2406">
        <v>2004</v>
      </c>
      <c r="C2406" t="s">
        <v>363</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Data_Completeness(LifeExpectancyData[[#This Row],[Life expectancy]:[Schooling]])</f>
        <v>1</v>
      </c>
    </row>
    <row r="2407" spans="1:23" x14ac:dyDescent="0.25">
      <c r="A2407" t="s">
        <v>522</v>
      </c>
      <c r="B2407">
        <v>2003</v>
      </c>
      <c r="C2407" t="s">
        <v>363</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Data_Completeness(LifeExpectancyData[[#This Row],[Life expectancy]:[Schooling]])</f>
        <v>1</v>
      </c>
    </row>
    <row r="2408" spans="1:23" x14ac:dyDescent="0.25">
      <c r="A2408" t="s">
        <v>522</v>
      </c>
      <c r="B2408">
        <v>2002</v>
      </c>
      <c r="C2408" t="s">
        <v>363</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Data_Completeness(LifeExpectancyData[[#This Row],[Life expectancy]:[Schooling]])</f>
        <v>1</v>
      </c>
    </row>
    <row r="2409" spans="1:23" x14ac:dyDescent="0.25">
      <c r="A2409" t="s">
        <v>522</v>
      </c>
      <c r="B2409">
        <v>2001</v>
      </c>
      <c r="C2409" t="s">
        <v>363</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Data_Completeness(LifeExpectancyData[[#This Row],[Life expectancy]:[Schooling]])</f>
        <v>1</v>
      </c>
    </row>
    <row r="2410" spans="1:23" x14ac:dyDescent="0.25">
      <c r="A2410" t="s">
        <v>522</v>
      </c>
      <c r="B2410">
        <v>2000</v>
      </c>
      <c r="C2410" t="s">
        <v>363</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Data_Completeness(LifeExpectancyData[[#This Row],[Life expectancy]:[Schooling]])</f>
        <v>1</v>
      </c>
    </row>
    <row r="2411" spans="1:23" x14ac:dyDescent="0.25">
      <c r="A2411" t="s">
        <v>523</v>
      </c>
      <c r="B2411">
        <v>2015</v>
      </c>
      <c r="C2411" t="s">
        <v>363</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Data_Completeness(LifeExpectancyData[[#This Row],[Life expectancy]:[Schooling]])</f>
        <v>0</v>
      </c>
    </row>
    <row r="2412" spans="1:23" x14ac:dyDescent="0.25">
      <c r="A2412" t="s">
        <v>523</v>
      </c>
      <c r="B2412">
        <v>2014</v>
      </c>
      <c r="C2412" t="s">
        <v>363</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Data_Completeness(LifeExpectancyData[[#This Row],[Life expectancy]:[Schooling]])</f>
        <v>0</v>
      </c>
    </row>
    <row r="2413" spans="1:23" x14ac:dyDescent="0.25">
      <c r="A2413" t="s">
        <v>523</v>
      </c>
      <c r="B2413">
        <v>2013</v>
      </c>
      <c r="C2413" t="s">
        <v>363</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Data_Completeness(LifeExpectancyData[[#This Row],[Life expectancy]:[Schooling]])</f>
        <v>0</v>
      </c>
    </row>
    <row r="2414" spans="1:23" x14ac:dyDescent="0.25">
      <c r="A2414" t="s">
        <v>523</v>
      </c>
      <c r="B2414">
        <v>2012</v>
      </c>
      <c r="C2414" t="s">
        <v>363</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Data_Completeness(LifeExpectancyData[[#This Row],[Life expectancy]:[Schooling]])</f>
        <v>0</v>
      </c>
    </row>
    <row r="2415" spans="1:23" x14ac:dyDescent="0.25">
      <c r="A2415" t="s">
        <v>523</v>
      </c>
      <c r="B2415">
        <v>2011</v>
      </c>
      <c r="C2415" t="s">
        <v>363</v>
      </c>
      <c r="D2415">
        <v>55.4</v>
      </c>
      <c r="E2415">
        <v>355</v>
      </c>
      <c r="F2415">
        <v>27</v>
      </c>
      <c r="H2415">
        <v>0</v>
      </c>
      <c r="J2415">
        <v>1256</v>
      </c>
      <c r="L2415">
        <v>41</v>
      </c>
      <c r="M2415">
        <v>66</v>
      </c>
      <c r="O2415">
        <v>61</v>
      </c>
      <c r="P2415">
        <v>3.9</v>
      </c>
      <c r="Q2415">
        <v>176.97130000000001</v>
      </c>
      <c r="R2415">
        <v>1448857</v>
      </c>
      <c r="U2415">
        <v>0.42899999999999999</v>
      </c>
      <c r="V2415">
        <v>4.9000000000000004</v>
      </c>
      <c r="W2415" t="b">
        <f>Data_Completeness(LifeExpectancyData[[#This Row],[Life expectancy]:[Schooling]])</f>
        <v>0</v>
      </c>
    </row>
    <row r="2416" spans="1:23" x14ac:dyDescent="0.25">
      <c r="A2416" t="s">
        <v>523</v>
      </c>
      <c r="B2416">
        <v>2010</v>
      </c>
      <c r="C2416" t="s">
        <v>363</v>
      </c>
      <c r="D2416">
        <v>55</v>
      </c>
      <c r="E2416">
        <v>359</v>
      </c>
      <c r="F2416">
        <v>27</v>
      </c>
      <c r="H2416">
        <v>0</v>
      </c>
      <c r="J2416">
        <v>0</v>
      </c>
      <c r="L2416">
        <v>41</v>
      </c>
      <c r="P2416">
        <v>4</v>
      </c>
      <c r="Q2416">
        <v>1562.2393460000001</v>
      </c>
      <c r="R2416">
        <v>167192</v>
      </c>
      <c r="U2416">
        <v>0</v>
      </c>
      <c r="V2416">
        <v>0</v>
      </c>
      <c r="W2416" t="b">
        <f>Data_Completeness(LifeExpectancyData[[#This Row],[Life expectancy]:[Schooling]])</f>
        <v>0</v>
      </c>
    </row>
    <row r="2417" spans="1:23" x14ac:dyDescent="0.25">
      <c r="A2417" t="s">
        <v>523</v>
      </c>
      <c r="B2417">
        <v>2009</v>
      </c>
      <c r="C2417" t="s">
        <v>363</v>
      </c>
      <c r="D2417">
        <v>54.3</v>
      </c>
      <c r="E2417">
        <v>369</v>
      </c>
      <c r="F2417">
        <v>27</v>
      </c>
      <c r="H2417">
        <v>0</v>
      </c>
      <c r="J2417">
        <v>0</v>
      </c>
      <c r="L2417">
        <v>42</v>
      </c>
      <c r="P2417">
        <v>4.2</v>
      </c>
      <c r="Q2417">
        <v>1264.78998</v>
      </c>
      <c r="R2417">
        <v>967667</v>
      </c>
      <c r="U2417">
        <v>0</v>
      </c>
      <c r="V2417">
        <v>0</v>
      </c>
      <c r="W2417" t="b">
        <f>Data_Completeness(LifeExpectancyData[[#This Row],[Life expectancy]:[Schooling]])</f>
        <v>0</v>
      </c>
    </row>
    <row r="2418" spans="1:23" x14ac:dyDescent="0.25">
      <c r="A2418" t="s">
        <v>523</v>
      </c>
      <c r="B2418">
        <v>2008</v>
      </c>
      <c r="C2418" t="s">
        <v>363</v>
      </c>
      <c r="D2418">
        <v>53.6</v>
      </c>
      <c r="E2418">
        <v>377</v>
      </c>
      <c r="F2418">
        <v>27</v>
      </c>
      <c r="H2418">
        <v>0</v>
      </c>
      <c r="J2418">
        <v>0</v>
      </c>
      <c r="L2418">
        <v>42</v>
      </c>
      <c r="P2418">
        <v>4.2</v>
      </c>
      <c r="Q2418">
        <v>1678.7118620000001</v>
      </c>
      <c r="R2418">
        <v>9263136</v>
      </c>
      <c r="U2418">
        <v>0</v>
      </c>
      <c r="V2418">
        <v>0</v>
      </c>
      <c r="W2418" t="b">
        <f>Data_Completeness(LifeExpectancyData[[#This Row],[Life expectancy]:[Schooling]])</f>
        <v>0</v>
      </c>
    </row>
    <row r="2419" spans="1:23" x14ac:dyDescent="0.25">
      <c r="A2419" t="s">
        <v>523</v>
      </c>
      <c r="B2419">
        <v>2007</v>
      </c>
      <c r="C2419" t="s">
        <v>363</v>
      </c>
      <c r="D2419">
        <v>53.1</v>
      </c>
      <c r="E2419">
        <v>381</v>
      </c>
      <c r="F2419">
        <v>27</v>
      </c>
      <c r="H2419">
        <v>0</v>
      </c>
      <c r="J2419">
        <v>0</v>
      </c>
      <c r="L2419">
        <v>43</v>
      </c>
      <c r="P2419">
        <v>4.2</v>
      </c>
      <c r="R2419">
        <v>88568</v>
      </c>
      <c r="U2419">
        <v>0</v>
      </c>
      <c r="V2419">
        <v>0</v>
      </c>
      <c r="W2419" t="b">
        <f>Data_Completeness(LifeExpectancyData[[#This Row],[Life expectancy]:[Schooling]])</f>
        <v>0</v>
      </c>
    </row>
    <row r="2420" spans="1:23" x14ac:dyDescent="0.25">
      <c r="A2420" t="s">
        <v>523</v>
      </c>
      <c r="B2420">
        <v>2006</v>
      </c>
      <c r="C2420" t="s">
        <v>363</v>
      </c>
      <c r="D2420">
        <v>52.5</v>
      </c>
      <c r="E2420">
        <v>383</v>
      </c>
      <c r="F2420">
        <v>28</v>
      </c>
      <c r="H2420">
        <v>0</v>
      </c>
      <c r="J2420">
        <v>0</v>
      </c>
      <c r="L2420">
        <v>43</v>
      </c>
      <c r="P2420">
        <v>4.0999999999999996</v>
      </c>
      <c r="R2420">
        <v>8468152</v>
      </c>
      <c r="U2420">
        <v>0</v>
      </c>
      <c r="V2420">
        <v>0</v>
      </c>
      <c r="W2420" t="b">
        <f>Data_Completeness(LifeExpectancyData[[#This Row],[Life expectancy]:[Schooling]])</f>
        <v>0</v>
      </c>
    </row>
    <row r="2421" spans="1:23" x14ac:dyDescent="0.25">
      <c r="A2421" t="s">
        <v>523</v>
      </c>
      <c r="B2421">
        <v>2005</v>
      </c>
      <c r="C2421" t="s">
        <v>363</v>
      </c>
      <c r="D2421">
        <v>51.9</v>
      </c>
      <c r="E2421">
        <v>383</v>
      </c>
      <c r="F2421">
        <v>28</v>
      </c>
      <c r="H2421">
        <v>0</v>
      </c>
      <c r="J2421">
        <v>0</v>
      </c>
      <c r="L2421">
        <v>44</v>
      </c>
      <c r="P2421">
        <v>3.9</v>
      </c>
      <c r="R2421">
        <v>818877</v>
      </c>
      <c r="U2421">
        <v>0</v>
      </c>
      <c r="V2421">
        <v>0</v>
      </c>
      <c r="W2421" t="b">
        <f>Data_Completeness(LifeExpectancyData[[#This Row],[Life expectancy]:[Schooling]])</f>
        <v>0</v>
      </c>
    </row>
    <row r="2422" spans="1:23" x14ac:dyDescent="0.25">
      <c r="A2422" t="s">
        <v>523</v>
      </c>
      <c r="B2422">
        <v>2004</v>
      </c>
      <c r="C2422" t="s">
        <v>363</v>
      </c>
      <c r="D2422">
        <v>51.4</v>
      </c>
      <c r="E2422">
        <v>383</v>
      </c>
      <c r="F2422">
        <v>29</v>
      </c>
      <c r="H2422">
        <v>0</v>
      </c>
      <c r="J2422">
        <v>0</v>
      </c>
      <c r="L2422">
        <v>45</v>
      </c>
      <c r="P2422">
        <v>3.8</v>
      </c>
      <c r="R2422">
        <v>7787655</v>
      </c>
      <c r="U2422">
        <v>0</v>
      </c>
      <c r="V2422">
        <v>0</v>
      </c>
      <c r="W2422" t="b">
        <f>Data_Completeness(LifeExpectancyData[[#This Row],[Life expectancy]:[Schooling]])</f>
        <v>0</v>
      </c>
    </row>
    <row r="2423" spans="1:23" x14ac:dyDescent="0.25">
      <c r="A2423" t="s">
        <v>523</v>
      </c>
      <c r="B2423">
        <v>2003</v>
      </c>
      <c r="C2423" t="s">
        <v>363</v>
      </c>
      <c r="D2423">
        <v>58</v>
      </c>
      <c r="E2423">
        <v>383</v>
      </c>
      <c r="F2423">
        <v>29</v>
      </c>
      <c r="H2423">
        <v>0</v>
      </c>
      <c r="J2423">
        <v>0</v>
      </c>
      <c r="L2423">
        <v>46</v>
      </c>
      <c r="P2423">
        <v>3.5</v>
      </c>
      <c r="R2423">
        <v>751642</v>
      </c>
      <c r="U2423">
        <v>0</v>
      </c>
      <c r="V2423">
        <v>0</v>
      </c>
      <c r="W2423" t="b">
        <f>Data_Completeness(LifeExpectancyData[[#This Row],[Life expectancy]:[Schooling]])</f>
        <v>0</v>
      </c>
    </row>
    <row r="2424" spans="1:23" x14ac:dyDescent="0.25">
      <c r="A2424" t="s">
        <v>523</v>
      </c>
      <c r="B2424">
        <v>2002</v>
      </c>
      <c r="C2424" t="s">
        <v>363</v>
      </c>
      <c r="D2424">
        <v>52</v>
      </c>
      <c r="E2424">
        <v>382</v>
      </c>
      <c r="F2424">
        <v>30</v>
      </c>
      <c r="H2424">
        <v>0</v>
      </c>
      <c r="J2424">
        <v>0</v>
      </c>
      <c r="L2424">
        <v>48</v>
      </c>
      <c r="P2424">
        <v>3.3</v>
      </c>
      <c r="R2424">
        <v>7237276</v>
      </c>
      <c r="U2424">
        <v>0</v>
      </c>
      <c r="V2424">
        <v>0</v>
      </c>
      <c r="W2424" t="b">
        <f>Data_Completeness(LifeExpectancyData[[#This Row],[Life expectancy]:[Schooling]])</f>
        <v>0</v>
      </c>
    </row>
    <row r="2425" spans="1:23" x14ac:dyDescent="0.25">
      <c r="A2425" t="s">
        <v>523</v>
      </c>
      <c r="B2425">
        <v>2001</v>
      </c>
      <c r="C2425" t="s">
        <v>363</v>
      </c>
      <c r="D2425">
        <v>49.6</v>
      </c>
      <c r="E2425">
        <v>381</v>
      </c>
      <c r="F2425">
        <v>30</v>
      </c>
      <c r="H2425">
        <v>0</v>
      </c>
      <c r="J2425">
        <v>0</v>
      </c>
      <c r="L2425">
        <v>49</v>
      </c>
      <c r="P2425">
        <v>3</v>
      </c>
      <c r="R2425">
        <v>6974442</v>
      </c>
      <c r="U2425">
        <v>0</v>
      </c>
      <c r="V2425">
        <v>0</v>
      </c>
      <c r="W2425" t="b">
        <f>Data_Completeness(LifeExpectancyData[[#This Row],[Life expectancy]:[Schooling]])</f>
        <v>0</v>
      </c>
    </row>
    <row r="2426" spans="1:23" x14ac:dyDescent="0.25">
      <c r="A2426" t="s">
        <v>523</v>
      </c>
      <c r="B2426">
        <v>2000</v>
      </c>
      <c r="C2426" t="s">
        <v>363</v>
      </c>
      <c r="D2426">
        <v>48.9</v>
      </c>
      <c r="E2426">
        <v>38</v>
      </c>
      <c r="F2426">
        <v>31</v>
      </c>
      <c r="H2426">
        <v>0</v>
      </c>
      <c r="J2426">
        <v>0</v>
      </c>
      <c r="L2426">
        <v>50</v>
      </c>
      <c r="P2426">
        <v>2.7</v>
      </c>
      <c r="R2426">
        <v>67656</v>
      </c>
      <c r="U2426">
        <v>0</v>
      </c>
      <c r="V2426">
        <v>0</v>
      </c>
      <c r="W2426" t="b">
        <f>Data_Completeness(LifeExpectancyData[[#This Row],[Life expectancy]:[Schooling]])</f>
        <v>0</v>
      </c>
    </row>
    <row r="2427" spans="1:23" x14ac:dyDescent="0.25">
      <c r="A2427" t="s">
        <v>524</v>
      </c>
      <c r="B2427">
        <v>2015</v>
      </c>
      <c r="C2427" t="s">
        <v>371</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Data_Completeness(LifeExpectancyData[[#This Row],[Life expectancy]:[Schooling]])</f>
        <v>0</v>
      </c>
    </row>
    <row r="2428" spans="1:23" x14ac:dyDescent="0.25">
      <c r="A2428" t="s">
        <v>524</v>
      </c>
      <c r="B2428">
        <v>2014</v>
      </c>
      <c r="C2428" t="s">
        <v>371</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Data_Completeness(LifeExpectancyData[[#This Row],[Life expectancy]:[Schooling]])</f>
        <v>1</v>
      </c>
    </row>
    <row r="2429" spans="1:23" x14ac:dyDescent="0.25">
      <c r="A2429" t="s">
        <v>524</v>
      </c>
      <c r="B2429">
        <v>2013</v>
      </c>
      <c r="C2429" t="s">
        <v>371</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Data_Completeness(LifeExpectancyData[[#This Row],[Life expectancy]:[Schooling]])</f>
        <v>1</v>
      </c>
    </row>
    <row r="2430" spans="1:23" x14ac:dyDescent="0.25">
      <c r="A2430" t="s">
        <v>524</v>
      </c>
      <c r="B2430">
        <v>2012</v>
      </c>
      <c r="C2430" t="s">
        <v>371</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Data_Completeness(LifeExpectancyData[[#This Row],[Life expectancy]:[Schooling]])</f>
        <v>1</v>
      </c>
    </row>
    <row r="2431" spans="1:23" x14ac:dyDescent="0.25">
      <c r="A2431" t="s">
        <v>524</v>
      </c>
      <c r="B2431">
        <v>2011</v>
      </c>
      <c r="C2431" t="s">
        <v>371</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Data_Completeness(LifeExpectancyData[[#This Row],[Life expectancy]:[Schooling]])</f>
        <v>1</v>
      </c>
    </row>
    <row r="2432" spans="1:23" x14ac:dyDescent="0.25">
      <c r="A2432" t="s">
        <v>524</v>
      </c>
      <c r="B2432">
        <v>2010</v>
      </c>
      <c r="C2432" t="s">
        <v>371</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Data_Completeness(LifeExpectancyData[[#This Row],[Life expectancy]:[Schooling]])</f>
        <v>1</v>
      </c>
    </row>
    <row r="2433" spans="1:23" x14ac:dyDescent="0.25">
      <c r="A2433" t="s">
        <v>524</v>
      </c>
      <c r="B2433">
        <v>2009</v>
      </c>
      <c r="C2433" t="s">
        <v>371</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Data_Completeness(LifeExpectancyData[[#This Row],[Life expectancy]:[Schooling]])</f>
        <v>1</v>
      </c>
    </row>
    <row r="2434" spans="1:23" x14ac:dyDescent="0.25">
      <c r="A2434" t="s">
        <v>524</v>
      </c>
      <c r="B2434">
        <v>2008</v>
      </c>
      <c r="C2434" t="s">
        <v>371</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Data_Completeness(LifeExpectancyData[[#This Row],[Life expectancy]:[Schooling]])</f>
        <v>1</v>
      </c>
    </row>
    <row r="2435" spans="1:23" x14ac:dyDescent="0.25">
      <c r="A2435" t="s">
        <v>524</v>
      </c>
      <c r="B2435">
        <v>2007</v>
      </c>
      <c r="C2435" t="s">
        <v>371</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Data_Completeness(LifeExpectancyData[[#This Row],[Life expectancy]:[Schooling]])</f>
        <v>1</v>
      </c>
    </row>
    <row r="2436" spans="1:23" x14ac:dyDescent="0.25">
      <c r="A2436" t="s">
        <v>524</v>
      </c>
      <c r="B2436">
        <v>2006</v>
      </c>
      <c r="C2436" t="s">
        <v>371</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Data_Completeness(LifeExpectancyData[[#This Row],[Life expectancy]:[Schooling]])</f>
        <v>1</v>
      </c>
    </row>
    <row r="2437" spans="1:23" x14ac:dyDescent="0.25">
      <c r="A2437" t="s">
        <v>524</v>
      </c>
      <c r="B2437">
        <v>2005</v>
      </c>
      <c r="C2437" t="s">
        <v>371</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Data_Completeness(LifeExpectancyData[[#This Row],[Life expectancy]:[Schooling]])</f>
        <v>1</v>
      </c>
    </row>
    <row r="2438" spans="1:23" x14ac:dyDescent="0.25">
      <c r="A2438" t="s">
        <v>524</v>
      </c>
      <c r="B2438">
        <v>2004</v>
      </c>
      <c r="C2438" t="s">
        <v>371</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Data_Completeness(LifeExpectancyData[[#This Row],[Life expectancy]:[Schooling]])</f>
        <v>1</v>
      </c>
    </row>
    <row r="2439" spans="1:23" x14ac:dyDescent="0.25">
      <c r="A2439" t="s">
        <v>524</v>
      </c>
      <c r="B2439">
        <v>2003</v>
      </c>
      <c r="C2439" t="s">
        <v>371</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Data_Completeness(LifeExpectancyData[[#This Row],[Life expectancy]:[Schooling]])</f>
        <v>1</v>
      </c>
    </row>
    <row r="2440" spans="1:23" x14ac:dyDescent="0.25">
      <c r="A2440" t="s">
        <v>524</v>
      </c>
      <c r="B2440">
        <v>2002</v>
      </c>
      <c r="C2440" t="s">
        <v>371</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Data_Completeness(LifeExpectancyData[[#This Row],[Life expectancy]:[Schooling]])</f>
        <v>1</v>
      </c>
    </row>
    <row r="2441" spans="1:23" x14ac:dyDescent="0.25">
      <c r="A2441" t="s">
        <v>524</v>
      </c>
      <c r="B2441">
        <v>2001</v>
      </c>
      <c r="C2441" t="s">
        <v>371</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Data_Completeness(LifeExpectancyData[[#This Row],[Life expectancy]:[Schooling]])</f>
        <v>1</v>
      </c>
    </row>
    <row r="2442" spans="1:23" x14ac:dyDescent="0.25">
      <c r="A2442" t="s">
        <v>524</v>
      </c>
      <c r="B2442">
        <v>2000</v>
      </c>
      <c r="C2442" t="s">
        <v>371</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Data_Completeness(LifeExpectancyData[[#This Row],[Life expectancy]:[Schooling]])</f>
        <v>1</v>
      </c>
    </row>
    <row r="2443" spans="1:23" x14ac:dyDescent="0.25">
      <c r="A2443" t="s">
        <v>525</v>
      </c>
      <c r="B2443">
        <v>2015</v>
      </c>
      <c r="C2443" t="s">
        <v>363</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Data_Completeness(LifeExpectancyData[[#This Row],[Life expectancy]:[Schooling]])</f>
        <v>0</v>
      </c>
    </row>
    <row r="2444" spans="1:23" x14ac:dyDescent="0.25">
      <c r="A2444" t="s">
        <v>525</v>
      </c>
      <c r="B2444">
        <v>2014</v>
      </c>
      <c r="C2444" t="s">
        <v>363</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Data_Completeness(LifeExpectancyData[[#This Row],[Life expectancy]:[Schooling]])</f>
        <v>1</v>
      </c>
    </row>
    <row r="2445" spans="1:23" x14ac:dyDescent="0.25">
      <c r="A2445" t="s">
        <v>525</v>
      </c>
      <c r="B2445">
        <v>2013</v>
      </c>
      <c r="C2445" t="s">
        <v>363</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Data_Completeness(LifeExpectancyData[[#This Row],[Life expectancy]:[Schooling]])</f>
        <v>1</v>
      </c>
    </row>
    <row r="2446" spans="1:23" x14ac:dyDescent="0.25">
      <c r="A2446" t="s">
        <v>525</v>
      </c>
      <c r="B2446">
        <v>2012</v>
      </c>
      <c r="C2446" t="s">
        <v>363</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Data_Completeness(LifeExpectancyData[[#This Row],[Life expectancy]:[Schooling]])</f>
        <v>1</v>
      </c>
    </row>
    <row r="2447" spans="1:23" x14ac:dyDescent="0.25">
      <c r="A2447" t="s">
        <v>525</v>
      </c>
      <c r="B2447">
        <v>2011</v>
      </c>
      <c r="C2447" t="s">
        <v>363</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Data_Completeness(LifeExpectancyData[[#This Row],[Life expectancy]:[Schooling]])</f>
        <v>1</v>
      </c>
    </row>
    <row r="2448" spans="1:23" x14ac:dyDescent="0.25">
      <c r="A2448" t="s">
        <v>525</v>
      </c>
      <c r="B2448">
        <v>2010</v>
      </c>
      <c r="C2448" t="s">
        <v>363</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Data_Completeness(LifeExpectancyData[[#This Row],[Life expectancy]:[Schooling]])</f>
        <v>1</v>
      </c>
    </row>
    <row r="2449" spans="1:23" x14ac:dyDescent="0.25">
      <c r="A2449" t="s">
        <v>525</v>
      </c>
      <c r="B2449">
        <v>2009</v>
      </c>
      <c r="C2449" t="s">
        <v>363</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Data_Completeness(LifeExpectancyData[[#This Row],[Life expectancy]:[Schooling]])</f>
        <v>1</v>
      </c>
    </row>
    <row r="2450" spans="1:23" x14ac:dyDescent="0.25">
      <c r="A2450" t="s">
        <v>525</v>
      </c>
      <c r="B2450">
        <v>2008</v>
      </c>
      <c r="C2450" t="s">
        <v>363</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Data_Completeness(LifeExpectancyData[[#This Row],[Life expectancy]:[Schooling]])</f>
        <v>1</v>
      </c>
    </row>
    <row r="2451" spans="1:23" x14ac:dyDescent="0.25">
      <c r="A2451" t="s">
        <v>525</v>
      </c>
      <c r="B2451">
        <v>2007</v>
      </c>
      <c r="C2451" t="s">
        <v>363</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Data_Completeness(LifeExpectancyData[[#This Row],[Life expectancy]:[Schooling]])</f>
        <v>1</v>
      </c>
    </row>
    <row r="2452" spans="1:23" x14ac:dyDescent="0.25">
      <c r="A2452" t="s">
        <v>525</v>
      </c>
      <c r="B2452">
        <v>2006</v>
      </c>
      <c r="C2452" t="s">
        <v>363</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Data_Completeness(LifeExpectancyData[[#This Row],[Life expectancy]:[Schooling]])</f>
        <v>1</v>
      </c>
    </row>
    <row r="2453" spans="1:23" x14ac:dyDescent="0.25">
      <c r="A2453" t="s">
        <v>525</v>
      </c>
      <c r="B2453">
        <v>2005</v>
      </c>
      <c r="C2453" t="s">
        <v>363</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Data_Completeness(LifeExpectancyData[[#This Row],[Life expectancy]:[Schooling]])</f>
        <v>1</v>
      </c>
    </row>
    <row r="2454" spans="1:23" x14ac:dyDescent="0.25">
      <c r="A2454" t="s">
        <v>525</v>
      </c>
      <c r="B2454">
        <v>2004</v>
      </c>
      <c r="C2454" t="s">
        <v>363</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Data_Completeness(LifeExpectancyData[[#This Row],[Life expectancy]:[Schooling]])</f>
        <v>1</v>
      </c>
    </row>
    <row r="2455" spans="1:23" x14ac:dyDescent="0.25">
      <c r="A2455" t="s">
        <v>525</v>
      </c>
      <c r="B2455">
        <v>2003</v>
      </c>
      <c r="C2455" t="s">
        <v>363</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Data_Completeness(LifeExpectancyData[[#This Row],[Life expectancy]:[Schooling]])</f>
        <v>1</v>
      </c>
    </row>
    <row r="2456" spans="1:23" x14ac:dyDescent="0.25">
      <c r="A2456" t="s">
        <v>525</v>
      </c>
      <c r="B2456">
        <v>2002</v>
      </c>
      <c r="C2456" t="s">
        <v>363</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Data_Completeness(LifeExpectancyData[[#This Row],[Life expectancy]:[Schooling]])</f>
        <v>0</v>
      </c>
    </row>
    <row r="2457" spans="1:23" x14ac:dyDescent="0.25">
      <c r="A2457" t="s">
        <v>525</v>
      </c>
      <c r="B2457">
        <v>2001</v>
      </c>
      <c r="C2457" t="s">
        <v>363</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Data_Completeness(LifeExpectancyData[[#This Row],[Life expectancy]:[Schooling]])</f>
        <v>0</v>
      </c>
    </row>
    <row r="2458" spans="1:23" x14ac:dyDescent="0.25">
      <c r="A2458" t="s">
        <v>525</v>
      </c>
      <c r="B2458">
        <v>2000</v>
      </c>
      <c r="C2458" t="s">
        <v>363</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Data_Completeness(LifeExpectancyData[[#This Row],[Life expectancy]:[Schooling]])</f>
        <v>0</v>
      </c>
    </row>
    <row r="2459" spans="1:23" x14ac:dyDescent="0.25">
      <c r="A2459" t="s">
        <v>526</v>
      </c>
      <c r="B2459">
        <v>2015</v>
      </c>
      <c r="C2459" t="s">
        <v>363</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Data_Completeness(LifeExpectancyData[[#This Row],[Life expectancy]:[Schooling]])</f>
        <v>0</v>
      </c>
    </row>
    <row r="2460" spans="1:23" x14ac:dyDescent="0.25">
      <c r="A2460" t="s">
        <v>526</v>
      </c>
      <c r="B2460">
        <v>2014</v>
      </c>
      <c r="C2460" t="s">
        <v>363</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Data_Completeness(LifeExpectancyData[[#This Row],[Life expectancy]:[Schooling]])</f>
        <v>0</v>
      </c>
    </row>
    <row r="2461" spans="1:23" x14ac:dyDescent="0.25">
      <c r="A2461" t="s">
        <v>526</v>
      </c>
      <c r="B2461">
        <v>2013</v>
      </c>
      <c r="C2461" t="s">
        <v>363</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Data_Completeness(LifeExpectancyData[[#This Row],[Life expectancy]:[Schooling]])</f>
        <v>0</v>
      </c>
    </row>
    <row r="2462" spans="1:23" x14ac:dyDescent="0.25">
      <c r="A2462" t="s">
        <v>526</v>
      </c>
      <c r="B2462">
        <v>2012</v>
      </c>
      <c r="C2462" t="s">
        <v>363</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Data_Completeness(LifeExpectancyData[[#This Row],[Life expectancy]:[Schooling]])</f>
        <v>0</v>
      </c>
    </row>
    <row r="2463" spans="1:23" x14ac:dyDescent="0.25">
      <c r="A2463" t="s">
        <v>526</v>
      </c>
      <c r="B2463">
        <v>2011</v>
      </c>
      <c r="C2463" t="s">
        <v>363</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Data_Completeness(LifeExpectancyData[[#This Row],[Life expectancy]:[Schooling]])</f>
        <v>0</v>
      </c>
    </row>
    <row r="2464" spans="1:23" x14ac:dyDescent="0.25">
      <c r="A2464" t="s">
        <v>526</v>
      </c>
      <c r="B2464">
        <v>2010</v>
      </c>
      <c r="C2464" t="s">
        <v>363</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Data_Completeness(LifeExpectancyData[[#This Row],[Life expectancy]:[Schooling]])</f>
        <v>0</v>
      </c>
    </row>
    <row r="2465" spans="1:23" x14ac:dyDescent="0.25">
      <c r="A2465" t="s">
        <v>526</v>
      </c>
      <c r="B2465">
        <v>2009</v>
      </c>
      <c r="C2465" t="s">
        <v>363</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Data_Completeness(LifeExpectancyData[[#This Row],[Life expectancy]:[Schooling]])</f>
        <v>0</v>
      </c>
    </row>
    <row r="2466" spans="1:23" x14ac:dyDescent="0.25">
      <c r="A2466" t="s">
        <v>526</v>
      </c>
      <c r="B2466">
        <v>2008</v>
      </c>
      <c r="C2466" t="s">
        <v>363</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Data_Completeness(LifeExpectancyData[[#This Row],[Life expectancy]:[Schooling]])</f>
        <v>0</v>
      </c>
    </row>
    <row r="2467" spans="1:23" x14ac:dyDescent="0.25">
      <c r="A2467" t="s">
        <v>526</v>
      </c>
      <c r="B2467">
        <v>2007</v>
      </c>
      <c r="C2467" t="s">
        <v>363</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Data_Completeness(LifeExpectancyData[[#This Row],[Life expectancy]:[Schooling]])</f>
        <v>0</v>
      </c>
    </row>
    <row r="2468" spans="1:23" x14ac:dyDescent="0.25">
      <c r="A2468" t="s">
        <v>526</v>
      </c>
      <c r="B2468">
        <v>2006</v>
      </c>
      <c r="C2468" t="s">
        <v>363</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Data_Completeness(LifeExpectancyData[[#This Row],[Life expectancy]:[Schooling]])</f>
        <v>0</v>
      </c>
    </row>
    <row r="2469" spans="1:23" x14ac:dyDescent="0.25">
      <c r="A2469" t="s">
        <v>526</v>
      </c>
      <c r="B2469">
        <v>2005</v>
      </c>
      <c r="C2469" t="s">
        <v>363</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Data_Completeness(LifeExpectancyData[[#This Row],[Life expectancy]:[Schooling]])</f>
        <v>0</v>
      </c>
    </row>
    <row r="2470" spans="1:23" x14ac:dyDescent="0.25">
      <c r="A2470" t="s">
        <v>526</v>
      </c>
      <c r="B2470">
        <v>2004</v>
      </c>
      <c r="C2470" t="s">
        <v>363</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Data_Completeness(LifeExpectancyData[[#This Row],[Life expectancy]:[Schooling]])</f>
        <v>0</v>
      </c>
    </row>
    <row r="2471" spans="1:23" x14ac:dyDescent="0.25">
      <c r="A2471" t="s">
        <v>526</v>
      </c>
      <c r="B2471">
        <v>2003</v>
      </c>
      <c r="C2471" t="s">
        <v>363</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Data_Completeness(LifeExpectancyData[[#This Row],[Life expectancy]:[Schooling]])</f>
        <v>0</v>
      </c>
    </row>
    <row r="2472" spans="1:23" x14ac:dyDescent="0.25">
      <c r="A2472" t="s">
        <v>526</v>
      </c>
      <c r="B2472">
        <v>2002</v>
      </c>
      <c r="C2472" t="s">
        <v>363</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Data_Completeness(LifeExpectancyData[[#This Row],[Life expectancy]:[Schooling]])</f>
        <v>0</v>
      </c>
    </row>
    <row r="2473" spans="1:23" x14ac:dyDescent="0.25">
      <c r="A2473" t="s">
        <v>526</v>
      </c>
      <c r="B2473">
        <v>2001</v>
      </c>
      <c r="C2473" t="s">
        <v>363</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Data_Completeness(LifeExpectancyData[[#This Row],[Life expectancy]:[Schooling]])</f>
        <v>0</v>
      </c>
    </row>
    <row r="2474" spans="1:23" x14ac:dyDescent="0.25">
      <c r="A2474" t="s">
        <v>526</v>
      </c>
      <c r="B2474">
        <v>2000</v>
      </c>
      <c r="C2474" t="s">
        <v>363</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Data_Completeness(LifeExpectancyData[[#This Row],[Life expectancy]:[Schooling]])</f>
        <v>0</v>
      </c>
    </row>
    <row r="2475" spans="1:23" x14ac:dyDescent="0.25">
      <c r="A2475" t="s">
        <v>527</v>
      </c>
      <c r="B2475">
        <v>2015</v>
      </c>
      <c r="C2475" t="s">
        <v>363</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Data_Completeness(LifeExpectancyData[[#This Row],[Life expectancy]:[Schooling]])</f>
        <v>0</v>
      </c>
    </row>
    <row r="2476" spans="1:23" x14ac:dyDescent="0.25">
      <c r="A2476" t="s">
        <v>527</v>
      </c>
      <c r="B2476">
        <v>2014</v>
      </c>
      <c r="C2476" t="s">
        <v>363</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Data_Completeness(LifeExpectancyData[[#This Row],[Life expectancy]:[Schooling]])</f>
        <v>1</v>
      </c>
    </row>
    <row r="2477" spans="1:23" x14ac:dyDescent="0.25">
      <c r="A2477" t="s">
        <v>527</v>
      </c>
      <c r="B2477">
        <v>2013</v>
      </c>
      <c r="C2477" t="s">
        <v>363</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Data_Completeness(LifeExpectancyData[[#This Row],[Life expectancy]:[Schooling]])</f>
        <v>1</v>
      </c>
    </row>
    <row r="2478" spans="1:23" x14ac:dyDescent="0.25">
      <c r="A2478" t="s">
        <v>527</v>
      </c>
      <c r="B2478">
        <v>2012</v>
      </c>
      <c r="C2478" t="s">
        <v>363</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Data_Completeness(LifeExpectancyData[[#This Row],[Life expectancy]:[Schooling]])</f>
        <v>1</v>
      </c>
    </row>
    <row r="2479" spans="1:23" x14ac:dyDescent="0.25">
      <c r="A2479" t="s">
        <v>527</v>
      </c>
      <c r="B2479">
        <v>2011</v>
      </c>
      <c r="C2479" t="s">
        <v>363</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Data_Completeness(LifeExpectancyData[[#This Row],[Life expectancy]:[Schooling]])</f>
        <v>1</v>
      </c>
    </row>
    <row r="2480" spans="1:23" x14ac:dyDescent="0.25">
      <c r="A2480" t="s">
        <v>527</v>
      </c>
      <c r="B2480">
        <v>2010</v>
      </c>
      <c r="C2480" t="s">
        <v>363</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Data_Completeness(LifeExpectancyData[[#This Row],[Life expectancy]:[Schooling]])</f>
        <v>1</v>
      </c>
    </row>
    <row r="2481" spans="1:23" x14ac:dyDescent="0.25">
      <c r="A2481" t="s">
        <v>527</v>
      </c>
      <c r="B2481">
        <v>2009</v>
      </c>
      <c r="C2481" t="s">
        <v>363</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Data_Completeness(LifeExpectancyData[[#This Row],[Life expectancy]:[Schooling]])</f>
        <v>1</v>
      </c>
    </row>
    <row r="2482" spans="1:23" x14ac:dyDescent="0.25">
      <c r="A2482" t="s">
        <v>527</v>
      </c>
      <c r="B2482">
        <v>2008</v>
      </c>
      <c r="C2482" t="s">
        <v>363</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Data_Completeness(LifeExpectancyData[[#This Row],[Life expectancy]:[Schooling]])</f>
        <v>1</v>
      </c>
    </row>
    <row r="2483" spans="1:23" x14ac:dyDescent="0.25">
      <c r="A2483" t="s">
        <v>527</v>
      </c>
      <c r="B2483">
        <v>2007</v>
      </c>
      <c r="C2483" t="s">
        <v>363</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Data_Completeness(LifeExpectancyData[[#This Row],[Life expectancy]:[Schooling]])</f>
        <v>1</v>
      </c>
    </row>
    <row r="2484" spans="1:23" x14ac:dyDescent="0.25">
      <c r="A2484" t="s">
        <v>527</v>
      </c>
      <c r="B2484">
        <v>2006</v>
      </c>
      <c r="C2484" t="s">
        <v>363</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Data_Completeness(LifeExpectancyData[[#This Row],[Life expectancy]:[Schooling]])</f>
        <v>1</v>
      </c>
    </row>
    <row r="2485" spans="1:23" x14ac:dyDescent="0.25">
      <c r="A2485" t="s">
        <v>527</v>
      </c>
      <c r="B2485">
        <v>2005</v>
      </c>
      <c r="C2485" t="s">
        <v>363</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Data_Completeness(LifeExpectancyData[[#This Row],[Life expectancy]:[Schooling]])</f>
        <v>1</v>
      </c>
    </row>
    <row r="2486" spans="1:23" x14ac:dyDescent="0.25">
      <c r="A2486" t="s">
        <v>527</v>
      </c>
      <c r="B2486">
        <v>2004</v>
      </c>
      <c r="C2486" t="s">
        <v>363</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Data_Completeness(LifeExpectancyData[[#This Row],[Life expectancy]:[Schooling]])</f>
        <v>0</v>
      </c>
    </row>
    <row r="2487" spans="1:23" x14ac:dyDescent="0.25">
      <c r="A2487" t="s">
        <v>527</v>
      </c>
      <c r="B2487">
        <v>2003</v>
      </c>
      <c r="C2487" t="s">
        <v>363</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Data_Completeness(LifeExpectancyData[[#This Row],[Life expectancy]:[Schooling]])</f>
        <v>0</v>
      </c>
    </row>
    <row r="2488" spans="1:23" x14ac:dyDescent="0.25">
      <c r="A2488" t="s">
        <v>527</v>
      </c>
      <c r="B2488">
        <v>2002</v>
      </c>
      <c r="C2488" t="s">
        <v>363</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Data_Completeness(LifeExpectancyData[[#This Row],[Life expectancy]:[Schooling]])</f>
        <v>0</v>
      </c>
    </row>
    <row r="2489" spans="1:23" x14ac:dyDescent="0.25">
      <c r="A2489" t="s">
        <v>527</v>
      </c>
      <c r="B2489">
        <v>2001</v>
      </c>
      <c r="C2489" t="s">
        <v>363</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Data_Completeness(LifeExpectancyData[[#This Row],[Life expectancy]:[Schooling]])</f>
        <v>0</v>
      </c>
    </row>
    <row r="2490" spans="1:23" x14ac:dyDescent="0.25">
      <c r="A2490" t="s">
        <v>527</v>
      </c>
      <c r="B2490">
        <v>2000</v>
      </c>
      <c r="C2490" t="s">
        <v>363</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Data_Completeness(LifeExpectancyData[[#This Row],[Life expectancy]:[Schooling]])</f>
        <v>0</v>
      </c>
    </row>
    <row r="2491" spans="1:23" x14ac:dyDescent="0.25">
      <c r="A2491" t="s">
        <v>528</v>
      </c>
      <c r="B2491">
        <v>2015</v>
      </c>
      <c r="C2491" t="s">
        <v>363</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Data_Completeness(LifeExpectancyData[[#This Row],[Life expectancy]:[Schooling]])</f>
        <v>0</v>
      </c>
    </row>
    <row r="2492" spans="1:23" x14ac:dyDescent="0.25">
      <c r="A2492" t="s">
        <v>528</v>
      </c>
      <c r="B2492">
        <v>2014</v>
      </c>
      <c r="C2492" t="s">
        <v>363</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Data_Completeness(LifeExpectancyData[[#This Row],[Life expectancy]:[Schooling]])</f>
        <v>1</v>
      </c>
    </row>
    <row r="2493" spans="1:23" x14ac:dyDescent="0.25">
      <c r="A2493" t="s">
        <v>528</v>
      </c>
      <c r="B2493">
        <v>2013</v>
      </c>
      <c r="C2493" t="s">
        <v>363</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Data_Completeness(LifeExpectancyData[[#This Row],[Life expectancy]:[Schooling]])</f>
        <v>1</v>
      </c>
    </row>
    <row r="2494" spans="1:23" x14ac:dyDescent="0.25">
      <c r="A2494" t="s">
        <v>528</v>
      </c>
      <c r="B2494">
        <v>2012</v>
      </c>
      <c r="C2494" t="s">
        <v>363</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Data_Completeness(LifeExpectancyData[[#This Row],[Life expectancy]:[Schooling]])</f>
        <v>1</v>
      </c>
    </row>
    <row r="2495" spans="1:23" x14ac:dyDescent="0.25">
      <c r="A2495" t="s">
        <v>528</v>
      </c>
      <c r="B2495">
        <v>2011</v>
      </c>
      <c r="C2495" t="s">
        <v>363</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Data_Completeness(LifeExpectancyData[[#This Row],[Life expectancy]:[Schooling]])</f>
        <v>1</v>
      </c>
    </row>
    <row r="2496" spans="1:23" x14ac:dyDescent="0.25">
      <c r="A2496" t="s">
        <v>528</v>
      </c>
      <c r="B2496">
        <v>2010</v>
      </c>
      <c r="C2496" t="s">
        <v>363</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Data_Completeness(LifeExpectancyData[[#This Row],[Life expectancy]:[Schooling]])</f>
        <v>1</v>
      </c>
    </row>
    <row r="2497" spans="1:23" x14ac:dyDescent="0.25">
      <c r="A2497" t="s">
        <v>528</v>
      </c>
      <c r="B2497">
        <v>2009</v>
      </c>
      <c r="C2497" t="s">
        <v>363</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Data_Completeness(LifeExpectancyData[[#This Row],[Life expectancy]:[Schooling]])</f>
        <v>1</v>
      </c>
    </row>
    <row r="2498" spans="1:23" x14ac:dyDescent="0.25">
      <c r="A2498" t="s">
        <v>528</v>
      </c>
      <c r="B2498">
        <v>2008</v>
      </c>
      <c r="C2498" t="s">
        <v>363</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Data_Completeness(LifeExpectancyData[[#This Row],[Life expectancy]:[Schooling]])</f>
        <v>1</v>
      </c>
    </row>
    <row r="2499" spans="1:23" x14ac:dyDescent="0.25">
      <c r="A2499" t="s">
        <v>528</v>
      </c>
      <c r="B2499">
        <v>2007</v>
      </c>
      <c r="C2499" t="s">
        <v>363</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Data_Completeness(LifeExpectancyData[[#This Row],[Life expectancy]:[Schooling]])</f>
        <v>1</v>
      </c>
    </row>
    <row r="2500" spans="1:23" x14ac:dyDescent="0.25">
      <c r="A2500" t="s">
        <v>528</v>
      </c>
      <c r="B2500">
        <v>2006</v>
      </c>
      <c r="C2500" t="s">
        <v>363</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Data_Completeness(LifeExpectancyData[[#This Row],[Life expectancy]:[Schooling]])</f>
        <v>1</v>
      </c>
    </row>
    <row r="2501" spans="1:23" x14ac:dyDescent="0.25">
      <c r="A2501" t="s">
        <v>528</v>
      </c>
      <c r="B2501">
        <v>2005</v>
      </c>
      <c r="C2501" t="s">
        <v>363</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Data_Completeness(LifeExpectancyData[[#This Row],[Life expectancy]:[Schooling]])</f>
        <v>1</v>
      </c>
    </row>
    <row r="2502" spans="1:23" x14ac:dyDescent="0.25">
      <c r="A2502" t="s">
        <v>528</v>
      </c>
      <c r="B2502">
        <v>2004</v>
      </c>
      <c r="C2502" t="s">
        <v>363</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Data_Completeness(LifeExpectancyData[[#This Row],[Life expectancy]:[Schooling]])</f>
        <v>1</v>
      </c>
    </row>
    <row r="2503" spans="1:23" x14ac:dyDescent="0.25">
      <c r="A2503" t="s">
        <v>528</v>
      </c>
      <c r="B2503">
        <v>2003</v>
      </c>
      <c r="C2503" t="s">
        <v>363</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Data_Completeness(LifeExpectancyData[[#This Row],[Life expectancy]:[Schooling]])</f>
        <v>1</v>
      </c>
    </row>
    <row r="2504" spans="1:23" x14ac:dyDescent="0.25">
      <c r="A2504" t="s">
        <v>528</v>
      </c>
      <c r="B2504">
        <v>2002</v>
      </c>
      <c r="C2504" t="s">
        <v>363</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Data_Completeness(LifeExpectancyData[[#This Row],[Life expectancy]:[Schooling]])</f>
        <v>1</v>
      </c>
    </row>
    <row r="2505" spans="1:23" x14ac:dyDescent="0.25">
      <c r="A2505" t="s">
        <v>528</v>
      </c>
      <c r="B2505">
        <v>2001</v>
      </c>
      <c r="C2505" t="s">
        <v>363</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Data_Completeness(LifeExpectancyData[[#This Row],[Life expectancy]:[Schooling]])</f>
        <v>1</v>
      </c>
    </row>
    <row r="2506" spans="1:23" x14ac:dyDescent="0.25">
      <c r="A2506" t="s">
        <v>528</v>
      </c>
      <c r="B2506">
        <v>2000</v>
      </c>
      <c r="C2506" t="s">
        <v>363</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Data_Completeness(LifeExpectancyData[[#This Row],[Life expectancy]:[Schooling]])</f>
        <v>1</v>
      </c>
    </row>
    <row r="2507" spans="1:23" x14ac:dyDescent="0.25">
      <c r="A2507" t="s">
        <v>529</v>
      </c>
      <c r="B2507">
        <v>2015</v>
      </c>
      <c r="C2507" t="s">
        <v>371</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Data_Completeness(LifeExpectancyData[[#This Row],[Life expectancy]:[Schooling]])</f>
        <v>0</v>
      </c>
    </row>
    <row r="2508" spans="1:23" x14ac:dyDescent="0.25">
      <c r="A2508" t="s">
        <v>529</v>
      </c>
      <c r="B2508">
        <v>2014</v>
      </c>
      <c r="C2508" t="s">
        <v>371</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Data_Completeness(LifeExpectancyData[[#This Row],[Life expectancy]:[Schooling]])</f>
        <v>1</v>
      </c>
    </row>
    <row r="2509" spans="1:23" x14ac:dyDescent="0.25">
      <c r="A2509" t="s">
        <v>529</v>
      </c>
      <c r="B2509">
        <v>2013</v>
      </c>
      <c r="C2509" t="s">
        <v>371</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Data_Completeness(LifeExpectancyData[[#This Row],[Life expectancy]:[Schooling]])</f>
        <v>1</v>
      </c>
    </row>
    <row r="2510" spans="1:23" x14ac:dyDescent="0.25">
      <c r="A2510" t="s">
        <v>529</v>
      </c>
      <c r="B2510">
        <v>2012</v>
      </c>
      <c r="C2510" t="s">
        <v>371</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Data_Completeness(LifeExpectancyData[[#This Row],[Life expectancy]:[Schooling]])</f>
        <v>1</v>
      </c>
    </row>
    <row r="2511" spans="1:23" x14ac:dyDescent="0.25">
      <c r="A2511" t="s">
        <v>529</v>
      </c>
      <c r="B2511">
        <v>2011</v>
      </c>
      <c r="C2511" t="s">
        <v>371</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Data_Completeness(LifeExpectancyData[[#This Row],[Life expectancy]:[Schooling]])</f>
        <v>1</v>
      </c>
    </row>
    <row r="2512" spans="1:23" x14ac:dyDescent="0.25">
      <c r="A2512" t="s">
        <v>529</v>
      </c>
      <c r="B2512">
        <v>2010</v>
      </c>
      <c r="C2512" t="s">
        <v>371</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Data_Completeness(LifeExpectancyData[[#This Row],[Life expectancy]:[Schooling]])</f>
        <v>0</v>
      </c>
    </row>
    <row r="2513" spans="1:23" x14ac:dyDescent="0.25">
      <c r="A2513" t="s">
        <v>529</v>
      </c>
      <c r="B2513">
        <v>2009</v>
      </c>
      <c r="C2513" t="s">
        <v>371</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Data_Completeness(LifeExpectancyData[[#This Row],[Life expectancy]:[Schooling]])</f>
        <v>0</v>
      </c>
    </row>
    <row r="2514" spans="1:23" x14ac:dyDescent="0.25">
      <c r="A2514" t="s">
        <v>529</v>
      </c>
      <c r="B2514">
        <v>2008</v>
      </c>
      <c r="C2514" t="s">
        <v>371</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Data_Completeness(LifeExpectancyData[[#This Row],[Life expectancy]:[Schooling]])</f>
        <v>0</v>
      </c>
    </row>
    <row r="2515" spans="1:23" x14ac:dyDescent="0.25">
      <c r="A2515" t="s">
        <v>529</v>
      </c>
      <c r="B2515">
        <v>2007</v>
      </c>
      <c r="C2515" t="s">
        <v>371</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Data_Completeness(LifeExpectancyData[[#This Row],[Life expectancy]:[Schooling]])</f>
        <v>0</v>
      </c>
    </row>
    <row r="2516" spans="1:23" x14ac:dyDescent="0.25">
      <c r="A2516" t="s">
        <v>529</v>
      </c>
      <c r="B2516">
        <v>2006</v>
      </c>
      <c r="C2516" t="s">
        <v>371</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Data_Completeness(LifeExpectancyData[[#This Row],[Life expectancy]:[Schooling]])</f>
        <v>0</v>
      </c>
    </row>
    <row r="2517" spans="1:23" x14ac:dyDescent="0.25">
      <c r="A2517" t="s">
        <v>529</v>
      </c>
      <c r="B2517">
        <v>2005</v>
      </c>
      <c r="C2517" t="s">
        <v>371</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Data_Completeness(LifeExpectancyData[[#This Row],[Life expectancy]:[Schooling]])</f>
        <v>0</v>
      </c>
    </row>
    <row r="2518" spans="1:23" x14ac:dyDescent="0.25">
      <c r="A2518" t="s">
        <v>529</v>
      </c>
      <c r="B2518">
        <v>2004</v>
      </c>
      <c r="C2518" t="s">
        <v>371</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Data_Completeness(LifeExpectancyData[[#This Row],[Life expectancy]:[Schooling]])</f>
        <v>0</v>
      </c>
    </row>
    <row r="2519" spans="1:23" x14ac:dyDescent="0.25">
      <c r="A2519" t="s">
        <v>529</v>
      </c>
      <c r="B2519">
        <v>2003</v>
      </c>
      <c r="C2519" t="s">
        <v>371</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Data_Completeness(LifeExpectancyData[[#This Row],[Life expectancy]:[Schooling]])</f>
        <v>0</v>
      </c>
    </row>
    <row r="2520" spans="1:23" x14ac:dyDescent="0.25">
      <c r="A2520" t="s">
        <v>529</v>
      </c>
      <c r="B2520">
        <v>2002</v>
      </c>
      <c r="C2520" t="s">
        <v>371</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Data_Completeness(LifeExpectancyData[[#This Row],[Life expectancy]:[Schooling]])</f>
        <v>0</v>
      </c>
    </row>
    <row r="2521" spans="1:23" x14ac:dyDescent="0.25">
      <c r="A2521" t="s">
        <v>529</v>
      </c>
      <c r="B2521">
        <v>2001</v>
      </c>
      <c r="C2521" t="s">
        <v>371</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Data_Completeness(LifeExpectancyData[[#This Row],[Life expectancy]:[Schooling]])</f>
        <v>0</v>
      </c>
    </row>
    <row r="2522" spans="1:23" x14ac:dyDescent="0.25">
      <c r="A2522" t="s">
        <v>529</v>
      </c>
      <c r="B2522">
        <v>2000</v>
      </c>
      <c r="C2522" t="s">
        <v>371</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Data_Completeness(LifeExpectancyData[[#This Row],[Life expectancy]:[Schooling]])</f>
        <v>0</v>
      </c>
    </row>
    <row r="2523" spans="1:23" x14ac:dyDescent="0.25">
      <c r="A2523" t="s">
        <v>530</v>
      </c>
      <c r="B2523">
        <v>2015</v>
      </c>
      <c r="C2523" t="s">
        <v>371</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Data_Completeness(LifeExpectancyData[[#This Row],[Life expectancy]:[Schooling]])</f>
        <v>0</v>
      </c>
    </row>
    <row r="2524" spans="1:23" x14ac:dyDescent="0.25">
      <c r="A2524" t="s">
        <v>530</v>
      </c>
      <c r="B2524">
        <v>2014</v>
      </c>
      <c r="C2524" t="s">
        <v>371</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Data_Completeness(LifeExpectancyData[[#This Row],[Life expectancy]:[Schooling]])</f>
        <v>0</v>
      </c>
    </row>
    <row r="2525" spans="1:23" x14ac:dyDescent="0.25">
      <c r="A2525" t="s">
        <v>530</v>
      </c>
      <c r="B2525">
        <v>2013</v>
      </c>
      <c r="C2525" t="s">
        <v>371</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Data_Completeness(LifeExpectancyData[[#This Row],[Life expectancy]:[Schooling]])</f>
        <v>0</v>
      </c>
    </row>
    <row r="2526" spans="1:23" x14ac:dyDescent="0.25">
      <c r="A2526" t="s">
        <v>530</v>
      </c>
      <c r="B2526">
        <v>2012</v>
      </c>
      <c r="C2526" t="s">
        <v>371</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Data_Completeness(LifeExpectancyData[[#This Row],[Life expectancy]:[Schooling]])</f>
        <v>0</v>
      </c>
    </row>
    <row r="2527" spans="1:23" x14ac:dyDescent="0.25">
      <c r="A2527" t="s">
        <v>530</v>
      </c>
      <c r="B2527">
        <v>2011</v>
      </c>
      <c r="C2527" t="s">
        <v>371</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Data_Completeness(LifeExpectancyData[[#This Row],[Life expectancy]:[Schooling]])</f>
        <v>0</v>
      </c>
    </row>
    <row r="2528" spans="1:23" x14ac:dyDescent="0.25">
      <c r="A2528" t="s">
        <v>530</v>
      </c>
      <c r="B2528">
        <v>2010</v>
      </c>
      <c r="C2528" t="s">
        <v>371</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Data_Completeness(LifeExpectancyData[[#This Row],[Life expectancy]:[Schooling]])</f>
        <v>0</v>
      </c>
    </row>
    <row r="2529" spans="1:23" x14ac:dyDescent="0.25">
      <c r="A2529" t="s">
        <v>530</v>
      </c>
      <c r="B2529">
        <v>2009</v>
      </c>
      <c r="C2529" t="s">
        <v>371</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Data_Completeness(LifeExpectancyData[[#This Row],[Life expectancy]:[Schooling]])</f>
        <v>0</v>
      </c>
    </row>
    <row r="2530" spans="1:23" x14ac:dyDescent="0.25">
      <c r="A2530" t="s">
        <v>530</v>
      </c>
      <c r="B2530">
        <v>2008</v>
      </c>
      <c r="C2530" t="s">
        <v>371</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Data_Completeness(LifeExpectancyData[[#This Row],[Life expectancy]:[Schooling]])</f>
        <v>0</v>
      </c>
    </row>
    <row r="2531" spans="1:23" x14ac:dyDescent="0.25">
      <c r="A2531" t="s">
        <v>530</v>
      </c>
      <c r="B2531">
        <v>2007</v>
      </c>
      <c r="C2531" t="s">
        <v>371</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Data_Completeness(LifeExpectancyData[[#This Row],[Life expectancy]:[Schooling]])</f>
        <v>0</v>
      </c>
    </row>
    <row r="2532" spans="1:23" x14ac:dyDescent="0.25">
      <c r="A2532" t="s">
        <v>530</v>
      </c>
      <c r="B2532">
        <v>2006</v>
      </c>
      <c r="C2532" t="s">
        <v>371</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Data_Completeness(LifeExpectancyData[[#This Row],[Life expectancy]:[Schooling]])</f>
        <v>0</v>
      </c>
    </row>
    <row r="2533" spans="1:23" x14ac:dyDescent="0.25">
      <c r="A2533" t="s">
        <v>530</v>
      </c>
      <c r="B2533">
        <v>2005</v>
      </c>
      <c r="C2533" t="s">
        <v>371</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Data_Completeness(LifeExpectancyData[[#This Row],[Life expectancy]:[Schooling]])</f>
        <v>0</v>
      </c>
    </row>
    <row r="2534" spans="1:23" x14ac:dyDescent="0.25">
      <c r="A2534" t="s">
        <v>530</v>
      </c>
      <c r="B2534">
        <v>2004</v>
      </c>
      <c r="C2534" t="s">
        <v>371</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Data_Completeness(LifeExpectancyData[[#This Row],[Life expectancy]:[Schooling]])</f>
        <v>0</v>
      </c>
    </row>
    <row r="2535" spans="1:23" x14ac:dyDescent="0.25">
      <c r="A2535" t="s">
        <v>530</v>
      </c>
      <c r="B2535">
        <v>2003</v>
      </c>
      <c r="C2535" t="s">
        <v>371</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Data_Completeness(LifeExpectancyData[[#This Row],[Life expectancy]:[Schooling]])</f>
        <v>0</v>
      </c>
    </row>
    <row r="2536" spans="1:23" x14ac:dyDescent="0.25">
      <c r="A2536" t="s">
        <v>530</v>
      </c>
      <c r="B2536">
        <v>2002</v>
      </c>
      <c r="C2536" t="s">
        <v>371</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Data_Completeness(LifeExpectancyData[[#This Row],[Life expectancy]:[Schooling]])</f>
        <v>0</v>
      </c>
    </row>
    <row r="2537" spans="1:23" x14ac:dyDescent="0.25">
      <c r="A2537" t="s">
        <v>530</v>
      </c>
      <c r="B2537">
        <v>2001</v>
      </c>
      <c r="C2537" t="s">
        <v>371</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Data_Completeness(LifeExpectancyData[[#This Row],[Life expectancy]:[Schooling]])</f>
        <v>0</v>
      </c>
    </row>
    <row r="2538" spans="1:23" x14ac:dyDescent="0.25">
      <c r="A2538" t="s">
        <v>530</v>
      </c>
      <c r="B2538">
        <v>2000</v>
      </c>
      <c r="C2538" t="s">
        <v>371</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Data_Completeness(LifeExpectancyData[[#This Row],[Life expectancy]:[Schooling]])</f>
        <v>0</v>
      </c>
    </row>
    <row r="2539" spans="1:23" x14ac:dyDescent="0.25">
      <c r="A2539" t="s">
        <v>531</v>
      </c>
      <c r="B2539">
        <v>2015</v>
      </c>
      <c r="C2539" t="s">
        <v>363</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Data_Completeness(LifeExpectancyData[[#This Row],[Life expectancy]:[Schooling]])</f>
        <v>0</v>
      </c>
    </row>
    <row r="2540" spans="1:23" x14ac:dyDescent="0.25">
      <c r="A2540" t="s">
        <v>531</v>
      </c>
      <c r="B2540">
        <v>2014</v>
      </c>
      <c r="C2540" t="s">
        <v>363</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Data_Completeness(LifeExpectancyData[[#This Row],[Life expectancy]:[Schooling]])</f>
        <v>0</v>
      </c>
    </row>
    <row r="2541" spans="1:23" x14ac:dyDescent="0.25">
      <c r="A2541" t="s">
        <v>531</v>
      </c>
      <c r="B2541">
        <v>2013</v>
      </c>
      <c r="C2541" t="s">
        <v>363</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Data_Completeness(LifeExpectancyData[[#This Row],[Life expectancy]:[Schooling]])</f>
        <v>0</v>
      </c>
    </row>
    <row r="2542" spans="1:23" x14ac:dyDescent="0.25">
      <c r="A2542" t="s">
        <v>531</v>
      </c>
      <c r="B2542">
        <v>2012</v>
      </c>
      <c r="C2542" t="s">
        <v>363</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Data_Completeness(LifeExpectancyData[[#This Row],[Life expectancy]:[Schooling]])</f>
        <v>0</v>
      </c>
    </row>
    <row r="2543" spans="1:23" x14ac:dyDescent="0.25">
      <c r="A2543" t="s">
        <v>531</v>
      </c>
      <c r="B2543">
        <v>2011</v>
      </c>
      <c r="C2543" t="s">
        <v>363</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Data_Completeness(LifeExpectancyData[[#This Row],[Life expectancy]:[Schooling]])</f>
        <v>0</v>
      </c>
    </row>
    <row r="2544" spans="1:23" x14ac:dyDescent="0.25">
      <c r="A2544" t="s">
        <v>531</v>
      </c>
      <c r="B2544">
        <v>2010</v>
      </c>
      <c r="C2544" t="s">
        <v>363</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Data_Completeness(LifeExpectancyData[[#This Row],[Life expectancy]:[Schooling]])</f>
        <v>0</v>
      </c>
    </row>
    <row r="2545" spans="1:23" x14ac:dyDescent="0.25">
      <c r="A2545" t="s">
        <v>531</v>
      </c>
      <c r="B2545">
        <v>2009</v>
      </c>
      <c r="C2545" t="s">
        <v>363</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Data_Completeness(LifeExpectancyData[[#This Row],[Life expectancy]:[Schooling]])</f>
        <v>0</v>
      </c>
    </row>
    <row r="2546" spans="1:23" x14ac:dyDescent="0.25">
      <c r="A2546" t="s">
        <v>531</v>
      </c>
      <c r="B2546">
        <v>2008</v>
      </c>
      <c r="C2546" t="s">
        <v>363</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Data_Completeness(LifeExpectancyData[[#This Row],[Life expectancy]:[Schooling]])</f>
        <v>0</v>
      </c>
    </row>
    <row r="2547" spans="1:23" x14ac:dyDescent="0.25">
      <c r="A2547" t="s">
        <v>531</v>
      </c>
      <c r="B2547">
        <v>2007</v>
      </c>
      <c r="C2547" t="s">
        <v>363</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Data_Completeness(LifeExpectancyData[[#This Row],[Life expectancy]:[Schooling]])</f>
        <v>1</v>
      </c>
    </row>
    <row r="2548" spans="1:23" x14ac:dyDescent="0.25">
      <c r="A2548" t="s">
        <v>531</v>
      </c>
      <c r="B2548">
        <v>2006</v>
      </c>
      <c r="C2548" t="s">
        <v>363</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Data_Completeness(LifeExpectancyData[[#This Row],[Life expectancy]:[Schooling]])</f>
        <v>1</v>
      </c>
    </row>
    <row r="2549" spans="1:23" x14ac:dyDescent="0.25">
      <c r="A2549" t="s">
        <v>531</v>
      </c>
      <c r="B2549">
        <v>2005</v>
      </c>
      <c r="C2549" t="s">
        <v>363</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Data_Completeness(LifeExpectancyData[[#This Row],[Life expectancy]:[Schooling]])</f>
        <v>1</v>
      </c>
    </row>
    <row r="2550" spans="1:23" x14ac:dyDescent="0.25">
      <c r="A2550" t="s">
        <v>531</v>
      </c>
      <c r="B2550">
        <v>2004</v>
      </c>
      <c r="C2550" t="s">
        <v>363</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Data_Completeness(LifeExpectancyData[[#This Row],[Life expectancy]:[Schooling]])</f>
        <v>1</v>
      </c>
    </row>
    <row r="2551" spans="1:23" x14ac:dyDescent="0.25">
      <c r="A2551" t="s">
        <v>531</v>
      </c>
      <c r="B2551">
        <v>2003</v>
      </c>
      <c r="C2551" t="s">
        <v>363</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Data_Completeness(LifeExpectancyData[[#This Row],[Life expectancy]:[Schooling]])</f>
        <v>1</v>
      </c>
    </row>
    <row r="2552" spans="1:23" x14ac:dyDescent="0.25">
      <c r="A2552" t="s">
        <v>531</v>
      </c>
      <c r="B2552">
        <v>2002</v>
      </c>
      <c r="C2552" t="s">
        <v>363</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Data_Completeness(LifeExpectancyData[[#This Row],[Life expectancy]:[Schooling]])</f>
        <v>1</v>
      </c>
    </row>
    <row r="2553" spans="1:23" x14ac:dyDescent="0.25">
      <c r="A2553" t="s">
        <v>531</v>
      </c>
      <c r="B2553">
        <v>2001</v>
      </c>
      <c r="C2553" t="s">
        <v>363</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Data_Completeness(LifeExpectancyData[[#This Row],[Life expectancy]:[Schooling]])</f>
        <v>1</v>
      </c>
    </row>
    <row r="2554" spans="1:23" x14ac:dyDescent="0.25">
      <c r="A2554" t="s">
        <v>531</v>
      </c>
      <c r="B2554">
        <v>2000</v>
      </c>
      <c r="C2554" t="s">
        <v>363</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Data_Completeness(LifeExpectancyData[[#This Row],[Life expectancy]:[Schooling]])</f>
        <v>1</v>
      </c>
    </row>
    <row r="2555" spans="1:23" x14ac:dyDescent="0.25">
      <c r="A2555" t="s">
        <v>532</v>
      </c>
      <c r="B2555">
        <v>2015</v>
      </c>
      <c r="C2555" t="s">
        <v>363</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Data_Completeness(LifeExpectancyData[[#This Row],[Life expectancy]:[Schooling]])</f>
        <v>0</v>
      </c>
    </row>
    <row r="2556" spans="1:23" x14ac:dyDescent="0.25">
      <c r="A2556" t="s">
        <v>532</v>
      </c>
      <c r="B2556">
        <v>2014</v>
      </c>
      <c r="C2556" t="s">
        <v>363</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Data_Completeness(LifeExpectancyData[[#This Row],[Life expectancy]:[Schooling]])</f>
        <v>1</v>
      </c>
    </row>
    <row r="2557" spans="1:23" x14ac:dyDescent="0.25">
      <c r="A2557" t="s">
        <v>532</v>
      </c>
      <c r="B2557">
        <v>2013</v>
      </c>
      <c r="C2557" t="s">
        <v>363</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Data_Completeness(LifeExpectancyData[[#This Row],[Life expectancy]:[Schooling]])</f>
        <v>1</v>
      </c>
    </row>
    <row r="2558" spans="1:23" x14ac:dyDescent="0.25">
      <c r="A2558" t="s">
        <v>532</v>
      </c>
      <c r="B2558">
        <v>2012</v>
      </c>
      <c r="C2558" t="s">
        <v>363</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Data_Completeness(LifeExpectancyData[[#This Row],[Life expectancy]:[Schooling]])</f>
        <v>1</v>
      </c>
    </row>
    <row r="2559" spans="1:23" x14ac:dyDescent="0.25">
      <c r="A2559" t="s">
        <v>532</v>
      </c>
      <c r="B2559">
        <v>2011</v>
      </c>
      <c r="C2559" t="s">
        <v>363</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Data_Completeness(LifeExpectancyData[[#This Row],[Life expectancy]:[Schooling]])</f>
        <v>1</v>
      </c>
    </row>
    <row r="2560" spans="1:23" x14ac:dyDescent="0.25">
      <c r="A2560" t="s">
        <v>532</v>
      </c>
      <c r="B2560">
        <v>2010</v>
      </c>
      <c r="C2560" t="s">
        <v>363</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Data_Completeness(LifeExpectancyData[[#This Row],[Life expectancy]:[Schooling]])</f>
        <v>1</v>
      </c>
    </row>
    <row r="2561" spans="1:23" x14ac:dyDescent="0.25">
      <c r="A2561" t="s">
        <v>532</v>
      </c>
      <c r="B2561">
        <v>2009</v>
      </c>
      <c r="C2561" t="s">
        <v>363</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Data_Completeness(LifeExpectancyData[[#This Row],[Life expectancy]:[Schooling]])</f>
        <v>1</v>
      </c>
    </row>
    <row r="2562" spans="1:23" x14ac:dyDescent="0.25">
      <c r="A2562" t="s">
        <v>532</v>
      </c>
      <c r="B2562">
        <v>2008</v>
      </c>
      <c r="C2562" t="s">
        <v>363</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Data_Completeness(LifeExpectancyData[[#This Row],[Life expectancy]:[Schooling]])</f>
        <v>1</v>
      </c>
    </row>
    <row r="2563" spans="1:23" x14ac:dyDescent="0.25">
      <c r="A2563" t="s">
        <v>532</v>
      </c>
      <c r="B2563">
        <v>2007</v>
      </c>
      <c r="C2563" t="s">
        <v>363</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Data_Completeness(LifeExpectancyData[[#This Row],[Life expectancy]:[Schooling]])</f>
        <v>1</v>
      </c>
    </row>
    <row r="2564" spans="1:23" x14ac:dyDescent="0.25">
      <c r="A2564" t="s">
        <v>532</v>
      </c>
      <c r="B2564">
        <v>2006</v>
      </c>
      <c r="C2564" t="s">
        <v>363</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Data_Completeness(LifeExpectancyData[[#This Row],[Life expectancy]:[Schooling]])</f>
        <v>1</v>
      </c>
    </row>
    <row r="2565" spans="1:23" x14ac:dyDescent="0.25">
      <c r="A2565" t="s">
        <v>532</v>
      </c>
      <c r="B2565">
        <v>2005</v>
      </c>
      <c r="C2565" t="s">
        <v>363</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Data_Completeness(LifeExpectancyData[[#This Row],[Life expectancy]:[Schooling]])</f>
        <v>1</v>
      </c>
    </row>
    <row r="2566" spans="1:23" x14ac:dyDescent="0.25">
      <c r="A2566" t="s">
        <v>532</v>
      </c>
      <c r="B2566">
        <v>2004</v>
      </c>
      <c r="C2566" t="s">
        <v>363</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Data_Completeness(LifeExpectancyData[[#This Row],[Life expectancy]:[Schooling]])</f>
        <v>1</v>
      </c>
    </row>
    <row r="2567" spans="1:23" x14ac:dyDescent="0.25">
      <c r="A2567" t="s">
        <v>532</v>
      </c>
      <c r="B2567">
        <v>2003</v>
      </c>
      <c r="C2567" t="s">
        <v>363</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Data_Completeness(LifeExpectancyData[[#This Row],[Life expectancy]:[Schooling]])</f>
        <v>1</v>
      </c>
    </row>
    <row r="2568" spans="1:23" x14ac:dyDescent="0.25">
      <c r="A2568" t="s">
        <v>532</v>
      </c>
      <c r="B2568">
        <v>2002</v>
      </c>
      <c r="C2568" t="s">
        <v>363</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Data_Completeness(LifeExpectancyData[[#This Row],[Life expectancy]:[Schooling]])</f>
        <v>1</v>
      </c>
    </row>
    <row r="2569" spans="1:23" x14ac:dyDescent="0.25">
      <c r="A2569" t="s">
        <v>532</v>
      </c>
      <c r="B2569">
        <v>2001</v>
      </c>
      <c r="C2569" t="s">
        <v>363</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Data_Completeness(LifeExpectancyData[[#This Row],[Life expectancy]:[Schooling]])</f>
        <v>0</v>
      </c>
    </row>
    <row r="2570" spans="1:23" x14ac:dyDescent="0.25">
      <c r="A2570" t="s">
        <v>532</v>
      </c>
      <c r="B2570">
        <v>2000</v>
      </c>
      <c r="C2570" t="s">
        <v>363</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Data_Completeness(LifeExpectancyData[[#This Row],[Life expectancy]:[Schooling]])</f>
        <v>0</v>
      </c>
    </row>
    <row r="2571" spans="1:23" x14ac:dyDescent="0.25">
      <c r="A2571" t="s">
        <v>533</v>
      </c>
      <c r="B2571">
        <v>2015</v>
      </c>
      <c r="C2571" t="s">
        <v>363</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Data_Completeness(LifeExpectancyData[[#This Row],[Life expectancy]:[Schooling]])</f>
        <v>0</v>
      </c>
    </row>
    <row r="2572" spans="1:23" x14ac:dyDescent="0.25">
      <c r="A2572" t="s">
        <v>533</v>
      </c>
      <c r="B2572">
        <v>2014</v>
      </c>
      <c r="C2572" t="s">
        <v>363</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Data_Completeness(LifeExpectancyData[[#This Row],[Life expectancy]:[Schooling]])</f>
        <v>1</v>
      </c>
    </row>
    <row r="2573" spans="1:23" x14ac:dyDescent="0.25">
      <c r="A2573" t="s">
        <v>533</v>
      </c>
      <c r="B2573">
        <v>2013</v>
      </c>
      <c r="C2573" t="s">
        <v>363</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Data_Completeness(LifeExpectancyData[[#This Row],[Life expectancy]:[Schooling]])</f>
        <v>1</v>
      </c>
    </row>
    <row r="2574" spans="1:23" x14ac:dyDescent="0.25">
      <c r="A2574" t="s">
        <v>533</v>
      </c>
      <c r="B2574">
        <v>2012</v>
      </c>
      <c r="C2574" t="s">
        <v>363</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Data_Completeness(LifeExpectancyData[[#This Row],[Life expectancy]:[Schooling]])</f>
        <v>1</v>
      </c>
    </row>
    <row r="2575" spans="1:23" x14ac:dyDescent="0.25">
      <c r="A2575" t="s">
        <v>533</v>
      </c>
      <c r="B2575">
        <v>2011</v>
      </c>
      <c r="C2575" t="s">
        <v>363</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Data_Completeness(LifeExpectancyData[[#This Row],[Life expectancy]:[Schooling]])</f>
        <v>1</v>
      </c>
    </row>
    <row r="2576" spans="1:23" x14ac:dyDescent="0.25">
      <c r="A2576" t="s">
        <v>533</v>
      </c>
      <c r="B2576">
        <v>2010</v>
      </c>
      <c r="C2576" t="s">
        <v>363</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Data_Completeness(LifeExpectancyData[[#This Row],[Life expectancy]:[Schooling]])</f>
        <v>1</v>
      </c>
    </row>
    <row r="2577" spans="1:23" x14ac:dyDescent="0.25">
      <c r="A2577" t="s">
        <v>533</v>
      </c>
      <c r="B2577">
        <v>2009</v>
      </c>
      <c r="C2577" t="s">
        <v>363</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Data_Completeness(LifeExpectancyData[[#This Row],[Life expectancy]:[Schooling]])</f>
        <v>1</v>
      </c>
    </row>
    <row r="2578" spans="1:23" x14ac:dyDescent="0.25">
      <c r="A2578" t="s">
        <v>533</v>
      </c>
      <c r="B2578">
        <v>2008</v>
      </c>
      <c r="C2578" t="s">
        <v>363</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Data_Completeness(LifeExpectancyData[[#This Row],[Life expectancy]:[Schooling]])</f>
        <v>1</v>
      </c>
    </row>
    <row r="2579" spans="1:23" x14ac:dyDescent="0.25">
      <c r="A2579" t="s">
        <v>533</v>
      </c>
      <c r="B2579">
        <v>2007</v>
      </c>
      <c r="C2579" t="s">
        <v>363</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Data_Completeness(LifeExpectancyData[[#This Row],[Life expectancy]:[Schooling]])</f>
        <v>1</v>
      </c>
    </row>
    <row r="2580" spans="1:23" x14ac:dyDescent="0.25">
      <c r="A2580" t="s">
        <v>533</v>
      </c>
      <c r="B2580">
        <v>2006</v>
      </c>
      <c r="C2580" t="s">
        <v>363</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Data_Completeness(LifeExpectancyData[[#This Row],[Life expectancy]:[Schooling]])</f>
        <v>1</v>
      </c>
    </row>
    <row r="2581" spans="1:23" x14ac:dyDescent="0.25">
      <c r="A2581" t="s">
        <v>533</v>
      </c>
      <c r="B2581">
        <v>2005</v>
      </c>
      <c r="C2581" t="s">
        <v>363</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Data_Completeness(LifeExpectancyData[[#This Row],[Life expectancy]:[Schooling]])</f>
        <v>1</v>
      </c>
    </row>
    <row r="2582" spans="1:23" x14ac:dyDescent="0.25">
      <c r="A2582" t="s">
        <v>533</v>
      </c>
      <c r="B2582">
        <v>2004</v>
      </c>
      <c r="C2582" t="s">
        <v>363</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Data_Completeness(LifeExpectancyData[[#This Row],[Life expectancy]:[Schooling]])</f>
        <v>1</v>
      </c>
    </row>
    <row r="2583" spans="1:23" x14ac:dyDescent="0.25">
      <c r="A2583" t="s">
        <v>533</v>
      </c>
      <c r="B2583">
        <v>2003</v>
      </c>
      <c r="C2583" t="s">
        <v>363</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Data_Completeness(LifeExpectancyData[[#This Row],[Life expectancy]:[Schooling]])</f>
        <v>1</v>
      </c>
    </row>
    <row r="2584" spans="1:23" x14ac:dyDescent="0.25">
      <c r="A2584" t="s">
        <v>533</v>
      </c>
      <c r="B2584">
        <v>2002</v>
      </c>
      <c r="C2584" t="s">
        <v>363</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Data_Completeness(LifeExpectancyData[[#This Row],[Life expectancy]:[Schooling]])</f>
        <v>1</v>
      </c>
    </row>
    <row r="2585" spans="1:23" x14ac:dyDescent="0.25">
      <c r="A2585" t="s">
        <v>533</v>
      </c>
      <c r="B2585">
        <v>2001</v>
      </c>
      <c r="C2585" t="s">
        <v>363</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Data_Completeness(LifeExpectancyData[[#This Row],[Life expectancy]:[Schooling]])</f>
        <v>1</v>
      </c>
    </row>
    <row r="2586" spans="1:23" x14ac:dyDescent="0.25">
      <c r="A2586" t="s">
        <v>533</v>
      </c>
      <c r="B2586">
        <v>2000</v>
      </c>
      <c r="C2586" t="s">
        <v>363</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Data_Completeness(LifeExpectancyData[[#This Row],[Life expectancy]:[Schooling]])</f>
        <v>1</v>
      </c>
    </row>
    <row r="2587" spans="1:23" x14ac:dyDescent="0.25">
      <c r="A2587" t="s">
        <v>534</v>
      </c>
      <c r="B2587">
        <v>2015</v>
      </c>
      <c r="C2587" t="s">
        <v>363</v>
      </c>
      <c r="D2587">
        <v>75.7</v>
      </c>
      <c r="E2587">
        <v>12</v>
      </c>
      <c r="F2587">
        <v>0</v>
      </c>
      <c r="H2587">
        <v>0</v>
      </c>
      <c r="I2587">
        <v>92</v>
      </c>
      <c r="J2587">
        <v>1</v>
      </c>
      <c r="K2587">
        <v>6.3</v>
      </c>
      <c r="L2587">
        <v>0</v>
      </c>
      <c r="M2587">
        <v>92</v>
      </c>
      <c r="O2587">
        <v>91</v>
      </c>
      <c r="P2587">
        <v>0.1</v>
      </c>
      <c r="S2587">
        <v>2.1</v>
      </c>
      <c r="T2587">
        <v>2.1</v>
      </c>
      <c r="U2587">
        <v>0.746</v>
      </c>
      <c r="V2587">
        <v>12.9</v>
      </c>
      <c r="W2587" t="b">
        <f>Data_Completeness(LifeExpectancyData[[#This Row],[Life expectancy]:[Schooling]])</f>
        <v>0</v>
      </c>
    </row>
    <row r="2588" spans="1:23" x14ac:dyDescent="0.25">
      <c r="A2588" t="s">
        <v>534</v>
      </c>
      <c r="B2588">
        <v>2014</v>
      </c>
      <c r="C2588" t="s">
        <v>363</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Data_Completeness(LifeExpectancyData[[#This Row],[Life expectancy]:[Schooling]])</f>
        <v>0</v>
      </c>
    </row>
    <row r="2589" spans="1:23" x14ac:dyDescent="0.25">
      <c r="A2589" t="s">
        <v>534</v>
      </c>
      <c r="B2589">
        <v>2013</v>
      </c>
      <c r="C2589" t="s">
        <v>363</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Data_Completeness(LifeExpectancyData[[#This Row],[Life expectancy]:[Schooling]])</f>
        <v>0</v>
      </c>
    </row>
    <row r="2590" spans="1:23" x14ac:dyDescent="0.25">
      <c r="A2590" t="s">
        <v>534</v>
      </c>
      <c r="B2590">
        <v>2012</v>
      </c>
      <c r="C2590" t="s">
        <v>363</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Data_Completeness(LifeExpectancyData[[#This Row],[Life expectancy]:[Schooling]])</f>
        <v>0</v>
      </c>
    </row>
    <row r="2591" spans="1:23" x14ac:dyDescent="0.25">
      <c r="A2591" t="s">
        <v>534</v>
      </c>
      <c r="B2591">
        <v>2011</v>
      </c>
      <c r="C2591" t="s">
        <v>363</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Data_Completeness(LifeExpectancyData[[#This Row],[Life expectancy]:[Schooling]])</f>
        <v>0</v>
      </c>
    </row>
    <row r="2592" spans="1:23" x14ac:dyDescent="0.25">
      <c r="A2592" t="s">
        <v>534</v>
      </c>
      <c r="B2592">
        <v>2010</v>
      </c>
      <c r="C2592" t="s">
        <v>363</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Data_Completeness(LifeExpectancyData[[#This Row],[Life expectancy]:[Schooling]])</f>
        <v>0</v>
      </c>
    </row>
    <row r="2593" spans="1:23" x14ac:dyDescent="0.25">
      <c r="A2593" t="s">
        <v>534</v>
      </c>
      <c r="B2593">
        <v>2009</v>
      </c>
      <c r="C2593" t="s">
        <v>363</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Data_Completeness(LifeExpectancyData[[#This Row],[Life expectancy]:[Schooling]])</f>
        <v>0</v>
      </c>
    </row>
    <row r="2594" spans="1:23" x14ac:dyDescent="0.25">
      <c r="A2594" t="s">
        <v>534</v>
      </c>
      <c r="B2594">
        <v>2008</v>
      </c>
      <c r="C2594" t="s">
        <v>363</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Data_Completeness(LifeExpectancyData[[#This Row],[Life expectancy]:[Schooling]])</f>
        <v>0</v>
      </c>
    </row>
    <row r="2595" spans="1:23" x14ac:dyDescent="0.25">
      <c r="A2595" t="s">
        <v>534</v>
      </c>
      <c r="B2595">
        <v>2007</v>
      </c>
      <c r="C2595" t="s">
        <v>363</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Data_Completeness(LifeExpectancyData[[#This Row],[Life expectancy]:[Schooling]])</f>
        <v>0</v>
      </c>
    </row>
    <row r="2596" spans="1:23" x14ac:dyDescent="0.25">
      <c r="A2596" t="s">
        <v>534</v>
      </c>
      <c r="B2596">
        <v>2006</v>
      </c>
      <c r="C2596" t="s">
        <v>363</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Data_Completeness(LifeExpectancyData[[#This Row],[Life expectancy]:[Schooling]])</f>
        <v>0</v>
      </c>
    </row>
    <row r="2597" spans="1:23" x14ac:dyDescent="0.25">
      <c r="A2597" t="s">
        <v>534</v>
      </c>
      <c r="B2597">
        <v>2005</v>
      </c>
      <c r="C2597" t="s">
        <v>363</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Data_Completeness(LifeExpectancyData[[#This Row],[Life expectancy]:[Schooling]])</f>
        <v>0</v>
      </c>
    </row>
    <row r="2598" spans="1:23" x14ac:dyDescent="0.25">
      <c r="A2598" t="s">
        <v>534</v>
      </c>
      <c r="B2598">
        <v>2004</v>
      </c>
      <c r="C2598" t="s">
        <v>363</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Data_Completeness(LifeExpectancyData[[#This Row],[Life expectancy]:[Schooling]])</f>
        <v>0</v>
      </c>
    </row>
    <row r="2599" spans="1:23" x14ac:dyDescent="0.25">
      <c r="A2599" t="s">
        <v>534</v>
      </c>
      <c r="B2599">
        <v>2003</v>
      </c>
      <c r="C2599" t="s">
        <v>363</v>
      </c>
      <c r="D2599">
        <v>73.2</v>
      </c>
      <c r="E2599">
        <v>126</v>
      </c>
      <c r="F2599">
        <v>0</v>
      </c>
      <c r="G2599">
        <v>2.4</v>
      </c>
      <c r="H2599">
        <v>0</v>
      </c>
      <c r="J2599">
        <v>18</v>
      </c>
      <c r="K2599">
        <v>54.1</v>
      </c>
      <c r="L2599">
        <v>0</v>
      </c>
      <c r="M2599">
        <v>96</v>
      </c>
      <c r="N2599">
        <v>9.17</v>
      </c>
      <c r="O2599">
        <v>96</v>
      </c>
      <c r="P2599">
        <v>0.1</v>
      </c>
      <c r="S2599">
        <v>2.7</v>
      </c>
      <c r="T2599">
        <v>2.7</v>
      </c>
      <c r="U2599">
        <v>0</v>
      </c>
      <c r="V2599">
        <v>11.9</v>
      </c>
      <c r="W2599" t="b">
        <f>Data_Completeness(LifeExpectancyData[[#This Row],[Life expectancy]:[Schooling]])</f>
        <v>0</v>
      </c>
    </row>
    <row r="2600" spans="1:23" x14ac:dyDescent="0.25">
      <c r="A2600" t="s">
        <v>534</v>
      </c>
      <c r="B2600">
        <v>2002</v>
      </c>
      <c r="C2600" t="s">
        <v>363</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Data_Completeness(LifeExpectancyData[[#This Row],[Life expectancy]:[Schooling]])</f>
        <v>0</v>
      </c>
    </row>
    <row r="2601" spans="1:23" x14ac:dyDescent="0.25">
      <c r="A2601" t="s">
        <v>534</v>
      </c>
      <c r="B2601">
        <v>2001</v>
      </c>
      <c r="C2601" t="s">
        <v>363</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Data_Completeness(LifeExpectancyData[[#This Row],[Life expectancy]:[Schooling]])</f>
        <v>0</v>
      </c>
    </row>
    <row r="2602" spans="1:23" x14ac:dyDescent="0.25">
      <c r="A2602" t="s">
        <v>534</v>
      </c>
      <c r="B2602">
        <v>2000</v>
      </c>
      <c r="C2602" t="s">
        <v>363</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Data_Completeness(LifeExpectancyData[[#This Row],[Life expectancy]:[Schooling]])</f>
        <v>0</v>
      </c>
    </row>
    <row r="2603" spans="1:23" x14ac:dyDescent="0.25">
      <c r="A2603" t="s">
        <v>535</v>
      </c>
      <c r="B2603">
        <v>2015</v>
      </c>
      <c r="C2603" t="s">
        <v>363</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Data_Completeness(LifeExpectancyData[[#This Row],[Life expectancy]:[Schooling]])</f>
        <v>0</v>
      </c>
    </row>
    <row r="2604" spans="1:23" x14ac:dyDescent="0.25">
      <c r="A2604" t="s">
        <v>535</v>
      </c>
      <c r="B2604">
        <v>2014</v>
      </c>
      <c r="C2604" t="s">
        <v>363</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Data_Completeness(LifeExpectancyData[[#This Row],[Life expectancy]:[Schooling]])</f>
        <v>1</v>
      </c>
    </row>
    <row r="2605" spans="1:23" x14ac:dyDescent="0.25">
      <c r="A2605" t="s">
        <v>535</v>
      </c>
      <c r="B2605">
        <v>2013</v>
      </c>
      <c r="C2605" t="s">
        <v>363</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Data_Completeness(LifeExpectancyData[[#This Row],[Life expectancy]:[Schooling]])</f>
        <v>1</v>
      </c>
    </row>
    <row r="2606" spans="1:23" x14ac:dyDescent="0.25">
      <c r="A2606" t="s">
        <v>535</v>
      </c>
      <c r="B2606">
        <v>2012</v>
      </c>
      <c r="C2606" t="s">
        <v>363</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Data_Completeness(LifeExpectancyData[[#This Row],[Life expectancy]:[Schooling]])</f>
        <v>1</v>
      </c>
    </row>
    <row r="2607" spans="1:23" x14ac:dyDescent="0.25">
      <c r="A2607" t="s">
        <v>535</v>
      </c>
      <c r="B2607">
        <v>2011</v>
      </c>
      <c r="C2607" t="s">
        <v>363</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Data_Completeness(LifeExpectancyData[[#This Row],[Life expectancy]:[Schooling]])</f>
        <v>1</v>
      </c>
    </row>
    <row r="2608" spans="1:23" x14ac:dyDescent="0.25">
      <c r="A2608" t="s">
        <v>535</v>
      </c>
      <c r="B2608">
        <v>2010</v>
      </c>
      <c r="C2608" t="s">
        <v>363</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Data_Completeness(LifeExpectancyData[[#This Row],[Life expectancy]:[Schooling]])</f>
        <v>1</v>
      </c>
    </row>
    <row r="2609" spans="1:23" x14ac:dyDescent="0.25">
      <c r="A2609" t="s">
        <v>535</v>
      </c>
      <c r="B2609">
        <v>2009</v>
      </c>
      <c r="C2609" t="s">
        <v>363</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Data_Completeness(LifeExpectancyData[[#This Row],[Life expectancy]:[Schooling]])</f>
        <v>1</v>
      </c>
    </row>
    <row r="2610" spans="1:23" x14ac:dyDescent="0.25">
      <c r="A2610" t="s">
        <v>535</v>
      </c>
      <c r="B2610">
        <v>2008</v>
      </c>
      <c r="C2610" t="s">
        <v>363</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Data_Completeness(LifeExpectancyData[[#This Row],[Life expectancy]:[Schooling]])</f>
        <v>1</v>
      </c>
    </row>
    <row r="2611" spans="1:23" x14ac:dyDescent="0.25">
      <c r="A2611" t="s">
        <v>535</v>
      </c>
      <c r="B2611">
        <v>2007</v>
      </c>
      <c r="C2611" t="s">
        <v>363</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Data_Completeness(LifeExpectancyData[[#This Row],[Life expectancy]:[Schooling]])</f>
        <v>0</v>
      </c>
    </row>
    <row r="2612" spans="1:23" x14ac:dyDescent="0.25">
      <c r="A2612" t="s">
        <v>535</v>
      </c>
      <c r="B2612">
        <v>2006</v>
      </c>
      <c r="C2612" t="s">
        <v>363</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Data_Completeness(LifeExpectancyData[[#This Row],[Life expectancy]:[Schooling]])</f>
        <v>0</v>
      </c>
    </row>
    <row r="2613" spans="1:23" x14ac:dyDescent="0.25">
      <c r="A2613" t="s">
        <v>535</v>
      </c>
      <c r="B2613">
        <v>2005</v>
      </c>
      <c r="C2613" t="s">
        <v>363</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Data_Completeness(LifeExpectancyData[[#This Row],[Life expectancy]:[Schooling]])</f>
        <v>0</v>
      </c>
    </row>
    <row r="2614" spans="1:23" x14ac:dyDescent="0.25">
      <c r="A2614" t="s">
        <v>535</v>
      </c>
      <c r="B2614">
        <v>2004</v>
      </c>
      <c r="C2614" t="s">
        <v>363</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Data_Completeness(LifeExpectancyData[[#This Row],[Life expectancy]:[Schooling]])</f>
        <v>0</v>
      </c>
    </row>
    <row r="2615" spans="1:23" x14ac:dyDescent="0.25">
      <c r="A2615" t="s">
        <v>535</v>
      </c>
      <c r="B2615">
        <v>2003</v>
      </c>
      <c r="C2615" t="s">
        <v>363</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Data_Completeness(LifeExpectancyData[[#This Row],[Life expectancy]:[Schooling]])</f>
        <v>0</v>
      </c>
    </row>
    <row r="2616" spans="1:23" x14ac:dyDescent="0.25">
      <c r="A2616" t="s">
        <v>535</v>
      </c>
      <c r="B2616">
        <v>2002</v>
      </c>
      <c r="C2616" t="s">
        <v>363</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Data_Completeness(LifeExpectancyData[[#This Row],[Life expectancy]:[Schooling]])</f>
        <v>0</v>
      </c>
    </row>
    <row r="2617" spans="1:23" x14ac:dyDescent="0.25">
      <c r="A2617" t="s">
        <v>535</v>
      </c>
      <c r="B2617">
        <v>2001</v>
      </c>
      <c r="C2617" t="s">
        <v>363</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Data_Completeness(LifeExpectancyData[[#This Row],[Life expectancy]:[Schooling]])</f>
        <v>0</v>
      </c>
    </row>
    <row r="2618" spans="1:23" x14ac:dyDescent="0.25">
      <c r="A2618" t="s">
        <v>535</v>
      </c>
      <c r="B2618">
        <v>2000</v>
      </c>
      <c r="C2618" t="s">
        <v>363</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Data_Completeness(LifeExpectancyData[[#This Row],[Life expectancy]:[Schooling]])</f>
        <v>0</v>
      </c>
    </row>
    <row r="2619" spans="1:23" x14ac:dyDescent="0.25">
      <c r="A2619" t="s">
        <v>536</v>
      </c>
      <c r="B2619">
        <v>2015</v>
      </c>
      <c r="C2619" t="s">
        <v>363</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Data_Completeness(LifeExpectancyData[[#This Row],[Life expectancy]:[Schooling]])</f>
        <v>0</v>
      </c>
    </row>
    <row r="2620" spans="1:23" x14ac:dyDescent="0.25">
      <c r="A2620" t="s">
        <v>536</v>
      </c>
      <c r="B2620">
        <v>2014</v>
      </c>
      <c r="C2620" t="s">
        <v>363</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Data_Completeness(LifeExpectancyData[[#This Row],[Life expectancy]:[Schooling]])</f>
        <v>1</v>
      </c>
    </row>
    <row r="2621" spans="1:23" x14ac:dyDescent="0.25">
      <c r="A2621" t="s">
        <v>536</v>
      </c>
      <c r="B2621">
        <v>2013</v>
      </c>
      <c r="C2621" t="s">
        <v>363</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Data_Completeness(LifeExpectancyData[[#This Row],[Life expectancy]:[Schooling]])</f>
        <v>1</v>
      </c>
    </row>
    <row r="2622" spans="1:23" x14ac:dyDescent="0.25">
      <c r="A2622" t="s">
        <v>536</v>
      </c>
      <c r="B2622">
        <v>2012</v>
      </c>
      <c r="C2622" t="s">
        <v>363</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Data_Completeness(LifeExpectancyData[[#This Row],[Life expectancy]:[Schooling]])</f>
        <v>1</v>
      </c>
    </row>
    <row r="2623" spans="1:23" x14ac:dyDescent="0.25">
      <c r="A2623" t="s">
        <v>536</v>
      </c>
      <c r="B2623">
        <v>2011</v>
      </c>
      <c r="C2623" t="s">
        <v>363</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Data_Completeness(LifeExpectancyData[[#This Row],[Life expectancy]:[Schooling]])</f>
        <v>1</v>
      </c>
    </row>
    <row r="2624" spans="1:23" x14ac:dyDescent="0.25">
      <c r="A2624" t="s">
        <v>536</v>
      </c>
      <c r="B2624">
        <v>2010</v>
      </c>
      <c r="C2624" t="s">
        <v>363</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Data_Completeness(LifeExpectancyData[[#This Row],[Life expectancy]:[Schooling]])</f>
        <v>1</v>
      </c>
    </row>
    <row r="2625" spans="1:23" x14ac:dyDescent="0.25">
      <c r="A2625" t="s">
        <v>536</v>
      </c>
      <c r="B2625">
        <v>2009</v>
      </c>
      <c r="C2625" t="s">
        <v>363</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Data_Completeness(LifeExpectancyData[[#This Row],[Life expectancy]:[Schooling]])</f>
        <v>1</v>
      </c>
    </row>
    <row r="2626" spans="1:23" x14ac:dyDescent="0.25">
      <c r="A2626" t="s">
        <v>536</v>
      </c>
      <c r="B2626">
        <v>2008</v>
      </c>
      <c r="C2626" t="s">
        <v>363</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Data_Completeness(LifeExpectancyData[[#This Row],[Life expectancy]:[Schooling]])</f>
        <v>1</v>
      </c>
    </row>
    <row r="2627" spans="1:23" x14ac:dyDescent="0.25">
      <c r="A2627" t="s">
        <v>536</v>
      </c>
      <c r="B2627">
        <v>2007</v>
      </c>
      <c r="C2627" t="s">
        <v>363</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Data_Completeness(LifeExpectancyData[[#This Row],[Life expectancy]:[Schooling]])</f>
        <v>0</v>
      </c>
    </row>
    <row r="2628" spans="1:23" x14ac:dyDescent="0.25">
      <c r="A2628" t="s">
        <v>536</v>
      </c>
      <c r="B2628">
        <v>2006</v>
      </c>
      <c r="C2628" t="s">
        <v>363</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Data_Completeness(LifeExpectancyData[[#This Row],[Life expectancy]:[Schooling]])</f>
        <v>0</v>
      </c>
    </row>
    <row r="2629" spans="1:23" x14ac:dyDescent="0.25">
      <c r="A2629" t="s">
        <v>536</v>
      </c>
      <c r="B2629">
        <v>2005</v>
      </c>
      <c r="C2629" t="s">
        <v>363</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Data_Completeness(LifeExpectancyData[[#This Row],[Life expectancy]:[Schooling]])</f>
        <v>0</v>
      </c>
    </row>
    <row r="2630" spans="1:23" x14ac:dyDescent="0.25">
      <c r="A2630" t="s">
        <v>536</v>
      </c>
      <c r="B2630">
        <v>2004</v>
      </c>
      <c r="C2630" t="s">
        <v>363</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Data_Completeness(LifeExpectancyData[[#This Row],[Life expectancy]:[Schooling]])</f>
        <v>0</v>
      </c>
    </row>
    <row r="2631" spans="1:23" x14ac:dyDescent="0.25">
      <c r="A2631" t="s">
        <v>536</v>
      </c>
      <c r="B2631">
        <v>2003</v>
      </c>
      <c r="C2631" t="s">
        <v>363</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Data_Completeness(LifeExpectancyData[[#This Row],[Life expectancy]:[Schooling]])</f>
        <v>0</v>
      </c>
    </row>
    <row r="2632" spans="1:23" x14ac:dyDescent="0.25">
      <c r="A2632" t="s">
        <v>536</v>
      </c>
      <c r="B2632">
        <v>2002</v>
      </c>
      <c r="C2632" t="s">
        <v>363</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Data_Completeness(LifeExpectancyData[[#This Row],[Life expectancy]:[Schooling]])</f>
        <v>0</v>
      </c>
    </row>
    <row r="2633" spans="1:23" x14ac:dyDescent="0.25">
      <c r="A2633" t="s">
        <v>536</v>
      </c>
      <c r="B2633">
        <v>2001</v>
      </c>
      <c r="C2633" t="s">
        <v>363</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Data_Completeness(LifeExpectancyData[[#This Row],[Life expectancy]:[Schooling]])</f>
        <v>0</v>
      </c>
    </row>
    <row r="2634" spans="1:23" x14ac:dyDescent="0.25">
      <c r="A2634" t="s">
        <v>536</v>
      </c>
      <c r="B2634">
        <v>2000</v>
      </c>
      <c r="C2634" t="s">
        <v>363</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Data_Completeness(LifeExpectancyData[[#This Row],[Life expectancy]:[Schooling]])</f>
        <v>0</v>
      </c>
    </row>
    <row r="2635" spans="1:23" x14ac:dyDescent="0.25">
      <c r="A2635" t="s">
        <v>537</v>
      </c>
      <c r="B2635">
        <v>2015</v>
      </c>
      <c r="C2635" t="s">
        <v>363</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Data_Completeness(LifeExpectancyData[[#This Row],[Life expectancy]:[Schooling]])</f>
        <v>0</v>
      </c>
    </row>
    <row r="2636" spans="1:23" x14ac:dyDescent="0.25">
      <c r="A2636" t="s">
        <v>537</v>
      </c>
      <c r="B2636">
        <v>2014</v>
      </c>
      <c r="C2636" t="s">
        <v>363</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Data_Completeness(LifeExpectancyData[[#This Row],[Life expectancy]:[Schooling]])</f>
        <v>1</v>
      </c>
    </row>
    <row r="2637" spans="1:23" x14ac:dyDescent="0.25">
      <c r="A2637" t="s">
        <v>537</v>
      </c>
      <c r="B2637">
        <v>2013</v>
      </c>
      <c r="C2637" t="s">
        <v>363</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Data_Completeness(LifeExpectancyData[[#This Row],[Life expectancy]:[Schooling]])</f>
        <v>1</v>
      </c>
    </row>
    <row r="2638" spans="1:23" x14ac:dyDescent="0.25">
      <c r="A2638" t="s">
        <v>537</v>
      </c>
      <c r="B2638">
        <v>2012</v>
      </c>
      <c r="C2638" t="s">
        <v>363</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Data_Completeness(LifeExpectancyData[[#This Row],[Life expectancy]:[Schooling]])</f>
        <v>1</v>
      </c>
    </row>
    <row r="2639" spans="1:23" x14ac:dyDescent="0.25">
      <c r="A2639" t="s">
        <v>537</v>
      </c>
      <c r="B2639">
        <v>2011</v>
      </c>
      <c r="C2639" t="s">
        <v>363</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Data_Completeness(LifeExpectancyData[[#This Row],[Life expectancy]:[Schooling]])</f>
        <v>1</v>
      </c>
    </row>
    <row r="2640" spans="1:23" x14ac:dyDescent="0.25">
      <c r="A2640" t="s">
        <v>537</v>
      </c>
      <c r="B2640">
        <v>2010</v>
      </c>
      <c r="C2640" t="s">
        <v>363</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Data_Completeness(LifeExpectancyData[[#This Row],[Life expectancy]:[Schooling]])</f>
        <v>1</v>
      </c>
    </row>
    <row r="2641" spans="1:23" x14ac:dyDescent="0.25">
      <c r="A2641" t="s">
        <v>537</v>
      </c>
      <c r="B2641">
        <v>2009</v>
      </c>
      <c r="C2641" t="s">
        <v>363</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Data_Completeness(LifeExpectancyData[[#This Row],[Life expectancy]:[Schooling]])</f>
        <v>1</v>
      </c>
    </row>
    <row r="2642" spans="1:23" x14ac:dyDescent="0.25">
      <c r="A2642" t="s">
        <v>537</v>
      </c>
      <c r="B2642">
        <v>2008</v>
      </c>
      <c r="C2642" t="s">
        <v>363</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Data_Completeness(LifeExpectancyData[[#This Row],[Life expectancy]:[Schooling]])</f>
        <v>1</v>
      </c>
    </row>
    <row r="2643" spans="1:23" x14ac:dyDescent="0.25">
      <c r="A2643" t="s">
        <v>537</v>
      </c>
      <c r="B2643">
        <v>2007</v>
      </c>
      <c r="C2643" t="s">
        <v>363</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Data_Completeness(LifeExpectancyData[[#This Row],[Life expectancy]:[Schooling]])</f>
        <v>1</v>
      </c>
    </row>
    <row r="2644" spans="1:23" x14ac:dyDescent="0.25">
      <c r="A2644" t="s">
        <v>537</v>
      </c>
      <c r="B2644">
        <v>2006</v>
      </c>
      <c r="C2644" t="s">
        <v>363</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Data_Completeness(LifeExpectancyData[[#This Row],[Life expectancy]:[Schooling]])</f>
        <v>1</v>
      </c>
    </row>
    <row r="2645" spans="1:23" x14ac:dyDescent="0.25">
      <c r="A2645" t="s">
        <v>537</v>
      </c>
      <c r="B2645">
        <v>2005</v>
      </c>
      <c r="C2645" t="s">
        <v>363</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Data_Completeness(LifeExpectancyData[[#This Row],[Life expectancy]:[Schooling]])</f>
        <v>1</v>
      </c>
    </row>
    <row r="2646" spans="1:23" x14ac:dyDescent="0.25">
      <c r="A2646" t="s">
        <v>537</v>
      </c>
      <c r="B2646">
        <v>2004</v>
      </c>
      <c r="C2646" t="s">
        <v>363</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Data_Completeness(LifeExpectancyData[[#This Row],[Life expectancy]:[Schooling]])</f>
        <v>1</v>
      </c>
    </row>
    <row r="2647" spans="1:23" x14ac:dyDescent="0.25">
      <c r="A2647" t="s">
        <v>537</v>
      </c>
      <c r="B2647">
        <v>2003</v>
      </c>
      <c r="C2647" t="s">
        <v>363</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Data_Completeness(LifeExpectancyData[[#This Row],[Life expectancy]:[Schooling]])</f>
        <v>1</v>
      </c>
    </row>
    <row r="2648" spans="1:23" x14ac:dyDescent="0.25">
      <c r="A2648" t="s">
        <v>537</v>
      </c>
      <c r="B2648">
        <v>2002</v>
      </c>
      <c r="C2648" t="s">
        <v>363</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Data_Completeness(LifeExpectancyData[[#This Row],[Life expectancy]:[Schooling]])</f>
        <v>1</v>
      </c>
    </row>
    <row r="2649" spans="1:23" x14ac:dyDescent="0.25">
      <c r="A2649" t="s">
        <v>537</v>
      </c>
      <c r="B2649">
        <v>2001</v>
      </c>
      <c r="C2649" t="s">
        <v>363</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Data_Completeness(LifeExpectancyData[[#This Row],[Life expectancy]:[Schooling]])</f>
        <v>1</v>
      </c>
    </row>
    <row r="2650" spans="1:23" x14ac:dyDescent="0.25">
      <c r="A2650" t="s">
        <v>537</v>
      </c>
      <c r="B2650">
        <v>2000</v>
      </c>
      <c r="C2650" t="s">
        <v>363</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Data_Completeness(LifeExpectancyData[[#This Row],[Life expectancy]:[Schooling]])</f>
        <v>1</v>
      </c>
    </row>
    <row r="2651" spans="1:23" x14ac:dyDescent="0.25">
      <c r="A2651" t="s">
        <v>538</v>
      </c>
      <c r="B2651">
        <v>2015</v>
      </c>
      <c r="C2651" t="s">
        <v>363</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Data_Completeness(LifeExpectancyData[[#This Row],[Life expectancy]:[Schooling]])</f>
        <v>0</v>
      </c>
    </row>
    <row r="2652" spans="1:23" x14ac:dyDescent="0.25">
      <c r="A2652" t="s">
        <v>538</v>
      </c>
      <c r="B2652">
        <v>2014</v>
      </c>
      <c r="C2652" t="s">
        <v>363</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Data_Completeness(LifeExpectancyData[[#This Row],[Life expectancy]:[Schooling]])</f>
        <v>1</v>
      </c>
    </row>
    <row r="2653" spans="1:23" x14ac:dyDescent="0.25">
      <c r="A2653" t="s">
        <v>538</v>
      </c>
      <c r="B2653">
        <v>2013</v>
      </c>
      <c r="C2653" t="s">
        <v>363</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Data_Completeness(LifeExpectancyData[[#This Row],[Life expectancy]:[Schooling]])</f>
        <v>1</v>
      </c>
    </row>
    <row r="2654" spans="1:23" x14ac:dyDescent="0.25">
      <c r="A2654" t="s">
        <v>538</v>
      </c>
      <c r="B2654">
        <v>2012</v>
      </c>
      <c r="C2654" t="s">
        <v>363</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Data_Completeness(LifeExpectancyData[[#This Row],[Life expectancy]:[Schooling]])</f>
        <v>1</v>
      </c>
    </row>
    <row r="2655" spans="1:23" x14ac:dyDescent="0.25">
      <c r="A2655" t="s">
        <v>538</v>
      </c>
      <c r="B2655">
        <v>2011</v>
      </c>
      <c r="C2655" t="s">
        <v>363</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Data_Completeness(LifeExpectancyData[[#This Row],[Life expectancy]:[Schooling]])</f>
        <v>1</v>
      </c>
    </row>
    <row r="2656" spans="1:23" x14ac:dyDescent="0.25">
      <c r="A2656" t="s">
        <v>538</v>
      </c>
      <c r="B2656">
        <v>2010</v>
      </c>
      <c r="C2656" t="s">
        <v>363</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Data_Completeness(LifeExpectancyData[[#This Row],[Life expectancy]:[Schooling]])</f>
        <v>1</v>
      </c>
    </row>
    <row r="2657" spans="1:23" x14ac:dyDescent="0.25">
      <c r="A2657" t="s">
        <v>538</v>
      </c>
      <c r="B2657">
        <v>2009</v>
      </c>
      <c r="C2657" t="s">
        <v>363</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Data_Completeness(LifeExpectancyData[[#This Row],[Life expectancy]:[Schooling]])</f>
        <v>1</v>
      </c>
    </row>
    <row r="2658" spans="1:23" x14ac:dyDescent="0.25">
      <c r="A2658" t="s">
        <v>538</v>
      </c>
      <c r="B2658">
        <v>2008</v>
      </c>
      <c r="C2658" t="s">
        <v>363</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Data_Completeness(LifeExpectancyData[[#This Row],[Life expectancy]:[Schooling]])</f>
        <v>1</v>
      </c>
    </row>
    <row r="2659" spans="1:23" x14ac:dyDescent="0.25">
      <c r="A2659" t="s">
        <v>538</v>
      </c>
      <c r="B2659">
        <v>2007</v>
      </c>
      <c r="C2659" t="s">
        <v>363</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Data_Completeness(LifeExpectancyData[[#This Row],[Life expectancy]:[Schooling]])</f>
        <v>1</v>
      </c>
    </row>
    <row r="2660" spans="1:23" x14ac:dyDescent="0.25">
      <c r="A2660" t="s">
        <v>538</v>
      </c>
      <c r="B2660">
        <v>2006</v>
      </c>
      <c r="C2660" t="s">
        <v>363</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Data_Completeness(LifeExpectancyData[[#This Row],[Life expectancy]:[Schooling]])</f>
        <v>1</v>
      </c>
    </row>
    <row r="2661" spans="1:23" x14ac:dyDescent="0.25">
      <c r="A2661" t="s">
        <v>538</v>
      </c>
      <c r="B2661">
        <v>2005</v>
      </c>
      <c r="C2661" t="s">
        <v>363</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Data_Completeness(LifeExpectancyData[[#This Row],[Life expectancy]:[Schooling]])</f>
        <v>1</v>
      </c>
    </row>
    <row r="2662" spans="1:23" x14ac:dyDescent="0.25">
      <c r="A2662" t="s">
        <v>538</v>
      </c>
      <c r="B2662">
        <v>2004</v>
      </c>
      <c r="C2662" t="s">
        <v>363</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Data_Completeness(LifeExpectancyData[[#This Row],[Life expectancy]:[Schooling]])</f>
        <v>1</v>
      </c>
    </row>
    <row r="2663" spans="1:23" x14ac:dyDescent="0.25">
      <c r="A2663" t="s">
        <v>538</v>
      </c>
      <c r="B2663">
        <v>2003</v>
      </c>
      <c r="C2663" t="s">
        <v>363</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Data_Completeness(LifeExpectancyData[[#This Row],[Life expectancy]:[Schooling]])</f>
        <v>1</v>
      </c>
    </row>
    <row r="2664" spans="1:23" x14ac:dyDescent="0.25">
      <c r="A2664" t="s">
        <v>538</v>
      </c>
      <c r="B2664">
        <v>2002</v>
      </c>
      <c r="C2664" t="s">
        <v>363</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Data_Completeness(LifeExpectancyData[[#This Row],[Life expectancy]:[Schooling]])</f>
        <v>1</v>
      </c>
    </row>
    <row r="2665" spans="1:23" x14ac:dyDescent="0.25">
      <c r="A2665" t="s">
        <v>538</v>
      </c>
      <c r="B2665">
        <v>2001</v>
      </c>
      <c r="C2665" t="s">
        <v>363</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Data_Completeness(LifeExpectancyData[[#This Row],[Life expectancy]:[Schooling]])</f>
        <v>0</v>
      </c>
    </row>
    <row r="2666" spans="1:23" x14ac:dyDescent="0.25">
      <c r="A2666" t="s">
        <v>538</v>
      </c>
      <c r="B2666">
        <v>2000</v>
      </c>
      <c r="C2666" t="s">
        <v>363</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Data_Completeness(LifeExpectancyData[[#This Row],[Life expectancy]:[Schooling]])</f>
        <v>0</v>
      </c>
    </row>
    <row r="2667" spans="1:23" x14ac:dyDescent="0.25">
      <c r="A2667" t="s">
        <v>539</v>
      </c>
      <c r="B2667">
        <v>2015</v>
      </c>
      <c r="C2667" t="s">
        <v>363</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Data_Completeness(LifeExpectancyData[[#This Row],[Life expectancy]:[Schooling]])</f>
        <v>0</v>
      </c>
    </row>
    <row r="2668" spans="1:23" x14ac:dyDescent="0.25">
      <c r="A2668" t="s">
        <v>539</v>
      </c>
      <c r="B2668">
        <v>2014</v>
      </c>
      <c r="C2668" t="s">
        <v>363</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Data_Completeness(LifeExpectancyData[[#This Row],[Life expectancy]:[Schooling]])</f>
        <v>1</v>
      </c>
    </row>
    <row r="2669" spans="1:23" x14ac:dyDescent="0.25">
      <c r="A2669" t="s">
        <v>539</v>
      </c>
      <c r="B2669">
        <v>2013</v>
      </c>
      <c r="C2669" t="s">
        <v>363</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Data_Completeness(LifeExpectancyData[[#This Row],[Life expectancy]:[Schooling]])</f>
        <v>1</v>
      </c>
    </row>
    <row r="2670" spans="1:23" x14ac:dyDescent="0.25">
      <c r="A2670" t="s">
        <v>539</v>
      </c>
      <c r="B2670">
        <v>2012</v>
      </c>
      <c r="C2670" t="s">
        <v>363</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Data_Completeness(LifeExpectancyData[[#This Row],[Life expectancy]:[Schooling]])</f>
        <v>1</v>
      </c>
    </row>
    <row r="2671" spans="1:23" x14ac:dyDescent="0.25">
      <c r="A2671" t="s">
        <v>539</v>
      </c>
      <c r="B2671">
        <v>2011</v>
      </c>
      <c r="C2671" t="s">
        <v>363</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Data_Completeness(LifeExpectancyData[[#This Row],[Life expectancy]:[Schooling]])</f>
        <v>1</v>
      </c>
    </row>
    <row r="2672" spans="1:23" x14ac:dyDescent="0.25">
      <c r="A2672" t="s">
        <v>539</v>
      </c>
      <c r="B2672">
        <v>2010</v>
      </c>
      <c r="C2672" t="s">
        <v>363</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Data_Completeness(LifeExpectancyData[[#This Row],[Life expectancy]:[Schooling]])</f>
        <v>1</v>
      </c>
    </row>
    <row r="2673" spans="1:23" x14ac:dyDescent="0.25">
      <c r="A2673" t="s">
        <v>539</v>
      </c>
      <c r="B2673">
        <v>2009</v>
      </c>
      <c r="C2673" t="s">
        <v>363</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Data_Completeness(LifeExpectancyData[[#This Row],[Life expectancy]:[Schooling]])</f>
        <v>1</v>
      </c>
    </row>
    <row r="2674" spans="1:23" x14ac:dyDescent="0.25">
      <c r="A2674" t="s">
        <v>539</v>
      </c>
      <c r="B2674">
        <v>2008</v>
      </c>
      <c r="C2674" t="s">
        <v>363</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Data_Completeness(LifeExpectancyData[[#This Row],[Life expectancy]:[Schooling]])</f>
        <v>1</v>
      </c>
    </row>
    <row r="2675" spans="1:23" x14ac:dyDescent="0.25">
      <c r="A2675" t="s">
        <v>539</v>
      </c>
      <c r="B2675">
        <v>2007</v>
      </c>
      <c r="C2675" t="s">
        <v>363</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Data_Completeness(LifeExpectancyData[[#This Row],[Life expectancy]:[Schooling]])</f>
        <v>1</v>
      </c>
    </row>
    <row r="2676" spans="1:23" x14ac:dyDescent="0.25">
      <c r="A2676" t="s">
        <v>539</v>
      </c>
      <c r="B2676">
        <v>2006</v>
      </c>
      <c r="C2676" t="s">
        <v>363</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Data_Completeness(LifeExpectancyData[[#This Row],[Life expectancy]:[Schooling]])</f>
        <v>1</v>
      </c>
    </row>
    <row r="2677" spans="1:23" x14ac:dyDescent="0.25">
      <c r="A2677" t="s">
        <v>539</v>
      </c>
      <c r="B2677">
        <v>2005</v>
      </c>
      <c r="C2677" t="s">
        <v>363</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Data_Completeness(LifeExpectancyData[[#This Row],[Life expectancy]:[Schooling]])</f>
        <v>1</v>
      </c>
    </row>
    <row r="2678" spans="1:23" x14ac:dyDescent="0.25">
      <c r="A2678" t="s">
        <v>539</v>
      </c>
      <c r="B2678">
        <v>2004</v>
      </c>
      <c r="C2678" t="s">
        <v>363</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Data_Completeness(LifeExpectancyData[[#This Row],[Life expectancy]:[Schooling]])</f>
        <v>1</v>
      </c>
    </row>
    <row r="2679" spans="1:23" x14ac:dyDescent="0.25">
      <c r="A2679" t="s">
        <v>539</v>
      </c>
      <c r="B2679">
        <v>2003</v>
      </c>
      <c r="C2679" t="s">
        <v>363</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Data_Completeness(LifeExpectancyData[[#This Row],[Life expectancy]:[Schooling]])</f>
        <v>1</v>
      </c>
    </row>
    <row r="2680" spans="1:23" x14ac:dyDescent="0.25">
      <c r="A2680" t="s">
        <v>539</v>
      </c>
      <c r="B2680">
        <v>2002</v>
      </c>
      <c r="C2680" t="s">
        <v>363</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Data_Completeness(LifeExpectancyData[[#This Row],[Life expectancy]:[Schooling]])</f>
        <v>1</v>
      </c>
    </row>
    <row r="2681" spans="1:23" x14ac:dyDescent="0.25">
      <c r="A2681" t="s">
        <v>539</v>
      </c>
      <c r="B2681">
        <v>2001</v>
      </c>
      <c r="C2681" t="s">
        <v>363</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Data_Completeness(LifeExpectancyData[[#This Row],[Life expectancy]:[Schooling]])</f>
        <v>1</v>
      </c>
    </row>
    <row r="2682" spans="1:23" x14ac:dyDescent="0.25">
      <c r="A2682" t="s">
        <v>539</v>
      </c>
      <c r="B2682">
        <v>2000</v>
      </c>
      <c r="C2682" t="s">
        <v>363</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Data_Completeness(LifeExpectancyData[[#This Row],[Life expectancy]:[Schooling]])</f>
        <v>1</v>
      </c>
    </row>
    <row r="2683" spans="1:23" x14ac:dyDescent="0.25">
      <c r="A2683" t="s">
        <v>540</v>
      </c>
      <c r="B2683">
        <v>2015</v>
      </c>
      <c r="C2683" t="s">
        <v>363</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Data_Completeness(LifeExpectancyData[[#This Row],[Life expectancy]:[Schooling]])</f>
        <v>0</v>
      </c>
    </row>
    <row r="2684" spans="1:23" x14ac:dyDescent="0.25">
      <c r="A2684" t="s">
        <v>540</v>
      </c>
      <c r="B2684">
        <v>2014</v>
      </c>
      <c r="C2684" t="s">
        <v>363</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Data_Completeness(LifeExpectancyData[[#This Row],[Life expectancy]:[Schooling]])</f>
        <v>1</v>
      </c>
    </row>
    <row r="2685" spans="1:23" x14ac:dyDescent="0.25">
      <c r="A2685" t="s">
        <v>540</v>
      </c>
      <c r="B2685">
        <v>2013</v>
      </c>
      <c r="C2685" t="s">
        <v>363</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Data_Completeness(LifeExpectancyData[[#This Row],[Life expectancy]:[Schooling]])</f>
        <v>1</v>
      </c>
    </row>
    <row r="2686" spans="1:23" x14ac:dyDescent="0.25">
      <c r="A2686" t="s">
        <v>540</v>
      </c>
      <c r="B2686">
        <v>2012</v>
      </c>
      <c r="C2686" t="s">
        <v>363</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Data_Completeness(LifeExpectancyData[[#This Row],[Life expectancy]:[Schooling]])</f>
        <v>1</v>
      </c>
    </row>
    <row r="2687" spans="1:23" x14ac:dyDescent="0.25">
      <c r="A2687" t="s">
        <v>540</v>
      </c>
      <c r="B2687">
        <v>2011</v>
      </c>
      <c r="C2687" t="s">
        <v>363</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Data_Completeness(LifeExpectancyData[[#This Row],[Life expectancy]:[Schooling]])</f>
        <v>1</v>
      </c>
    </row>
    <row r="2688" spans="1:23" x14ac:dyDescent="0.25">
      <c r="A2688" t="s">
        <v>540</v>
      </c>
      <c r="B2688">
        <v>2010</v>
      </c>
      <c r="C2688" t="s">
        <v>363</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Data_Completeness(LifeExpectancyData[[#This Row],[Life expectancy]:[Schooling]])</f>
        <v>1</v>
      </c>
    </row>
    <row r="2689" spans="1:23" x14ac:dyDescent="0.25">
      <c r="A2689" t="s">
        <v>540</v>
      </c>
      <c r="B2689">
        <v>2009</v>
      </c>
      <c r="C2689" t="s">
        <v>363</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Data_Completeness(LifeExpectancyData[[#This Row],[Life expectancy]:[Schooling]])</f>
        <v>1</v>
      </c>
    </row>
    <row r="2690" spans="1:23" x14ac:dyDescent="0.25">
      <c r="A2690" t="s">
        <v>540</v>
      </c>
      <c r="B2690">
        <v>2008</v>
      </c>
      <c r="C2690" t="s">
        <v>363</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Data_Completeness(LifeExpectancyData[[#This Row],[Life expectancy]:[Schooling]])</f>
        <v>1</v>
      </c>
    </row>
    <row r="2691" spans="1:23" x14ac:dyDescent="0.25">
      <c r="A2691" t="s">
        <v>540</v>
      </c>
      <c r="B2691">
        <v>2007</v>
      </c>
      <c r="C2691" t="s">
        <v>363</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Data_Completeness(LifeExpectancyData[[#This Row],[Life expectancy]:[Schooling]])</f>
        <v>1</v>
      </c>
    </row>
    <row r="2692" spans="1:23" x14ac:dyDescent="0.25">
      <c r="A2692" t="s">
        <v>540</v>
      </c>
      <c r="B2692">
        <v>2006</v>
      </c>
      <c r="C2692" t="s">
        <v>363</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Data_Completeness(LifeExpectancyData[[#This Row],[Life expectancy]:[Schooling]])</f>
        <v>1</v>
      </c>
    </row>
    <row r="2693" spans="1:23" x14ac:dyDescent="0.25">
      <c r="A2693" t="s">
        <v>540</v>
      </c>
      <c r="B2693">
        <v>2005</v>
      </c>
      <c r="C2693" t="s">
        <v>363</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Data_Completeness(LifeExpectancyData[[#This Row],[Life expectancy]:[Schooling]])</f>
        <v>1</v>
      </c>
    </row>
    <row r="2694" spans="1:23" x14ac:dyDescent="0.25">
      <c r="A2694" t="s">
        <v>540</v>
      </c>
      <c r="B2694">
        <v>2004</v>
      </c>
      <c r="C2694" t="s">
        <v>363</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Data_Completeness(LifeExpectancyData[[#This Row],[Life expectancy]:[Schooling]])</f>
        <v>1</v>
      </c>
    </row>
    <row r="2695" spans="1:23" x14ac:dyDescent="0.25">
      <c r="A2695" t="s">
        <v>540</v>
      </c>
      <c r="B2695">
        <v>2003</v>
      </c>
      <c r="C2695" t="s">
        <v>363</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Data_Completeness(LifeExpectancyData[[#This Row],[Life expectancy]:[Schooling]])</f>
        <v>1</v>
      </c>
    </row>
    <row r="2696" spans="1:23" x14ac:dyDescent="0.25">
      <c r="A2696" t="s">
        <v>540</v>
      </c>
      <c r="B2696">
        <v>2002</v>
      </c>
      <c r="C2696" t="s">
        <v>363</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Data_Completeness(LifeExpectancyData[[#This Row],[Life expectancy]:[Schooling]])</f>
        <v>1</v>
      </c>
    </row>
    <row r="2697" spans="1:23" x14ac:dyDescent="0.25">
      <c r="A2697" t="s">
        <v>540</v>
      </c>
      <c r="B2697">
        <v>2001</v>
      </c>
      <c r="C2697" t="s">
        <v>363</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Data_Completeness(LifeExpectancyData[[#This Row],[Life expectancy]:[Schooling]])</f>
        <v>1</v>
      </c>
    </row>
    <row r="2698" spans="1:23" x14ac:dyDescent="0.25">
      <c r="A2698" t="s">
        <v>540</v>
      </c>
      <c r="B2698">
        <v>2000</v>
      </c>
      <c r="C2698" t="s">
        <v>363</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Data_Completeness(LifeExpectancyData[[#This Row],[Life expectancy]:[Schooling]])</f>
        <v>1</v>
      </c>
    </row>
    <row r="2699" spans="1:23" x14ac:dyDescent="0.25">
      <c r="A2699" t="s">
        <v>541</v>
      </c>
      <c r="B2699">
        <v>2015</v>
      </c>
      <c r="C2699" t="s">
        <v>363</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Data_Completeness(LifeExpectancyData[[#This Row],[Life expectancy]:[Schooling]])</f>
        <v>0</v>
      </c>
    </row>
    <row r="2700" spans="1:23" x14ac:dyDescent="0.25">
      <c r="A2700" t="s">
        <v>541</v>
      </c>
      <c r="B2700">
        <v>2014</v>
      </c>
      <c r="C2700" t="s">
        <v>363</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Data_Completeness(LifeExpectancyData[[#This Row],[Life expectancy]:[Schooling]])</f>
        <v>1</v>
      </c>
    </row>
    <row r="2701" spans="1:23" x14ac:dyDescent="0.25">
      <c r="A2701" t="s">
        <v>541</v>
      </c>
      <c r="B2701">
        <v>2013</v>
      </c>
      <c r="C2701" t="s">
        <v>363</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Data_Completeness(LifeExpectancyData[[#This Row],[Life expectancy]:[Schooling]])</f>
        <v>1</v>
      </c>
    </row>
    <row r="2702" spans="1:23" x14ac:dyDescent="0.25">
      <c r="A2702" t="s">
        <v>541</v>
      </c>
      <c r="B2702">
        <v>2012</v>
      </c>
      <c r="C2702" t="s">
        <v>363</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Data_Completeness(LifeExpectancyData[[#This Row],[Life expectancy]:[Schooling]])</f>
        <v>1</v>
      </c>
    </row>
    <row r="2703" spans="1:23" x14ac:dyDescent="0.25">
      <c r="A2703" t="s">
        <v>541</v>
      </c>
      <c r="B2703">
        <v>2011</v>
      </c>
      <c r="C2703" t="s">
        <v>363</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Data_Completeness(LifeExpectancyData[[#This Row],[Life expectancy]:[Schooling]])</f>
        <v>1</v>
      </c>
    </row>
    <row r="2704" spans="1:23" x14ac:dyDescent="0.25">
      <c r="A2704" t="s">
        <v>541</v>
      </c>
      <c r="B2704">
        <v>2010</v>
      </c>
      <c r="C2704" t="s">
        <v>363</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Data_Completeness(LifeExpectancyData[[#This Row],[Life expectancy]:[Schooling]])</f>
        <v>1</v>
      </c>
    </row>
    <row r="2705" spans="1:23" x14ac:dyDescent="0.25">
      <c r="A2705" t="s">
        <v>541</v>
      </c>
      <c r="B2705">
        <v>2009</v>
      </c>
      <c r="C2705" t="s">
        <v>363</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Data_Completeness(LifeExpectancyData[[#This Row],[Life expectancy]:[Schooling]])</f>
        <v>1</v>
      </c>
    </row>
    <row r="2706" spans="1:23" x14ac:dyDescent="0.25">
      <c r="A2706" t="s">
        <v>541</v>
      </c>
      <c r="B2706">
        <v>2008</v>
      </c>
      <c r="C2706" t="s">
        <v>363</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Data_Completeness(LifeExpectancyData[[#This Row],[Life expectancy]:[Schooling]])</f>
        <v>1</v>
      </c>
    </row>
    <row r="2707" spans="1:23" x14ac:dyDescent="0.25">
      <c r="A2707" t="s">
        <v>541</v>
      </c>
      <c r="B2707">
        <v>2007</v>
      </c>
      <c r="C2707" t="s">
        <v>363</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Data_Completeness(LifeExpectancyData[[#This Row],[Life expectancy]:[Schooling]])</f>
        <v>1</v>
      </c>
    </row>
    <row r="2708" spans="1:23" x14ac:dyDescent="0.25">
      <c r="A2708" t="s">
        <v>541</v>
      </c>
      <c r="B2708">
        <v>2006</v>
      </c>
      <c r="C2708" t="s">
        <v>363</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Data_Completeness(LifeExpectancyData[[#This Row],[Life expectancy]:[Schooling]])</f>
        <v>1</v>
      </c>
    </row>
    <row r="2709" spans="1:23" x14ac:dyDescent="0.25">
      <c r="A2709" t="s">
        <v>541</v>
      </c>
      <c r="B2709">
        <v>2005</v>
      </c>
      <c r="C2709" t="s">
        <v>363</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Data_Completeness(LifeExpectancyData[[#This Row],[Life expectancy]:[Schooling]])</f>
        <v>1</v>
      </c>
    </row>
    <row r="2710" spans="1:23" x14ac:dyDescent="0.25">
      <c r="A2710" t="s">
        <v>541</v>
      </c>
      <c r="B2710">
        <v>2004</v>
      </c>
      <c r="C2710" t="s">
        <v>363</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Data_Completeness(LifeExpectancyData[[#This Row],[Life expectancy]:[Schooling]])</f>
        <v>1</v>
      </c>
    </row>
    <row r="2711" spans="1:23" x14ac:dyDescent="0.25">
      <c r="A2711" t="s">
        <v>541</v>
      </c>
      <c r="B2711">
        <v>2003</v>
      </c>
      <c r="C2711" t="s">
        <v>363</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Data_Completeness(LifeExpectancyData[[#This Row],[Life expectancy]:[Schooling]])</f>
        <v>1</v>
      </c>
    </row>
    <row r="2712" spans="1:23" x14ac:dyDescent="0.25">
      <c r="A2712" t="s">
        <v>541</v>
      </c>
      <c r="B2712">
        <v>2002</v>
      </c>
      <c r="C2712" t="s">
        <v>363</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Data_Completeness(LifeExpectancyData[[#This Row],[Life expectancy]:[Schooling]])</f>
        <v>1</v>
      </c>
    </row>
    <row r="2713" spans="1:23" x14ac:dyDescent="0.25">
      <c r="A2713" t="s">
        <v>541</v>
      </c>
      <c r="B2713">
        <v>2001</v>
      </c>
      <c r="C2713" t="s">
        <v>363</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Data_Completeness(LifeExpectancyData[[#This Row],[Life expectancy]:[Schooling]])</f>
        <v>0</v>
      </c>
    </row>
    <row r="2714" spans="1:23" x14ac:dyDescent="0.25">
      <c r="A2714" t="s">
        <v>541</v>
      </c>
      <c r="B2714">
        <v>2000</v>
      </c>
      <c r="C2714" t="s">
        <v>363</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Data_Completeness(LifeExpectancyData[[#This Row],[Life expectancy]:[Schooling]])</f>
        <v>0</v>
      </c>
    </row>
    <row r="2715" spans="1:23" x14ac:dyDescent="0.25">
      <c r="A2715" t="s">
        <v>542</v>
      </c>
      <c r="B2715">
        <v>2013</v>
      </c>
      <c r="C2715" t="s">
        <v>363</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Data_Completeness(LifeExpectancyData[[#This Row],[Life expectancy]:[Schooling]])</f>
        <v>0</v>
      </c>
    </row>
    <row r="2716" spans="1:23" x14ac:dyDescent="0.25">
      <c r="A2716" t="s">
        <v>543</v>
      </c>
      <c r="B2716">
        <v>2015</v>
      </c>
      <c r="C2716" t="s">
        <v>363</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Data_Completeness(LifeExpectancyData[[#This Row],[Life expectancy]:[Schooling]])</f>
        <v>0</v>
      </c>
    </row>
    <row r="2717" spans="1:23" x14ac:dyDescent="0.25">
      <c r="A2717" t="s">
        <v>543</v>
      </c>
      <c r="B2717">
        <v>2014</v>
      </c>
      <c r="C2717" t="s">
        <v>363</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Data_Completeness(LifeExpectancyData[[#This Row],[Life expectancy]:[Schooling]])</f>
        <v>1</v>
      </c>
    </row>
    <row r="2718" spans="1:23" x14ac:dyDescent="0.25">
      <c r="A2718" t="s">
        <v>543</v>
      </c>
      <c r="B2718">
        <v>2013</v>
      </c>
      <c r="C2718" t="s">
        <v>363</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Data_Completeness(LifeExpectancyData[[#This Row],[Life expectancy]:[Schooling]])</f>
        <v>1</v>
      </c>
    </row>
    <row r="2719" spans="1:23" x14ac:dyDescent="0.25">
      <c r="A2719" t="s">
        <v>543</v>
      </c>
      <c r="B2719">
        <v>2012</v>
      </c>
      <c r="C2719" t="s">
        <v>363</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Data_Completeness(LifeExpectancyData[[#This Row],[Life expectancy]:[Schooling]])</f>
        <v>1</v>
      </c>
    </row>
    <row r="2720" spans="1:23" x14ac:dyDescent="0.25">
      <c r="A2720" t="s">
        <v>543</v>
      </c>
      <c r="B2720">
        <v>2011</v>
      </c>
      <c r="C2720" t="s">
        <v>363</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Data_Completeness(LifeExpectancyData[[#This Row],[Life expectancy]:[Schooling]])</f>
        <v>1</v>
      </c>
    </row>
    <row r="2721" spans="1:23" x14ac:dyDescent="0.25">
      <c r="A2721" t="s">
        <v>543</v>
      </c>
      <c r="B2721">
        <v>2010</v>
      </c>
      <c r="C2721" t="s">
        <v>363</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Data_Completeness(LifeExpectancyData[[#This Row],[Life expectancy]:[Schooling]])</f>
        <v>1</v>
      </c>
    </row>
    <row r="2722" spans="1:23" x14ac:dyDescent="0.25">
      <c r="A2722" t="s">
        <v>543</v>
      </c>
      <c r="B2722">
        <v>2009</v>
      </c>
      <c r="C2722" t="s">
        <v>363</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Data_Completeness(LifeExpectancyData[[#This Row],[Life expectancy]:[Schooling]])</f>
        <v>1</v>
      </c>
    </row>
    <row r="2723" spans="1:23" x14ac:dyDescent="0.25">
      <c r="A2723" t="s">
        <v>543</v>
      </c>
      <c r="B2723">
        <v>2008</v>
      </c>
      <c r="C2723" t="s">
        <v>363</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Data_Completeness(LifeExpectancyData[[#This Row],[Life expectancy]:[Schooling]])</f>
        <v>1</v>
      </c>
    </row>
    <row r="2724" spans="1:23" x14ac:dyDescent="0.25">
      <c r="A2724" t="s">
        <v>543</v>
      </c>
      <c r="B2724">
        <v>2007</v>
      </c>
      <c r="C2724" t="s">
        <v>363</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Data_Completeness(LifeExpectancyData[[#This Row],[Life expectancy]:[Schooling]])</f>
        <v>1</v>
      </c>
    </row>
    <row r="2725" spans="1:23" x14ac:dyDescent="0.25">
      <c r="A2725" t="s">
        <v>543</v>
      </c>
      <c r="B2725">
        <v>2006</v>
      </c>
      <c r="C2725" t="s">
        <v>363</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Data_Completeness(LifeExpectancyData[[#This Row],[Life expectancy]:[Schooling]])</f>
        <v>1</v>
      </c>
    </row>
    <row r="2726" spans="1:23" x14ac:dyDescent="0.25">
      <c r="A2726" t="s">
        <v>543</v>
      </c>
      <c r="B2726">
        <v>2005</v>
      </c>
      <c r="C2726" t="s">
        <v>363</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Data_Completeness(LifeExpectancyData[[#This Row],[Life expectancy]:[Schooling]])</f>
        <v>1</v>
      </c>
    </row>
    <row r="2727" spans="1:23" x14ac:dyDescent="0.25">
      <c r="A2727" t="s">
        <v>543</v>
      </c>
      <c r="B2727">
        <v>2004</v>
      </c>
      <c r="C2727" t="s">
        <v>363</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Data_Completeness(LifeExpectancyData[[#This Row],[Life expectancy]:[Schooling]])</f>
        <v>1</v>
      </c>
    </row>
    <row r="2728" spans="1:23" x14ac:dyDescent="0.25">
      <c r="A2728" t="s">
        <v>543</v>
      </c>
      <c r="B2728">
        <v>2003</v>
      </c>
      <c r="C2728" t="s">
        <v>363</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Data_Completeness(LifeExpectancyData[[#This Row],[Life expectancy]:[Schooling]])</f>
        <v>1</v>
      </c>
    </row>
    <row r="2729" spans="1:23" x14ac:dyDescent="0.25">
      <c r="A2729" t="s">
        <v>543</v>
      </c>
      <c r="B2729">
        <v>2002</v>
      </c>
      <c r="C2729" t="s">
        <v>363</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Data_Completeness(LifeExpectancyData[[#This Row],[Life expectancy]:[Schooling]])</f>
        <v>1</v>
      </c>
    </row>
    <row r="2730" spans="1:23" x14ac:dyDescent="0.25">
      <c r="A2730" t="s">
        <v>543</v>
      </c>
      <c r="B2730">
        <v>2001</v>
      </c>
      <c r="C2730" t="s">
        <v>363</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Data_Completeness(LifeExpectancyData[[#This Row],[Life expectancy]:[Schooling]])</f>
        <v>0</v>
      </c>
    </row>
    <row r="2731" spans="1:23" x14ac:dyDescent="0.25">
      <c r="A2731" t="s">
        <v>543</v>
      </c>
      <c r="B2731">
        <v>2000</v>
      </c>
      <c r="C2731" t="s">
        <v>363</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Data_Completeness(LifeExpectancyData[[#This Row],[Life expectancy]:[Schooling]])</f>
        <v>0</v>
      </c>
    </row>
    <row r="2732" spans="1:23" x14ac:dyDescent="0.25">
      <c r="A2732" t="s">
        <v>544</v>
      </c>
      <c r="B2732">
        <v>2015</v>
      </c>
      <c r="C2732" t="s">
        <v>363</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Data_Completeness(LifeExpectancyData[[#This Row],[Life expectancy]:[Schooling]])</f>
        <v>0</v>
      </c>
    </row>
    <row r="2733" spans="1:23" x14ac:dyDescent="0.25">
      <c r="A2733" t="s">
        <v>544</v>
      </c>
      <c r="B2733">
        <v>2014</v>
      </c>
      <c r="C2733" t="s">
        <v>363</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Data_Completeness(LifeExpectancyData[[#This Row],[Life expectancy]:[Schooling]])</f>
        <v>1</v>
      </c>
    </row>
    <row r="2734" spans="1:23" x14ac:dyDescent="0.25">
      <c r="A2734" t="s">
        <v>544</v>
      </c>
      <c r="B2734">
        <v>2013</v>
      </c>
      <c r="C2734" t="s">
        <v>363</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Data_Completeness(LifeExpectancyData[[#This Row],[Life expectancy]:[Schooling]])</f>
        <v>1</v>
      </c>
    </row>
    <row r="2735" spans="1:23" x14ac:dyDescent="0.25">
      <c r="A2735" t="s">
        <v>544</v>
      </c>
      <c r="B2735">
        <v>2012</v>
      </c>
      <c r="C2735" t="s">
        <v>363</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Data_Completeness(LifeExpectancyData[[#This Row],[Life expectancy]:[Schooling]])</f>
        <v>1</v>
      </c>
    </row>
    <row r="2736" spans="1:23" x14ac:dyDescent="0.25">
      <c r="A2736" t="s">
        <v>544</v>
      </c>
      <c r="B2736">
        <v>2011</v>
      </c>
      <c r="C2736" t="s">
        <v>363</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Data_Completeness(LifeExpectancyData[[#This Row],[Life expectancy]:[Schooling]])</f>
        <v>1</v>
      </c>
    </row>
    <row r="2737" spans="1:23" x14ac:dyDescent="0.25">
      <c r="A2737" t="s">
        <v>544</v>
      </c>
      <c r="B2737">
        <v>2010</v>
      </c>
      <c r="C2737" t="s">
        <v>363</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Data_Completeness(LifeExpectancyData[[#This Row],[Life expectancy]:[Schooling]])</f>
        <v>1</v>
      </c>
    </row>
    <row r="2738" spans="1:23" x14ac:dyDescent="0.25">
      <c r="A2738" t="s">
        <v>544</v>
      </c>
      <c r="B2738">
        <v>2009</v>
      </c>
      <c r="C2738" t="s">
        <v>363</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Data_Completeness(LifeExpectancyData[[#This Row],[Life expectancy]:[Schooling]])</f>
        <v>1</v>
      </c>
    </row>
    <row r="2739" spans="1:23" x14ac:dyDescent="0.25">
      <c r="A2739" t="s">
        <v>544</v>
      </c>
      <c r="B2739">
        <v>2008</v>
      </c>
      <c r="C2739" t="s">
        <v>363</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Data_Completeness(LifeExpectancyData[[#This Row],[Life expectancy]:[Schooling]])</f>
        <v>1</v>
      </c>
    </row>
    <row r="2740" spans="1:23" x14ac:dyDescent="0.25">
      <c r="A2740" t="s">
        <v>544</v>
      </c>
      <c r="B2740">
        <v>2007</v>
      </c>
      <c r="C2740" t="s">
        <v>363</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Data_Completeness(LifeExpectancyData[[#This Row],[Life expectancy]:[Schooling]])</f>
        <v>1</v>
      </c>
    </row>
    <row r="2741" spans="1:23" x14ac:dyDescent="0.25">
      <c r="A2741" t="s">
        <v>544</v>
      </c>
      <c r="B2741">
        <v>2006</v>
      </c>
      <c r="C2741" t="s">
        <v>363</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Data_Completeness(LifeExpectancyData[[#This Row],[Life expectancy]:[Schooling]])</f>
        <v>1</v>
      </c>
    </row>
    <row r="2742" spans="1:23" x14ac:dyDescent="0.25">
      <c r="A2742" t="s">
        <v>544</v>
      </c>
      <c r="B2742">
        <v>2005</v>
      </c>
      <c r="C2742" t="s">
        <v>363</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Data_Completeness(LifeExpectancyData[[#This Row],[Life expectancy]:[Schooling]])</f>
        <v>1</v>
      </c>
    </row>
    <row r="2743" spans="1:23" x14ac:dyDescent="0.25">
      <c r="A2743" t="s">
        <v>544</v>
      </c>
      <c r="B2743">
        <v>2004</v>
      </c>
      <c r="C2743" t="s">
        <v>363</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Data_Completeness(LifeExpectancyData[[#This Row],[Life expectancy]:[Schooling]])</f>
        <v>1</v>
      </c>
    </row>
    <row r="2744" spans="1:23" x14ac:dyDescent="0.25">
      <c r="A2744" t="s">
        <v>544</v>
      </c>
      <c r="B2744">
        <v>2003</v>
      </c>
      <c r="C2744" t="s">
        <v>363</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Data_Completeness(LifeExpectancyData[[#This Row],[Life expectancy]:[Schooling]])</f>
        <v>1</v>
      </c>
    </row>
    <row r="2745" spans="1:23" x14ac:dyDescent="0.25">
      <c r="A2745" t="s">
        <v>544</v>
      </c>
      <c r="B2745">
        <v>2002</v>
      </c>
      <c r="C2745" t="s">
        <v>363</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Data_Completeness(LifeExpectancyData[[#This Row],[Life expectancy]:[Schooling]])</f>
        <v>1</v>
      </c>
    </row>
    <row r="2746" spans="1:23" x14ac:dyDescent="0.25">
      <c r="A2746" t="s">
        <v>544</v>
      </c>
      <c r="B2746">
        <v>2001</v>
      </c>
      <c r="C2746" t="s">
        <v>363</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Data_Completeness(LifeExpectancyData[[#This Row],[Life expectancy]:[Schooling]])</f>
        <v>1</v>
      </c>
    </row>
    <row r="2747" spans="1:23" x14ac:dyDescent="0.25">
      <c r="A2747" t="s">
        <v>544</v>
      </c>
      <c r="B2747">
        <v>2000</v>
      </c>
      <c r="C2747" t="s">
        <v>363</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Data_Completeness(LifeExpectancyData[[#This Row],[Life expectancy]:[Schooling]])</f>
        <v>1</v>
      </c>
    </row>
    <row r="2748" spans="1:23" x14ac:dyDescent="0.25">
      <c r="A2748" t="s">
        <v>545</v>
      </c>
      <c r="B2748">
        <v>2015</v>
      </c>
      <c r="C2748" t="s">
        <v>363</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Data_Completeness(LifeExpectancyData[[#This Row],[Life expectancy]:[Schooling]])</f>
        <v>0</v>
      </c>
    </row>
    <row r="2749" spans="1:23" x14ac:dyDescent="0.25">
      <c r="A2749" t="s">
        <v>545</v>
      </c>
      <c r="B2749">
        <v>2014</v>
      </c>
      <c r="C2749" t="s">
        <v>363</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Data_Completeness(LifeExpectancyData[[#This Row],[Life expectancy]:[Schooling]])</f>
        <v>0</v>
      </c>
    </row>
    <row r="2750" spans="1:23" x14ac:dyDescent="0.25">
      <c r="A2750" t="s">
        <v>545</v>
      </c>
      <c r="B2750">
        <v>2013</v>
      </c>
      <c r="C2750" t="s">
        <v>363</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Data_Completeness(LifeExpectancyData[[#This Row],[Life expectancy]:[Schooling]])</f>
        <v>0</v>
      </c>
    </row>
    <row r="2751" spans="1:23" x14ac:dyDescent="0.25">
      <c r="A2751" t="s">
        <v>545</v>
      </c>
      <c r="B2751">
        <v>2012</v>
      </c>
      <c r="C2751" t="s">
        <v>363</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Data_Completeness(LifeExpectancyData[[#This Row],[Life expectancy]:[Schooling]])</f>
        <v>0</v>
      </c>
    </row>
    <row r="2752" spans="1:23" x14ac:dyDescent="0.25">
      <c r="A2752" t="s">
        <v>545</v>
      </c>
      <c r="B2752">
        <v>2011</v>
      </c>
      <c r="C2752" t="s">
        <v>363</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Data_Completeness(LifeExpectancyData[[#This Row],[Life expectancy]:[Schooling]])</f>
        <v>0</v>
      </c>
    </row>
    <row r="2753" spans="1:23" x14ac:dyDescent="0.25">
      <c r="A2753" t="s">
        <v>545</v>
      </c>
      <c r="B2753">
        <v>2010</v>
      </c>
      <c r="C2753" t="s">
        <v>363</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Data_Completeness(LifeExpectancyData[[#This Row],[Life expectancy]:[Schooling]])</f>
        <v>0</v>
      </c>
    </row>
    <row r="2754" spans="1:23" x14ac:dyDescent="0.25">
      <c r="A2754" t="s">
        <v>545</v>
      </c>
      <c r="B2754">
        <v>2009</v>
      </c>
      <c r="C2754" t="s">
        <v>363</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Data_Completeness(LifeExpectancyData[[#This Row],[Life expectancy]:[Schooling]])</f>
        <v>0</v>
      </c>
    </row>
    <row r="2755" spans="1:23" x14ac:dyDescent="0.25">
      <c r="A2755" t="s">
        <v>545</v>
      </c>
      <c r="B2755">
        <v>2008</v>
      </c>
      <c r="C2755" t="s">
        <v>363</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Data_Completeness(LifeExpectancyData[[#This Row],[Life expectancy]:[Schooling]])</f>
        <v>0</v>
      </c>
    </row>
    <row r="2756" spans="1:23" x14ac:dyDescent="0.25">
      <c r="A2756" t="s">
        <v>545</v>
      </c>
      <c r="B2756">
        <v>2007</v>
      </c>
      <c r="C2756" t="s">
        <v>363</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Data_Completeness(LifeExpectancyData[[#This Row],[Life expectancy]:[Schooling]])</f>
        <v>0</v>
      </c>
    </row>
    <row r="2757" spans="1:23" x14ac:dyDescent="0.25">
      <c r="A2757" t="s">
        <v>545</v>
      </c>
      <c r="B2757">
        <v>2006</v>
      </c>
      <c r="C2757" t="s">
        <v>363</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Data_Completeness(LifeExpectancyData[[#This Row],[Life expectancy]:[Schooling]])</f>
        <v>0</v>
      </c>
    </row>
    <row r="2758" spans="1:23" x14ac:dyDescent="0.25">
      <c r="A2758" t="s">
        <v>545</v>
      </c>
      <c r="B2758">
        <v>2005</v>
      </c>
      <c r="C2758" t="s">
        <v>363</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Data_Completeness(LifeExpectancyData[[#This Row],[Life expectancy]:[Schooling]])</f>
        <v>0</v>
      </c>
    </row>
    <row r="2759" spans="1:23" x14ac:dyDescent="0.25">
      <c r="A2759" t="s">
        <v>545</v>
      </c>
      <c r="B2759">
        <v>2004</v>
      </c>
      <c r="C2759" t="s">
        <v>363</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Data_Completeness(LifeExpectancyData[[#This Row],[Life expectancy]:[Schooling]])</f>
        <v>0</v>
      </c>
    </row>
    <row r="2760" spans="1:23" x14ac:dyDescent="0.25">
      <c r="A2760" t="s">
        <v>545</v>
      </c>
      <c r="B2760">
        <v>2003</v>
      </c>
      <c r="C2760" t="s">
        <v>363</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Data_Completeness(LifeExpectancyData[[#This Row],[Life expectancy]:[Schooling]])</f>
        <v>0</v>
      </c>
    </row>
    <row r="2761" spans="1:23" x14ac:dyDescent="0.25">
      <c r="A2761" t="s">
        <v>545</v>
      </c>
      <c r="B2761">
        <v>2002</v>
      </c>
      <c r="C2761" t="s">
        <v>363</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Data_Completeness(LifeExpectancyData[[#This Row],[Life expectancy]:[Schooling]])</f>
        <v>0</v>
      </c>
    </row>
    <row r="2762" spans="1:23" x14ac:dyDescent="0.25">
      <c r="A2762" t="s">
        <v>545</v>
      </c>
      <c r="B2762">
        <v>2001</v>
      </c>
      <c r="C2762" t="s">
        <v>363</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Data_Completeness(LifeExpectancyData[[#This Row],[Life expectancy]:[Schooling]])</f>
        <v>0</v>
      </c>
    </row>
    <row r="2763" spans="1:23" x14ac:dyDescent="0.25">
      <c r="A2763" t="s">
        <v>545</v>
      </c>
      <c r="B2763">
        <v>2000</v>
      </c>
      <c r="C2763" t="s">
        <v>363</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Data_Completeness(LifeExpectancyData[[#This Row],[Life expectancy]:[Schooling]])</f>
        <v>0</v>
      </c>
    </row>
    <row r="2764" spans="1:23" x14ac:dyDescent="0.25">
      <c r="A2764" t="s">
        <v>546</v>
      </c>
      <c r="B2764">
        <v>2015</v>
      </c>
      <c r="C2764" t="s">
        <v>371</v>
      </c>
      <c r="D2764">
        <v>81.2</v>
      </c>
      <c r="E2764">
        <v>69</v>
      </c>
      <c r="F2764">
        <v>3</v>
      </c>
      <c r="G2764">
        <v>10.66</v>
      </c>
      <c r="H2764">
        <v>0</v>
      </c>
      <c r="J2764">
        <v>91</v>
      </c>
      <c r="K2764">
        <v>66.599999999999994</v>
      </c>
      <c r="L2764">
        <v>4</v>
      </c>
      <c r="M2764">
        <v>96</v>
      </c>
      <c r="O2764">
        <v>96</v>
      </c>
      <c r="P2764">
        <v>0.1</v>
      </c>
      <c r="S2764">
        <v>0.8</v>
      </c>
      <c r="T2764">
        <v>0.6</v>
      </c>
      <c r="W2764" t="b">
        <f>Data_Completeness(LifeExpectancyData[[#This Row],[Life expectancy]:[Schooling]])</f>
        <v>0</v>
      </c>
    </row>
    <row r="2765" spans="1:23" x14ac:dyDescent="0.25">
      <c r="A2765" t="s">
        <v>546</v>
      </c>
      <c r="B2765">
        <v>2014</v>
      </c>
      <c r="C2765" t="s">
        <v>371</v>
      </c>
      <c r="D2765">
        <v>81</v>
      </c>
      <c r="E2765">
        <v>71</v>
      </c>
      <c r="F2765">
        <v>3</v>
      </c>
      <c r="G2765">
        <v>10.37</v>
      </c>
      <c r="H2765">
        <v>0</v>
      </c>
      <c r="J2765">
        <v>133</v>
      </c>
      <c r="K2765">
        <v>66</v>
      </c>
      <c r="L2765">
        <v>4</v>
      </c>
      <c r="M2765">
        <v>95</v>
      </c>
      <c r="N2765">
        <v>9.1199999999999992</v>
      </c>
      <c r="O2765">
        <v>95</v>
      </c>
      <c r="P2765">
        <v>0.1</v>
      </c>
      <c r="S2765">
        <v>0.8</v>
      </c>
      <c r="T2765">
        <v>0.5</v>
      </c>
      <c r="W2765" t="b">
        <f>Data_Completeness(LifeExpectancyData[[#This Row],[Life expectancy]:[Schooling]])</f>
        <v>0</v>
      </c>
    </row>
    <row r="2766" spans="1:23" x14ac:dyDescent="0.25">
      <c r="A2766" t="s">
        <v>546</v>
      </c>
      <c r="B2766">
        <v>2013</v>
      </c>
      <c r="C2766" t="s">
        <v>371</v>
      </c>
      <c r="D2766">
        <v>87</v>
      </c>
      <c r="E2766">
        <v>72</v>
      </c>
      <c r="F2766">
        <v>3</v>
      </c>
      <c r="G2766">
        <v>10.32</v>
      </c>
      <c r="H2766">
        <v>0</v>
      </c>
      <c r="J2766">
        <v>1919</v>
      </c>
      <c r="K2766">
        <v>65.400000000000006</v>
      </c>
      <c r="L2766">
        <v>4</v>
      </c>
      <c r="M2766">
        <v>95</v>
      </c>
      <c r="N2766">
        <v>9.34</v>
      </c>
      <c r="O2766">
        <v>95</v>
      </c>
      <c r="P2766">
        <v>0.1</v>
      </c>
      <c r="S2766">
        <v>0.8</v>
      </c>
      <c r="T2766">
        <v>0.5</v>
      </c>
      <c r="W2766" t="b">
        <f>Data_Completeness(LifeExpectancyData[[#This Row],[Life expectancy]:[Schooling]])</f>
        <v>0</v>
      </c>
    </row>
    <row r="2767" spans="1:23" x14ac:dyDescent="0.25">
      <c r="A2767" t="s">
        <v>546</v>
      </c>
      <c r="B2767">
        <v>2012</v>
      </c>
      <c r="C2767" t="s">
        <v>371</v>
      </c>
      <c r="D2767">
        <v>86</v>
      </c>
      <c r="E2767">
        <v>72</v>
      </c>
      <c r="F2767">
        <v>3</v>
      </c>
      <c r="G2767">
        <v>10.42</v>
      </c>
      <c r="H2767">
        <v>0</v>
      </c>
      <c r="J2767">
        <v>2092</v>
      </c>
      <c r="K2767">
        <v>64.8</v>
      </c>
      <c r="L2767">
        <v>4</v>
      </c>
      <c r="M2767">
        <v>95</v>
      </c>
      <c r="N2767">
        <v>9.41</v>
      </c>
      <c r="O2767">
        <v>95</v>
      </c>
      <c r="P2767">
        <v>0.1</v>
      </c>
      <c r="S2767">
        <v>0.8</v>
      </c>
      <c r="T2767">
        <v>0.5</v>
      </c>
      <c r="W2767" t="b">
        <f>Data_Completeness(LifeExpectancyData[[#This Row],[Life expectancy]:[Schooling]])</f>
        <v>0</v>
      </c>
    </row>
    <row r="2768" spans="1:23" x14ac:dyDescent="0.25">
      <c r="A2768" t="s">
        <v>546</v>
      </c>
      <c r="B2768">
        <v>2011</v>
      </c>
      <c r="C2768" t="s">
        <v>371</v>
      </c>
      <c r="D2768">
        <v>86</v>
      </c>
      <c r="E2768">
        <v>74</v>
      </c>
      <c r="F2768">
        <v>3</v>
      </c>
      <c r="G2768">
        <v>10.68</v>
      </c>
      <c r="H2768">
        <v>0</v>
      </c>
      <c r="J2768">
        <v>1112</v>
      </c>
      <c r="K2768">
        <v>64.2</v>
      </c>
      <c r="L2768">
        <v>4</v>
      </c>
      <c r="M2768">
        <v>95</v>
      </c>
      <c r="N2768">
        <v>9.34</v>
      </c>
      <c r="O2768">
        <v>95</v>
      </c>
      <c r="P2768">
        <v>0.1</v>
      </c>
      <c r="S2768">
        <v>0.8</v>
      </c>
      <c r="T2768">
        <v>0.5</v>
      </c>
      <c r="W2768" t="b">
        <f>Data_Completeness(LifeExpectancyData[[#This Row],[Life expectancy]:[Schooling]])</f>
        <v>0</v>
      </c>
    </row>
    <row r="2769" spans="1:23" x14ac:dyDescent="0.25">
      <c r="A2769" t="s">
        <v>546</v>
      </c>
      <c r="B2769">
        <v>2010</v>
      </c>
      <c r="C2769" t="s">
        <v>371</v>
      </c>
      <c r="D2769">
        <v>82</v>
      </c>
      <c r="E2769">
        <v>77</v>
      </c>
      <c r="F2769">
        <v>3</v>
      </c>
      <c r="G2769">
        <v>10.88</v>
      </c>
      <c r="H2769">
        <v>0</v>
      </c>
      <c r="J2769">
        <v>443</v>
      </c>
      <c r="K2769">
        <v>63.6</v>
      </c>
      <c r="L2769">
        <v>4</v>
      </c>
      <c r="M2769">
        <v>94</v>
      </c>
      <c r="N2769">
        <v>9.51</v>
      </c>
      <c r="O2769">
        <v>94</v>
      </c>
      <c r="P2769">
        <v>0.1</v>
      </c>
      <c r="S2769">
        <v>0.8</v>
      </c>
      <c r="T2769">
        <v>0.5</v>
      </c>
      <c r="W2769" t="b">
        <f>Data_Completeness(LifeExpectancyData[[#This Row],[Life expectancy]:[Schooling]])</f>
        <v>0</v>
      </c>
    </row>
    <row r="2770" spans="1:23" x14ac:dyDescent="0.25">
      <c r="A2770" t="s">
        <v>546</v>
      </c>
      <c r="B2770">
        <v>2009</v>
      </c>
      <c r="C2770" t="s">
        <v>371</v>
      </c>
      <c r="D2770">
        <v>81</v>
      </c>
      <c r="E2770">
        <v>78</v>
      </c>
      <c r="F2770">
        <v>4</v>
      </c>
      <c r="G2770">
        <v>10.79</v>
      </c>
      <c r="H2770">
        <v>0</v>
      </c>
      <c r="J2770">
        <v>1212</v>
      </c>
      <c r="K2770">
        <v>63.1</v>
      </c>
      <c r="L2770">
        <v>4</v>
      </c>
      <c r="M2770">
        <v>93</v>
      </c>
      <c r="N2770">
        <v>9.81</v>
      </c>
      <c r="O2770">
        <v>93</v>
      </c>
      <c r="P2770">
        <v>0.1</v>
      </c>
      <c r="S2770">
        <v>0.8</v>
      </c>
      <c r="T2770">
        <v>0.5</v>
      </c>
      <c r="W2770" t="b">
        <f>Data_Completeness(LifeExpectancyData[[#This Row],[Life expectancy]:[Schooling]])</f>
        <v>0</v>
      </c>
    </row>
    <row r="2771" spans="1:23" x14ac:dyDescent="0.25">
      <c r="A2771" t="s">
        <v>546</v>
      </c>
      <c r="B2771">
        <v>2008</v>
      </c>
      <c r="C2771" t="s">
        <v>371</v>
      </c>
      <c r="D2771">
        <v>79.599999999999994</v>
      </c>
      <c r="E2771">
        <v>8</v>
      </c>
      <c r="F2771">
        <v>4</v>
      </c>
      <c r="G2771">
        <v>11.47</v>
      </c>
      <c r="H2771">
        <v>0</v>
      </c>
      <c r="J2771">
        <v>1445</v>
      </c>
      <c r="K2771">
        <v>62.5</v>
      </c>
      <c r="L2771">
        <v>4</v>
      </c>
      <c r="M2771">
        <v>92</v>
      </c>
      <c r="N2771">
        <v>8.85</v>
      </c>
      <c r="O2771">
        <v>92</v>
      </c>
      <c r="P2771">
        <v>0.1</v>
      </c>
      <c r="S2771">
        <v>0.8</v>
      </c>
      <c r="T2771">
        <v>0.5</v>
      </c>
      <c r="W2771" t="b">
        <f>Data_Completeness(LifeExpectancyData[[#This Row],[Life expectancy]:[Schooling]])</f>
        <v>0</v>
      </c>
    </row>
    <row r="2772" spans="1:23" x14ac:dyDescent="0.25">
      <c r="A2772" t="s">
        <v>546</v>
      </c>
      <c r="B2772">
        <v>2007</v>
      </c>
      <c r="C2772" t="s">
        <v>371</v>
      </c>
      <c r="D2772">
        <v>79.5</v>
      </c>
      <c r="E2772">
        <v>8</v>
      </c>
      <c r="F2772">
        <v>4</v>
      </c>
      <c r="G2772">
        <v>11.84</v>
      </c>
      <c r="H2772">
        <v>0</v>
      </c>
      <c r="J2772">
        <v>1022</v>
      </c>
      <c r="K2772">
        <v>61.9</v>
      </c>
      <c r="L2772">
        <v>4</v>
      </c>
      <c r="M2772">
        <v>92</v>
      </c>
      <c r="N2772">
        <v>8.42</v>
      </c>
      <c r="O2772">
        <v>92</v>
      </c>
      <c r="P2772">
        <v>0.1</v>
      </c>
      <c r="S2772">
        <v>0.7</v>
      </c>
      <c r="T2772">
        <v>0.5</v>
      </c>
      <c r="W2772" t="b">
        <f>Data_Completeness(LifeExpectancyData[[#This Row],[Life expectancy]:[Schooling]])</f>
        <v>0</v>
      </c>
    </row>
    <row r="2773" spans="1:23" x14ac:dyDescent="0.25">
      <c r="A2773" t="s">
        <v>546</v>
      </c>
      <c r="B2773">
        <v>2006</v>
      </c>
      <c r="C2773" t="s">
        <v>371</v>
      </c>
      <c r="D2773">
        <v>79.3</v>
      </c>
      <c r="E2773">
        <v>82</v>
      </c>
      <c r="F2773">
        <v>4</v>
      </c>
      <c r="G2773">
        <v>11.61</v>
      </c>
      <c r="H2773">
        <v>0</v>
      </c>
      <c r="J2773">
        <v>764</v>
      </c>
      <c r="K2773">
        <v>61.3</v>
      </c>
      <c r="L2773">
        <v>4</v>
      </c>
      <c r="M2773">
        <v>92</v>
      </c>
      <c r="N2773">
        <v>8.36</v>
      </c>
      <c r="O2773">
        <v>92</v>
      </c>
      <c r="P2773">
        <v>0.1</v>
      </c>
      <c r="S2773">
        <v>0.7</v>
      </c>
      <c r="T2773">
        <v>0.5</v>
      </c>
      <c r="W2773" t="b">
        <f>Data_Completeness(LifeExpectancyData[[#This Row],[Life expectancy]:[Schooling]])</f>
        <v>0</v>
      </c>
    </row>
    <row r="2774" spans="1:23" x14ac:dyDescent="0.25">
      <c r="A2774" t="s">
        <v>546</v>
      </c>
      <c r="B2774">
        <v>2005</v>
      </c>
      <c r="C2774" t="s">
        <v>371</v>
      </c>
      <c r="D2774">
        <v>79</v>
      </c>
      <c r="E2774">
        <v>82</v>
      </c>
      <c r="F2774">
        <v>4</v>
      </c>
      <c r="G2774">
        <v>12.05</v>
      </c>
      <c r="H2774">
        <v>0</v>
      </c>
      <c r="J2774">
        <v>79</v>
      </c>
      <c r="K2774">
        <v>6.7</v>
      </c>
      <c r="L2774">
        <v>4</v>
      </c>
      <c r="M2774">
        <v>91</v>
      </c>
      <c r="N2774">
        <v>8.24</v>
      </c>
      <c r="O2774">
        <v>91</v>
      </c>
      <c r="P2774">
        <v>0.1</v>
      </c>
      <c r="S2774">
        <v>0.7</v>
      </c>
      <c r="T2774">
        <v>0.5</v>
      </c>
      <c r="W2774" t="b">
        <f>Data_Completeness(LifeExpectancyData[[#This Row],[Life expectancy]:[Schooling]])</f>
        <v>0</v>
      </c>
    </row>
    <row r="2775" spans="1:23" x14ac:dyDescent="0.25">
      <c r="A2775" t="s">
        <v>546</v>
      </c>
      <c r="B2775">
        <v>2004</v>
      </c>
      <c r="C2775" t="s">
        <v>371</v>
      </c>
      <c r="D2775">
        <v>78.8</v>
      </c>
      <c r="E2775">
        <v>83</v>
      </c>
      <c r="F2775">
        <v>4</v>
      </c>
      <c r="G2775">
        <v>12.22</v>
      </c>
      <c r="H2775">
        <v>0</v>
      </c>
      <c r="J2775">
        <v>189</v>
      </c>
      <c r="K2775">
        <v>6.1</v>
      </c>
      <c r="L2775">
        <v>4</v>
      </c>
      <c r="M2775">
        <v>92</v>
      </c>
      <c r="N2775">
        <v>7.98</v>
      </c>
      <c r="O2775">
        <v>92</v>
      </c>
      <c r="P2775">
        <v>0.1</v>
      </c>
      <c r="S2775">
        <v>0.7</v>
      </c>
      <c r="T2775">
        <v>0.5</v>
      </c>
      <c r="W2775" t="b">
        <f>Data_Completeness(LifeExpectancyData[[#This Row],[Life expectancy]:[Schooling]])</f>
        <v>0</v>
      </c>
    </row>
    <row r="2776" spans="1:23" x14ac:dyDescent="0.25">
      <c r="A2776" t="s">
        <v>546</v>
      </c>
      <c r="B2776">
        <v>2003</v>
      </c>
      <c r="C2776" t="s">
        <v>371</v>
      </c>
      <c r="D2776">
        <v>78.3</v>
      </c>
      <c r="E2776">
        <v>86</v>
      </c>
      <c r="F2776">
        <v>4</v>
      </c>
      <c r="G2776">
        <v>11.85</v>
      </c>
      <c r="H2776">
        <v>0</v>
      </c>
      <c r="J2776">
        <v>460</v>
      </c>
      <c r="K2776">
        <v>59.5</v>
      </c>
      <c r="L2776">
        <v>4</v>
      </c>
      <c r="M2776">
        <v>91</v>
      </c>
      <c r="N2776">
        <v>7.81</v>
      </c>
      <c r="O2776">
        <v>91</v>
      </c>
      <c r="P2776">
        <v>0.1</v>
      </c>
      <c r="S2776">
        <v>0.7</v>
      </c>
      <c r="T2776">
        <v>0.5</v>
      </c>
      <c r="W2776" t="b">
        <f>Data_Completeness(LifeExpectancyData[[#This Row],[Life expectancy]:[Schooling]])</f>
        <v>0</v>
      </c>
    </row>
    <row r="2777" spans="1:23" x14ac:dyDescent="0.25">
      <c r="A2777" t="s">
        <v>546</v>
      </c>
      <c r="B2777">
        <v>2002</v>
      </c>
      <c r="C2777" t="s">
        <v>371</v>
      </c>
      <c r="D2777">
        <v>78.2</v>
      </c>
      <c r="E2777">
        <v>87</v>
      </c>
      <c r="F2777">
        <v>4</v>
      </c>
      <c r="G2777">
        <v>11.44</v>
      </c>
      <c r="H2777">
        <v>0</v>
      </c>
      <c r="J2777">
        <v>314</v>
      </c>
      <c r="K2777">
        <v>58.8</v>
      </c>
      <c r="L2777">
        <v>4</v>
      </c>
      <c r="M2777">
        <v>91</v>
      </c>
      <c r="N2777">
        <v>7.57</v>
      </c>
      <c r="O2777">
        <v>91</v>
      </c>
      <c r="P2777">
        <v>0.1</v>
      </c>
      <c r="S2777">
        <v>0.7</v>
      </c>
      <c r="T2777">
        <v>0.5</v>
      </c>
      <c r="W2777" t="b">
        <f>Data_Completeness(LifeExpectancyData[[#This Row],[Life expectancy]:[Schooling]])</f>
        <v>0</v>
      </c>
    </row>
    <row r="2778" spans="1:23" x14ac:dyDescent="0.25">
      <c r="A2778" t="s">
        <v>546</v>
      </c>
      <c r="B2778">
        <v>2001</v>
      </c>
      <c r="C2778" t="s">
        <v>371</v>
      </c>
      <c r="D2778">
        <v>78</v>
      </c>
      <c r="E2778">
        <v>88</v>
      </c>
      <c r="F2778">
        <v>4</v>
      </c>
      <c r="G2778">
        <v>10.91</v>
      </c>
      <c r="H2778">
        <v>0</v>
      </c>
      <c r="J2778">
        <v>73</v>
      </c>
      <c r="K2778">
        <v>58.2</v>
      </c>
      <c r="L2778">
        <v>4</v>
      </c>
      <c r="M2778">
        <v>91</v>
      </c>
      <c r="N2778">
        <v>7.31</v>
      </c>
      <c r="O2778">
        <v>91</v>
      </c>
      <c r="P2778">
        <v>0.1</v>
      </c>
      <c r="S2778">
        <v>0.7</v>
      </c>
      <c r="T2778">
        <v>0.5</v>
      </c>
      <c r="W2778" t="b">
        <f>Data_Completeness(LifeExpectancyData[[#This Row],[Life expectancy]:[Schooling]])</f>
        <v>0</v>
      </c>
    </row>
    <row r="2779" spans="1:23" x14ac:dyDescent="0.25">
      <c r="A2779" t="s">
        <v>546</v>
      </c>
      <c r="B2779">
        <v>2000</v>
      </c>
      <c r="C2779" t="s">
        <v>371</v>
      </c>
      <c r="D2779">
        <v>77.8</v>
      </c>
      <c r="E2779">
        <v>89</v>
      </c>
      <c r="F2779">
        <v>4</v>
      </c>
      <c r="G2779">
        <v>10.59</v>
      </c>
      <c r="H2779">
        <v>0</v>
      </c>
      <c r="J2779">
        <v>104</v>
      </c>
      <c r="K2779">
        <v>57.5</v>
      </c>
      <c r="L2779">
        <v>5</v>
      </c>
      <c r="M2779">
        <v>91</v>
      </c>
      <c r="N2779">
        <v>6.94</v>
      </c>
      <c r="O2779">
        <v>91</v>
      </c>
      <c r="P2779">
        <v>0.1</v>
      </c>
      <c r="S2779">
        <v>0.7</v>
      </c>
      <c r="T2779">
        <v>0.5</v>
      </c>
      <c r="W2779" t="b">
        <f>Data_Completeness(LifeExpectancyData[[#This Row],[Life expectancy]:[Schooling]])</f>
        <v>0</v>
      </c>
    </row>
    <row r="2780" spans="1:23" x14ac:dyDescent="0.25">
      <c r="A2780" t="s">
        <v>547</v>
      </c>
      <c r="B2780">
        <v>2015</v>
      </c>
      <c r="C2780" t="s">
        <v>363</v>
      </c>
      <c r="D2780">
        <v>61.8</v>
      </c>
      <c r="E2780">
        <v>279</v>
      </c>
      <c r="F2780">
        <v>85</v>
      </c>
      <c r="H2780">
        <v>0</v>
      </c>
      <c r="I2780">
        <v>98</v>
      </c>
      <c r="J2780">
        <v>30</v>
      </c>
      <c r="K2780">
        <v>23.8</v>
      </c>
      <c r="L2780">
        <v>119</v>
      </c>
      <c r="M2780">
        <v>96</v>
      </c>
      <c r="O2780">
        <v>98</v>
      </c>
      <c r="P2780">
        <v>1.4</v>
      </c>
      <c r="S2780">
        <v>6.7</v>
      </c>
      <c r="T2780">
        <v>6.5</v>
      </c>
      <c r="W2780" t="b">
        <f>Data_Completeness(LifeExpectancyData[[#This Row],[Life expectancy]:[Schooling]])</f>
        <v>0</v>
      </c>
    </row>
    <row r="2781" spans="1:23" x14ac:dyDescent="0.25">
      <c r="A2781" t="s">
        <v>547</v>
      </c>
      <c r="B2781">
        <v>2014</v>
      </c>
      <c r="C2781" t="s">
        <v>363</v>
      </c>
      <c r="D2781">
        <v>67</v>
      </c>
      <c r="E2781">
        <v>34</v>
      </c>
      <c r="F2781">
        <v>86</v>
      </c>
      <c r="G2781">
        <v>0.01</v>
      </c>
      <c r="H2781">
        <v>0</v>
      </c>
      <c r="I2781">
        <v>97</v>
      </c>
      <c r="J2781">
        <v>88</v>
      </c>
      <c r="K2781">
        <v>23.2</v>
      </c>
      <c r="L2781">
        <v>121</v>
      </c>
      <c r="M2781">
        <v>97</v>
      </c>
      <c r="N2781">
        <v>5.58</v>
      </c>
      <c r="O2781">
        <v>97</v>
      </c>
      <c r="P2781">
        <v>1.4</v>
      </c>
      <c r="S2781">
        <v>6.8</v>
      </c>
      <c r="T2781">
        <v>6.6</v>
      </c>
      <c r="W2781" t="b">
        <f>Data_Completeness(LifeExpectancyData[[#This Row],[Life expectancy]:[Schooling]])</f>
        <v>0</v>
      </c>
    </row>
    <row r="2782" spans="1:23" x14ac:dyDescent="0.25">
      <c r="A2782" t="s">
        <v>547</v>
      </c>
      <c r="B2782">
        <v>2013</v>
      </c>
      <c r="C2782" t="s">
        <v>363</v>
      </c>
      <c r="D2782">
        <v>59.7</v>
      </c>
      <c r="E2782">
        <v>323</v>
      </c>
      <c r="F2782">
        <v>86</v>
      </c>
      <c r="G2782">
        <v>4.2</v>
      </c>
      <c r="H2782">
        <v>0</v>
      </c>
      <c r="I2782">
        <v>91</v>
      </c>
      <c r="J2782">
        <v>185</v>
      </c>
      <c r="K2782">
        <v>22.5</v>
      </c>
      <c r="L2782">
        <v>124</v>
      </c>
      <c r="M2782">
        <v>91</v>
      </c>
      <c r="N2782">
        <v>5.57</v>
      </c>
      <c r="O2782">
        <v>91</v>
      </c>
      <c r="P2782">
        <v>2.1</v>
      </c>
      <c r="S2782">
        <v>6.8</v>
      </c>
      <c r="T2782">
        <v>6.7</v>
      </c>
      <c r="W2782" t="b">
        <f>Data_Completeness(LifeExpectancyData[[#This Row],[Life expectancy]:[Schooling]])</f>
        <v>0</v>
      </c>
    </row>
    <row r="2783" spans="1:23" x14ac:dyDescent="0.25">
      <c r="A2783" t="s">
        <v>547</v>
      </c>
      <c r="B2783">
        <v>2012</v>
      </c>
      <c r="C2783" t="s">
        <v>363</v>
      </c>
      <c r="D2783">
        <v>58.6</v>
      </c>
      <c r="E2783">
        <v>348</v>
      </c>
      <c r="F2783">
        <v>87</v>
      </c>
      <c r="G2783">
        <v>3.98</v>
      </c>
      <c r="H2783">
        <v>0</v>
      </c>
      <c r="I2783">
        <v>92</v>
      </c>
      <c r="J2783">
        <v>1668</v>
      </c>
      <c r="K2783">
        <v>21.9</v>
      </c>
      <c r="L2783">
        <v>126</v>
      </c>
      <c r="M2783">
        <v>9</v>
      </c>
      <c r="N2783">
        <v>5.72</v>
      </c>
      <c r="O2783">
        <v>92</v>
      </c>
      <c r="P2783">
        <v>2.4</v>
      </c>
      <c r="S2783">
        <v>6.9</v>
      </c>
      <c r="T2783">
        <v>6.8</v>
      </c>
      <c r="W2783" t="b">
        <f>Data_Completeness(LifeExpectancyData[[#This Row],[Life expectancy]:[Schooling]])</f>
        <v>0</v>
      </c>
    </row>
    <row r="2784" spans="1:23" x14ac:dyDescent="0.25">
      <c r="A2784" t="s">
        <v>547</v>
      </c>
      <c r="B2784">
        <v>2011</v>
      </c>
      <c r="C2784" t="s">
        <v>363</v>
      </c>
      <c r="D2784">
        <v>58.3</v>
      </c>
      <c r="E2784">
        <v>348</v>
      </c>
      <c r="F2784">
        <v>88</v>
      </c>
      <c r="G2784">
        <v>4.04</v>
      </c>
      <c r="H2784">
        <v>0</v>
      </c>
      <c r="I2784">
        <v>9</v>
      </c>
      <c r="J2784">
        <v>1622</v>
      </c>
      <c r="K2784">
        <v>21.3</v>
      </c>
      <c r="L2784">
        <v>128</v>
      </c>
      <c r="M2784">
        <v>88</v>
      </c>
      <c r="N2784">
        <v>5.72</v>
      </c>
      <c r="O2784">
        <v>9</v>
      </c>
      <c r="P2784">
        <v>3.1</v>
      </c>
      <c r="S2784">
        <v>7</v>
      </c>
      <c r="T2784">
        <v>6.9</v>
      </c>
      <c r="W2784" t="b">
        <f>Data_Completeness(LifeExpectancyData[[#This Row],[Life expectancy]:[Schooling]])</f>
        <v>0</v>
      </c>
    </row>
    <row r="2785" spans="1:23" x14ac:dyDescent="0.25">
      <c r="A2785" t="s">
        <v>547</v>
      </c>
      <c r="B2785">
        <v>2010</v>
      </c>
      <c r="C2785" t="s">
        <v>363</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Data_Completeness(LifeExpectancyData[[#This Row],[Life expectancy]:[Schooling]])</f>
        <v>0</v>
      </c>
    </row>
    <row r="2786" spans="1:23" x14ac:dyDescent="0.25">
      <c r="A2786" t="s">
        <v>547</v>
      </c>
      <c r="B2786">
        <v>2009</v>
      </c>
      <c r="C2786" t="s">
        <v>363</v>
      </c>
      <c r="D2786">
        <v>56.9</v>
      </c>
      <c r="E2786">
        <v>368</v>
      </c>
      <c r="F2786">
        <v>91</v>
      </c>
      <c r="G2786">
        <v>3.97</v>
      </c>
      <c r="H2786">
        <v>0</v>
      </c>
      <c r="I2786">
        <v>85</v>
      </c>
      <c r="J2786">
        <v>1574</v>
      </c>
      <c r="K2786">
        <v>2.2000000000000002</v>
      </c>
      <c r="L2786">
        <v>135</v>
      </c>
      <c r="M2786">
        <v>88</v>
      </c>
      <c r="N2786">
        <v>3.97</v>
      </c>
      <c r="O2786">
        <v>85</v>
      </c>
      <c r="P2786">
        <v>6.4</v>
      </c>
      <c r="S2786">
        <v>7.2</v>
      </c>
      <c r="T2786">
        <v>7.2</v>
      </c>
      <c r="W2786" t="b">
        <f>Data_Completeness(LifeExpectancyData[[#This Row],[Life expectancy]:[Schooling]])</f>
        <v>0</v>
      </c>
    </row>
    <row r="2787" spans="1:23" x14ac:dyDescent="0.25">
      <c r="A2787" t="s">
        <v>547</v>
      </c>
      <c r="B2787">
        <v>2008</v>
      </c>
      <c r="C2787" t="s">
        <v>363</v>
      </c>
      <c r="D2787">
        <v>56.2</v>
      </c>
      <c r="E2787">
        <v>376</v>
      </c>
      <c r="F2787">
        <v>92</v>
      </c>
      <c r="G2787">
        <v>3.44</v>
      </c>
      <c r="H2787">
        <v>0</v>
      </c>
      <c r="I2787">
        <v>86</v>
      </c>
      <c r="J2787">
        <v>3413</v>
      </c>
      <c r="K2787">
        <v>19.600000000000001</v>
      </c>
      <c r="L2787">
        <v>138</v>
      </c>
      <c r="M2787">
        <v>89</v>
      </c>
      <c r="N2787">
        <v>4.21</v>
      </c>
      <c r="O2787">
        <v>86</v>
      </c>
      <c r="P2787">
        <v>7.4</v>
      </c>
      <c r="S2787">
        <v>7.3</v>
      </c>
      <c r="T2787">
        <v>7.3</v>
      </c>
      <c r="W2787" t="b">
        <f>Data_Completeness(LifeExpectancyData[[#This Row],[Life expectancy]:[Schooling]])</f>
        <v>0</v>
      </c>
    </row>
    <row r="2788" spans="1:23" x14ac:dyDescent="0.25">
      <c r="A2788" t="s">
        <v>547</v>
      </c>
      <c r="B2788">
        <v>2007</v>
      </c>
      <c r="C2788" t="s">
        <v>363</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Data_Completeness(LifeExpectancyData[[#This Row],[Life expectancy]:[Schooling]])</f>
        <v>0</v>
      </c>
    </row>
    <row r="2789" spans="1:23" x14ac:dyDescent="0.25">
      <c r="A2789" t="s">
        <v>547</v>
      </c>
      <c r="B2789">
        <v>2006</v>
      </c>
      <c r="C2789" t="s">
        <v>363</v>
      </c>
      <c r="D2789">
        <v>53.1</v>
      </c>
      <c r="E2789">
        <v>437</v>
      </c>
      <c r="F2789">
        <v>96</v>
      </c>
      <c r="G2789">
        <v>4.07</v>
      </c>
      <c r="H2789">
        <v>0</v>
      </c>
      <c r="I2789">
        <v>9</v>
      </c>
      <c r="J2789">
        <v>2362</v>
      </c>
      <c r="K2789">
        <v>18.600000000000001</v>
      </c>
      <c r="L2789">
        <v>145</v>
      </c>
      <c r="M2789">
        <v>91</v>
      </c>
      <c r="N2789">
        <v>6.86</v>
      </c>
      <c r="O2789">
        <v>9</v>
      </c>
      <c r="P2789">
        <v>9.4</v>
      </c>
      <c r="S2789">
        <v>7.6</v>
      </c>
      <c r="T2789">
        <v>7.5</v>
      </c>
      <c r="W2789" t="b">
        <f>Data_Completeness(LifeExpectancyData[[#This Row],[Life expectancy]:[Schooling]])</f>
        <v>0</v>
      </c>
    </row>
    <row r="2790" spans="1:23" x14ac:dyDescent="0.25">
      <c r="A2790" t="s">
        <v>547</v>
      </c>
      <c r="B2790">
        <v>2005</v>
      </c>
      <c r="C2790" t="s">
        <v>363</v>
      </c>
      <c r="D2790">
        <v>52.2</v>
      </c>
      <c r="E2790">
        <v>449</v>
      </c>
      <c r="F2790">
        <v>97</v>
      </c>
      <c r="G2790">
        <v>3.94</v>
      </c>
      <c r="H2790">
        <v>0</v>
      </c>
      <c r="I2790">
        <v>9</v>
      </c>
      <c r="J2790">
        <v>23</v>
      </c>
      <c r="K2790">
        <v>18.100000000000001</v>
      </c>
      <c r="L2790">
        <v>149</v>
      </c>
      <c r="M2790">
        <v>91</v>
      </c>
      <c r="N2790">
        <v>4.66</v>
      </c>
      <c r="O2790">
        <v>9</v>
      </c>
      <c r="P2790">
        <v>10</v>
      </c>
      <c r="S2790">
        <v>7.7</v>
      </c>
      <c r="T2790">
        <v>7.6</v>
      </c>
      <c r="W2790" t="b">
        <f>Data_Completeness(LifeExpectancyData[[#This Row],[Life expectancy]:[Schooling]])</f>
        <v>0</v>
      </c>
    </row>
    <row r="2791" spans="1:23" x14ac:dyDescent="0.25">
      <c r="A2791" t="s">
        <v>547</v>
      </c>
      <c r="B2791">
        <v>2004</v>
      </c>
      <c r="C2791" t="s">
        <v>363</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Data_Completeness(LifeExpectancyData[[#This Row],[Life expectancy]:[Schooling]])</f>
        <v>0</v>
      </c>
    </row>
    <row r="2792" spans="1:23" x14ac:dyDescent="0.25">
      <c r="A2792" t="s">
        <v>547</v>
      </c>
      <c r="B2792">
        <v>2003</v>
      </c>
      <c r="C2792" t="s">
        <v>363</v>
      </c>
      <c r="D2792">
        <v>58</v>
      </c>
      <c r="E2792">
        <v>459</v>
      </c>
      <c r="F2792">
        <v>103</v>
      </c>
      <c r="G2792">
        <v>2.34</v>
      </c>
      <c r="H2792">
        <v>0</v>
      </c>
      <c r="I2792">
        <v>95</v>
      </c>
      <c r="J2792">
        <v>1673</v>
      </c>
      <c r="K2792">
        <v>17.2</v>
      </c>
      <c r="L2792">
        <v>160</v>
      </c>
      <c r="M2792">
        <v>97</v>
      </c>
      <c r="N2792">
        <v>4.5999999999999996</v>
      </c>
      <c r="O2792">
        <v>95</v>
      </c>
      <c r="P2792">
        <v>11.5</v>
      </c>
      <c r="S2792">
        <v>7.9</v>
      </c>
      <c r="T2792">
        <v>7.9</v>
      </c>
      <c r="W2792" t="b">
        <f>Data_Completeness(LifeExpectancyData[[#This Row],[Life expectancy]:[Schooling]])</f>
        <v>0</v>
      </c>
    </row>
    <row r="2793" spans="1:23" x14ac:dyDescent="0.25">
      <c r="A2793" t="s">
        <v>547</v>
      </c>
      <c r="B2793">
        <v>2002</v>
      </c>
      <c r="C2793" t="s">
        <v>363</v>
      </c>
      <c r="D2793">
        <v>52</v>
      </c>
      <c r="E2793">
        <v>46</v>
      </c>
      <c r="F2793">
        <v>106</v>
      </c>
      <c r="G2793">
        <v>3.37</v>
      </c>
      <c r="H2793">
        <v>0</v>
      </c>
      <c r="I2793">
        <v>89</v>
      </c>
      <c r="J2793">
        <v>5131</v>
      </c>
      <c r="K2793">
        <v>16.8</v>
      </c>
      <c r="L2793">
        <v>166</v>
      </c>
      <c r="M2793">
        <v>91</v>
      </c>
      <c r="N2793">
        <v>3.59</v>
      </c>
      <c r="O2793">
        <v>89</v>
      </c>
      <c r="P2793">
        <v>12.1</v>
      </c>
      <c r="S2793">
        <v>8</v>
      </c>
      <c r="T2793">
        <v>8</v>
      </c>
      <c r="W2793" t="b">
        <f>Data_Completeness(LifeExpectancyData[[#This Row],[Life expectancy]:[Schooling]])</f>
        <v>0</v>
      </c>
    </row>
    <row r="2794" spans="1:23" x14ac:dyDescent="0.25">
      <c r="A2794" t="s">
        <v>547</v>
      </c>
      <c r="B2794">
        <v>2001</v>
      </c>
      <c r="C2794" t="s">
        <v>363</v>
      </c>
      <c r="D2794">
        <v>49.6</v>
      </c>
      <c r="E2794">
        <v>46</v>
      </c>
      <c r="F2794">
        <v>110</v>
      </c>
      <c r="G2794">
        <v>4.09</v>
      </c>
      <c r="H2794">
        <v>0</v>
      </c>
      <c r="J2794">
        <v>11847</v>
      </c>
      <c r="K2794">
        <v>16.399999999999999</v>
      </c>
      <c r="L2794">
        <v>173</v>
      </c>
      <c r="M2794">
        <v>65</v>
      </c>
      <c r="N2794">
        <v>3.28</v>
      </c>
      <c r="O2794">
        <v>87</v>
      </c>
      <c r="P2794">
        <v>12.5</v>
      </c>
      <c r="S2794">
        <v>8.1999999999999993</v>
      </c>
      <c r="T2794">
        <v>8.1</v>
      </c>
      <c r="W2794" t="b">
        <f>Data_Completeness(LifeExpectancyData[[#This Row],[Life expectancy]:[Schooling]])</f>
        <v>0</v>
      </c>
    </row>
    <row r="2795" spans="1:23" x14ac:dyDescent="0.25">
      <c r="A2795" t="s">
        <v>547</v>
      </c>
      <c r="B2795">
        <v>2000</v>
      </c>
      <c r="C2795" t="s">
        <v>363</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Data_Completeness(LifeExpectancyData[[#This Row],[Life expectancy]:[Schooling]])</f>
        <v>0</v>
      </c>
    </row>
    <row r="2796" spans="1:23" x14ac:dyDescent="0.25">
      <c r="A2796" t="s">
        <v>548</v>
      </c>
      <c r="B2796">
        <v>2015</v>
      </c>
      <c r="C2796" t="s">
        <v>371</v>
      </c>
      <c r="D2796">
        <v>79.3</v>
      </c>
      <c r="E2796">
        <v>13</v>
      </c>
      <c r="F2796">
        <v>23</v>
      </c>
      <c r="H2796">
        <v>0</v>
      </c>
      <c r="I2796">
        <v>92</v>
      </c>
      <c r="J2796">
        <v>188</v>
      </c>
      <c r="K2796">
        <v>69.599999999999994</v>
      </c>
      <c r="L2796">
        <v>26</v>
      </c>
      <c r="M2796">
        <v>93</v>
      </c>
      <c r="O2796">
        <v>95</v>
      </c>
      <c r="P2796">
        <v>0.1</v>
      </c>
      <c r="S2796">
        <v>0.8</v>
      </c>
      <c r="T2796">
        <v>0.6</v>
      </c>
      <c r="W2796" t="b">
        <f>Data_Completeness(LifeExpectancyData[[#This Row],[Life expectancy]:[Schooling]])</f>
        <v>0</v>
      </c>
    </row>
    <row r="2797" spans="1:23" x14ac:dyDescent="0.25">
      <c r="A2797" t="s">
        <v>548</v>
      </c>
      <c r="B2797">
        <v>2014</v>
      </c>
      <c r="C2797" t="s">
        <v>371</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Data_Completeness(LifeExpectancyData[[#This Row],[Life expectancy]:[Schooling]])</f>
        <v>0</v>
      </c>
    </row>
    <row r="2798" spans="1:23" x14ac:dyDescent="0.25">
      <c r="A2798" t="s">
        <v>548</v>
      </c>
      <c r="B2798">
        <v>2013</v>
      </c>
      <c r="C2798" t="s">
        <v>371</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Data_Completeness(LifeExpectancyData[[#This Row],[Life expectancy]:[Schooling]])</f>
        <v>0</v>
      </c>
    </row>
    <row r="2799" spans="1:23" x14ac:dyDescent="0.25">
      <c r="A2799" t="s">
        <v>548</v>
      </c>
      <c r="B2799">
        <v>2012</v>
      </c>
      <c r="C2799" t="s">
        <v>371</v>
      </c>
      <c r="D2799">
        <v>78.8</v>
      </c>
      <c r="E2799">
        <v>16</v>
      </c>
      <c r="F2799">
        <v>24</v>
      </c>
      <c r="G2799">
        <v>8.82</v>
      </c>
      <c r="H2799">
        <v>0</v>
      </c>
      <c r="I2799">
        <v>9</v>
      </c>
      <c r="J2799">
        <v>55</v>
      </c>
      <c r="K2799">
        <v>68</v>
      </c>
      <c r="L2799">
        <v>28</v>
      </c>
      <c r="M2799">
        <v>93</v>
      </c>
      <c r="N2799">
        <v>17.2</v>
      </c>
      <c r="O2799">
        <v>94</v>
      </c>
      <c r="P2799">
        <v>0.1</v>
      </c>
      <c r="S2799">
        <v>0.7</v>
      </c>
      <c r="T2799">
        <v>0.6</v>
      </c>
      <c r="W2799" t="b">
        <f>Data_Completeness(LifeExpectancyData[[#This Row],[Life expectancy]:[Schooling]])</f>
        <v>0</v>
      </c>
    </row>
    <row r="2800" spans="1:23" x14ac:dyDescent="0.25">
      <c r="A2800" t="s">
        <v>548</v>
      </c>
      <c r="B2800">
        <v>2011</v>
      </c>
      <c r="C2800" t="s">
        <v>371</v>
      </c>
      <c r="D2800">
        <v>78.7</v>
      </c>
      <c r="E2800">
        <v>16</v>
      </c>
      <c r="F2800">
        <v>25</v>
      </c>
      <c r="G2800">
        <v>8.67</v>
      </c>
      <c r="H2800">
        <v>0</v>
      </c>
      <c r="I2800">
        <v>91</v>
      </c>
      <c r="J2800">
        <v>220</v>
      </c>
      <c r="K2800">
        <v>67.5</v>
      </c>
      <c r="L2800">
        <v>29</v>
      </c>
      <c r="M2800">
        <v>94</v>
      </c>
      <c r="N2800">
        <v>17.600000000000001</v>
      </c>
      <c r="O2800">
        <v>96</v>
      </c>
      <c r="P2800">
        <v>0.1</v>
      </c>
      <c r="S2800">
        <v>0.7</v>
      </c>
      <c r="T2800">
        <v>0.6</v>
      </c>
      <c r="W2800" t="b">
        <f>Data_Completeness(LifeExpectancyData[[#This Row],[Life expectancy]:[Schooling]])</f>
        <v>0</v>
      </c>
    </row>
    <row r="2801" spans="1:23" x14ac:dyDescent="0.25">
      <c r="A2801" t="s">
        <v>548</v>
      </c>
      <c r="B2801">
        <v>2010</v>
      </c>
      <c r="C2801" t="s">
        <v>371</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Data_Completeness(LifeExpectancyData[[#This Row],[Life expectancy]:[Schooling]])</f>
        <v>0</v>
      </c>
    </row>
    <row r="2802" spans="1:23" x14ac:dyDescent="0.25">
      <c r="A2802" t="s">
        <v>548</v>
      </c>
      <c r="B2802">
        <v>2009</v>
      </c>
      <c r="C2802" t="s">
        <v>371</v>
      </c>
      <c r="D2802">
        <v>78.5</v>
      </c>
      <c r="E2802">
        <v>18</v>
      </c>
      <c r="F2802">
        <v>26</v>
      </c>
      <c r="G2802">
        <v>8.7100000000000009</v>
      </c>
      <c r="H2802">
        <v>0</v>
      </c>
      <c r="I2802">
        <v>92</v>
      </c>
      <c r="J2802">
        <v>71</v>
      </c>
      <c r="K2802">
        <v>66.3</v>
      </c>
      <c r="L2802">
        <v>31</v>
      </c>
      <c r="M2802">
        <v>93</v>
      </c>
      <c r="N2802">
        <v>17</v>
      </c>
      <c r="O2802">
        <v>95</v>
      </c>
      <c r="P2802">
        <v>0.1</v>
      </c>
      <c r="S2802">
        <v>0.7</v>
      </c>
      <c r="T2802">
        <v>0.6</v>
      </c>
      <c r="W2802" t="b">
        <f>Data_Completeness(LifeExpectancyData[[#This Row],[Life expectancy]:[Schooling]])</f>
        <v>0</v>
      </c>
    </row>
    <row r="2803" spans="1:23" x14ac:dyDescent="0.25">
      <c r="A2803" t="s">
        <v>548</v>
      </c>
      <c r="B2803">
        <v>2008</v>
      </c>
      <c r="C2803" t="s">
        <v>371</v>
      </c>
      <c r="D2803">
        <v>78.2</v>
      </c>
      <c r="E2803">
        <v>18</v>
      </c>
      <c r="F2803">
        <v>27</v>
      </c>
      <c r="G2803">
        <v>8.74</v>
      </c>
      <c r="H2803">
        <v>0</v>
      </c>
      <c r="I2803">
        <v>94</v>
      </c>
      <c r="J2803">
        <v>140</v>
      </c>
      <c r="K2803">
        <v>65.7</v>
      </c>
      <c r="L2803">
        <v>31</v>
      </c>
      <c r="M2803">
        <v>94</v>
      </c>
      <c r="N2803">
        <v>16.2</v>
      </c>
      <c r="O2803">
        <v>96</v>
      </c>
      <c r="P2803">
        <v>0.1</v>
      </c>
      <c r="S2803">
        <v>0.7</v>
      </c>
      <c r="T2803">
        <v>0.6</v>
      </c>
      <c r="W2803" t="b">
        <f>Data_Completeness(LifeExpectancyData[[#This Row],[Life expectancy]:[Schooling]])</f>
        <v>0</v>
      </c>
    </row>
    <row r="2804" spans="1:23" x14ac:dyDescent="0.25">
      <c r="A2804" t="s">
        <v>548</v>
      </c>
      <c r="B2804">
        <v>2007</v>
      </c>
      <c r="C2804" t="s">
        <v>371</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Data_Completeness(LifeExpectancyData[[#This Row],[Life expectancy]:[Schooling]])</f>
        <v>0</v>
      </c>
    </row>
    <row r="2805" spans="1:23" x14ac:dyDescent="0.25">
      <c r="A2805" t="s">
        <v>548</v>
      </c>
      <c r="B2805">
        <v>2006</v>
      </c>
      <c r="C2805" t="s">
        <v>371</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Data_Completeness(LifeExpectancyData[[#This Row],[Life expectancy]:[Schooling]])</f>
        <v>0</v>
      </c>
    </row>
    <row r="2806" spans="1:23" x14ac:dyDescent="0.25">
      <c r="A2806" t="s">
        <v>548</v>
      </c>
      <c r="B2806">
        <v>2005</v>
      </c>
      <c r="C2806" t="s">
        <v>371</v>
      </c>
      <c r="D2806">
        <v>77.5</v>
      </c>
      <c r="E2806">
        <v>112</v>
      </c>
      <c r="F2806">
        <v>28</v>
      </c>
      <c r="G2806">
        <v>8.52</v>
      </c>
      <c r="H2806">
        <v>0</v>
      </c>
      <c r="I2806">
        <v>93</v>
      </c>
      <c r="J2806">
        <v>66</v>
      </c>
      <c r="K2806">
        <v>63.8</v>
      </c>
      <c r="L2806">
        <v>33</v>
      </c>
      <c r="M2806">
        <v>92</v>
      </c>
      <c r="N2806">
        <v>15.15</v>
      </c>
      <c r="O2806">
        <v>96</v>
      </c>
      <c r="P2806">
        <v>0.1</v>
      </c>
      <c r="S2806">
        <v>0.7</v>
      </c>
      <c r="T2806">
        <v>0.6</v>
      </c>
      <c r="W2806" t="b">
        <f>Data_Completeness(LifeExpectancyData[[#This Row],[Life expectancy]:[Schooling]])</f>
        <v>0</v>
      </c>
    </row>
    <row r="2807" spans="1:23" x14ac:dyDescent="0.25">
      <c r="A2807" t="s">
        <v>548</v>
      </c>
      <c r="B2807">
        <v>2004</v>
      </c>
      <c r="C2807" t="s">
        <v>371</v>
      </c>
      <c r="D2807">
        <v>77.5</v>
      </c>
      <c r="E2807">
        <v>111</v>
      </c>
      <c r="F2807">
        <v>28</v>
      </c>
      <c r="G2807">
        <v>8.48</v>
      </c>
      <c r="H2807">
        <v>0</v>
      </c>
      <c r="I2807">
        <v>92</v>
      </c>
      <c r="J2807">
        <v>37</v>
      </c>
      <c r="K2807">
        <v>63.1</v>
      </c>
      <c r="L2807">
        <v>33</v>
      </c>
      <c r="M2807">
        <v>92</v>
      </c>
      <c r="N2807">
        <v>15.14</v>
      </c>
      <c r="O2807">
        <v>96</v>
      </c>
      <c r="P2807">
        <v>0.1</v>
      </c>
      <c r="S2807">
        <v>0.7</v>
      </c>
      <c r="T2807">
        <v>0.6</v>
      </c>
      <c r="W2807" t="b">
        <f>Data_Completeness(LifeExpectancyData[[#This Row],[Life expectancy]:[Schooling]])</f>
        <v>0</v>
      </c>
    </row>
    <row r="2808" spans="1:23" x14ac:dyDescent="0.25">
      <c r="A2808" t="s">
        <v>548</v>
      </c>
      <c r="B2808">
        <v>2003</v>
      </c>
      <c r="C2808" t="s">
        <v>371</v>
      </c>
      <c r="D2808">
        <v>77.2</v>
      </c>
      <c r="E2808">
        <v>114</v>
      </c>
      <c r="F2808">
        <v>28</v>
      </c>
      <c r="G2808">
        <v>8.4</v>
      </c>
      <c r="H2808">
        <v>0</v>
      </c>
      <c r="I2808">
        <v>92</v>
      </c>
      <c r="J2808">
        <v>56</v>
      </c>
      <c r="K2808">
        <v>62.4</v>
      </c>
      <c r="L2808">
        <v>33</v>
      </c>
      <c r="M2808">
        <v>91</v>
      </c>
      <c r="N2808">
        <v>15.6</v>
      </c>
      <c r="O2808">
        <v>96</v>
      </c>
      <c r="P2808">
        <v>0.1</v>
      </c>
      <c r="S2808">
        <v>0.7</v>
      </c>
      <c r="T2808">
        <v>0.6</v>
      </c>
      <c r="W2808" t="b">
        <f>Data_Completeness(LifeExpectancyData[[#This Row],[Life expectancy]:[Schooling]])</f>
        <v>0</v>
      </c>
    </row>
    <row r="2809" spans="1:23" x14ac:dyDescent="0.25">
      <c r="A2809" t="s">
        <v>548</v>
      </c>
      <c r="B2809">
        <v>2002</v>
      </c>
      <c r="C2809" t="s">
        <v>371</v>
      </c>
      <c r="D2809">
        <v>77</v>
      </c>
      <c r="E2809">
        <v>115</v>
      </c>
      <c r="F2809">
        <v>28</v>
      </c>
      <c r="G2809">
        <v>8.33</v>
      </c>
      <c r="H2809">
        <v>0</v>
      </c>
      <c r="I2809">
        <v>88</v>
      </c>
      <c r="J2809">
        <v>41</v>
      </c>
      <c r="K2809">
        <v>61.7</v>
      </c>
      <c r="L2809">
        <v>33</v>
      </c>
      <c r="M2809">
        <v>9</v>
      </c>
      <c r="N2809">
        <v>14.55</v>
      </c>
      <c r="O2809">
        <v>94</v>
      </c>
      <c r="P2809">
        <v>0.1</v>
      </c>
      <c r="S2809">
        <v>0.8</v>
      </c>
      <c r="T2809">
        <v>0.6</v>
      </c>
      <c r="W2809" t="b">
        <f>Data_Completeness(LifeExpectancyData[[#This Row],[Life expectancy]:[Schooling]])</f>
        <v>0</v>
      </c>
    </row>
    <row r="2810" spans="1:23" x14ac:dyDescent="0.25">
      <c r="A2810" t="s">
        <v>548</v>
      </c>
      <c r="B2810">
        <v>2001</v>
      </c>
      <c r="C2810" t="s">
        <v>371</v>
      </c>
      <c r="D2810">
        <v>76.900000000000006</v>
      </c>
      <c r="E2810">
        <v>115</v>
      </c>
      <c r="F2810">
        <v>28</v>
      </c>
      <c r="G2810">
        <v>8.25</v>
      </c>
      <c r="H2810">
        <v>0</v>
      </c>
      <c r="I2810">
        <v>89</v>
      </c>
      <c r="J2810">
        <v>116</v>
      </c>
      <c r="K2810">
        <v>6.9</v>
      </c>
      <c r="L2810">
        <v>33</v>
      </c>
      <c r="M2810">
        <v>89</v>
      </c>
      <c r="N2810">
        <v>13.73</v>
      </c>
      <c r="O2810">
        <v>94</v>
      </c>
      <c r="P2810">
        <v>0.1</v>
      </c>
      <c r="S2810">
        <v>0.8</v>
      </c>
      <c r="T2810">
        <v>0.6</v>
      </c>
      <c r="W2810" t="b">
        <f>Data_Completeness(LifeExpectancyData[[#This Row],[Life expectancy]:[Schooling]])</f>
        <v>0</v>
      </c>
    </row>
    <row r="2811" spans="1:23" x14ac:dyDescent="0.25">
      <c r="A2811" t="s">
        <v>548</v>
      </c>
      <c r="B2811">
        <v>2000</v>
      </c>
      <c r="C2811" t="s">
        <v>371</v>
      </c>
      <c r="D2811">
        <v>76.8</v>
      </c>
      <c r="E2811">
        <v>114</v>
      </c>
      <c r="F2811">
        <v>28</v>
      </c>
      <c r="G2811">
        <v>8.2100000000000009</v>
      </c>
      <c r="H2811">
        <v>0</v>
      </c>
      <c r="I2811">
        <v>9</v>
      </c>
      <c r="J2811">
        <v>85</v>
      </c>
      <c r="K2811">
        <v>6.1</v>
      </c>
      <c r="L2811">
        <v>33</v>
      </c>
      <c r="M2811">
        <v>9</v>
      </c>
      <c r="N2811">
        <v>13.7</v>
      </c>
      <c r="O2811">
        <v>94</v>
      </c>
      <c r="P2811">
        <v>0.1</v>
      </c>
      <c r="S2811">
        <v>0.8</v>
      </c>
      <c r="T2811">
        <v>0.7</v>
      </c>
      <c r="W2811" t="b">
        <f>Data_Completeness(LifeExpectancyData[[#This Row],[Life expectancy]:[Schooling]])</f>
        <v>0</v>
      </c>
    </row>
    <row r="2812" spans="1:23" x14ac:dyDescent="0.25">
      <c r="A2812" t="s">
        <v>549</v>
      </c>
      <c r="B2812">
        <v>2015</v>
      </c>
      <c r="C2812" t="s">
        <v>363</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Data_Completeness(LifeExpectancyData[[#This Row],[Life expectancy]:[Schooling]])</f>
        <v>0</v>
      </c>
    </row>
    <row r="2813" spans="1:23" x14ac:dyDescent="0.25">
      <c r="A2813" t="s">
        <v>549</v>
      </c>
      <c r="B2813">
        <v>2014</v>
      </c>
      <c r="C2813" t="s">
        <v>363</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Data_Completeness(LifeExpectancyData[[#This Row],[Life expectancy]:[Schooling]])</f>
        <v>1</v>
      </c>
    </row>
    <row r="2814" spans="1:23" x14ac:dyDescent="0.25">
      <c r="A2814" t="s">
        <v>549</v>
      </c>
      <c r="B2814">
        <v>2013</v>
      </c>
      <c r="C2814" t="s">
        <v>363</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Data_Completeness(LifeExpectancyData[[#This Row],[Life expectancy]:[Schooling]])</f>
        <v>1</v>
      </c>
    </row>
    <row r="2815" spans="1:23" x14ac:dyDescent="0.25">
      <c r="A2815" t="s">
        <v>549</v>
      </c>
      <c r="B2815">
        <v>2012</v>
      </c>
      <c r="C2815" t="s">
        <v>363</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Data_Completeness(LifeExpectancyData[[#This Row],[Life expectancy]:[Schooling]])</f>
        <v>1</v>
      </c>
    </row>
    <row r="2816" spans="1:23" x14ac:dyDescent="0.25">
      <c r="A2816" t="s">
        <v>549</v>
      </c>
      <c r="B2816">
        <v>2011</v>
      </c>
      <c r="C2816" t="s">
        <v>363</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Data_Completeness(LifeExpectancyData[[#This Row],[Life expectancy]:[Schooling]])</f>
        <v>1</v>
      </c>
    </row>
    <row r="2817" spans="1:23" x14ac:dyDescent="0.25">
      <c r="A2817" t="s">
        <v>549</v>
      </c>
      <c r="B2817">
        <v>2010</v>
      </c>
      <c r="C2817" t="s">
        <v>363</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Data_Completeness(LifeExpectancyData[[#This Row],[Life expectancy]:[Schooling]])</f>
        <v>1</v>
      </c>
    </row>
    <row r="2818" spans="1:23" x14ac:dyDescent="0.25">
      <c r="A2818" t="s">
        <v>549</v>
      </c>
      <c r="B2818">
        <v>2009</v>
      </c>
      <c r="C2818" t="s">
        <v>363</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Data_Completeness(LifeExpectancyData[[#This Row],[Life expectancy]:[Schooling]])</f>
        <v>1</v>
      </c>
    </row>
    <row r="2819" spans="1:23" x14ac:dyDescent="0.25">
      <c r="A2819" t="s">
        <v>549</v>
      </c>
      <c r="B2819">
        <v>2008</v>
      </c>
      <c r="C2819" t="s">
        <v>363</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Data_Completeness(LifeExpectancyData[[#This Row],[Life expectancy]:[Schooling]])</f>
        <v>1</v>
      </c>
    </row>
    <row r="2820" spans="1:23" x14ac:dyDescent="0.25">
      <c r="A2820" t="s">
        <v>549</v>
      </c>
      <c r="B2820">
        <v>2007</v>
      </c>
      <c r="C2820" t="s">
        <v>363</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Data_Completeness(LifeExpectancyData[[#This Row],[Life expectancy]:[Schooling]])</f>
        <v>1</v>
      </c>
    </row>
    <row r="2821" spans="1:23" x14ac:dyDescent="0.25">
      <c r="A2821" t="s">
        <v>549</v>
      </c>
      <c r="B2821">
        <v>2006</v>
      </c>
      <c r="C2821" t="s">
        <v>363</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Data_Completeness(LifeExpectancyData[[#This Row],[Life expectancy]:[Schooling]])</f>
        <v>1</v>
      </c>
    </row>
    <row r="2822" spans="1:23" x14ac:dyDescent="0.25">
      <c r="A2822" t="s">
        <v>549</v>
      </c>
      <c r="B2822">
        <v>2005</v>
      </c>
      <c r="C2822" t="s">
        <v>363</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Data_Completeness(LifeExpectancyData[[#This Row],[Life expectancy]:[Schooling]])</f>
        <v>1</v>
      </c>
    </row>
    <row r="2823" spans="1:23" x14ac:dyDescent="0.25">
      <c r="A2823" t="s">
        <v>549</v>
      </c>
      <c r="B2823">
        <v>2004</v>
      </c>
      <c r="C2823" t="s">
        <v>363</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Data_Completeness(LifeExpectancyData[[#This Row],[Life expectancy]:[Schooling]])</f>
        <v>1</v>
      </c>
    </row>
    <row r="2824" spans="1:23" x14ac:dyDescent="0.25">
      <c r="A2824" t="s">
        <v>549</v>
      </c>
      <c r="B2824">
        <v>2003</v>
      </c>
      <c r="C2824" t="s">
        <v>363</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Data_Completeness(LifeExpectancyData[[#This Row],[Life expectancy]:[Schooling]])</f>
        <v>1</v>
      </c>
    </row>
    <row r="2825" spans="1:23" x14ac:dyDescent="0.25">
      <c r="A2825" t="s">
        <v>549</v>
      </c>
      <c r="B2825">
        <v>2002</v>
      </c>
      <c r="C2825" t="s">
        <v>363</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Data_Completeness(LifeExpectancyData[[#This Row],[Life expectancy]:[Schooling]])</f>
        <v>1</v>
      </c>
    </row>
    <row r="2826" spans="1:23" x14ac:dyDescent="0.25">
      <c r="A2826" t="s">
        <v>549</v>
      </c>
      <c r="B2826">
        <v>2001</v>
      </c>
      <c r="C2826" t="s">
        <v>363</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Data_Completeness(LifeExpectancyData[[#This Row],[Life expectancy]:[Schooling]])</f>
        <v>1</v>
      </c>
    </row>
    <row r="2827" spans="1:23" x14ac:dyDescent="0.25">
      <c r="A2827" t="s">
        <v>549</v>
      </c>
      <c r="B2827">
        <v>2000</v>
      </c>
      <c r="C2827" t="s">
        <v>363</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Data_Completeness(LifeExpectancyData[[#This Row],[Life expectancy]:[Schooling]])</f>
        <v>1</v>
      </c>
    </row>
    <row r="2828" spans="1:23" x14ac:dyDescent="0.25">
      <c r="A2828" t="s">
        <v>550</v>
      </c>
      <c r="B2828">
        <v>2015</v>
      </c>
      <c r="C2828" t="s">
        <v>363</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Data_Completeness(LifeExpectancyData[[#This Row],[Life expectancy]:[Schooling]])</f>
        <v>0</v>
      </c>
    </row>
    <row r="2829" spans="1:23" x14ac:dyDescent="0.25">
      <c r="A2829" t="s">
        <v>550</v>
      </c>
      <c r="B2829">
        <v>2014</v>
      </c>
      <c r="C2829" t="s">
        <v>363</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Data_Completeness(LifeExpectancyData[[#This Row],[Life expectancy]:[Schooling]])</f>
        <v>1</v>
      </c>
    </row>
    <row r="2830" spans="1:23" x14ac:dyDescent="0.25">
      <c r="A2830" t="s">
        <v>550</v>
      </c>
      <c r="B2830">
        <v>2013</v>
      </c>
      <c r="C2830" t="s">
        <v>363</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Data_Completeness(LifeExpectancyData[[#This Row],[Life expectancy]:[Schooling]])</f>
        <v>1</v>
      </c>
    </row>
    <row r="2831" spans="1:23" x14ac:dyDescent="0.25">
      <c r="A2831" t="s">
        <v>550</v>
      </c>
      <c r="B2831">
        <v>2012</v>
      </c>
      <c r="C2831" t="s">
        <v>363</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Data_Completeness(LifeExpectancyData[[#This Row],[Life expectancy]:[Schooling]])</f>
        <v>1</v>
      </c>
    </row>
    <row r="2832" spans="1:23" x14ac:dyDescent="0.25">
      <c r="A2832" t="s">
        <v>550</v>
      </c>
      <c r="B2832">
        <v>2011</v>
      </c>
      <c r="C2832" t="s">
        <v>363</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Data_Completeness(LifeExpectancyData[[#This Row],[Life expectancy]:[Schooling]])</f>
        <v>1</v>
      </c>
    </row>
    <row r="2833" spans="1:23" x14ac:dyDescent="0.25">
      <c r="A2833" t="s">
        <v>550</v>
      </c>
      <c r="B2833">
        <v>2010</v>
      </c>
      <c r="C2833" t="s">
        <v>363</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Data_Completeness(LifeExpectancyData[[#This Row],[Life expectancy]:[Schooling]])</f>
        <v>1</v>
      </c>
    </row>
    <row r="2834" spans="1:23" x14ac:dyDescent="0.25">
      <c r="A2834" t="s">
        <v>550</v>
      </c>
      <c r="B2834">
        <v>2009</v>
      </c>
      <c r="C2834" t="s">
        <v>363</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Data_Completeness(LifeExpectancyData[[#This Row],[Life expectancy]:[Schooling]])</f>
        <v>1</v>
      </c>
    </row>
    <row r="2835" spans="1:23" x14ac:dyDescent="0.25">
      <c r="A2835" t="s">
        <v>550</v>
      </c>
      <c r="B2835">
        <v>2008</v>
      </c>
      <c r="C2835" t="s">
        <v>363</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Data_Completeness(LifeExpectancyData[[#This Row],[Life expectancy]:[Schooling]])</f>
        <v>1</v>
      </c>
    </row>
    <row r="2836" spans="1:23" x14ac:dyDescent="0.25">
      <c r="A2836" t="s">
        <v>550</v>
      </c>
      <c r="B2836">
        <v>2007</v>
      </c>
      <c r="C2836" t="s">
        <v>363</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Data_Completeness(LifeExpectancyData[[#This Row],[Life expectancy]:[Schooling]])</f>
        <v>1</v>
      </c>
    </row>
    <row r="2837" spans="1:23" x14ac:dyDescent="0.25">
      <c r="A2837" t="s">
        <v>550</v>
      </c>
      <c r="B2837">
        <v>2006</v>
      </c>
      <c r="C2837" t="s">
        <v>363</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Data_Completeness(LifeExpectancyData[[#This Row],[Life expectancy]:[Schooling]])</f>
        <v>1</v>
      </c>
    </row>
    <row r="2838" spans="1:23" x14ac:dyDescent="0.25">
      <c r="A2838" t="s">
        <v>550</v>
      </c>
      <c r="B2838">
        <v>2005</v>
      </c>
      <c r="C2838" t="s">
        <v>363</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Data_Completeness(LifeExpectancyData[[#This Row],[Life expectancy]:[Schooling]])</f>
        <v>1</v>
      </c>
    </row>
    <row r="2839" spans="1:23" x14ac:dyDescent="0.25">
      <c r="A2839" t="s">
        <v>550</v>
      </c>
      <c r="B2839">
        <v>2004</v>
      </c>
      <c r="C2839" t="s">
        <v>363</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Data_Completeness(LifeExpectancyData[[#This Row],[Life expectancy]:[Schooling]])</f>
        <v>1</v>
      </c>
    </row>
    <row r="2840" spans="1:23" x14ac:dyDescent="0.25">
      <c r="A2840" t="s">
        <v>550</v>
      </c>
      <c r="B2840">
        <v>2003</v>
      </c>
      <c r="C2840" t="s">
        <v>363</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Data_Completeness(LifeExpectancyData[[#This Row],[Life expectancy]:[Schooling]])</f>
        <v>1</v>
      </c>
    </row>
    <row r="2841" spans="1:23" x14ac:dyDescent="0.25">
      <c r="A2841" t="s">
        <v>550</v>
      </c>
      <c r="B2841">
        <v>2002</v>
      </c>
      <c r="C2841" t="s">
        <v>363</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Data_Completeness(LifeExpectancyData[[#This Row],[Life expectancy]:[Schooling]])</f>
        <v>1</v>
      </c>
    </row>
    <row r="2842" spans="1:23" x14ac:dyDescent="0.25">
      <c r="A2842" t="s">
        <v>550</v>
      </c>
      <c r="B2842">
        <v>2001</v>
      </c>
      <c r="C2842" t="s">
        <v>363</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Data_Completeness(LifeExpectancyData[[#This Row],[Life expectancy]:[Schooling]])</f>
        <v>0</v>
      </c>
    </row>
    <row r="2843" spans="1:23" x14ac:dyDescent="0.25">
      <c r="A2843" t="s">
        <v>550</v>
      </c>
      <c r="B2843">
        <v>2000</v>
      </c>
      <c r="C2843" t="s">
        <v>363</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Data_Completeness(LifeExpectancyData[[#This Row],[Life expectancy]:[Schooling]])</f>
        <v>0</v>
      </c>
    </row>
    <row r="2844" spans="1:23" x14ac:dyDescent="0.25">
      <c r="A2844" t="s">
        <v>551</v>
      </c>
      <c r="B2844">
        <v>2015</v>
      </c>
      <c r="C2844" t="s">
        <v>363</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Data_Completeness(LifeExpectancyData[[#This Row],[Life expectancy]:[Schooling]])</f>
        <v>0</v>
      </c>
    </row>
    <row r="2845" spans="1:23" x14ac:dyDescent="0.25">
      <c r="A2845" t="s">
        <v>551</v>
      </c>
      <c r="B2845">
        <v>2014</v>
      </c>
      <c r="C2845" t="s">
        <v>363</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Data_Completeness(LifeExpectancyData[[#This Row],[Life expectancy]:[Schooling]])</f>
        <v>1</v>
      </c>
    </row>
    <row r="2846" spans="1:23" x14ac:dyDescent="0.25">
      <c r="A2846" t="s">
        <v>551</v>
      </c>
      <c r="B2846">
        <v>2013</v>
      </c>
      <c r="C2846" t="s">
        <v>363</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Data_Completeness(LifeExpectancyData[[#This Row],[Life expectancy]:[Schooling]])</f>
        <v>1</v>
      </c>
    </row>
    <row r="2847" spans="1:23" x14ac:dyDescent="0.25">
      <c r="A2847" t="s">
        <v>551</v>
      </c>
      <c r="B2847">
        <v>2012</v>
      </c>
      <c r="C2847" t="s">
        <v>363</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Data_Completeness(LifeExpectancyData[[#This Row],[Life expectancy]:[Schooling]])</f>
        <v>1</v>
      </c>
    </row>
    <row r="2848" spans="1:23" x14ac:dyDescent="0.25">
      <c r="A2848" t="s">
        <v>551</v>
      </c>
      <c r="B2848">
        <v>2011</v>
      </c>
      <c r="C2848" t="s">
        <v>363</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Data_Completeness(LifeExpectancyData[[#This Row],[Life expectancy]:[Schooling]])</f>
        <v>1</v>
      </c>
    </row>
    <row r="2849" spans="1:23" x14ac:dyDescent="0.25">
      <c r="A2849" t="s">
        <v>551</v>
      </c>
      <c r="B2849">
        <v>2010</v>
      </c>
      <c r="C2849" t="s">
        <v>363</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Data_Completeness(LifeExpectancyData[[#This Row],[Life expectancy]:[Schooling]])</f>
        <v>1</v>
      </c>
    </row>
    <row r="2850" spans="1:23" x14ac:dyDescent="0.25">
      <c r="A2850" t="s">
        <v>551</v>
      </c>
      <c r="B2850">
        <v>2009</v>
      </c>
      <c r="C2850" t="s">
        <v>363</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Data_Completeness(LifeExpectancyData[[#This Row],[Life expectancy]:[Schooling]])</f>
        <v>1</v>
      </c>
    </row>
    <row r="2851" spans="1:23" x14ac:dyDescent="0.25">
      <c r="A2851" t="s">
        <v>551</v>
      </c>
      <c r="B2851">
        <v>2008</v>
      </c>
      <c r="C2851" t="s">
        <v>363</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Data_Completeness(LifeExpectancyData[[#This Row],[Life expectancy]:[Schooling]])</f>
        <v>1</v>
      </c>
    </row>
    <row r="2852" spans="1:23" x14ac:dyDescent="0.25">
      <c r="A2852" t="s">
        <v>551</v>
      </c>
      <c r="B2852">
        <v>2007</v>
      </c>
      <c r="C2852" t="s">
        <v>363</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Data_Completeness(LifeExpectancyData[[#This Row],[Life expectancy]:[Schooling]])</f>
        <v>1</v>
      </c>
    </row>
    <row r="2853" spans="1:23" x14ac:dyDescent="0.25">
      <c r="A2853" t="s">
        <v>551</v>
      </c>
      <c r="B2853">
        <v>2006</v>
      </c>
      <c r="C2853" t="s">
        <v>363</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Data_Completeness(LifeExpectancyData[[#This Row],[Life expectancy]:[Schooling]])</f>
        <v>1</v>
      </c>
    </row>
    <row r="2854" spans="1:23" x14ac:dyDescent="0.25">
      <c r="A2854" t="s">
        <v>551</v>
      </c>
      <c r="B2854">
        <v>2005</v>
      </c>
      <c r="C2854" t="s">
        <v>363</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Data_Completeness(LifeExpectancyData[[#This Row],[Life expectancy]:[Schooling]])</f>
        <v>1</v>
      </c>
    </row>
    <row r="2855" spans="1:23" x14ac:dyDescent="0.25">
      <c r="A2855" t="s">
        <v>551</v>
      </c>
      <c r="B2855">
        <v>2004</v>
      </c>
      <c r="C2855" t="s">
        <v>363</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Data_Completeness(LifeExpectancyData[[#This Row],[Life expectancy]:[Schooling]])</f>
        <v>1</v>
      </c>
    </row>
    <row r="2856" spans="1:23" x14ac:dyDescent="0.25">
      <c r="A2856" t="s">
        <v>551</v>
      </c>
      <c r="B2856">
        <v>2003</v>
      </c>
      <c r="C2856" t="s">
        <v>363</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Data_Completeness(LifeExpectancyData[[#This Row],[Life expectancy]:[Schooling]])</f>
        <v>1</v>
      </c>
    </row>
    <row r="2857" spans="1:23" x14ac:dyDescent="0.25">
      <c r="A2857" t="s">
        <v>551</v>
      </c>
      <c r="B2857">
        <v>2002</v>
      </c>
      <c r="C2857" t="s">
        <v>363</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Data_Completeness(LifeExpectancyData[[#This Row],[Life expectancy]:[Schooling]])</f>
        <v>1</v>
      </c>
    </row>
    <row r="2858" spans="1:23" x14ac:dyDescent="0.25">
      <c r="A2858" t="s">
        <v>551</v>
      </c>
      <c r="B2858">
        <v>2001</v>
      </c>
      <c r="C2858" t="s">
        <v>363</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Data_Completeness(LifeExpectancyData[[#This Row],[Life expectancy]:[Schooling]])</f>
        <v>1</v>
      </c>
    </row>
    <row r="2859" spans="1:23" x14ac:dyDescent="0.25">
      <c r="A2859" t="s">
        <v>551</v>
      </c>
      <c r="B2859">
        <v>2000</v>
      </c>
      <c r="C2859" t="s">
        <v>363</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Data_Completeness(LifeExpectancyData[[#This Row],[Life expectancy]:[Schooling]])</f>
        <v>1</v>
      </c>
    </row>
    <row r="2860" spans="1:23" x14ac:dyDescent="0.25">
      <c r="A2860" t="s">
        <v>552</v>
      </c>
      <c r="B2860">
        <v>2015</v>
      </c>
      <c r="C2860" t="s">
        <v>363</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Data_Completeness(LifeExpectancyData[[#This Row],[Life expectancy]:[Schooling]])</f>
        <v>0</v>
      </c>
    </row>
    <row r="2861" spans="1:23" x14ac:dyDescent="0.25">
      <c r="A2861" t="s">
        <v>552</v>
      </c>
      <c r="B2861">
        <v>2014</v>
      </c>
      <c r="C2861" t="s">
        <v>363</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Data_Completeness(LifeExpectancyData[[#This Row],[Life expectancy]:[Schooling]])</f>
        <v>0</v>
      </c>
    </row>
    <row r="2862" spans="1:23" x14ac:dyDescent="0.25">
      <c r="A2862" t="s">
        <v>552</v>
      </c>
      <c r="B2862">
        <v>2013</v>
      </c>
      <c r="C2862" t="s">
        <v>363</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Data_Completeness(LifeExpectancyData[[#This Row],[Life expectancy]:[Schooling]])</f>
        <v>0</v>
      </c>
    </row>
    <row r="2863" spans="1:23" x14ac:dyDescent="0.25">
      <c r="A2863" t="s">
        <v>552</v>
      </c>
      <c r="B2863">
        <v>2012</v>
      </c>
      <c r="C2863" t="s">
        <v>363</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Data_Completeness(LifeExpectancyData[[#This Row],[Life expectancy]:[Schooling]])</f>
        <v>0</v>
      </c>
    </row>
    <row r="2864" spans="1:23" x14ac:dyDescent="0.25">
      <c r="A2864" t="s">
        <v>552</v>
      </c>
      <c r="B2864">
        <v>2011</v>
      </c>
      <c r="C2864" t="s">
        <v>363</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Data_Completeness(LifeExpectancyData[[#This Row],[Life expectancy]:[Schooling]])</f>
        <v>0</v>
      </c>
    </row>
    <row r="2865" spans="1:23" x14ac:dyDescent="0.25">
      <c r="A2865" t="s">
        <v>552</v>
      </c>
      <c r="B2865">
        <v>2010</v>
      </c>
      <c r="C2865" t="s">
        <v>363</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Data_Completeness(LifeExpectancyData[[#This Row],[Life expectancy]:[Schooling]])</f>
        <v>0</v>
      </c>
    </row>
    <row r="2866" spans="1:23" x14ac:dyDescent="0.25">
      <c r="A2866" t="s">
        <v>552</v>
      </c>
      <c r="B2866">
        <v>2009</v>
      </c>
      <c r="C2866" t="s">
        <v>363</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Data_Completeness(LifeExpectancyData[[#This Row],[Life expectancy]:[Schooling]])</f>
        <v>0</v>
      </c>
    </row>
    <row r="2867" spans="1:23" x14ac:dyDescent="0.25">
      <c r="A2867" t="s">
        <v>552</v>
      </c>
      <c r="B2867">
        <v>2008</v>
      </c>
      <c r="C2867" t="s">
        <v>363</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Data_Completeness(LifeExpectancyData[[#This Row],[Life expectancy]:[Schooling]])</f>
        <v>0</v>
      </c>
    </row>
    <row r="2868" spans="1:23" x14ac:dyDescent="0.25">
      <c r="A2868" t="s">
        <v>552</v>
      </c>
      <c r="B2868">
        <v>2007</v>
      </c>
      <c r="C2868" t="s">
        <v>363</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Data_Completeness(LifeExpectancyData[[#This Row],[Life expectancy]:[Schooling]])</f>
        <v>0</v>
      </c>
    </row>
    <row r="2869" spans="1:23" x14ac:dyDescent="0.25">
      <c r="A2869" t="s">
        <v>552</v>
      </c>
      <c r="B2869">
        <v>2006</v>
      </c>
      <c r="C2869" t="s">
        <v>363</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Data_Completeness(LifeExpectancyData[[#This Row],[Life expectancy]:[Schooling]])</f>
        <v>0</v>
      </c>
    </row>
    <row r="2870" spans="1:23" x14ac:dyDescent="0.25">
      <c r="A2870" t="s">
        <v>552</v>
      </c>
      <c r="B2870">
        <v>2005</v>
      </c>
      <c r="C2870" t="s">
        <v>363</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Data_Completeness(LifeExpectancyData[[#This Row],[Life expectancy]:[Schooling]])</f>
        <v>0</v>
      </c>
    </row>
    <row r="2871" spans="1:23" x14ac:dyDescent="0.25">
      <c r="A2871" t="s">
        <v>552</v>
      </c>
      <c r="B2871">
        <v>2004</v>
      </c>
      <c r="C2871" t="s">
        <v>363</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Data_Completeness(LifeExpectancyData[[#This Row],[Life expectancy]:[Schooling]])</f>
        <v>0</v>
      </c>
    </row>
    <row r="2872" spans="1:23" x14ac:dyDescent="0.25">
      <c r="A2872" t="s">
        <v>552</v>
      </c>
      <c r="B2872">
        <v>2003</v>
      </c>
      <c r="C2872" t="s">
        <v>363</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Data_Completeness(LifeExpectancyData[[#This Row],[Life expectancy]:[Schooling]])</f>
        <v>0</v>
      </c>
    </row>
    <row r="2873" spans="1:23" x14ac:dyDescent="0.25">
      <c r="A2873" t="s">
        <v>552</v>
      </c>
      <c r="B2873">
        <v>2002</v>
      </c>
      <c r="C2873" t="s">
        <v>363</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Data_Completeness(LifeExpectancyData[[#This Row],[Life expectancy]:[Schooling]])</f>
        <v>0</v>
      </c>
    </row>
    <row r="2874" spans="1:23" x14ac:dyDescent="0.25">
      <c r="A2874" t="s">
        <v>552</v>
      </c>
      <c r="B2874">
        <v>2001</v>
      </c>
      <c r="C2874" t="s">
        <v>363</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Data_Completeness(LifeExpectancyData[[#This Row],[Life expectancy]:[Schooling]])</f>
        <v>0</v>
      </c>
    </row>
    <row r="2875" spans="1:23" x14ac:dyDescent="0.25">
      <c r="A2875" t="s">
        <v>552</v>
      </c>
      <c r="B2875">
        <v>2000</v>
      </c>
      <c r="C2875" t="s">
        <v>363</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Data_Completeness(LifeExpectancyData[[#This Row],[Life expectancy]:[Schooling]])</f>
        <v>0</v>
      </c>
    </row>
    <row r="2876" spans="1:23" x14ac:dyDescent="0.25">
      <c r="A2876" t="s">
        <v>553</v>
      </c>
      <c r="B2876">
        <v>2015</v>
      </c>
      <c r="C2876" t="s">
        <v>363</v>
      </c>
      <c r="D2876">
        <v>76</v>
      </c>
      <c r="E2876">
        <v>127</v>
      </c>
      <c r="F2876">
        <v>28</v>
      </c>
      <c r="H2876">
        <v>0</v>
      </c>
      <c r="I2876">
        <v>97</v>
      </c>
      <c r="J2876">
        <v>256</v>
      </c>
      <c r="K2876">
        <v>17.5</v>
      </c>
      <c r="L2876">
        <v>35</v>
      </c>
      <c r="M2876">
        <v>97</v>
      </c>
      <c r="O2876">
        <v>97</v>
      </c>
      <c r="P2876">
        <v>0.1</v>
      </c>
      <c r="S2876">
        <v>14.2</v>
      </c>
      <c r="T2876">
        <v>14.5</v>
      </c>
      <c r="U2876">
        <v>0.67800000000000005</v>
      </c>
      <c r="V2876">
        <v>12.6</v>
      </c>
      <c r="W2876" t="b">
        <f>Data_Completeness(LifeExpectancyData[[#This Row],[Life expectancy]:[Schooling]])</f>
        <v>0</v>
      </c>
    </row>
    <row r="2877" spans="1:23" x14ac:dyDescent="0.25">
      <c r="A2877" t="s">
        <v>553</v>
      </c>
      <c r="B2877">
        <v>2014</v>
      </c>
      <c r="C2877" t="s">
        <v>363</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Data_Completeness(LifeExpectancyData[[#This Row],[Life expectancy]:[Schooling]])</f>
        <v>0</v>
      </c>
    </row>
    <row r="2878" spans="1:23" x14ac:dyDescent="0.25">
      <c r="A2878" t="s">
        <v>553</v>
      </c>
      <c r="B2878">
        <v>2013</v>
      </c>
      <c r="C2878" t="s">
        <v>363</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Data_Completeness(LifeExpectancyData[[#This Row],[Life expectancy]:[Schooling]])</f>
        <v>0</v>
      </c>
    </row>
    <row r="2879" spans="1:23" x14ac:dyDescent="0.25">
      <c r="A2879" t="s">
        <v>553</v>
      </c>
      <c r="B2879">
        <v>2012</v>
      </c>
      <c r="C2879" t="s">
        <v>363</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Data_Completeness(LifeExpectancyData[[#This Row],[Life expectancy]:[Schooling]])</f>
        <v>0</v>
      </c>
    </row>
    <row r="2880" spans="1:23" x14ac:dyDescent="0.25">
      <c r="A2880" t="s">
        <v>553</v>
      </c>
      <c r="B2880">
        <v>2011</v>
      </c>
      <c r="C2880" t="s">
        <v>363</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Data_Completeness(LifeExpectancyData[[#This Row],[Life expectancy]:[Schooling]])</f>
        <v>0</v>
      </c>
    </row>
    <row r="2881" spans="1:23" x14ac:dyDescent="0.25">
      <c r="A2881" t="s">
        <v>553</v>
      </c>
      <c r="B2881">
        <v>2010</v>
      </c>
      <c r="C2881" t="s">
        <v>363</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Data_Completeness(LifeExpectancyData[[#This Row],[Life expectancy]:[Schooling]])</f>
        <v>0</v>
      </c>
    </row>
    <row r="2882" spans="1:23" x14ac:dyDescent="0.25">
      <c r="A2882" t="s">
        <v>553</v>
      </c>
      <c r="B2882">
        <v>2009</v>
      </c>
      <c r="C2882" t="s">
        <v>363</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Data_Completeness(LifeExpectancyData[[#This Row],[Life expectancy]:[Schooling]])</f>
        <v>0</v>
      </c>
    </row>
    <row r="2883" spans="1:23" x14ac:dyDescent="0.25">
      <c r="A2883" t="s">
        <v>553</v>
      </c>
      <c r="B2883">
        <v>2008</v>
      </c>
      <c r="C2883" t="s">
        <v>363</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Data_Completeness(LifeExpectancyData[[#This Row],[Life expectancy]:[Schooling]])</f>
        <v>0</v>
      </c>
    </row>
    <row r="2884" spans="1:23" x14ac:dyDescent="0.25">
      <c r="A2884" t="s">
        <v>553</v>
      </c>
      <c r="B2884">
        <v>2007</v>
      </c>
      <c r="C2884" t="s">
        <v>363</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Data_Completeness(LifeExpectancyData[[#This Row],[Life expectancy]:[Schooling]])</f>
        <v>0</v>
      </c>
    </row>
    <row r="2885" spans="1:23" x14ac:dyDescent="0.25">
      <c r="A2885" t="s">
        <v>553</v>
      </c>
      <c r="B2885">
        <v>2006</v>
      </c>
      <c r="C2885" t="s">
        <v>363</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Data_Completeness(LifeExpectancyData[[#This Row],[Life expectancy]:[Schooling]])</f>
        <v>0</v>
      </c>
    </row>
    <row r="2886" spans="1:23" x14ac:dyDescent="0.25">
      <c r="A2886" t="s">
        <v>553</v>
      </c>
      <c r="B2886">
        <v>2005</v>
      </c>
      <c r="C2886" t="s">
        <v>363</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Data_Completeness(LifeExpectancyData[[#This Row],[Life expectancy]:[Schooling]])</f>
        <v>0</v>
      </c>
    </row>
    <row r="2887" spans="1:23" x14ac:dyDescent="0.25">
      <c r="A2887" t="s">
        <v>553</v>
      </c>
      <c r="B2887">
        <v>2004</v>
      </c>
      <c r="C2887" t="s">
        <v>363</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Data_Completeness(LifeExpectancyData[[#This Row],[Life expectancy]:[Schooling]])</f>
        <v>0</v>
      </c>
    </row>
    <row r="2888" spans="1:23" x14ac:dyDescent="0.25">
      <c r="A2888" t="s">
        <v>553</v>
      </c>
      <c r="B2888">
        <v>2003</v>
      </c>
      <c r="C2888" t="s">
        <v>363</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Data_Completeness(LifeExpectancyData[[#This Row],[Life expectancy]:[Schooling]])</f>
        <v>0</v>
      </c>
    </row>
    <row r="2889" spans="1:23" x14ac:dyDescent="0.25">
      <c r="A2889" t="s">
        <v>553</v>
      </c>
      <c r="B2889">
        <v>2002</v>
      </c>
      <c r="C2889" t="s">
        <v>363</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Data_Completeness(LifeExpectancyData[[#This Row],[Life expectancy]:[Schooling]])</f>
        <v>0</v>
      </c>
    </row>
    <row r="2890" spans="1:23" x14ac:dyDescent="0.25">
      <c r="A2890" t="s">
        <v>553</v>
      </c>
      <c r="B2890">
        <v>2001</v>
      </c>
      <c r="C2890" t="s">
        <v>363</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Data_Completeness(LifeExpectancyData[[#This Row],[Life expectancy]:[Schooling]])</f>
        <v>0</v>
      </c>
    </row>
    <row r="2891" spans="1:23" x14ac:dyDescent="0.25">
      <c r="A2891" t="s">
        <v>553</v>
      </c>
      <c r="B2891">
        <v>2000</v>
      </c>
      <c r="C2891" t="s">
        <v>363</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Data_Completeness(LifeExpectancyData[[#This Row],[Life expectancy]:[Schooling]])</f>
        <v>0</v>
      </c>
    </row>
    <row r="2892" spans="1:23" x14ac:dyDescent="0.25">
      <c r="A2892" t="s">
        <v>554</v>
      </c>
      <c r="B2892">
        <v>2015</v>
      </c>
      <c r="C2892" t="s">
        <v>363</v>
      </c>
      <c r="D2892">
        <v>65.7</v>
      </c>
      <c r="E2892">
        <v>224</v>
      </c>
      <c r="F2892">
        <v>37</v>
      </c>
      <c r="H2892">
        <v>0</v>
      </c>
      <c r="I2892">
        <v>69</v>
      </c>
      <c r="J2892">
        <v>468</v>
      </c>
      <c r="K2892">
        <v>41.3</v>
      </c>
      <c r="L2892">
        <v>47</v>
      </c>
      <c r="M2892">
        <v>63</v>
      </c>
      <c r="O2892">
        <v>69</v>
      </c>
      <c r="P2892">
        <v>0.1</v>
      </c>
      <c r="S2892">
        <v>13.6</v>
      </c>
      <c r="T2892">
        <v>13.4</v>
      </c>
      <c r="U2892">
        <v>0.499</v>
      </c>
      <c r="V2892">
        <v>9</v>
      </c>
      <c r="W2892" t="b">
        <f>Data_Completeness(LifeExpectancyData[[#This Row],[Life expectancy]:[Schooling]])</f>
        <v>0</v>
      </c>
    </row>
    <row r="2893" spans="1:23" x14ac:dyDescent="0.25">
      <c r="A2893" t="s">
        <v>554</v>
      </c>
      <c r="B2893">
        <v>2014</v>
      </c>
      <c r="C2893" t="s">
        <v>363</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Data_Completeness(LifeExpectancyData[[#This Row],[Life expectancy]:[Schooling]])</f>
        <v>0</v>
      </c>
    </row>
    <row r="2894" spans="1:23" x14ac:dyDescent="0.25">
      <c r="A2894" t="s">
        <v>554</v>
      </c>
      <c r="B2894">
        <v>2013</v>
      </c>
      <c r="C2894" t="s">
        <v>363</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Data_Completeness(LifeExpectancyData[[#This Row],[Life expectancy]:[Schooling]])</f>
        <v>0</v>
      </c>
    </row>
    <row r="2895" spans="1:23" x14ac:dyDescent="0.25">
      <c r="A2895" t="s">
        <v>554</v>
      </c>
      <c r="B2895">
        <v>2012</v>
      </c>
      <c r="C2895" t="s">
        <v>363</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Data_Completeness(LifeExpectancyData[[#This Row],[Life expectancy]:[Schooling]])</f>
        <v>0</v>
      </c>
    </row>
    <row r="2896" spans="1:23" x14ac:dyDescent="0.25">
      <c r="A2896" t="s">
        <v>554</v>
      </c>
      <c r="B2896">
        <v>2011</v>
      </c>
      <c r="C2896" t="s">
        <v>363</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Data_Completeness(LifeExpectancyData[[#This Row],[Life expectancy]:[Schooling]])</f>
        <v>0</v>
      </c>
    </row>
    <row r="2897" spans="1:23" x14ac:dyDescent="0.25">
      <c r="A2897" t="s">
        <v>554</v>
      </c>
      <c r="B2897">
        <v>2010</v>
      </c>
      <c r="C2897" t="s">
        <v>363</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Data_Completeness(LifeExpectancyData[[#This Row],[Life expectancy]:[Schooling]])</f>
        <v>0</v>
      </c>
    </row>
    <row r="2898" spans="1:23" x14ac:dyDescent="0.25">
      <c r="A2898" t="s">
        <v>554</v>
      </c>
      <c r="B2898">
        <v>2009</v>
      </c>
      <c r="C2898" t="s">
        <v>363</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Data_Completeness(LifeExpectancyData[[#This Row],[Life expectancy]:[Schooling]])</f>
        <v>0</v>
      </c>
    </row>
    <row r="2899" spans="1:23" x14ac:dyDescent="0.25">
      <c r="A2899" t="s">
        <v>554</v>
      </c>
      <c r="B2899">
        <v>2008</v>
      </c>
      <c r="C2899" t="s">
        <v>363</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Data_Completeness(LifeExpectancyData[[#This Row],[Life expectancy]:[Schooling]])</f>
        <v>0</v>
      </c>
    </row>
    <row r="2900" spans="1:23" x14ac:dyDescent="0.25">
      <c r="A2900" t="s">
        <v>554</v>
      </c>
      <c r="B2900">
        <v>2007</v>
      </c>
      <c r="C2900" t="s">
        <v>363</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Data_Completeness(LifeExpectancyData[[#This Row],[Life expectancy]:[Schooling]])</f>
        <v>0</v>
      </c>
    </row>
    <row r="2901" spans="1:23" x14ac:dyDescent="0.25">
      <c r="A2901" t="s">
        <v>554</v>
      </c>
      <c r="B2901">
        <v>2006</v>
      </c>
      <c r="C2901" t="s">
        <v>363</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Data_Completeness(LifeExpectancyData[[#This Row],[Life expectancy]:[Schooling]])</f>
        <v>0</v>
      </c>
    </row>
    <row r="2902" spans="1:23" x14ac:dyDescent="0.25">
      <c r="A2902" t="s">
        <v>554</v>
      </c>
      <c r="B2902">
        <v>2005</v>
      </c>
      <c r="C2902" t="s">
        <v>363</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Data_Completeness(LifeExpectancyData[[#This Row],[Life expectancy]:[Schooling]])</f>
        <v>0</v>
      </c>
    </row>
    <row r="2903" spans="1:23" x14ac:dyDescent="0.25">
      <c r="A2903" t="s">
        <v>554</v>
      </c>
      <c r="B2903">
        <v>2004</v>
      </c>
      <c r="C2903" t="s">
        <v>363</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Data_Completeness(LifeExpectancyData[[#This Row],[Life expectancy]:[Schooling]])</f>
        <v>0</v>
      </c>
    </row>
    <row r="2904" spans="1:23" x14ac:dyDescent="0.25">
      <c r="A2904" t="s">
        <v>554</v>
      </c>
      <c r="B2904">
        <v>2003</v>
      </c>
      <c r="C2904" t="s">
        <v>363</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Data_Completeness(LifeExpectancyData[[#This Row],[Life expectancy]:[Schooling]])</f>
        <v>0</v>
      </c>
    </row>
    <row r="2905" spans="1:23" x14ac:dyDescent="0.25">
      <c r="A2905" t="s">
        <v>554</v>
      </c>
      <c r="B2905">
        <v>2002</v>
      </c>
      <c r="C2905" t="s">
        <v>363</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Data_Completeness(LifeExpectancyData[[#This Row],[Life expectancy]:[Schooling]])</f>
        <v>0</v>
      </c>
    </row>
    <row r="2906" spans="1:23" x14ac:dyDescent="0.25">
      <c r="A2906" t="s">
        <v>554</v>
      </c>
      <c r="B2906">
        <v>2001</v>
      </c>
      <c r="C2906" t="s">
        <v>363</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Data_Completeness(LifeExpectancyData[[#This Row],[Life expectancy]:[Schooling]])</f>
        <v>0</v>
      </c>
    </row>
    <row r="2907" spans="1:23" x14ac:dyDescent="0.25">
      <c r="A2907" t="s">
        <v>554</v>
      </c>
      <c r="B2907">
        <v>2000</v>
      </c>
      <c r="C2907" t="s">
        <v>363</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Data_Completeness(LifeExpectancyData[[#This Row],[Life expectancy]:[Schooling]])</f>
        <v>0</v>
      </c>
    </row>
    <row r="2908" spans="1:23" x14ac:dyDescent="0.25">
      <c r="A2908" t="s">
        <v>555</v>
      </c>
      <c r="B2908">
        <v>2015</v>
      </c>
      <c r="C2908" t="s">
        <v>363</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Data_Completeness(LifeExpectancyData[[#This Row],[Life expectancy]:[Schooling]])</f>
        <v>0</v>
      </c>
    </row>
    <row r="2909" spans="1:23" x14ac:dyDescent="0.25">
      <c r="A2909" t="s">
        <v>555</v>
      </c>
      <c r="B2909">
        <v>2014</v>
      </c>
      <c r="C2909" t="s">
        <v>363</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Data_Completeness(LifeExpectancyData[[#This Row],[Life expectancy]:[Schooling]])</f>
        <v>1</v>
      </c>
    </row>
    <row r="2910" spans="1:23" x14ac:dyDescent="0.25">
      <c r="A2910" t="s">
        <v>555</v>
      </c>
      <c r="B2910">
        <v>2013</v>
      </c>
      <c r="C2910" t="s">
        <v>363</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Data_Completeness(LifeExpectancyData[[#This Row],[Life expectancy]:[Schooling]])</f>
        <v>1</v>
      </c>
    </row>
    <row r="2911" spans="1:23" x14ac:dyDescent="0.25">
      <c r="A2911" t="s">
        <v>555</v>
      </c>
      <c r="B2911">
        <v>2012</v>
      </c>
      <c r="C2911" t="s">
        <v>363</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Data_Completeness(LifeExpectancyData[[#This Row],[Life expectancy]:[Schooling]])</f>
        <v>1</v>
      </c>
    </row>
    <row r="2912" spans="1:23" x14ac:dyDescent="0.25">
      <c r="A2912" t="s">
        <v>555</v>
      </c>
      <c r="B2912">
        <v>2011</v>
      </c>
      <c r="C2912" t="s">
        <v>363</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Data_Completeness(LifeExpectancyData[[#This Row],[Life expectancy]:[Schooling]])</f>
        <v>1</v>
      </c>
    </row>
    <row r="2913" spans="1:23" x14ac:dyDescent="0.25">
      <c r="A2913" t="s">
        <v>555</v>
      </c>
      <c r="B2913">
        <v>2010</v>
      </c>
      <c r="C2913" t="s">
        <v>363</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Data_Completeness(LifeExpectancyData[[#This Row],[Life expectancy]:[Schooling]])</f>
        <v>1</v>
      </c>
    </row>
    <row r="2914" spans="1:23" x14ac:dyDescent="0.25">
      <c r="A2914" t="s">
        <v>555</v>
      </c>
      <c r="B2914">
        <v>2009</v>
      </c>
      <c r="C2914" t="s">
        <v>363</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Data_Completeness(LifeExpectancyData[[#This Row],[Life expectancy]:[Schooling]])</f>
        <v>1</v>
      </c>
    </row>
    <row r="2915" spans="1:23" x14ac:dyDescent="0.25">
      <c r="A2915" t="s">
        <v>555</v>
      </c>
      <c r="B2915">
        <v>2008</v>
      </c>
      <c r="C2915" t="s">
        <v>363</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Data_Completeness(LifeExpectancyData[[#This Row],[Life expectancy]:[Schooling]])</f>
        <v>1</v>
      </c>
    </row>
    <row r="2916" spans="1:23" x14ac:dyDescent="0.25">
      <c r="A2916" t="s">
        <v>555</v>
      </c>
      <c r="B2916">
        <v>2007</v>
      </c>
      <c r="C2916" t="s">
        <v>363</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Data_Completeness(LifeExpectancyData[[#This Row],[Life expectancy]:[Schooling]])</f>
        <v>1</v>
      </c>
    </row>
    <row r="2917" spans="1:23" x14ac:dyDescent="0.25">
      <c r="A2917" t="s">
        <v>555</v>
      </c>
      <c r="B2917">
        <v>2006</v>
      </c>
      <c r="C2917" t="s">
        <v>363</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Data_Completeness(LifeExpectancyData[[#This Row],[Life expectancy]:[Schooling]])</f>
        <v>1</v>
      </c>
    </row>
    <row r="2918" spans="1:23" x14ac:dyDescent="0.25">
      <c r="A2918" t="s">
        <v>555</v>
      </c>
      <c r="B2918">
        <v>2005</v>
      </c>
      <c r="C2918" t="s">
        <v>363</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Data_Completeness(LifeExpectancyData[[#This Row],[Life expectancy]:[Schooling]])</f>
        <v>1</v>
      </c>
    </row>
    <row r="2919" spans="1:23" x14ac:dyDescent="0.25">
      <c r="A2919" t="s">
        <v>555</v>
      </c>
      <c r="B2919">
        <v>2004</v>
      </c>
      <c r="C2919" t="s">
        <v>363</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Data_Completeness(LifeExpectancyData[[#This Row],[Life expectancy]:[Schooling]])</f>
        <v>0</v>
      </c>
    </row>
    <row r="2920" spans="1:23" x14ac:dyDescent="0.25">
      <c r="A2920" t="s">
        <v>555</v>
      </c>
      <c r="B2920">
        <v>2003</v>
      </c>
      <c r="C2920" t="s">
        <v>363</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Data_Completeness(LifeExpectancyData[[#This Row],[Life expectancy]:[Schooling]])</f>
        <v>0</v>
      </c>
    </row>
    <row r="2921" spans="1:23" x14ac:dyDescent="0.25">
      <c r="A2921" t="s">
        <v>555</v>
      </c>
      <c r="B2921">
        <v>2002</v>
      </c>
      <c r="C2921" t="s">
        <v>363</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Data_Completeness(LifeExpectancyData[[#This Row],[Life expectancy]:[Schooling]])</f>
        <v>0</v>
      </c>
    </row>
    <row r="2922" spans="1:23" x14ac:dyDescent="0.25">
      <c r="A2922" t="s">
        <v>555</v>
      </c>
      <c r="B2922">
        <v>2001</v>
      </c>
      <c r="C2922" t="s">
        <v>363</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Data_Completeness(LifeExpectancyData[[#This Row],[Life expectancy]:[Schooling]])</f>
        <v>0</v>
      </c>
    </row>
    <row r="2923" spans="1:23" x14ac:dyDescent="0.25">
      <c r="A2923" t="s">
        <v>555</v>
      </c>
      <c r="B2923">
        <v>2000</v>
      </c>
      <c r="C2923" t="s">
        <v>363</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Data_Completeness(LifeExpectancyData[[#This Row],[Life expectancy]:[Schooling]])</f>
        <v>0</v>
      </c>
    </row>
    <row r="2924" spans="1:23" x14ac:dyDescent="0.25">
      <c r="A2924" t="s">
        <v>556</v>
      </c>
      <c r="B2924">
        <v>2015</v>
      </c>
      <c r="C2924" t="s">
        <v>363</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Data_Completeness(LifeExpectancyData[[#This Row],[Life expectancy]:[Schooling]])</f>
        <v>0</v>
      </c>
    </row>
    <row r="2925" spans="1:23" x14ac:dyDescent="0.25">
      <c r="A2925" t="s">
        <v>556</v>
      </c>
      <c r="B2925">
        <v>2014</v>
      </c>
      <c r="C2925" t="s">
        <v>363</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Data_Completeness(LifeExpectancyData[[#This Row],[Life expectancy]:[Schooling]])</f>
        <v>1</v>
      </c>
    </row>
    <row r="2926" spans="1:23" x14ac:dyDescent="0.25">
      <c r="A2926" t="s">
        <v>556</v>
      </c>
      <c r="B2926">
        <v>2013</v>
      </c>
      <c r="C2926" t="s">
        <v>363</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Data_Completeness(LifeExpectancyData[[#This Row],[Life expectancy]:[Schooling]])</f>
        <v>1</v>
      </c>
    </row>
    <row r="2927" spans="1:23" x14ac:dyDescent="0.25">
      <c r="A2927" t="s">
        <v>556</v>
      </c>
      <c r="B2927">
        <v>2012</v>
      </c>
      <c r="C2927" t="s">
        <v>363</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Data_Completeness(LifeExpectancyData[[#This Row],[Life expectancy]:[Schooling]])</f>
        <v>1</v>
      </c>
    </row>
    <row r="2928" spans="1:23" x14ac:dyDescent="0.25">
      <c r="A2928" t="s">
        <v>556</v>
      </c>
      <c r="B2928">
        <v>2011</v>
      </c>
      <c r="C2928" t="s">
        <v>363</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Data_Completeness(LifeExpectancyData[[#This Row],[Life expectancy]:[Schooling]])</f>
        <v>1</v>
      </c>
    </row>
    <row r="2929" spans="1:23" x14ac:dyDescent="0.25">
      <c r="A2929" t="s">
        <v>556</v>
      </c>
      <c r="B2929">
        <v>2010</v>
      </c>
      <c r="C2929" t="s">
        <v>363</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Data_Completeness(LifeExpectancyData[[#This Row],[Life expectancy]:[Schooling]])</f>
        <v>1</v>
      </c>
    </row>
    <row r="2930" spans="1:23" x14ac:dyDescent="0.25">
      <c r="A2930" t="s">
        <v>556</v>
      </c>
      <c r="B2930">
        <v>2009</v>
      </c>
      <c r="C2930" t="s">
        <v>363</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Data_Completeness(LifeExpectancyData[[#This Row],[Life expectancy]:[Schooling]])</f>
        <v>1</v>
      </c>
    </row>
    <row r="2931" spans="1:23" x14ac:dyDescent="0.25">
      <c r="A2931" t="s">
        <v>556</v>
      </c>
      <c r="B2931">
        <v>2008</v>
      </c>
      <c r="C2931" t="s">
        <v>363</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Data_Completeness(LifeExpectancyData[[#This Row],[Life expectancy]:[Schooling]])</f>
        <v>1</v>
      </c>
    </row>
    <row r="2932" spans="1:23" x14ac:dyDescent="0.25">
      <c r="A2932" t="s">
        <v>556</v>
      </c>
      <c r="B2932">
        <v>2007</v>
      </c>
      <c r="C2932" t="s">
        <v>363</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Data_Completeness(LifeExpectancyData[[#This Row],[Life expectancy]:[Schooling]])</f>
        <v>1</v>
      </c>
    </row>
    <row r="2933" spans="1:23" x14ac:dyDescent="0.25">
      <c r="A2933" t="s">
        <v>556</v>
      </c>
      <c r="B2933">
        <v>2006</v>
      </c>
      <c r="C2933" t="s">
        <v>363</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Data_Completeness(LifeExpectancyData[[#This Row],[Life expectancy]:[Schooling]])</f>
        <v>1</v>
      </c>
    </row>
    <row r="2934" spans="1:23" x14ac:dyDescent="0.25">
      <c r="A2934" t="s">
        <v>556</v>
      </c>
      <c r="B2934">
        <v>2005</v>
      </c>
      <c r="C2934" t="s">
        <v>363</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Data_Completeness(LifeExpectancyData[[#This Row],[Life expectancy]:[Schooling]])</f>
        <v>1</v>
      </c>
    </row>
    <row r="2935" spans="1:23" x14ac:dyDescent="0.25">
      <c r="A2935" t="s">
        <v>556</v>
      </c>
      <c r="B2935">
        <v>2004</v>
      </c>
      <c r="C2935" t="s">
        <v>363</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Data_Completeness(LifeExpectancyData[[#This Row],[Life expectancy]:[Schooling]])</f>
        <v>1</v>
      </c>
    </row>
    <row r="2936" spans="1:23" x14ac:dyDescent="0.25">
      <c r="A2936" t="s">
        <v>556</v>
      </c>
      <c r="B2936">
        <v>2003</v>
      </c>
      <c r="C2936" t="s">
        <v>363</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Data_Completeness(LifeExpectancyData[[#This Row],[Life expectancy]:[Schooling]])</f>
        <v>1</v>
      </c>
    </row>
    <row r="2937" spans="1:23" x14ac:dyDescent="0.25">
      <c r="A2937" t="s">
        <v>556</v>
      </c>
      <c r="B2937">
        <v>2002</v>
      </c>
      <c r="C2937" t="s">
        <v>363</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Data_Completeness(LifeExpectancyData[[#This Row],[Life expectancy]:[Schooling]])</f>
        <v>1</v>
      </c>
    </row>
    <row r="2938" spans="1:23" x14ac:dyDescent="0.25">
      <c r="A2938" t="s">
        <v>556</v>
      </c>
      <c r="B2938">
        <v>2001</v>
      </c>
      <c r="C2938" t="s">
        <v>363</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Data_Completeness(LifeExpectancyData[[#This Row],[Life expectancy]:[Schooling]])</f>
        <v>1</v>
      </c>
    </row>
    <row r="2939" spans="1:23" x14ac:dyDescent="0.25">
      <c r="A2939" t="s">
        <v>556</v>
      </c>
      <c r="B2939">
        <v>2000</v>
      </c>
      <c r="C2939" t="s">
        <v>363</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Data_Completeness(LifeExpectancyData[[#This Row],[Life expectancy]:[Schooling]])</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F041A5-6ADB-4692-B172-73FD416C5C8D}">
  <sheetPr>
    <tabColor rgb="FFD9D9D9"/>
  </sheetPr>
  <dimension ref="A1:K52"/>
  <sheetViews>
    <sheetView workbookViewId="0">
      <pane ySplit="1" topLeftCell="A2" activePane="bottomLeft" state="frozenSplit"/>
      <selection pane="bottomLeft"/>
    </sheetView>
  </sheetViews>
  <sheetFormatPr defaultRowHeight="15" x14ac:dyDescent="0.25"/>
  <cols>
    <col min="1" max="1" width="9" bestFit="1" customWidth="1"/>
    <col min="2" max="2" width="9.7109375" bestFit="1" customWidth="1"/>
    <col min="3" max="3" width="13.28515625" bestFit="1" customWidth="1"/>
    <col min="4" max="4" width="14.7109375" bestFit="1" customWidth="1"/>
    <col min="5" max="6" width="19.5703125" bestFit="1" customWidth="1"/>
    <col min="7" max="7" width="15.42578125" bestFit="1" customWidth="1"/>
    <col min="8" max="8" width="16" bestFit="1" customWidth="1"/>
    <col min="9" max="9" width="16.7109375" bestFit="1" customWidth="1"/>
    <col min="10" max="10" width="14.85546875" bestFit="1" customWidth="1"/>
    <col min="11" max="11" width="12.7109375" customWidth="1"/>
  </cols>
  <sheetData>
    <row r="1" spans="1:11" x14ac:dyDescent="0.25">
      <c r="A1" t="s">
        <v>1767</v>
      </c>
      <c r="B1" t="s">
        <v>1768</v>
      </c>
      <c r="C1" t="s">
        <v>1769</v>
      </c>
      <c r="D1" t="s">
        <v>1770</v>
      </c>
      <c r="E1" t="s">
        <v>1771</v>
      </c>
      <c r="F1" t="s">
        <v>1772</v>
      </c>
      <c r="G1" t="s">
        <v>1773</v>
      </c>
      <c r="H1" t="s">
        <v>1774</v>
      </c>
      <c r="I1" t="s">
        <v>1775</v>
      </c>
      <c r="J1" t="s">
        <v>1776</v>
      </c>
      <c r="K1" t="s">
        <v>361</v>
      </c>
    </row>
    <row r="2" spans="1:11" x14ac:dyDescent="0.25">
      <c r="A2" t="s">
        <v>1777</v>
      </c>
      <c r="B2" t="s">
        <v>1778</v>
      </c>
      <c r="C2">
        <v>1998</v>
      </c>
      <c r="D2">
        <v>14</v>
      </c>
      <c r="E2">
        <v>14</v>
      </c>
      <c r="F2">
        <v>7.8</v>
      </c>
      <c r="G2">
        <v>181512</v>
      </c>
      <c r="H2">
        <v>2.6390573296152584</v>
      </c>
      <c r="I2">
        <v>2.0541237336955462</v>
      </c>
      <c r="J2">
        <v>12.109077046203975</v>
      </c>
      <c r="K2" t="b">
        <f>Data_Completeness(ProductionLotsData[[#This Row],[Fiscal_Year]:[log Unit Cost]])</f>
        <v>1</v>
      </c>
    </row>
    <row r="3" spans="1:11" x14ac:dyDescent="0.25">
      <c r="A3" t="s">
        <v>1779</v>
      </c>
      <c r="B3" t="s">
        <v>1778</v>
      </c>
      <c r="C3">
        <v>1999</v>
      </c>
      <c r="D3">
        <v>20</v>
      </c>
      <c r="E3">
        <v>34</v>
      </c>
      <c r="F3">
        <v>22.6</v>
      </c>
      <c r="G3">
        <v>128514</v>
      </c>
      <c r="H3">
        <v>3.5263605246161616</v>
      </c>
      <c r="I3">
        <v>3.1179499062782403</v>
      </c>
      <c r="J3">
        <v>11.763793126799197</v>
      </c>
      <c r="K3" t="b">
        <f>Data_Completeness(ProductionLotsData[[#This Row],[Fiscal_Year]:[log Unit Cost]])</f>
        <v>1</v>
      </c>
    </row>
    <row r="4" spans="1:11" x14ac:dyDescent="0.25">
      <c r="A4" t="s">
        <v>1780</v>
      </c>
      <c r="B4" t="s">
        <v>1778</v>
      </c>
      <c r="C4">
        <v>2000</v>
      </c>
      <c r="D4">
        <v>20</v>
      </c>
      <c r="E4">
        <v>54</v>
      </c>
      <c r="F4">
        <v>37.700000000000003</v>
      </c>
      <c r="G4">
        <v>129653</v>
      </c>
      <c r="H4">
        <v>3.9889840465642745</v>
      </c>
      <c r="I4">
        <v>3.629660094453965</v>
      </c>
      <c r="J4">
        <v>11.772616929920082</v>
      </c>
      <c r="K4" t="b">
        <f>Data_Completeness(ProductionLotsData[[#This Row],[Fiscal_Year]:[log Unit Cost]])</f>
        <v>1</v>
      </c>
    </row>
    <row r="5" spans="1:11" x14ac:dyDescent="0.25">
      <c r="A5" t="s">
        <v>1781</v>
      </c>
      <c r="B5" t="s">
        <v>1778</v>
      </c>
      <c r="C5">
        <v>2001</v>
      </c>
      <c r="D5">
        <v>11</v>
      </c>
      <c r="E5">
        <v>65</v>
      </c>
      <c r="F5">
        <v>46.1</v>
      </c>
      <c r="G5">
        <v>119532</v>
      </c>
      <c r="H5">
        <v>4.1743872698956368</v>
      </c>
      <c r="I5">
        <v>3.8308129500026027</v>
      </c>
      <c r="J5">
        <v>11.691339396933166</v>
      </c>
      <c r="K5" t="b">
        <f>Data_Completeness(ProductionLotsData[[#This Row],[Fiscal_Year]:[log Unit Cost]])</f>
        <v>1</v>
      </c>
    </row>
    <row r="6" spans="1:11" x14ac:dyDescent="0.25">
      <c r="A6" t="s">
        <v>1782</v>
      </c>
      <c r="B6" t="s">
        <v>1778</v>
      </c>
      <c r="C6">
        <v>2002</v>
      </c>
      <c r="D6">
        <v>17</v>
      </c>
      <c r="E6">
        <v>82</v>
      </c>
      <c r="F6">
        <v>52.3</v>
      </c>
      <c r="G6">
        <v>111349</v>
      </c>
      <c r="H6">
        <v>4.4067192472642533</v>
      </c>
      <c r="I6">
        <v>3.9569963710708773</v>
      </c>
      <c r="J6">
        <v>11.620424691953675</v>
      </c>
      <c r="K6" t="b">
        <f>Data_Completeness(ProductionLotsData[[#This Row],[Fiscal_Year]:[log Unit Cost]])</f>
        <v>1</v>
      </c>
    </row>
    <row r="7" spans="1:11" x14ac:dyDescent="0.25">
      <c r="A7" t="s">
        <v>1783</v>
      </c>
      <c r="B7" t="s">
        <v>1778</v>
      </c>
      <c r="C7">
        <v>2003</v>
      </c>
      <c r="D7">
        <v>15</v>
      </c>
      <c r="E7">
        <v>97</v>
      </c>
      <c r="F7">
        <v>59.2</v>
      </c>
      <c r="G7">
        <v>112030</v>
      </c>
      <c r="H7">
        <v>4.5747109785033828</v>
      </c>
      <c r="I7">
        <v>4.0809215418899605</v>
      </c>
      <c r="J7">
        <v>11.626521971552769</v>
      </c>
      <c r="K7" t="b">
        <f>Data_Completeness(ProductionLotsData[[#This Row],[Fiscal_Year]:[log Unit Cost]])</f>
        <v>1</v>
      </c>
    </row>
    <row r="8" spans="1:11" x14ac:dyDescent="0.25">
      <c r="A8" t="s">
        <v>1784</v>
      </c>
      <c r="B8" t="s">
        <v>1778</v>
      </c>
      <c r="C8">
        <v>2012</v>
      </c>
      <c r="D8">
        <v>9</v>
      </c>
      <c r="E8">
        <v>106</v>
      </c>
      <c r="F8">
        <v>20</v>
      </c>
      <c r="G8">
        <v>147393</v>
      </c>
      <c r="H8">
        <v>4.6634390941120669</v>
      </c>
      <c r="I8">
        <v>2.9957322735539909</v>
      </c>
      <c r="J8">
        <v>11.900857767786087</v>
      </c>
      <c r="K8" t="b">
        <f>Data_Completeness(ProductionLotsData[[#This Row],[Fiscal_Year]:[log Unit Cost]])</f>
        <v>1</v>
      </c>
    </row>
    <row r="9" spans="1:11" x14ac:dyDescent="0.25">
      <c r="A9" t="s">
        <v>1785</v>
      </c>
      <c r="B9" t="s">
        <v>1778</v>
      </c>
      <c r="C9">
        <v>2013</v>
      </c>
      <c r="D9">
        <v>20</v>
      </c>
      <c r="E9">
        <v>126</v>
      </c>
      <c r="F9">
        <v>30.8</v>
      </c>
      <c r="G9">
        <v>135356</v>
      </c>
      <c r="H9">
        <v>4.836281906951478</v>
      </c>
      <c r="I9">
        <v>3.427514689979529</v>
      </c>
      <c r="J9">
        <v>11.815663623575993</v>
      </c>
      <c r="K9" t="b">
        <f>Data_Completeness(ProductionLotsData[[#This Row],[Fiscal_Year]:[log Unit Cost]])</f>
        <v>1</v>
      </c>
    </row>
    <row r="10" spans="1:11" x14ac:dyDescent="0.25">
      <c r="A10" t="s">
        <v>1786</v>
      </c>
      <c r="B10" t="s">
        <v>1778</v>
      </c>
      <c r="C10">
        <v>2014</v>
      </c>
      <c r="D10">
        <v>13</v>
      </c>
      <c r="E10">
        <v>139</v>
      </c>
      <c r="F10">
        <v>41.2</v>
      </c>
      <c r="G10">
        <v>126320</v>
      </c>
      <c r="H10">
        <v>4.9344739331306915</v>
      </c>
      <c r="I10">
        <v>3.7184382563554808</v>
      </c>
      <c r="J10">
        <v>11.746573648929523</v>
      </c>
      <c r="K10" t="b">
        <f>Data_Completeness(ProductionLotsData[[#This Row],[Fiscal_Year]:[log Unit Cost]])</f>
        <v>1</v>
      </c>
    </row>
    <row r="11" spans="1:11" x14ac:dyDescent="0.25">
      <c r="A11" t="s">
        <v>1787</v>
      </c>
      <c r="B11" t="s">
        <v>1778</v>
      </c>
      <c r="C11">
        <v>2015</v>
      </c>
      <c r="D11">
        <v>21</v>
      </c>
      <c r="E11">
        <v>160</v>
      </c>
      <c r="F11">
        <v>51</v>
      </c>
      <c r="G11">
        <v>125929</v>
      </c>
      <c r="H11">
        <v>5.0751738152338266</v>
      </c>
      <c r="I11">
        <v>3.9318256327243257</v>
      </c>
      <c r="J11">
        <v>11.743473535048805</v>
      </c>
      <c r="K11" t="b">
        <f>Data_Completeness(ProductionLotsData[[#This Row],[Fiscal_Year]:[log Unit Cost]])</f>
        <v>1</v>
      </c>
    </row>
    <row r="12" spans="1:11" x14ac:dyDescent="0.25">
      <c r="A12" t="s">
        <v>1788</v>
      </c>
      <c r="B12" t="s">
        <v>1778</v>
      </c>
      <c r="C12">
        <v>2016</v>
      </c>
      <c r="D12">
        <v>23</v>
      </c>
      <c r="E12">
        <v>183</v>
      </c>
      <c r="F12">
        <v>63.8</v>
      </c>
      <c r="G12">
        <v>111123</v>
      </c>
      <c r="H12">
        <v>5.2094861528414214</v>
      </c>
      <c r="I12">
        <v>4.1557531903507439</v>
      </c>
      <c r="J12">
        <v>11.618392974903964</v>
      </c>
      <c r="K12" t="b">
        <f>Data_Completeness(ProductionLotsData[[#This Row],[Fiscal_Year]:[log Unit Cost]])</f>
        <v>1</v>
      </c>
    </row>
    <row r="13" spans="1:11" x14ac:dyDescent="0.25">
      <c r="A13" t="s">
        <v>1789</v>
      </c>
      <c r="B13" t="s">
        <v>1778</v>
      </c>
      <c r="C13">
        <v>2017</v>
      </c>
      <c r="D13">
        <v>8</v>
      </c>
      <c r="E13">
        <v>191</v>
      </c>
      <c r="F13">
        <v>68</v>
      </c>
      <c r="G13">
        <v>113720</v>
      </c>
      <c r="H13">
        <v>5.2522734280466299</v>
      </c>
      <c r="I13">
        <v>4.219507705176107</v>
      </c>
      <c r="J13">
        <v>11.641494565764937</v>
      </c>
      <c r="K13" t="b">
        <f>Data_Completeness(ProductionLotsData[[#This Row],[Fiscal_Year]:[log Unit Cost]])</f>
        <v>1</v>
      </c>
    </row>
    <row r="14" spans="1:11" x14ac:dyDescent="0.25">
      <c r="A14" t="s">
        <v>1790</v>
      </c>
      <c r="B14" t="s">
        <v>1778</v>
      </c>
      <c r="C14">
        <v>2018</v>
      </c>
      <c r="D14">
        <v>21</v>
      </c>
      <c r="E14">
        <v>212</v>
      </c>
      <c r="F14">
        <v>71.7</v>
      </c>
      <c r="G14">
        <v>104656</v>
      </c>
      <c r="H14">
        <v>5.3565862746720123</v>
      </c>
      <c r="I14">
        <v>4.2724907476055751</v>
      </c>
      <c r="J14">
        <v>11.558434060200995</v>
      </c>
      <c r="K14" t="b">
        <f>Data_Completeness(ProductionLotsData[[#This Row],[Fiscal_Year]:[log Unit Cost]])</f>
        <v>1</v>
      </c>
    </row>
    <row r="15" spans="1:11" x14ac:dyDescent="0.25">
      <c r="A15" t="s">
        <v>1791</v>
      </c>
      <c r="B15" t="s">
        <v>1778</v>
      </c>
      <c r="C15">
        <v>2019</v>
      </c>
      <c r="D15">
        <v>11</v>
      </c>
      <c r="E15">
        <v>223</v>
      </c>
      <c r="F15">
        <v>75.400000000000006</v>
      </c>
      <c r="G15">
        <v>99820</v>
      </c>
      <c r="H15">
        <v>5.4071717714601188</v>
      </c>
      <c r="I15">
        <v>4.3228072750139104</v>
      </c>
      <c r="J15">
        <v>11.511123843023601</v>
      </c>
      <c r="K15" t="b">
        <f>Data_Completeness(ProductionLotsData[[#This Row],[Fiscal_Year]:[log Unit Cost]])</f>
        <v>1</v>
      </c>
    </row>
    <row r="16" spans="1:11" x14ac:dyDescent="0.25">
      <c r="A16" t="s">
        <v>1792</v>
      </c>
      <c r="B16" t="s">
        <v>1778</v>
      </c>
      <c r="C16">
        <v>2020</v>
      </c>
      <c r="D16">
        <v>11</v>
      </c>
      <c r="E16">
        <v>234</v>
      </c>
      <c r="F16">
        <v>74.2</v>
      </c>
      <c r="G16">
        <v>103753</v>
      </c>
      <c r="H16">
        <v>5.4553211153577017</v>
      </c>
      <c r="I16">
        <v>4.3067641501733345</v>
      </c>
      <c r="J16">
        <v>11.549768353337546</v>
      </c>
      <c r="K16" t="b">
        <f>Data_Completeness(ProductionLotsData[[#This Row],[Fiscal_Year]:[log Unit Cost]])</f>
        <v>1</v>
      </c>
    </row>
    <row r="17" spans="1:11" x14ac:dyDescent="0.25">
      <c r="A17" t="s">
        <v>1793</v>
      </c>
      <c r="B17" t="s">
        <v>1778</v>
      </c>
      <c r="C17">
        <v>2021</v>
      </c>
      <c r="D17">
        <v>11</v>
      </c>
      <c r="E17">
        <v>245</v>
      </c>
      <c r="F17">
        <v>73.3</v>
      </c>
      <c r="G17">
        <v>105240</v>
      </c>
      <c r="H17">
        <v>5.5012582105447274</v>
      </c>
      <c r="I17">
        <v>4.2945606088926054</v>
      </c>
      <c r="J17">
        <v>11.563998735154229</v>
      </c>
      <c r="K17" t="b">
        <f>Data_Completeness(ProductionLotsData[[#This Row],[Fiscal_Year]:[log Unit Cost]])</f>
        <v>1</v>
      </c>
    </row>
    <row r="18" spans="1:11" x14ac:dyDescent="0.25">
      <c r="A18" t="s">
        <v>1794</v>
      </c>
      <c r="B18" t="s">
        <v>1778</v>
      </c>
      <c r="C18">
        <v>2022</v>
      </c>
      <c r="D18">
        <v>9</v>
      </c>
      <c r="E18">
        <v>254</v>
      </c>
      <c r="F18">
        <v>71.5</v>
      </c>
      <c r="G18">
        <v>105643</v>
      </c>
      <c r="H18">
        <v>5.5373342670185366</v>
      </c>
      <c r="I18">
        <v>4.2696974496999616</v>
      </c>
      <c r="J18">
        <v>11.567820764341809</v>
      </c>
      <c r="K18" t="b">
        <f>Data_Completeness(ProductionLotsData[[#This Row],[Fiscal_Year]:[log Unit Cost]])</f>
        <v>1</v>
      </c>
    </row>
    <row r="19" spans="1:11" x14ac:dyDescent="0.25">
      <c r="A19" t="s">
        <v>1795</v>
      </c>
      <c r="B19" t="s">
        <v>1778</v>
      </c>
      <c r="C19">
        <v>2023</v>
      </c>
      <c r="D19">
        <v>22</v>
      </c>
      <c r="E19">
        <v>276</v>
      </c>
      <c r="F19">
        <v>75.599999999999994</v>
      </c>
      <c r="G19">
        <v>109864</v>
      </c>
      <c r="H19">
        <v>5.6204008657171496</v>
      </c>
      <c r="I19">
        <v>4.3254562831854875</v>
      </c>
      <c r="J19">
        <v>11.606998516210117</v>
      </c>
      <c r="K19" t="b">
        <f>Data_Completeness(ProductionLotsData[[#This Row],[Fiscal_Year]:[log Unit Cost]])</f>
        <v>1</v>
      </c>
    </row>
    <row r="20" spans="1:11" x14ac:dyDescent="0.25">
      <c r="A20" t="s">
        <v>1796</v>
      </c>
      <c r="B20" t="s">
        <v>1797</v>
      </c>
      <c r="C20">
        <v>2001</v>
      </c>
      <c r="D20">
        <v>17</v>
      </c>
      <c r="E20">
        <v>17</v>
      </c>
      <c r="F20">
        <v>9.3000000000000007</v>
      </c>
      <c r="G20">
        <v>192948</v>
      </c>
      <c r="H20">
        <v>2.8332133440562162</v>
      </c>
      <c r="I20">
        <v>2.2300144001592104</v>
      </c>
      <c r="J20">
        <v>12.170176001532411</v>
      </c>
      <c r="K20" t="b">
        <f>Data_Completeness(ProductionLotsData[[#This Row],[Fiscal_Year]:[log Unit Cost]])</f>
        <v>1</v>
      </c>
    </row>
    <row r="21" spans="1:11" x14ac:dyDescent="0.25">
      <c r="A21" t="s">
        <v>1798</v>
      </c>
      <c r="B21" t="s">
        <v>1797</v>
      </c>
      <c r="C21">
        <v>2002</v>
      </c>
      <c r="D21">
        <v>20</v>
      </c>
      <c r="E21">
        <v>37</v>
      </c>
      <c r="F21">
        <v>25.2</v>
      </c>
      <c r="G21">
        <v>165341</v>
      </c>
      <c r="H21">
        <v>3.6109179126442243</v>
      </c>
      <c r="I21">
        <v>3.2268439945173775</v>
      </c>
      <c r="J21">
        <v>12.015765286931597</v>
      </c>
      <c r="K21" t="b">
        <f>Data_Completeness(ProductionLotsData[[#This Row],[Fiscal_Year]:[log Unit Cost]])</f>
        <v>1</v>
      </c>
    </row>
    <row r="22" spans="1:11" x14ac:dyDescent="0.25">
      <c r="A22" t="s">
        <v>1799</v>
      </c>
      <c r="B22" t="s">
        <v>1797</v>
      </c>
      <c r="C22">
        <v>2003</v>
      </c>
      <c r="D22">
        <v>9</v>
      </c>
      <c r="E22">
        <v>46</v>
      </c>
      <c r="F22">
        <v>34.4</v>
      </c>
      <c r="G22">
        <v>165018</v>
      </c>
      <c r="H22">
        <v>3.8286413964890951</v>
      </c>
      <c r="I22">
        <v>3.5380565643793527</v>
      </c>
      <c r="J22">
        <v>12.013809837841828</v>
      </c>
      <c r="K22" t="b">
        <f>Data_Completeness(ProductionLotsData[[#This Row],[Fiscal_Year]:[log Unit Cost]])</f>
        <v>1</v>
      </c>
    </row>
    <row r="23" spans="1:11" x14ac:dyDescent="0.25">
      <c r="A23" t="s">
        <v>1800</v>
      </c>
      <c r="B23" t="s">
        <v>1797</v>
      </c>
      <c r="C23">
        <v>2004</v>
      </c>
      <c r="D23">
        <v>18</v>
      </c>
      <c r="E23">
        <v>64</v>
      </c>
      <c r="F23">
        <v>42.1</v>
      </c>
      <c r="G23">
        <v>151613</v>
      </c>
      <c r="H23">
        <v>4.1588830833596715</v>
      </c>
      <c r="I23">
        <v>3.7400477406883357</v>
      </c>
      <c r="J23">
        <v>11.92908650049281</v>
      </c>
      <c r="K23" t="b">
        <f>Data_Completeness(ProductionLotsData[[#This Row],[Fiscal_Year]:[log Unit Cost]])</f>
        <v>1</v>
      </c>
    </row>
    <row r="24" spans="1:11" x14ac:dyDescent="0.25">
      <c r="A24" t="s">
        <v>1801</v>
      </c>
      <c r="B24" t="s">
        <v>1797</v>
      </c>
      <c r="C24">
        <v>2005</v>
      </c>
      <c r="D24">
        <v>17</v>
      </c>
      <c r="E24">
        <v>81</v>
      </c>
      <c r="F24">
        <v>51.9</v>
      </c>
      <c r="G24">
        <v>135420</v>
      </c>
      <c r="H24">
        <v>4.3944491546724391</v>
      </c>
      <c r="I24">
        <v>3.949318790171843</v>
      </c>
      <c r="J24">
        <v>11.816136339039636</v>
      </c>
      <c r="K24" t="b">
        <f>Data_Completeness(ProductionLotsData[[#This Row],[Fiscal_Year]:[log Unit Cost]])</f>
        <v>1</v>
      </c>
    </row>
    <row r="25" spans="1:11" x14ac:dyDescent="0.25">
      <c r="A25" t="s">
        <v>1802</v>
      </c>
      <c r="B25" t="s">
        <v>1797</v>
      </c>
      <c r="C25">
        <v>2006</v>
      </c>
      <c r="D25">
        <v>22</v>
      </c>
      <c r="E25">
        <v>103</v>
      </c>
      <c r="F25">
        <v>62.3</v>
      </c>
      <c r="G25">
        <v>142299</v>
      </c>
      <c r="H25">
        <v>4.6347289882296359</v>
      </c>
      <c r="I25">
        <v>4.1319614257934072</v>
      </c>
      <c r="J25">
        <v>11.865685756646364</v>
      </c>
      <c r="K25" t="b">
        <f>Data_Completeness(ProductionLotsData[[#This Row],[Fiscal_Year]:[log Unit Cost]])</f>
        <v>1</v>
      </c>
    </row>
    <row r="26" spans="1:11" x14ac:dyDescent="0.25">
      <c r="A26" t="s">
        <v>1803</v>
      </c>
      <c r="B26" t="s">
        <v>1797</v>
      </c>
      <c r="C26">
        <v>2007</v>
      </c>
      <c r="D26">
        <v>19</v>
      </c>
      <c r="E26">
        <v>122</v>
      </c>
      <c r="F26">
        <v>71.8</v>
      </c>
      <c r="G26">
        <v>136703</v>
      </c>
      <c r="H26">
        <v>4.8040210447332568</v>
      </c>
      <c r="I26">
        <v>4.2738844760541781</v>
      </c>
      <c r="J26">
        <v>11.825565968338095</v>
      </c>
      <c r="K26" t="b">
        <f>Data_Completeness(ProductionLotsData[[#This Row],[Fiscal_Year]:[log Unit Cost]])</f>
        <v>1</v>
      </c>
    </row>
    <row r="27" spans="1:11" x14ac:dyDescent="0.25">
      <c r="A27" t="s">
        <v>1804</v>
      </c>
      <c r="B27" t="s">
        <v>1797</v>
      </c>
      <c r="C27">
        <v>2008</v>
      </c>
      <c r="D27">
        <v>11</v>
      </c>
      <c r="E27">
        <v>133</v>
      </c>
      <c r="F27">
        <v>74.599999999999994</v>
      </c>
      <c r="G27">
        <v>124693</v>
      </c>
      <c r="H27">
        <v>4.8903491282217537</v>
      </c>
      <c r="I27">
        <v>4.3121405072097154</v>
      </c>
      <c r="J27">
        <v>11.733609995369179</v>
      </c>
      <c r="K27" t="b">
        <f>Data_Completeness(ProductionLotsData[[#This Row],[Fiscal_Year]:[log Unit Cost]])</f>
        <v>1</v>
      </c>
    </row>
    <row r="28" spans="1:11" x14ac:dyDescent="0.25">
      <c r="A28" t="s">
        <v>1805</v>
      </c>
      <c r="B28" t="s">
        <v>1797</v>
      </c>
      <c r="C28">
        <v>2009</v>
      </c>
      <c r="D28">
        <v>21</v>
      </c>
      <c r="E28">
        <v>154</v>
      </c>
      <c r="F28">
        <v>78.599999999999994</v>
      </c>
      <c r="G28">
        <v>135954</v>
      </c>
      <c r="H28">
        <v>5.0369526024136295</v>
      </c>
      <c r="I28">
        <v>4.3643716994351607</v>
      </c>
      <c r="J28">
        <v>11.820071872209613</v>
      </c>
      <c r="K28" t="b">
        <f>Data_Completeness(ProductionLotsData[[#This Row],[Fiscal_Year]:[log Unit Cost]])</f>
        <v>1</v>
      </c>
    </row>
    <row r="29" spans="1:11" x14ac:dyDescent="0.25">
      <c r="A29" t="s">
        <v>1806</v>
      </c>
      <c r="B29" t="s">
        <v>1797</v>
      </c>
      <c r="C29">
        <v>2010</v>
      </c>
      <c r="D29">
        <v>19</v>
      </c>
      <c r="E29">
        <v>173</v>
      </c>
      <c r="F29">
        <v>85.3</v>
      </c>
      <c r="G29">
        <v>115946</v>
      </c>
      <c r="H29">
        <v>5.1532915944977793</v>
      </c>
      <c r="I29">
        <v>4.4461744544976334</v>
      </c>
      <c r="J29">
        <v>11.660879844460332</v>
      </c>
      <c r="K29" t="b">
        <f>Data_Completeness(ProductionLotsData[[#This Row],[Fiscal_Year]:[log Unit Cost]])</f>
        <v>1</v>
      </c>
    </row>
    <row r="30" spans="1:11" x14ac:dyDescent="0.25">
      <c r="A30" t="s">
        <v>1807</v>
      </c>
      <c r="B30" t="s">
        <v>1797</v>
      </c>
      <c r="C30">
        <v>2011</v>
      </c>
      <c r="D30">
        <v>11</v>
      </c>
      <c r="E30">
        <v>184</v>
      </c>
      <c r="F30">
        <v>86</v>
      </c>
      <c r="G30">
        <v>117838</v>
      </c>
      <c r="H30">
        <v>5.2149357576089859</v>
      </c>
      <c r="I30">
        <v>4.4543472962535073</v>
      </c>
      <c r="J30">
        <v>11.677066078826835</v>
      </c>
      <c r="K30" t="b">
        <f>Data_Completeness(ProductionLotsData[[#This Row],[Fiscal_Year]:[log Unit Cost]])</f>
        <v>1</v>
      </c>
    </row>
    <row r="31" spans="1:11" x14ac:dyDescent="0.25">
      <c r="A31" t="s">
        <v>1808</v>
      </c>
      <c r="B31" t="s">
        <v>1797</v>
      </c>
      <c r="C31">
        <v>2012</v>
      </c>
      <c r="D31">
        <v>22</v>
      </c>
      <c r="E31">
        <v>206</v>
      </c>
      <c r="F31">
        <v>88.8</v>
      </c>
      <c r="G31">
        <v>128077</v>
      </c>
      <c r="H31">
        <v>5.3278761687895813</v>
      </c>
      <c r="I31">
        <v>4.4863866499981242</v>
      </c>
      <c r="J31">
        <v>11.760386924535565</v>
      </c>
      <c r="K31" t="b">
        <f>Data_Completeness(ProductionLotsData[[#This Row],[Fiscal_Year]:[log Unit Cost]])</f>
        <v>1</v>
      </c>
    </row>
    <row r="32" spans="1:11" x14ac:dyDescent="0.25">
      <c r="A32" t="s">
        <v>1809</v>
      </c>
      <c r="B32" t="s">
        <v>1797</v>
      </c>
      <c r="C32">
        <v>2013</v>
      </c>
      <c r="D32">
        <v>12</v>
      </c>
      <c r="E32">
        <v>218</v>
      </c>
      <c r="F32">
        <v>90.8</v>
      </c>
      <c r="G32">
        <v>127702</v>
      </c>
      <c r="H32">
        <v>5.3844950627890888</v>
      </c>
      <c r="I32">
        <v>4.5086592856072478</v>
      </c>
      <c r="J32">
        <v>11.757454703605113</v>
      </c>
      <c r="K32" t="b">
        <f>Data_Completeness(ProductionLotsData[[#This Row],[Fiscal_Year]:[log Unit Cost]])</f>
        <v>1</v>
      </c>
    </row>
    <row r="33" spans="1:11" x14ac:dyDescent="0.25">
      <c r="A33" t="s">
        <v>1810</v>
      </c>
      <c r="B33" t="s">
        <v>1797</v>
      </c>
      <c r="C33">
        <v>2014</v>
      </c>
      <c r="D33">
        <v>16</v>
      </c>
      <c r="E33">
        <v>234</v>
      </c>
      <c r="F33">
        <v>90.3</v>
      </c>
      <c r="G33">
        <v>127280</v>
      </c>
      <c r="H33">
        <v>5.4553211153577017</v>
      </c>
      <c r="I33">
        <v>4.5031374604229395</v>
      </c>
      <c r="J33">
        <v>11.754144663011669</v>
      </c>
      <c r="K33" t="b">
        <f>Data_Completeness(ProductionLotsData[[#This Row],[Fiscal_Year]:[log Unit Cost]])</f>
        <v>1</v>
      </c>
    </row>
    <row r="34" spans="1:11" x14ac:dyDescent="0.25">
      <c r="A34" t="s">
        <v>1811</v>
      </c>
      <c r="B34" t="s">
        <v>1797</v>
      </c>
      <c r="C34">
        <v>2015</v>
      </c>
      <c r="D34">
        <v>19</v>
      </c>
      <c r="E34">
        <v>253</v>
      </c>
      <c r="F34">
        <v>93.1</v>
      </c>
      <c r="G34">
        <v>125676</v>
      </c>
      <c r="H34">
        <v>5.5333894887275203</v>
      </c>
      <c r="I34">
        <v>4.5336741842830213</v>
      </c>
      <c r="J34">
        <v>11.741462445561146</v>
      </c>
      <c r="K34" t="b">
        <f>Data_Completeness(ProductionLotsData[[#This Row],[Fiscal_Year]:[log Unit Cost]])</f>
        <v>1</v>
      </c>
    </row>
    <row r="35" spans="1:11" x14ac:dyDescent="0.25">
      <c r="A35" t="s">
        <v>1812</v>
      </c>
      <c r="B35" t="s">
        <v>1797</v>
      </c>
      <c r="C35">
        <v>2016</v>
      </c>
      <c r="D35">
        <v>14</v>
      </c>
      <c r="E35">
        <v>267</v>
      </c>
      <c r="F35">
        <v>94.2</v>
      </c>
      <c r="G35">
        <v>123160</v>
      </c>
      <c r="H35">
        <v>5.5872486584002496</v>
      </c>
      <c r="I35">
        <v>4.5454201815823172</v>
      </c>
      <c r="J35">
        <v>11.721239602038438</v>
      </c>
      <c r="K35" t="b">
        <f>Data_Completeness(ProductionLotsData[[#This Row],[Fiscal_Year]:[log Unit Cost]])</f>
        <v>1</v>
      </c>
    </row>
    <row r="36" spans="1:11" x14ac:dyDescent="0.25">
      <c r="A36" t="s">
        <v>1813</v>
      </c>
      <c r="B36" t="s">
        <v>1797</v>
      </c>
      <c r="C36">
        <v>2017</v>
      </c>
      <c r="D36">
        <v>10</v>
      </c>
      <c r="E36">
        <v>277</v>
      </c>
      <c r="F36">
        <v>91</v>
      </c>
      <c r="G36">
        <v>117143</v>
      </c>
      <c r="H36">
        <v>5.6240175061873385</v>
      </c>
      <c r="I36">
        <v>4.5108595065168497</v>
      </c>
      <c r="J36">
        <v>11.671150689696574</v>
      </c>
      <c r="K36" t="b">
        <f>Data_Completeness(ProductionLotsData[[#This Row],[Fiscal_Year]:[log Unit Cost]])</f>
        <v>1</v>
      </c>
    </row>
    <row r="37" spans="1:11" x14ac:dyDescent="0.25">
      <c r="A37" t="s">
        <v>1814</v>
      </c>
      <c r="B37" t="s">
        <v>1797</v>
      </c>
      <c r="C37">
        <v>2018</v>
      </c>
      <c r="D37">
        <v>21</v>
      </c>
      <c r="E37">
        <v>298</v>
      </c>
      <c r="F37">
        <v>92.1</v>
      </c>
      <c r="G37">
        <v>126852</v>
      </c>
      <c r="H37">
        <v>5.6970934865054046</v>
      </c>
      <c r="I37">
        <v>4.5228749432612609</v>
      </c>
      <c r="J37">
        <v>11.750776331556663</v>
      </c>
      <c r="K37" t="b">
        <f>Data_Completeness(ProductionLotsData[[#This Row],[Fiscal_Year]:[log Unit Cost]])</f>
        <v>1</v>
      </c>
    </row>
    <row r="38" spans="1:11" x14ac:dyDescent="0.25">
      <c r="A38" t="s">
        <v>1815</v>
      </c>
      <c r="B38" t="s">
        <v>1797</v>
      </c>
      <c r="C38">
        <v>2019</v>
      </c>
      <c r="D38">
        <v>20</v>
      </c>
      <c r="E38">
        <v>318</v>
      </c>
      <c r="F38">
        <v>97.2</v>
      </c>
      <c r="G38">
        <v>124251</v>
      </c>
      <c r="H38">
        <v>5.7620513827801769</v>
      </c>
      <c r="I38">
        <v>4.5767707114663931</v>
      </c>
      <c r="J38">
        <v>11.730058992216227</v>
      </c>
      <c r="K38" t="b">
        <f>Data_Completeness(ProductionLotsData[[#This Row],[Fiscal_Year]:[log Unit Cost]])</f>
        <v>1</v>
      </c>
    </row>
    <row r="39" spans="1:11" x14ac:dyDescent="0.25">
      <c r="A39" t="s">
        <v>1816</v>
      </c>
      <c r="B39" t="s">
        <v>1797</v>
      </c>
      <c r="C39">
        <v>2020</v>
      </c>
      <c r="D39">
        <v>13</v>
      </c>
      <c r="E39">
        <v>331</v>
      </c>
      <c r="F39">
        <v>97.6</v>
      </c>
      <c r="G39">
        <v>111098</v>
      </c>
      <c r="H39">
        <v>5.8021183753770629</v>
      </c>
      <c r="I39">
        <v>4.580877493419047</v>
      </c>
      <c r="J39">
        <v>11.618167973665507</v>
      </c>
      <c r="K39" t="b">
        <f>Data_Completeness(ProductionLotsData[[#This Row],[Fiscal_Year]:[log Unit Cost]])</f>
        <v>1</v>
      </c>
    </row>
    <row r="40" spans="1:11" x14ac:dyDescent="0.25">
      <c r="A40" t="s">
        <v>1817</v>
      </c>
      <c r="B40" t="s">
        <v>1818</v>
      </c>
      <c r="C40">
        <v>2005</v>
      </c>
      <c r="D40">
        <v>22</v>
      </c>
      <c r="E40">
        <v>22</v>
      </c>
      <c r="F40">
        <v>11.8</v>
      </c>
      <c r="G40">
        <v>155282</v>
      </c>
      <c r="H40">
        <v>3.0910424533583161</v>
      </c>
      <c r="I40">
        <v>2.4680995314716192</v>
      </c>
      <c r="J40">
        <v>11.95299809771873</v>
      </c>
      <c r="K40" t="b">
        <f>Data_Completeness(ProductionLotsData[[#This Row],[Fiscal_Year]:[log Unit Cost]])</f>
        <v>1</v>
      </c>
    </row>
    <row r="41" spans="1:11" x14ac:dyDescent="0.25">
      <c r="A41" t="s">
        <v>1819</v>
      </c>
      <c r="B41" t="s">
        <v>1818</v>
      </c>
      <c r="C41">
        <v>2006</v>
      </c>
      <c r="D41">
        <v>15</v>
      </c>
      <c r="E41">
        <v>37</v>
      </c>
      <c r="F41">
        <v>26.9</v>
      </c>
      <c r="G41">
        <v>119380</v>
      </c>
      <c r="H41">
        <v>3.6109179126442243</v>
      </c>
      <c r="I41">
        <v>3.2921262866077932</v>
      </c>
      <c r="J41">
        <v>11.690066961722641</v>
      </c>
      <c r="K41" t="b">
        <f>Data_Completeness(ProductionLotsData[[#This Row],[Fiscal_Year]:[log Unit Cost]])</f>
        <v>1</v>
      </c>
    </row>
    <row r="42" spans="1:11" x14ac:dyDescent="0.25">
      <c r="A42" t="s">
        <v>1820</v>
      </c>
      <c r="B42" t="s">
        <v>1818</v>
      </c>
      <c r="C42">
        <v>2007</v>
      </c>
      <c r="D42">
        <v>17</v>
      </c>
      <c r="E42">
        <v>54</v>
      </c>
      <c r="F42">
        <v>37.799999999999997</v>
      </c>
      <c r="G42">
        <v>111090</v>
      </c>
      <c r="H42">
        <v>3.9889840465642745</v>
      </c>
      <c r="I42">
        <v>3.6323091026255421</v>
      </c>
      <c r="J42">
        <v>11.618095962575769</v>
      </c>
      <c r="K42" t="b">
        <f>Data_Completeness(ProductionLotsData[[#This Row],[Fiscal_Year]:[log Unit Cost]])</f>
        <v>1</v>
      </c>
    </row>
    <row r="43" spans="1:11" x14ac:dyDescent="0.25">
      <c r="A43" t="s">
        <v>1821</v>
      </c>
      <c r="B43" t="s">
        <v>1818</v>
      </c>
      <c r="C43">
        <v>2011</v>
      </c>
      <c r="D43">
        <v>22</v>
      </c>
      <c r="E43">
        <v>76</v>
      </c>
      <c r="F43">
        <v>35.1</v>
      </c>
      <c r="G43">
        <v>123261</v>
      </c>
      <c r="H43">
        <v>4.3307333402863311</v>
      </c>
      <c r="I43">
        <v>3.55820113047182</v>
      </c>
      <c r="J43">
        <v>11.722059337415338</v>
      </c>
      <c r="K43" t="b">
        <f>Data_Completeness(ProductionLotsData[[#This Row],[Fiscal_Year]:[log Unit Cost]])</f>
        <v>1</v>
      </c>
    </row>
    <row r="44" spans="1:11" x14ac:dyDescent="0.25">
      <c r="A44" t="s">
        <v>1822</v>
      </c>
      <c r="B44" t="s">
        <v>1818</v>
      </c>
      <c r="C44">
        <v>2012</v>
      </c>
      <c r="D44">
        <v>18</v>
      </c>
      <c r="E44">
        <v>94</v>
      </c>
      <c r="F44">
        <v>48.2</v>
      </c>
      <c r="G44">
        <v>117072</v>
      </c>
      <c r="H44">
        <v>4.5432947822700038</v>
      </c>
      <c r="I44">
        <v>3.8753590210565547</v>
      </c>
      <c r="J44">
        <v>11.670544409123812</v>
      </c>
      <c r="K44" t="b">
        <f>Data_Completeness(ProductionLotsData[[#This Row],[Fiscal_Year]:[log Unit Cost]])</f>
        <v>1</v>
      </c>
    </row>
    <row r="45" spans="1:11" x14ac:dyDescent="0.25">
      <c r="A45" t="s">
        <v>1823</v>
      </c>
      <c r="B45" t="s">
        <v>1818</v>
      </c>
      <c r="C45">
        <v>2013</v>
      </c>
      <c r="D45">
        <v>13</v>
      </c>
      <c r="E45">
        <v>107</v>
      </c>
      <c r="F45">
        <v>55.1</v>
      </c>
      <c r="G45">
        <v>97218</v>
      </c>
      <c r="H45">
        <v>4.6728288344619058</v>
      </c>
      <c r="I45">
        <v>4.0091497161588689</v>
      </c>
      <c r="J45">
        <v>11.484711158489056</v>
      </c>
      <c r="K45" t="b">
        <f>Data_Completeness(ProductionLotsData[[#This Row],[Fiscal_Year]:[log Unit Cost]])</f>
        <v>1</v>
      </c>
    </row>
    <row r="46" spans="1:11" x14ac:dyDescent="0.25">
      <c r="A46" t="s">
        <v>1824</v>
      </c>
      <c r="B46" t="s">
        <v>1818</v>
      </c>
      <c r="C46">
        <v>2014</v>
      </c>
      <c r="D46">
        <v>21</v>
      </c>
      <c r="E46">
        <v>128</v>
      </c>
      <c r="F46">
        <v>62.9</v>
      </c>
      <c r="G46">
        <v>96265</v>
      </c>
      <c r="H46">
        <v>4.8520302639196169</v>
      </c>
      <c r="I46">
        <v>4.1415461637063951</v>
      </c>
      <c r="J46">
        <v>11.474860084163437</v>
      </c>
      <c r="K46" t="b">
        <f>Data_Completeness(ProductionLotsData[[#This Row],[Fiscal_Year]:[log Unit Cost]])</f>
        <v>1</v>
      </c>
    </row>
    <row r="47" spans="1:11" x14ac:dyDescent="0.25">
      <c r="A47" t="s">
        <v>1825</v>
      </c>
      <c r="B47" t="s">
        <v>1818</v>
      </c>
      <c r="C47">
        <v>2019</v>
      </c>
      <c r="D47">
        <v>22</v>
      </c>
      <c r="E47">
        <v>150</v>
      </c>
      <c r="F47">
        <v>43.6</v>
      </c>
      <c r="G47">
        <v>110333</v>
      </c>
      <c r="H47">
        <v>5.0106352940962555</v>
      </c>
      <c r="I47">
        <v>3.7750571503549888</v>
      </c>
      <c r="J47">
        <v>11.61125834453849</v>
      </c>
      <c r="K47" t="b">
        <f>Data_Completeness(ProductionLotsData[[#This Row],[Fiscal_Year]:[log Unit Cost]])</f>
        <v>1</v>
      </c>
    </row>
    <row r="48" spans="1:11" x14ac:dyDescent="0.25">
      <c r="A48" t="s">
        <v>1826</v>
      </c>
      <c r="B48" t="s">
        <v>1818</v>
      </c>
      <c r="C48">
        <v>2020</v>
      </c>
      <c r="D48">
        <v>24</v>
      </c>
      <c r="E48">
        <v>174</v>
      </c>
      <c r="F48">
        <v>58.4</v>
      </c>
      <c r="G48">
        <v>105100</v>
      </c>
      <c r="H48">
        <v>5.1590552992145291</v>
      </c>
      <c r="I48">
        <v>4.0673158898341812</v>
      </c>
      <c r="J48">
        <v>11.562667556865042</v>
      </c>
      <c r="K48" t="b">
        <f>Data_Completeness(ProductionLotsData[[#This Row],[Fiscal_Year]:[log Unit Cost]])</f>
        <v>1</v>
      </c>
    </row>
    <row r="49" spans="1:11" x14ac:dyDescent="0.25">
      <c r="A49" t="s">
        <v>1827</v>
      </c>
      <c r="B49" t="s">
        <v>1818</v>
      </c>
      <c r="C49">
        <v>2021</v>
      </c>
      <c r="D49">
        <v>23</v>
      </c>
      <c r="E49">
        <v>197</v>
      </c>
      <c r="F49">
        <v>71.3</v>
      </c>
      <c r="G49">
        <v>95996</v>
      </c>
      <c r="H49">
        <v>5.2832037287379885</v>
      </c>
      <c r="I49">
        <v>4.26689632742025</v>
      </c>
      <c r="J49">
        <v>11.472061802915228</v>
      </c>
      <c r="K49" t="b">
        <f>Data_Completeness(ProductionLotsData[[#This Row],[Fiscal_Year]:[log Unit Cost]])</f>
        <v>1</v>
      </c>
    </row>
    <row r="50" spans="1:11" x14ac:dyDescent="0.25">
      <c r="A50" t="s">
        <v>1828</v>
      </c>
      <c r="B50" t="s">
        <v>1818</v>
      </c>
      <c r="C50">
        <v>2022</v>
      </c>
      <c r="D50">
        <v>10</v>
      </c>
      <c r="E50">
        <v>207</v>
      </c>
      <c r="F50">
        <v>75.400000000000006</v>
      </c>
      <c r="G50">
        <v>103898</v>
      </c>
      <c r="H50">
        <v>5.3327187932653688</v>
      </c>
      <c r="I50">
        <v>4.3228072750139104</v>
      </c>
      <c r="J50">
        <v>11.551164927623898</v>
      </c>
      <c r="K50" t="b">
        <f>Data_Completeness(ProductionLotsData[[#This Row],[Fiscal_Year]:[log Unit Cost]])</f>
        <v>1</v>
      </c>
    </row>
    <row r="51" spans="1:11" x14ac:dyDescent="0.25">
      <c r="A51" t="s">
        <v>1829</v>
      </c>
      <c r="B51" t="s">
        <v>1818</v>
      </c>
      <c r="C51">
        <v>2023</v>
      </c>
      <c r="D51">
        <v>19</v>
      </c>
      <c r="E51">
        <v>226</v>
      </c>
      <c r="F51">
        <v>77.8</v>
      </c>
      <c r="G51">
        <v>101933</v>
      </c>
      <c r="H51">
        <v>5.4205349992722862</v>
      </c>
      <c r="I51">
        <v>4.3541414311843463</v>
      </c>
      <c r="J51">
        <v>11.532071013692459</v>
      </c>
      <c r="K51" t="b">
        <f>Data_Completeness(ProductionLotsData[[#This Row],[Fiscal_Year]:[log Unit Cost]])</f>
        <v>1</v>
      </c>
    </row>
    <row r="52" spans="1:11" x14ac:dyDescent="0.25">
      <c r="A52" t="s">
        <v>1830</v>
      </c>
      <c r="B52" t="s">
        <v>1818</v>
      </c>
      <c r="C52">
        <v>2024</v>
      </c>
      <c r="D52">
        <v>15</v>
      </c>
      <c r="E52">
        <v>241</v>
      </c>
      <c r="F52">
        <v>81.7</v>
      </c>
      <c r="G52">
        <v>92856</v>
      </c>
      <c r="H52">
        <v>5.4847969334906548</v>
      </c>
      <c r="I52">
        <v>4.4030540018659572</v>
      </c>
      <c r="J52">
        <v>11.438805185048459</v>
      </c>
      <c r="K52" t="b">
        <f>Data_Completeness(ProductionLotsData[[#This Row],[Fiscal_Year]:[log Unit Cost]])</f>
        <v>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CD744-3038-45D2-A917-A56FBBB66446}">
  <sheetPr>
    <tabColor rgb="FF808080"/>
  </sheetPr>
  <dimension ref="A1:D6"/>
  <sheetViews>
    <sheetView workbookViewId="0"/>
  </sheetViews>
  <sheetFormatPr defaultRowHeight="15" x14ac:dyDescent="0.25"/>
  <cols>
    <col min="1" max="1" width="12.7109375" customWidth="1"/>
    <col min="2" max="2" width="16.7109375" customWidth="1"/>
    <col min="3" max="3" width="14.7109375" customWidth="1"/>
    <col min="4" max="4" width="90.7109375" customWidth="1"/>
  </cols>
  <sheetData>
    <row r="1" spans="1:4" x14ac:dyDescent="0.25">
      <c r="A1" s="4" t="s">
        <v>644</v>
      </c>
      <c r="B1" s="13"/>
      <c r="C1" s="13"/>
      <c r="D1" s="13"/>
    </row>
    <row r="2" spans="1:4" x14ac:dyDescent="0.25">
      <c r="A2" s="6" t="s">
        <v>645</v>
      </c>
      <c r="B2" s="6" t="s">
        <v>646</v>
      </c>
      <c r="C2" s="6" t="s">
        <v>884</v>
      </c>
      <c r="D2" s="6" t="s">
        <v>647</v>
      </c>
    </row>
    <row r="3" spans="1:4" ht="105" x14ac:dyDescent="0.25">
      <c r="A3" t="s">
        <v>648</v>
      </c>
      <c r="B3" s="18">
        <v>46189</v>
      </c>
      <c r="C3" t="s">
        <v>886</v>
      </c>
      <c r="D3" s="2" t="s">
        <v>649</v>
      </c>
    </row>
    <row r="4" spans="1:4" ht="105" x14ac:dyDescent="0.25">
      <c r="A4" t="s">
        <v>885</v>
      </c>
      <c r="B4" s="18">
        <v>46202</v>
      </c>
      <c r="C4" t="s">
        <v>886</v>
      </c>
      <c r="D4" s="2" t="s">
        <v>831</v>
      </c>
    </row>
    <row r="5" spans="1:4" ht="105" x14ac:dyDescent="0.25">
      <c r="A5" t="s">
        <v>887</v>
      </c>
      <c r="B5" s="18">
        <v>46206</v>
      </c>
      <c r="C5" t="s">
        <v>886</v>
      </c>
      <c r="D5" s="2" t="s">
        <v>888</v>
      </c>
    </row>
    <row r="6" spans="1:4" ht="150" x14ac:dyDescent="0.25">
      <c r="A6" t="s">
        <v>830</v>
      </c>
      <c r="B6" s="18">
        <v>46208</v>
      </c>
      <c r="C6" t="s">
        <v>889</v>
      </c>
      <c r="D6" s="2" t="s">
        <v>956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21C83A-877E-460A-8D43-ABEED5BD97C3}">
  <sheetPr>
    <tabColor rgb="FFDCE6F1"/>
  </sheetPr>
  <dimension ref="A1:A20"/>
  <sheetViews>
    <sheetView workbookViewId="0"/>
  </sheetViews>
  <sheetFormatPr defaultRowHeight="15" x14ac:dyDescent="0.25"/>
  <cols>
    <col min="1" max="1" width="110.7109375" customWidth="1"/>
  </cols>
  <sheetData>
    <row r="1" spans="1:1" x14ac:dyDescent="0.25">
      <c r="A1" s="4" t="s">
        <v>557</v>
      </c>
    </row>
    <row r="2" spans="1:1" ht="30" x14ac:dyDescent="0.25">
      <c r="A2" s="2" t="s">
        <v>876</v>
      </c>
    </row>
    <row r="3" spans="1:1" ht="30" x14ac:dyDescent="0.25">
      <c r="A3" s="2" t="s">
        <v>558</v>
      </c>
    </row>
    <row r="5" spans="1:1" x14ac:dyDescent="0.25">
      <c r="A5" s="4" t="s">
        <v>877</v>
      </c>
    </row>
    <row r="6" spans="1:1" ht="75" x14ac:dyDescent="0.25">
      <c r="A6" s="2" t="s">
        <v>1627</v>
      </c>
    </row>
    <row r="8" spans="1:1" x14ac:dyDescent="0.25">
      <c r="A8" s="4" t="s">
        <v>1638</v>
      </c>
    </row>
    <row r="9" spans="1:1" ht="135" x14ac:dyDescent="0.25">
      <c r="A9" s="2" t="s">
        <v>878</v>
      </c>
    </row>
    <row r="10" spans="1:1" ht="90" x14ac:dyDescent="0.25">
      <c r="A10" s="2" t="s">
        <v>879</v>
      </c>
    </row>
    <row r="11" spans="1:1" ht="150" x14ac:dyDescent="0.25">
      <c r="A11" s="2" t="s">
        <v>964</v>
      </c>
    </row>
    <row r="13" spans="1:1" x14ac:dyDescent="0.25">
      <c r="A13" s="4" t="s">
        <v>880</v>
      </c>
    </row>
    <row r="14" spans="1:1" ht="45" x14ac:dyDescent="0.25">
      <c r="A14" s="2" t="s">
        <v>881</v>
      </c>
    </row>
    <row r="16" spans="1:1" x14ac:dyDescent="0.25">
      <c r="A16" s="4" t="s">
        <v>882</v>
      </c>
    </row>
    <row r="17" spans="1:1" ht="60" x14ac:dyDescent="0.25">
      <c r="A17" s="2" t="s">
        <v>883</v>
      </c>
    </row>
    <row r="19" spans="1:1" x14ac:dyDescent="0.25">
      <c r="A19" s="4" t="s">
        <v>559</v>
      </c>
    </row>
    <row r="20" spans="1:1" ht="120" x14ac:dyDescent="0.25">
      <c r="A20" s="2" t="s">
        <v>1750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2B432-9445-4242-A194-785D787BF8F2}">
  <sheetPr>
    <tabColor rgb="FFDCE6F1"/>
  </sheetPr>
  <dimension ref="A1:AV394"/>
  <sheetViews>
    <sheetView zoomScaleNormal="100" workbookViewId="0">
      <pane ySplit="2" topLeftCell="A3" activePane="bottomLeft" state="frozenSplit"/>
      <selection pane="bottomLeft" activeCell="A3" sqref="A3"/>
    </sheetView>
  </sheetViews>
  <sheetFormatPr defaultRowHeight="15" outlineLevelCol="1" x14ac:dyDescent="0.25"/>
  <cols>
    <col min="1" max="1" width="28.7109375" customWidth="1" outlineLevel="1"/>
    <col min="2" max="2" width="20.7109375" customWidth="1" outlineLevel="1"/>
    <col min="3" max="3" width="9.7109375" customWidth="1" outlineLevel="1"/>
    <col min="4" max="4" width="11.7109375" customWidth="1" outlineLevel="1"/>
    <col min="5" max="5" width="15.7109375" customWidth="1" outlineLevel="1"/>
    <col min="6" max="6" width="8.42578125" hidden="1" customWidth="1" outlineLevel="1"/>
    <col min="7" max="7" width="12.42578125" hidden="1" customWidth="1" outlineLevel="1"/>
    <col min="8" max="8" width="10.7109375" customWidth="1" outlineLevel="1"/>
    <col min="9" max="9" width="38.7109375" customWidth="1" outlineLevel="1"/>
    <col min="10" max="10" width="14.7109375" customWidth="1" outlineLevel="1"/>
    <col min="11" max="11" width="7.7109375" customWidth="1" outlineLevel="1"/>
    <col min="12" max="12" width="16.7109375" customWidth="1" outlineLevel="1"/>
    <col min="13" max="13" width="10.7109375" customWidth="1" outlineLevel="1"/>
    <col min="14" max="14" width="8.7109375" customWidth="1" outlineLevel="1"/>
    <col min="15" max="15" width="2.7109375" customWidth="1"/>
    <col min="16" max="16" width="24.7109375" customWidth="1" outlineLevel="1"/>
    <col min="17" max="22" width="9.7109375" customWidth="1" outlineLevel="1"/>
    <col min="23" max="23" width="2.7109375" customWidth="1"/>
    <col min="24" max="24" width="22.7109375" customWidth="1" outlineLevel="1"/>
    <col min="25" max="26" width="12.7109375" customWidth="1" outlineLevel="1"/>
    <col min="27" max="27" width="24.7109375" customWidth="1" outlineLevel="1"/>
    <col min="28" max="28" width="16.7109375" customWidth="1" outlineLevel="1"/>
    <col min="29" max="29" width="14.7109375" customWidth="1" outlineLevel="1"/>
    <col min="30" max="31" width="10.7109375" customWidth="1" outlineLevel="1"/>
    <col min="32" max="32" width="2.7109375" customWidth="1"/>
    <col min="33" max="33" width="24.7109375" customWidth="1" outlineLevel="1"/>
    <col min="34" max="34" width="16.7109375" customWidth="1" outlineLevel="1"/>
    <col min="35" max="35" width="14.7109375" style="7" customWidth="1" outlineLevel="1"/>
    <col min="36" max="36" width="2.7109375" customWidth="1"/>
    <col min="37" max="37" width="16.7109375" customWidth="1" outlineLevel="1"/>
    <col min="38" max="39" width="10.7109375" style="7" customWidth="1" outlineLevel="1"/>
    <col min="40" max="42" width="9.7109375" style="7" customWidth="1" outlineLevel="1"/>
    <col min="43" max="43" width="12.7109375" style="7" customWidth="1" outlineLevel="1"/>
    <col min="44" max="44" width="9.7109375" style="7" customWidth="1" outlineLevel="1"/>
    <col min="45" max="45" width="14.7109375" style="7" customWidth="1" outlineLevel="1"/>
    <col min="46" max="46" width="17.7109375" style="7" customWidth="1" outlineLevel="1"/>
    <col min="47" max="47" width="14.7109375" style="7" customWidth="1" outlineLevel="1"/>
    <col min="48" max="50" width="15.7109375" customWidth="1"/>
  </cols>
  <sheetData>
    <row r="1" spans="1:48" x14ac:dyDescent="0.25">
      <c r="A1" s="4" t="s">
        <v>873</v>
      </c>
      <c r="B1" s="3" t="str" cm="1">
        <f t="array" ref="B1">IF(SUMPRODUCT(N(_xlfn.TAKE(Spec_Role,COLUMNS(Source_Data))="Fixed Effects"))&gt;1,"ERROR: multiple Fixed Effects rows (mark at most one variable)","")</f>
        <v/>
      </c>
      <c r="E1" s="3" t="str" cm="1">
        <f t="array" ref="E1">IF(SUMPRODUCT(N(_xlfn.TAKE(Spec_Sequence,COLUMNS(Source_Data))=TRUE))&gt;1,"ERROR: multiple Sequence flags (mark at most one variable)","")</f>
        <v/>
      </c>
      <c r="I1" s="3" t="s">
        <v>961</v>
      </c>
      <c r="J1" s="3" t="s">
        <v>1751</v>
      </c>
      <c r="K1" s="3" t="s">
        <v>1752</v>
      </c>
      <c r="L1" s="3" t="s">
        <v>1753</v>
      </c>
      <c r="M1" s="3" t="s">
        <v>959</v>
      </c>
      <c r="N1" s="3" t="s">
        <v>960</v>
      </c>
      <c r="P1" s="4" t="s">
        <v>650</v>
      </c>
      <c r="X1" s="4" t="s">
        <v>653</v>
      </c>
      <c r="AG1" s="36" t="s">
        <v>677</v>
      </c>
      <c r="AH1" s="37"/>
      <c r="AK1" s="4" t="s">
        <v>686</v>
      </c>
    </row>
    <row r="2" spans="1:48" ht="60" x14ac:dyDescent="0.25">
      <c r="A2" s="3" t="s">
        <v>685</v>
      </c>
      <c r="C2" s="16" t="b">
        <v>1</v>
      </c>
      <c r="I2" t="str" cm="1">
        <f t="array" ref="I2">_xlfn.LET(_xlpm.d,Sequence_Deltas(),_xlpm.v,INDEX(Spec_Period_In_Use,_xlfn.XMATCH(TRUE,Spec_Sequence,0)),IF(OR(COUNT(_xlpm.d)=0,NOT(ISNUMBER(_xlpm.v))),"",IF(SUM(--(MOD(_xlpm.d,_xlpm.v)&lt;&gt;0))&gt;0,"Off-grid spacings: some gaps are not whole multiples of Δ — those observations never align with the Δ grid.",IF(SUM(--(_xlpm.d&lt;&gt;_xlpm.v))&gt;0,"Sequence is not evenly spaced: spacings besides Δ exist — Difference_By / Lag_By return #N/A at gap rows.",IF(ISNA(_xlfn.MODE.SNGL(_xlpm.d)),"No repeated spacing — no natural base period (candidate falls back to the minimum). Review the spectrum and set Δ in spec column I (Sequence Period).",IF(SUM(--((((_xlpm.d&gt;=28)*(_xlpm.d&lt;=31))+((_xlpm.d&gt;=90)*(_xlpm.d&lt;=92))+((_xlpm.d&gt;=365)*(_xlpm.d&lt;=366)))&gt;0))*2&gt;COUNT(_xlpm.d),"Calendar-day spacing (~28–31 / 90–92 / 365–366): do not set a day-count Δ — build an integer period index upstream (YEAR, or YEAR*12+MONTH) and flag that as the Sequence axis.",""))))))</f>
        <v>Sequence is not evenly spaced: spacings besides Δ exist — Difference_By / Lag_By return #N/A at gap rows.</v>
      </c>
      <c r="J2" t="str" cm="1">
        <f t="array" ref="J2">IF(SUMPRODUCT(N(_xlfn.TAKE(Spec_Role,COLUMNS(Source_Data))="Fixed Effects"))=0,"n/a",IFERROR(INDEX(_xlfn.TOROW(Header_Names),_xlfn.XMATCH("Fixed Effects",_xlfn.TAKE(Spec_Role,COLUMNS(Source_Data)))),"n/a"))</f>
        <v>n/a</v>
      </c>
      <c r="K2" t="str" cm="1">
        <f t="array" ref="K2">IF(SUMPRODUCT(N(_xlfn.TAKE(Spec_Role,COLUMNS(Source_Data))="Fixed Effects"))=0,"n/a",Absorbed_Degrees_Of_Freedom()+1)</f>
        <v>n/a</v>
      </c>
      <c r="L2" t="str" cm="1">
        <f t="array" ref="L2">IF(SUMPRODUCT(N(_xlfn.TAKE(Spec_Role,COLUMNS(Source_Data))="Fixed Effects"))=0,"n/a",Absorbed_Degrees_Of_Freedom())</f>
        <v>n/a</v>
      </c>
      <c r="M2" cm="1">
        <f t="array" ref="M2:N10">IFERROR(Sequence_Delta_Spectrum(),"")</f>
        <v>1</v>
      </c>
      <c r="N2">
        <v>44</v>
      </c>
      <c r="P2" s="26"/>
      <c r="Q2" s="26" t="s">
        <v>651</v>
      </c>
      <c r="R2" s="26" t="s">
        <v>652</v>
      </c>
      <c r="S2" s="26" t="s">
        <v>219</v>
      </c>
      <c r="T2" s="26" t="s">
        <v>225</v>
      </c>
      <c r="U2" s="26" t="s">
        <v>1614</v>
      </c>
      <c r="V2" s="26" t="s">
        <v>104</v>
      </c>
      <c r="W2" s="2"/>
      <c r="X2" s="2"/>
      <c r="Y2" s="2"/>
      <c r="Z2" s="2"/>
      <c r="AA2" s="2"/>
      <c r="AB2" s="30" t="s">
        <v>764</v>
      </c>
      <c r="AC2" s="30" t="str" cm="1">
        <f t="array" ref="AC2">IFERROR(INDEX(_xlfn.TOROW(Header_Names),_xlfn.XMATCH("Response (y)",_xlfn.TAKE(Spec_Role,COLUMNS(Source_Data)))),"(none)")</f>
        <v>MPG</v>
      </c>
      <c r="AD2" s="2"/>
      <c r="AE2" s="2"/>
      <c r="AF2" s="2"/>
      <c r="AG2" s="27" t="s">
        <v>678</v>
      </c>
      <c r="AH2" s="28"/>
      <c r="AI2" s="32"/>
      <c r="AJ2" s="2"/>
      <c r="AK2" s="26" t="s">
        <v>874</v>
      </c>
      <c r="AL2" s="29" t="str" cm="1">
        <f t="array" ref="AL2">IF(SUMPRODUCT(N(_xlfn.TAKE(Spec_Role,COLUMNS(Source_Data))="Fixed Effects"))&gt;0,"Y (Within)","Y")</f>
        <v>Y</v>
      </c>
      <c r="AM2" s="29" t="str" cm="1">
        <f t="array" ref="AM2">IF(SUMPRODUCT(N(_xlfn.TAKE(Spec_Role,COLUMNS(Source_Data))="Fixed Effects"))&gt;0,"Predicted Y (Within)","Predicted Y")</f>
        <v>Predicted Y</v>
      </c>
      <c r="AN2" s="29" t="str" cm="1">
        <f t="array" ref="AN2">IF(SUMPRODUCT(N(_xlfn.TAKE(Spec_Role,COLUMNS(Source_Data))="Fixed Effects"))&gt;0,"Residuals (Within)","Residuals")</f>
        <v>Residuals</v>
      </c>
      <c r="AO2" s="29" t="str" cm="1">
        <f t="array" ref="AO2">IF(SUMPRODUCT(N(_xlfn.TAKE(Spec_Role,COLUMNS(Source_Data))="Fixed Effects"))&gt;0,"Hat Diagonal (Within)","Hat Diagonal")</f>
        <v>Hat Diagonal</v>
      </c>
      <c r="AP2" s="29" t="str" cm="1">
        <f t="array" ref="AP2">IF(SUMPRODUCT(N(_xlfn.TAKE(Spec_Role,COLUMNS(Source_Data))="Fixed Effects"))&gt;0,"Studentized Residuals (Within)","Studentized Residuals")</f>
        <v>Studentized Residuals</v>
      </c>
      <c r="AQ2" s="29" t="str" cm="1">
        <f t="array" ref="AQ2">IF(SUMPRODUCT(N(_xlfn.TAKE(Spec_Role,COLUMNS(Source_Data))="Fixed Effects"))&gt;0,"Cook's Distance (Within)","Cook's Distance")</f>
        <v>Cook's Distance</v>
      </c>
      <c r="AR2" s="29" t="str" cm="1">
        <f t="array" ref="AR2">IF(SUMPRODUCT(N(_xlfn.TAKE(Spec_Role,COLUMNS(Source_Data))="Fixed Effects"))&gt;0,"Normal Scores Ranked (Within)","Normal Scores Ranked")</f>
        <v>Normal Scores Ranked</v>
      </c>
      <c r="AS2" s="29" t="str" cm="1">
        <f t="array" ref="AS2">IF(SUMPRODUCT(N(_xlfn.TAKE(Spec_Role,COLUMNS(Source_Data))="Fixed Effects"))&gt;0,"Studentized Residuals Ranked (Within)","Studentized Residuals Ranked")</f>
        <v>Studentized Residuals Ranked</v>
      </c>
      <c r="AT2" s="29" t="str" cm="1">
        <f t="array" ref="AT2">IF(SUMPRODUCT(N(_xlfn.TAKE(Spec_Role,COLUMNS(Source_Data))="Fixed Effects"))&gt;0,"Scale-Location (Within)","Scale-Location")</f>
        <v>Scale-Location</v>
      </c>
      <c r="AU2" s="29" t="str" cm="1">
        <f t="array" ref="AU2">IF(SUMPRODUCT(N(_xlfn.TAKE(Spec_Role,COLUMNS(Source_Data))="Fixed Effects"))&gt;0,"PRESS Residual (Within)","PRESS Residual")</f>
        <v>PRESS Residual</v>
      </c>
      <c r="AV2" s="2"/>
    </row>
    <row r="3" spans="1:48" x14ac:dyDescent="0.25">
      <c r="A3" s="6" t="s">
        <v>948</v>
      </c>
      <c r="B3" s="6" t="s">
        <v>832</v>
      </c>
      <c r="C3" s="6" t="s">
        <v>829</v>
      </c>
      <c r="D3" s="6" t="s">
        <v>833</v>
      </c>
      <c r="E3" s="6" t="s">
        <v>834</v>
      </c>
      <c r="F3" s="6" t="s">
        <v>835</v>
      </c>
      <c r="G3" s="6" t="s">
        <v>836</v>
      </c>
      <c r="H3" s="6" t="s">
        <v>892</v>
      </c>
      <c r="I3" s="6" t="s">
        <v>957</v>
      </c>
      <c r="J3" s="6" t="s">
        <v>958</v>
      </c>
      <c r="K3" s="6" t="s">
        <v>837</v>
      </c>
      <c r="L3" s="6" t="s">
        <v>872</v>
      </c>
      <c r="M3">
        <v>2</v>
      </c>
      <c r="N3">
        <v>22</v>
      </c>
      <c r="P3" t="str" cm="1">
        <f t="array" ref="P3:P18">TRANSPOSE(Constructed_Column_Names())</f>
        <v>Horsepower</v>
      </c>
      <c r="Q3" s="14" cm="1">
        <f t="array" ref="Q3:Q18">Pearson_R(X_s(),Response_Column(),Sample_Include())</f>
        <v>-0.7784267838977752</v>
      </c>
      <c r="R3" s="14" cm="1">
        <f t="array" ref="R3:R18">Spearman_R(X_s(),Response_Column(),Sample_Include())</f>
        <v>-0.85361640244538828</v>
      </c>
      <c r="S3" s="14" cm="1">
        <f t="array" ref="S3:S18">Skewness(X_s(),Sample_Include())</f>
        <v>1.0873262824048666</v>
      </c>
      <c r="T3" s="14" cm="1">
        <f t="array" ref="T3:T18">Kurtosis(X_s(),Sample_Include())</f>
        <v>0.69694699974278684</v>
      </c>
      <c r="U3" s="14" cm="1">
        <f t="array" ref="U3:U18">GVIF(X_s(),Constructed_Column_Names(),Allow_Intercept,Sample_Include())</f>
        <v>5.5543959920421502</v>
      </c>
      <c r="V3" s="14" cm="1">
        <f t="array" ref="V3:V18">Generalized_Tolerance(X_s(),Constructed_Column_Names(),Allow_Intercept,Sample_Include())</f>
        <v>0.18003757770110593</v>
      </c>
      <c r="X3" s="36" t="s">
        <v>654</v>
      </c>
      <c r="Y3" s="37"/>
      <c r="AA3" s="36" t="s">
        <v>659</v>
      </c>
      <c r="AB3" s="37"/>
      <c r="AG3" s="8" t="s">
        <v>679</v>
      </c>
      <c r="AH3" s="11" cm="1">
        <f t="array" ref="AH3:AH11">IF(Zero_Predictors_Selected(),IF(AND(Allow_Intercept,Intercept_Only_N()&gt;=2),_xlfn.LET(_xlpm.point,Intercept_Only_Point(),_xlpm.se_mean,Intercept_Only_S()/SQRT(Intercept_Only_N()),_xlpm.se_new,Intercept_Only_S()*SQRT(1+1/Intercept_Only_N()),_xlpm.t_crit,_xlfn.T.INV.2T(alpha,Intercept_Only_DF()),_xlfn.VSTACK(_xlpm.point,_xlpm.se_mean,_xlpm.se_new,_xlpm.t_crit,_xlpm.point-_xlpm.t_crit*_xlpm.se_mean,_xlpm.point+_xlpm.t_crit*_xlpm.se_mean,_xlpm.point-_xlpm.t_crit*_xlpm.se_new,_xlpm.point+_xlpm.t_crit*_xlpm.se_new,1-alpha)),NA()),_xlfn.LET(_xlpm.pred_input,_xlfn.TAKE($AH$19:$AH$62,COLUMNS(X_s())),Group_Prediction_Interval(X_s(),Response_Column(),_xlpm.pred_input,Prediction_Group_Column(),$AH$12,Allow_Intercept,Sample_Include(),alpha,Absorbed_Degrees_Of_Freedom())))</f>
        <v>23.445918367346941</v>
      </c>
      <c r="AK3" t="str" cm="1">
        <f t="array" ref="AK3:AK394">IFERROR(_xlfn._xlws.FILTER(Row_Labels(),Sample_Include()),NA())</f>
        <v>chevrolet chevelle malibu</v>
      </c>
      <c r="AL3" s="7" cm="1">
        <f t="array" ref="AL3:AL394">Dependent_Variable(y_s(),Sample_Include())</f>
        <v>18</v>
      </c>
      <c r="AM3" s="7" cm="1">
        <f t="array" ref="AM3:AM394">Predictions(X_s_Within(),y_s(),Allow_Intercept,Sample_Include())</f>
        <v>16.838573626431661</v>
      </c>
      <c r="AN3" s="7" cm="1">
        <f t="array" ref="AN3:AN394">Residuals(X_s_Within(),y_s(),Allow_Intercept,Sample_Include())</f>
        <v>1.1614263735683394</v>
      </c>
      <c r="AO3" s="7" cm="1">
        <f t="array" ref="AO3:AO394">Hat_Diagonal(X_s_Within(),Allow_Intercept,Sample_Include())</f>
        <v>4.0149898039742615E-2</v>
      </c>
      <c r="AP3" s="7" cm="1">
        <f t="array" ref="AP3:AP394">Studentized_Residuals(X_s_Within(),y_s(),Allow_Intercept,Sample_Include(),Absorbed_Degrees_Of_Freedom())</f>
        <v>0.38649046111355201</v>
      </c>
      <c r="AQ3" s="7" cm="1">
        <f t="array" ref="AQ3:AQ394">Cooks_Distance(X_s_Within(),y_s(),Allow_Intercept,Sample_Include(),Absorbed_Degrees_Of_Freedom())</f>
        <v>3.6754428083898453E-4</v>
      </c>
      <c r="AR3" s="7" cm="1">
        <f t="array" ref="AR3:AR394">_xlfn._xlws.SORT(Normal_Scores(y_s(),Sample_Include()))</f>
        <v>-3.0172230343004571</v>
      </c>
      <c r="AS3" s="7" cm="1">
        <f t="array" ref="AS3:AS394">Studentized_Residuals_Ranked(X_s_Within(),y_s(),Allow_Intercept,Sample_Include(),Absorbed_Degrees_Of_Freedom())</f>
        <v>-3.451682617569364</v>
      </c>
      <c r="AT3" s="7" cm="1">
        <f t="array" ref="AT3:AT394">SQRT(ABS(Studentized_Residuals(X_s_Within(),y_s(),Allow_Intercept,Sample_Include(),Absorbed_Degrees_Of_Freedom())))</f>
        <v>0.6216835699240828</v>
      </c>
      <c r="AU3" s="7" cm="1">
        <f t="array" ref="AU3:AU394">LOOCV_Residual(X_s_Within(),y_s(),Allow_Intercept,Sample_Include())</f>
        <v>1.2100080743820438</v>
      </c>
    </row>
    <row r="4" spans="1:48" x14ac:dyDescent="0.25">
      <c r="A4" t="str" cm="1">
        <f t="array" ref="A4:A15">TRANSPOSE(Header_Names)</f>
        <v>MPG</v>
      </c>
      <c r="B4" s="16" t="s">
        <v>871</v>
      </c>
      <c r="C4" s="16" t="b">
        <v>0</v>
      </c>
      <c r="D4" s="16" t="s">
        <v>838</v>
      </c>
      <c r="E4" s="16"/>
      <c r="F4" s="16"/>
      <c r="G4" s="16" t="s">
        <v>839</v>
      </c>
      <c r="H4" s="16"/>
      <c r="I4" s="16"/>
      <c r="J4" t="str">
        <f>IF(SpecTable[[#This Row],[Sequence]]&lt;&gt;TRUE,"",IF(N(SpecTable[[#This Row],[Sequence Period]])&lt;&gt;0,SpecTable[[#This Row],[Sequence Period]],IFERROR(Base_Period_Delta_Candidate(),"")))</f>
        <v/>
      </c>
      <c r="K4" t="str">
        <f>IF(OR(SpecTable[[#This Row],[Role]]&lt;&gt;"Predictor (x)",SpecTable[[#This Row],[Type]]&lt;&gt;"Categorical"),"",_xlfn.LET(_xlpm.col,INDEX(Source_Data,0,ROW()-3),_xlpm.x,IF(_xlpm.col="","",_xlpm.col),IFERROR(ROWS(_xlfn.UNIQUE(_xlfn._xlws.FILTER(_xlpm.x,(_xlpm.x&lt;&gt;"")*Sample_Include()))),0)))</f>
        <v/>
      </c>
      <c r="L4"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4">
        <v>3</v>
      </c>
      <c r="N4">
        <v>13</v>
      </c>
      <c r="P4" t="str">
        <v>Weight</v>
      </c>
      <c r="Q4" s="14">
        <v>-0.83224421483157562</v>
      </c>
      <c r="R4" s="14">
        <v>-0.87558511987398702</v>
      </c>
      <c r="S4" s="14">
        <v>0.51958567405583889</v>
      </c>
      <c r="T4" s="14">
        <v>-0.80925938832796707</v>
      </c>
      <c r="U4" s="14">
        <v>5.7185914136149254</v>
      </c>
      <c r="V4" s="14">
        <v>0.174868237240937</v>
      </c>
      <c r="X4" s="8" t="s">
        <v>655</v>
      </c>
      <c r="Y4" s="11" cm="1">
        <f t="array" ref="Y4">Multiple_R(X_s_Within(),y_s(),Allow_Intercept,Sample_Include())</f>
        <v>0.9229740928315785</v>
      </c>
      <c r="AA4" s="8" t="s">
        <v>52</v>
      </c>
      <c r="AB4" s="11" cm="1">
        <f t="array" ref="AB4">PRESS(X_s_Within(),y_s(),Allow_Intercept,Sample_Include())</f>
        <v>3865.0233891256084</v>
      </c>
      <c r="AG4" s="8" t="s">
        <v>1754</v>
      </c>
      <c r="AH4" s="11">
        <v>0.15492024062955478</v>
      </c>
      <c r="AK4" t="str">
        <v>buick skylark 320</v>
      </c>
      <c r="AL4" s="7">
        <v>15</v>
      </c>
      <c r="AM4" s="7">
        <v>15.313332990800655</v>
      </c>
      <c r="AN4" s="7">
        <v>-0.3133329908006548</v>
      </c>
      <c r="AO4" s="7">
        <v>3.5578253857220431E-2</v>
      </c>
      <c r="AP4" s="7">
        <v>-0.10402109723738608</v>
      </c>
      <c r="AQ4" s="7">
        <v>2.34807289196539E-5</v>
      </c>
      <c r="AR4" s="7">
        <v>-2.6670046532742777</v>
      </c>
      <c r="AS4" s="7">
        <v>-2.7327997376671536</v>
      </c>
      <c r="AT4" s="7">
        <v>0.32252301815124151</v>
      </c>
      <c r="AU4" s="7">
        <v>-0.32489208383555762</v>
      </c>
    </row>
    <row r="5" spans="1:48" x14ac:dyDescent="0.25">
      <c r="A5" t="str">
        <v>Cylinders</v>
      </c>
      <c r="B5" s="16" t="s">
        <v>870</v>
      </c>
      <c r="C5" s="16" t="b">
        <v>0</v>
      </c>
      <c r="D5" s="16" t="s">
        <v>838</v>
      </c>
      <c r="E5" s="16"/>
      <c r="F5" s="16"/>
      <c r="G5" s="16" t="s">
        <v>839</v>
      </c>
      <c r="H5" s="16"/>
      <c r="I5" s="16"/>
      <c r="J5" t="str">
        <f>IF(SpecTable[[#This Row],[Sequence]]&lt;&gt;TRUE,"",IF(N(SpecTable[[#This Row],[Sequence Period]])&lt;&gt;0,SpecTable[[#This Row],[Sequence Period]],IFERROR(Base_Period_Delta_Candidate(),"")))</f>
        <v/>
      </c>
      <c r="K5" t="str">
        <f>IF(OR(SpecTable[[#This Row],[Role]]&lt;&gt;"Predictor (x)",SpecTable[[#This Row],[Type]]&lt;&gt;"Categorical"),"",_xlfn.LET(_xlpm.col,INDEX(Source_Data,0,ROW()-3),_xlpm.x,IF(_xlpm.col="","",_xlpm.col),IFERROR(ROWS(_xlfn.UNIQUE(_xlfn._xlws.FILTER(_xlpm.x,(_xlpm.x&lt;&gt;"")*Sample_Include()))),0)))</f>
        <v/>
      </c>
      <c r="L5"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5">
        <v>4</v>
      </c>
      <c r="N5">
        <v>5</v>
      </c>
      <c r="P5" t="str">
        <v>Model Year: 71</v>
      </c>
      <c r="Q5" s="14">
        <v>-8.1464390968000566E-2</v>
      </c>
      <c r="R5" s="14">
        <v>-7.885166012852686E-2</v>
      </c>
      <c r="S5" s="14">
        <v>3.4178672534749635</v>
      </c>
      <c r="T5" s="14">
        <v>9.7314413233527937</v>
      </c>
      <c r="U5" s="14">
        <v>1.7564955677455198</v>
      </c>
      <c r="V5" s="14">
        <v>0.5693154132370003</v>
      </c>
      <c r="X5" s="8" t="s">
        <v>656</v>
      </c>
      <c r="Y5" s="11" cm="1">
        <f t="array" ref="Y5">R_Squared(X_s_Within(),y_s(),Allow_Intercept,Sample_Include())</f>
        <v>0.85188117603827529</v>
      </c>
      <c r="AA5" s="8" t="s">
        <v>598</v>
      </c>
      <c r="AB5" s="11" cm="1">
        <f t="array" ref="AB5">1-PRESS(X_s_Within(),y_s(),Allow_Intercept,Sample_Include())/SS_Total(y_s(),Allow_Intercept,Sample_Include())</f>
        <v>0.83773355519438941</v>
      </c>
      <c r="AG5" s="8" t="s">
        <v>1755</v>
      </c>
      <c r="AH5" s="11">
        <v>3.0711741103347805</v>
      </c>
      <c r="AK5" t="str">
        <v>plymouth satellite</v>
      </c>
      <c r="AL5" s="7">
        <v>18</v>
      </c>
      <c r="AM5" s="7">
        <v>16.858150041188779</v>
      </c>
      <c r="AN5" s="7">
        <v>1.1418499588112212</v>
      </c>
      <c r="AO5" s="7">
        <v>3.544727708510207E-2</v>
      </c>
      <c r="AP5" s="7">
        <v>0.3790485664453247</v>
      </c>
      <c r="AQ5" s="7">
        <v>3.1059732014921516E-4</v>
      </c>
      <c r="AR5" s="7">
        <v>-2.6670046532742777</v>
      </c>
      <c r="AS5" s="7">
        <v>-2.6063331092365796</v>
      </c>
      <c r="AT5" s="7">
        <v>0.61566920212507359</v>
      </c>
      <c r="AU5" s="7">
        <v>1.1838129027934601</v>
      </c>
    </row>
    <row r="6" spans="1:48" x14ac:dyDescent="0.25">
      <c r="A6" t="str">
        <v>Displacement</v>
      </c>
      <c r="B6" s="16" t="s">
        <v>870</v>
      </c>
      <c r="C6" s="16" t="b">
        <v>0</v>
      </c>
      <c r="D6" s="16" t="s">
        <v>838</v>
      </c>
      <c r="E6" s="16"/>
      <c r="F6" s="16"/>
      <c r="G6" s="16" t="s">
        <v>839</v>
      </c>
      <c r="H6" s="16"/>
      <c r="I6" s="16"/>
      <c r="J6" t="str">
        <f>IF(SpecTable[[#This Row],[Sequence]]&lt;&gt;TRUE,"",IF(N(SpecTable[[#This Row],[Sequence Period]])&lt;&gt;0,SpecTable[[#This Row],[Sequence Period]],IFERROR(Base_Period_Delta_Candidate(),"")))</f>
        <v/>
      </c>
      <c r="K6" t="str">
        <f>IF(OR(SpecTable[[#This Row],[Role]]&lt;&gt;"Predictor (x)",SpecTable[[#This Row],[Type]]&lt;&gt;"Categorical"),"",_xlfn.LET(_xlpm.col,INDEX(Source_Data,0,ROW()-3),_xlpm.x,IF(_xlpm.col="","",_xlpm.col),IFERROR(ROWS(_xlfn.UNIQUE(_xlfn._xlws.FILTER(_xlpm.x,(_xlpm.x&lt;&gt;"")*Sample_Include()))),0)))</f>
        <v/>
      </c>
      <c r="L6"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6">
        <v>5</v>
      </c>
      <c r="N6">
        <v>3</v>
      </c>
      <c r="P6" t="str">
        <v>Model Year: 72</v>
      </c>
      <c r="Q6" s="14">
        <v>-0.16835292832299814</v>
      </c>
      <c r="R6" s="14">
        <v>-0.17118576357006526</v>
      </c>
      <c r="S6" s="14">
        <v>3.3409992263811197</v>
      </c>
      <c r="T6" s="14">
        <v>9.2092362452656538</v>
      </c>
      <c r="U6" s="14">
        <v>1.7564955677455198</v>
      </c>
      <c r="V6" s="14">
        <v>0.5693154132370003</v>
      </c>
      <c r="X6" s="8" t="s">
        <v>657</v>
      </c>
      <c r="Y6" s="11" cm="1">
        <f t="array" ref="Y6">Adjusted_R_Squared(X_s_Within(),y_s(),Allow_Intercept,Sample_Include(),Absorbed_Degrees_Of_Freedom())</f>
        <v>0.84556143954924168</v>
      </c>
      <c r="AA6" s="8" t="s">
        <v>660</v>
      </c>
      <c r="AB6" s="11" cm="1">
        <f t="array" ref="AB6">(Regression_Degrees_Of_Freedom(X_s_Within())+IF(Allow_Intercept,1,0))/Observations(y_s(),Sample_Include())</f>
        <v>4.336734693877551E-2</v>
      </c>
      <c r="AG6" s="8" t="s">
        <v>680</v>
      </c>
      <c r="AH6" s="11">
        <v>1.9663101608024118</v>
      </c>
      <c r="AK6" t="str">
        <v>amc rebel sst</v>
      </c>
      <c r="AL6" s="7">
        <v>16</v>
      </c>
      <c r="AM6" s="7">
        <v>16.873339970034131</v>
      </c>
      <c r="AN6" s="7">
        <v>-0.87333997003413089</v>
      </c>
      <c r="AO6" s="7">
        <v>3.5454383105468036E-2</v>
      </c>
      <c r="AP6" s="7">
        <v>-0.28991504577291533</v>
      </c>
      <c r="AQ6" s="7">
        <v>1.8173549121273713E-4</v>
      </c>
      <c r="AR6" s="7">
        <v>-2.368567059267872</v>
      </c>
      <c r="AS6" s="7">
        <v>-2.5586120959927139</v>
      </c>
      <c r="AT6" s="7">
        <v>0.53843759691622139</v>
      </c>
      <c r="AU6" s="7">
        <v>-0.90544185234696473</v>
      </c>
    </row>
    <row r="7" spans="1:48" x14ac:dyDescent="0.25">
      <c r="A7" t="str">
        <v>Horsepower</v>
      </c>
      <c r="B7" s="16" t="s">
        <v>870</v>
      </c>
      <c r="C7" s="16" t="b">
        <v>1</v>
      </c>
      <c r="D7" s="16" t="s">
        <v>838</v>
      </c>
      <c r="E7" s="16"/>
      <c r="F7" s="16"/>
      <c r="G7" s="16" t="s">
        <v>839</v>
      </c>
      <c r="H7" s="16"/>
      <c r="I7" s="16"/>
      <c r="J7" t="str">
        <f>IF(SpecTable[[#This Row],[Sequence]]&lt;&gt;TRUE,"",IF(N(SpecTable[[#This Row],[Sequence Period]])&lt;&gt;0,SpecTable[[#This Row],[Sequence Period]],IFERROR(Base_Period_Delta_Candidate(),"")))</f>
        <v/>
      </c>
      <c r="K7" t="str">
        <f>IF(OR(SpecTable[[#This Row],[Role]]&lt;&gt;"Predictor (x)",SpecTable[[#This Row],[Type]]&lt;&gt;"Categorical"),"",_xlfn.LET(_xlpm.col,INDEX(Source_Data,0,ROW()-3),_xlpm.x,IF(_xlpm.col="","",_xlpm.col),IFERROR(ROWS(_xlfn.UNIQUE(_xlfn._xlws.FILTER(_xlpm.x,(_xlpm.x&lt;&gt;"")*Sample_Include()))),0)))</f>
        <v/>
      </c>
      <c r="L7"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7">
        <v>6</v>
      </c>
      <c r="N7">
        <v>2</v>
      </c>
      <c r="P7" t="str">
        <v>Model Year: 73</v>
      </c>
      <c r="Q7" s="14">
        <v>-0.27443182636273983</v>
      </c>
      <c r="R7" s="14">
        <v>-0.28890633665588533</v>
      </c>
      <c r="S7" s="14">
        <v>2.6394903089248882</v>
      </c>
      <c r="T7" s="14">
        <v>4.9923545220842778</v>
      </c>
      <c r="U7" s="14">
        <v>1.7564955677455198</v>
      </c>
      <c r="V7" s="14">
        <v>0.5693154132370003</v>
      </c>
      <c r="X7" s="8" t="s">
        <v>658</v>
      </c>
      <c r="Y7" s="11" cm="1">
        <f t="array" ref="Y7">SE_Regression(X_s_Within(),y_s(),Allow_Intercept,Sample_Include(),Absorbed_Degrees_Of_Freedom())</f>
        <v>3.0672642753818766</v>
      </c>
      <c r="AA7" s="8" t="s">
        <v>55</v>
      </c>
      <c r="AB7" s="11" cm="1">
        <f t="array" ref="AB7">AIC(X_s_Within(),y_s(),Allow_Intercept,Sample_Include(),Absorbed_Degrees_Of_Freedom())</f>
        <v>895.31662324868398</v>
      </c>
      <c r="AG7" s="8" t="s">
        <v>1756</v>
      </c>
      <c r="AH7" s="11">
        <v>23.141297124083092</v>
      </c>
      <c r="AK7" t="str">
        <v>ford torino</v>
      </c>
      <c r="AL7" s="7">
        <v>17</v>
      </c>
      <c r="AM7" s="7">
        <v>16.954691335727667</v>
      </c>
      <c r="AN7" s="7">
        <v>4.5308664272333488E-2</v>
      </c>
      <c r="AO7" s="7">
        <v>3.6442373899522838E-2</v>
      </c>
      <c r="AP7" s="7">
        <v>1.5048430823993899E-2</v>
      </c>
      <c r="AQ7" s="7">
        <v>5.0380500510358217E-7</v>
      </c>
      <c r="AR7" s="7">
        <v>-2.368567059267872</v>
      </c>
      <c r="AS7" s="7">
        <v>-2.2382603266400913</v>
      </c>
      <c r="AT7" s="7">
        <v>0.12267204581319209</v>
      </c>
      <c r="AU7" s="7">
        <v>4.7022267319597577E-2</v>
      </c>
    </row>
    <row r="8" spans="1:48" x14ac:dyDescent="0.25">
      <c r="A8" t="str">
        <v>Weight</v>
      </c>
      <c r="B8" s="16" t="s">
        <v>870</v>
      </c>
      <c r="C8" s="16" t="b">
        <v>1</v>
      </c>
      <c r="D8" s="16" t="s">
        <v>838</v>
      </c>
      <c r="E8" s="16"/>
      <c r="F8" s="16"/>
      <c r="G8" s="16" t="s">
        <v>839</v>
      </c>
      <c r="H8" s="16"/>
      <c r="I8" s="16"/>
      <c r="J8" t="str">
        <f>IF(SpecTable[[#This Row],[Sequence]]&lt;&gt;TRUE,"",IF(N(SpecTable[[#This Row],[Sequence Period]])&lt;&gt;0,SpecTable[[#This Row],[Sequence Period]],IFERROR(Base_Period_Delta_Candidate(),"")))</f>
        <v/>
      </c>
      <c r="K8" t="str">
        <f>IF(OR(SpecTable[[#This Row],[Role]]&lt;&gt;"Predictor (x)",SpecTable[[#This Row],[Type]]&lt;&gt;"Categorical"),"",_xlfn.LET(_xlpm.col,INDEX(Source_Data,0,ROW()-3),_xlpm.x,IF(_xlpm.col="","",_xlpm.col),IFERROR(ROWS(_xlfn.UNIQUE(_xlfn._xlws.FILTER(_xlpm.x,(_xlpm.x&lt;&gt;"")*Sample_Include()))),0)))</f>
        <v/>
      </c>
      <c r="L8"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8">
        <v>7</v>
      </c>
      <c r="N8">
        <v>1</v>
      </c>
      <c r="P8" t="str">
        <v>Model Year: 74</v>
      </c>
      <c r="Q8" s="14">
        <v>-2.3137459907604747E-2</v>
      </c>
      <c r="R8" s="14">
        <v>-1.3094569363613499E-2</v>
      </c>
      <c r="S8" s="14">
        <v>3.4987950670435035</v>
      </c>
      <c r="T8" s="14">
        <v>10.294062234453385</v>
      </c>
      <c r="U8" s="14">
        <v>1.7564955677455198</v>
      </c>
      <c r="V8" s="14">
        <v>0.5693154132370003</v>
      </c>
      <c r="X8" s="9" t="s">
        <v>6</v>
      </c>
      <c r="Y8" s="12" cm="1">
        <f t="array" ref="Y8">Observations(y_s(),Sample_Include())</f>
        <v>392</v>
      </c>
      <c r="AA8" s="8" t="s">
        <v>58</v>
      </c>
      <c r="AB8" s="11" cm="1">
        <f t="array" ref="AB8">BIC(X_s_Within(),y_s(),Allow_Intercept,Sample_Include(),Absorbed_Degrees_Of_Freedom())</f>
        <v>962.82807452512179</v>
      </c>
      <c r="AG8" s="8" t="s">
        <v>1757</v>
      </c>
      <c r="AH8" s="11">
        <v>23.75053961061079</v>
      </c>
      <c r="AK8" t="str">
        <v>ford galaxie 500</v>
      </c>
      <c r="AL8" s="7">
        <v>15</v>
      </c>
      <c r="AM8" s="7">
        <v>11.49650610573814</v>
      </c>
      <c r="AN8" s="7">
        <v>3.5034938942618599</v>
      </c>
      <c r="AO8" s="7">
        <v>4.042419204907835E-2</v>
      </c>
      <c r="AP8" s="7">
        <v>1.1660321456416034</v>
      </c>
      <c r="AQ8" s="7">
        <v>3.3692573430558702E-3</v>
      </c>
      <c r="AR8" s="7">
        <v>-2.368567059267872</v>
      </c>
      <c r="AS8" s="7">
        <v>-2.2366030601609661</v>
      </c>
      <c r="AT8" s="7">
        <v>1.0798296836268224</v>
      </c>
      <c r="AU8" s="7">
        <v>3.6510860999541257</v>
      </c>
    </row>
    <row r="9" spans="1:48" x14ac:dyDescent="0.25">
      <c r="A9" t="str">
        <v>Acceleration</v>
      </c>
      <c r="B9" s="16" t="s">
        <v>870</v>
      </c>
      <c r="C9" s="16" t="b">
        <v>0</v>
      </c>
      <c r="D9" s="16" t="s">
        <v>838</v>
      </c>
      <c r="E9" s="16"/>
      <c r="F9" s="16"/>
      <c r="G9" s="16" t="s">
        <v>839</v>
      </c>
      <c r="H9" s="16"/>
      <c r="I9" s="16"/>
      <c r="J9" t="str">
        <f>IF(SpecTable[[#This Row],[Sequence]]&lt;&gt;TRUE,"",IF(N(SpecTable[[#This Row],[Sequence Period]])&lt;&gt;0,SpecTable[[#This Row],[Sequence Period]],IFERROR(Base_Period_Delta_Candidate(),"")))</f>
        <v/>
      </c>
      <c r="K9" t="str">
        <f>IF(OR(SpecTable[[#This Row],[Role]]&lt;&gt;"Predictor (x)",SpecTable[[#This Row],[Type]]&lt;&gt;"Categorical"),"",_xlfn.LET(_xlpm.col,INDEX(Source_Data,0,ROW()-3),_xlpm.x,IF(_xlpm.col="","",_xlpm.col),IFERROR(ROWS(_xlfn.UNIQUE(_xlfn._xlws.FILTER(_xlpm.x,(_xlpm.x&lt;&gt;"")*Sample_Include()))),0)))</f>
        <v/>
      </c>
      <c r="L9"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9">
        <v>8</v>
      </c>
      <c r="N9">
        <v>1</v>
      </c>
      <c r="P9" t="str">
        <v>Model Year: 75</v>
      </c>
      <c r="Q9" s="14">
        <v>-0.11741202684773239</v>
      </c>
      <c r="R9" s="14">
        <v>-0.11154790812345597</v>
      </c>
      <c r="S9" s="14">
        <v>3.1980848073673354</v>
      </c>
      <c r="T9" s="14">
        <v>8.2699143284054628</v>
      </c>
      <c r="U9" s="14">
        <v>1.7564955677455198</v>
      </c>
      <c r="V9" s="14">
        <v>0.5693154132370003</v>
      </c>
      <c r="AA9" s="8" t="s">
        <v>61</v>
      </c>
      <c r="AB9" s="11" cm="1">
        <f t="array" ref="AB9">AICc(X_s_Within(),y_s(),Allow_Intercept,Sample_Include(),Absorbed_Degrees_Of_Freedom())</f>
        <v>896.95298688504761</v>
      </c>
      <c r="AG9" s="8" t="s">
        <v>1758</v>
      </c>
      <c r="AH9" s="11">
        <v>17.407037508602354</v>
      </c>
      <c r="AK9" t="str">
        <v>chevrolet impala</v>
      </c>
      <c r="AL9" s="7">
        <v>14</v>
      </c>
      <c r="AM9" s="7">
        <v>11.073481577763721</v>
      </c>
      <c r="AN9" s="7">
        <v>2.9265184222362794</v>
      </c>
      <c r="AO9" s="7">
        <v>5.0603384396069082E-2</v>
      </c>
      <c r="AP9" s="7">
        <v>0.9792108710792421</v>
      </c>
      <c r="AQ9" s="7">
        <v>3.0063214519006724E-3</v>
      </c>
      <c r="AR9" s="7">
        <v>-2.368567059267872</v>
      </c>
      <c r="AS9" s="7">
        <v>-2.1379379429147773</v>
      </c>
      <c r="AT9" s="7">
        <v>0.98955084309965702</v>
      </c>
      <c r="AU9" s="7">
        <v>3.0825035334412481</v>
      </c>
    </row>
    <row r="10" spans="1:48" x14ac:dyDescent="0.25">
      <c r="A10" t="str">
        <v>Model Year</v>
      </c>
      <c r="B10" s="16" t="s">
        <v>870</v>
      </c>
      <c r="C10" s="16" t="b">
        <v>1</v>
      </c>
      <c r="D10" s="16" t="s">
        <v>840</v>
      </c>
      <c r="E10" s="16"/>
      <c r="F10" s="16"/>
      <c r="G10" s="16" t="s">
        <v>839</v>
      </c>
      <c r="H10" s="16" t="b">
        <v>1</v>
      </c>
      <c r="I10" s="16"/>
      <c r="J10">
        <f>IF(SpecTable[[#This Row],[Sequence]]&lt;&gt;TRUE,"",IF(N(SpecTable[[#This Row],[Sequence Period]])&lt;&gt;0,SpecTable[[#This Row],[Sequence Period]],IFERROR(Base_Period_Delta_Candidate(),"")))</f>
        <v>1</v>
      </c>
      <c r="K10">
        <f>IF(OR(SpecTable[[#This Row],[Role]]&lt;&gt;"Predictor (x)",SpecTable[[#This Row],[Type]]&lt;&gt;"Categorical"),"",_xlfn.LET(_xlpm.col,INDEX(Source_Data,0,ROW()-3),_xlpm.x,IF(_xlpm.col="","",_xlpm.col),IFERROR(ROWS(_xlfn.UNIQUE(_xlfn._xlws.FILTER(_xlpm.x,(_xlpm.x&lt;&gt;"")*Sample_Include()))),0)))</f>
        <v>13</v>
      </c>
      <c r="L10">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70</v>
      </c>
      <c r="M10">
        <v>9</v>
      </c>
      <c r="N10">
        <v>1</v>
      </c>
      <c r="P10" t="str">
        <v>Model Year: 76</v>
      </c>
      <c r="Q10" s="14">
        <v>-7.4024476846945034E-2</v>
      </c>
      <c r="R10" s="14">
        <v>-6.3539355536400999E-2</v>
      </c>
      <c r="S10" s="14">
        <v>2.9480228374220565</v>
      </c>
      <c r="T10" s="14">
        <v>6.7251248614949075</v>
      </c>
      <c r="U10" s="14">
        <v>1.7564955677455198</v>
      </c>
      <c r="V10" s="14">
        <v>0.5693154132370003</v>
      </c>
      <c r="AA10" s="8" t="s">
        <v>602</v>
      </c>
      <c r="AB10" s="11" cm="1">
        <f t="array" ref="AB10">QQ_Correlation(X_s_Within(),y_s(),Allow_Intercept,Sample_Include(),Absorbed_Degrees_Of_Freedom())</f>
        <v>0.9911373443499184</v>
      </c>
      <c r="AG10" s="8" t="s">
        <v>1759</v>
      </c>
      <c r="AH10" s="11">
        <v>29.484799226091528</v>
      </c>
      <c r="AK10" t="str">
        <v>plymouth fury iii</v>
      </c>
      <c r="AL10" s="7">
        <v>14</v>
      </c>
      <c r="AM10" s="7">
        <v>11.367322741366332</v>
      </c>
      <c r="AN10" s="7">
        <v>2.6326772586336684</v>
      </c>
      <c r="AO10" s="7">
        <v>4.8040491817131645E-2</v>
      </c>
      <c r="AP10" s="7">
        <v>0.87970525767098529</v>
      </c>
      <c r="AQ10" s="7">
        <v>2.297282597575574E-3</v>
      </c>
      <c r="AR10" s="7">
        <v>-2.0720014483779297</v>
      </c>
      <c r="AS10" s="7">
        <v>-2.0636596826638138</v>
      </c>
      <c r="AT10" s="7">
        <v>0.93792604061886742</v>
      </c>
      <c r="AU10" s="7">
        <v>2.7655349161426095</v>
      </c>
    </row>
    <row r="11" spans="1:48" x14ac:dyDescent="0.25">
      <c r="A11" t="str">
        <v>Origin</v>
      </c>
      <c r="B11" s="16" t="s">
        <v>870</v>
      </c>
      <c r="C11" s="16" t="b">
        <v>1</v>
      </c>
      <c r="D11" s="16" t="s">
        <v>840</v>
      </c>
      <c r="E11" s="16"/>
      <c r="F11" s="16"/>
      <c r="G11" s="16" t="s">
        <v>839</v>
      </c>
      <c r="H11" s="16"/>
      <c r="I11" s="16"/>
      <c r="J11" t="str">
        <f>IF(SpecTable[[#This Row],[Sequence]]&lt;&gt;TRUE,"",IF(N(SpecTable[[#This Row],[Sequence Period]])&lt;&gt;0,SpecTable[[#This Row],[Sequence Period]],IFERROR(Base_Period_Delta_Candidate(),"")))</f>
        <v/>
      </c>
      <c r="K11">
        <f>IF(OR(SpecTable[[#This Row],[Role]]&lt;&gt;"Predictor (x)",SpecTable[[#This Row],[Type]]&lt;&gt;"Categorical"),"",_xlfn.LET(_xlpm.col,INDEX(Source_Data,0,ROW()-3),_xlpm.x,IF(_xlpm.col="","",_xlpm.col),IFERROR(ROWS(_xlfn.UNIQUE(_xlfn._xlws.FILTER(_xlpm.x,(_xlpm.x&lt;&gt;"")*Sample_Include()))),0)))</f>
        <v>3</v>
      </c>
      <c r="L11"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Asia</v>
      </c>
      <c r="P11" t="str">
        <v>Model Year: 77</v>
      </c>
      <c r="Q11" s="14">
        <v>-2.5232970710476672E-3</v>
      </c>
      <c r="R11" s="14">
        <v>7.0926070839771281E-3</v>
      </c>
      <c r="S11" s="14">
        <v>3.3409992263810411</v>
      </c>
      <c r="T11" s="14">
        <v>9.2092362452655827</v>
      </c>
      <c r="U11" s="14">
        <v>1.7564955677455198</v>
      </c>
      <c r="V11" s="14">
        <v>0.5693154132370003</v>
      </c>
      <c r="AA11" s="8" t="s">
        <v>950</v>
      </c>
      <c r="AB11" s="33" cm="1">
        <f t="array" ref="AB11">_xlfn.LET(_xlpm.seq_flags,SUMPRODUCT(N(_xlfn.TAKE(Spec_Sequence,COLUMNS(Source_Data))=TRUE)),_xlpm.fe_vars,SUMPRODUCT(N(_xlfn.TAKE(Spec_Role,COLUMNS(Source_Data))="Fixed Effects")),IF(_xlpm.seq_flags=0,"n/a — requires Sequence",IF(_xlpm.seq_flags&gt;1,"n/a — multiple Sequence flags",IF(_xlpm.fe_vars&gt;0,"n/a — FE active",Durbin_Watson_By(X_s(),Response_Column(),Sequence_Column(),Allow_Intercept,Sample_Include())))))</f>
        <v>1.5013230616756137</v>
      </c>
      <c r="AG11" s="8" t="s">
        <v>681</v>
      </c>
      <c r="AH11" s="11">
        <v>0.95</v>
      </c>
      <c r="AK11" t="str">
        <v>pontiac catalina</v>
      </c>
      <c r="AL11" s="7">
        <v>14</v>
      </c>
      <c r="AM11" s="7">
        <v>10.632804435322724</v>
      </c>
      <c r="AN11" s="7">
        <v>3.3671955646772762</v>
      </c>
      <c r="AO11" s="7">
        <v>5.2897375567846273E-2</v>
      </c>
      <c r="AP11" s="7">
        <v>1.1280247387124049</v>
      </c>
      <c r="AQ11" s="7">
        <v>4.1804729026989323E-3</v>
      </c>
      <c r="AR11" s="7">
        <v>-2.0720014483779297</v>
      </c>
      <c r="AS11" s="7">
        <v>-2.0302994659393101</v>
      </c>
      <c r="AT11" s="7">
        <v>1.0620850901469265</v>
      </c>
      <c r="AU11" s="7">
        <v>3.5552594595502436</v>
      </c>
    </row>
    <row r="12" spans="1:48" x14ac:dyDescent="0.25">
      <c r="A12" t="str">
        <v>Car Name</v>
      </c>
      <c r="B12" s="16" t="s">
        <v>965</v>
      </c>
      <c r="C12" s="16" t="b">
        <v>0</v>
      </c>
      <c r="D12" s="16" t="s">
        <v>838</v>
      </c>
      <c r="E12" s="16"/>
      <c r="F12" s="16"/>
      <c r="G12" s="16" t="s">
        <v>839</v>
      </c>
      <c r="H12" s="16"/>
      <c r="I12" s="16"/>
      <c r="J12" t="str">
        <f>IF(SpecTable[[#This Row],[Sequence]]&lt;&gt;TRUE,"",IF(N(SpecTable[[#This Row],[Sequence Period]])&lt;&gt;0,SpecTable[[#This Row],[Sequence Period]],IFERROR(Base_Period_Delta_Candidate(),"")))</f>
        <v/>
      </c>
      <c r="K12" t="str">
        <f>IF(OR(SpecTable[[#This Row],[Role]]&lt;&gt;"Predictor (x)",SpecTable[[#This Row],[Type]]&lt;&gt;"Categorical"),"",_xlfn.LET(_xlpm.col,INDEX(Source_Data,0,ROW()-3),_xlpm.x,IF(_xlpm.col="","",_xlpm.col),IFERROR(ROWS(_xlfn.UNIQUE(_xlfn._xlws.FILTER(_xlpm.x,(_xlpm.x&lt;&gt;"")*Sample_Include()))),0)))</f>
        <v/>
      </c>
      <c r="L12"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12" t="str">
        <v>Model Year: 78</v>
      </c>
      <c r="Q12" s="14">
        <v>2.509682524150721E-2</v>
      </c>
      <c r="R12" s="14">
        <v>3.6232001135431187E-2</v>
      </c>
      <c r="S12" s="14">
        <v>2.837530472349679</v>
      </c>
      <c r="T12" s="14">
        <v>6.0825870963648994</v>
      </c>
      <c r="U12" s="14">
        <v>1.7564955677455198</v>
      </c>
      <c r="V12" s="14">
        <v>0.5693154132370003</v>
      </c>
      <c r="X12" s="3" t="s">
        <v>661</v>
      </c>
      <c r="Y12" s="16">
        <v>0.05</v>
      </c>
      <c r="AA12" s="8" t="s">
        <v>951</v>
      </c>
      <c r="AB12" s="33" t="str" cm="1">
        <f t="array" ref="AB12">_xlfn.LET(_xlpm.seq_flags,SUMPRODUCT(N(_xlfn.TAKE(Spec_Sequence,COLUMNS(Source_Data))=TRUE)),_xlpm.fe_vars,SUMPRODUCT(N(_xlfn.TAKE(Spec_Role,COLUMNS(Source_Data))="Fixed Effects")),IF(_xlpm.seq_flags=0,"n/a — requires Sequence",IF(_xlpm.seq_flags&gt;1,"n/a — multiple Sequence flags",IF(_xlpm.fe_vars=0,"n/a — no fixed effects",IF(_xlpm.fe_vars&gt;1,"n/a — multiple FE variables",BFN_Panel_Durbin_Watson(X_s_Within(),y_s(),Serial_Correlation_Group(),Sequence_Column(),Base_Period_Delta(),Allow_Intercept,Sample_Include()))))))</f>
        <v>n/a — no fixed effects</v>
      </c>
      <c r="AG12" s="8" t="s">
        <v>1760</v>
      </c>
      <c r="AH12" s="35" t="str">
        <f>INDEX(_xlfn._xlws.SORT(_xlfn.UNIQUE(_xlfn._xlws.FILTER(Prediction_Group_Column(),Sample_Include()))),1,1)</f>
        <v>(all)</v>
      </c>
      <c r="AK12" t="str">
        <v>amc ambassador dpl</v>
      </c>
      <c r="AL12" s="7">
        <v>15</v>
      </c>
      <c r="AM12" s="7">
        <v>14.112482582388791</v>
      </c>
      <c r="AN12" s="7">
        <v>0.88751741761120861</v>
      </c>
      <c r="AO12" s="7">
        <v>4.132014629964112E-2</v>
      </c>
      <c r="AP12" s="7">
        <v>0.29552136767781301</v>
      </c>
      <c r="AQ12" s="7">
        <v>2.214201314542533E-4</v>
      </c>
      <c r="AR12" s="7">
        <v>-2.0720014483779297</v>
      </c>
      <c r="AS12" s="7">
        <v>-2.0195065214468055</v>
      </c>
      <c r="AT12" s="7">
        <v>0.54361877053484187</v>
      </c>
      <c r="AU12" s="7">
        <v>0.92577038537476919</v>
      </c>
    </row>
    <row r="13" spans="1:48" x14ac:dyDescent="0.25">
      <c r="A13" t="str">
        <v>Make</v>
      </c>
      <c r="B13" s="16" t="s">
        <v>949</v>
      </c>
      <c r="C13" s="16" t="b">
        <v>0</v>
      </c>
      <c r="D13" s="16" t="s">
        <v>838</v>
      </c>
      <c r="E13" s="16"/>
      <c r="F13" s="16"/>
      <c r="G13" s="16" t="s">
        <v>839</v>
      </c>
      <c r="H13" s="16"/>
      <c r="I13" s="16"/>
      <c r="J13" t="str">
        <f>IF(SpecTable[[#This Row],[Sequence]]&lt;&gt;TRUE,"",IF(N(SpecTable[[#This Row],[Sequence Period]])&lt;&gt;0,SpecTable[[#This Row],[Sequence Period]],IFERROR(Base_Period_Delta_Candidate(),"")))</f>
        <v/>
      </c>
      <c r="K13" t="str">
        <f>IF(OR(SpecTable[[#This Row],[Role]]&lt;&gt;"Predictor (x)",SpecTable[[#This Row],[Type]]&lt;&gt;"Categorical"),"",_xlfn.LET(_xlpm.col,INDEX(Source_Data,0,ROW()-3),_xlpm.x,IF(_xlpm.col="","",_xlpm.col),IFERROR(ROWS(_xlfn.UNIQUE(_xlfn._xlws.FILTER(_xlpm.x,(_xlpm.x&lt;&gt;"")*Sample_Include()))),0)))</f>
        <v/>
      </c>
      <c r="L13"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13" t="str">
        <v>Model Year: 79</v>
      </c>
      <c r="Q13" s="14">
        <v>5.9726823421571588E-2</v>
      </c>
      <c r="R13" s="14">
        <v>7.2588561195066958E-2</v>
      </c>
      <c r="S13" s="14">
        <v>3.2678413248622649</v>
      </c>
      <c r="T13" s="14">
        <v>8.7232678762571751</v>
      </c>
      <c r="U13" s="14">
        <v>1.7564955677455198</v>
      </c>
      <c r="V13" s="14">
        <v>0.5693154132370003</v>
      </c>
      <c r="X13" s="40" t="s">
        <v>662</v>
      </c>
      <c r="Y13" s="41"/>
      <c r="Z13" s="41"/>
      <c r="AA13" s="41"/>
      <c r="AB13" s="41"/>
      <c r="AC13" s="42"/>
      <c r="AG13" s="8" t="s">
        <v>1761</v>
      </c>
      <c r="AH13" s="11" cm="1">
        <f t="array" ref="AH13">Group_Mean_At(Response_Column(),Prediction_Group_Column(),$AH$12,Sample_Include())</f>
        <v>23.445918367346941</v>
      </c>
      <c r="AK13" t="str">
        <v>dodge challenger se</v>
      </c>
      <c r="AL13" s="7">
        <v>15</v>
      </c>
      <c r="AM13" s="7">
        <v>15.890381080998123</v>
      </c>
      <c r="AN13" s="7">
        <v>-0.89038108099812341</v>
      </c>
      <c r="AO13" s="7">
        <v>3.7522532485470127E-2</v>
      </c>
      <c r="AP13" s="7">
        <v>-0.29588942339118907</v>
      </c>
      <c r="AQ13" s="7">
        <v>2.0077587758420966E-4</v>
      </c>
      <c r="AR13" s="7">
        <v>-2.0720014483779297</v>
      </c>
      <c r="AS13" s="7">
        <v>-2.0157358299478263</v>
      </c>
      <c r="AT13" s="7">
        <v>0.54395718893235434</v>
      </c>
      <c r="AU13" s="7">
        <v>-0.92509290975654135</v>
      </c>
    </row>
    <row r="14" spans="1:48" x14ac:dyDescent="0.25">
      <c r="A14" t="str">
        <v>Model?</v>
      </c>
      <c r="B14" s="16" t="s">
        <v>949</v>
      </c>
      <c r="C14" s="16" t="b">
        <v>0</v>
      </c>
      <c r="D14" s="16" t="s">
        <v>838</v>
      </c>
      <c r="E14" s="16"/>
      <c r="F14" s="16"/>
      <c r="G14" s="16" t="s">
        <v>839</v>
      </c>
      <c r="H14" s="16"/>
      <c r="I14" s="16"/>
      <c r="J14" t="str">
        <f>IF(SpecTable[[#This Row],[Sequence]]&lt;&gt;TRUE,"",IF(N(SpecTable[[#This Row],[Sequence Period]])&lt;&gt;0,SpecTable[[#This Row],[Sequence Period]],IFERROR(Base_Period_Delta_Candidate(),"")))</f>
        <v/>
      </c>
      <c r="K14" t="str">
        <f>IF(OR(SpecTable[[#This Row],[Role]]&lt;&gt;"Predictor (x)",SpecTable[[#This Row],[Type]]&lt;&gt;"Categorical"),"",_xlfn.LET(_xlpm.col,INDEX(Source_Data,0,ROW()-3),_xlpm.x,IF(_xlpm.col="","",_xlpm.col),IFERROR(ROWS(_xlfn.UNIQUE(_xlfn._xlws.FILTER(_xlpm.x,(_xlpm.x&lt;&gt;"")*Sample_Include()))),0)))</f>
        <v/>
      </c>
      <c r="L14"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14" t="str">
        <v>Model Year: 80</v>
      </c>
      <c r="Q14" s="14">
        <v>0.36139628740230562</v>
      </c>
      <c r="R14" s="14">
        <v>0.31558473573743556</v>
      </c>
      <c r="S14" s="14">
        <v>3.4178672534749865</v>
      </c>
      <c r="T14" s="14">
        <v>9.7314413233530814</v>
      </c>
      <c r="U14" s="14">
        <v>1.7564955677455198</v>
      </c>
      <c r="V14" s="14">
        <v>0.5693154132370003</v>
      </c>
      <c r="X14" s="20"/>
      <c r="Y14" s="3" t="s">
        <v>663</v>
      </c>
      <c r="Z14" s="3" t="s">
        <v>664</v>
      </c>
      <c r="AA14" s="3" t="s">
        <v>665</v>
      </c>
      <c r="AB14" s="3" t="s">
        <v>666</v>
      </c>
      <c r="AC14" s="22" t="s">
        <v>606</v>
      </c>
      <c r="AG14" s="9" t="s">
        <v>1762</v>
      </c>
      <c r="AH14" s="12" cm="1">
        <f t="array" ref="AH14">Group_Count_At(Prediction_Group_Column(),$AH$12,Sample_Include())</f>
        <v>392</v>
      </c>
      <c r="AK14" t="str">
        <v>plymouth 'cuda 340</v>
      </c>
      <c r="AL14" s="7">
        <v>14</v>
      </c>
      <c r="AM14" s="7">
        <v>15.819833158238167</v>
      </c>
      <c r="AN14" s="7">
        <v>-1.8198331582381666</v>
      </c>
      <c r="AO14" s="7">
        <v>3.5380032445534768E-2</v>
      </c>
      <c r="AP14" s="7">
        <v>-0.60409084446563865</v>
      </c>
      <c r="AQ14" s="7">
        <v>7.8733138753294416E-4</v>
      </c>
      <c r="AR14" s="7">
        <v>-2.0720014483779297</v>
      </c>
      <c r="AS14" s="7">
        <v>-1.9076726580567738</v>
      </c>
      <c r="AT14" s="7">
        <v>0.77723281226775198</v>
      </c>
      <c r="AU14" s="7">
        <v>-1.8865804352483648</v>
      </c>
    </row>
    <row r="15" spans="1:48" x14ac:dyDescent="0.25">
      <c r="A15" t="str">
        <v>Full_Data</v>
      </c>
      <c r="B15" s="16" t="s">
        <v>949</v>
      </c>
      <c r="C15" s="16" t="b">
        <v>0</v>
      </c>
      <c r="D15" s="16" t="s">
        <v>838</v>
      </c>
      <c r="E15" s="16"/>
      <c r="F15" s="16"/>
      <c r="G15" s="16" t="s">
        <v>839</v>
      </c>
      <c r="H15" s="16"/>
      <c r="I15" s="16"/>
      <c r="J15" t="str">
        <f>IF(SpecTable[[#This Row],[Sequence]]&lt;&gt;TRUE,"",IF(N(SpecTable[[#This Row],[Sequence Period]])&lt;&gt;0,SpecTable[[#This Row],[Sequence Period]],IFERROR(Base_Period_Delta_Candidate(),"")))</f>
        <v/>
      </c>
      <c r="K15" t="str">
        <f>IF(OR(SpecTable[[#This Row],[Role]]&lt;&gt;"Predictor (x)",SpecTable[[#This Row],[Type]]&lt;&gt;"Categorical"),"",_xlfn.LET(_xlpm.col,INDEX(Source_Data,0,ROW()-3),_xlpm.x,IF(_xlpm.col="","",_xlpm.col),IFERROR(ROWS(_xlfn.UNIQUE(_xlfn._xlws.FILTER(_xlpm.x,(_xlpm.x&lt;&gt;"")*Sample_Include()))),0)))</f>
        <v/>
      </c>
      <c r="L15"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15" t="str">
        <v>Model Year: 81</v>
      </c>
      <c r="Q15" s="14">
        <v>0.23980398783122645</v>
      </c>
      <c r="R15" s="14">
        <v>0.24784721421231187</v>
      </c>
      <c r="S15" s="14">
        <v>3.3409992263809842</v>
      </c>
      <c r="T15" s="14">
        <v>9.2092362452655472</v>
      </c>
      <c r="U15" s="14">
        <v>1.7564955677455198</v>
      </c>
      <c r="V15" s="14">
        <v>0.5693154132370003</v>
      </c>
      <c r="X15" s="8" t="s">
        <v>667</v>
      </c>
      <c r="Y15" s="38" cm="1">
        <f t="array" ref="Y15">Regression_Degrees_Of_Freedom(X_s_Within())</f>
        <v>16</v>
      </c>
      <c r="Z15" s="39" cm="1">
        <f t="array" ref="Z15">SS_Regression(X_s_Within(),y_s(),Allow_Intercept,Sample_Include())</f>
        <v>20290.952168750038</v>
      </c>
      <c r="AA15" s="39" cm="1">
        <f t="array" ref="AA15">MS_Regression(X_s_Within(),y_s(),Allow_Intercept,Sample_Include())</f>
        <v>1268.1845105468774</v>
      </c>
      <c r="AB15" s="39" cm="1">
        <f t="array" ref="AB15">F_Statistic(X_s_Within(),y_s(),Allow_Intercept,Sample_Include(),Absorbed_Degrees_Of_Freedom())</f>
        <v>134.79694565058435</v>
      </c>
      <c r="AC15" s="23" cm="1">
        <f t="array" ref="AC15">F_Statistic_P_Value(X_s_Within(),y_s(),Allow_Intercept,Sample_Include(),Absorbed_Degrees_Of_Freedom())</f>
        <v>1.8943998313042473E-144</v>
      </c>
      <c r="AK15" t="str">
        <v>chevrolet monte carlo</v>
      </c>
      <c r="AL15" s="7">
        <v>15</v>
      </c>
      <c r="AM15" s="7">
        <v>15.212574416275837</v>
      </c>
      <c r="AN15" s="7">
        <v>-0.21257441627583695</v>
      </c>
      <c r="AO15" s="7">
        <v>3.6838396596956549E-2</v>
      </c>
      <c r="AP15" s="7">
        <v>-7.0617155228780759E-2</v>
      </c>
      <c r="AQ15" s="7">
        <v>1.1219488900922424E-5</v>
      </c>
      <c r="AR15" s="7">
        <v>-2.0720014483779297</v>
      </c>
      <c r="AS15" s="7">
        <v>-1.8200175308828719</v>
      </c>
      <c r="AT15" s="7">
        <v>0.26573888542849872</v>
      </c>
      <c r="AU15" s="7">
        <v>-0.22070482827052992</v>
      </c>
    </row>
    <row r="16" spans="1:48" x14ac:dyDescent="0.25">
      <c r="P16" t="str">
        <v>Model Year: 82</v>
      </c>
      <c r="Q16" s="14">
        <v>0.31590831958849236</v>
      </c>
      <c r="R16" s="14">
        <v>0.30945001432271285</v>
      </c>
      <c r="S16" s="14">
        <v>3.1980848073673731</v>
      </c>
      <c r="T16" s="14">
        <v>8.2699143284056937</v>
      </c>
      <c r="U16" s="14">
        <v>1.7564955677455198</v>
      </c>
      <c r="V16" s="14">
        <v>0.5693154132370003</v>
      </c>
      <c r="X16" s="8" t="s">
        <v>668</v>
      </c>
      <c r="Y16" s="38" cm="1">
        <f t="array" ref="Y16">Residual_Degrees_Of_Freedom(X_s_Within(),y_s(),Allow_Intercept,Sample_Include(),Absorbed_Degrees_Of_Freedom())</f>
        <v>375</v>
      </c>
      <c r="Z16" s="39" cm="1">
        <f t="array" ref="Z16">SS_Residual(X_s_Within(),y_s(),Allow_Intercept,Sample_Include())</f>
        <v>3528.0413006377153</v>
      </c>
      <c r="AA16" s="39" cm="1">
        <f t="array" ref="AA16">MS_Residual(X_s_Within(),y_s(),Allow_Intercept,Sample_Include(),Absorbed_Degrees_Of_Freedom())</f>
        <v>9.4081101350339083</v>
      </c>
      <c r="AC16" s="24"/>
      <c r="AG16" s="4" t="s">
        <v>682</v>
      </c>
      <c r="AK16" t="str">
        <v>buick estate wagon (sw)</v>
      </c>
      <c r="AL16" s="7">
        <v>14</v>
      </c>
      <c r="AM16" s="7">
        <v>17.412576009964045</v>
      </c>
      <c r="AN16" s="7">
        <v>-3.4125760099640452</v>
      </c>
      <c r="AO16" s="7">
        <v>0.11212017961465819</v>
      </c>
      <c r="AP16" s="7">
        <v>-1.1807393696594954</v>
      </c>
      <c r="AQ16" s="7">
        <v>1.0355921898592959E-2</v>
      </c>
      <c r="AR16" s="7">
        <v>-1.8192221095957348</v>
      </c>
      <c r="AS16" s="7">
        <v>-1.7231986194513169</v>
      </c>
      <c r="AT16" s="7">
        <v>1.0866183182974118</v>
      </c>
      <c r="AU16" s="7">
        <v>-3.8435111730357598</v>
      </c>
    </row>
    <row r="17" spans="16:47" x14ac:dyDescent="0.25">
      <c r="P17" t="str">
        <v>Origin: Europe</v>
      </c>
      <c r="Q17" s="14">
        <v>0.24431250098438828</v>
      </c>
      <c r="R17" s="14">
        <v>0.25335011992922324</v>
      </c>
      <c r="S17" s="14">
        <v>1.7313298190542106</v>
      </c>
      <c r="T17" s="14">
        <v>1.0025921775707793</v>
      </c>
      <c r="U17" s="14">
        <v>1.8119606956111629</v>
      </c>
      <c r="V17" s="14">
        <v>0.55188835079157517</v>
      </c>
      <c r="X17" s="9" t="s">
        <v>669</v>
      </c>
      <c r="Y17" s="10" cm="1">
        <f t="array" ref="Y17">Total_Degrees_Of_Freedom(y_s(),Allow_Intercept,Sample_Include())</f>
        <v>391</v>
      </c>
      <c r="Z17" s="21" cm="1">
        <f t="array" ref="Z17">SS_Total(y_s(),Allow_Intercept,Sample_Include())</f>
        <v>23818.993469387755</v>
      </c>
      <c r="AA17" s="15"/>
      <c r="AB17" s="15"/>
      <c r="AC17" s="25"/>
      <c r="AG17" s="3" t="s">
        <v>683</v>
      </c>
      <c r="AH17" s="3" t="s">
        <v>684</v>
      </c>
      <c r="AI17" s="31" t="s">
        <v>875</v>
      </c>
      <c r="AK17" t="str">
        <v>toyota corona mark ii</v>
      </c>
      <c r="AL17" s="7">
        <v>24</v>
      </c>
      <c r="AM17" s="7">
        <v>25.198456840216746</v>
      </c>
      <c r="AN17" s="7">
        <v>-1.1984568402167461</v>
      </c>
      <c r="AO17" s="7">
        <v>5.4985468923604633E-2</v>
      </c>
      <c r="AP17" s="7">
        <v>-0.40193142131393816</v>
      </c>
      <c r="AQ17" s="7">
        <v>5.5292272908023029E-4</v>
      </c>
      <c r="AR17" s="7">
        <v>-1.8192221095957348</v>
      </c>
      <c r="AS17" s="7">
        <v>-1.6897180627740656</v>
      </c>
      <c r="AT17" s="7">
        <v>0.63398061588185661</v>
      </c>
      <c r="AU17" s="7">
        <v>-1.2681887958396509</v>
      </c>
    </row>
    <row r="18" spans="16:47" x14ac:dyDescent="0.25">
      <c r="P18" t="str">
        <v>Origin: US</v>
      </c>
      <c r="Q18" s="14">
        <v>-0.56516059345508451</v>
      </c>
      <c r="R18" s="14">
        <v>-0.57164212784882285</v>
      </c>
      <c r="S18" s="14">
        <v>-0.51838350203589245</v>
      </c>
      <c r="T18" s="14">
        <v>-1.7401832443477745</v>
      </c>
      <c r="U18" s="14">
        <v>1.8119606956111629</v>
      </c>
      <c r="V18" s="14">
        <v>0.55188835079157517</v>
      </c>
      <c r="AK18" t="str">
        <v>plymouth duster</v>
      </c>
      <c r="AL18" s="7">
        <v>22</v>
      </c>
      <c r="AM18" s="7">
        <v>20.804329496548942</v>
      </c>
      <c r="AN18" s="7">
        <v>1.1956705034510584</v>
      </c>
      <c r="AO18" s="7">
        <v>4.8771107501306768E-2</v>
      </c>
      <c r="AP18" s="7">
        <v>0.39968495672630688</v>
      </c>
      <c r="AQ18" s="7">
        <v>4.8179719659587972E-4</v>
      </c>
      <c r="AR18" s="7">
        <v>-1.8192221095957348</v>
      </c>
      <c r="AS18" s="7">
        <v>-1.68524344765387</v>
      </c>
      <c r="AT18" s="7">
        <v>0.63220641939662936</v>
      </c>
      <c r="AU18" s="7">
        <v>1.2569745440661129</v>
      </c>
    </row>
    <row r="19" spans="16:47" x14ac:dyDescent="0.25">
      <c r="Q19" s="14"/>
      <c r="R19" s="14"/>
      <c r="S19" s="14"/>
      <c r="T19" s="14"/>
      <c r="U19" s="14"/>
      <c r="V19" s="14"/>
      <c r="X19" s="4" t="s">
        <v>670</v>
      </c>
      <c r="AG19" t="str" cm="1">
        <f t="array" ref="AG19:AG34">TRANSPOSE(Constructed_Column_Names())</f>
        <v>Horsepower</v>
      </c>
      <c r="AH19" s="17" cm="1">
        <f t="array" ref="AH19">IF(ROW()-18&lt;=IFERROR(ROWS(_xlfn.ANCHORARRAY($AI$19)),0),INDEX(_xlfn.ANCHORARRAY($AI$19),ROW()-18),"")</f>
        <v>104.46938775510205</v>
      </c>
      <c r="AI19" s="7" cm="1">
        <f t="array" ref="AI19:AI34">IFERROR(TRANSPOSE(_xlfn.BYCOL(_xlfn._xlws.FILTER(X_s(),Sample_Include()),_xlfn.LAMBDA(_xlpm.c,AVERAGE(_xlpm.c)))),"")</f>
        <v>104.46938775510205</v>
      </c>
      <c r="AK19" t="str">
        <v>amc hornet</v>
      </c>
      <c r="AL19" s="7">
        <v>18</v>
      </c>
      <c r="AM19" s="7">
        <v>21.070591899933742</v>
      </c>
      <c r="AN19" s="7">
        <v>-3.070591899933742</v>
      </c>
      <c r="AO19" s="7">
        <v>4.695010427724941E-2</v>
      </c>
      <c r="AP19" s="7">
        <v>-1.0254466826344892</v>
      </c>
      <c r="AQ19" s="7">
        <v>3.0471804305155937E-3</v>
      </c>
      <c r="AR19" s="7">
        <v>-1.8192221095957348</v>
      </c>
      <c r="AS19" s="7">
        <v>-1.6746439809266753</v>
      </c>
      <c r="AT19" s="7">
        <v>1.012643413366467</v>
      </c>
      <c r="AU19" s="7">
        <v>-3.2218584921045945</v>
      </c>
    </row>
    <row r="20" spans="16:47" x14ac:dyDescent="0.25">
      <c r="Q20" s="14"/>
      <c r="R20" s="14"/>
      <c r="S20" s="14"/>
      <c r="T20" s="14"/>
      <c r="U20" s="14"/>
      <c r="V20" s="14"/>
      <c r="X20" s="3"/>
      <c r="Y20" s="3" t="s">
        <v>73</v>
      </c>
      <c r="Z20" s="3" t="s">
        <v>671</v>
      </c>
      <c r="AA20" s="3" t="s">
        <v>672</v>
      </c>
      <c r="AB20" s="3" t="s">
        <v>673</v>
      </c>
      <c r="AC20" s="3" t="s">
        <v>674</v>
      </c>
      <c r="AD20" s="3" t="s">
        <v>675</v>
      </c>
      <c r="AE20" s="3" t="s">
        <v>676</v>
      </c>
      <c r="AG20" t="str">
        <v>Weight</v>
      </c>
      <c r="AH20" s="17" cm="1">
        <f t="array" ref="AH20">IF(ROW()-18&lt;=IFERROR(ROWS(_xlfn.ANCHORARRAY($AI$19)),0),INDEX(_xlfn.ANCHORARRAY($AI$19),ROW()-18),"")</f>
        <v>2977.5841836734694</v>
      </c>
      <c r="AI20" s="7">
        <v>2977.5841836734694</v>
      </c>
      <c r="AK20" t="str">
        <v>ford maverick</v>
      </c>
      <c r="AL20" s="7">
        <v>21</v>
      </c>
      <c r="AM20" s="7">
        <v>22.212267981403066</v>
      </c>
      <c r="AN20" s="7">
        <v>-1.2122679814030661</v>
      </c>
      <c r="AO20" s="7">
        <v>5.1942024882097544E-2</v>
      </c>
      <c r="AP20" s="7">
        <v>-0.40591022394118104</v>
      </c>
      <c r="AQ20" s="7">
        <v>5.3100063365988423E-4</v>
      </c>
      <c r="AR20" s="7">
        <v>-1.8192221095957348</v>
      </c>
      <c r="AS20" s="7">
        <v>-1.6319415081566486</v>
      </c>
      <c r="AT20" s="7">
        <v>0.63711084117379535</v>
      </c>
      <c r="AU20" s="7">
        <v>-1.278685495211731</v>
      </c>
    </row>
    <row r="21" spans="16:47" x14ac:dyDescent="0.25">
      <c r="Q21" s="14"/>
      <c r="R21" s="14"/>
      <c r="S21" s="14"/>
      <c r="T21" s="14"/>
      <c r="U21" s="14"/>
      <c r="V21" s="14"/>
      <c r="X21" t="str" cm="1">
        <f t="array" ref="X21:X37">IF(Zero_Predictors_Selected(),IF(AND(Allow_Intercept,Intercept_Only_N()&gt;=1),"Intercept",NA()),IF(Allow_Intercept,_xlfn.VSTACK("Intercept",TRANSPOSE(Constructed_Column_Names())),_xlfn.VSTACK("",TRANSPOSE(Constructed_Column_Names()))))</f>
        <v>Intercept</v>
      </c>
      <c r="Y21" s="7" cm="1">
        <f t="array" ref="Y21:Y37">IF(Zero_Predictors_Selected(),IF(AND(Allow_Intercept,Intercept_Only_N()&gt;=1),Intercept_Only_Point(),NA()),IF(Allow_Intercept,Coefficients(X_s_Within(),y_s(),Allow_Intercept,Sample_Include()),_xlfn.VSTACK("",Coefficients(X_s_Within(),y_s(),Allow_Intercept,Sample_Include()))))</f>
        <v>38.751088282860074</v>
      </c>
      <c r="Z21" s="7" cm="1">
        <f t="array" ref="Z21:Z37">IF(Zero_Predictors_Selected(),IF(AND(Allow_Intercept,Intercept_Only_N()&gt;=2),Intercept_Only_SE(),NA()),IF(Allow_Intercept,SE_Coefficients(X_s_Within(),y_s(),Allow_Intercept,Sample_Include(),Absorbed_Degrees_Of_Freedom()),_xlfn.VSTACK("",SE_Coefficients(X_s_Within(),y_s(),Allow_Intercept,Sample_Include(),Absorbed_Degrees_Of_Freedom()))))</f>
        <v>0.96262804339133234</v>
      </c>
      <c r="AA21" s="7" cm="1">
        <f t="array" ref="AA21:AA37">IF(Zero_Predictors_Selected(),IF(AND(Allow_Intercept,Intercept_Only_N()&gt;=2),Intercept_Only_Point()/Intercept_Only_SE(),NA()),IF(Allow_Intercept,T_Statistics(X_s_Within(),y_s(),Allow_Intercept,Sample_Include(),Absorbed_Degrees_Of_Freedom()),_xlfn.VSTACK("",T_Statistics(X_s_Within(),y_s(),Allow_Intercept,Sample_Include(),Absorbed_Degrees_Of_Freedom()))))</f>
        <v>40.255515667651068</v>
      </c>
      <c r="AB21" s="19" cm="1">
        <f t="array" ref="AB21:AB37">IF(Zero_Predictors_Selected(),IF(AND(Allow_Intercept,Intercept_Only_N()&gt;=2),_xlfn.T.DIST.2T(ABS(Intercept_Only_Point()/Intercept_Only_SE()),Intercept_Only_DF()),NA()),IF(Allow_Intercept,P_Values(X_s_Within(),y_s(),Allow_Intercept,Sample_Include(),Absorbed_Degrees_Of_Freedom()),_xlfn.VSTACK("",P_Values(X_s_Within(),y_s(),Allow_Intercept,Sample_Include(),Absorbed_Degrees_Of_Freedom()))))</f>
        <v>3.392078477050681E-138</v>
      </c>
      <c r="AC21" s="7" cm="1">
        <f t="array" ref="AC21:AC37">IF(Zero_Predictors_Selected(),IF(AND(Allow_Intercept,Intercept_Only_N()&gt;=2),Intercept_Only_Point()-_xlfn.T.INV.2T(alpha,Intercept_Only_DF())*Intercept_Only_SE(),NA()),IF(Allow_Intercept,Confidence_Interval_Lower(X_s_Within(),y_s(),Allow_Intercept,Sample_Include(),0.05,Absorbed_Degrees_Of_Freedom()),_xlfn.VSTACK("",Confidence_Interval_Lower(X_s_Within(),y_s(),Allow_Intercept,Sample_Include(),0.05,Absorbed_Degrees_Of_Freedom()))))</f>
        <v>36.85826298006635</v>
      </c>
      <c r="AD21" s="7" cm="1">
        <f t="array" ref="AD21:AD37">IF(Zero_Predictors_Selected(),IF(AND(Allow_Intercept,Intercept_Only_N()&gt;=2),Intercept_Only_Point()+_xlfn.T.INV.2T(alpha,Intercept_Only_DF())*Intercept_Only_SE(),NA()),IF(Allow_Intercept,Confidence_Interval_Upper(X_s_Within(),y_s(),Allow_Intercept,Sample_Include(),0.05,Absorbed_Degrees_Of_Freedom()),_xlfn.VSTACK("",Confidence_Interval_Upper(X_s_Within(),y_s(),Allow_Intercept,Sample_Include(),0.05,Absorbed_Degrees_Of_Freedom()))))</f>
        <v>40.643913585653799</v>
      </c>
      <c r="AE21" s="7" t="str" cm="1">
        <f t="array" ref="AE21:AE37">IF(Zero_Predictors_Selected(),IF(Allow_Intercept,"",NA()),_xlfn.VSTACK("",Beta_Weights(X_s_Within(),y_s(),Allow_Intercept,Sample_Include())))</f>
        <v/>
      </c>
      <c r="AG21" t="str">
        <v>Model Year: 71</v>
      </c>
      <c r="AH21" s="17" cm="1">
        <f t="array" ref="AH21">IF(ROW()-18&lt;=IFERROR(ROWS(_xlfn.ANCHORARRAY($AI$19)),0),INDEX(_xlfn.ANCHORARRAY($AI$19),ROW()-18),"")</f>
        <v>6.8877551020408156E-2</v>
      </c>
      <c r="AI21" s="7">
        <v>6.8877551020408156E-2</v>
      </c>
      <c r="AK21" t="str">
        <v>datsun pl510</v>
      </c>
      <c r="AL21" s="7">
        <v>27</v>
      </c>
      <c r="AM21" s="7">
        <v>26.537432790749786</v>
      </c>
      <c r="AN21" s="7">
        <v>0.46256720925021355</v>
      </c>
      <c r="AO21" s="7">
        <v>5.5009922789087756E-2</v>
      </c>
      <c r="AP21" s="7">
        <v>0.15513508303132956</v>
      </c>
      <c r="AQ21" s="7">
        <v>8.2410948129185235E-5</v>
      </c>
      <c r="AR21" s="7">
        <v>-1.8192221095957348</v>
      </c>
      <c r="AS21" s="7">
        <v>-1.6266867098316833</v>
      </c>
      <c r="AT21" s="7">
        <v>0.39387191196038535</v>
      </c>
      <c r="AU21" s="7">
        <v>0.48949425015705561</v>
      </c>
    </row>
    <row r="22" spans="16:47" x14ac:dyDescent="0.25">
      <c r="Q22" s="14"/>
      <c r="R22" s="14"/>
      <c r="S22" s="14"/>
      <c r="T22" s="14"/>
      <c r="U22" s="14"/>
      <c r="V22" s="14"/>
      <c r="X22" t="str">
        <v>Horsepower</v>
      </c>
      <c r="Y22" s="7">
        <v>-1.6236431953541224E-2</v>
      </c>
      <c r="Z22" s="7">
        <v>9.497739162989639E-3</v>
      </c>
      <c r="AA22" s="7">
        <v>-1.709504933217225</v>
      </c>
      <c r="AB22" s="19">
        <v>8.818472714576539E-2</v>
      </c>
      <c r="AC22" s="7">
        <v>-3.4911932974378744E-2</v>
      </c>
      <c r="AD22" s="7">
        <v>2.4390690672962956E-3</v>
      </c>
      <c r="AE22" s="7">
        <v>-8.0071556643277975E-2</v>
      </c>
      <c r="AG22" t="str">
        <v>Model Year: 72</v>
      </c>
      <c r="AH22" s="17" cm="1">
        <f t="array" ref="AH22">IF(ROW()-18&lt;=IFERROR(ROWS(_xlfn.ANCHORARRAY($AI$19)),0),INDEX(_xlfn.ANCHORARRAY($AI$19),ROW()-18),"")</f>
        <v>7.1428571428571425E-2</v>
      </c>
      <c r="AI22" s="7">
        <v>7.1428571428571425E-2</v>
      </c>
      <c r="AK22" t="str">
        <v>volkswagen 1131 deluxe sedan</v>
      </c>
      <c r="AL22" s="7">
        <v>26</v>
      </c>
      <c r="AM22" s="7">
        <v>28.591062427308099</v>
      </c>
      <c r="AN22" s="7">
        <v>-2.5910624273080991</v>
      </c>
      <c r="AO22" s="7">
        <v>6.8142656866106793E-2</v>
      </c>
      <c r="AP22" s="7">
        <v>-0.87508847543411206</v>
      </c>
      <c r="AQ22" s="7">
        <v>3.2940079133687945E-3</v>
      </c>
      <c r="AR22" s="7">
        <v>-1.8192221095957348</v>
      </c>
      <c r="AS22" s="7">
        <v>-1.626368466519942</v>
      </c>
      <c r="AT22" s="7">
        <v>0.93546163760686207</v>
      </c>
      <c r="AU22" s="7">
        <v>-2.7805355040656736</v>
      </c>
    </row>
    <row r="23" spans="16:47" x14ac:dyDescent="0.25">
      <c r="Q23" s="14"/>
      <c r="R23" s="14"/>
      <c r="S23" s="14"/>
      <c r="T23" s="14"/>
      <c r="U23" s="14"/>
      <c r="V23" s="14"/>
      <c r="X23" t="str">
        <v>Weight</v>
      </c>
      <c r="Y23" s="7">
        <v>-5.0633096151167433E-3</v>
      </c>
      <c r="Z23" s="7">
        <v>4.3671065291282139E-4</v>
      </c>
      <c r="AA23" s="7">
        <v>-11.594197625693159</v>
      </c>
      <c r="AB23" s="19">
        <v>8.9955160626704314E-27</v>
      </c>
      <c r="AC23" s="7">
        <v>-5.9220182092698795E-3</v>
      </c>
      <c r="AD23" s="7">
        <v>-4.2046010209636072E-3</v>
      </c>
      <c r="AE23" s="7">
        <v>-0.55102934324785413</v>
      </c>
      <c r="AG23" t="str">
        <v>Model Year: 73</v>
      </c>
      <c r="AH23" s="17" cm="1">
        <f t="array" ref="AH23">IF(ROW()-18&lt;=IFERROR(ROWS(_xlfn.ANCHORARRAY($AI$19)),0),INDEX(_xlfn.ANCHORARRAY($AI$19),ROW()-18),"")</f>
        <v>0.10204081632653061</v>
      </c>
      <c r="AI23" s="7">
        <v>0.10204081632653061</v>
      </c>
      <c r="AK23" t="str">
        <v>peugeot 504</v>
      </c>
      <c r="AL23" s="7">
        <v>25</v>
      </c>
      <c r="AM23" s="7">
        <v>23.687378569360192</v>
      </c>
      <c r="AN23" s="7">
        <v>1.3126214306398083</v>
      </c>
      <c r="AO23" s="7">
        <v>5.7444350257130856E-2</v>
      </c>
      <c r="AP23" s="7">
        <v>0.4407931061238981</v>
      </c>
      <c r="AQ23" s="7">
        <v>6.9656393771628427E-4</v>
      </c>
      <c r="AR23" s="7">
        <v>-1.8192221095957348</v>
      </c>
      <c r="AS23" s="7">
        <v>-1.5268692799723573</v>
      </c>
      <c r="AT23" s="7">
        <v>0.66392251515059952</v>
      </c>
      <c r="AU23" s="7">
        <v>1.3926195562011578</v>
      </c>
    </row>
    <row r="24" spans="16:47" x14ac:dyDescent="0.25">
      <c r="Q24" s="14"/>
      <c r="R24" s="14"/>
      <c r="S24" s="14"/>
      <c r="T24" s="14"/>
      <c r="U24" s="14"/>
      <c r="V24" s="14"/>
      <c r="X24" t="str">
        <v>Model Year: 71</v>
      </c>
      <c r="Y24" s="7">
        <v>0.91041019458277417</v>
      </c>
      <c r="Z24" s="7">
        <v>0.86700620491109681</v>
      </c>
      <c r="AA24" s="7">
        <v>1.0500619135432001</v>
      </c>
      <c r="AB24" s="19">
        <v>0.29436587877078829</v>
      </c>
      <c r="AC24" s="7">
        <v>-0.79439291561265335</v>
      </c>
      <c r="AD24" s="7">
        <v>2.6152133047782016</v>
      </c>
      <c r="AE24" s="7">
        <v>2.9577447376240313E-2</v>
      </c>
      <c r="AG24" t="str">
        <v>Model Year: 74</v>
      </c>
      <c r="AH24" s="17" cm="1">
        <f t="array" ref="AH24">IF(ROW()-18&lt;=IFERROR(ROWS(_xlfn.ANCHORARRAY($AI$19)),0),INDEX(_xlfn.ANCHORARRAY($AI$19),ROW()-18),"")</f>
        <v>6.6326530612244902E-2</v>
      </c>
      <c r="AI24" s="7">
        <v>6.6326530612244902E-2</v>
      </c>
      <c r="AK24" t="str">
        <v>audi 100 ls</v>
      </c>
      <c r="AL24" s="7">
        <v>24</v>
      </c>
      <c r="AM24" s="7">
        <v>24.863990200357819</v>
      </c>
      <c r="AN24" s="7">
        <v>-0.86399020035781859</v>
      </c>
      <c r="AO24" s="7">
        <v>5.1568524658183831E-2</v>
      </c>
      <c r="AP24" s="7">
        <v>-0.28923752793397073</v>
      </c>
      <c r="AQ24" s="7">
        <v>2.6757104145415611E-4</v>
      </c>
      <c r="AR24" s="7">
        <v>-1.8192221095957348</v>
      </c>
      <c r="AS24" s="7">
        <v>-1.5175419689962188</v>
      </c>
      <c r="AT24" s="7">
        <v>0.53780807723013113</v>
      </c>
      <c r="AU24" s="7">
        <v>-0.91096744764447557</v>
      </c>
    </row>
    <row r="25" spans="16:47" x14ac:dyDescent="0.25">
      <c r="Q25" s="14"/>
      <c r="R25" s="14"/>
      <c r="S25" s="14"/>
      <c r="T25" s="14"/>
      <c r="U25" s="14"/>
      <c r="V25" s="14"/>
      <c r="X25" t="str">
        <v>Model Year: 72</v>
      </c>
      <c r="Y25" s="7">
        <v>-0.34595173995933204</v>
      </c>
      <c r="Z25" s="7">
        <v>0.84392497453951754</v>
      </c>
      <c r="AA25" s="7">
        <v>-0.40993186645305585</v>
      </c>
      <c r="AB25" s="19">
        <v>0.68209000766572636</v>
      </c>
      <c r="AC25" s="7">
        <v>-2.005369992351302</v>
      </c>
      <c r="AD25" s="7">
        <v>1.3134665124326381</v>
      </c>
      <c r="AE25" s="7">
        <v>-1.1429848936238184E-2</v>
      </c>
      <c r="AG25" t="str">
        <v>Model Year: 75</v>
      </c>
      <c r="AH25" s="17" cm="1">
        <f t="array" ref="AH25">IF(ROW()-18&lt;=IFERROR(ROWS(_xlfn.ANCHORARRAY($AI$19)),0),INDEX(_xlfn.ANCHORARRAY($AI$19),ROW()-18),"")</f>
        <v>7.6530612244897961E-2</v>
      </c>
      <c r="AI25" s="7">
        <v>7.6530612244897961E-2</v>
      </c>
      <c r="AK25" t="str">
        <v>saab 99e</v>
      </c>
      <c r="AL25" s="7">
        <v>25</v>
      </c>
      <c r="AM25" s="7">
        <v>25.061290069421542</v>
      </c>
      <c r="AN25" s="7">
        <v>-6.1290069421541915E-2</v>
      </c>
      <c r="AO25" s="7">
        <v>4.9464537797579741E-2</v>
      </c>
      <c r="AP25" s="7">
        <v>-2.0495322425387076E-2</v>
      </c>
      <c r="AQ25" s="7">
        <v>1.285837892010095E-6</v>
      </c>
      <c r="AR25" s="7">
        <v>-1.8192221095957348</v>
      </c>
      <c r="AS25" s="7">
        <v>-1.4769363323181717</v>
      </c>
      <c r="AT25" s="7">
        <v>0.14316187490175963</v>
      </c>
      <c r="AU25" s="7">
        <v>-6.4479519027655127E-2</v>
      </c>
    </row>
    <row r="26" spans="16:47" x14ac:dyDescent="0.25">
      <c r="Q26" s="14"/>
      <c r="R26" s="14"/>
      <c r="S26" s="14"/>
      <c r="T26" s="14"/>
      <c r="U26" s="14"/>
      <c r="V26" s="14"/>
      <c r="X26" t="str">
        <v>Model Year: 73</v>
      </c>
      <c r="Y26" s="7">
        <v>-0.70625405150926601</v>
      </c>
      <c r="Z26" s="7">
        <v>0.77077168235926674</v>
      </c>
      <c r="AA26" s="7">
        <v>-0.91629475715491038</v>
      </c>
      <c r="AB26" s="19">
        <v>0.36010118595542118</v>
      </c>
      <c r="AC26" s="7">
        <v>-2.2218302421910612</v>
      </c>
      <c r="AD26" s="7">
        <v>0.80932213917252926</v>
      </c>
      <c r="AE26" s="7">
        <v>-2.7425688780183487E-2</v>
      </c>
      <c r="AG26" t="str">
        <v>Model Year: 76</v>
      </c>
      <c r="AH26" s="17" cm="1">
        <f t="array" ref="AH26">IF(ROW()-18&lt;=IFERROR(ROWS(_xlfn.ANCHORARRAY($AI$19)),0),INDEX(_xlfn.ANCHORARRAY($AI$19),ROW()-18),"")</f>
        <v>8.673469387755102E-2</v>
      </c>
      <c r="AI26" s="7">
        <v>8.673469387755102E-2</v>
      </c>
      <c r="AK26" t="str">
        <v>bmw 2002</v>
      </c>
      <c r="AL26" s="7">
        <v>26</v>
      </c>
      <c r="AM26" s="7">
        <v>25.482960949989256</v>
      </c>
      <c r="AN26" s="7">
        <v>0.51703905001074446</v>
      </c>
      <c r="AO26" s="7">
        <v>4.9413009365655451E-2</v>
      </c>
      <c r="AP26" s="7">
        <v>0.17289252435540003</v>
      </c>
      <c r="AQ26" s="7">
        <v>9.1401420889604447E-5</v>
      </c>
      <c r="AR26" s="7">
        <v>-1.8192221095957348</v>
      </c>
      <c r="AS26" s="7">
        <v>-1.4375278289347933</v>
      </c>
      <c r="AT26" s="7">
        <v>0.41580346842637089</v>
      </c>
      <c r="AU26" s="7">
        <v>0.54391555439414818</v>
      </c>
    </row>
    <row r="27" spans="16:47" x14ac:dyDescent="0.25">
      <c r="Q27" s="14"/>
      <c r="R27" s="14"/>
      <c r="S27" s="14"/>
      <c r="T27" s="14"/>
      <c r="U27" s="14"/>
      <c r="V27" s="14"/>
      <c r="X27" t="str">
        <v>Model Year: 74</v>
      </c>
      <c r="Y27" s="7">
        <v>1.2578616049411391</v>
      </c>
      <c r="Z27" s="7">
        <v>0.90223457377328486</v>
      </c>
      <c r="AA27" s="7">
        <v>1.3941624955476566</v>
      </c>
      <c r="AB27" s="19">
        <v>0.16409401980109084</v>
      </c>
      <c r="AC27" s="7">
        <v>-0.51621140489650408</v>
      </c>
      <c r="AD27" s="7">
        <v>3.0319346147787822</v>
      </c>
      <c r="AE27" s="7">
        <v>4.0156452683686186E-2</v>
      </c>
      <c r="AG27" t="str">
        <v>Model Year: 77</v>
      </c>
      <c r="AH27" s="17" cm="1">
        <f t="array" ref="AH27">IF(ROW()-18&lt;=IFERROR(ROWS(_xlfn.ANCHORARRAY($AI$19)),0),INDEX(_xlfn.ANCHORARRAY($AI$19),ROW()-18),"")</f>
        <v>7.1428571428571425E-2</v>
      </c>
      <c r="AI27" s="7">
        <v>7.1428571428571425E-2</v>
      </c>
      <c r="AK27" t="str">
        <v>amc gremlin</v>
      </c>
      <c r="AL27" s="7">
        <v>21</v>
      </c>
      <c r="AM27" s="7">
        <v>21.822223935113239</v>
      </c>
      <c r="AN27" s="7">
        <v>-0.82222393511323943</v>
      </c>
      <c r="AO27" s="7">
        <v>4.9584288806374846E-2</v>
      </c>
      <c r="AP27" s="7">
        <v>-0.27496797490025449</v>
      </c>
      <c r="AQ27" s="7">
        <v>2.3203088177442646E-4</v>
      </c>
      <c r="AR27" s="7">
        <v>-1.8192221095957348</v>
      </c>
      <c r="AS27" s="7">
        <v>-1.4339281629923626</v>
      </c>
      <c r="AT27" s="7">
        <v>0.52437388846151989</v>
      </c>
      <c r="AU27" s="7">
        <v>-0.86512031043827142</v>
      </c>
    </row>
    <row r="28" spans="16:47" x14ac:dyDescent="0.25">
      <c r="Q28" s="14"/>
      <c r="R28" s="14"/>
      <c r="S28" s="14"/>
      <c r="T28" s="14"/>
      <c r="U28" s="14"/>
      <c r="V28" s="14"/>
      <c r="X28" t="str">
        <v>Model Year: 75</v>
      </c>
      <c r="Y28" s="7">
        <v>0.63935220100332424</v>
      </c>
      <c r="Z28" s="7">
        <v>0.88468943032156888</v>
      </c>
      <c r="AA28" s="7">
        <v>0.72268547480094913</v>
      </c>
      <c r="AB28" s="19">
        <v>0.47032360057386857</v>
      </c>
      <c r="AC28" s="7">
        <v>-1.1002216149924742</v>
      </c>
      <c r="AD28" s="7">
        <v>2.3789260169991224</v>
      </c>
      <c r="AE28" s="7">
        <v>2.1804711308239143E-2</v>
      </c>
      <c r="AG28" t="str">
        <v>Model Year: 78</v>
      </c>
      <c r="AH28" s="17" cm="1">
        <f t="array" ref="AH28">IF(ROW()-18&lt;=IFERROR(ROWS(_xlfn.ANCHORARRAY($AI$19)),0),INDEX(_xlfn.ANCHORARRAY($AI$19),ROW()-18),"")</f>
        <v>9.1836734693877556E-2</v>
      </c>
      <c r="AI28" s="7">
        <v>9.1836734693877556E-2</v>
      </c>
      <c r="AK28" t="str">
        <v>ford f250</v>
      </c>
      <c r="AL28" s="7">
        <v>10</v>
      </c>
      <c r="AM28" s="7">
        <v>9.8331399279859557</v>
      </c>
      <c r="AN28" s="7">
        <v>0.16686007201404429</v>
      </c>
      <c r="AO28" s="7">
        <v>4.5553437442162031E-2</v>
      </c>
      <c r="AP28" s="7">
        <v>5.5683358456535478E-2</v>
      </c>
      <c r="AQ28" s="7">
        <v>8.705053750157693E-6</v>
      </c>
      <c r="AR28" s="7">
        <v>-1.8192221095957348</v>
      </c>
      <c r="AS28" s="7">
        <v>-1.3818722583783176</v>
      </c>
      <c r="AT28" s="7">
        <v>0.23597321554900141</v>
      </c>
      <c r="AU28" s="7">
        <v>0.17482390168274384</v>
      </c>
    </row>
    <row r="29" spans="16:47" x14ac:dyDescent="0.25">
      <c r="Q29" s="14"/>
      <c r="R29" s="14"/>
      <c r="S29" s="14"/>
      <c r="T29" s="14"/>
      <c r="U29" s="14"/>
      <c r="V29" s="14"/>
      <c r="X29" t="str">
        <v>Model Year: 76</v>
      </c>
      <c r="Y29" s="7">
        <v>1.4144247705995325</v>
      </c>
      <c r="Z29" s="7">
        <v>0.84878476923281831</v>
      </c>
      <c r="AA29" s="7">
        <v>1.6664115826182566</v>
      </c>
      <c r="AB29" s="19">
        <v>9.6466455919174049E-2</v>
      </c>
      <c r="AC29" s="7">
        <v>-0.25454934547728847</v>
      </c>
      <c r="AD29" s="7">
        <v>3.0833988866763535</v>
      </c>
      <c r="AE29" s="7">
        <v>5.1068851278666165E-2</v>
      </c>
      <c r="AG29" t="str">
        <v>Model Year: 79</v>
      </c>
      <c r="AH29" s="17" cm="1">
        <f t="array" ref="AH29">IF(ROW()-18&lt;=IFERROR(ROWS(_xlfn.ANCHORARRAY($AI$19)),0),INDEX(_xlfn.ANCHORARRAY($AI$19),ROW()-18),"")</f>
        <v>7.3979591836734693E-2</v>
      </c>
      <c r="AI29" s="7">
        <v>7.3979591836734693E-2</v>
      </c>
      <c r="AK29" t="str">
        <v>chevy c20</v>
      </c>
      <c r="AL29" s="7">
        <v>10</v>
      </c>
      <c r="AM29" s="7">
        <v>11.286817405301973</v>
      </c>
      <c r="AN29" s="7">
        <v>-1.2868174053019725</v>
      </c>
      <c r="AO29" s="7">
        <v>4.0933470674793776E-2</v>
      </c>
      <c r="AP29" s="7">
        <v>-0.4283920105670963</v>
      </c>
      <c r="AQ29" s="7">
        <v>4.6074819083103937E-4</v>
      </c>
      <c r="AR29" s="7">
        <v>-1.8192221095957348</v>
      </c>
      <c r="AS29" s="7">
        <v>-1.3375231715810592</v>
      </c>
      <c r="AT29" s="7">
        <v>0.65451662359874119</v>
      </c>
      <c r="AU29" s="7">
        <v>-1.3417394580617572</v>
      </c>
    </row>
    <row r="30" spans="16:47" x14ac:dyDescent="0.25">
      <c r="Q30" s="14"/>
      <c r="R30" s="14"/>
      <c r="S30" s="14"/>
      <c r="T30" s="14"/>
      <c r="U30" s="14"/>
      <c r="V30" s="14"/>
      <c r="X30" t="str">
        <v>Model Year: 77</v>
      </c>
      <c r="Y30" s="7">
        <v>2.8481175004680441</v>
      </c>
      <c r="Z30" s="7">
        <v>0.86455882212615043</v>
      </c>
      <c r="AA30" s="7">
        <v>3.294301587790017</v>
      </c>
      <c r="AB30" s="19">
        <v>1.0805831577804146E-3</v>
      </c>
      <c r="AC30" s="7">
        <v>1.1481267039100296</v>
      </c>
      <c r="AD30" s="7">
        <v>4.5481082970260589</v>
      </c>
      <c r="AE30" s="7">
        <v>9.4098537520964129E-2</v>
      </c>
      <c r="AG30" t="str">
        <v>Model Year: 80</v>
      </c>
      <c r="AH30" s="17" cm="1">
        <f t="array" ref="AH30">IF(ROW()-18&lt;=IFERROR(ROWS(_xlfn.ANCHORARRAY($AI$19)),0),INDEX(_xlfn.ANCHORARRAY($AI$19),ROW()-18),"")</f>
        <v>6.8877551020408156E-2</v>
      </c>
      <c r="AI30" s="7">
        <v>6.8877551020408156E-2</v>
      </c>
      <c r="AK30" t="str">
        <v>dodge d200</v>
      </c>
      <c r="AL30" s="7">
        <v>11</v>
      </c>
      <c r="AM30" s="7">
        <v>11.094073228075858</v>
      </c>
      <c r="AN30" s="7">
        <v>-9.4073228075858495E-2</v>
      </c>
      <c r="AO30" s="7">
        <v>4.4587292508687454E-2</v>
      </c>
      <c r="AP30" s="7">
        <v>-3.1377572652116069E-2</v>
      </c>
      <c r="AQ30" s="7">
        <v>2.7027747579047299E-6</v>
      </c>
      <c r="AR30" s="7">
        <v>-1.8192221095957348</v>
      </c>
      <c r="AS30" s="7">
        <v>-1.307068093232151</v>
      </c>
      <c r="AT30" s="7">
        <v>0.17713715773974717</v>
      </c>
      <c r="AU30" s="7">
        <v>-9.8463446569464735E-2</v>
      </c>
    </row>
    <row r="31" spans="16:47" x14ac:dyDescent="0.25">
      <c r="Q31" s="14"/>
      <c r="R31" s="14"/>
      <c r="S31" s="14"/>
      <c r="T31" s="14"/>
      <c r="U31" s="14"/>
      <c r="V31" s="14"/>
      <c r="X31" t="str">
        <v>Model Year: 78</v>
      </c>
      <c r="Y31" s="7">
        <v>2.6980951580993344</v>
      </c>
      <c r="Z31" s="7">
        <v>0.82369335401903576</v>
      </c>
      <c r="AA31" s="7">
        <v>3.2756063223462415</v>
      </c>
      <c r="AB31" s="19">
        <v>1.1525516881497513E-3</v>
      </c>
      <c r="AC31" s="7">
        <v>1.0784585467062864</v>
      </c>
      <c r="AD31" s="7">
        <v>4.3177317694923829</v>
      </c>
      <c r="AE31" s="7">
        <v>9.9960581933078274E-2</v>
      </c>
      <c r="AG31" t="str">
        <v>Model Year: 81</v>
      </c>
      <c r="AH31" s="17" cm="1">
        <f t="array" ref="AH31">IF(ROW()-18&lt;=IFERROR(ROWS(_xlfn.ANCHORARRAY($AI$19)),0),INDEX(_xlfn.ANCHORARRAY($AI$19),ROW()-18),"")</f>
        <v>7.1428571428571425E-2</v>
      </c>
      <c r="AI31" s="7">
        <v>7.1428571428571425E-2</v>
      </c>
      <c r="AK31" t="str">
        <v>hi 1200d</v>
      </c>
      <c r="AL31" s="7">
        <v>9</v>
      </c>
      <c r="AM31" s="7">
        <v>9.5979342059952</v>
      </c>
      <c r="AN31" s="7">
        <v>-0.59793420599519997</v>
      </c>
      <c r="AO31" s="7">
        <v>4.3597810529259505E-2</v>
      </c>
      <c r="AP31" s="7">
        <v>-0.19933424776620928</v>
      </c>
      <c r="AQ31" s="7">
        <v>1.0654646364981789E-4</v>
      </c>
      <c r="AR31" s="7">
        <v>-1.8192221095957348</v>
      </c>
      <c r="AS31" s="7">
        <v>-1.2992210520172569</v>
      </c>
      <c r="AT31" s="7">
        <v>0.44646864141416392</v>
      </c>
      <c r="AU31" s="7">
        <v>-0.62519117226831977</v>
      </c>
    </row>
    <row r="32" spans="16:47" x14ac:dyDescent="0.25">
      <c r="Q32" s="14"/>
      <c r="R32" s="14"/>
      <c r="S32" s="14"/>
      <c r="T32" s="14"/>
      <c r="U32" s="14"/>
      <c r="V32" s="14"/>
      <c r="X32" t="str">
        <v>Model Year: 79</v>
      </c>
      <c r="Y32" s="7">
        <v>5.1059820845240225</v>
      </c>
      <c r="Z32" s="7">
        <v>0.87407693909722706</v>
      </c>
      <c r="AA32" s="7">
        <v>5.8415705255851211</v>
      </c>
      <c r="AB32" s="19">
        <v>1.1226645573082098E-8</v>
      </c>
      <c r="AC32" s="7">
        <v>3.3872757178540738</v>
      </c>
      <c r="AD32" s="7">
        <v>6.8246884511939712</v>
      </c>
      <c r="AE32" s="7">
        <v>0.17144580454032013</v>
      </c>
      <c r="AG32" t="str">
        <v>Model Year: 82</v>
      </c>
      <c r="AH32" s="17" cm="1">
        <f t="array" ref="AH32">IF(ROW()-18&lt;=IFERROR(ROWS(_xlfn.ANCHORARRAY($AI$19)),0),INDEX(_xlfn.ANCHORARRAY($AI$19),ROW()-18),"")</f>
        <v>7.6530612244897961E-2</v>
      </c>
      <c r="AI32" s="7">
        <v>7.6530612244897961E-2</v>
      </c>
      <c r="AK32" t="str">
        <v>datsun pl510</v>
      </c>
      <c r="AL32" s="7">
        <v>27</v>
      </c>
      <c r="AM32" s="7">
        <v>27.44784298533256</v>
      </c>
      <c r="AN32" s="7">
        <v>-0.44784298533256006</v>
      </c>
      <c r="AO32" s="7">
        <v>5.0482475252271251E-2</v>
      </c>
      <c r="AP32" s="7">
        <v>-0.14983838636843658</v>
      </c>
      <c r="AQ32" s="7">
        <v>7.0215809939308985E-5</v>
      </c>
      <c r="AR32" s="7">
        <v>-1.8192221095957348</v>
      </c>
      <c r="AS32" s="7">
        <v>-1.2647682754399088</v>
      </c>
      <c r="AT32" s="7">
        <v>0.38708963609019109</v>
      </c>
      <c r="AU32" s="7">
        <v>-0.47165320666571647</v>
      </c>
    </row>
    <row r="33" spans="17:47" x14ac:dyDescent="0.25">
      <c r="Q33" s="14"/>
      <c r="R33" s="14"/>
      <c r="S33" s="14"/>
      <c r="T33" s="14"/>
      <c r="U33" s="14"/>
      <c r="V33" s="14"/>
      <c r="X33" t="str">
        <v>Model Year: 80</v>
      </c>
      <c r="Y33" s="7">
        <v>9.1670835618192577</v>
      </c>
      <c r="Z33" s="7">
        <v>0.92246059063757935</v>
      </c>
      <c r="AA33" s="7">
        <v>9.9376424910285017</v>
      </c>
      <c r="AB33" s="19">
        <v>8.2240275742115951E-21</v>
      </c>
      <c r="AC33" s="7">
        <v>7.3532399295087911</v>
      </c>
      <c r="AD33" s="7">
        <v>10.980927194129723</v>
      </c>
      <c r="AE33" s="7">
        <v>0.2978206233373355</v>
      </c>
      <c r="AG33" t="str">
        <v>Origin: Europe</v>
      </c>
      <c r="AH33" s="17" cm="1">
        <f t="array" ref="AH33">IF(ROW()-18&lt;=IFERROR(ROWS(_xlfn.ANCHORARRAY($AI$19)),0),INDEX(_xlfn.ANCHORARRAY($AI$19),ROW()-18),"")</f>
        <v>0.17346938775510204</v>
      </c>
      <c r="AI33" s="7">
        <v>0.17346938775510204</v>
      </c>
      <c r="AK33" t="str">
        <v>chevrolet vega 2300</v>
      </c>
      <c r="AL33" s="7">
        <v>28</v>
      </c>
      <c r="AM33" s="7">
        <v>24.676945021900842</v>
      </c>
      <c r="AN33" s="7">
        <v>3.3230549780991581</v>
      </c>
      <c r="AO33" s="7">
        <v>4.6906901296231408E-2</v>
      </c>
      <c r="AP33" s="7">
        <v>1.1097334264431693</v>
      </c>
      <c r="AQ33" s="7">
        <v>3.5652487247722739E-3</v>
      </c>
      <c r="AR33" s="7">
        <v>-1.8192221095957348</v>
      </c>
      <c r="AS33" s="7">
        <v>-1.2628813097867091</v>
      </c>
      <c r="AT33" s="7">
        <v>1.0534388574773428</v>
      </c>
      <c r="AU33" s="7">
        <v>3.4866006087113623</v>
      </c>
    </row>
    <row r="34" spans="17:47" x14ac:dyDescent="0.25">
      <c r="Q34" s="14"/>
      <c r="R34" s="14"/>
      <c r="S34" s="14"/>
      <c r="T34" s="14"/>
      <c r="U34" s="14"/>
      <c r="V34" s="14"/>
      <c r="X34" t="str">
        <v>Model Year: 81</v>
      </c>
      <c r="Y34" s="7">
        <v>6.5309047619851768</v>
      </c>
      <c r="Z34" s="7">
        <v>0.90984395584765865</v>
      </c>
      <c r="AA34" s="7">
        <v>7.1780492907716704</v>
      </c>
      <c r="AB34" s="19">
        <v>3.8191920779243274E-12</v>
      </c>
      <c r="AC34" s="7">
        <v>4.7418693468572641</v>
      </c>
      <c r="AD34" s="7">
        <v>8.3199401771130894</v>
      </c>
      <c r="AE34" s="7">
        <v>0.2157736071951083</v>
      </c>
      <c r="AG34" t="str">
        <v>Origin: US</v>
      </c>
      <c r="AH34" s="17" cm="1">
        <f t="array" ref="AH34">IF(ROW()-18&lt;=IFERROR(ROWS(_xlfn.ANCHORARRAY($AI$19)),0),INDEX(_xlfn.ANCHORARRAY($AI$19),ROW()-18),"")</f>
        <v>0.625</v>
      </c>
      <c r="AI34" s="7">
        <v>0.625</v>
      </c>
      <c r="AK34" t="str">
        <v>toyota corona</v>
      </c>
      <c r="AL34" s="7">
        <v>25</v>
      </c>
      <c r="AM34" s="7">
        <v>26.837983619376331</v>
      </c>
      <c r="AN34" s="7">
        <v>-1.837983619376331</v>
      </c>
      <c r="AO34" s="7">
        <v>5.0935386039696162E-2</v>
      </c>
      <c r="AP34" s="7">
        <v>-0.61509549983121248</v>
      </c>
      <c r="AQ34" s="7">
        <v>1.1944280641904474E-3</v>
      </c>
      <c r="AR34" s="7">
        <v>-1.8192221095957348</v>
      </c>
      <c r="AS34" s="7">
        <v>-1.260569504380137</v>
      </c>
      <c r="AT34" s="7">
        <v>0.78428024317281664</v>
      </c>
      <c r="AU34" s="7">
        <v>-1.9366264344286339</v>
      </c>
    </row>
    <row r="35" spans="17:47" x14ac:dyDescent="0.25">
      <c r="Q35" s="14"/>
      <c r="R35" s="14"/>
      <c r="S35" s="14"/>
      <c r="T35" s="14"/>
      <c r="U35" s="14"/>
      <c r="V35" s="14"/>
      <c r="X35" t="str">
        <v>Model Year: 82</v>
      </c>
      <c r="Y35" s="7">
        <v>8.2093406715777686</v>
      </c>
      <c r="Z35" s="7">
        <v>0.88405378716381344</v>
      </c>
      <c r="AA35" s="7">
        <v>9.2860194603256581</v>
      </c>
      <c r="AB35" s="19">
        <v>1.3188191200496983E-18</v>
      </c>
      <c r="AC35" s="7">
        <v>6.4710167271817092</v>
      </c>
      <c r="AD35" s="7">
        <v>9.947664615973828</v>
      </c>
      <c r="AE35" s="7">
        <v>0.27997448525841329</v>
      </c>
      <c r="AH35" s="17" t="str" cm="1">
        <f t="array" ref="AH35">IF(ROW()-18&lt;=IFERROR(ROWS(_xlfn.ANCHORARRAY($AI$19)),0),INDEX(_xlfn.ANCHORARRAY($AI$19),ROW()-18),"")</f>
        <v/>
      </c>
      <c r="AK35" t="str">
        <v>amc gremlin</v>
      </c>
      <c r="AL35" s="7">
        <v>19</v>
      </c>
      <c r="AM35" s="7">
        <v>22.641156144772239</v>
      </c>
      <c r="AN35" s="7">
        <v>-3.6411561447722391</v>
      </c>
      <c r="AO35" s="7">
        <v>4.1917364463458243E-2</v>
      </c>
      <c r="AP35" s="7">
        <v>-1.2127928346337891</v>
      </c>
      <c r="AQ35" s="7">
        <v>3.7854309026787501E-3</v>
      </c>
      <c r="AR35" s="7">
        <v>-1.8192221095957348</v>
      </c>
      <c r="AS35" s="7">
        <v>-1.2377760380844054</v>
      </c>
      <c r="AT35" s="7">
        <v>1.1012687386073343</v>
      </c>
      <c r="AU35" s="7">
        <v>-3.8004614734856697</v>
      </c>
    </row>
    <row r="36" spans="17:47" x14ac:dyDescent="0.25">
      <c r="Q36" s="14"/>
      <c r="R36" s="14"/>
      <c r="S36" s="14"/>
      <c r="T36" s="14"/>
      <c r="U36" s="14"/>
      <c r="V36" s="14"/>
      <c r="X36" t="str">
        <v>Origin: Europe</v>
      </c>
      <c r="Y36" s="7">
        <v>-0.12197684194985613</v>
      </c>
      <c r="Z36" s="7">
        <v>0.52750851256250852</v>
      </c>
      <c r="AA36" s="7">
        <v>-0.23123198781631443</v>
      </c>
      <c r="AB36" s="19">
        <v>0.8172606926747048</v>
      </c>
      <c r="AC36" s="7">
        <v>-1.1592221901112834</v>
      </c>
      <c r="AD36" s="7">
        <v>0.91526850621157108</v>
      </c>
      <c r="AE36" s="7">
        <v>-5.925153560440934E-3</v>
      </c>
      <c r="AH36" s="17" t="str" cm="1">
        <f t="array" ref="AH36">IF(ROW()-18&lt;=IFERROR(ROWS(_xlfn.ANCHORARRAY($AI$19)),0),INDEX(_xlfn.ANCHORARRAY($AI$19),ROW()-18),"")</f>
        <v/>
      </c>
      <c r="AK36" t="str">
        <v>plymouth satellite custom</v>
      </c>
      <c r="AL36" s="7">
        <v>16</v>
      </c>
      <c r="AM36" s="7">
        <v>18.484009744835557</v>
      </c>
      <c r="AN36" s="7">
        <v>-2.4840097448355571</v>
      </c>
      <c r="AO36" s="7">
        <v>4.0762584893143786E-2</v>
      </c>
      <c r="AP36" s="7">
        <v>-0.8268734431087178</v>
      </c>
      <c r="AQ36" s="7">
        <v>1.7090893677473593E-3</v>
      </c>
      <c r="AR36" s="7">
        <v>-1.3692588778592949</v>
      </c>
      <c r="AS36" s="7">
        <v>-1.2151675973963221</v>
      </c>
      <c r="AT36" s="7">
        <v>0.90932581790506628</v>
      </c>
      <c r="AU36" s="7">
        <v>-2.5895671975627073</v>
      </c>
    </row>
    <row r="37" spans="17:47" x14ac:dyDescent="0.25">
      <c r="Q37" s="14"/>
      <c r="R37" s="14"/>
      <c r="S37" s="14"/>
      <c r="T37" s="14"/>
      <c r="U37" s="14"/>
      <c r="V37" s="14"/>
      <c r="X37" t="str">
        <v>Origin: US</v>
      </c>
      <c r="Y37" s="7">
        <v>-2.0599416110989863</v>
      </c>
      <c r="Z37" s="7">
        <v>0.49646458927845077</v>
      </c>
      <c r="AA37" s="7">
        <v>-4.1492216274535387</v>
      </c>
      <c r="AB37" s="19">
        <v>4.1310663778078783E-5</v>
      </c>
      <c r="AC37" s="7">
        <v>-3.0361449774758</v>
      </c>
      <c r="AD37" s="7">
        <v>-1.0837382447221724</v>
      </c>
      <c r="AE37" s="7">
        <v>-0.12793573952028456</v>
      </c>
      <c r="AH37" s="17" t="str" cm="1">
        <f t="array" ref="AH37">IF(ROW()-18&lt;=IFERROR(ROWS(_xlfn.ANCHORARRAY($AI$19)),0),INDEX(_xlfn.ANCHORARRAY($AI$19),ROW()-18),"")</f>
        <v/>
      </c>
      <c r="AK37" t="str">
        <v>chevrolet chevelle malibu</v>
      </c>
      <c r="AL37" s="7">
        <v>17</v>
      </c>
      <c r="AM37" s="7">
        <v>19.122155962266103</v>
      </c>
      <c r="AN37" s="7">
        <v>-2.1221559622661026</v>
      </c>
      <c r="AO37" s="7">
        <v>4.0942536286414317E-2</v>
      </c>
      <c r="AP37" s="7">
        <v>-0.70648636894145489</v>
      </c>
      <c r="AQ37" s="7">
        <v>1.2533973309379685E-3</v>
      </c>
      <c r="AR37" s="7">
        <v>-1.3692588778592949</v>
      </c>
      <c r="AS37" s="7">
        <v>-1.2127928346337891</v>
      </c>
      <c r="AT37" s="7">
        <v>0.84052743497250282</v>
      </c>
      <c r="AU37" s="7">
        <v>-2.2127516260067042</v>
      </c>
    </row>
    <row r="38" spans="17:47" x14ac:dyDescent="0.25">
      <c r="Q38" s="14"/>
      <c r="R38" s="14"/>
      <c r="S38" s="14"/>
      <c r="T38" s="14"/>
      <c r="U38" s="14"/>
      <c r="V38" s="14"/>
      <c r="Y38" s="7"/>
      <c r="Z38" s="7"/>
      <c r="AA38" s="7"/>
      <c r="AB38" s="19"/>
      <c r="AC38" s="7"/>
      <c r="AD38" s="7"/>
      <c r="AE38" s="7"/>
      <c r="AH38" s="17" t="str" cm="1">
        <f t="array" ref="AH38">IF(ROW()-18&lt;=IFERROR(ROWS(_xlfn.ANCHORARRAY($AI$19)),0),INDEX(_xlfn.ANCHORARRAY($AI$19),ROW()-18),"")</f>
        <v/>
      </c>
      <c r="AK38" t="str">
        <v>ford torino 500</v>
      </c>
      <c r="AL38" s="7">
        <v>19</v>
      </c>
      <c r="AM38" s="7">
        <v>19.453702505316752</v>
      </c>
      <c r="AN38" s="7">
        <v>-0.45370250531675183</v>
      </c>
      <c r="AO38" s="7">
        <v>4.5737615254886607E-2</v>
      </c>
      <c r="AP38" s="7">
        <v>-0.15142098901853462</v>
      </c>
      <c r="AQ38" s="7">
        <v>6.4644108034656565E-5</v>
      </c>
      <c r="AR38" s="7">
        <v>-1.3692588778592949</v>
      </c>
      <c r="AS38" s="7">
        <v>-1.2081383307454165</v>
      </c>
      <c r="AT38" s="7">
        <v>0.38912849936561394</v>
      </c>
      <c r="AU38" s="7">
        <v>-0.47544838041367127</v>
      </c>
    </row>
    <row r="39" spans="17:47" x14ac:dyDescent="0.25">
      <c r="Q39" s="14"/>
      <c r="R39" s="14"/>
      <c r="S39" s="14"/>
      <c r="T39" s="14"/>
      <c r="U39" s="14"/>
      <c r="V39" s="14"/>
      <c r="Y39" s="7"/>
      <c r="Z39" s="7"/>
      <c r="AA39" s="7"/>
      <c r="AB39" s="19"/>
      <c r="AC39" s="7"/>
      <c r="AD39" s="7"/>
      <c r="AE39" s="7"/>
      <c r="AH39" s="17" t="str" cm="1">
        <f t="array" ref="AH39">IF(ROW()-18&lt;=IFERROR(ROWS(_xlfn.ANCHORARRAY($AI$19)),0),INDEX(_xlfn.ANCHORARRAY($AI$19),ROW()-18),"")</f>
        <v/>
      </c>
      <c r="AK39" t="str">
        <v>amc matador</v>
      </c>
      <c r="AL39" s="7">
        <v>18</v>
      </c>
      <c r="AM39" s="7">
        <v>19.32975165648589</v>
      </c>
      <c r="AN39" s="7">
        <v>-1.3297516564858896</v>
      </c>
      <c r="AO39" s="7">
        <v>4.045648501890594E-2</v>
      </c>
      <c r="AP39" s="7">
        <v>-0.44257513070662002</v>
      </c>
      <c r="AQ39" s="7">
        <v>4.8578999244009346E-4</v>
      </c>
      <c r="AR39" s="7">
        <v>-1.3692588778592949</v>
      </c>
      <c r="AS39" s="7">
        <v>-1.1982691301329909</v>
      </c>
      <c r="AT39" s="7">
        <v>0.66526320408288031</v>
      </c>
      <c r="AU39" s="7">
        <v>-1.3858169387055779</v>
      </c>
    </row>
    <row r="40" spans="17:47" x14ac:dyDescent="0.25">
      <c r="Q40" s="14"/>
      <c r="R40" s="14"/>
      <c r="S40" s="14"/>
      <c r="T40" s="14"/>
      <c r="U40" s="14"/>
      <c r="V40" s="14"/>
      <c r="Y40" s="7"/>
      <c r="Z40" s="7"/>
      <c r="AA40" s="7"/>
      <c r="AB40" s="19"/>
      <c r="AC40" s="7"/>
      <c r="AD40" s="7"/>
      <c r="AE40" s="7"/>
      <c r="AH40" s="17" t="str" cm="1">
        <f t="array" ref="AH40">IF(ROW()-18&lt;=IFERROR(ROWS(_xlfn.ANCHORARRAY($AI$19)),0),INDEX(_xlfn.ANCHORARRAY($AI$19),ROW()-18),"")</f>
        <v/>
      </c>
      <c r="AK40" t="str">
        <v>chevrolet impala</v>
      </c>
      <c r="AL40" s="7">
        <v>14</v>
      </c>
      <c r="AM40" s="7">
        <v>13.611075423983189</v>
      </c>
      <c r="AN40" s="7">
        <v>0.38892457601681052</v>
      </c>
      <c r="AO40" s="7">
        <v>4.490969346053824E-2</v>
      </c>
      <c r="AP40" s="7">
        <v>0.12974540077511315</v>
      </c>
      <c r="AQ40" s="7">
        <v>4.6561898072069656E-5</v>
      </c>
      <c r="AR40" s="7">
        <v>-1.3692588778592949</v>
      </c>
      <c r="AS40" s="7">
        <v>-1.1807393696594954</v>
      </c>
      <c r="AT40" s="7">
        <v>0.36020188891108434</v>
      </c>
      <c r="AU40" s="7">
        <v>0.40721235819677037</v>
      </c>
    </row>
    <row r="41" spans="17:47" x14ac:dyDescent="0.25">
      <c r="Q41" s="14"/>
      <c r="R41" s="14"/>
      <c r="S41" s="14"/>
      <c r="T41" s="14"/>
      <c r="U41" s="14"/>
      <c r="V41" s="14"/>
      <c r="Y41" s="7"/>
      <c r="Z41" s="7"/>
      <c r="AA41" s="7"/>
      <c r="AB41" s="19"/>
      <c r="AC41" s="7"/>
      <c r="AD41" s="7"/>
      <c r="AE41" s="7"/>
      <c r="AH41" s="17" t="str" cm="1">
        <f t="array" ref="AH41">IF(ROW()-18&lt;=IFERROR(ROWS(_xlfn.ANCHORARRAY($AI$19)),0),INDEX(_xlfn.ANCHORARRAY($AI$19),ROW()-18),"")</f>
        <v/>
      </c>
      <c r="AK41" t="str">
        <v>pontiac catalina brougham</v>
      </c>
      <c r="AL41" s="7">
        <v>14</v>
      </c>
      <c r="AM41" s="7">
        <v>12.157567152593005</v>
      </c>
      <c r="AN41" s="7">
        <v>1.8424328474069949</v>
      </c>
      <c r="AO41" s="7">
        <v>4.8236454390409113E-2</v>
      </c>
      <c r="AP41" s="7">
        <v>0.61570961852167438</v>
      </c>
      <c r="AQ41" s="7">
        <v>1.1301842896385282E-3</v>
      </c>
      <c r="AR41" s="7">
        <v>-1.3692588778592949</v>
      </c>
      <c r="AS41" s="7">
        <v>-1.1692507528849174</v>
      </c>
      <c r="AT41" s="7">
        <v>0.78467166287669288</v>
      </c>
      <c r="AU41" s="7">
        <v>1.9358094307204665</v>
      </c>
    </row>
    <row r="42" spans="17:47" x14ac:dyDescent="0.25">
      <c r="Q42" s="14"/>
      <c r="R42" s="14"/>
      <c r="S42" s="14"/>
      <c r="T42" s="14"/>
      <c r="U42" s="14"/>
      <c r="V42" s="14"/>
      <c r="Y42" s="7"/>
      <c r="Z42" s="7"/>
      <c r="AA42" s="7"/>
      <c r="AB42" s="19"/>
      <c r="AC42" s="7"/>
      <c r="AD42" s="7"/>
      <c r="AE42" s="7"/>
      <c r="AH42" s="17" t="str" cm="1">
        <f t="array" ref="AH42">IF(ROW()-18&lt;=IFERROR(ROWS(_xlfn.ANCHORARRAY($AI$19)),0),INDEX(_xlfn.ANCHORARRAY($AI$19),ROW()-18),"")</f>
        <v/>
      </c>
      <c r="AK42" t="str">
        <v>ford galaxie 500</v>
      </c>
      <c r="AL42" s="7">
        <v>14</v>
      </c>
      <c r="AM42" s="7">
        <v>14.084394636257104</v>
      </c>
      <c r="AN42" s="7">
        <v>-8.4394636257103528E-2</v>
      </c>
      <c r="AO42" s="7">
        <v>4.2572422246359647E-2</v>
      </c>
      <c r="AP42" s="7">
        <v>-2.8119699994223715E-2</v>
      </c>
      <c r="AQ42" s="7">
        <v>2.0682111384461643E-6</v>
      </c>
      <c r="AR42" s="7">
        <v>-1.3692588778592949</v>
      </c>
      <c r="AS42" s="7">
        <v>-1.1670319415810073</v>
      </c>
      <c r="AT42" s="7">
        <v>0.16768929600372146</v>
      </c>
      <c r="AU42" s="7">
        <v>-8.8147279458059918E-2</v>
      </c>
    </row>
    <row r="43" spans="17:47" x14ac:dyDescent="0.25">
      <c r="Q43" s="14"/>
      <c r="R43" s="14"/>
      <c r="S43" s="14"/>
      <c r="T43" s="14"/>
      <c r="U43" s="14"/>
      <c r="V43" s="14"/>
      <c r="Y43" s="7"/>
      <c r="Z43" s="7"/>
      <c r="AA43" s="7"/>
      <c r="AB43" s="19"/>
      <c r="AC43" s="7"/>
      <c r="AD43" s="7"/>
      <c r="AE43" s="7"/>
      <c r="AH43" s="17" t="str" cm="1">
        <f t="array" ref="AH43">IF(ROW()-18&lt;=IFERROR(ROWS(_xlfn.ANCHORARRAY($AI$19)),0),INDEX(_xlfn.ANCHORARRAY($AI$19),ROW()-18),"")</f>
        <v/>
      </c>
      <c r="AK43" t="str">
        <v>plymouth fury iii</v>
      </c>
      <c r="AL43" s="7">
        <v>14</v>
      </c>
      <c r="AM43" s="7">
        <v>14.4267758897945</v>
      </c>
      <c r="AN43" s="7">
        <v>-0.42677588979450043</v>
      </c>
      <c r="AO43" s="7">
        <v>4.1929569462095764E-2</v>
      </c>
      <c r="AP43" s="7">
        <v>-0.14215101395795629</v>
      </c>
      <c r="AQ43" s="7">
        <v>5.2020433725499967E-5</v>
      </c>
      <c r="AR43" s="7">
        <v>-1.3692588778592949</v>
      </c>
      <c r="AS43" s="7">
        <v>-1.1524014899843342</v>
      </c>
      <c r="AT43" s="7">
        <v>0.37702919510026844</v>
      </c>
      <c r="AU43" s="7">
        <v>-0.4454535660336465</v>
      </c>
    </row>
    <row r="44" spans="17:47" x14ac:dyDescent="0.25">
      <c r="Q44" s="14"/>
      <c r="R44" s="14"/>
      <c r="S44" s="14"/>
      <c r="T44" s="14"/>
      <c r="U44" s="14"/>
      <c r="V44" s="14"/>
      <c r="Y44" s="7"/>
      <c r="Z44" s="7"/>
      <c r="AA44" s="7"/>
      <c r="AB44" s="19"/>
      <c r="AC44" s="7"/>
      <c r="AD44" s="7"/>
      <c r="AE44" s="7"/>
      <c r="AH44" s="17" t="str" cm="1">
        <f t="array" ref="AH44">IF(ROW()-18&lt;=IFERROR(ROWS(_xlfn.ANCHORARRAY($AI$19)),0),INDEX(_xlfn.ANCHORARRAY($AI$19),ROW()-18),"")</f>
        <v/>
      </c>
      <c r="AK44" t="str">
        <v>dodge monaco (sw)</v>
      </c>
      <c r="AL44" s="7">
        <v>12</v>
      </c>
      <c r="AM44" s="7">
        <v>9.5902999718029793</v>
      </c>
      <c r="AN44" s="7">
        <v>2.4097000281970207</v>
      </c>
      <c r="AO44" s="7">
        <v>5.4827297260499556E-2</v>
      </c>
      <c r="AP44" s="7">
        <v>0.80808342930667132</v>
      </c>
      <c r="AQ44" s="7">
        <v>2.2281742354487285E-3</v>
      </c>
      <c r="AR44" s="7">
        <v>-1.3692588778592949</v>
      </c>
      <c r="AS44" s="7">
        <v>-1.1408976899843095</v>
      </c>
      <c r="AT44" s="7">
        <v>0.89893460791465318</v>
      </c>
      <c r="AU44" s="7">
        <v>2.5494811913343622</v>
      </c>
    </row>
    <row r="45" spans="17:47" x14ac:dyDescent="0.25">
      <c r="Q45" s="14"/>
      <c r="R45" s="14"/>
      <c r="S45" s="14"/>
      <c r="T45" s="14"/>
      <c r="U45" s="14"/>
      <c r="V45" s="14"/>
      <c r="Y45" s="7"/>
      <c r="Z45" s="7"/>
      <c r="AA45" s="7"/>
      <c r="AB45" s="19"/>
      <c r="AC45" s="7"/>
      <c r="AD45" s="7"/>
      <c r="AE45" s="7"/>
      <c r="AH45" s="17" t="str" cm="1">
        <f t="array" ref="AH45">IF(ROW()-18&lt;=IFERROR(ROWS(_xlfn.ANCHORARRAY($AI$19)),0),INDEX(_xlfn.ANCHORARRAY($AI$19),ROW()-18),"")</f>
        <v/>
      </c>
      <c r="AK45" t="str">
        <v>ford country squire (sw)</v>
      </c>
      <c r="AL45" s="7">
        <v>13</v>
      </c>
      <c r="AM45" s="7">
        <v>10.81089600089779</v>
      </c>
      <c r="AN45" s="7">
        <v>2.1891039991022101</v>
      </c>
      <c r="AO45" s="7">
        <v>5.0818250261889436E-2</v>
      </c>
      <c r="AP45" s="7">
        <v>0.73255545774192499</v>
      </c>
      <c r="AQ45" s="7">
        <v>1.690061169542192E-3</v>
      </c>
      <c r="AR45" s="7">
        <v>-1.3692588778592949</v>
      </c>
      <c r="AS45" s="7">
        <v>-1.1267405125615217</v>
      </c>
      <c r="AT45" s="7">
        <v>0.8558945365767473</v>
      </c>
      <c r="AU45" s="7">
        <v>2.306306457858263</v>
      </c>
    </row>
    <row r="46" spans="17:47" x14ac:dyDescent="0.25">
      <c r="Q46" s="14"/>
      <c r="R46" s="14"/>
      <c r="S46" s="14"/>
      <c r="T46" s="14"/>
      <c r="U46" s="14"/>
      <c r="V46" s="14"/>
      <c r="Y46" s="7"/>
      <c r="Z46" s="7"/>
      <c r="AA46" s="7"/>
      <c r="AB46" s="19"/>
      <c r="AC46" s="7"/>
      <c r="AD46" s="7"/>
      <c r="AE46" s="7"/>
      <c r="AH46" s="17" t="str" cm="1">
        <f t="array" ref="AH46">IF(ROW()-18&lt;=IFERROR(ROWS(_xlfn.ANCHORARRAY($AI$19)),0),INDEX(_xlfn.ANCHORARRAY($AI$19),ROW()-18),"")</f>
        <v/>
      </c>
      <c r="AK46" t="str">
        <v>pontiac safari (sw)</v>
      </c>
      <c r="AL46" s="7">
        <v>13</v>
      </c>
      <c r="AM46" s="7">
        <v>8.7347698527740878</v>
      </c>
      <c r="AN46" s="7">
        <v>4.2652301472259122</v>
      </c>
      <c r="AO46" s="7">
        <v>6.0087439699154588E-2</v>
      </c>
      <c r="AP46" s="7">
        <v>1.4343249307838992</v>
      </c>
      <c r="AQ46" s="7">
        <v>7.7364623983457691E-3</v>
      </c>
      <c r="AR46" s="7">
        <v>-1.3692588778592949</v>
      </c>
      <c r="AS46" s="7">
        <v>-1.1208436092324714</v>
      </c>
      <c r="AT46" s="7">
        <v>1.1976330534783595</v>
      </c>
      <c r="AU46" s="7">
        <v>4.5379009999192963</v>
      </c>
    </row>
    <row r="47" spans="17:47" x14ac:dyDescent="0.25">
      <c r="Q47" s="14"/>
      <c r="R47" s="14"/>
      <c r="S47" s="14"/>
      <c r="T47" s="14"/>
      <c r="U47" s="14"/>
      <c r="V47" s="14"/>
      <c r="Y47" s="7"/>
      <c r="Z47" s="7"/>
      <c r="AA47" s="7"/>
      <c r="AB47" s="19"/>
      <c r="AC47" s="7"/>
      <c r="AD47" s="7"/>
      <c r="AE47" s="7"/>
      <c r="AH47" s="17" t="str" cm="1">
        <f t="array" ref="AH47">IF(ROW()-18&lt;=IFERROR(ROWS(_xlfn.ANCHORARRAY($AI$19)),0),INDEX(_xlfn.ANCHORARRAY($AI$19),ROW()-18),"")</f>
        <v/>
      </c>
      <c r="AK47" t="str">
        <v>amc hornet sportabout (sw)</v>
      </c>
      <c r="AL47" s="7">
        <v>18</v>
      </c>
      <c r="AM47" s="7">
        <v>20.818026271478537</v>
      </c>
      <c r="AN47" s="7">
        <v>-2.8180262714785371</v>
      </c>
      <c r="AO47" s="7">
        <v>3.9345147076828242E-2</v>
      </c>
      <c r="AP47" s="7">
        <v>-0.93736805879047014</v>
      </c>
      <c r="AQ47" s="7">
        <v>2.1168747955341571E-3</v>
      </c>
      <c r="AR47" s="7">
        <v>-1.3692588778592949</v>
      </c>
      <c r="AS47" s="7">
        <v>-1.1079659887017894</v>
      </c>
      <c r="AT47" s="7">
        <v>0.9681777000068067</v>
      </c>
      <c r="AU47" s="7">
        <v>-2.9334430184822149</v>
      </c>
    </row>
    <row r="48" spans="17:47" x14ac:dyDescent="0.25">
      <c r="Q48" s="14"/>
      <c r="R48" s="14"/>
      <c r="S48" s="14"/>
      <c r="T48" s="14"/>
      <c r="U48" s="14"/>
      <c r="V48" s="14"/>
      <c r="Y48" s="7"/>
      <c r="Z48" s="7"/>
      <c r="AA48" s="7"/>
      <c r="AB48" s="19"/>
      <c r="AC48" s="7"/>
      <c r="AD48" s="7"/>
      <c r="AE48" s="7"/>
      <c r="AH48" s="17" t="str" cm="1">
        <f t="array" ref="AH48">IF(ROW()-18&lt;=IFERROR(ROWS(_xlfn.ANCHORARRAY($AI$19)),0),INDEX(_xlfn.ANCHORARRAY($AI$19),ROW()-18),"")</f>
        <v/>
      </c>
      <c r="AK48" t="str">
        <v>chevrolet vega (sw)</v>
      </c>
      <c r="AL48" s="7">
        <v>22</v>
      </c>
      <c r="AM48" s="7">
        <v>24.240084212487776</v>
      </c>
      <c r="AN48" s="7">
        <v>-2.2400842124877762</v>
      </c>
      <c r="AO48" s="7">
        <v>4.4387571078158897E-2</v>
      </c>
      <c r="AP48" s="7">
        <v>-0.74708884873176218</v>
      </c>
      <c r="AQ48" s="7">
        <v>1.5250187306289781E-3</v>
      </c>
      <c r="AR48" s="7">
        <v>-1.3692588778592949</v>
      </c>
      <c r="AS48" s="7">
        <v>-1.0776013794312584</v>
      </c>
      <c r="AT48" s="7">
        <v>0.86434301566667515</v>
      </c>
      <c r="AU48" s="7">
        <v>-2.344134656154615</v>
      </c>
    </row>
    <row r="49" spans="17:47" x14ac:dyDescent="0.25">
      <c r="Q49" s="14"/>
      <c r="R49" s="14"/>
      <c r="S49" s="14"/>
      <c r="T49" s="14"/>
      <c r="U49" s="14"/>
      <c r="V49" s="14"/>
      <c r="Y49" s="7"/>
      <c r="Z49" s="7"/>
      <c r="AA49" s="7"/>
      <c r="AB49" s="19"/>
      <c r="AC49" s="7"/>
      <c r="AD49" s="7"/>
      <c r="AE49" s="7"/>
      <c r="AH49" s="17" t="str" cm="1">
        <f t="array" ref="AH49">IF(ROW()-18&lt;=IFERROR(ROWS(_xlfn.ANCHORARRAY($AI$19)),0),INDEX(_xlfn.ANCHORARRAY($AI$19),ROW()-18),"")</f>
        <v/>
      </c>
      <c r="AK49" t="str">
        <v>pontiac firebird</v>
      </c>
      <c r="AL49" s="7">
        <v>19</v>
      </c>
      <c r="AM49" s="7">
        <v>19.36013151417659</v>
      </c>
      <c r="AN49" s="7">
        <v>-0.36013151417659017</v>
      </c>
      <c r="AO49" s="7">
        <v>4.0391072118825221E-2</v>
      </c>
      <c r="AP49" s="7">
        <v>-0.119856830968657</v>
      </c>
      <c r="AQ49" s="7">
        <v>3.5568681059557331E-5</v>
      </c>
      <c r="AR49" s="7">
        <v>-1.3692588778592949</v>
      </c>
      <c r="AS49" s="7">
        <v>-1.0767196379396311</v>
      </c>
      <c r="AT49" s="7">
        <v>0.34620345314375045</v>
      </c>
      <c r="AU49" s="7">
        <v>-0.37528987456563562</v>
      </c>
    </row>
    <row r="50" spans="17:47" x14ac:dyDescent="0.25">
      <c r="Q50" s="14"/>
      <c r="R50" s="14"/>
      <c r="S50" s="14"/>
      <c r="T50" s="14"/>
      <c r="U50" s="14"/>
      <c r="V50" s="14"/>
      <c r="Y50" s="7"/>
      <c r="Z50" s="7"/>
      <c r="AA50" s="7"/>
      <c r="AB50" s="19"/>
      <c r="AC50" s="7"/>
      <c r="AD50" s="7"/>
      <c r="AE50" s="7"/>
      <c r="AH50" s="17" t="str" cm="1">
        <f t="array" ref="AH50">IF(ROW()-18&lt;=IFERROR(ROWS(_xlfn.ANCHORARRAY($AI$19)),0),INDEX(_xlfn.ANCHORARRAY($AI$19),ROW()-18),"")</f>
        <v/>
      </c>
      <c r="AK50" t="str">
        <v>ford mustang</v>
      </c>
      <c r="AL50" s="7">
        <v>18</v>
      </c>
      <c r="AM50" s="7">
        <v>20.279021972580779</v>
      </c>
      <c r="AN50" s="7">
        <v>-2.2790219725807788</v>
      </c>
      <c r="AO50" s="7">
        <v>4.2955679782943249E-2</v>
      </c>
      <c r="AP50" s="7">
        <v>-0.75950614299184738</v>
      </c>
      <c r="AQ50" s="7">
        <v>1.5230080763382213E-3</v>
      </c>
      <c r="AR50" s="7">
        <v>-1.3692588778592949</v>
      </c>
      <c r="AS50" s="7">
        <v>-1.0639613519924846</v>
      </c>
      <c r="AT50" s="7">
        <v>0.87149649625907699</v>
      </c>
      <c r="AU50" s="7">
        <v>-2.3813128863916133</v>
      </c>
    </row>
    <row r="51" spans="17:47" x14ac:dyDescent="0.25">
      <c r="Q51" s="14"/>
      <c r="R51" s="14"/>
      <c r="S51" s="14"/>
      <c r="T51" s="14"/>
      <c r="U51" s="14"/>
      <c r="V51" s="14"/>
      <c r="Y51" s="7"/>
      <c r="Z51" s="7"/>
      <c r="AA51" s="7"/>
      <c r="AB51" s="19"/>
      <c r="AC51" s="7"/>
      <c r="AD51" s="7"/>
      <c r="AE51" s="7"/>
      <c r="AH51" s="17" t="str" cm="1">
        <f t="array" ref="AH51">IF(ROW()-18&lt;=IFERROR(ROWS(_xlfn.ANCHORARRAY($AI$19)),0),INDEX(_xlfn.ANCHORARRAY($AI$19),ROW()-18),"")</f>
        <v/>
      </c>
      <c r="AK51" t="str">
        <v>mercury capri 2000</v>
      </c>
      <c r="AL51" s="7">
        <v>23</v>
      </c>
      <c r="AM51" s="7">
        <v>24.964676372780147</v>
      </c>
      <c r="AN51" s="7">
        <v>-1.9646763727801471</v>
      </c>
      <c r="AO51" s="7">
        <v>4.6967075740257901E-2</v>
      </c>
      <c r="AP51" s="7">
        <v>-0.65612392430107436</v>
      </c>
      <c r="AQ51" s="7">
        <v>1.2479823486709657E-3</v>
      </c>
      <c r="AR51" s="7">
        <v>-1.3692588778592949</v>
      </c>
      <c r="AS51" s="7">
        <v>-1.0306011185079671</v>
      </c>
      <c r="AT51" s="7">
        <v>0.81001476795245797</v>
      </c>
      <c r="AU51" s="7">
        <v>-2.0614989501083483</v>
      </c>
    </row>
    <row r="52" spans="17:47" x14ac:dyDescent="0.25">
      <c r="Q52" s="14"/>
      <c r="R52" s="14"/>
      <c r="S52" s="14"/>
      <c r="T52" s="14"/>
      <c r="U52" s="14"/>
      <c r="V52" s="14"/>
      <c r="Y52" s="7"/>
      <c r="Z52" s="7"/>
      <c r="AA52" s="7"/>
      <c r="AB52" s="19"/>
      <c r="AC52" s="7"/>
      <c r="AD52" s="7"/>
      <c r="AE52" s="7"/>
      <c r="AH52" s="17" t="str" cm="1">
        <f t="array" ref="AH52">IF(ROW()-18&lt;=IFERROR(ROWS(_xlfn.ANCHORARRAY($AI$19)),0),INDEX(_xlfn.ANCHORARRAY($AI$19),ROW()-18),"")</f>
        <v/>
      </c>
      <c r="AK52" t="str">
        <v>opel 1900</v>
      </c>
      <c r="AL52" s="7">
        <v>28</v>
      </c>
      <c r="AM52" s="7">
        <v>27.328836446781434</v>
      </c>
      <c r="AN52" s="7">
        <v>0.67116355321856602</v>
      </c>
      <c r="AO52" s="7">
        <v>5.4491719512995432E-2</v>
      </c>
      <c r="AP52" s="7">
        <v>0.22503211391071432</v>
      </c>
      <c r="AQ52" s="7">
        <v>1.7167428775597299E-4</v>
      </c>
      <c r="AR52" s="7">
        <v>-1.3692588778592949</v>
      </c>
      <c r="AS52" s="7">
        <v>-1.0254466826344892</v>
      </c>
      <c r="AT52" s="7">
        <v>0.47437549885161051</v>
      </c>
      <c r="AU52" s="7">
        <v>0.70984418335592858</v>
      </c>
    </row>
    <row r="53" spans="17:47" x14ac:dyDescent="0.25">
      <c r="Q53" s="14"/>
      <c r="R53" s="14"/>
      <c r="S53" s="14"/>
      <c r="T53" s="14"/>
      <c r="U53" s="14"/>
      <c r="V53" s="14"/>
      <c r="Y53" s="7"/>
      <c r="Z53" s="7"/>
      <c r="AA53" s="7"/>
      <c r="AB53" s="19"/>
      <c r="AC53" s="7"/>
      <c r="AD53" s="7"/>
      <c r="AE53" s="7"/>
      <c r="AH53" s="17" t="str" cm="1">
        <f t="array" ref="AH53">IF(ROW()-18&lt;=IFERROR(ROWS(_xlfn.ANCHORARRAY($AI$19)),0),INDEX(_xlfn.ANCHORARRAY($AI$19),ROW()-18),"")</f>
        <v/>
      </c>
      <c r="AK53" t="str">
        <v>peugeot 304</v>
      </c>
      <c r="AL53" s="7">
        <v>30</v>
      </c>
      <c r="AM53" s="7">
        <v>27.90166725699298</v>
      </c>
      <c r="AN53" s="7">
        <v>2.0983327430070204</v>
      </c>
      <c r="AO53" s="7">
        <v>5.0904856771056842E-2</v>
      </c>
      <c r="AP53" s="7">
        <v>0.70221206283556825</v>
      </c>
      <c r="AQ53" s="7">
        <v>1.5557403605267906E-3</v>
      </c>
      <c r="AR53" s="7">
        <v>-1.3692588778592949</v>
      </c>
      <c r="AS53" s="7">
        <v>-1.0214074988536541</v>
      </c>
      <c r="AT53" s="7">
        <v>0.83798094419596936</v>
      </c>
      <c r="AU53" s="7">
        <v>2.2108771264682945</v>
      </c>
    </row>
    <row r="54" spans="17:47" x14ac:dyDescent="0.25">
      <c r="Q54" s="14"/>
      <c r="R54" s="14"/>
      <c r="S54" s="14"/>
      <c r="T54" s="14"/>
      <c r="U54" s="14"/>
      <c r="V54" s="14"/>
      <c r="Y54" s="7"/>
      <c r="Z54" s="7"/>
      <c r="AA54" s="7"/>
      <c r="AB54" s="19"/>
      <c r="AC54" s="7"/>
      <c r="AD54" s="7"/>
      <c r="AE54" s="7"/>
      <c r="AH54" s="17" t="str" cm="1">
        <f t="array" ref="AH54">IF(ROW()-18&lt;=IFERROR(ROWS(_xlfn.ANCHORARRAY($AI$19)),0),INDEX(_xlfn.ANCHORARRAY($AI$19),ROW()-18),"")</f>
        <v/>
      </c>
      <c r="AK54" t="str">
        <v>fiat 124b</v>
      </c>
      <c r="AL54" s="7">
        <v>30</v>
      </c>
      <c r="AM54" s="7">
        <v>27.849818451807788</v>
      </c>
      <c r="AN54" s="7">
        <v>2.1501815481922115</v>
      </c>
      <c r="AO54" s="7">
        <v>5.1536941571397543E-2</v>
      </c>
      <c r="AP54" s="7">
        <v>0.71980311888979953</v>
      </c>
      <c r="AQ54" s="7">
        <v>1.6560625973104767E-3</v>
      </c>
      <c r="AR54" s="7">
        <v>-1.3692588778592949</v>
      </c>
      <c r="AS54" s="7">
        <v>-1.0101337973139408</v>
      </c>
      <c r="AT54" s="7">
        <v>0.84841211618517065</v>
      </c>
      <c r="AU54" s="7">
        <v>2.2670166529781306</v>
      </c>
    </row>
    <row r="55" spans="17:47" x14ac:dyDescent="0.25">
      <c r="Q55" s="14"/>
      <c r="R55" s="14"/>
      <c r="S55" s="14"/>
      <c r="T55" s="14"/>
      <c r="U55" s="14"/>
      <c r="V55" s="14"/>
      <c r="Y55" s="7"/>
      <c r="Z55" s="7"/>
      <c r="AA55" s="7"/>
      <c r="AB55" s="19"/>
      <c r="AC55" s="7"/>
      <c r="AD55" s="7"/>
      <c r="AE55" s="7"/>
      <c r="AH55" s="17" t="str" cm="1">
        <f t="array" ref="AH55">IF(ROW()-18&lt;=IFERROR(ROWS(_xlfn.ANCHORARRAY($AI$19)),0),INDEX(_xlfn.ANCHORARRAY($AI$19),ROW()-18),"")</f>
        <v/>
      </c>
      <c r="AK55" t="str">
        <v>toyota corolla 1200</v>
      </c>
      <c r="AL55" s="7">
        <v>31</v>
      </c>
      <c r="AM55" s="7">
        <v>29.62888245286068</v>
      </c>
      <c r="AN55" s="7">
        <v>1.3711175471393204</v>
      </c>
      <c r="AO55" s="7">
        <v>5.1440861703403784E-2</v>
      </c>
      <c r="AP55" s="7">
        <v>0.45897738397457388</v>
      </c>
      <c r="AQ55" s="7">
        <v>6.7201268951934195E-4</v>
      </c>
      <c r="AR55" s="7">
        <v>-1.1080108204698569</v>
      </c>
      <c r="AS55" s="7">
        <v>-1.0076315540428575</v>
      </c>
      <c r="AT55" s="7">
        <v>0.67747869632526003</v>
      </c>
      <c r="AU55" s="7">
        <v>1.4454739739280213</v>
      </c>
    </row>
    <row r="56" spans="17:47" x14ac:dyDescent="0.25">
      <c r="Q56" s="14"/>
      <c r="R56" s="14"/>
      <c r="S56" s="14"/>
      <c r="T56" s="14"/>
      <c r="U56" s="14"/>
      <c r="V56" s="14"/>
      <c r="Y56" s="7"/>
      <c r="Z56" s="7"/>
      <c r="AA56" s="7"/>
      <c r="AB56" s="19"/>
      <c r="AC56" s="7"/>
      <c r="AD56" s="7"/>
      <c r="AE56" s="7"/>
      <c r="AH56" s="17" t="str" cm="1">
        <f t="array" ref="AH56">IF(ROW()-18&lt;=IFERROR(ROWS(_xlfn.ANCHORARRAY($AI$19)),0),INDEX(_xlfn.ANCHORARRAY($AI$19),ROW()-18),"")</f>
        <v/>
      </c>
      <c r="AK56" t="str">
        <v>datsun 1200</v>
      </c>
      <c r="AL56" s="7">
        <v>35</v>
      </c>
      <c r="AM56" s="7">
        <v>30.374066263465199</v>
      </c>
      <c r="AN56" s="7">
        <v>4.625933736534801</v>
      </c>
      <c r="AO56" s="7">
        <v>5.3281992204502804E-2</v>
      </c>
      <c r="AP56" s="7">
        <v>1.5500221062846573</v>
      </c>
      <c r="AQ56" s="7">
        <v>7.9540200138242968E-3</v>
      </c>
      <c r="AR56" s="7">
        <v>-1.0962733150227</v>
      </c>
      <c r="AS56" s="7">
        <v>-1.0042751043337586</v>
      </c>
      <c r="AT56" s="7">
        <v>1.2449988378647818</v>
      </c>
      <c r="AU56" s="7">
        <v>4.8862847209451834</v>
      </c>
    </row>
    <row r="57" spans="17:47" x14ac:dyDescent="0.25">
      <c r="Q57" s="14"/>
      <c r="R57" s="14"/>
      <c r="S57" s="14"/>
      <c r="T57" s="14"/>
      <c r="U57" s="14"/>
      <c r="V57" s="14"/>
      <c r="Y57" s="7"/>
      <c r="Z57" s="7"/>
      <c r="AA57" s="7"/>
      <c r="AB57" s="19"/>
      <c r="AC57" s="7"/>
      <c r="AD57" s="7"/>
      <c r="AE57" s="7"/>
      <c r="AH57" s="17" t="str" cm="1">
        <f t="array" ref="AH57">IF(ROW()-18&lt;=IFERROR(ROWS(_xlfn.ANCHORARRAY($AI$19)),0),INDEX(_xlfn.ANCHORARRAY($AI$19),ROW()-18),"")</f>
        <v/>
      </c>
      <c r="AK57" t="str">
        <v>volkswagen model 111</v>
      </c>
      <c r="AL57" s="7">
        <v>27</v>
      </c>
      <c r="AM57" s="7">
        <v>29.279225884156411</v>
      </c>
      <c r="AN57" s="7">
        <v>-2.2792258841564106</v>
      </c>
      <c r="AO57" s="7">
        <v>5.2154473018058457E-2</v>
      </c>
      <c r="AP57" s="7">
        <v>-0.76325101320992295</v>
      </c>
      <c r="AQ57" s="7">
        <v>1.8855578190512155E-3</v>
      </c>
      <c r="AR57" s="7">
        <v>-1.0962733150227</v>
      </c>
      <c r="AS57" s="7">
        <v>-0.97713360215342948</v>
      </c>
      <c r="AT57" s="7">
        <v>0.87364238290614249</v>
      </c>
      <c r="AU57" s="7">
        <v>-2.4046385400095205</v>
      </c>
    </row>
    <row r="58" spans="17:47" x14ac:dyDescent="0.25">
      <c r="Q58" s="14"/>
      <c r="R58" s="14"/>
      <c r="S58" s="14"/>
      <c r="T58" s="14"/>
      <c r="U58" s="14"/>
      <c r="V58" s="14"/>
      <c r="Y58" s="7"/>
      <c r="Z58" s="7"/>
      <c r="AA58" s="7"/>
      <c r="AB58" s="19"/>
      <c r="AC58" s="7"/>
      <c r="AD58" s="7"/>
      <c r="AE58" s="7"/>
      <c r="AH58" s="17" t="str" cm="1">
        <f t="array" ref="AH58">IF(ROW()-18&lt;=IFERROR(ROWS(_xlfn.ANCHORARRAY($AI$19)),0),INDEX(_xlfn.ANCHORARRAY($AI$19),ROW()-18),"")</f>
        <v/>
      </c>
      <c r="AK58" t="str">
        <v>plymouth cricket</v>
      </c>
      <c r="AL58" s="7">
        <v>26</v>
      </c>
      <c r="AM58" s="7">
        <v>26.566236332042742</v>
      </c>
      <c r="AN58" s="7">
        <v>-0.56623633204274171</v>
      </c>
      <c r="AO58" s="7">
        <v>5.0200126232252701E-2</v>
      </c>
      <c r="AP58" s="7">
        <v>-0.18942202796255866</v>
      </c>
      <c r="AQ58" s="7">
        <v>1.1155389639298558E-4</v>
      </c>
      <c r="AR58" s="7">
        <v>-1.0962733150227</v>
      </c>
      <c r="AS58" s="7">
        <v>-0.97305252208919468</v>
      </c>
      <c r="AT58" s="7">
        <v>0.43522641000122991</v>
      </c>
      <c r="AU58" s="7">
        <v>-0.59616383164649944</v>
      </c>
    </row>
    <row r="59" spans="17:47" x14ac:dyDescent="0.25">
      <c r="Q59" s="14"/>
      <c r="R59" s="14"/>
      <c r="S59" s="14"/>
      <c r="T59" s="14"/>
      <c r="U59" s="14"/>
      <c r="V59" s="14"/>
      <c r="Y59" s="7"/>
      <c r="Z59" s="7"/>
      <c r="AA59" s="7"/>
      <c r="AB59" s="19"/>
      <c r="AC59" s="7"/>
      <c r="AD59" s="7"/>
      <c r="AE59" s="7"/>
      <c r="AH59" s="17" t="str" cm="1">
        <f t="array" ref="AH59">IF(ROW()-18&lt;=IFERROR(ROWS(_xlfn.ANCHORARRAY($AI$19)),0),INDEX(_xlfn.ANCHORARRAY($AI$19),ROW()-18),"")</f>
        <v/>
      </c>
      <c r="AK59" t="str">
        <v>toyota corona hardtop</v>
      </c>
      <c r="AL59" s="7">
        <v>24</v>
      </c>
      <c r="AM59" s="7">
        <v>25.328456204078385</v>
      </c>
      <c r="AN59" s="7">
        <v>-1.3284562040783854</v>
      </c>
      <c r="AO59" s="7">
        <v>4.812672986947801E-2</v>
      </c>
      <c r="AP59" s="7">
        <v>-0.44392180663234571</v>
      </c>
      <c r="AQ59" s="7">
        <v>5.8609937575260836E-4</v>
      </c>
      <c r="AR59" s="7">
        <v>-1.0962733150227</v>
      </c>
      <c r="AS59" s="7">
        <v>-0.95975295748031186</v>
      </c>
      <c r="AT59" s="7">
        <v>0.66627457300451265</v>
      </c>
      <c r="AU59" s="7">
        <v>-1.3956229739450776</v>
      </c>
    </row>
    <row r="60" spans="17:47" x14ac:dyDescent="0.25">
      <c r="Q60" s="14"/>
      <c r="R60" s="14"/>
      <c r="S60" s="14"/>
      <c r="T60" s="14"/>
      <c r="U60" s="14"/>
      <c r="V60" s="14"/>
      <c r="Y60" s="7"/>
      <c r="Z60" s="7"/>
      <c r="AA60" s="7"/>
      <c r="AB60" s="19"/>
      <c r="AC60" s="7"/>
      <c r="AD60" s="7"/>
      <c r="AE60" s="7"/>
      <c r="AH60" s="17" t="str" cm="1">
        <f t="array" ref="AH60">IF(ROW()-18&lt;=IFERROR(ROWS(_xlfn.ANCHORARRAY($AI$19)),0),INDEX(_xlfn.ANCHORARRAY($AI$19),ROW()-18),"")</f>
        <v/>
      </c>
      <c r="AK60" t="str">
        <v>dodge colt hardtop</v>
      </c>
      <c r="AL60" s="7">
        <v>25</v>
      </c>
      <c r="AM60" s="7">
        <v>24.28168413378026</v>
      </c>
      <c r="AN60" s="7">
        <v>0.71831586621973997</v>
      </c>
      <c r="AO60" s="7">
        <v>5.0955596766720554E-2</v>
      </c>
      <c r="AP60" s="7">
        <v>0.24039254577346184</v>
      </c>
      <c r="AQ60" s="7">
        <v>1.8251494497609693E-4</v>
      </c>
      <c r="AR60" s="7">
        <v>-1.0962733150227</v>
      </c>
      <c r="AS60" s="7">
        <v>-0.95733088971303293</v>
      </c>
      <c r="AT60" s="7">
        <v>0.49029842522025485</v>
      </c>
      <c r="AU60" s="7">
        <v>0.75688330680052984</v>
      </c>
    </row>
    <row r="61" spans="17:47" x14ac:dyDescent="0.25">
      <c r="Q61" s="14"/>
      <c r="R61" s="14"/>
      <c r="S61" s="14"/>
      <c r="T61" s="14"/>
      <c r="U61" s="14"/>
      <c r="V61" s="14"/>
      <c r="Y61" s="7"/>
      <c r="Z61" s="7"/>
      <c r="AA61" s="7"/>
      <c r="AB61" s="19"/>
      <c r="AC61" s="7"/>
      <c r="AD61" s="7"/>
      <c r="AE61" s="7"/>
      <c r="AH61" s="17" t="str" cm="1">
        <f t="array" ref="AH61">IF(ROW()-18&lt;=IFERROR(ROWS(_xlfn.ANCHORARRAY($AI$19)),0),INDEX(_xlfn.ANCHORARRAY($AI$19),ROW()-18),"")</f>
        <v/>
      </c>
      <c r="AK61" t="str">
        <v>volkswagen type 3</v>
      </c>
      <c r="AL61" s="7">
        <v>23</v>
      </c>
      <c r="AM61" s="7">
        <v>25.993692502986516</v>
      </c>
      <c r="AN61" s="7">
        <v>-2.9936925029865158</v>
      </c>
      <c r="AO61" s="7">
        <v>5.5489928772256662E-2</v>
      </c>
      <c r="AP61" s="7">
        <v>-1.0042751043337586</v>
      </c>
      <c r="AQ61" s="7">
        <v>3.4854916482902278E-3</v>
      </c>
      <c r="AR61" s="7">
        <v>-1.0962733150227</v>
      </c>
      <c r="AS61" s="7">
        <v>-0.9474999235105962</v>
      </c>
      <c r="AT61" s="7">
        <v>1.0021352724726131</v>
      </c>
      <c r="AU61" s="7">
        <v>-3.1695718173709837</v>
      </c>
    </row>
    <row r="62" spans="17:47" x14ac:dyDescent="0.25">
      <c r="Q62" s="14"/>
      <c r="R62" s="14"/>
      <c r="S62" s="14"/>
      <c r="T62" s="14"/>
      <c r="U62" s="14"/>
      <c r="V62" s="14"/>
      <c r="Y62" s="7"/>
      <c r="Z62" s="7"/>
      <c r="AA62" s="7"/>
      <c r="AB62" s="19"/>
      <c r="AC62" s="7"/>
      <c r="AD62" s="7"/>
      <c r="AE62" s="7"/>
      <c r="AH62" s="17" t="str" cm="1">
        <f t="array" ref="AH62">IF(ROW()-18&lt;=IFERROR(ROWS(_xlfn.ANCHORARRAY($AI$19)),0),INDEX(_xlfn.ANCHORARRAY($AI$19),ROW()-18),"")</f>
        <v/>
      </c>
      <c r="AK62" t="str">
        <v>chevrolet vega</v>
      </c>
      <c r="AL62" s="7">
        <v>20</v>
      </c>
      <c r="AM62" s="7">
        <v>22.691466502781925</v>
      </c>
      <c r="AN62" s="7">
        <v>-2.6914665027819247</v>
      </c>
      <c r="AO62" s="7">
        <v>4.618302958520222E-2</v>
      </c>
      <c r="AP62" s="7">
        <v>-0.8984734746582822</v>
      </c>
      <c r="AQ62" s="7">
        <v>2.2992117628888448E-3</v>
      </c>
      <c r="AR62" s="7">
        <v>-1.0962733150227</v>
      </c>
      <c r="AS62" s="7">
        <v>-0.93736805879047014</v>
      </c>
      <c r="AT62" s="7">
        <v>0.94787840710625015</v>
      </c>
      <c r="AU62" s="7">
        <v>-2.8217850869349226</v>
      </c>
    </row>
    <row r="63" spans="17:47" x14ac:dyDescent="0.25">
      <c r="AK63" t="str">
        <v>ford pinto runabout</v>
      </c>
      <c r="AL63" s="7">
        <v>21</v>
      </c>
      <c r="AM63" s="7">
        <v>23.677934580547344</v>
      </c>
      <c r="AN63" s="7">
        <v>-2.677934580547344</v>
      </c>
      <c r="AO63" s="7">
        <v>4.93615349739061E-2</v>
      </c>
      <c r="AP63" s="7">
        <v>-0.89544945314468549</v>
      </c>
      <c r="AQ63" s="7">
        <v>2.4490999147277915E-3</v>
      </c>
      <c r="AR63" s="7">
        <v>-1.0962733150227</v>
      </c>
      <c r="AS63" s="7">
        <v>-0.9317689403765218</v>
      </c>
      <c r="AT63" s="7">
        <v>0.94628190997434025</v>
      </c>
      <c r="AU63" s="7">
        <v>-2.8169852988999744</v>
      </c>
    </row>
    <row r="64" spans="17:47" x14ac:dyDescent="0.25">
      <c r="AK64" t="str">
        <v>chevrolet impala</v>
      </c>
      <c r="AL64" s="7">
        <v>13</v>
      </c>
      <c r="AM64" s="7">
        <v>12.025598364458494</v>
      </c>
      <c r="AN64" s="7">
        <v>0.97440163554150594</v>
      </c>
      <c r="AO64" s="7">
        <v>4.0564604334394488E-2</v>
      </c>
      <c r="AP64" s="7">
        <v>0.32432388942401408</v>
      </c>
      <c r="AQ64" s="7">
        <v>2.6160164199702187E-4</v>
      </c>
      <c r="AR64" s="7">
        <v>-1.0962733150227</v>
      </c>
      <c r="AS64" s="7">
        <v>-0.92704752263459622</v>
      </c>
      <c r="AT64" s="7">
        <v>0.56949441562144754</v>
      </c>
      <c r="AU64" s="7">
        <v>1.0155990074407435</v>
      </c>
    </row>
    <row r="65" spans="37:47" x14ac:dyDescent="0.25">
      <c r="AK65" t="str">
        <v>pontiac catalina</v>
      </c>
      <c r="AL65" s="7">
        <v>14</v>
      </c>
      <c r="AM65" s="7">
        <v>11.301206677645121</v>
      </c>
      <c r="AN65" s="7">
        <v>2.698793322354879</v>
      </c>
      <c r="AO65" s="7">
        <v>4.2648578571305377E-2</v>
      </c>
      <c r="AP65" s="7">
        <v>0.89925474334883049</v>
      </c>
      <c r="AQ65" s="7">
        <v>2.1190915902930527E-3</v>
      </c>
      <c r="AR65" s="7">
        <v>-1.0962733150227</v>
      </c>
      <c r="AS65" s="7">
        <v>-0.91766871471414591</v>
      </c>
      <c r="AT65" s="7">
        <v>0.94829043196102658</v>
      </c>
      <c r="AU65" s="7">
        <v>2.819020541409297</v>
      </c>
    </row>
    <row r="66" spans="37:47" x14ac:dyDescent="0.25">
      <c r="AK66" t="str">
        <v>plymouth fury iii</v>
      </c>
      <c r="AL66" s="7">
        <v>15</v>
      </c>
      <c r="AM66" s="7">
        <v>12.972944880262842</v>
      </c>
      <c r="AN66" s="7">
        <v>2.0270551197371578</v>
      </c>
      <c r="AO66" s="7">
        <v>3.9159162685000928E-2</v>
      </c>
      <c r="AP66" s="7">
        <v>0.6741998247581702</v>
      </c>
      <c r="AQ66" s="7">
        <v>1.0897083862935067E-3</v>
      </c>
      <c r="AR66" s="7">
        <v>-1.0962733150227</v>
      </c>
      <c r="AS66" s="7">
        <v>-0.9031170962155961</v>
      </c>
      <c r="AT66" s="7">
        <v>0.82109672070844986</v>
      </c>
      <c r="AU66" s="7">
        <v>2.1096679502107949</v>
      </c>
    </row>
    <row r="67" spans="37:47" x14ac:dyDescent="0.25">
      <c r="AK67" t="str">
        <v>ford galaxie 500</v>
      </c>
      <c r="AL67" s="7">
        <v>14</v>
      </c>
      <c r="AM67" s="7">
        <v>12.954615442092917</v>
      </c>
      <c r="AN67" s="7">
        <v>1.0453845579070826</v>
      </c>
      <c r="AO67" s="7">
        <v>3.9029459660414413E-2</v>
      </c>
      <c r="AP67" s="7">
        <v>0.34767210505293855</v>
      </c>
      <c r="AQ67" s="7">
        <v>2.8878407312035926E-4</v>
      </c>
      <c r="AR67" s="7">
        <v>-1.0962733150227</v>
      </c>
      <c r="AS67" s="7">
        <v>-0.8984734746582822</v>
      </c>
      <c r="AT67" s="7">
        <v>0.5896372656582507</v>
      </c>
      <c r="AU67" s="7">
        <v>1.0878424613700093</v>
      </c>
    </row>
    <row r="68" spans="37:47" x14ac:dyDescent="0.25">
      <c r="AK68" t="str">
        <v>amc ambassador sst</v>
      </c>
      <c r="AL68" s="7">
        <v>17</v>
      </c>
      <c r="AM68" s="7">
        <v>15.317257232061893</v>
      </c>
      <c r="AN68" s="7">
        <v>1.6827427679381071</v>
      </c>
      <c r="AO68" s="7">
        <v>3.9309167670658646E-2</v>
      </c>
      <c r="AP68" s="7">
        <v>0.55972501051096391</v>
      </c>
      <c r="AQ68" s="7">
        <v>7.540683395695733E-4</v>
      </c>
      <c r="AR68" s="7">
        <v>-1.0962733150227</v>
      </c>
      <c r="AS68" s="7">
        <v>-0.89544945314468549</v>
      </c>
      <c r="AT68" s="7">
        <v>0.74814771971246685</v>
      </c>
      <c r="AU68" s="7">
        <v>1.7515965712486719</v>
      </c>
    </row>
    <row r="69" spans="37:47" x14ac:dyDescent="0.25">
      <c r="AK69" t="str">
        <v>mercury marquis</v>
      </c>
      <c r="AL69" s="7">
        <v>11</v>
      </c>
      <c r="AM69" s="7">
        <v>9.5097036386293095</v>
      </c>
      <c r="AN69" s="7">
        <v>1.4902963613706905</v>
      </c>
      <c r="AO69" s="7">
        <v>5.6427203997578376E-2</v>
      </c>
      <c r="AP69" s="7">
        <v>0.50018854209738339</v>
      </c>
      <c r="AQ69" s="7">
        <v>8.8009930219651864E-4</v>
      </c>
      <c r="AR69" s="7">
        <v>-1.0962733150227</v>
      </c>
      <c r="AS69" s="7">
        <v>-0.88698134092906389</v>
      </c>
      <c r="AT69" s="7">
        <v>0.70724008801635629</v>
      </c>
      <c r="AU69" s="7">
        <v>1.5794185331376021</v>
      </c>
    </row>
    <row r="70" spans="37:47" x14ac:dyDescent="0.25">
      <c r="AK70" t="str">
        <v>buick lesabre custom</v>
      </c>
      <c r="AL70" s="7">
        <v>13</v>
      </c>
      <c r="AM70" s="7">
        <v>11.033528091747291</v>
      </c>
      <c r="AN70" s="7">
        <v>1.9664719082527089</v>
      </c>
      <c r="AO70" s="7">
        <v>4.3819711275624673E-2</v>
      </c>
      <c r="AP70" s="7">
        <v>0.6556418348632248</v>
      </c>
      <c r="AQ70" s="7">
        <v>1.158815025469532E-3</v>
      </c>
      <c r="AR70" s="7">
        <v>-1.0962733150227</v>
      </c>
      <c r="AS70" s="7">
        <v>-0.87909939485507615</v>
      </c>
      <c r="AT70" s="7">
        <v>0.80971713262300726</v>
      </c>
      <c r="AU70" s="7">
        <v>2.0565911381379207</v>
      </c>
    </row>
    <row r="71" spans="37:47" x14ac:dyDescent="0.25">
      <c r="AK71" t="str">
        <v>oldsmobile delta 88 royale</v>
      </c>
      <c r="AL71" s="7">
        <v>12</v>
      </c>
      <c r="AM71" s="7">
        <v>11.185258174274955</v>
      </c>
      <c r="AN71" s="7">
        <v>0.81474182572504539</v>
      </c>
      <c r="AO71" s="7">
        <v>4.2181857106601633E-2</v>
      </c>
      <c r="AP71" s="7">
        <v>0.27141090048237276</v>
      </c>
      <c r="AQ71" s="7">
        <v>1.9083071939234706E-4</v>
      </c>
      <c r="AR71" s="7">
        <v>-1.0962733150227</v>
      </c>
      <c r="AS71" s="7">
        <v>-0.87855079557956517</v>
      </c>
      <c r="AT71" s="7">
        <v>0.52097111290586229</v>
      </c>
      <c r="AU71" s="7">
        <v>0.85062266962688249</v>
      </c>
    </row>
    <row r="72" spans="37:47" x14ac:dyDescent="0.25">
      <c r="AK72" t="str">
        <v>chrysler newport royal</v>
      </c>
      <c r="AL72" s="7">
        <v>13</v>
      </c>
      <c r="AM72" s="7">
        <v>10.870317742582683</v>
      </c>
      <c r="AN72" s="7">
        <v>2.1296822574173166</v>
      </c>
      <c r="AO72" s="7">
        <v>4.8030921024309239E-2</v>
      </c>
      <c r="AP72" s="7">
        <v>0.71162663600437204</v>
      </c>
      <c r="AQ72" s="7">
        <v>1.5029811765241736E-3</v>
      </c>
      <c r="AR72" s="7">
        <v>-0.92571937406474636</v>
      </c>
      <c r="AS72" s="7">
        <v>-0.87508847543411206</v>
      </c>
      <c r="AT72" s="7">
        <v>0.84357965599246887</v>
      </c>
      <c r="AU72" s="7">
        <v>2.2371338570248875</v>
      </c>
    </row>
    <row r="73" spans="37:47" x14ac:dyDescent="0.25">
      <c r="AK73" t="str">
        <v>mazda rx2 coupe</v>
      </c>
      <c r="AL73" s="7">
        <v>19</v>
      </c>
      <c r="AM73" s="7">
        <v>25.03269124018523</v>
      </c>
      <c r="AN73" s="7">
        <v>-6.0326912401852297</v>
      </c>
      <c r="AO73" s="7">
        <v>4.7965750122984138E-2</v>
      </c>
      <c r="AP73" s="7">
        <v>-2.0157358299478263</v>
      </c>
      <c r="AQ73" s="7">
        <v>1.2041954383457973E-2</v>
      </c>
      <c r="AR73" s="7">
        <v>-0.92571937406474636</v>
      </c>
      <c r="AS73" s="7">
        <v>-0.86006936817939161</v>
      </c>
      <c r="AT73" s="7">
        <v>1.4197661180447385</v>
      </c>
      <c r="AU73" s="7">
        <v>-6.336632574893744</v>
      </c>
    </row>
    <row r="74" spans="37:47" x14ac:dyDescent="0.25">
      <c r="AK74" t="str">
        <v>amc matador (sw)</v>
      </c>
      <c r="AL74" s="7">
        <v>15</v>
      </c>
      <c r="AM74" s="7">
        <v>14.203329116736208</v>
      </c>
      <c r="AN74" s="7">
        <v>0.79667088326379165</v>
      </c>
      <c r="AO74" s="7">
        <v>3.8154178376464405E-2</v>
      </c>
      <c r="AP74" s="7">
        <v>0.26483477874394723</v>
      </c>
      <c r="AQ74" s="7">
        <v>1.6365819459319866E-4</v>
      </c>
      <c r="AR74" s="7">
        <v>-0.92571937406474636</v>
      </c>
      <c r="AS74" s="7">
        <v>-0.85847137129504036</v>
      </c>
      <c r="AT74" s="7">
        <v>0.51462100495796637</v>
      </c>
      <c r="AU74" s="7">
        <v>0.82827295742581797</v>
      </c>
    </row>
    <row r="75" spans="37:47" x14ac:dyDescent="0.25">
      <c r="AK75" t="str">
        <v>chevrolet chevelle concours (sw)</v>
      </c>
      <c r="AL75" s="7">
        <v>13</v>
      </c>
      <c r="AM75" s="7">
        <v>13.485015975092979</v>
      </c>
      <c r="AN75" s="7">
        <v>-0.48501597509297945</v>
      </c>
      <c r="AO75" s="7">
        <v>4.3315666055294896E-2</v>
      </c>
      <c r="AP75" s="7">
        <v>-0.16166667853581004</v>
      </c>
      <c r="AQ75" s="7">
        <v>6.9609488850078151E-5</v>
      </c>
      <c r="AR75" s="7">
        <v>-0.92571937406474636</v>
      </c>
      <c r="AS75" s="7">
        <v>-0.84358082508022647</v>
      </c>
      <c r="AT75" s="7">
        <v>0.40207795082024833</v>
      </c>
      <c r="AU75" s="7">
        <v>-0.50697597722031129</v>
      </c>
    </row>
    <row r="76" spans="37:47" x14ac:dyDescent="0.25">
      <c r="AK76" t="str">
        <v>ford gran torino (sw)</v>
      </c>
      <c r="AL76" s="7">
        <v>13</v>
      </c>
      <c r="AM76" s="7">
        <v>12.330242970994684</v>
      </c>
      <c r="AN76" s="7">
        <v>0.66975702900531608</v>
      </c>
      <c r="AO76" s="7">
        <v>4.3819711639490791E-2</v>
      </c>
      <c r="AP76" s="7">
        <v>0.22330383955665867</v>
      </c>
      <c r="AQ76" s="7">
        <v>1.3442287771775845E-4</v>
      </c>
      <c r="AR76" s="7">
        <v>-0.92571937406474636</v>
      </c>
      <c r="AS76" s="7">
        <v>-0.82893417664067315</v>
      </c>
      <c r="AT76" s="7">
        <v>0.47255035663583905</v>
      </c>
      <c r="AU76" s="7">
        <v>0.70045057104628083</v>
      </c>
    </row>
    <row r="77" spans="37:47" x14ac:dyDescent="0.25">
      <c r="AK77" t="str">
        <v>plymouth satellite custom (sw)</v>
      </c>
      <c r="AL77" s="7">
        <v>14</v>
      </c>
      <c r="AM77" s="7">
        <v>13.266616837939614</v>
      </c>
      <c r="AN77" s="7">
        <v>0.73338316206038634</v>
      </c>
      <c r="AO77" s="7">
        <v>3.8701777045903059E-2</v>
      </c>
      <c r="AP77" s="7">
        <v>0.24386567077228774</v>
      </c>
      <c r="AQ77" s="7">
        <v>1.4083972970042332E-4</v>
      </c>
      <c r="AR77" s="7">
        <v>-0.87770829679608253</v>
      </c>
      <c r="AS77" s="7">
        <v>-0.8268734431087178</v>
      </c>
      <c r="AT77" s="7">
        <v>0.49382757190368354</v>
      </c>
      <c r="AU77" s="7">
        <v>0.76290909995306022</v>
      </c>
    </row>
    <row r="78" spans="37:47" x14ac:dyDescent="0.25">
      <c r="AK78" t="str">
        <v>volvo 145e (sw)</v>
      </c>
      <c r="AL78" s="7">
        <v>18</v>
      </c>
      <c r="AM78" s="7">
        <v>21.613992221016861</v>
      </c>
      <c r="AN78" s="7">
        <v>-3.6139922210168614</v>
      </c>
      <c r="AO78" s="7">
        <v>4.8872568958417593E-2</v>
      </c>
      <c r="AP78" s="7">
        <v>-1.2081383307454165</v>
      </c>
      <c r="AQ78" s="7">
        <v>4.4117497165024064E-3</v>
      </c>
      <c r="AR78" s="7">
        <v>-0.87770829679608253</v>
      </c>
      <c r="AS78" s="7">
        <v>-0.82281965858508455</v>
      </c>
      <c r="AT78" s="7">
        <v>1.0991534609623064</v>
      </c>
      <c r="AU78" s="7">
        <v>-3.7996929781103761</v>
      </c>
    </row>
    <row r="79" spans="37:47" x14ac:dyDescent="0.25">
      <c r="AK79" t="str">
        <v>volkswagen 411 (sw)</v>
      </c>
      <c r="AL79" s="7">
        <v>22</v>
      </c>
      <c r="AM79" s="7">
        <v>24.335220428923613</v>
      </c>
      <c r="AN79" s="7">
        <v>-2.3352204289236127</v>
      </c>
      <c r="AO79" s="7">
        <v>4.996481696967215E-2</v>
      </c>
      <c r="AP79" s="7">
        <v>-0.78110036437009756</v>
      </c>
      <c r="AQ79" s="7">
        <v>1.8875104784440995E-3</v>
      </c>
      <c r="AR79" s="7">
        <v>-0.87770829679608253</v>
      </c>
      <c r="AS79" s="7">
        <v>-0.81252205315322645</v>
      </c>
      <c r="AT79" s="7">
        <v>0.88379882573473556</v>
      </c>
      <c r="AU79" s="7">
        <v>-2.4580357345029671</v>
      </c>
    </row>
    <row r="80" spans="37:47" x14ac:dyDescent="0.25">
      <c r="AK80" t="str">
        <v>peugeot 504 (sw)</v>
      </c>
      <c r="AL80" s="7">
        <v>21</v>
      </c>
      <c r="AM80" s="7">
        <v>21.786990777560018</v>
      </c>
      <c r="AN80" s="7">
        <v>-0.78699077756001756</v>
      </c>
      <c r="AO80" s="7">
        <v>5.286145261151471E-2</v>
      </c>
      <c r="AP80" s="7">
        <v>-0.26364023528520003</v>
      </c>
      <c r="AQ80" s="7">
        <v>2.2819180345161848E-4</v>
      </c>
      <c r="AR80" s="7">
        <v>-0.87770829679608253</v>
      </c>
      <c r="AS80" s="7">
        <v>-0.80833512211099245</v>
      </c>
      <c r="AT80" s="7">
        <v>0.51345908822923758</v>
      </c>
      <c r="AU80" s="7">
        <v>-0.83091410409803512</v>
      </c>
    </row>
    <row r="81" spans="37:47" x14ac:dyDescent="0.25">
      <c r="AK81" t="str">
        <v>renault 12 (sw)</v>
      </c>
      <c r="AL81" s="7">
        <v>26</v>
      </c>
      <c r="AM81" s="7">
        <v>26.079261148665992</v>
      </c>
      <c r="AN81" s="7">
        <v>-7.9261148665992209E-2</v>
      </c>
      <c r="AO81" s="7">
        <v>5.0003897923478341E-2</v>
      </c>
      <c r="AP81" s="7">
        <v>-2.6512351797492825E-2</v>
      </c>
      <c r="AQ81" s="7">
        <v>2.1763544257762724E-6</v>
      </c>
      <c r="AR81" s="7">
        <v>-0.87770829679608253</v>
      </c>
      <c r="AS81" s="7">
        <v>-0.7960497214769402</v>
      </c>
      <c r="AT81" s="7">
        <v>0.16282613978564014</v>
      </c>
      <c r="AU81" s="7">
        <v>-8.3433130402052719E-2</v>
      </c>
    </row>
    <row r="82" spans="37:47" x14ac:dyDescent="0.25">
      <c r="AK82" t="str">
        <v>ford pinto (sw)</v>
      </c>
      <c r="AL82" s="7">
        <v>22</v>
      </c>
      <c r="AM82" s="7">
        <v>22.822235255592613</v>
      </c>
      <c r="AN82" s="7">
        <v>-0.8222352555926129</v>
      </c>
      <c r="AO82" s="7">
        <v>4.6305603284802668E-2</v>
      </c>
      <c r="AP82" s="7">
        <v>-0.2744986939956594</v>
      </c>
      <c r="AQ82" s="7">
        <v>2.1520678488999738E-4</v>
      </c>
      <c r="AR82" s="7">
        <v>-0.87770829679608253</v>
      </c>
      <c r="AS82" s="7">
        <v>-0.78933938116930435</v>
      </c>
      <c r="AT82" s="7">
        <v>0.52392622953585688</v>
      </c>
      <c r="AU82" s="7">
        <v>-0.86215800200214221</v>
      </c>
    </row>
    <row r="83" spans="37:47" x14ac:dyDescent="0.25">
      <c r="AK83" t="str">
        <v>datsun 510 (sw)</v>
      </c>
      <c r="AL83" s="7">
        <v>28</v>
      </c>
      <c r="AM83" s="7">
        <v>25.326532403787837</v>
      </c>
      <c r="AN83" s="7">
        <v>2.6734675962121628</v>
      </c>
      <c r="AO83" s="7">
        <v>4.794178277891481E-2</v>
      </c>
      <c r="AP83" s="7">
        <v>0.89328897781380623</v>
      </c>
      <c r="AQ83" s="7">
        <v>2.3636637964117818E-3</v>
      </c>
      <c r="AR83" s="7">
        <v>-0.87770829679608253</v>
      </c>
      <c r="AS83" s="7">
        <v>-0.78110036437009756</v>
      </c>
      <c r="AT83" s="7">
        <v>0.94513966048082343</v>
      </c>
      <c r="AU83" s="7">
        <v>2.8080925597340181</v>
      </c>
    </row>
    <row r="84" spans="37:47" x14ac:dyDescent="0.25">
      <c r="AK84" t="str">
        <v>toyouta corona mark ii (sw)</v>
      </c>
      <c r="AL84" s="7">
        <v>23</v>
      </c>
      <c r="AM84" s="7">
        <v>24.141548747924681</v>
      </c>
      <c r="AN84" s="7">
        <v>-1.1415487479246806</v>
      </c>
      <c r="AO84" s="7">
        <v>4.7582585184613516E-2</v>
      </c>
      <c r="AP84" s="7">
        <v>-0.38135513775663438</v>
      </c>
      <c r="AQ84" s="7">
        <v>4.2739652627326973E-4</v>
      </c>
      <c r="AR84" s="7">
        <v>-0.87770829679608253</v>
      </c>
      <c r="AS84" s="7">
        <v>-0.77256397256164122</v>
      </c>
      <c r="AT84" s="7">
        <v>0.6175395839593073</v>
      </c>
      <c r="AU84" s="7">
        <v>-1.1985802970076465</v>
      </c>
    </row>
    <row r="85" spans="37:47" x14ac:dyDescent="0.25">
      <c r="AK85" t="str">
        <v>dodge colt (sw)</v>
      </c>
      <c r="AL85" s="7">
        <v>28</v>
      </c>
      <c r="AM85" s="7">
        <v>24.089278368405822</v>
      </c>
      <c r="AN85" s="7">
        <v>3.9107216315941784</v>
      </c>
      <c r="AO85" s="7">
        <v>5.0180308887671402E-2</v>
      </c>
      <c r="AP85" s="7">
        <v>1.3082330687569519</v>
      </c>
      <c r="AQ85" s="7">
        <v>5.3187978632043709E-3</v>
      </c>
      <c r="AR85" s="7">
        <v>-0.87770829679608253</v>
      </c>
      <c r="AS85" s="7">
        <v>-0.76844520954536311</v>
      </c>
      <c r="AT85" s="7">
        <v>1.1437801662718898</v>
      </c>
      <c r="AU85" s="7">
        <v>4.1173305504062085</v>
      </c>
    </row>
    <row r="86" spans="37:47" x14ac:dyDescent="0.25">
      <c r="AK86" t="str">
        <v>toyota corolla 1600 (sw)</v>
      </c>
      <c r="AL86" s="7">
        <v>27</v>
      </c>
      <c r="AM86" s="7">
        <v>26.343380339243957</v>
      </c>
      <c r="AN86" s="7">
        <v>0.65661966075604283</v>
      </c>
      <c r="AO86" s="7">
        <v>4.8924810565100008E-2</v>
      </c>
      <c r="AP86" s="7">
        <v>0.21951048018534694</v>
      </c>
      <c r="AQ86" s="7">
        <v>1.4580616877093663E-4</v>
      </c>
      <c r="AR86" s="7">
        <v>-0.87770829679608253</v>
      </c>
      <c r="AS86" s="7">
        <v>-0.76325101320992295</v>
      </c>
      <c r="AT86" s="7">
        <v>0.46851945550355423</v>
      </c>
      <c r="AU86" s="7">
        <v>0.69039721364846696</v>
      </c>
    </row>
    <row r="87" spans="37:47" x14ac:dyDescent="0.25">
      <c r="AK87" t="str">
        <v>buick century 350</v>
      </c>
      <c r="AL87" s="7">
        <v>13</v>
      </c>
      <c r="AM87" s="7">
        <v>12.383947606403462</v>
      </c>
      <c r="AN87" s="7">
        <v>0.61605239359653829</v>
      </c>
      <c r="AO87" s="7">
        <v>3.0545392578793636E-2</v>
      </c>
      <c r="AP87" s="7">
        <v>0.20398710450777527</v>
      </c>
      <c r="AQ87" s="7">
        <v>7.7121370315234676E-5</v>
      </c>
      <c r="AR87" s="7">
        <v>-0.87770829679608253</v>
      </c>
      <c r="AS87" s="7">
        <v>-0.75950614299184738</v>
      </c>
      <c r="AT87" s="7">
        <v>0.45164931585000245</v>
      </c>
      <c r="AU87" s="7">
        <v>0.63546285600237218</v>
      </c>
    </row>
    <row r="88" spans="37:47" x14ac:dyDescent="0.25">
      <c r="AK88" t="str">
        <v>amc matador</v>
      </c>
      <c r="AL88" s="7">
        <v>14</v>
      </c>
      <c r="AM88" s="7">
        <v>14.95695492051196</v>
      </c>
      <c r="AN88" s="7">
        <v>-0.95695492051195963</v>
      </c>
      <c r="AO88" s="7">
        <v>2.7011897802173251E-2</v>
      </c>
      <c r="AP88" s="7">
        <v>-0.31629077006854084</v>
      </c>
      <c r="AQ88" s="7">
        <v>1.633697648983552E-4</v>
      </c>
      <c r="AR88" s="7">
        <v>-0.87770829679608253</v>
      </c>
      <c r="AS88" s="7">
        <v>-0.75751706682775866</v>
      </c>
      <c r="AT88" s="7">
        <v>0.56239734180429835</v>
      </c>
      <c r="AU88" s="7">
        <v>-0.98352170838507613</v>
      </c>
    </row>
    <row r="89" spans="37:47" x14ac:dyDescent="0.25">
      <c r="AK89" t="str">
        <v>chevrolet malibu</v>
      </c>
      <c r="AL89" s="7">
        <v>13</v>
      </c>
      <c r="AM89" s="7">
        <v>13.438131241902768</v>
      </c>
      <c r="AN89" s="7">
        <v>-0.43813124190276831</v>
      </c>
      <c r="AO89" s="7">
        <v>2.6908924211681815E-2</v>
      </c>
      <c r="AP89" s="7">
        <v>-0.14480257381873163</v>
      </c>
      <c r="AQ89" s="7">
        <v>3.41072329342815E-5</v>
      </c>
      <c r="AR89" s="7">
        <v>-0.87770829679608253</v>
      </c>
      <c r="AS89" s="7">
        <v>-0.75457189916222744</v>
      </c>
      <c r="AT89" s="7">
        <v>0.38052933371651076</v>
      </c>
      <c r="AU89" s="7">
        <v>-0.45024690165597342</v>
      </c>
    </row>
    <row r="90" spans="37:47" x14ac:dyDescent="0.25">
      <c r="AK90" t="str">
        <v>ford gran torino</v>
      </c>
      <c r="AL90" s="7">
        <v>14</v>
      </c>
      <c r="AM90" s="7">
        <v>13.294603978314798</v>
      </c>
      <c r="AN90" s="7">
        <v>0.70539602168520155</v>
      </c>
      <c r="AO90" s="7">
        <v>2.9356198266036856E-2</v>
      </c>
      <c r="AP90" s="7">
        <v>0.2334274183109103</v>
      </c>
      <c r="AQ90" s="7">
        <v>9.6938152578108052E-5</v>
      </c>
      <c r="AR90" s="7">
        <v>-0.76138260968642557</v>
      </c>
      <c r="AS90" s="7">
        <v>-0.75452115641439021</v>
      </c>
      <c r="AT90" s="7">
        <v>0.48314326892849319</v>
      </c>
      <c r="AU90" s="7">
        <v>0.72673005321321626</v>
      </c>
    </row>
    <row r="91" spans="37:47" x14ac:dyDescent="0.25">
      <c r="AK91" t="str">
        <v>dodge coronet custom</v>
      </c>
      <c r="AL91" s="7">
        <v>15</v>
      </c>
      <c r="AM91" s="7">
        <v>14.425307410924701</v>
      </c>
      <c r="AN91" s="7">
        <v>0.57469258907529941</v>
      </c>
      <c r="AO91" s="7">
        <v>2.6400911104933582E-2</v>
      </c>
      <c r="AP91" s="7">
        <v>0.18988660114211794</v>
      </c>
      <c r="AQ91" s="7">
        <v>5.7514649367666781E-5</v>
      </c>
      <c r="AR91" s="7">
        <v>-0.75286571534072255</v>
      </c>
      <c r="AS91" s="7">
        <v>-0.74708884873176218</v>
      </c>
      <c r="AT91" s="7">
        <v>0.43575979752854432</v>
      </c>
      <c r="AU91" s="7">
        <v>0.59027642448547857</v>
      </c>
    </row>
    <row r="92" spans="37:47" x14ac:dyDescent="0.25">
      <c r="AK92" t="str">
        <v>mercury marquis brougham</v>
      </c>
      <c r="AL92" s="7">
        <v>12</v>
      </c>
      <c r="AM92" s="7">
        <v>7.696569879392543</v>
      </c>
      <c r="AN92" s="7">
        <v>4.303430120607457</v>
      </c>
      <c r="AO92" s="7">
        <v>3.6900707411663757E-2</v>
      </c>
      <c r="AP92" s="7">
        <v>1.4296443982960441</v>
      </c>
      <c r="AQ92" s="7">
        <v>4.6064966597044949E-3</v>
      </c>
      <c r="AR92" s="7">
        <v>-0.75286571534072255</v>
      </c>
      <c r="AS92" s="7">
        <v>-0.74192401686980725</v>
      </c>
      <c r="AT92" s="7">
        <v>1.1956773805237113</v>
      </c>
      <c r="AU92" s="7">
        <v>4.468314070755838</v>
      </c>
    </row>
    <row r="93" spans="37:47" x14ac:dyDescent="0.25">
      <c r="AK93" t="str">
        <v>chevrolet caprice classic</v>
      </c>
      <c r="AL93" s="7">
        <v>13</v>
      </c>
      <c r="AM93" s="7">
        <v>10.946813705339499</v>
      </c>
      <c r="AN93" s="7">
        <v>2.0531862946605006</v>
      </c>
      <c r="AO93" s="7">
        <v>3.3433098722742423E-2</v>
      </c>
      <c r="AP93" s="7">
        <v>0.68086529918536198</v>
      </c>
      <c r="AQ93" s="7">
        <v>9.4323127268055207E-4</v>
      </c>
      <c r="AR93" s="7">
        <v>-0.75286571534072255</v>
      </c>
      <c r="AS93" s="7">
        <v>-0.73626542374561854</v>
      </c>
      <c r="AT93" s="7">
        <v>0.82514562301775674</v>
      </c>
      <c r="AU93" s="7">
        <v>2.1242050518669156</v>
      </c>
    </row>
    <row r="94" spans="37:47" x14ac:dyDescent="0.25">
      <c r="AK94" t="str">
        <v>ford ltd</v>
      </c>
      <c r="AL94" s="7">
        <v>13</v>
      </c>
      <c r="AM94" s="7">
        <v>11.328316520837957</v>
      </c>
      <c r="AN94" s="7">
        <v>1.6716834791620432</v>
      </c>
      <c r="AO94" s="7">
        <v>2.9386956950390161E-2</v>
      </c>
      <c r="AP94" s="7">
        <v>0.55319696979360178</v>
      </c>
      <c r="AQ94" s="7">
        <v>5.4502843087953954E-4</v>
      </c>
      <c r="AR94" s="7">
        <v>-0.72763551415159011</v>
      </c>
      <c r="AS94" s="7">
        <v>-0.72283127398567082</v>
      </c>
      <c r="AT94" s="7">
        <v>0.74377212222131706</v>
      </c>
      <c r="AU94" s="7">
        <v>1.7222965332401785</v>
      </c>
    </row>
    <row r="95" spans="37:47" x14ac:dyDescent="0.25">
      <c r="AK95" t="str">
        <v>plymouth fury gran sedan</v>
      </c>
      <c r="AL95" s="7">
        <v>14</v>
      </c>
      <c r="AM95" s="7">
        <v>12.096184987971002</v>
      </c>
      <c r="AN95" s="7">
        <v>1.9038150120289981</v>
      </c>
      <c r="AO95" s="7">
        <v>2.8992761758663603E-2</v>
      </c>
      <c r="AP95" s="7">
        <v>0.62988652393519529</v>
      </c>
      <c r="AQ95" s="7">
        <v>6.9685566042903733E-4</v>
      </c>
      <c r="AR95" s="7">
        <v>-0.71932811724388146</v>
      </c>
      <c r="AS95" s="7">
        <v>-0.70648636894145489</v>
      </c>
      <c r="AT95" s="7">
        <v>0.79365390689846371</v>
      </c>
      <c r="AU95" s="7">
        <v>1.9606599591133218</v>
      </c>
    </row>
    <row r="96" spans="37:47" x14ac:dyDescent="0.25">
      <c r="AK96" t="str">
        <v>chrysler new yorker brougham</v>
      </c>
      <c r="AL96" s="7">
        <v>13</v>
      </c>
      <c r="AM96" s="7">
        <v>8.5192887226626812</v>
      </c>
      <c r="AN96" s="7">
        <v>4.4807112773373188</v>
      </c>
      <c r="AO96" s="7">
        <v>4.457601353687983E-2</v>
      </c>
      <c r="AP96" s="7">
        <v>1.4945061059531675</v>
      </c>
      <c r="AQ96" s="7">
        <v>6.1298740672773898E-3</v>
      </c>
      <c r="AR96" s="7">
        <v>-0.71932811724388146</v>
      </c>
      <c r="AS96" s="7">
        <v>-0.69392179736044635</v>
      </c>
      <c r="AT96" s="7">
        <v>1.2224999410851387</v>
      </c>
      <c r="AU96" s="7">
        <v>4.6897621797464435</v>
      </c>
    </row>
    <row r="97" spans="37:47" x14ac:dyDescent="0.25">
      <c r="AK97" t="str">
        <v>buick electra 225 custom</v>
      </c>
      <c r="AL97" s="7">
        <v>12</v>
      </c>
      <c r="AM97" s="7">
        <v>7.2632495262620527</v>
      </c>
      <c r="AN97" s="7">
        <v>4.7367504737379473</v>
      </c>
      <c r="AO97" s="7">
        <v>4.893022194556227E-2</v>
      </c>
      <c r="AP97" s="7">
        <v>1.5835184219573573</v>
      </c>
      <c r="AQ97" s="7">
        <v>7.5886080672865341E-3</v>
      </c>
      <c r="AR97" s="7">
        <v>-0.71932811724388146</v>
      </c>
      <c r="AS97" s="7">
        <v>-0.68678649689214288</v>
      </c>
      <c r="AT97" s="7">
        <v>1.2583792838239818</v>
      </c>
      <c r="AU97" s="7">
        <v>4.9804447402668108</v>
      </c>
    </row>
    <row r="98" spans="37:47" x14ac:dyDescent="0.25">
      <c r="AK98" t="str">
        <v>amc ambassador brougham</v>
      </c>
      <c r="AL98" s="7">
        <v>13</v>
      </c>
      <c r="AM98" s="7">
        <v>13.796610989021032</v>
      </c>
      <c r="AN98" s="7">
        <v>-0.79661098902103156</v>
      </c>
      <c r="AO98" s="7">
        <v>3.4602713165386309E-2</v>
      </c>
      <c r="AP98" s="7">
        <v>-0.26432732427601652</v>
      </c>
      <c r="AQ98" s="7">
        <v>1.473123904386963E-4</v>
      </c>
      <c r="AR98" s="7">
        <v>-0.71932811724388146</v>
      </c>
      <c r="AS98" s="7">
        <v>-0.68324182750021734</v>
      </c>
      <c r="AT98" s="7">
        <v>0.51412773147926627</v>
      </c>
      <c r="AU98" s="7">
        <v>-0.82516389872297458</v>
      </c>
    </row>
    <row r="99" spans="37:47" x14ac:dyDescent="0.25">
      <c r="AK99" t="str">
        <v>plymouth valiant</v>
      </c>
      <c r="AL99" s="7">
        <v>18</v>
      </c>
      <c r="AM99" s="7">
        <v>18.477477956350643</v>
      </c>
      <c r="AN99" s="7">
        <v>-0.4774779563506435</v>
      </c>
      <c r="AO99" s="7">
        <v>2.9715993614829274E-2</v>
      </c>
      <c r="AP99" s="7">
        <v>-0.1580347863334722</v>
      </c>
      <c r="AQ99" s="7">
        <v>4.4993300213987257E-5</v>
      </c>
      <c r="AR99" s="7">
        <v>-0.71932811724388146</v>
      </c>
      <c r="AS99" s="7">
        <v>-0.66878988326602917</v>
      </c>
      <c r="AT99" s="7">
        <v>0.39753589313855953</v>
      </c>
      <c r="AU99" s="7">
        <v>-0.49210123346205142</v>
      </c>
    </row>
    <row r="100" spans="37:47" x14ac:dyDescent="0.25">
      <c r="AK100" t="str">
        <v>chevrolet nova custom</v>
      </c>
      <c r="AL100" s="7">
        <v>16</v>
      </c>
      <c r="AM100" s="7">
        <v>17.76372050654502</v>
      </c>
      <c r="AN100" s="7">
        <v>-1.7637205065450203</v>
      </c>
      <c r="AO100" s="7">
        <v>3.273135274350103E-2</v>
      </c>
      <c r="AP100" s="7">
        <v>-0.58466219481199677</v>
      </c>
      <c r="AQ100" s="7">
        <v>6.8042137360537316E-4</v>
      </c>
      <c r="AR100" s="7">
        <v>-0.71932811724388146</v>
      </c>
      <c r="AS100" s="7">
        <v>-0.66377208981313185</v>
      </c>
      <c r="AT100" s="7">
        <v>0.76463206499073577</v>
      </c>
      <c r="AU100" s="7">
        <v>-1.823402951752368</v>
      </c>
    </row>
    <row r="101" spans="37:47" x14ac:dyDescent="0.25">
      <c r="AK101" t="str">
        <v>amc hornet</v>
      </c>
      <c r="AL101" s="7">
        <v>18</v>
      </c>
      <c r="AM101" s="7">
        <v>19.449802608378892</v>
      </c>
      <c r="AN101" s="7">
        <v>-1.4498026083788922</v>
      </c>
      <c r="AO101" s="7">
        <v>3.0762850246968242E-2</v>
      </c>
      <c r="AP101" s="7">
        <v>-0.48011210341267641</v>
      </c>
      <c r="AQ101" s="7">
        <v>4.3036099915624349E-4</v>
      </c>
      <c r="AR101" s="7">
        <v>-0.71932811724388146</v>
      </c>
      <c r="AS101" s="7">
        <v>-0.65612392430107436</v>
      </c>
      <c r="AT101" s="7">
        <v>0.6929012219737215</v>
      </c>
      <c r="AU101" s="7">
        <v>-1.4958182409210292</v>
      </c>
    </row>
    <row r="102" spans="37:47" x14ac:dyDescent="0.25">
      <c r="AK102" t="str">
        <v>ford maverick</v>
      </c>
      <c r="AL102" s="7">
        <v>18</v>
      </c>
      <c r="AM102" s="7">
        <v>19.259828261072517</v>
      </c>
      <c r="AN102" s="7">
        <v>-1.2598282610725171</v>
      </c>
      <c r="AO102" s="7">
        <v>3.555927772974711E-2</v>
      </c>
      <c r="AP102" s="7">
        <v>-0.4182369320992394</v>
      </c>
      <c r="AQ102" s="7">
        <v>3.7937895031364449E-4</v>
      </c>
      <c r="AR102" s="7">
        <v>-0.66249652488531496</v>
      </c>
      <c r="AS102" s="7">
        <v>-0.63802821850481273</v>
      </c>
      <c r="AT102" s="7">
        <v>0.64671240292671006</v>
      </c>
      <c r="AU102" s="7">
        <v>-1.3062785840346252</v>
      </c>
    </row>
    <row r="103" spans="37:47" x14ac:dyDescent="0.25">
      <c r="AK103" t="str">
        <v>plymouth duster</v>
      </c>
      <c r="AL103" s="7">
        <v>23</v>
      </c>
      <c r="AM103" s="7">
        <v>19.738580462366389</v>
      </c>
      <c r="AN103" s="7">
        <v>3.2614195376336106</v>
      </c>
      <c r="AO103" s="7">
        <v>3.2044006496218955E-2</v>
      </c>
      <c r="AP103" s="7">
        <v>1.0807560254323885</v>
      </c>
      <c r="AQ103" s="7">
        <v>2.2745610997066666E-3</v>
      </c>
      <c r="AR103" s="7">
        <v>-0.66249652488531496</v>
      </c>
      <c r="AS103" s="7">
        <v>-0.63228553332444015</v>
      </c>
      <c r="AT103" s="7">
        <v>1.0395941638122006</v>
      </c>
      <c r="AU103" s="7">
        <v>3.369388236161452</v>
      </c>
    </row>
    <row r="104" spans="37:47" x14ac:dyDescent="0.25">
      <c r="AK104" t="str">
        <v>volkswagen super beetle</v>
      </c>
      <c r="AL104" s="7">
        <v>26</v>
      </c>
      <c r="AM104" s="7">
        <v>27.302527770060408</v>
      </c>
      <c r="AN104" s="7">
        <v>-1.3025277700604079</v>
      </c>
      <c r="AO104" s="7">
        <v>4.8284679576095293E-2</v>
      </c>
      <c r="AP104" s="7">
        <v>-0.43529358270499241</v>
      </c>
      <c r="AQ104" s="7">
        <v>5.6548084865628765E-4</v>
      </c>
      <c r="AR104" s="7">
        <v>-0.66249652488531496</v>
      </c>
      <c r="AS104" s="7">
        <v>-0.62096861122347391</v>
      </c>
      <c r="AT104" s="7">
        <v>0.65976782484825103</v>
      </c>
      <c r="AU104" s="7">
        <v>-1.3686106991324332</v>
      </c>
    </row>
    <row r="105" spans="37:47" x14ac:dyDescent="0.25">
      <c r="AK105" t="str">
        <v>chevrolet impala</v>
      </c>
      <c r="AL105" s="7">
        <v>11</v>
      </c>
      <c r="AM105" s="7">
        <v>8.248069680482276</v>
      </c>
      <c r="AN105" s="7">
        <v>2.751930319517724</v>
      </c>
      <c r="AO105" s="7">
        <v>5.207065402060785E-2</v>
      </c>
      <c r="AP105" s="7">
        <v>0.92150618089199277</v>
      </c>
      <c r="AQ105" s="7">
        <v>2.7438770542934508E-3</v>
      </c>
      <c r="AR105" s="7">
        <v>-0.66249652488531496</v>
      </c>
      <c r="AS105" s="7">
        <v>-0.61593470926202398</v>
      </c>
      <c r="AT105" s="7">
        <v>0.95995113463758808</v>
      </c>
      <c r="AU105" s="7">
        <v>2.9030964503735817</v>
      </c>
    </row>
    <row r="106" spans="37:47" x14ac:dyDescent="0.25">
      <c r="AK106" t="str">
        <v>ford country</v>
      </c>
      <c r="AL106" s="7">
        <v>12</v>
      </c>
      <c r="AM106" s="7">
        <v>8.4328115122476976</v>
      </c>
      <c r="AN106" s="7">
        <v>3.5671884877523024</v>
      </c>
      <c r="AO106" s="7">
        <v>3.8934703793749144E-2</v>
      </c>
      <c r="AP106" s="7">
        <v>1.1863106075738008</v>
      </c>
      <c r="AQ106" s="7">
        <v>3.35375926789739E-3</v>
      </c>
      <c r="AR106" s="7">
        <v>-0.66249652488531496</v>
      </c>
      <c r="AS106" s="7">
        <v>-0.61509549983121248</v>
      </c>
      <c r="AT106" s="7">
        <v>1.0891788684939683</v>
      </c>
      <c r="AU106" s="7">
        <v>3.7117025261796162</v>
      </c>
    </row>
    <row r="107" spans="37:47" x14ac:dyDescent="0.25">
      <c r="AK107" t="str">
        <v>plymouth custom suburb</v>
      </c>
      <c r="AL107" s="7">
        <v>13</v>
      </c>
      <c r="AM107" s="7">
        <v>9.6600562393964911</v>
      </c>
      <c r="AN107" s="7">
        <v>3.3399437606035089</v>
      </c>
      <c r="AO107" s="7">
        <v>3.2267405941791109E-2</v>
      </c>
      <c r="AP107" s="7">
        <v>1.1069048065287981</v>
      </c>
      <c r="AQ107" s="7">
        <v>2.4031468448560667E-3</v>
      </c>
      <c r="AR107" s="7">
        <v>-0.62318453179067923</v>
      </c>
      <c r="AS107" s="7">
        <v>-0.61264897901117765</v>
      </c>
      <c r="AT107" s="7">
        <v>1.0520954360364834</v>
      </c>
      <c r="AU107" s="7">
        <v>3.4513085341038043</v>
      </c>
    </row>
    <row r="108" spans="37:47" x14ac:dyDescent="0.25">
      <c r="AK108" t="str">
        <v>oldsmobile vista cruiser</v>
      </c>
      <c r="AL108" s="7">
        <v>12</v>
      </c>
      <c r="AM108" s="7">
        <v>10.282504910204173</v>
      </c>
      <c r="AN108" s="7">
        <v>1.7174950897958272</v>
      </c>
      <c r="AO108" s="7">
        <v>3.0849747810183924E-2</v>
      </c>
      <c r="AP108" s="7">
        <v>0.56878580743136242</v>
      </c>
      <c r="AQ108" s="7">
        <v>6.0577184723648383E-4</v>
      </c>
      <c r="AR108" s="7">
        <v>-0.62318453179067923</v>
      </c>
      <c r="AS108" s="7">
        <v>-0.60409084446563865</v>
      </c>
      <c r="AT108" s="7">
        <v>0.75417889617209688</v>
      </c>
      <c r="AU108" s="7">
        <v>1.7721659628268265</v>
      </c>
    </row>
    <row r="109" spans="37:47" x14ac:dyDescent="0.25">
      <c r="AK109" t="str">
        <v>amc gremlin</v>
      </c>
      <c r="AL109" s="7">
        <v>18</v>
      </c>
      <c r="AM109" s="7">
        <v>20.239678908337108</v>
      </c>
      <c r="AN109" s="7">
        <v>-2.2396789083371083</v>
      </c>
      <c r="AO109" s="7">
        <v>3.1387057487757081E-2</v>
      </c>
      <c r="AP109" s="7">
        <v>-0.74192401686980725</v>
      </c>
      <c r="AQ109" s="7">
        <v>1.0492289704715078E-3</v>
      </c>
      <c r="AR109" s="7">
        <v>-0.60772881744947449</v>
      </c>
      <c r="AS109" s="7">
        <v>-0.59179023453714441</v>
      </c>
      <c r="AT109" s="7">
        <v>0.86135011282857987</v>
      </c>
      <c r="AU109" s="7">
        <v>-2.3122537497053934</v>
      </c>
    </row>
    <row r="110" spans="37:47" x14ac:dyDescent="0.25">
      <c r="AK110" t="str">
        <v>toyota carina</v>
      </c>
      <c r="AL110" s="7">
        <v>20</v>
      </c>
      <c r="AM110" s="7">
        <v>25.076745606588123</v>
      </c>
      <c r="AN110" s="7">
        <v>-5.0767456065881227</v>
      </c>
      <c r="AO110" s="7">
        <v>4.0511183142984845E-2</v>
      </c>
      <c r="AP110" s="7">
        <v>-1.6897180627740656</v>
      </c>
      <c r="AQ110" s="7">
        <v>7.0911158671741765E-3</v>
      </c>
      <c r="AR110" s="7">
        <v>-0.60005529056970508</v>
      </c>
      <c r="AS110" s="7">
        <v>-0.59082143000943876</v>
      </c>
      <c r="AT110" s="7">
        <v>1.2998915580824677</v>
      </c>
      <c r="AU110" s="7">
        <v>-5.2910940882228843</v>
      </c>
    </row>
    <row r="111" spans="37:47" x14ac:dyDescent="0.25">
      <c r="AK111" t="str">
        <v>chevrolet vega</v>
      </c>
      <c r="AL111" s="7">
        <v>21</v>
      </c>
      <c r="AM111" s="7">
        <v>22.658863133701555</v>
      </c>
      <c r="AN111" s="7">
        <v>-1.6588631337015549</v>
      </c>
      <c r="AO111" s="7">
        <v>3.987940076710407E-2</v>
      </c>
      <c r="AP111" s="7">
        <v>-0.55194584126169699</v>
      </c>
      <c r="AQ111" s="7">
        <v>7.443322664768201E-4</v>
      </c>
      <c r="AR111" s="7">
        <v>-0.60005529056970508</v>
      </c>
      <c r="AS111" s="7">
        <v>-0.58466219481199677</v>
      </c>
      <c r="AT111" s="7">
        <v>0.74293057634054682</v>
      </c>
      <c r="AU111" s="7">
        <v>-1.7277653817936316</v>
      </c>
    </row>
    <row r="112" spans="37:47" x14ac:dyDescent="0.25">
      <c r="AK112" t="str">
        <v>datsun 610</v>
      </c>
      <c r="AL112" s="7">
        <v>22</v>
      </c>
      <c r="AM112" s="7">
        <v>24.4729960533552</v>
      </c>
      <c r="AN112" s="7">
        <v>-2.4729960533551996</v>
      </c>
      <c r="AO112" s="7">
        <v>3.9858734662671737E-2</v>
      </c>
      <c r="AP112" s="7">
        <v>-0.82281965858508455</v>
      </c>
      <c r="AQ112" s="7">
        <v>1.6532889736620513E-3</v>
      </c>
      <c r="AR112" s="7">
        <v>-0.60005529056970508</v>
      </c>
      <c r="AS112" s="7">
        <v>-0.58163018536706346</v>
      </c>
      <c r="AT112" s="7">
        <v>0.90709407372393547</v>
      </c>
      <c r="AU112" s="7">
        <v>-2.5756585438355857</v>
      </c>
    </row>
    <row r="113" spans="37:47" x14ac:dyDescent="0.25">
      <c r="AK113" t="str">
        <v>maxda rx3</v>
      </c>
      <c r="AL113" s="7">
        <v>18</v>
      </c>
      <c r="AM113" s="7">
        <v>25.829085733024133</v>
      </c>
      <c r="AN113" s="7">
        <v>-7.829085733024133</v>
      </c>
      <c r="AO113" s="7">
        <v>4.0908895826768793E-2</v>
      </c>
      <c r="AP113" s="7">
        <v>-2.6063331092365796</v>
      </c>
      <c r="AQ113" s="7">
        <v>1.7043893646453555E-2</v>
      </c>
      <c r="AR113" s="7">
        <v>-0.60005529056970508</v>
      </c>
      <c r="AS113" s="7">
        <v>-0.58074238683041579</v>
      </c>
      <c r="AT113" s="7">
        <v>1.6144141690522229</v>
      </c>
      <c r="AU113" s="7">
        <v>-8.1630261181215609</v>
      </c>
    </row>
    <row r="114" spans="37:47" x14ac:dyDescent="0.25">
      <c r="AK114" t="str">
        <v>ford pinto</v>
      </c>
      <c r="AL114" s="7">
        <v>19</v>
      </c>
      <c r="AM114" s="7">
        <v>22.908550693281139</v>
      </c>
      <c r="AN114" s="7">
        <v>-3.9085506932811391</v>
      </c>
      <c r="AO114" s="7">
        <v>3.8026724320240957E-2</v>
      </c>
      <c r="AP114" s="7">
        <v>-1.2992210520172569</v>
      </c>
      <c r="AQ114" s="7">
        <v>3.9250309517006171E-3</v>
      </c>
      <c r="AR114" s="7">
        <v>-0.60005529056970508</v>
      </c>
      <c r="AS114" s="7">
        <v>-0.55753264896976451</v>
      </c>
      <c r="AT114" s="7">
        <v>1.1398337826267726</v>
      </c>
      <c r="AU114" s="7">
        <v>-4.0630553801187883</v>
      </c>
    </row>
    <row r="115" spans="37:47" x14ac:dyDescent="0.25">
      <c r="AK115" t="str">
        <v>mercury capri v6</v>
      </c>
      <c r="AL115" s="7">
        <v>21</v>
      </c>
      <c r="AM115" s="7">
        <v>21.731093032654325</v>
      </c>
      <c r="AN115" s="7">
        <v>-0.73109303265432501</v>
      </c>
      <c r="AO115" s="7">
        <v>3.7015208274130552E-2</v>
      </c>
      <c r="AP115" s="7">
        <v>-0.24289117425341836</v>
      </c>
      <c r="AQ115" s="7">
        <v>1.3339369925580096E-4</v>
      </c>
      <c r="AR115" s="7">
        <v>-0.60005529056970508</v>
      </c>
      <c r="AS115" s="7">
        <v>-0.55221926921070352</v>
      </c>
      <c r="AT115" s="7">
        <v>0.49283990732632271</v>
      </c>
      <c r="AU115" s="7">
        <v>-0.75919478577024446</v>
      </c>
    </row>
    <row r="116" spans="37:47" x14ac:dyDescent="0.25">
      <c r="AK116" t="str">
        <v>fiat 124 sport coupe</v>
      </c>
      <c r="AL116" s="7">
        <v>26</v>
      </c>
      <c r="AM116" s="7">
        <v>24.993182235342815</v>
      </c>
      <c r="AN116" s="7">
        <v>1.0068177646571854</v>
      </c>
      <c r="AO116" s="7">
        <v>3.9273864426025172E-2</v>
      </c>
      <c r="AP116" s="7">
        <v>0.33488821969058197</v>
      </c>
      <c r="AQ116" s="7">
        <v>2.6968379516022147E-4</v>
      </c>
      <c r="AR116" s="7">
        <v>-0.60005529056970508</v>
      </c>
      <c r="AS116" s="7">
        <v>-0.55194584126169699</v>
      </c>
      <c r="AT116" s="7">
        <v>0.57869527360311313</v>
      </c>
      <c r="AU116" s="7">
        <v>1.0479758251353011</v>
      </c>
    </row>
    <row r="117" spans="37:47" x14ac:dyDescent="0.25">
      <c r="AK117" t="str">
        <v>chevrolet monte carlo s</v>
      </c>
      <c r="AL117" s="7">
        <v>15</v>
      </c>
      <c r="AM117" s="7">
        <v>12.962180138081797</v>
      </c>
      <c r="AN117" s="7">
        <v>2.0378198619182033</v>
      </c>
      <c r="AO117" s="7">
        <v>2.788915394975712E-2</v>
      </c>
      <c r="AP117" s="7">
        <v>0.67383986412758512</v>
      </c>
      <c r="AQ117" s="7">
        <v>7.6627389377137119E-4</v>
      </c>
      <c r="AR117" s="7">
        <v>-0.60005529056970508</v>
      </c>
      <c r="AS117" s="7">
        <v>-0.55072347548179312</v>
      </c>
      <c r="AT117" s="7">
        <v>0.82087749641928009</v>
      </c>
      <c r="AU117" s="7">
        <v>2.096283433312172</v>
      </c>
    </row>
    <row r="118" spans="37:47" x14ac:dyDescent="0.25">
      <c r="AK118" t="str">
        <v>pontiac grand prix</v>
      </c>
      <c r="AL118" s="7">
        <v>16</v>
      </c>
      <c r="AM118" s="7">
        <v>10.589674737467915</v>
      </c>
      <c r="AN118" s="7">
        <v>5.4103252625320852</v>
      </c>
      <c r="AO118" s="7">
        <v>7.1718533906216742E-2</v>
      </c>
      <c r="AP118" s="7">
        <v>1.8307638951688041</v>
      </c>
      <c r="AQ118" s="7">
        <v>1.5232369994827872E-2</v>
      </c>
      <c r="AR118" s="7">
        <v>-0.60005529056970508</v>
      </c>
      <c r="AS118" s="7">
        <v>-0.53338642732774066</v>
      </c>
      <c r="AT118" s="7">
        <v>1.3530572401671719</v>
      </c>
      <c r="AU118" s="7">
        <v>5.8283241238228989</v>
      </c>
    </row>
    <row r="119" spans="37:47" x14ac:dyDescent="0.25">
      <c r="AK119" t="str">
        <v>fiat 128</v>
      </c>
      <c r="AL119" s="7">
        <v>29</v>
      </c>
      <c r="AM119" s="7">
        <v>27.67407317225447</v>
      </c>
      <c r="AN119" s="7">
        <v>1.3259268277455298</v>
      </c>
      <c r="AO119" s="7">
        <v>4.6372217608839757E-2</v>
      </c>
      <c r="AP119" s="7">
        <v>0.44266880067425035</v>
      </c>
      <c r="AQ119" s="7">
        <v>5.6051582264195177E-4</v>
      </c>
      <c r="AR119" s="7">
        <v>-0.60005529056970508</v>
      </c>
      <c r="AS119" s="7">
        <v>-0.52393736657058176</v>
      </c>
      <c r="AT119" s="7">
        <v>0.66533360104104944</v>
      </c>
      <c r="AU119" s="7">
        <v>1.3904028932765085</v>
      </c>
    </row>
    <row r="120" spans="37:47" x14ac:dyDescent="0.25">
      <c r="AK120" t="str">
        <v>opel manta</v>
      </c>
      <c r="AL120" s="7">
        <v>24</v>
      </c>
      <c r="AM120" s="7">
        <v>25.778502843463428</v>
      </c>
      <c r="AN120" s="7">
        <v>-1.7785028434634285</v>
      </c>
      <c r="AO120" s="7">
        <v>4.0000191815181163E-2</v>
      </c>
      <c r="AP120" s="7">
        <v>-0.59179023453714441</v>
      </c>
      <c r="AQ120" s="7">
        <v>8.5837605658505305E-4</v>
      </c>
      <c r="AR120" s="7">
        <v>-0.60005529056970508</v>
      </c>
      <c r="AS120" s="7">
        <v>-0.49892317917099432</v>
      </c>
      <c r="AT120" s="7">
        <v>0.769279035550264</v>
      </c>
      <c r="AU120" s="7">
        <v>-1.8526074987725742</v>
      </c>
    </row>
    <row r="121" spans="37:47" x14ac:dyDescent="0.25">
      <c r="AK121" t="str">
        <v>audi 100ls</v>
      </c>
      <c r="AL121" s="7">
        <v>20</v>
      </c>
      <c r="AM121" s="7">
        <v>23.371876655397273</v>
      </c>
      <c r="AN121" s="7">
        <v>-3.3718766553972728</v>
      </c>
      <c r="AO121" s="7">
        <v>3.805348292346615E-2</v>
      </c>
      <c r="AP121" s="7">
        <v>-1.1208436092324714</v>
      </c>
      <c r="AQ121" s="7">
        <v>2.9233755109492575E-3</v>
      </c>
      <c r="AR121" s="7">
        <v>-0.60005529056970508</v>
      </c>
      <c r="AS121" s="7">
        <v>-0.48011210341267641</v>
      </c>
      <c r="AT121" s="7">
        <v>1.0586990173002293</v>
      </c>
      <c r="AU121" s="7">
        <v>-3.5052641654598364</v>
      </c>
    </row>
    <row r="122" spans="37:47" x14ac:dyDescent="0.25">
      <c r="AK122" t="str">
        <v>volvo 144ea</v>
      </c>
      <c r="AL122" s="7">
        <v>19</v>
      </c>
      <c r="AM122" s="7">
        <v>21.582805034449517</v>
      </c>
      <c r="AN122" s="7">
        <v>-2.5828050344495175</v>
      </c>
      <c r="AO122" s="7">
        <v>3.7880044790532488E-2</v>
      </c>
      <c r="AP122" s="7">
        <v>-0.85847137129504036</v>
      </c>
      <c r="AQ122" s="7">
        <v>1.7068052633930145E-3</v>
      </c>
      <c r="AR122" s="7">
        <v>-0.60005529056970508</v>
      </c>
      <c r="AS122" s="7">
        <v>-0.47899199098150291</v>
      </c>
      <c r="AT122" s="7">
        <v>0.92653730162095493</v>
      </c>
      <c r="AU122" s="7">
        <v>-2.6844937790394372</v>
      </c>
    </row>
    <row r="123" spans="37:47" x14ac:dyDescent="0.25">
      <c r="AK123" t="str">
        <v>dodge dart custom</v>
      </c>
      <c r="AL123" s="7">
        <v>15</v>
      </c>
      <c r="AM123" s="7">
        <v>16.339238445438834</v>
      </c>
      <c r="AN123" s="7">
        <v>-1.3392384454388342</v>
      </c>
      <c r="AO123" s="7">
        <v>3.0692356983148181E-2</v>
      </c>
      <c r="AP123" s="7">
        <v>-0.44348189348087957</v>
      </c>
      <c r="AQ123" s="7">
        <v>3.663291417823262E-4</v>
      </c>
      <c r="AR123" s="7">
        <v>-0.60005529056970508</v>
      </c>
      <c r="AS123" s="7">
        <v>-0.46498176646527745</v>
      </c>
      <c r="AT123" s="7">
        <v>0.66594436215113317</v>
      </c>
      <c r="AU123" s="7">
        <v>-1.3816443675927468</v>
      </c>
    </row>
    <row r="124" spans="37:47" x14ac:dyDescent="0.25">
      <c r="AK124" t="str">
        <v>saab 99le</v>
      </c>
      <c r="AL124" s="7">
        <v>24</v>
      </c>
      <c r="AM124" s="7">
        <v>22.668446298300882</v>
      </c>
      <c r="AN124" s="7">
        <v>1.3315537016991179</v>
      </c>
      <c r="AO124" s="7">
        <v>3.8645493093118238E-2</v>
      </c>
      <c r="AP124" s="7">
        <v>0.44275727569779938</v>
      </c>
      <c r="AQ124" s="7">
        <v>4.6355127300932699E-4</v>
      </c>
      <c r="AR124" s="7">
        <v>-0.60005529056970508</v>
      </c>
      <c r="AS124" s="7">
        <v>-0.4545453066083554</v>
      </c>
      <c r="AT124" s="7">
        <v>0.66540008693852704</v>
      </c>
      <c r="AU124" s="7">
        <v>1.3850808334828915</v>
      </c>
    </row>
    <row r="125" spans="37:47" x14ac:dyDescent="0.25">
      <c r="AK125" t="str">
        <v>toyota mark ii</v>
      </c>
      <c r="AL125" s="7">
        <v>20</v>
      </c>
      <c r="AM125" s="7">
        <v>21.85127944338608</v>
      </c>
      <c r="AN125" s="7">
        <v>-1.8512794433860797</v>
      </c>
      <c r="AO125" s="7">
        <v>3.9776770121747546E-2</v>
      </c>
      <c r="AP125" s="7">
        <v>-0.61593470926202398</v>
      </c>
      <c r="AQ125" s="7">
        <v>9.2443789980417546E-4</v>
      </c>
      <c r="AR125" s="7">
        <v>-0.60005529056970508</v>
      </c>
      <c r="AS125" s="7">
        <v>-0.44392180663234571</v>
      </c>
      <c r="AT125" s="7">
        <v>0.78481507966018593</v>
      </c>
      <c r="AU125" s="7">
        <v>-1.9279677743484762</v>
      </c>
    </row>
    <row r="126" spans="37:47" x14ac:dyDescent="0.25">
      <c r="AK126" t="str">
        <v>oldsmobile omega</v>
      </c>
      <c r="AL126" s="7">
        <v>11</v>
      </c>
      <c r="AM126" s="7">
        <v>14.510368438826655</v>
      </c>
      <c r="AN126" s="7">
        <v>-3.5103684388266547</v>
      </c>
      <c r="AO126" s="7">
        <v>4.1951063219862798E-2</v>
      </c>
      <c r="AP126" s="7">
        <v>-1.1692507528849174</v>
      </c>
      <c r="AQ126" s="7">
        <v>3.5214511972825654E-3</v>
      </c>
      <c r="AR126" s="7">
        <v>-0.60005529056970508</v>
      </c>
      <c r="AS126" s="7">
        <v>-0.44348189348087957</v>
      </c>
      <c r="AT126" s="7">
        <v>1.0813189875725466</v>
      </c>
      <c r="AU126" s="7">
        <v>-3.6640805120294702</v>
      </c>
    </row>
    <row r="127" spans="37:47" x14ac:dyDescent="0.25">
      <c r="AK127" t="str">
        <v>plymouth duster</v>
      </c>
      <c r="AL127" s="7">
        <v>20</v>
      </c>
      <c r="AM127" s="7">
        <v>20.700160815023679</v>
      </c>
      <c r="AN127" s="7">
        <v>-0.70016081502367911</v>
      </c>
      <c r="AO127" s="7">
        <v>4.1681720845725925E-2</v>
      </c>
      <c r="AP127" s="7">
        <v>-0.23318022611887829</v>
      </c>
      <c r="AQ127" s="7">
        <v>1.3911385496748123E-4</v>
      </c>
      <c r="AR127" s="7">
        <v>-0.47441488350636313</v>
      </c>
      <c r="AS127" s="7">
        <v>-0.44257513070662002</v>
      </c>
      <c r="AT127" s="7">
        <v>0.4828873845099686</v>
      </c>
      <c r="AU127" s="7">
        <v>-0.73061406659338524</v>
      </c>
    </row>
    <row r="128" spans="37:47" x14ac:dyDescent="0.25">
      <c r="AK128" t="str">
        <v>amc hornet</v>
      </c>
      <c r="AL128" s="7">
        <v>19</v>
      </c>
      <c r="AM128" s="7">
        <v>21.636703887894434</v>
      </c>
      <c r="AN128" s="7">
        <v>-2.6367038878944342</v>
      </c>
      <c r="AO128" s="7">
        <v>4.2615099595863973E-2</v>
      </c>
      <c r="AP128" s="7">
        <v>-0.87855079557956517</v>
      </c>
      <c r="AQ128" s="7">
        <v>2.0209788357389603E-3</v>
      </c>
      <c r="AR128" s="7">
        <v>-0.47441488350636313</v>
      </c>
      <c r="AS128" s="7">
        <v>-0.43529358270499241</v>
      </c>
      <c r="AT128" s="7">
        <v>0.93731040513778852</v>
      </c>
      <c r="AU128" s="7">
        <v>-2.7540688042828081</v>
      </c>
    </row>
    <row r="129" spans="37:47" x14ac:dyDescent="0.25">
      <c r="AK129" t="str">
        <v>chevrolet nova</v>
      </c>
      <c r="AL129" s="7">
        <v>15</v>
      </c>
      <c r="AM129" s="7">
        <v>19.434164205318652</v>
      </c>
      <c r="AN129" s="7">
        <v>-4.4341642053186519</v>
      </c>
      <c r="AO129" s="7">
        <v>4.1929203309126278E-2</v>
      </c>
      <c r="AP129" s="7">
        <v>-1.4769363323181717</v>
      </c>
      <c r="AQ129" s="7">
        <v>5.6155672815874852E-3</v>
      </c>
      <c r="AR129" s="7">
        <v>-0.4601505487612142</v>
      </c>
      <c r="AS129" s="7">
        <v>-0.4338415062904411</v>
      </c>
      <c r="AT129" s="7">
        <v>1.2152926940939668</v>
      </c>
      <c r="AU129" s="7">
        <v>-4.6282218606746213</v>
      </c>
    </row>
    <row r="130" spans="37:47" x14ac:dyDescent="0.25">
      <c r="AK130" t="str">
        <v>datsun b210</v>
      </c>
      <c r="AL130" s="7">
        <v>31</v>
      </c>
      <c r="AM130" s="7">
        <v>29.047655197436306</v>
      </c>
      <c r="AN130" s="7">
        <v>1.9523448025636938</v>
      </c>
      <c r="AO130" s="7">
        <v>4.9596337656819603E-2</v>
      </c>
      <c r="AP130" s="7">
        <v>0.65290692305069276</v>
      </c>
      <c r="AQ130" s="7">
        <v>1.3085644958385797E-3</v>
      </c>
      <c r="AR130" s="7">
        <v>-0.45305351907680225</v>
      </c>
      <c r="AS130" s="7">
        <v>-0.4283920105670963</v>
      </c>
      <c r="AT130" s="7">
        <v>0.8080265608571866</v>
      </c>
      <c r="AU130" s="7">
        <v>2.0542269352690301</v>
      </c>
    </row>
    <row r="131" spans="37:47" x14ac:dyDescent="0.25">
      <c r="AK131" t="str">
        <v>ford pinto</v>
      </c>
      <c r="AL131" s="7">
        <v>26</v>
      </c>
      <c r="AM131" s="7">
        <v>24.23992185376779</v>
      </c>
      <c r="AN131" s="7">
        <v>1.7600781462322104</v>
      </c>
      <c r="AO131" s="7">
        <v>4.6095974662596628E-2</v>
      </c>
      <c r="AP131" s="7">
        <v>0.58752778997756971</v>
      </c>
      <c r="AQ131" s="7">
        <v>9.8121962635278667E-4</v>
      </c>
      <c r="AR131" s="7">
        <v>-0.45305351907680225</v>
      </c>
      <c r="AS131" s="7">
        <v>-0.4182369320992394</v>
      </c>
      <c r="AT131" s="7">
        <v>0.76650361380594267</v>
      </c>
      <c r="AU131" s="7">
        <v>1.8451312705276162</v>
      </c>
    </row>
    <row r="132" spans="37:47" x14ac:dyDescent="0.25">
      <c r="AK132" t="str">
        <v>toyota corolla 1200</v>
      </c>
      <c r="AL132" s="7">
        <v>32</v>
      </c>
      <c r="AM132" s="7">
        <v>29.657345357466696</v>
      </c>
      <c r="AN132" s="7">
        <v>2.3426546425333044</v>
      </c>
      <c r="AO132" s="7">
        <v>5.0280943298176672E-2</v>
      </c>
      <c r="AP132" s="7">
        <v>0.78371741325869382</v>
      </c>
      <c r="AQ132" s="7">
        <v>1.9128386377732154E-3</v>
      </c>
      <c r="AR132" s="7">
        <v>-0.45305351907680225</v>
      </c>
      <c r="AS132" s="7">
        <v>-0.40591022394118104</v>
      </c>
      <c r="AT132" s="7">
        <v>0.88527815586893022</v>
      </c>
      <c r="AU132" s="7">
        <v>2.4666817265611751</v>
      </c>
    </row>
    <row r="133" spans="37:47" x14ac:dyDescent="0.25">
      <c r="AK133" t="str">
        <v>chevrolet vega</v>
      </c>
      <c r="AL133" s="7">
        <v>25</v>
      </c>
      <c r="AM133" s="7">
        <v>23.860342838559873</v>
      </c>
      <c r="AN133" s="7">
        <v>1.1396571614401267</v>
      </c>
      <c r="AO133" s="7">
        <v>4.5195292486137739E-2</v>
      </c>
      <c r="AP133" s="7">
        <v>0.38024696094502353</v>
      </c>
      <c r="AQ133" s="7">
        <v>4.0258837650253195E-4</v>
      </c>
      <c r="AR133" s="7">
        <v>-0.43189692948271047</v>
      </c>
      <c r="AS133" s="7">
        <v>-0.40193142131393816</v>
      </c>
      <c r="AT133" s="7">
        <v>0.61664167953927951</v>
      </c>
      <c r="AU133" s="7">
        <v>1.1936023696485396</v>
      </c>
    </row>
    <row r="134" spans="37:47" x14ac:dyDescent="0.25">
      <c r="AK134" t="str">
        <v>chevrolet chevelle malibu classic</v>
      </c>
      <c r="AL134" s="7">
        <v>16</v>
      </c>
      <c r="AM134" s="7">
        <v>17.180991426591703</v>
      </c>
      <c r="AN134" s="7">
        <v>-1.180991426591703</v>
      </c>
      <c r="AO134" s="7">
        <v>4.9165845778550502E-2</v>
      </c>
      <c r="AP134" s="7">
        <v>-0.39486001875875998</v>
      </c>
      <c r="AQ134" s="7">
        <v>4.7423777402829249E-4</v>
      </c>
      <c r="AR134" s="7">
        <v>-0.42488793897993393</v>
      </c>
      <c r="AS134" s="7">
        <v>-0.39486001875875998</v>
      </c>
      <c r="AT134" s="7">
        <v>0.6283788815346677</v>
      </c>
      <c r="AU134" s="7">
        <v>-1.2420582720429392</v>
      </c>
    </row>
    <row r="135" spans="37:47" x14ac:dyDescent="0.25">
      <c r="AK135" t="str">
        <v>amc matador</v>
      </c>
      <c r="AL135" s="7">
        <v>16</v>
      </c>
      <c r="AM135" s="7">
        <v>17.773060239708684</v>
      </c>
      <c r="AN135" s="7">
        <v>-1.7730602397086841</v>
      </c>
      <c r="AO135" s="7">
        <v>4.2735154312296256E-2</v>
      </c>
      <c r="AP135" s="7">
        <v>-0.59082143000943876</v>
      </c>
      <c r="AQ135" s="7">
        <v>9.1667782099527856E-4</v>
      </c>
      <c r="AR135" s="7">
        <v>-0.42488793897993393</v>
      </c>
      <c r="AS135" s="7">
        <v>-0.38508480762603786</v>
      </c>
      <c r="AT135" s="7">
        <v>0.76864909419672045</v>
      </c>
      <c r="AU135" s="7">
        <v>-1.8522149305868523</v>
      </c>
    </row>
    <row r="136" spans="37:47" x14ac:dyDescent="0.25">
      <c r="AK136" t="str">
        <v>plymouth satellite sebring</v>
      </c>
      <c r="AL136" s="7">
        <v>18</v>
      </c>
      <c r="AM136" s="7">
        <v>17.950445282163606</v>
      </c>
      <c r="AN136" s="7">
        <v>4.9554717836393536E-2</v>
      </c>
      <c r="AO136" s="7">
        <v>4.3763467871605954E-2</v>
      </c>
      <c r="AP136" s="7">
        <v>1.6521563559615881E-2</v>
      </c>
      <c r="AQ136" s="7">
        <v>7.3485180761357239E-7</v>
      </c>
      <c r="AR136" s="7">
        <v>-0.42488793897993393</v>
      </c>
      <c r="AS136" s="7">
        <v>-0.38135513775663438</v>
      </c>
      <c r="AT136" s="7">
        <v>0.12853623442288903</v>
      </c>
      <c r="AU136" s="7">
        <v>5.1822657021996954E-2</v>
      </c>
    </row>
    <row r="137" spans="37:47" x14ac:dyDescent="0.25">
      <c r="AK137" t="str">
        <v>ford gran torino</v>
      </c>
      <c r="AL137" s="7">
        <v>16</v>
      </c>
      <c r="AM137" s="7">
        <v>14.708742687008018</v>
      </c>
      <c r="AN137" s="7">
        <v>1.2912573129919824</v>
      </c>
      <c r="AO137" s="7">
        <v>4.5049751282210906E-2</v>
      </c>
      <c r="AP137" s="7">
        <v>0.43079556603355523</v>
      </c>
      <c r="AQ137" s="7">
        <v>5.1499756946704319E-4</v>
      </c>
      <c r="AR137" s="7">
        <v>-0.42488793897993393</v>
      </c>
      <c r="AS137" s="7">
        <v>-0.36253627723479914</v>
      </c>
      <c r="AT137" s="7">
        <v>0.65635018552107927</v>
      </c>
      <c r="AU137" s="7">
        <v>1.3521723406279569</v>
      </c>
    </row>
    <row r="138" spans="37:47" x14ac:dyDescent="0.25">
      <c r="AK138" t="str">
        <v>buick century luxus (sw)</v>
      </c>
      <c r="AL138" s="7">
        <v>13</v>
      </c>
      <c r="AM138" s="7">
        <v>11.72105160223747</v>
      </c>
      <c r="AN138" s="7">
        <v>1.2789483977625302</v>
      </c>
      <c r="AO138" s="7">
        <v>5.4033117323552399E-2</v>
      </c>
      <c r="AP138" s="7">
        <v>0.42871024250542339</v>
      </c>
      <c r="AQ138" s="7">
        <v>6.1753686570022647E-4</v>
      </c>
      <c r="AR138" s="7">
        <v>-0.42488793897993393</v>
      </c>
      <c r="AS138" s="7">
        <v>-0.34222462819834187</v>
      </c>
      <c r="AT138" s="7">
        <v>0.65475968301768805</v>
      </c>
      <c r="AU138" s="7">
        <v>1.3520012393499123</v>
      </c>
    </row>
    <row r="139" spans="37:47" x14ac:dyDescent="0.25">
      <c r="AK139" t="str">
        <v>dodge coronet custom (sw)</v>
      </c>
      <c r="AL139" s="7">
        <v>14</v>
      </c>
      <c r="AM139" s="7">
        <v>12.946372529095722</v>
      </c>
      <c r="AN139" s="7">
        <v>1.0536274709042779</v>
      </c>
      <c r="AO139" s="7">
        <v>4.8948096978339982E-2</v>
      </c>
      <c r="AP139" s="7">
        <v>0.35223603151478755</v>
      </c>
      <c r="AQ139" s="7">
        <v>3.7562131648234085E-4</v>
      </c>
      <c r="AR139" s="7">
        <v>-0.42488793897993393</v>
      </c>
      <c r="AS139" s="7">
        <v>-0.32610721496463052</v>
      </c>
      <c r="AT139" s="7">
        <v>0.59349476115193089</v>
      </c>
      <c r="AU139" s="7">
        <v>1.107854857928066</v>
      </c>
    </row>
    <row r="140" spans="37:47" x14ac:dyDescent="0.25">
      <c r="AK140" t="str">
        <v>ford gran torino (sw)</v>
      </c>
      <c r="AL140" s="7">
        <v>14</v>
      </c>
      <c r="AM140" s="7">
        <v>12.192277808294996</v>
      </c>
      <c r="AN140" s="7">
        <v>1.8077221917050039</v>
      </c>
      <c r="AO140" s="7">
        <v>5.5331075663274977E-2</v>
      </c>
      <c r="AP140" s="7">
        <v>0.60637414955155566</v>
      </c>
      <c r="AQ140" s="7">
        <v>1.2668404438458728E-3</v>
      </c>
      <c r="AR140" s="7">
        <v>-0.42488793897993393</v>
      </c>
      <c r="AS140" s="7">
        <v>-0.31654278630410199</v>
      </c>
      <c r="AT140" s="7">
        <v>0.77870029507606819</v>
      </c>
      <c r="AU140" s="7">
        <v>1.9136039570416161</v>
      </c>
    </row>
    <row r="141" spans="37:47" x14ac:dyDescent="0.25">
      <c r="AK141" t="str">
        <v>amc matador (sw)</v>
      </c>
      <c r="AL141" s="7">
        <v>14</v>
      </c>
      <c r="AM141" s="7">
        <v>13.959034452119068</v>
      </c>
      <c r="AN141" s="7">
        <v>4.0965547880931652E-2</v>
      </c>
      <c r="AO141" s="7">
        <v>4.653759851025966E-2</v>
      </c>
      <c r="AP141" s="7">
        <v>1.3677785391091995E-2</v>
      </c>
      <c r="AQ141" s="7">
        <v>5.3713449731715359E-7</v>
      </c>
      <c r="AR141" s="7">
        <v>-0.42488793897993393</v>
      </c>
      <c r="AS141" s="7">
        <v>-0.31629077006854084</v>
      </c>
      <c r="AT141" s="7">
        <v>0.11695206450119637</v>
      </c>
      <c r="AU141" s="7">
        <v>4.2965037548334264E-2</v>
      </c>
    </row>
    <row r="142" spans="37:47" x14ac:dyDescent="0.25">
      <c r="AK142" t="str">
        <v>audi fox</v>
      </c>
      <c r="AL142" s="7">
        <v>29</v>
      </c>
      <c r="AM142" s="7">
        <v>27.303865157763386</v>
      </c>
      <c r="AN142" s="7">
        <v>1.6961348422366136</v>
      </c>
      <c r="AO142" s="7">
        <v>5.2132625039320549E-2</v>
      </c>
      <c r="AP142" s="7">
        <v>0.56798307093810663</v>
      </c>
      <c r="AQ142" s="7">
        <v>1.0437196977374377E-3</v>
      </c>
      <c r="AR142" s="7">
        <v>-0.42488793897993393</v>
      </c>
      <c r="AS142" s="7">
        <v>-0.3131170267789195</v>
      </c>
      <c r="AT142" s="7">
        <v>0.75364651590656651</v>
      </c>
      <c r="AU142" s="7">
        <v>1.7894221143617004</v>
      </c>
    </row>
    <row r="143" spans="37:47" x14ac:dyDescent="0.25">
      <c r="AK143" t="str">
        <v>volkswagen dasher</v>
      </c>
      <c r="AL143" s="7">
        <v>26</v>
      </c>
      <c r="AM143" s="7">
        <v>28.859855330489932</v>
      </c>
      <c r="AN143" s="7">
        <v>-2.8598553304899319</v>
      </c>
      <c r="AO143" s="7">
        <v>5.1447023247990456E-2</v>
      </c>
      <c r="AP143" s="7">
        <v>-0.95733088971303293</v>
      </c>
      <c r="AQ143" s="7">
        <v>2.9239765362483101E-3</v>
      </c>
      <c r="AR143" s="7">
        <v>-0.42488793897993393</v>
      </c>
      <c r="AS143" s="7">
        <v>-0.31053190188587199</v>
      </c>
      <c r="AT143" s="7">
        <v>0.97843287440326376</v>
      </c>
      <c r="AU143" s="7">
        <v>-3.014966375713156</v>
      </c>
    </row>
    <row r="144" spans="37:47" x14ac:dyDescent="0.25">
      <c r="AK144" t="str">
        <v>opel manta</v>
      </c>
      <c r="AL144" s="7">
        <v>26</v>
      </c>
      <c r="AM144" s="7">
        <v>26.974919238706637</v>
      </c>
      <c r="AN144" s="7">
        <v>-0.97491923870663655</v>
      </c>
      <c r="AO144" s="7">
        <v>5.0020849802743295E-2</v>
      </c>
      <c r="AP144" s="7">
        <v>-0.32610721496463052</v>
      </c>
      <c r="AQ144" s="7">
        <v>3.2938884363680192E-4</v>
      </c>
      <c r="AR144" s="7">
        <v>-0.42488793897993393</v>
      </c>
      <c r="AS144" s="7">
        <v>-0.30358004022533047</v>
      </c>
      <c r="AT144" s="7">
        <v>0.57105797863669716</v>
      </c>
      <c r="AU144" s="7">
        <v>-1.0262533009321322</v>
      </c>
    </row>
    <row r="145" spans="37:47" x14ac:dyDescent="0.25">
      <c r="AK145" t="str">
        <v>toyota corona</v>
      </c>
      <c r="AL145" s="7">
        <v>31</v>
      </c>
      <c r="AM145" s="7">
        <v>30.81525787088956</v>
      </c>
      <c r="AN145" s="7">
        <v>0.18474212911043963</v>
      </c>
      <c r="AO145" s="7">
        <v>5.1522121063569362E-2</v>
      </c>
      <c r="AP145" s="7">
        <v>6.1844508852538164E-2</v>
      </c>
      <c r="AQ145" s="7">
        <v>1.2221370089460612E-5</v>
      </c>
      <c r="AR145" s="7">
        <v>-0.42488793897993393</v>
      </c>
      <c r="AS145" s="7">
        <v>-0.29588942339118907</v>
      </c>
      <c r="AT145" s="7">
        <v>0.24868556221167759</v>
      </c>
      <c r="AU145" s="7">
        <v>0.19477747790765451</v>
      </c>
    </row>
    <row r="146" spans="37:47" x14ac:dyDescent="0.25">
      <c r="AK146" t="str">
        <v>datsun 710</v>
      </c>
      <c r="AL146" s="7">
        <v>32</v>
      </c>
      <c r="AM146" s="7">
        <v>28.876718379556358</v>
      </c>
      <c r="AN146" s="7">
        <v>3.1232816204436418</v>
      </c>
      <c r="AO146" s="7">
        <v>4.9821646072405704E-2</v>
      </c>
      <c r="AP146" s="7">
        <v>1.04461770630526</v>
      </c>
      <c r="AQ146" s="7">
        <v>3.365726204821601E-3</v>
      </c>
      <c r="AR146" s="7">
        <v>-0.34227644932452284</v>
      </c>
      <c r="AS146" s="7">
        <v>-0.28991504577291533</v>
      </c>
      <c r="AT146" s="7">
        <v>1.0220654119503605</v>
      </c>
      <c r="AU146" s="7">
        <v>3.2870477500707649</v>
      </c>
    </row>
    <row r="147" spans="37:47" x14ac:dyDescent="0.25">
      <c r="AK147" t="str">
        <v>dodge colt</v>
      </c>
      <c r="AL147" s="7">
        <v>28</v>
      </c>
      <c r="AM147" s="7">
        <v>25.971742948063557</v>
      </c>
      <c r="AN147" s="7">
        <v>2.0282570519364427</v>
      </c>
      <c r="AO147" s="7">
        <v>5.1496745076147758E-2</v>
      </c>
      <c r="AP147" s="7">
        <v>0.67897281388579944</v>
      </c>
      <c r="AQ147" s="7">
        <v>1.4723016665139849E-3</v>
      </c>
      <c r="AR147" s="7">
        <v>-0.3355040396155593</v>
      </c>
      <c r="AS147" s="7">
        <v>-0.28923752793397073</v>
      </c>
      <c r="AT147" s="7">
        <v>0.82399806667600828</v>
      </c>
      <c r="AU147" s="7">
        <v>2.1383764804257579</v>
      </c>
    </row>
    <row r="148" spans="37:47" x14ac:dyDescent="0.25">
      <c r="AK148" t="str">
        <v>fiat 128</v>
      </c>
      <c r="AL148" s="7">
        <v>24</v>
      </c>
      <c r="AM148" s="7">
        <v>27.995783980669668</v>
      </c>
      <c r="AN148" s="7">
        <v>-3.9957839806696676</v>
      </c>
      <c r="AO148" s="7">
        <v>5.1365356097886748E-2</v>
      </c>
      <c r="AP148" s="7">
        <v>-1.3375231715810592</v>
      </c>
      <c r="AQ148" s="7">
        <v>5.6980339185633885E-3</v>
      </c>
      <c r="AR148" s="7">
        <v>-0.3355040396155593</v>
      </c>
      <c r="AS148" s="7">
        <v>-0.27897206548305931</v>
      </c>
      <c r="AT148" s="7">
        <v>1.1565133685267366</v>
      </c>
      <c r="AU148" s="7">
        <v>-4.2121421627966393</v>
      </c>
    </row>
    <row r="149" spans="37:47" x14ac:dyDescent="0.25">
      <c r="AK149" t="str">
        <v>fiat 124 tc</v>
      </c>
      <c r="AL149" s="7">
        <v>26</v>
      </c>
      <c r="AM149" s="7">
        <v>27.297047253783557</v>
      </c>
      <c r="AN149" s="7">
        <v>-1.2970472537835569</v>
      </c>
      <c r="AO149" s="7">
        <v>4.9948811373861986E-2</v>
      </c>
      <c r="AP149" s="7">
        <v>-0.4338415062904411</v>
      </c>
      <c r="AQ149" s="7">
        <v>5.8209173033592408E-4</v>
      </c>
      <c r="AR149" s="7">
        <v>-0.3355040396155593</v>
      </c>
      <c r="AS149" s="7">
        <v>-0.27496797490025449</v>
      </c>
      <c r="AT149" s="7">
        <v>0.6586664605780691</v>
      </c>
      <c r="AU149" s="7">
        <v>-1.3652393358501107</v>
      </c>
    </row>
    <row r="150" spans="37:47" x14ac:dyDescent="0.25">
      <c r="AK150" t="str">
        <v>honda civic</v>
      </c>
      <c r="AL150" s="7">
        <v>24</v>
      </c>
      <c r="AM150" s="7">
        <v>25.831438356282142</v>
      </c>
      <c r="AN150" s="7">
        <v>-1.8314383562821419</v>
      </c>
      <c r="AO150" s="7">
        <v>5.0141769981706191E-2</v>
      </c>
      <c r="AP150" s="7">
        <v>-0.61264897901117765</v>
      </c>
      <c r="AQ150" s="7">
        <v>1.1655083173075383E-3</v>
      </c>
      <c r="AR150" s="7">
        <v>-0.31527742954587812</v>
      </c>
      <c r="AS150" s="7">
        <v>-0.2744986939956594</v>
      </c>
      <c r="AT150" s="7">
        <v>0.78271896553691456</v>
      </c>
      <c r="AU150" s="7">
        <v>-1.9281175847124778</v>
      </c>
    </row>
    <row r="151" spans="37:47" x14ac:dyDescent="0.25">
      <c r="AK151" t="str">
        <v>subaru</v>
      </c>
      <c r="AL151" s="7">
        <v>26</v>
      </c>
      <c r="AM151" s="7">
        <v>26.392588426377749</v>
      </c>
      <c r="AN151" s="7">
        <v>-0.39258842637774904</v>
      </c>
      <c r="AO151" s="7">
        <v>4.9910696077755404E-2</v>
      </c>
      <c r="AP151" s="7">
        <v>-0.13131189884057307</v>
      </c>
      <c r="AQ151" s="7">
        <v>5.3282971853456959E-5</v>
      </c>
      <c r="AR151" s="7">
        <v>-0.31527742954587812</v>
      </c>
      <c r="AS151" s="7">
        <v>-0.26432732427601652</v>
      </c>
      <c r="AT151" s="7">
        <v>0.36236983710095555</v>
      </c>
      <c r="AU151" s="7">
        <v>-0.41321213148809277</v>
      </c>
    </row>
    <row r="152" spans="37:47" x14ac:dyDescent="0.25">
      <c r="AK152" t="str">
        <v>fiat x1.9</v>
      </c>
      <c r="AL152" s="7">
        <v>31</v>
      </c>
      <c r="AM152" s="7">
        <v>28.672512874730611</v>
      </c>
      <c r="AN152" s="7">
        <v>2.3274871252693892</v>
      </c>
      <c r="AO152" s="7">
        <v>5.0990530009204414E-2</v>
      </c>
      <c r="AP152" s="7">
        <v>0.77893428137700682</v>
      </c>
      <c r="AQ152" s="7">
        <v>1.9176603742006981E-3</v>
      </c>
      <c r="AR152" s="7">
        <v>-0.30186483701074074</v>
      </c>
      <c r="AS152" s="7">
        <v>-0.26364023528520003</v>
      </c>
      <c r="AT152" s="7">
        <v>0.88257253604279284</v>
      </c>
      <c r="AU152" s="7">
        <v>2.4525436245562053</v>
      </c>
    </row>
    <row r="153" spans="37:47" x14ac:dyDescent="0.25">
      <c r="AK153" t="str">
        <v>plymouth valiant custom</v>
      </c>
      <c r="AL153" s="7">
        <v>19</v>
      </c>
      <c r="AM153" s="7">
        <v>19.261395253436948</v>
      </c>
      <c r="AN153" s="7">
        <v>-0.26139525343694814</v>
      </c>
      <c r="AO153" s="7">
        <v>3.574414313936964E-2</v>
      </c>
      <c r="AP153" s="7">
        <v>-8.6786137087073154E-2</v>
      </c>
      <c r="AQ153" s="7">
        <v>1.6423450272720468E-5</v>
      </c>
      <c r="AR153" s="7">
        <v>-0.29517900048864582</v>
      </c>
      <c r="AS153" s="7">
        <v>-0.25886999570707547</v>
      </c>
      <c r="AT153" s="7">
        <v>0.2945948694174309</v>
      </c>
      <c r="AU153" s="7">
        <v>-0.27108495279249223</v>
      </c>
    </row>
    <row r="154" spans="37:47" x14ac:dyDescent="0.25">
      <c r="AK154" t="str">
        <v>chevrolet nova</v>
      </c>
      <c r="AL154" s="7">
        <v>18</v>
      </c>
      <c r="AM154" s="7">
        <v>18.11168555895377</v>
      </c>
      <c r="AN154" s="7">
        <v>-0.11168555895376997</v>
      </c>
      <c r="AO154" s="7">
        <v>3.503510364992779E-2</v>
      </c>
      <c r="AP154" s="7">
        <v>-3.7067224491663844E-2</v>
      </c>
      <c r="AQ154" s="7">
        <v>2.9344256287308819E-6</v>
      </c>
      <c r="AR154" s="7">
        <v>-0.28850633275119353</v>
      </c>
      <c r="AS154" s="7">
        <v>-0.2557150343200344</v>
      </c>
      <c r="AT154" s="7">
        <v>0.19252850306295907</v>
      </c>
      <c r="AU154" s="7">
        <v>-0.11574054079709488</v>
      </c>
    </row>
    <row r="155" spans="37:47" x14ac:dyDescent="0.25">
      <c r="AK155" t="str">
        <v>mercury monarch</v>
      </c>
      <c r="AL155" s="7">
        <v>15</v>
      </c>
      <c r="AM155" s="7">
        <v>18.78419717302878</v>
      </c>
      <c r="AN155" s="7">
        <v>-3.7841971730287796</v>
      </c>
      <c r="AO155" s="7">
        <v>4.8468447253223503E-2</v>
      </c>
      <c r="AP155" s="7">
        <v>-1.2647682754399088</v>
      </c>
      <c r="AQ155" s="7">
        <v>4.7930164375910266E-3</v>
      </c>
      <c r="AR155" s="7">
        <v>-0.28850633275119353</v>
      </c>
      <c r="AS155" s="7">
        <v>-0.24814969353100894</v>
      </c>
      <c r="AT155" s="7">
        <v>1.124619169070094</v>
      </c>
      <c r="AU155" s="7">
        <v>-3.9769539560774163</v>
      </c>
    </row>
    <row r="156" spans="37:47" x14ac:dyDescent="0.25">
      <c r="AK156" t="str">
        <v>ford maverick</v>
      </c>
      <c r="AL156" s="7">
        <v>15</v>
      </c>
      <c r="AM156" s="7">
        <v>20.17154400757077</v>
      </c>
      <c r="AN156" s="7">
        <v>-5.1715440075707697</v>
      </c>
      <c r="AO156" s="7">
        <v>4.265740901741475E-2</v>
      </c>
      <c r="AP156" s="7">
        <v>-1.7231986194513169</v>
      </c>
      <c r="AQ156" s="7">
        <v>7.7830325589615043E-3</v>
      </c>
      <c r="AR156" s="7">
        <v>-0.28850633275119353</v>
      </c>
      <c r="AS156" s="7">
        <v>-0.24289117425341836</v>
      </c>
      <c r="AT156" s="7">
        <v>1.3127066006733252</v>
      </c>
      <c r="AU156" s="7">
        <v>-5.4019784101142578</v>
      </c>
    </row>
    <row r="157" spans="37:47" x14ac:dyDescent="0.25">
      <c r="AK157" t="str">
        <v>pontiac catalina</v>
      </c>
      <c r="AL157" s="7">
        <v>16</v>
      </c>
      <c r="AM157" s="7">
        <v>10.934776157297449</v>
      </c>
      <c r="AN157" s="7">
        <v>5.0652238427025509</v>
      </c>
      <c r="AO157" s="7">
        <v>4.4820942448239413E-2</v>
      </c>
      <c r="AP157" s="7">
        <v>1.6896822821993771</v>
      </c>
      <c r="AQ157" s="7">
        <v>7.8805652842904063E-3</v>
      </c>
      <c r="AR157" s="7">
        <v>-0.28850633275119353</v>
      </c>
      <c r="AS157" s="7">
        <v>-0.24068058859416844</v>
      </c>
      <c r="AT157" s="7">
        <v>1.2998777951020539</v>
      </c>
      <c r="AU157" s="7">
        <v>5.3029050445110597</v>
      </c>
    </row>
    <row r="158" spans="37:47" x14ac:dyDescent="0.25">
      <c r="AK158" t="str">
        <v>chevrolet bel air</v>
      </c>
      <c r="AL158" s="7">
        <v>15</v>
      </c>
      <c r="AM158" s="7">
        <v>12.495121548382592</v>
      </c>
      <c r="AN158" s="7">
        <v>2.5048784516174081</v>
      </c>
      <c r="AO158" s="7">
        <v>4.0295891210602973E-2</v>
      </c>
      <c r="AP158" s="7">
        <v>0.83361742346055501</v>
      </c>
      <c r="AQ158" s="7">
        <v>1.7163587022957112E-3</v>
      </c>
      <c r="AR158" s="7">
        <v>-0.28850633275119353</v>
      </c>
      <c r="AS158" s="7">
        <v>-0.23318022611887829</v>
      </c>
      <c r="AT158" s="7">
        <v>0.91302651848703442</v>
      </c>
      <c r="AU158" s="7">
        <v>2.6100528576220703</v>
      </c>
    </row>
    <row r="159" spans="37:47" x14ac:dyDescent="0.25">
      <c r="AK159" t="str">
        <v>plymouth grand fury</v>
      </c>
      <c r="AL159" s="7">
        <v>16</v>
      </c>
      <c r="AM159" s="7">
        <v>12.120267430938121</v>
      </c>
      <c r="AN159" s="7">
        <v>3.8797325690618791</v>
      </c>
      <c r="AO159" s="7">
        <v>4.0897736141287049E-2</v>
      </c>
      <c r="AP159" s="7">
        <v>1.2915705569901503</v>
      </c>
      <c r="AQ159" s="7">
        <v>4.1842892969318861E-3</v>
      </c>
      <c r="AR159" s="7">
        <v>-0.28850633275119353</v>
      </c>
      <c r="AS159" s="7">
        <v>-0.22773334599687459</v>
      </c>
      <c r="AT159" s="7">
        <v>1.1364728580085626</v>
      </c>
      <c r="AU159" s="7">
        <v>4.0451709012266592</v>
      </c>
    </row>
    <row r="160" spans="37:47" x14ac:dyDescent="0.25">
      <c r="AK160" t="str">
        <v>ford ltd</v>
      </c>
      <c r="AL160" s="7">
        <v>14</v>
      </c>
      <c r="AM160" s="7">
        <v>11.347674066041641</v>
      </c>
      <c r="AN160" s="7">
        <v>2.6523259339583589</v>
      </c>
      <c r="AO160" s="7">
        <v>4.375470825654347E-2</v>
      </c>
      <c r="AP160" s="7">
        <v>0.88428252049290279</v>
      </c>
      <c r="AQ160" s="7">
        <v>2.1046924450569644E-3</v>
      </c>
      <c r="AR160" s="7">
        <v>-0.28850633275119353</v>
      </c>
      <c r="AS160" s="7">
        <v>-0.22349400460848995</v>
      </c>
      <c r="AT160" s="7">
        <v>0.94036297273600833</v>
      </c>
      <c r="AU160" s="7">
        <v>2.7736878360180524</v>
      </c>
    </row>
    <row r="161" spans="37:47" x14ac:dyDescent="0.25">
      <c r="AK161" t="str">
        <v>buick century</v>
      </c>
      <c r="AL161" s="7">
        <v>17</v>
      </c>
      <c r="AM161" s="7">
        <v>15.762140691613761</v>
      </c>
      <c r="AN161" s="7">
        <v>1.2378593083862395</v>
      </c>
      <c r="AO161" s="7">
        <v>3.8802549304697426E-2</v>
      </c>
      <c r="AP161" s="7">
        <v>0.4116364131495851</v>
      </c>
      <c r="AQ161" s="7">
        <v>4.0237065341328126E-4</v>
      </c>
      <c r="AR161" s="7">
        <v>-0.28850633275119353</v>
      </c>
      <c r="AS161" s="7">
        <v>-0.22021492268660475</v>
      </c>
      <c r="AT161" s="7">
        <v>0.64158897524005598</v>
      </c>
      <c r="AU161" s="7">
        <v>1.2878304114215113</v>
      </c>
    </row>
    <row r="162" spans="37:47" x14ac:dyDescent="0.25">
      <c r="AK162" t="str">
        <v>chevroelt chevelle malibu</v>
      </c>
      <c r="AL162" s="7">
        <v>16</v>
      </c>
      <c r="AM162" s="7">
        <v>15.893955947532634</v>
      </c>
      <c r="AN162" s="7">
        <v>0.10604405246736626</v>
      </c>
      <c r="AO162" s="7">
        <v>4.0550061485985271E-2</v>
      </c>
      <c r="AP162" s="7">
        <v>3.5295875579668894E-2</v>
      </c>
      <c r="AQ162" s="7">
        <v>3.0971924792745049E-6</v>
      </c>
      <c r="AR162" s="7">
        <v>-0.28850633275119353</v>
      </c>
      <c r="AS162" s="7">
        <v>-0.20291519301261843</v>
      </c>
      <c r="AT162" s="7">
        <v>0.18787196592272326</v>
      </c>
      <c r="AU162" s="7">
        <v>0.11052588385341511</v>
      </c>
    </row>
    <row r="163" spans="37:47" x14ac:dyDescent="0.25">
      <c r="AK163" t="str">
        <v>amc matador</v>
      </c>
      <c r="AL163" s="7">
        <v>15</v>
      </c>
      <c r="AM163" s="7">
        <v>16.658346493489425</v>
      </c>
      <c r="AN163" s="7">
        <v>-1.6583464934894252</v>
      </c>
      <c r="AO163" s="7">
        <v>3.6213181908382158E-2</v>
      </c>
      <c r="AP163" s="7">
        <v>-0.55072347548179312</v>
      </c>
      <c r="AQ163" s="7">
        <v>6.7035362396424773E-4</v>
      </c>
      <c r="AR163" s="7">
        <v>-0.22898889026089997</v>
      </c>
      <c r="AS163" s="7">
        <v>-0.19933424776620928</v>
      </c>
      <c r="AT163" s="7">
        <v>0.74210745548188173</v>
      </c>
      <c r="AU163" s="7">
        <v>-1.7206569568704999</v>
      </c>
    </row>
    <row r="164" spans="37:47" x14ac:dyDescent="0.25">
      <c r="AK164" t="str">
        <v>plymouth fury</v>
      </c>
      <c r="AL164" s="7">
        <v>18</v>
      </c>
      <c r="AM164" s="7">
        <v>16.623410943961126</v>
      </c>
      <c r="AN164" s="7">
        <v>1.376589056038874</v>
      </c>
      <c r="AO164" s="7">
        <v>4.2873777663927769E-2</v>
      </c>
      <c r="AP164" s="7">
        <v>0.45874200542910859</v>
      </c>
      <c r="AQ164" s="7">
        <v>5.5451159645289157E-4</v>
      </c>
      <c r="AR164" s="7">
        <v>-0.22898889026089997</v>
      </c>
      <c r="AS164" s="7">
        <v>-0.19789440550577833</v>
      </c>
      <c r="AT164" s="7">
        <v>0.67730495748156794</v>
      </c>
      <c r="AU164" s="7">
        <v>1.4382523683020747</v>
      </c>
    </row>
    <row r="165" spans="37:47" x14ac:dyDescent="0.25">
      <c r="AK165" t="str">
        <v>buick skyhawk</v>
      </c>
      <c r="AL165" s="7">
        <v>21</v>
      </c>
      <c r="AM165" s="7">
        <v>20.157093437535096</v>
      </c>
      <c r="AN165" s="7">
        <v>0.84290656246490414</v>
      </c>
      <c r="AO165" s="7">
        <v>3.8262991290562078E-2</v>
      </c>
      <c r="AP165" s="7">
        <v>0.2802206101814847</v>
      </c>
      <c r="AQ165" s="7">
        <v>1.8376966255360998E-4</v>
      </c>
      <c r="AR165" s="7">
        <v>-0.22898889026089997</v>
      </c>
      <c r="AS165" s="7">
        <v>-0.19419634887019752</v>
      </c>
      <c r="AT165" s="7">
        <v>0.52935867819606464</v>
      </c>
      <c r="AU165" s="7">
        <v>0.87644184931180591</v>
      </c>
    </row>
    <row r="166" spans="37:47" x14ac:dyDescent="0.25">
      <c r="AK166" t="str">
        <v>chevrolet monza 2+2</v>
      </c>
      <c r="AL166" s="7">
        <v>20</v>
      </c>
      <c r="AM166" s="7">
        <v>19.23557108758385</v>
      </c>
      <c r="AN166" s="7">
        <v>0.7644289124161503</v>
      </c>
      <c r="AO166" s="7">
        <v>3.5845191221584291E-2</v>
      </c>
      <c r="AP166" s="7">
        <v>0.25381221692103473</v>
      </c>
      <c r="AQ166" s="7">
        <v>1.4088353926934238E-4</v>
      </c>
      <c r="AR166" s="7">
        <v>-0.22898889026089997</v>
      </c>
      <c r="AS166" s="7">
        <v>-0.19410783505686549</v>
      </c>
      <c r="AT166" s="7">
        <v>0.50379779368416722</v>
      </c>
      <c r="AU166" s="7">
        <v>0.79284872663206629</v>
      </c>
    </row>
    <row r="167" spans="37:47" x14ac:dyDescent="0.25">
      <c r="AK167" t="str">
        <v>ford mustang ii</v>
      </c>
      <c r="AL167" s="7">
        <v>13</v>
      </c>
      <c r="AM167" s="7">
        <v>19.190370980452638</v>
      </c>
      <c r="AN167" s="7">
        <v>-6.1903709804526379</v>
      </c>
      <c r="AO167" s="7">
        <v>4.3566451925430752E-2</v>
      </c>
      <c r="AP167" s="7">
        <v>-2.0636596826638138</v>
      </c>
      <c r="AQ167" s="7">
        <v>1.1411024261701269E-2</v>
      </c>
      <c r="AR167" s="7">
        <v>-0.20280722023220576</v>
      </c>
      <c r="AS167" s="7">
        <v>-0.18942202796255866</v>
      </c>
      <c r="AT167" s="7">
        <v>1.4365443545758738</v>
      </c>
      <c r="AU167" s="7">
        <v>-6.4723482283894116</v>
      </c>
    </row>
    <row r="168" spans="37:47" x14ac:dyDescent="0.25">
      <c r="AK168" t="str">
        <v>toyota corolla</v>
      </c>
      <c r="AL168" s="7">
        <v>29</v>
      </c>
      <c r="AM168" s="7">
        <v>27.180262912929354</v>
      </c>
      <c r="AN168" s="7">
        <v>1.8197370870706457</v>
      </c>
      <c r="AO168" s="7">
        <v>4.7178286413457775E-2</v>
      </c>
      <c r="AP168" s="7">
        <v>0.6077873084612555</v>
      </c>
      <c r="AQ168" s="7">
        <v>1.0759320631190616E-3</v>
      </c>
      <c r="AR168" s="7">
        <v>-0.1962841646325432</v>
      </c>
      <c r="AS168" s="7">
        <v>-0.18217601115513996</v>
      </c>
      <c r="AT168" s="7">
        <v>0.7796071500834606</v>
      </c>
      <c r="AU168" s="7">
        <v>1.90984006884239</v>
      </c>
    </row>
    <row r="169" spans="37:47" x14ac:dyDescent="0.25">
      <c r="AK169" t="str">
        <v>ford pinto</v>
      </c>
      <c r="AL169" s="7">
        <v>23</v>
      </c>
      <c r="AM169" s="7">
        <v>22.62080094632741</v>
      </c>
      <c r="AN169" s="7">
        <v>0.37919905367258977</v>
      </c>
      <c r="AO169" s="7">
        <v>3.9549118220708876E-2</v>
      </c>
      <c r="AP169" s="7">
        <v>0.12614744788801885</v>
      </c>
      <c r="AQ169" s="7">
        <v>3.8545143009552257E-5</v>
      </c>
      <c r="AR169" s="7">
        <v>-0.1962841646325432</v>
      </c>
      <c r="AS169" s="7">
        <v>-0.17875083851948473</v>
      </c>
      <c r="AT169" s="7">
        <v>0.35517241994279181</v>
      </c>
      <c r="AU169" s="7">
        <v>0.39481358273116629</v>
      </c>
    </row>
    <row r="170" spans="37:47" x14ac:dyDescent="0.25">
      <c r="AK170" t="str">
        <v>amc gremlin</v>
      </c>
      <c r="AL170" s="7">
        <v>20</v>
      </c>
      <c r="AM170" s="7">
        <v>20.952371458960101</v>
      </c>
      <c r="AN170" s="7">
        <v>-0.95237145896010134</v>
      </c>
      <c r="AO170" s="7">
        <v>3.7843962917676E-2</v>
      </c>
      <c r="AP170" s="7">
        <v>-0.31654278630410199</v>
      </c>
      <c r="AQ170" s="7">
        <v>2.3182860362914372E-4</v>
      </c>
      <c r="AR170" s="7">
        <v>-0.1962841646325432</v>
      </c>
      <c r="AS170" s="7">
        <v>-0.1637477879265988</v>
      </c>
      <c r="AT170" s="7">
        <v>0.562621352513484</v>
      </c>
      <c r="AU170" s="7">
        <v>-0.989830570359571</v>
      </c>
    </row>
    <row r="171" spans="37:47" x14ac:dyDescent="0.25">
      <c r="AK171" t="str">
        <v>pontiac astro</v>
      </c>
      <c r="AL171" s="7">
        <v>23</v>
      </c>
      <c r="AM171" s="7">
        <v>22.939958658005601</v>
      </c>
      <c r="AN171" s="7">
        <v>6.0041341994399033E-2</v>
      </c>
      <c r="AO171" s="7">
        <v>3.9967778821523768E-2</v>
      </c>
      <c r="AP171" s="7">
        <v>1.9978196923054012E-2</v>
      </c>
      <c r="AQ171" s="7">
        <v>9.7743494523160525E-7</v>
      </c>
      <c r="AR171" s="7">
        <v>-0.17676385996282307</v>
      </c>
      <c r="AS171" s="7">
        <v>-0.16166667853581004</v>
      </c>
      <c r="AT171" s="7">
        <v>0.14134424969928566</v>
      </c>
      <c r="AU171" s="7">
        <v>6.2540965469571427E-2</v>
      </c>
    </row>
    <row r="172" spans="37:47" x14ac:dyDescent="0.25">
      <c r="AK172" t="str">
        <v>toyota corona</v>
      </c>
      <c r="AL172" s="7">
        <v>24</v>
      </c>
      <c r="AM172" s="7">
        <v>24.150680436277998</v>
      </c>
      <c r="AN172" s="7">
        <v>-0.1506804362779981</v>
      </c>
      <c r="AO172" s="7">
        <v>4.7066803238434332E-2</v>
      </c>
      <c r="AP172" s="7">
        <v>-5.032391780723363E-2</v>
      </c>
      <c r="AQ172" s="7">
        <v>7.3578717392995239E-6</v>
      </c>
      <c r="AR172" s="7">
        <v>-0.17676385996282307</v>
      </c>
      <c r="AS172" s="7">
        <v>-0.1580347863334722</v>
      </c>
      <c r="AT172" s="7">
        <v>0.22432993069858875</v>
      </c>
      <c r="AU172" s="7">
        <v>-0.15812276956041443</v>
      </c>
    </row>
    <row r="173" spans="37:47" x14ac:dyDescent="0.25">
      <c r="AK173" t="str">
        <v>volkswagen dasher</v>
      </c>
      <c r="AL173" s="7">
        <v>25</v>
      </c>
      <c r="AM173" s="7">
        <v>26.859939698807597</v>
      </c>
      <c r="AN173" s="7">
        <v>-1.8599396988075974</v>
      </c>
      <c r="AO173" s="7">
        <v>4.6422402489413581E-2</v>
      </c>
      <c r="AP173" s="7">
        <v>-0.62096861122347391</v>
      </c>
      <c r="AQ173" s="7">
        <v>1.1042361165811147E-3</v>
      </c>
      <c r="AR173" s="7">
        <v>-0.16378810102408645</v>
      </c>
      <c r="AS173" s="7">
        <v>-0.15390694742658717</v>
      </c>
      <c r="AT173" s="7">
        <v>0.78801561610381421</v>
      </c>
      <c r="AU173" s="7">
        <v>-1.9504859422695788</v>
      </c>
    </row>
    <row r="174" spans="37:47" x14ac:dyDescent="0.25">
      <c r="AK174" t="str">
        <v>datsun 710</v>
      </c>
      <c r="AL174" s="7">
        <v>24</v>
      </c>
      <c r="AM174" s="7">
        <v>24.929383613897784</v>
      </c>
      <c r="AN174" s="7">
        <v>-0.92938361389778379</v>
      </c>
      <c r="AO174" s="7">
        <v>4.7916183652933104E-2</v>
      </c>
      <c r="AP174" s="7">
        <v>-0.31053190188587199</v>
      </c>
      <c r="AQ174" s="7">
        <v>2.8547663095470542E-4</v>
      </c>
      <c r="AR174" s="7">
        <v>-0.1573106846101707</v>
      </c>
      <c r="AS174" s="7">
        <v>-0.15234540833318785</v>
      </c>
      <c r="AT174" s="7">
        <v>0.55725389355828814</v>
      </c>
      <c r="AU174" s="7">
        <v>-0.97615734869186344</v>
      </c>
    </row>
    <row r="175" spans="37:47" x14ac:dyDescent="0.25">
      <c r="AK175" t="str">
        <v>ford pinto</v>
      </c>
      <c r="AL175" s="7">
        <v>18</v>
      </c>
      <c r="AM175" s="7">
        <v>20.646649081762551</v>
      </c>
      <c r="AN175" s="7">
        <v>-2.6466490817625505</v>
      </c>
      <c r="AO175" s="7">
        <v>3.6582858116322593E-2</v>
      </c>
      <c r="AP175" s="7">
        <v>-0.87909939485507615</v>
      </c>
      <c r="AQ175" s="7">
        <v>1.7261967878924593E-3</v>
      </c>
      <c r="AR175" s="7">
        <v>-0.1573106846101707</v>
      </c>
      <c r="AS175" s="7">
        <v>-0.15142098901853462</v>
      </c>
      <c r="AT175" s="7">
        <v>0.93760300493069892</v>
      </c>
      <c r="AU175" s="7">
        <v>-2.7471475923583948</v>
      </c>
    </row>
    <row r="176" spans="37:47" x14ac:dyDescent="0.25">
      <c r="AK176" t="str">
        <v>volkswagen rabbit</v>
      </c>
      <c r="AL176" s="7">
        <v>29</v>
      </c>
      <c r="AM176" s="7">
        <v>28.324282680684522</v>
      </c>
      <c r="AN176" s="7">
        <v>0.67571731931547774</v>
      </c>
      <c r="AO176" s="7">
        <v>5.0674058742774059E-2</v>
      </c>
      <c r="AP176" s="7">
        <v>0.22610292454868022</v>
      </c>
      <c r="AQ176" s="7">
        <v>1.6052171099173177E-4</v>
      </c>
      <c r="AR176" s="7">
        <v>-0.1573106846101707</v>
      </c>
      <c r="AS176" s="7">
        <v>-0.14983838636843658</v>
      </c>
      <c r="AT176" s="7">
        <v>0.47550281234571073</v>
      </c>
      <c r="AU176" s="7">
        <v>0.71178642650447477</v>
      </c>
    </row>
    <row r="177" spans="37:47" x14ac:dyDescent="0.25">
      <c r="AK177" t="str">
        <v>amc pacer</v>
      </c>
      <c r="AL177" s="7">
        <v>19</v>
      </c>
      <c r="AM177" s="7">
        <v>19.610932822805836</v>
      </c>
      <c r="AN177" s="7">
        <v>-0.61093282280583594</v>
      </c>
      <c r="AO177" s="7">
        <v>3.649184830731441E-2</v>
      </c>
      <c r="AP177" s="7">
        <v>-0.20291519301261843</v>
      </c>
      <c r="AQ177" s="7">
        <v>9.1731960876766412E-5</v>
      </c>
      <c r="AR177" s="7">
        <v>-0.1573106846101707</v>
      </c>
      <c r="AS177" s="7">
        <v>-0.14480257381873163</v>
      </c>
      <c r="AT177" s="7">
        <v>0.45046108934359519</v>
      </c>
      <c r="AU177" s="7">
        <v>-0.63407125485399651</v>
      </c>
    </row>
    <row r="178" spans="37:47" x14ac:dyDescent="0.25">
      <c r="AK178" t="str">
        <v>audi 100ls</v>
      </c>
      <c r="AL178" s="7">
        <v>23</v>
      </c>
      <c r="AM178" s="7">
        <v>24.085446503202622</v>
      </c>
      <c r="AN178" s="7">
        <v>-1.0854465032026219</v>
      </c>
      <c r="AO178" s="7">
        <v>4.7178576518786146E-2</v>
      </c>
      <c r="AP178" s="7">
        <v>-0.36253627723479914</v>
      </c>
      <c r="AQ178" s="7">
        <v>3.8281358385704688E-4</v>
      </c>
      <c r="AR178" s="7">
        <v>-0.1573106846101707</v>
      </c>
      <c r="AS178" s="7">
        <v>-0.14215101395795629</v>
      </c>
      <c r="AT178" s="7">
        <v>0.60210985478963819</v>
      </c>
      <c r="AU178" s="7">
        <v>-1.1391919581707672</v>
      </c>
    </row>
    <row r="179" spans="37:47" x14ac:dyDescent="0.25">
      <c r="AK179" t="str">
        <v>peugeot 504</v>
      </c>
      <c r="AL179" s="7">
        <v>23</v>
      </c>
      <c r="AM179" s="7">
        <v>22.867451098101704</v>
      </c>
      <c r="AN179" s="7">
        <v>0.13254890189829638</v>
      </c>
      <c r="AO179" s="7">
        <v>4.6145599109593788E-2</v>
      </c>
      <c r="AP179" s="7">
        <v>4.4247006473740601E-2</v>
      </c>
      <c r="AQ179" s="7">
        <v>5.5714349909394559E-6</v>
      </c>
      <c r="AR179" s="7">
        <v>-0.1573106846101707</v>
      </c>
      <c r="AS179" s="7">
        <v>-0.13131189884057307</v>
      </c>
      <c r="AT179" s="7">
        <v>0.21034972420647621</v>
      </c>
      <c r="AU179" s="7">
        <v>0.13896135696869913</v>
      </c>
    </row>
    <row r="180" spans="37:47" x14ac:dyDescent="0.25">
      <c r="AK180" t="str">
        <v>volvo 244dl</v>
      </c>
      <c r="AL180" s="7">
        <v>22</v>
      </c>
      <c r="AM180" s="7">
        <v>22.765846493947691</v>
      </c>
      <c r="AN180" s="7">
        <v>-0.76584649394769144</v>
      </c>
      <c r="AO180" s="7">
        <v>4.661450658576885E-2</v>
      </c>
      <c r="AP180" s="7">
        <v>-0.2557150343200344</v>
      </c>
      <c r="AQ180" s="7">
        <v>1.8806854102407716E-4</v>
      </c>
      <c r="AR180" s="7">
        <v>-0.1573106846101707</v>
      </c>
      <c r="AS180" s="7">
        <v>-0.119856830968657</v>
      </c>
      <c r="AT180" s="7">
        <v>0.50568274077729247</v>
      </c>
      <c r="AU180" s="7">
        <v>-0.80329153237382334</v>
      </c>
    </row>
    <row r="181" spans="37:47" x14ac:dyDescent="0.25">
      <c r="AK181" t="str">
        <v>saab 99le</v>
      </c>
      <c r="AL181" s="7">
        <v>25</v>
      </c>
      <c r="AM181" s="7">
        <v>23.87717398527948</v>
      </c>
      <c r="AN181" s="7">
        <v>1.1228260147205198</v>
      </c>
      <c r="AO181" s="7">
        <v>5.710316922230399E-2</v>
      </c>
      <c r="AP181" s="7">
        <v>0.37698943709717592</v>
      </c>
      <c r="AQ181" s="7">
        <v>5.0629714512212727E-4</v>
      </c>
      <c r="AR181" s="7">
        <v>-0.11213762424542992</v>
      </c>
      <c r="AS181" s="7">
        <v>-0.10402109723738608</v>
      </c>
      <c r="AT181" s="7">
        <v>0.61399465559333322</v>
      </c>
      <c r="AU181" s="7">
        <v>1.1908259504853984</v>
      </c>
    </row>
    <row r="182" spans="37:47" x14ac:dyDescent="0.25">
      <c r="AK182" t="str">
        <v>honda civic cvcc</v>
      </c>
      <c r="AL182" s="7">
        <v>33</v>
      </c>
      <c r="AM182" s="7">
        <v>29.441268831191156</v>
      </c>
      <c r="AN182" s="7">
        <v>3.5587311688088441</v>
      </c>
      <c r="AO182" s="7">
        <v>4.9364660077821906E-2</v>
      </c>
      <c r="AP182" s="7">
        <v>1.1899727275032896</v>
      </c>
      <c r="AQ182" s="7">
        <v>4.3254101044937513E-3</v>
      </c>
      <c r="AR182" s="7">
        <v>-0.1057051091748199</v>
      </c>
      <c r="AS182" s="7">
        <v>-0.10145734321849574</v>
      </c>
      <c r="AT182" s="7">
        <v>1.0908587110635775</v>
      </c>
      <c r="AU182" s="7">
        <v>3.7435292160505758</v>
      </c>
    </row>
    <row r="183" spans="37:47" x14ac:dyDescent="0.25">
      <c r="AK183" t="str">
        <v>fiat 131</v>
      </c>
      <c r="AL183" s="7">
        <v>28</v>
      </c>
      <c r="AM183" s="7">
        <v>26.17120817185755</v>
      </c>
      <c r="AN183" s="7">
        <v>1.8287918281424496</v>
      </c>
      <c r="AO183" s="7">
        <v>4.1153887070672017E-2</v>
      </c>
      <c r="AP183" s="7">
        <v>0.60888968943784472</v>
      </c>
      <c r="AQ183" s="7">
        <v>9.3603107765154691E-4</v>
      </c>
      <c r="AR183" s="7">
        <v>-0.1057051091748199</v>
      </c>
      <c r="AS183" s="7">
        <v>-9.8723664725633833E-2</v>
      </c>
      <c r="AT183" s="7">
        <v>0.78031384034748785</v>
      </c>
      <c r="AU183" s="7">
        <v>1.9072839775669417</v>
      </c>
    </row>
    <row r="184" spans="37:47" x14ac:dyDescent="0.25">
      <c r="AK184" t="str">
        <v>opel 1900</v>
      </c>
      <c r="AL184" s="7">
        <v>25</v>
      </c>
      <c r="AM184" s="7">
        <v>27.487837877713741</v>
      </c>
      <c r="AN184" s="7">
        <v>-2.4878378777137407</v>
      </c>
      <c r="AO184" s="7">
        <v>4.2581826113320717E-2</v>
      </c>
      <c r="AP184" s="7">
        <v>-0.82893417664067315</v>
      </c>
      <c r="AQ184" s="7">
        <v>1.797685789047434E-3</v>
      </c>
      <c r="AR184" s="7">
        <v>-0.1057051091748199</v>
      </c>
      <c r="AS184" s="7">
        <v>-8.6786137087073154E-2</v>
      </c>
      <c r="AT184" s="7">
        <v>0.91045822344612448</v>
      </c>
      <c r="AU184" s="7">
        <v>-2.5984861636940297</v>
      </c>
    </row>
    <row r="185" spans="37:47" x14ac:dyDescent="0.25">
      <c r="AK185" t="str">
        <v>capri ii</v>
      </c>
      <c r="AL185" s="7">
        <v>25</v>
      </c>
      <c r="AM185" s="7">
        <v>23.588987372554563</v>
      </c>
      <c r="AN185" s="7">
        <v>1.4110126274454373</v>
      </c>
      <c r="AO185" s="7">
        <v>3.6756720464821639E-2</v>
      </c>
      <c r="AP185" s="7">
        <v>0.46871808445674978</v>
      </c>
      <c r="AQ185" s="7">
        <v>4.9314571829620513E-4</v>
      </c>
      <c r="AR185" s="7">
        <v>-8.6432705492186665E-2</v>
      </c>
      <c r="AS185" s="7">
        <v>-8.5231484219193049E-2</v>
      </c>
      <c r="AT185" s="7">
        <v>0.6846298886674097</v>
      </c>
      <c r="AU185" s="7">
        <v>1.464855927285923</v>
      </c>
    </row>
    <row r="186" spans="37:47" x14ac:dyDescent="0.25">
      <c r="AK186" t="str">
        <v>dodge colt</v>
      </c>
      <c r="AL186" s="7">
        <v>26</v>
      </c>
      <c r="AM186" s="7">
        <v>25.405130135942606</v>
      </c>
      <c r="AN186" s="7">
        <v>0.59486986405739373</v>
      </c>
      <c r="AO186" s="7">
        <v>4.0625422118048454E-2</v>
      </c>
      <c r="AP186" s="7">
        <v>0.19800523327850184</v>
      </c>
      <c r="AQ186" s="7">
        <v>9.765941011693387E-5</v>
      </c>
      <c r="AR186" s="7">
        <v>-8.0016051321401133E-2</v>
      </c>
      <c r="AS186" s="7">
        <v>-7.199900072986111E-2</v>
      </c>
      <c r="AT186" s="7">
        <v>0.44497778964629442</v>
      </c>
      <c r="AU186" s="7">
        <v>0.62006006597622276</v>
      </c>
    </row>
    <row r="187" spans="37:47" x14ac:dyDescent="0.25">
      <c r="AK187" t="str">
        <v>renault 12tl</v>
      </c>
      <c r="AL187" s="7">
        <v>27</v>
      </c>
      <c r="AM187" s="7">
        <v>27.546504586878765</v>
      </c>
      <c r="AN187" s="7">
        <v>-0.5465045868787648</v>
      </c>
      <c r="AO187" s="7">
        <v>4.3460623886076202E-2</v>
      </c>
      <c r="AP187" s="7">
        <v>-0.18217601115513996</v>
      </c>
      <c r="AQ187" s="7">
        <v>8.8700600488571737E-5</v>
      </c>
      <c r="AR187" s="7">
        <v>-8.0016051321401133E-2</v>
      </c>
      <c r="AS187" s="7">
        <v>-7.0617155228780759E-2</v>
      </c>
      <c r="AT187" s="7">
        <v>0.42682081855872489</v>
      </c>
      <c r="AU187" s="7">
        <v>-0.57133516980661769</v>
      </c>
    </row>
    <row r="188" spans="37:47" x14ac:dyDescent="0.25">
      <c r="AK188" t="str">
        <v>chevrolet chevelle malibu classic</v>
      </c>
      <c r="AL188" s="7">
        <v>17.5</v>
      </c>
      <c r="AM188" s="7">
        <v>14.490620941147773</v>
      </c>
      <c r="AN188" s="7">
        <v>3.0093790588522271</v>
      </c>
      <c r="AO188" s="7">
        <v>3.5065516812038573E-2</v>
      </c>
      <c r="AP188" s="7">
        <v>0.99879597785625729</v>
      </c>
      <c r="AQ188" s="7">
        <v>2.132490305725493E-3</v>
      </c>
      <c r="AR188" s="7">
        <v>-8.0016051321401133E-2</v>
      </c>
      <c r="AS188" s="7">
        <v>-6.5682072482442247E-2</v>
      </c>
      <c r="AT188" s="7">
        <v>0.99939780761029151</v>
      </c>
      <c r="AU188" s="7">
        <v>3.1187392629080959</v>
      </c>
    </row>
    <row r="189" spans="37:47" x14ac:dyDescent="0.25">
      <c r="AK189" t="str">
        <v>dodge coronet brougham</v>
      </c>
      <c r="AL189" s="7">
        <v>16</v>
      </c>
      <c r="AM189" s="7">
        <v>14.454839361990283</v>
      </c>
      <c r="AN189" s="7">
        <v>1.5451606380097171</v>
      </c>
      <c r="AO189" s="7">
        <v>3.519179467288841E-2</v>
      </c>
      <c r="AP189" s="7">
        <v>0.51286368166818253</v>
      </c>
      <c r="AQ189" s="7">
        <v>5.6435892396387193E-4</v>
      </c>
      <c r="AR189" s="7">
        <v>-8.0016051321401133E-2</v>
      </c>
      <c r="AS189" s="7">
        <v>-6.3550945766768785E-2</v>
      </c>
      <c r="AT189" s="7">
        <v>0.71614501441271139</v>
      </c>
      <c r="AU189" s="7">
        <v>1.6015210375266666</v>
      </c>
    </row>
    <row r="190" spans="37:47" x14ac:dyDescent="0.25">
      <c r="AK190" t="str">
        <v>amc matador</v>
      </c>
      <c r="AL190" s="7">
        <v>15.5</v>
      </c>
      <c r="AM190" s="7">
        <v>16.096366912843138</v>
      </c>
      <c r="AN190" s="7">
        <v>-0.5963669128431377</v>
      </c>
      <c r="AO190" s="7">
        <v>3.4710340110544365E-2</v>
      </c>
      <c r="AP190" s="7">
        <v>-0.19789440550577833</v>
      </c>
      <c r="AQ190" s="7">
        <v>8.2836039655796013E-5</v>
      </c>
      <c r="AR190" s="7">
        <v>-8.0016051321401133E-2</v>
      </c>
      <c r="AS190" s="7">
        <v>-5.032391780723363E-2</v>
      </c>
      <c r="AT190" s="7">
        <v>0.4448532404128111</v>
      </c>
      <c r="AU190" s="7">
        <v>-0.61781135510291629</v>
      </c>
    </row>
    <row r="191" spans="37:47" x14ac:dyDescent="0.25">
      <c r="AK191" t="str">
        <v>ford gran torino</v>
      </c>
      <c r="AL191" s="7">
        <v>14.5</v>
      </c>
      <c r="AM191" s="7">
        <v>14.295783757705278</v>
      </c>
      <c r="AN191" s="7">
        <v>0.20421624229472179</v>
      </c>
      <c r="AO191" s="7">
        <v>3.5592867582380963E-2</v>
      </c>
      <c r="AP191" s="7">
        <v>6.7796750316846358E-2</v>
      </c>
      <c r="AQ191" s="7">
        <v>9.9786410096223046E-6</v>
      </c>
      <c r="AR191" s="7">
        <v>-8.0016051321401133E-2</v>
      </c>
      <c r="AS191" s="7">
        <v>-5.0151452692643997E-2</v>
      </c>
      <c r="AT191" s="7">
        <v>0.26037809108457333</v>
      </c>
      <c r="AU191" s="7">
        <v>0.21175314390591801</v>
      </c>
    </row>
    <row r="192" spans="37:47" x14ac:dyDescent="0.25">
      <c r="AK192" t="str">
        <v>plymouth valiant</v>
      </c>
      <c r="AL192" s="7">
        <v>22</v>
      </c>
      <c r="AM192" s="7">
        <v>20.11224826133407</v>
      </c>
      <c r="AN192" s="7">
        <v>1.8877517386659299</v>
      </c>
      <c r="AO192" s="7">
        <v>3.1607871987985987E-2</v>
      </c>
      <c r="AP192" s="7">
        <v>0.62541466034937299</v>
      </c>
      <c r="AQ192" s="7">
        <v>7.509848928351564E-4</v>
      </c>
      <c r="AR192" s="7">
        <v>-8.0016051321401133E-2</v>
      </c>
      <c r="AS192" s="7">
        <v>-3.7067224491663844E-2</v>
      </c>
      <c r="AT192" s="7">
        <v>0.79083162578982191</v>
      </c>
      <c r="AU192" s="7">
        <v>1.9493670839118078</v>
      </c>
    </row>
    <row r="193" spans="37:47" x14ac:dyDescent="0.25">
      <c r="AK193" t="str">
        <v>chevrolet nova</v>
      </c>
      <c r="AL193" s="7">
        <v>22</v>
      </c>
      <c r="AM193" s="7">
        <v>19.423468947752355</v>
      </c>
      <c r="AN193" s="7">
        <v>2.5765310522476454</v>
      </c>
      <c r="AO193" s="7">
        <v>3.1358116348539258E-2</v>
      </c>
      <c r="AP193" s="7">
        <v>0.8534981078051288</v>
      </c>
      <c r="AQ193" s="7">
        <v>1.3872122881645962E-3</v>
      </c>
      <c r="AR193" s="7">
        <v>-8.0016051321401133E-2</v>
      </c>
      <c r="AS193" s="7">
        <v>-3.3128045912269553E-2</v>
      </c>
      <c r="AT193" s="7">
        <v>0.92384961319747749</v>
      </c>
      <c r="AU193" s="7">
        <v>2.6599418172327756</v>
      </c>
    </row>
    <row r="194" spans="37:47" x14ac:dyDescent="0.25">
      <c r="AK194" t="str">
        <v>ford maverick</v>
      </c>
      <c r="AL194" s="7">
        <v>24</v>
      </c>
      <c r="AM194" s="7">
        <v>21.539731893392151</v>
      </c>
      <c r="AN194" s="7">
        <v>2.4602681066078489</v>
      </c>
      <c r="AO194" s="7">
        <v>3.4789421341587426E-2</v>
      </c>
      <c r="AP194" s="7">
        <v>0.81643234827063926</v>
      </c>
      <c r="AQ194" s="7">
        <v>1.4132422684014045E-3</v>
      </c>
      <c r="AR194" s="7">
        <v>-8.0016051321401133E-2</v>
      </c>
      <c r="AS194" s="7">
        <v>-3.1377572652116069E-2</v>
      </c>
      <c r="AT194" s="7">
        <v>0.90356646035067023</v>
      </c>
      <c r="AU194" s="7">
        <v>2.5489444075794121</v>
      </c>
    </row>
    <row r="195" spans="37:47" x14ac:dyDescent="0.25">
      <c r="AK195" t="str">
        <v>amc hornet</v>
      </c>
      <c r="AL195" s="7">
        <v>22.5</v>
      </c>
      <c r="AM195" s="7">
        <v>21.023982403906754</v>
      </c>
      <c r="AN195" s="7">
        <v>1.4760175960932465</v>
      </c>
      <c r="AO195" s="7">
        <v>3.2808881221181266E-2</v>
      </c>
      <c r="AP195" s="7">
        <v>0.48931010929769164</v>
      </c>
      <c r="AQ195" s="7">
        <v>4.7774766919710722E-4</v>
      </c>
      <c r="AR195" s="7">
        <v>-8.0016051321401133E-2</v>
      </c>
      <c r="AS195" s="7">
        <v>-2.8119699994223715E-2</v>
      </c>
      <c r="AT195" s="7">
        <v>0.69950704735384306</v>
      </c>
      <c r="AU195" s="7">
        <v>1.5260867965339415</v>
      </c>
    </row>
    <row r="196" spans="37:47" x14ac:dyDescent="0.25">
      <c r="AK196" t="str">
        <v>chevrolet chevette</v>
      </c>
      <c r="AL196" s="7">
        <v>29</v>
      </c>
      <c r="AM196" s="7">
        <v>26.957441914013906</v>
      </c>
      <c r="AN196" s="7">
        <v>2.0425580859860943</v>
      </c>
      <c r="AO196" s="7">
        <v>4.3907903822605801E-2</v>
      </c>
      <c r="AP196" s="7">
        <v>0.68104115262367493</v>
      </c>
      <c r="AQ196" s="7">
        <v>1.2529702681123756E-3</v>
      </c>
      <c r="AR196" s="7">
        <v>-1.5986830666930081E-2</v>
      </c>
      <c r="AS196" s="7">
        <v>-2.6512351797492825E-2</v>
      </c>
      <c r="AT196" s="7">
        <v>0.82525217517052019</v>
      </c>
      <c r="AU196" s="7">
        <v>2.1363612293758742</v>
      </c>
    </row>
    <row r="197" spans="37:47" x14ac:dyDescent="0.25">
      <c r="AK197" t="str">
        <v>chevrolet woody</v>
      </c>
      <c r="AL197" s="7">
        <v>24.5</v>
      </c>
      <c r="AM197" s="7">
        <v>26.174383518035512</v>
      </c>
      <c r="AN197" s="7">
        <v>-1.674383518035512</v>
      </c>
      <c r="AO197" s="7">
        <v>4.1334985344032231E-2</v>
      </c>
      <c r="AP197" s="7">
        <v>-0.55753264896976451</v>
      </c>
      <c r="AQ197" s="7">
        <v>7.8839270533019774E-4</v>
      </c>
      <c r="AR197" s="7">
        <v>-9.5918369045287465E-3</v>
      </c>
      <c r="AS197" s="7">
        <v>-2.0495322425387076E-2</v>
      </c>
      <c r="AT197" s="7">
        <v>0.74668108920057996</v>
      </c>
      <c r="AU197" s="7">
        <v>-1.7465783067471083</v>
      </c>
    </row>
    <row r="198" spans="37:47" x14ac:dyDescent="0.25">
      <c r="AK198" t="str">
        <v>vw rabbit</v>
      </c>
      <c r="AL198" s="7">
        <v>29</v>
      </c>
      <c r="AM198" s="7">
        <v>29.09935525028073</v>
      </c>
      <c r="AN198" s="7">
        <v>-9.9355250280730445E-2</v>
      </c>
      <c r="AO198" s="7">
        <v>4.393457692484759E-2</v>
      </c>
      <c r="AP198" s="7">
        <v>-3.3128045912269553E-2</v>
      </c>
      <c r="AQ198" s="7">
        <v>2.9666174993551399E-6</v>
      </c>
      <c r="AR198" s="7">
        <v>-3.1972353893137463E-3</v>
      </c>
      <c r="AS198" s="7">
        <v>-1.3087490477449268E-2</v>
      </c>
      <c r="AT198" s="7">
        <v>0.18201111480420518</v>
      </c>
      <c r="AU198" s="7">
        <v>-0.10392097432114804</v>
      </c>
    </row>
    <row r="199" spans="37:47" x14ac:dyDescent="0.25">
      <c r="AK199" t="str">
        <v>honda civic</v>
      </c>
      <c r="AL199" s="7">
        <v>33</v>
      </c>
      <c r="AM199" s="7">
        <v>30.216341400787364</v>
      </c>
      <c r="AN199" s="7">
        <v>2.7836585992126359</v>
      </c>
      <c r="AO199" s="7">
        <v>4.5682451098333909E-2</v>
      </c>
      <c r="AP199" s="7">
        <v>0.92900557209987766</v>
      </c>
      <c r="AQ199" s="7">
        <v>2.430212241802746E-3</v>
      </c>
      <c r="AR199" s="7">
        <v>3.1972353893138855E-3</v>
      </c>
      <c r="AS199" s="7">
        <v>-1.2115968549611986E-2</v>
      </c>
      <c r="AT199" s="7">
        <v>0.96384935135106964</v>
      </c>
      <c r="AU199" s="7">
        <v>2.9169102071070339</v>
      </c>
    </row>
    <row r="200" spans="37:47" x14ac:dyDescent="0.25">
      <c r="AK200" t="str">
        <v>dodge aspen se</v>
      </c>
      <c r="AL200" s="7">
        <v>20</v>
      </c>
      <c r="AM200" s="7">
        <v>17.995784842215272</v>
      </c>
      <c r="AN200" s="7">
        <v>2.0042151577847278</v>
      </c>
      <c r="AO200" s="7">
        <v>3.6041566214087523E-2</v>
      </c>
      <c r="AP200" s="7">
        <v>0.66552441488229708</v>
      </c>
      <c r="AQ200" s="7">
        <v>9.7414680643075503E-4</v>
      </c>
      <c r="AR200" s="7">
        <v>3.1972353893138855E-3</v>
      </c>
      <c r="AS200" s="7">
        <v>-1.1623375752352078E-2</v>
      </c>
      <c r="AT200" s="7">
        <v>0.81579679754354095</v>
      </c>
      <c r="AU200" s="7">
        <v>2.0791510168267773</v>
      </c>
    </row>
    <row r="201" spans="37:47" x14ac:dyDescent="0.25">
      <c r="AK201" t="str">
        <v>ford granada ghia</v>
      </c>
      <c r="AL201" s="7">
        <v>18</v>
      </c>
      <c r="AM201" s="7">
        <v>18.742861185557167</v>
      </c>
      <c r="AN201" s="7">
        <v>-0.7428611855571674</v>
      </c>
      <c r="AO201" s="7">
        <v>4.7455102359536781E-2</v>
      </c>
      <c r="AP201" s="7">
        <v>-0.24814969353100894</v>
      </c>
      <c r="AQ201" s="7">
        <v>1.804579520529167E-4</v>
      </c>
      <c r="AR201" s="7">
        <v>3.1972353893138855E-3</v>
      </c>
      <c r="AS201" s="7">
        <v>-9.0731992161399936E-3</v>
      </c>
      <c r="AT201" s="7">
        <v>0.49814625716852368</v>
      </c>
      <c r="AU201" s="7">
        <v>-0.77986999604669482</v>
      </c>
    </row>
    <row r="202" spans="37:47" x14ac:dyDescent="0.25">
      <c r="AK202" t="str">
        <v>pontiac ventura sj</v>
      </c>
      <c r="AL202" s="7">
        <v>18.5</v>
      </c>
      <c r="AM202" s="7">
        <v>17.863800380370556</v>
      </c>
      <c r="AN202" s="7">
        <v>0.63619961962944416</v>
      </c>
      <c r="AO202" s="7">
        <v>3.2675410542189164E-2</v>
      </c>
      <c r="AP202" s="7">
        <v>0.21089005247032522</v>
      </c>
      <c r="AQ202" s="7">
        <v>8.8371472904510444E-5</v>
      </c>
      <c r="AR202" s="7">
        <v>3.1972353893138855E-3</v>
      </c>
      <c r="AS202" s="7">
        <v>2.4603534850325339E-3</v>
      </c>
      <c r="AT202" s="7">
        <v>0.45922766953911348</v>
      </c>
      <c r="AU202" s="7">
        <v>0.65768990736195021</v>
      </c>
    </row>
    <row r="203" spans="37:47" x14ac:dyDescent="0.25">
      <c r="AK203" t="str">
        <v>amc pacer d/l</v>
      </c>
      <c r="AL203" s="7">
        <v>17.5</v>
      </c>
      <c r="AM203" s="7">
        <v>20.395962805706446</v>
      </c>
      <c r="AN203" s="7">
        <v>-2.8959628057064464</v>
      </c>
      <c r="AO203" s="7">
        <v>3.2246727730245492E-2</v>
      </c>
      <c r="AP203" s="7">
        <v>-0.95975295748031186</v>
      </c>
      <c r="AQ203" s="7">
        <v>1.8054730036373983E-3</v>
      </c>
      <c r="AR203" s="7">
        <v>3.1972353893138855E-3</v>
      </c>
      <c r="AS203" s="7">
        <v>9.7946834914373372E-3</v>
      </c>
      <c r="AT203" s="7">
        <v>0.9796698206438289</v>
      </c>
      <c r="AU203" s="7">
        <v>-2.9924598435242666</v>
      </c>
    </row>
    <row r="204" spans="37:47" x14ac:dyDescent="0.25">
      <c r="AK204" t="str">
        <v>volkswagen rabbit</v>
      </c>
      <c r="AL204" s="7">
        <v>29.5</v>
      </c>
      <c r="AM204" s="7">
        <v>29.65020949522027</v>
      </c>
      <c r="AN204" s="7">
        <v>-0.15020949522027038</v>
      </c>
      <c r="AO204" s="7">
        <v>4.6489794191789918E-2</v>
      </c>
      <c r="AP204" s="7">
        <v>-5.0151452692643997E-2</v>
      </c>
      <c r="AQ204" s="7">
        <v>7.2135723349850473E-6</v>
      </c>
      <c r="AR204" s="7">
        <v>3.1972353893138855E-3</v>
      </c>
      <c r="AS204" s="7">
        <v>1.3677785391091995E-2</v>
      </c>
      <c r="AT204" s="7">
        <v>0.22394520020005787</v>
      </c>
      <c r="AU204" s="7">
        <v>-0.15753318035327213</v>
      </c>
    </row>
    <row r="205" spans="37:47" x14ac:dyDescent="0.25">
      <c r="AK205" t="str">
        <v>datsun b-210</v>
      </c>
      <c r="AL205" s="7">
        <v>32</v>
      </c>
      <c r="AM205" s="7">
        <v>28.952976682629398</v>
      </c>
      <c r="AN205" s="7">
        <v>3.0470233173706021</v>
      </c>
      <c r="AO205" s="7">
        <v>4.4040272230168237E-2</v>
      </c>
      <c r="AP205" s="7">
        <v>1.0160259092109321</v>
      </c>
      <c r="AQ205" s="7">
        <v>2.7975061003270257E-3</v>
      </c>
      <c r="AR205" s="7">
        <v>3.1972353893138855E-3</v>
      </c>
      <c r="AS205" s="7">
        <v>1.5048430823993899E-2</v>
      </c>
      <c r="AT205" s="7">
        <v>1.007981105582308</v>
      </c>
      <c r="AU205" s="7">
        <v>3.1873971558185135</v>
      </c>
    </row>
    <row r="206" spans="37:47" x14ac:dyDescent="0.25">
      <c r="AK206" t="str">
        <v>toyota corolla</v>
      </c>
      <c r="AL206" s="7">
        <v>28</v>
      </c>
      <c r="AM206" s="7">
        <v>28.03634843636743</v>
      </c>
      <c r="AN206" s="7">
        <v>-3.6348436367429571E-2</v>
      </c>
      <c r="AO206" s="7">
        <v>4.3350610044236071E-2</v>
      </c>
      <c r="AP206" s="7">
        <v>-1.2115968549611986E-2</v>
      </c>
      <c r="AQ206" s="7">
        <v>3.9129992780615229E-7</v>
      </c>
      <c r="AR206" s="7">
        <v>3.1972353893138855E-3</v>
      </c>
      <c r="AS206" s="7">
        <v>1.6521563559615881E-2</v>
      </c>
      <c r="AT206" s="7">
        <v>0.11007256038455718</v>
      </c>
      <c r="AU206" s="7">
        <v>-3.7995567392888153E-2</v>
      </c>
    </row>
    <row r="207" spans="37:47" x14ac:dyDescent="0.25">
      <c r="AK207" t="str">
        <v>ford pinto</v>
      </c>
      <c r="AL207" s="7">
        <v>26.5</v>
      </c>
      <c r="AM207" s="7">
        <v>23.949159178931204</v>
      </c>
      <c r="AN207" s="7">
        <v>2.5508408210687961</v>
      </c>
      <c r="AO207" s="7">
        <v>3.6411444622850564E-2</v>
      </c>
      <c r="AP207" s="7">
        <v>0.84720077695598384</v>
      </c>
      <c r="AQ207" s="7">
        <v>1.595401683831486E-3</v>
      </c>
      <c r="AR207" s="7">
        <v>3.1972353893138855E-3</v>
      </c>
      <c r="AS207" s="7">
        <v>1.9978196923054012E-2</v>
      </c>
      <c r="AT207" s="7">
        <v>0.92043510197948442</v>
      </c>
      <c r="AU207" s="7">
        <v>2.6472303005616276</v>
      </c>
    </row>
    <row r="208" spans="37:47" x14ac:dyDescent="0.25">
      <c r="AK208" t="str">
        <v>volvo 245</v>
      </c>
      <c r="AL208" s="7">
        <v>20</v>
      </c>
      <c r="AM208" s="7">
        <v>22.437994864630799</v>
      </c>
      <c r="AN208" s="7">
        <v>-2.4379948646307987</v>
      </c>
      <c r="AO208" s="7">
        <v>4.3042025864849058E-2</v>
      </c>
      <c r="AP208" s="7">
        <v>-0.81252205315322645</v>
      </c>
      <c r="AQ208" s="7">
        <v>1.7467117093002043E-3</v>
      </c>
      <c r="AR208" s="7">
        <v>6.0784779324276172E-2</v>
      </c>
      <c r="AS208" s="7">
        <v>2.781136326470084E-2</v>
      </c>
      <c r="AT208" s="7">
        <v>0.90140005167141324</v>
      </c>
      <c r="AU208" s="7">
        <v>-2.547650921488096</v>
      </c>
    </row>
    <row r="209" spans="37:47" x14ac:dyDescent="0.25">
      <c r="AK209" t="str">
        <v>plymouth volare premier v8</v>
      </c>
      <c r="AL209" s="7">
        <v>13</v>
      </c>
      <c r="AM209" s="7">
        <v>15.720666765769471</v>
      </c>
      <c r="AN209" s="7">
        <v>-2.7206667657694705</v>
      </c>
      <c r="AO209" s="7">
        <v>3.5371291299942126E-2</v>
      </c>
      <c r="AP209" s="7">
        <v>-0.9031170962155961</v>
      </c>
      <c r="AQ209" s="7">
        <v>1.7592596334059286E-3</v>
      </c>
      <c r="AR209" s="7">
        <v>6.7192354710227428E-2</v>
      </c>
      <c r="AS209" s="7">
        <v>3.0723966658172362E-2</v>
      </c>
      <c r="AT209" s="7">
        <v>0.95032473198144019</v>
      </c>
      <c r="AU209" s="7">
        <v>-2.8204289808416183</v>
      </c>
    </row>
    <row r="210" spans="37:47" x14ac:dyDescent="0.25">
      <c r="AK210" t="str">
        <v>peugeot 504</v>
      </c>
      <c r="AL210" s="7">
        <v>19</v>
      </c>
      <c r="AM210" s="7">
        <v>22.057707758166373</v>
      </c>
      <c r="AN210" s="7">
        <v>-3.057707758166373</v>
      </c>
      <c r="AO210" s="7">
        <v>4.7441901732412563E-2</v>
      </c>
      <c r="AP210" s="7">
        <v>-1.0214074988536541</v>
      </c>
      <c r="AQ210" s="7">
        <v>3.0564674748133577E-3</v>
      </c>
      <c r="AR210" s="7">
        <v>7.3602690030832113E-2</v>
      </c>
      <c r="AS210" s="7">
        <v>3.3677120231556792E-2</v>
      </c>
      <c r="AT210" s="7">
        <v>1.0106470693835974</v>
      </c>
      <c r="AU210" s="7">
        <v>-3.2099960765935545</v>
      </c>
    </row>
    <row r="211" spans="37:47" x14ac:dyDescent="0.25">
      <c r="AK211" t="str">
        <v>toyota mark ii</v>
      </c>
      <c r="AL211" s="7">
        <v>19</v>
      </c>
      <c r="AM211" s="7">
        <v>23.576481230185095</v>
      </c>
      <c r="AN211" s="7">
        <v>-4.5764812301850952</v>
      </c>
      <c r="AO211" s="7">
        <v>4.5101384794468423E-2</v>
      </c>
      <c r="AP211" s="7">
        <v>-1.5268692799723573</v>
      </c>
      <c r="AQ211" s="7">
        <v>6.4772014803550016E-3</v>
      </c>
      <c r="AR211" s="7">
        <v>8.0016051321400994E-2</v>
      </c>
      <c r="AS211" s="7">
        <v>3.5295875579668894E-2</v>
      </c>
      <c r="AT211" s="7">
        <v>1.2356655210745169</v>
      </c>
      <c r="AU211" s="7">
        <v>-4.7926357388214011</v>
      </c>
    </row>
    <row r="212" spans="37:47" x14ac:dyDescent="0.25">
      <c r="AK212" t="str">
        <v>mercedes-benz 280s</v>
      </c>
      <c r="AL212" s="7">
        <v>16.5</v>
      </c>
      <c r="AM212" s="7">
        <v>18.753321647338844</v>
      </c>
      <c r="AN212" s="7">
        <v>-2.2533216473388435</v>
      </c>
      <c r="AO212" s="7">
        <v>5.2143200958480455E-2</v>
      </c>
      <c r="AP212" s="7">
        <v>-0.75457189916222744</v>
      </c>
      <c r="AQ212" s="7">
        <v>1.8424991340947824E-3</v>
      </c>
      <c r="AR212" s="7">
        <v>8.6432705492186818E-2</v>
      </c>
      <c r="AS212" s="7">
        <v>4.357517290963854E-2</v>
      </c>
      <c r="AT212" s="7">
        <v>0.86866098056849972</v>
      </c>
      <c r="AU212" s="7">
        <v>-2.377280671107092</v>
      </c>
    </row>
    <row r="213" spans="37:47" x14ac:dyDescent="0.25">
      <c r="AK213" t="str">
        <v>cadillac seville</v>
      </c>
      <c r="AL213" s="7">
        <v>16.5</v>
      </c>
      <c r="AM213" s="7">
        <v>13.005717576511863</v>
      </c>
      <c r="AN213" s="7">
        <v>3.4942824234881371</v>
      </c>
      <c r="AO213" s="7">
        <v>4.5377289279871169E-2</v>
      </c>
      <c r="AP213" s="7">
        <v>1.1659795306247449</v>
      </c>
      <c r="AQ213" s="7">
        <v>3.8013662770483487E-3</v>
      </c>
      <c r="AR213" s="7">
        <v>8.6432705492186818E-2</v>
      </c>
      <c r="AS213" s="7">
        <v>4.4247006473740601E-2</v>
      </c>
      <c r="AT213" s="7">
        <v>1.0798053207058878</v>
      </c>
      <c r="AU213" s="7">
        <v>3.6603805715581514</v>
      </c>
    </row>
    <row r="214" spans="37:47" x14ac:dyDescent="0.25">
      <c r="AK214" t="str">
        <v>chevy c10</v>
      </c>
      <c r="AL214" s="7">
        <v>13</v>
      </c>
      <c r="AM214" s="7">
        <v>15.219568319798745</v>
      </c>
      <c r="AN214" s="7">
        <v>-2.2195683197987446</v>
      </c>
      <c r="AO214" s="7">
        <v>3.4025124972775156E-2</v>
      </c>
      <c r="AP214" s="7">
        <v>-0.73626542374561854</v>
      </c>
      <c r="AQ214" s="7">
        <v>1.1231914493353005E-3</v>
      </c>
      <c r="AR214" s="7">
        <v>9.9276964964338646E-2</v>
      </c>
      <c r="AS214" s="7">
        <v>5.5683358456535478E-2</v>
      </c>
      <c r="AT214" s="7">
        <v>0.85805910271124008</v>
      </c>
      <c r="AU214" s="7">
        <v>-2.2977495348791437</v>
      </c>
    </row>
    <row r="215" spans="37:47" x14ac:dyDescent="0.25">
      <c r="AK215" t="str">
        <v>ford f108</v>
      </c>
      <c r="AL215" s="7">
        <v>13</v>
      </c>
      <c r="AM215" s="7">
        <v>16.399827077898465</v>
      </c>
      <c r="AN215" s="7">
        <v>-3.3998270778984647</v>
      </c>
      <c r="AO215" s="7">
        <v>3.2249410702291689E-2</v>
      </c>
      <c r="AP215" s="7">
        <v>-1.1267405125615217</v>
      </c>
      <c r="AQ215" s="7">
        <v>2.4886122643385461E-3</v>
      </c>
      <c r="AR215" s="7">
        <v>9.9276964964338646E-2</v>
      </c>
      <c r="AS215" s="7">
        <v>6.1844508852538164E-2</v>
      </c>
      <c r="AT215" s="7">
        <v>1.0614803401672221</v>
      </c>
      <c r="AU215" s="7">
        <v>-3.5131232318501628</v>
      </c>
    </row>
    <row r="216" spans="37:47" x14ac:dyDescent="0.25">
      <c r="AK216" t="str">
        <v>dodge d100</v>
      </c>
      <c r="AL216" s="7">
        <v>13</v>
      </c>
      <c r="AM216" s="7">
        <v>16.657379044566071</v>
      </c>
      <c r="AN216" s="7">
        <v>-3.6573790445660705</v>
      </c>
      <c r="AO216" s="7">
        <v>3.7135465112778508E-2</v>
      </c>
      <c r="AP216" s="7">
        <v>-1.2151675973963221</v>
      </c>
      <c r="AQ216" s="7">
        <v>3.3500178156531464E-3</v>
      </c>
      <c r="AR216" s="7">
        <v>9.9276964964338646E-2</v>
      </c>
      <c r="AS216" s="7">
        <v>6.7796750316846358E-2</v>
      </c>
      <c r="AT216" s="7">
        <v>1.1023464053537446</v>
      </c>
      <c r="AU216" s="7">
        <v>-3.7984357217959559</v>
      </c>
    </row>
    <row r="217" spans="37:47" x14ac:dyDescent="0.25">
      <c r="AK217" t="str">
        <v>honda accord cvcc</v>
      </c>
      <c r="AL217" s="7">
        <v>31.5</v>
      </c>
      <c r="AM217" s="7">
        <v>30.140660247573571</v>
      </c>
      <c r="AN217" s="7">
        <v>1.359339752426429</v>
      </c>
      <c r="AO217" s="7">
        <v>4.7573961811810575E-2</v>
      </c>
      <c r="AP217" s="7">
        <v>0.45411013125419586</v>
      </c>
      <c r="AQ217" s="7">
        <v>6.0591474413001676E-4</v>
      </c>
      <c r="AR217" s="7">
        <v>9.9276964964338646E-2</v>
      </c>
      <c r="AS217" s="7">
        <v>7.2633416429777817E-2</v>
      </c>
      <c r="AT217" s="7">
        <v>0.67387694073487625</v>
      </c>
      <c r="AU217" s="7">
        <v>1.4272391744059372</v>
      </c>
    </row>
    <row r="218" spans="37:47" x14ac:dyDescent="0.25">
      <c r="AK218" t="str">
        <v>buick opel isuzu deluxe</v>
      </c>
      <c r="AL218" s="7">
        <v>30</v>
      </c>
      <c r="AM218" s="7">
        <v>27.328917395369253</v>
      </c>
      <c r="AN218" s="7">
        <v>2.6710826046307474</v>
      </c>
      <c r="AO218" s="7">
        <v>4.7111530230497453E-2</v>
      </c>
      <c r="AP218" s="7">
        <v>0.89210317838710018</v>
      </c>
      <c r="AQ218" s="7">
        <v>2.3145490611005772E-3</v>
      </c>
      <c r="AR218" s="7">
        <v>9.9276964964338646E-2</v>
      </c>
      <c r="AS218" s="7">
        <v>7.8125519301108906E-2</v>
      </c>
      <c r="AT218" s="7">
        <v>0.9445121377658946</v>
      </c>
      <c r="AU218" s="7">
        <v>2.8031429588783507</v>
      </c>
    </row>
    <row r="219" spans="37:47" x14ac:dyDescent="0.25">
      <c r="AK219" t="str">
        <v>renault 5 gtl</v>
      </c>
      <c r="AL219" s="7">
        <v>36</v>
      </c>
      <c r="AM219" s="7">
        <v>31.294975840484813</v>
      </c>
      <c r="AN219" s="7">
        <v>4.7050241595151867</v>
      </c>
      <c r="AO219" s="7">
        <v>5.1189340081255051E-2</v>
      </c>
      <c r="AP219" s="7">
        <v>1.5747836013923129</v>
      </c>
      <c r="AQ219" s="7">
        <v>7.8703278063428847E-3</v>
      </c>
      <c r="AR219" s="7">
        <v>9.9276964964338646E-2</v>
      </c>
      <c r="AS219" s="7">
        <v>8.1721707715661354E-2</v>
      </c>
      <c r="AT219" s="7">
        <v>1.2549038215705268</v>
      </c>
      <c r="AU219" s="7">
        <v>4.9588651964746262</v>
      </c>
    </row>
    <row r="220" spans="37:47" x14ac:dyDescent="0.25">
      <c r="AK220" t="str">
        <v>plymouth arrow gs</v>
      </c>
      <c r="AL220" s="7">
        <v>25.5</v>
      </c>
      <c r="AM220" s="7">
        <v>26.334954589920663</v>
      </c>
      <c r="AN220" s="7">
        <v>-0.83495458992066318</v>
      </c>
      <c r="AO220" s="7">
        <v>4.7857645864700191E-2</v>
      </c>
      <c r="AP220" s="7">
        <v>-0.27897206548305931</v>
      </c>
      <c r="AQ220" s="7">
        <v>2.3010283096977808E-4</v>
      </c>
      <c r="AR220" s="7">
        <v>9.9276964964338646E-2</v>
      </c>
      <c r="AS220" s="7">
        <v>8.7513237424759235E-2</v>
      </c>
      <c r="AT220" s="7">
        <v>0.52817806228871278</v>
      </c>
      <c r="AU220" s="7">
        <v>-0.87692201307328443</v>
      </c>
    </row>
    <row r="221" spans="37:47" x14ac:dyDescent="0.25">
      <c r="AK221" t="str">
        <v>datsun f-10 hatchback</v>
      </c>
      <c r="AL221" s="7">
        <v>33.5</v>
      </c>
      <c r="AM221" s="7">
        <v>30.614518345178162</v>
      </c>
      <c r="AN221" s="7">
        <v>2.885481654821838</v>
      </c>
      <c r="AO221" s="7">
        <v>4.7431289784227601E-2</v>
      </c>
      <c r="AP221" s="7">
        <v>0.96387111404314918</v>
      </c>
      <c r="AQ221" s="7">
        <v>2.7211822643756441E-3</v>
      </c>
      <c r="AR221" s="7">
        <v>9.9276964964338646E-2</v>
      </c>
      <c r="AS221" s="7">
        <v>0.12614744788801885</v>
      </c>
      <c r="AT221" s="7">
        <v>0.98176937925520436</v>
      </c>
      <c r="AU221" s="7">
        <v>3.0291585518993474</v>
      </c>
    </row>
    <row r="222" spans="37:47" x14ac:dyDescent="0.25">
      <c r="AK222" t="str">
        <v>chevrolet caprice classic</v>
      </c>
      <c r="AL222" s="7">
        <v>17.5</v>
      </c>
      <c r="AM222" s="7">
        <v>17.539340232312689</v>
      </c>
      <c r="AN222" s="7">
        <v>-3.9340232312689238E-2</v>
      </c>
      <c r="AO222" s="7">
        <v>3.9585539885507684E-2</v>
      </c>
      <c r="AP222" s="7">
        <v>-1.3087490477449268E-2</v>
      </c>
      <c r="AQ222" s="7">
        <v>4.1528067158141236E-7</v>
      </c>
      <c r="AR222" s="7">
        <v>9.9276964964338646E-2</v>
      </c>
      <c r="AS222" s="7">
        <v>0.12974540077511315</v>
      </c>
      <c r="AT222" s="7">
        <v>0.11440057026715063</v>
      </c>
      <c r="AU222" s="7">
        <v>-4.0961724283076116E-2</v>
      </c>
    </row>
    <row r="223" spans="37:47" x14ac:dyDescent="0.25">
      <c r="AK223" t="str">
        <v>oldsmobile cutlass supreme</v>
      </c>
      <c r="AL223" s="7">
        <v>17</v>
      </c>
      <c r="AM223" s="7">
        <v>17.196219619965625</v>
      </c>
      <c r="AN223" s="7">
        <v>-0.19621961996562476</v>
      </c>
      <c r="AO223" s="7">
        <v>5.1387654780163682E-2</v>
      </c>
      <c r="AP223" s="7">
        <v>-6.5682072482442247E-2</v>
      </c>
      <c r="AQ223" s="7">
        <v>1.374721736872366E-5</v>
      </c>
      <c r="AR223" s="7">
        <v>9.9276964964338646E-2</v>
      </c>
      <c r="AS223" s="7">
        <v>0.12999171896584169</v>
      </c>
      <c r="AT223" s="7">
        <v>0.25628513901988592</v>
      </c>
      <c r="AU223" s="7">
        <v>-0.20684911065557746</v>
      </c>
    </row>
    <row r="224" spans="37:47" x14ac:dyDescent="0.25">
      <c r="AK224" t="str">
        <v>dodge monaco brougham</v>
      </c>
      <c r="AL224" s="7">
        <v>15.5</v>
      </c>
      <c r="AM224" s="7">
        <v>16.222879732382339</v>
      </c>
      <c r="AN224" s="7">
        <v>-0.7228797323823386</v>
      </c>
      <c r="AO224" s="7">
        <v>4.1156840419458537E-2</v>
      </c>
      <c r="AP224" s="7">
        <v>-0.24068058859416844</v>
      </c>
      <c r="AQ224" s="7">
        <v>1.4626070451054007E-4</v>
      </c>
      <c r="AR224" s="7">
        <v>9.9276964964338646E-2</v>
      </c>
      <c r="AS224" s="7">
        <v>0.13985011155836161</v>
      </c>
      <c r="AT224" s="7">
        <v>0.49059207962845103</v>
      </c>
      <c r="AU224" s="7">
        <v>-0.75390821236976013</v>
      </c>
    </row>
    <row r="225" spans="37:47" x14ac:dyDescent="0.25">
      <c r="AK225" t="str">
        <v>mercury cougar brougham</v>
      </c>
      <c r="AL225" s="7">
        <v>15</v>
      </c>
      <c r="AM225" s="7">
        <v>15.681613221342358</v>
      </c>
      <c r="AN225" s="7">
        <v>-0.68161322134235824</v>
      </c>
      <c r="AO225" s="7">
        <v>4.7817128542920702E-2</v>
      </c>
      <c r="AP225" s="7">
        <v>-0.22773334599687459</v>
      </c>
      <c r="AQ225" s="7">
        <v>1.5320306744409423E-4</v>
      </c>
      <c r="AR225" s="7">
        <v>0.17027239685422862</v>
      </c>
      <c r="AS225" s="7">
        <v>0.15513508303132956</v>
      </c>
      <c r="AT225" s="7">
        <v>0.47721415108614978</v>
      </c>
      <c r="AU225" s="7">
        <v>-0.71584276694593196</v>
      </c>
    </row>
    <row r="226" spans="37:47" x14ac:dyDescent="0.25">
      <c r="AK226" t="str">
        <v>chevrolet concours</v>
      </c>
      <c r="AL226" s="7">
        <v>17.5</v>
      </c>
      <c r="AM226" s="7">
        <v>19.930406812128666</v>
      </c>
      <c r="AN226" s="7">
        <v>-2.4304068121286662</v>
      </c>
      <c r="AO226" s="7">
        <v>3.9112251127676453E-2</v>
      </c>
      <c r="AP226" s="7">
        <v>-0.80833512211099245</v>
      </c>
      <c r="AQ226" s="7">
        <v>1.5644948348165081E-3</v>
      </c>
      <c r="AR226" s="7">
        <v>0.17676385996282321</v>
      </c>
      <c r="AS226" s="7">
        <v>0.17184976624815418</v>
      </c>
      <c r="AT226" s="7">
        <v>0.89907459207286711</v>
      </c>
      <c r="AU226" s="7">
        <v>-2.5293347896056928</v>
      </c>
    </row>
    <row r="227" spans="37:47" x14ac:dyDescent="0.25">
      <c r="AK227" t="str">
        <v>buick skylark</v>
      </c>
      <c r="AL227" s="7">
        <v>20.5</v>
      </c>
      <c r="AM227" s="7">
        <v>20.492603385332458</v>
      </c>
      <c r="AN227" s="7">
        <v>7.3966146675417122E-3</v>
      </c>
      <c r="AO227" s="7">
        <v>3.9342493844486986E-2</v>
      </c>
      <c r="AP227" s="7">
        <v>2.4603534850325339E-3</v>
      </c>
      <c r="AQ227" s="7">
        <v>1.4582748947170539E-8</v>
      </c>
      <c r="AR227" s="7">
        <v>0.18326278037660315</v>
      </c>
      <c r="AS227" s="7">
        <v>0.17289252435540003</v>
      </c>
      <c r="AT227" s="7">
        <v>4.9601950415608997E-2</v>
      </c>
      <c r="AU227" s="7">
        <v>7.6995335175618082E-3</v>
      </c>
    </row>
    <row r="228" spans="37:47" x14ac:dyDescent="0.25">
      <c r="AK228" t="str">
        <v>plymouth volare custom</v>
      </c>
      <c r="AL228" s="7">
        <v>19</v>
      </c>
      <c r="AM228" s="7">
        <v>19.535807074001234</v>
      </c>
      <c r="AN228" s="7">
        <v>-0.53580707400123373</v>
      </c>
      <c r="AO228" s="7">
        <v>4.4967132968366005E-2</v>
      </c>
      <c r="AP228" s="7">
        <v>-0.17875083851948473</v>
      </c>
      <c r="AQ228" s="7">
        <v>8.8496100589804255E-5</v>
      </c>
      <c r="AR228" s="7">
        <v>0.18326278037660315</v>
      </c>
      <c r="AS228" s="7">
        <v>0.18042945365691565</v>
      </c>
      <c r="AT228" s="7">
        <v>0.42278935478496232</v>
      </c>
      <c r="AU228" s="7">
        <v>-0.56103521930778322</v>
      </c>
    </row>
    <row r="229" spans="37:47" x14ac:dyDescent="0.25">
      <c r="AK229" t="str">
        <v>ford granada</v>
      </c>
      <c r="AL229" s="7">
        <v>18.5</v>
      </c>
      <c r="AM229" s="7">
        <v>20.099927447495574</v>
      </c>
      <c r="AN229" s="7">
        <v>-1.599927447495574</v>
      </c>
      <c r="AO229" s="7">
        <v>4.3655720287064367E-2</v>
      </c>
      <c r="AP229" s="7">
        <v>-0.53338642732774066</v>
      </c>
      <c r="AQ229" s="7">
        <v>7.6394464843268105E-4</v>
      </c>
      <c r="AR229" s="7">
        <v>0.19628416463254303</v>
      </c>
      <c r="AS229" s="7">
        <v>0.18470642599231274</v>
      </c>
      <c r="AT229" s="7">
        <v>0.73033309340857655</v>
      </c>
      <c r="AU229" s="7">
        <v>-1.672961799882174</v>
      </c>
    </row>
    <row r="230" spans="37:47" x14ac:dyDescent="0.25">
      <c r="AK230" t="str">
        <v>pontiac grand prix lj</v>
      </c>
      <c r="AL230" s="7">
        <v>16</v>
      </c>
      <c r="AM230" s="7">
        <v>15.249539844799058</v>
      </c>
      <c r="AN230" s="7">
        <v>0.75046015520094222</v>
      </c>
      <c r="AO230" s="7">
        <v>5.057933115994296E-2</v>
      </c>
      <c r="AP230" s="7">
        <v>0.25110022474118066</v>
      </c>
      <c r="AQ230" s="7">
        <v>1.9758759791664929E-4</v>
      </c>
      <c r="AR230" s="7">
        <v>0.19628416463254303</v>
      </c>
      <c r="AS230" s="7">
        <v>0.18658521528183183</v>
      </c>
      <c r="AT230" s="7">
        <v>0.50109901690302749</v>
      </c>
      <c r="AU230" s="7">
        <v>0.7904400860767099</v>
      </c>
    </row>
    <row r="231" spans="37:47" x14ac:dyDescent="0.25">
      <c r="AK231" t="str">
        <v>chevrolet monte carlo landau</v>
      </c>
      <c r="AL231" s="7">
        <v>15.5</v>
      </c>
      <c r="AM231" s="7">
        <v>15.690386193165891</v>
      </c>
      <c r="AN231" s="7">
        <v>-0.19038619316589056</v>
      </c>
      <c r="AO231" s="7">
        <v>4.6052506658354996E-2</v>
      </c>
      <c r="AP231" s="7">
        <v>-6.3550945766768785E-2</v>
      </c>
      <c r="AQ231" s="7">
        <v>1.1468956821846464E-5</v>
      </c>
      <c r="AR231" s="7">
        <v>0.19628416463254303</v>
      </c>
      <c r="AS231" s="7">
        <v>0.18988660114211794</v>
      </c>
      <c r="AT231" s="7">
        <v>0.25209312915422505</v>
      </c>
      <c r="AU231" s="7">
        <v>-0.19957722463211716</v>
      </c>
    </row>
    <row r="232" spans="37:47" x14ac:dyDescent="0.25">
      <c r="AK232" t="str">
        <v>chrysler cordoba</v>
      </c>
      <c r="AL232" s="7">
        <v>15.5</v>
      </c>
      <c r="AM232" s="7">
        <v>14.555528015676385</v>
      </c>
      <c r="AN232" s="7">
        <v>0.94447198432361468</v>
      </c>
      <c r="AO232" s="7">
        <v>5.5585416560546497E-2</v>
      </c>
      <c r="AP232" s="7">
        <v>0.31685206458484116</v>
      </c>
      <c r="AQ232" s="7">
        <v>3.4758605236243426E-4</v>
      </c>
      <c r="AR232" s="7">
        <v>0.19628416463254303</v>
      </c>
      <c r="AS232" s="7">
        <v>0.19800523327850184</v>
      </c>
      <c r="AT232" s="7">
        <v>0.56289614014029365</v>
      </c>
      <c r="AU232" s="7">
        <v>1.0000607793284515</v>
      </c>
    </row>
    <row r="233" spans="37:47" x14ac:dyDescent="0.25">
      <c r="AK233" t="str">
        <v>ford thunderbird</v>
      </c>
      <c r="AL233" s="7">
        <v>16</v>
      </c>
      <c r="AM233" s="7">
        <v>15.17058862962041</v>
      </c>
      <c r="AN233" s="7">
        <v>0.82941137037959045</v>
      </c>
      <c r="AO233" s="7">
        <v>4.3566983395152824E-2</v>
      </c>
      <c r="AP233" s="7">
        <v>0.27649769074526315</v>
      </c>
      <c r="AQ233" s="7">
        <v>2.0485049891335791E-4</v>
      </c>
      <c r="AR233" s="7">
        <v>0.19628416463254303</v>
      </c>
      <c r="AS233" s="7">
        <v>0.19993267130990572</v>
      </c>
      <c r="AT233" s="7">
        <v>0.52583047719323306</v>
      </c>
      <c r="AU233" s="7">
        <v>0.86719232395786683</v>
      </c>
    </row>
    <row r="234" spans="37:47" x14ac:dyDescent="0.25">
      <c r="AK234" t="str">
        <v>volkswagen rabbit custom</v>
      </c>
      <c r="AL234" s="7">
        <v>29</v>
      </c>
      <c r="AM234" s="7">
        <v>30.387966595675568</v>
      </c>
      <c r="AN234" s="7">
        <v>-1.387966595675568</v>
      </c>
      <c r="AO234" s="7">
        <v>5.2926272357712363E-2</v>
      </c>
      <c r="AP234" s="7">
        <v>-0.46498176646527745</v>
      </c>
      <c r="AQ234" s="7">
        <v>7.1073948431203671E-4</v>
      </c>
      <c r="AR234" s="7">
        <v>0.19628416463254303</v>
      </c>
      <c r="AS234" s="7">
        <v>0.20398710450777527</v>
      </c>
      <c r="AT234" s="7">
        <v>0.68189571524191106</v>
      </c>
      <c r="AU234" s="7">
        <v>-1.4655317270080654</v>
      </c>
    </row>
    <row r="235" spans="37:47" x14ac:dyDescent="0.25">
      <c r="AK235" t="str">
        <v>pontiac sunbird coupe</v>
      </c>
      <c r="AL235" s="7">
        <v>24.5</v>
      </c>
      <c r="AM235" s="7">
        <v>24.236989814897633</v>
      </c>
      <c r="AN235" s="7">
        <v>0.26301018510236673</v>
      </c>
      <c r="AO235" s="7">
        <v>3.9946930254294279E-2</v>
      </c>
      <c r="AP235" s="7">
        <v>8.7513237424759235E-2</v>
      </c>
      <c r="AQ235" s="7">
        <v>1.8745056327978849E-5</v>
      </c>
      <c r="AR235" s="7">
        <v>0.19628416463254303</v>
      </c>
      <c r="AS235" s="7">
        <v>0.21089005247032522</v>
      </c>
      <c r="AT235" s="7">
        <v>0.29582636364049641</v>
      </c>
      <c r="AU235" s="7">
        <v>0.27395379837911632</v>
      </c>
    </row>
    <row r="236" spans="37:47" x14ac:dyDescent="0.25">
      <c r="AK236" t="str">
        <v>toyota corolla liftback</v>
      </c>
      <c r="AL236" s="7">
        <v>26</v>
      </c>
      <c r="AM236" s="7">
        <v>28.913077108573098</v>
      </c>
      <c r="AN236" s="7">
        <v>-2.9130771085730984</v>
      </c>
      <c r="AO236" s="7">
        <v>4.7359583478988977E-2</v>
      </c>
      <c r="AP236" s="7">
        <v>-0.97305252208919468</v>
      </c>
      <c r="AQ236" s="7">
        <v>2.7688696773164527E-3</v>
      </c>
      <c r="AR236" s="7">
        <v>0.19628416463254303</v>
      </c>
      <c r="AS236" s="7">
        <v>0.21951048018534694</v>
      </c>
      <c r="AT236" s="7">
        <v>0.9864342462066058</v>
      </c>
      <c r="AU236" s="7">
        <v>-3.0578978784161723</v>
      </c>
    </row>
    <row r="237" spans="37:47" x14ac:dyDescent="0.25">
      <c r="AK237" t="str">
        <v>ford mustang ii 2+2</v>
      </c>
      <c r="AL237" s="7">
        <v>25.5</v>
      </c>
      <c r="AM237" s="7">
        <v>24.144803738717336</v>
      </c>
      <c r="AN237" s="7">
        <v>1.3551962612826642</v>
      </c>
      <c r="AO237" s="7">
        <v>3.9787848643024322E-2</v>
      </c>
      <c r="AP237" s="7">
        <v>0.45088667377233937</v>
      </c>
      <c r="AQ237" s="7">
        <v>4.9552907027581336E-4</v>
      </c>
      <c r="AR237" s="7">
        <v>0.19628416463254303</v>
      </c>
      <c r="AS237" s="7">
        <v>0.22330383955665867</v>
      </c>
      <c r="AT237" s="7">
        <v>0.67148095562892873</v>
      </c>
      <c r="AU237" s="7">
        <v>1.4113508763323765</v>
      </c>
    </row>
    <row r="238" spans="37:47" x14ac:dyDescent="0.25">
      <c r="AK238" t="str">
        <v>chevrolet chevette</v>
      </c>
      <c r="AL238" s="7">
        <v>30.5</v>
      </c>
      <c r="AM238" s="7">
        <v>28.131520938551596</v>
      </c>
      <c r="AN238" s="7">
        <v>2.3684790614484044</v>
      </c>
      <c r="AO238" s="7">
        <v>4.8191117508989904E-2</v>
      </c>
      <c r="AP238" s="7">
        <v>0.7914864360088929</v>
      </c>
      <c r="AQ238" s="7">
        <v>1.8657578421682358E-3</v>
      </c>
      <c r="AR238" s="7">
        <v>0.19628416463254303</v>
      </c>
      <c r="AS238" s="7">
        <v>0.22503211391071432</v>
      </c>
      <c r="AT238" s="7">
        <v>0.88965523435142724</v>
      </c>
      <c r="AU238" s="7">
        <v>2.4883977288064179</v>
      </c>
    </row>
    <row r="239" spans="37:47" x14ac:dyDescent="0.25">
      <c r="AK239" t="str">
        <v>dodge colt m/m</v>
      </c>
      <c r="AL239" s="7">
        <v>33.5</v>
      </c>
      <c r="AM239" s="7">
        <v>27.685272868717973</v>
      </c>
      <c r="AN239" s="7">
        <v>5.8147271312820266</v>
      </c>
      <c r="AO239" s="7">
        <v>4.9737029725843013E-2</v>
      </c>
      <c r="AP239" s="7">
        <v>1.9447162353916565</v>
      </c>
      <c r="AQ239" s="7">
        <v>1.1643930329232586E-2</v>
      </c>
      <c r="AR239" s="7">
        <v>0.26194045846440461</v>
      </c>
      <c r="AS239" s="7">
        <v>0.22610292454868022</v>
      </c>
      <c r="AT239" s="7">
        <v>1.3945308298462449</v>
      </c>
      <c r="AU239" s="7">
        <v>6.1190715761600609</v>
      </c>
    </row>
    <row r="240" spans="37:47" x14ac:dyDescent="0.25">
      <c r="AK240" t="str">
        <v>subaru dl</v>
      </c>
      <c r="AL240" s="7">
        <v>30</v>
      </c>
      <c r="AM240" s="7">
        <v>30.460695256434121</v>
      </c>
      <c r="AN240" s="7">
        <v>-0.46069525643412135</v>
      </c>
      <c r="AO240" s="7">
        <v>4.7623568685319598E-2</v>
      </c>
      <c r="AP240" s="7">
        <v>-0.15390694742658717</v>
      </c>
      <c r="AQ240" s="7">
        <v>6.9675617228154668E-5</v>
      </c>
      <c r="AR240" s="7">
        <v>0.26856388625555183</v>
      </c>
      <c r="AS240" s="7">
        <v>0.2334274183109103</v>
      </c>
      <c r="AT240" s="7">
        <v>0.3923097595352264</v>
      </c>
      <c r="AU240" s="7">
        <v>-0.4837323155909769</v>
      </c>
    </row>
    <row r="241" spans="37:47" x14ac:dyDescent="0.25">
      <c r="AK241" t="str">
        <v>volkswagen dasher</v>
      </c>
      <c r="AL241" s="7">
        <v>30.5</v>
      </c>
      <c r="AM241" s="7">
        <v>29.122139191896384</v>
      </c>
      <c r="AN241" s="7">
        <v>1.3778608081036161</v>
      </c>
      <c r="AO241" s="7">
        <v>4.9776381999582162E-2</v>
      </c>
      <c r="AP241" s="7">
        <v>0.46083052696320198</v>
      </c>
      <c r="AQ241" s="7">
        <v>6.5438157939957074E-4</v>
      </c>
      <c r="AR241" s="7">
        <v>0.26856388625555183</v>
      </c>
      <c r="AS241" s="7">
        <v>0.24039254577346184</v>
      </c>
      <c r="AT241" s="7">
        <v>0.67884499479866678</v>
      </c>
      <c r="AU241" s="7">
        <v>1.4500384772618966</v>
      </c>
    </row>
    <row r="242" spans="37:47" x14ac:dyDescent="0.25">
      <c r="AK242" t="str">
        <v>datsun 810</v>
      </c>
      <c r="AL242" s="7">
        <v>22</v>
      </c>
      <c r="AM242" s="7">
        <v>25.771055317280982</v>
      </c>
      <c r="AN242" s="7">
        <v>-3.7710553172809824</v>
      </c>
      <c r="AO242" s="7">
        <v>4.876062171298863E-2</v>
      </c>
      <c r="AP242" s="7">
        <v>-1.260569504380137</v>
      </c>
      <c r="AQ242" s="7">
        <v>4.791418281541465E-3</v>
      </c>
      <c r="AR242" s="7">
        <v>0.2818464860769076</v>
      </c>
      <c r="AS242" s="7">
        <v>0.24386567077228774</v>
      </c>
      <c r="AT242" s="7">
        <v>1.1227508647870805</v>
      </c>
      <c r="AU242" s="7">
        <v>-3.9643599743230626</v>
      </c>
    </row>
    <row r="243" spans="37:47" x14ac:dyDescent="0.25">
      <c r="AK243" t="str">
        <v>bmw 320i</v>
      </c>
      <c r="AL243" s="7">
        <v>21.5</v>
      </c>
      <c r="AM243" s="7">
        <v>26.526616427185193</v>
      </c>
      <c r="AN243" s="7">
        <v>-5.0266164271851927</v>
      </c>
      <c r="AO243" s="7">
        <v>5.4364418410564282E-2</v>
      </c>
      <c r="AP243" s="7">
        <v>-1.68524344765387</v>
      </c>
      <c r="AQ243" s="7">
        <v>9.6043353193524268E-3</v>
      </c>
      <c r="AR243" s="7">
        <v>0.2818464860769076</v>
      </c>
      <c r="AS243" s="7">
        <v>0.25110022474118066</v>
      </c>
      <c r="AT243" s="7">
        <v>1.2981692677204579</v>
      </c>
      <c r="AU243" s="7">
        <v>-5.3155956956869108</v>
      </c>
    </row>
    <row r="244" spans="37:47" x14ac:dyDescent="0.25">
      <c r="AK244" t="str">
        <v>mazda rx-4</v>
      </c>
      <c r="AL244" s="7">
        <v>21.5</v>
      </c>
      <c r="AM244" s="7">
        <v>26.040996115321043</v>
      </c>
      <c r="AN244" s="7">
        <v>-4.5409961153210432</v>
      </c>
      <c r="AO244" s="7">
        <v>4.8259727863398397E-2</v>
      </c>
      <c r="AP244" s="7">
        <v>-1.5175419689962188</v>
      </c>
      <c r="AQ244" s="7">
        <v>6.8690855003637292E-3</v>
      </c>
      <c r="AR244" s="7">
        <v>0.29517900048864598</v>
      </c>
      <c r="AS244" s="7">
        <v>0.25381221692103473</v>
      </c>
      <c r="AT244" s="7">
        <v>1.2318855340477941</v>
      </c>
      <c r="AU244" s="7">
        <v>-4.7712556127595303</v>
      </c>
    </row>
    <row r="245" spans="37:47" x14ac:dyDescent="0.25">
      <c r="AK245" t="str">
        <v>volkswagen rabbit custom diesel</v>
      </c>
      <c r="AL245" s="7">
        <v>43.1</v>
      </c>
      <c r="AM245" s="7">
        <v>30.497188279232841</v>
      </c>
      <c r="AN245" s="7">
        <v>12.602811720767161</v>
      </c>
      <c r="AO245" s="7">
        <v>4.3282429427152436E-2</v>
      </c>
      <c r="AP245" s="7">
        <v>4.2007262122566926</v>
      </c>
      <c r="AQ245" s="7">
        <v>4.6959959279888761E-2</v>
      </c>
      <c r="AR245" s="7">
        <v>0.30186483701074074</v>
      </c>
      <c r="AS245" s="7">
        <v>0.25939653083974346</v>
      </c>
      <c r="AT245" s="7">
        <v>2.0495673231823082</v>
      </c>
      <c r="AU245" s="7">
        <v>13.172969859036932</v>
      </c>
    </row>
    <row r="246" spans="37:47" x14ac:dyDescent="0.25">
      <c r="AK246" t="str">
        <v>ford fiesta</v>
      </c>
      <c r="AL246" s="7">
        <v>36.1</v>
      </c>
      <c r="AM246" s="7">
        <v>29.203680013716564</v>
      </c>
      <c r="AN246" s="7">
        <v>6.8963199862834372</v>
      </c>
      <c r="AO246" s="7">
        <v>4.3604262924426471E-2</v>
      </c>
      <c r="AP246" s="7">
        <v>2.2990445774735213</v>
      </c>
      <c r="AQ246" s="7">
        <v>1.4175460654412718E-2</v>
      </c>
      <c r="AR246" s="7">
        <v>0.30186483701074074</v>
      </c>
      <c r="AS246" s="7">
        <v>0.26483477874394723</v>
      </c>
      <c r="AT246" s="7">
        <v>1.5162600626124534</v>
      </c>
      <c r="AU246" s="7">
        <v>7.2107389430349329</v>
      </c>
    </row>
    <row r="247" spans="37:47" x14ac:dyDescent="0.25">
      <c r="AK247" t="str">
        <v>mazda glc deluxe</v>
      </c>
      <c r="AL247" s="7">
        <v>32.799999999999997</v>
      </c>
      <c r="AM247" s="7">
        <v>30.554219393368534</v>
      </c>
      <c r="AN247" s="7">
        <v>2.2457806066314632</v>
      </c>
      <c r="AO247" s="7">
        <v>4.2998995586674138E-2</v>
      </c>
      <c r="AP247" s="7">
        <v>0.74844507336636135</v>
      </c>
      <c r="AQ247" s="7">
        <v>1.4805288140072991E-3</v>
      </c>
      <c r="AR247" s="7">
        <v>0.30186483701074074</v>
      </c>
      <c r="AS247" s="7">
        <v>0.26714134253452815</v>
      </c>
      <c r="AT247" s="7">
        <v>0.86512720068574966</v>
      </c>
      <c r="AU247" s="7">
        <v>2.3466857362476885</v>
      </c>
    </row>
    <row r="248" spans="37:47" x14ac:dyDescent="0.25">
      <c r="AK248" t="str">
        <v>datsun b210 gx</v>
      </c>
      <c r="AL248" s="7">
        <v>39.4</v>
      </c>
      <c r="AM248" s="7">
        <v>29.831582300919862</v>
      </c>
      <c r="AN248" s="7">
        <v>9.5684176990801362</v>
      </c>
      <c r="AO248" s="7">
        <v>3.8875196033690343E-2</v>
      </c>
      <c r="AP248" s="7">
        <v>3.1819916573400091</v>
      </c>
      <c r="AQ248" s="7">
        <v>2.409028614825447E-2</v>
      </c>
      <c r="AR248" s="7">
        <v>0.30186483701074074</v>
      </c>
      <c r="AS248" s="7">
        <v>0.27141090048237276</v>
      </c>
      <c r="AT248" s="7">
        <v>1.7838137955907867</v>
      </c>
      <c r="AU248" s="7">
        <v>9.9554372747366315</v>
      </c>
    </row>
    <row r="249" spans="37:47" x14ac:dyDescent="0.25">
      <c r="AK249" t="str">
        <v>honda civic cvcc</v>
      </c>
      <c r="AL249" s="7">
        <v>36.1</v>
      </c>
      <c r="AM249" s="7">
        <v>31.3610402165368</v>
      </c>
      <c r="AN249" s="7">
        <v>4.7389597834632013</v>
      </c>
      <c r="AO249" s="7">
        <v>3.977370933084589E-2</v>
      </c>
      <c r="AP249" s="7">
        <v>1.5766853430851646</v>
      </c>
      <c r="AQ249" s="7">
        <v>6.0570846398093712E-3</v>
      </c>
      <c r="AR249" s="7">
        <v>0.30186483701074074</v>
      </c>
      <c r="AS249" s="7">
        <v>0.2749672873635931</v>
      </c>
      <c r="AT249" s="7">
        <v>1.2556613170298607</v>
      </c>
      <c r="AU249" s="7">
        <v>4.9352531059743807</v>
      </c>
    </row>
    <row r="250" spans="37:47" x14ac:dyDescent="0.25">
      <c r="AK250" t="str">
        <v>oldsmobile cutlass salon brougham</v>
      </c>
      <c r="AL250" s="7">
        <v>19.899999999999999</v>
      </c>
      <c r="AM250" s="7">
        <v>20.56519746010305</v>
      </c>
      <c r="AN250" s="7">
        <v>-0.6651974601030517</v>
      </c>
      <c r="AO250" s="7">
        <v>3.0148411795750178E-2</v>
      </c>
      <c r="AP250" s="7">
        <v>-0.22021492268660475</v>
      </c>
      <c r="AQ250" s="7">
        <v>8.8675516438309517E-5</v>
      </c>
      <c r="AR250" s="7">
        <v>0.30186483701074074</v>
      </c>
      <c r="AS250" s="7">
        <v>0.27649769074526315</v>
      </c>
      <c r="AT250" s="7">
        <v>0.46927062840817635</v>
      </c>
      <c r="AU250" s="7">
        <v>-0.68587551764978061</v>
      </c>
    </row>
    <row r="251" spans="37:47" x14ac:dyDescent="0.25">
      <c r="AK251" t="str">
        <v>dodge diplomat</v>
      </c>
      <c r="AL251" s="7">
        <v>19.399999999999999</v>
      </c>
      <c r="AM251" s="7">
        <v>18.204679943903614</v>
      </c>
      <c r="AN251" s="7">
        <v>1.195320056096385</v>
      </c>
      <c r="AO251" s="7">
        <v>3.1784700220696488E-2</v>
      </c>
      <c r="AP251" s="7">
        <v>0.39604728421942698</v>
      </c>
      <c r="AQ251" s="7">
        <v>3.0289446441747052E-4</v>
      </c>
      <c r="AR251" s="7">
        <v>0.30186483701074074</v>
      </c>
      <c r="AS251" s="7">
        <v>0.2802206101814847</v>
      </c>
      <c r="AT251" s="7">
        <v>0.62932287755922789</v>
      </c>
      <c r="AU251" s="7">
        <v>1.2345601813654961</v>
      </c>
    </row>
    <row r="252" spans="37:47" x14ac:dyDescent="0.25">
      <c r="AK252" t="str">
        <v>mercury monarch ghia</v>
      </c>
      <c r="AL252" s="7">
        <v>20.2</v>
      </c>
      <c r="AM252" s="7">
        <v>19.056362462351419</v>
      </c>
      <c r="AN252" s="7">
        <v>1.1436375376485799</v>
      </c>
      <c r="AO252" s="7">
        <v>3.2108495315757317E-2</v>
      </c>
      <c r="AP252" s="7">
        <v>0.37898661019969393</v>
      </c>
      <c r="AQ252" s="7">
        <v>2.8027998610575947E-4</v>
      </c>
      <c r="AR252" s="7">
        <v>0.30186483701074074</v>
      </c>
      <c r="AS252" s="7">
        <v>0.28753308488155438</v>
      </c>
      <c r="AT252" s="7">
        <v>0.615618883888152</v>
      </c>
      <c r="AU252" s="7">
        <v>1.1815761705870858</v>
      </c>
    </row>
    <row r="253" spans="37:47" x14ac:dyDescent="0.25">
      <c r="AK253" t="str">
        <v>pontiac phoenix lj</v>
      </c>
      <c r="AL253" s="7">
        <v>19.2</v>
      </c>
      <c r="AM253" s="7">
        <v>19.785616985300909</v>
      </c>
      <c r="AN253" s="7">
        <v>-0.58561698530090922</v>
      </c>
      <c r="AO253" s="7">
        <v>3.340884753772768E-2</v>
      </c>
      <c r="AP253" s="7">
        <v>-0.19419634887019752</v>
      </c>
      <c r="AQ253" s="7">
        <v>7.66746634500931E-5</v>
      </c>
      <c r="AR253" s="7">
        <v>0.30186483701074074</v>
      </c>
      <c r="AS253" s="7">
        <v>0.29319660015181503</v>
      </c>
      <c r="AT253" s="7">
        <v>0.44067714811435083</v>
      </c>
      <c r="AU253" s="7">
        <v>-0.60585800295101178</v>
      </c>
    </row>
    <row r="254" spans="37:47" x14ac:dyDescent="0.25">
      <c r="AK254" t="str">
        <v>chevrolet malibu</v>
      </c>
      <c r="AL254" s="7">
        <v>20.5</v>
      </c>
      <c r="AM254" s="7">
        <v>21.872038958580685</v>
      </c>
      <c r="AN254" s="7">
        <v>-1.3720389585806849</v>
      </c>
      <c r="AO254" s="7">
        <v>3.1552376124896538E-2</v>
      </c>
      <c r="AP254" s="7">
        <v>-0.4545453066083554</v>
      </c>
      <c r="AQ254" s="7">
        <v>3.9596916404452566E-4</v>
      </c>
      <c r="AR254" s="7">
        <v>0.30186483701074074</v>
      </c>
      <c r="AS254" s="7">
        <v>0.29552136767781301</v>
      </c>
      <c r="AT254" s="7">
        <v>0.6741997527501441</v>
      </c>
      <c r="AU254" s="7">
        <v>-1.4167404873075831</v>
      </c>
    </row>
    <row r="255" spans="37:47" x14ac:dyDescent="0.25">
      <c r="AK255" t="str">
        <v>ford fairmont (auto)</v>
      </c>
      <c r="AL255" s="7">
        <v>20.2</v>
      </c>
      <c r="AM255" s="7">
        <v>22.996432104988273</v>
      </c>
      <c r="AN255" s="7">
        <v>-2.7964321049882734</v>
      </c>
      <c r="AO255" s="7">
        <v>3.2831438900877988E-2</v>
      </c>
      <c r="AP255" s="7">
        <v>-0.92704752263459622</v>
      </c>
      <c r="AQ255" s="7">
        <v>1.7161009038441971E-3</v>
      </c>
      <c r="AR255" s="7">
        <v>0.30186483701074074</v>
      </c>
      <c r="AS255" s="7">
        <v>0.30206292858297307</v>
      </c>
      <c r="AT255" s="7">
        <v>0.96283307101210236</v>
      </c>
      <c r="AU255" s="7">
        <v>-2.8913596010713132</v>
      </c>
    </row>
    <row r="256" spans="37:47" x14ac:dyDescent="0.25">
      <c r="AK256" t="str">
        <v>ford fairmont (man)</v>
      </c>
      <c r="AL256" s="7">
        <v>25.1</v>
      </c>
      <c r="AM256" s="7">
        <v>24.188233664831259</v>
      </c>
      <c r="AN256" s="7">
        <v>0.91176633516874261</v>
      </c>
      <c r="AO256" s="7">
        <v>3.1566385285221446E-2</v>
      </c>
      <c r="AP256" s="7">
        <v>0.30206292858297307</v>
      </c>
      <c r="AQ256" s="7">
        <v>1.7494475780529764E-4</v>
      </c>
      <c r="AR256" s="7">
        <v>0.30186483701074074</v>
      </c>
      <c r="AS256" s="7">
        <v>0.31685206458484116</v>
      </c>
      <c r="AT256" s="7">
        <v>0.54960251871964072</v>
      </c>
      <c r="AU256" s="7">
        <v>0.94148563341357638</v>
      </c>
    </row>
    <row r="257" spans="37:47" x14ac:dyDescent="0.25">
      <c r="AK257" t="str">
        <v>plymouth volare</v>
      </c>
      <c r="AL257" s="7">
        <v>20.5</v>
      </c>
      <c r="AM257" s="7">
        <v>20.398446654655874</v>
      </c>
      <c r="AN257" s="7">
        <v>0.10155334534412574</v>
      </c>
      <c r="AO257" s="7">
        <v>3.346812475978498E-2</v>
      </c>
      <c r="AP257" s="7">
        <v>3.3677120231556792E-2</v>
      </c>
      <c r="AQ257" s="7">
        <v>2.31012867798152E-6</v>
      </c>
      <c r="AR257" s="7">
        <v>0.30186483701074074</v>
      </c>
      <c r="AS257" s="7">
        <v>0.32432388942401408</v>
      </c>
      <c r="AT257" s="7">
        <v>0.18351326990590297</v>
      </c>
      <c r="AU257" s="7">
        <v>0.10506983571430212</v>
      </c>
    </row>
    <row r="258" spans="37:47" x14ac:dyDescent="0.25">
      <c r="AK258" t="str">
        <v>amc concord</v>
      </c>
      <c r="AL258" s="7">
        <v>19.399999999999999</v>
      </c>
      <c r="AM258" s="7">
        <v>21.674739089516965</v>
      </c>
      <c r="AN258" s="7">
        <v>-2.2747390895169666</v>
      </c>
      <c r="AO258" s="7">
        <v>3.3909202683638458E-2</v>
      </c>
      <c r="AP258" s="7">
        <v>-0.75452115641439021</v>
      </c>
      <c r="AQ258" s="7">
        <v>1.1754212964191057E-3</v>
      </c>
      <c r="AR258" s="7">
        <v>0.30186483701074074</v>
      </c>
      <c r="AS258" s="7">
        <v>0.33488821969058197</v>
      </c>
      <c r="AT258" s="7">
        <v>0.86863177262542624</v>
      </c>
      <c r="AU258" s="7">
        <v>-2.3545810557722016</v>
      </c>
    </row>
    <row r="259" spans="37:47" x14ac:dyDescent="0.25">
      <c r="AK259" t="str">
        <v>buick century special</v>
      </c>
      <c r="AL259" s="7">
        <v>20.6</v>
      </c>
      <c r="AM259" s="7">
        <v>20.570429975644004</v>
      </c>
      <c r="AN259" s="7">
        <v>2.9570024355997759E-2</v>
      </c>
      <c r="AO259" s="7">
        <v>3.1231166756803205E-2</v>
      </c>
      <c r="AP259" s="7">
        <v>9.7946834914373372E-3</v>
      </c>
      <c r="AQ259" s="7">
        <v>1.8192816649843895E-7</v>
      </c>
      <c r="AR259" s="7">
        <v>0.39705550482904034</v>
      </c>
      <c r="AS259" s="7">
        <v>0.34571317856571621</v>
      </c>
      <c r="AT259" s="7">
        <v>9.8968093299999157E-2</v>
      </c>
      <c r="AU259" s="7">
        <v>3.052330271299571E-2</v>
      </c>
    </row>
    <row r="260" spans="37:47" x14ac:dyDescent="0.25">
      <c r="AK260" t="str">
        <v>mercury zephyr</v>
      </c>
      <c r="AL260" s="7">
        <v>20.8</v>
      </c>
      <c r="AM260" s="7">
        <v>22.464784595401014</v>
      </c>
      <c r="AN260" s="7">
        <v>-1.664784595401013</v>
      </c>
      <c r="AO260" s="7">
        <v>3.397005111054123E-2</v>
      </c>
      <c r="AP260" s="7">
        <v>-0.55221926921070352</v>
      </c>
      <c r="AQ260" s="7">
        <v>6.3078274113854678E-4</v>
      </c>
      <c r="AR260" s="7">
        <v>0.40398399337523622</v>
      </c>
      <c r="AS260" s="7">
        <v>0.34767210505293855</v>
      </c>
      <c r="AT260" s="7">
        <v>0.74311457340756248</v>
      </c>
      <c r="AU260" s="7">
        <v>-1.7233260700818205</v>
      </c>
    </row>
    <row r="261" spans="37:47" x14ac:dyDescent="0.25">
      <c r="AK261" t="str">
        <v>dodge aspen</v>
      </c>
      <c r="AL261" s="7">
        <v>18.600000000000001</v>
      </c>
      <c r="AM261" s="7">
        <v>19.274053508248279</v>
      </c>
      <c r="AN261" s="7">
        <v>-0.67405350824827792</v>
      </c>
      <c r="AO261" s="7">
        <v>3.3160023066221296E-2</v>
      </c>
      <c r="AP261" s="7">
        <v>-0.22349400460848995</v>
      </c>
      <c r="AQ261" s="7">
        <v>1.0077273787285113E-4</v>
      </c>
      <c r="AR261" s="7">
        <v>0.41093192943060336</v>
      </c>
      <c r="AS261" s="7">
        <v>0.35223603151478755</v>
      </c>
      <c r="AT261" s="7">
        <v>0.47275152523126773</v>
      </c>
      <c r="AU261" s="7">
        <v>-0.69717173920131104</v>
      </c>
    </row>
    <row r="262" spans="37:47" x14ac:dyDescent="0.25">
      <c r="AK262" t="str">
        <v>amc concord d/l</v>
      </c>
      <c r="AL262" s="7">
        <v>18.100000000000001</v>
      </c>
      <c r="AM262" s="7">
        <v>20.174984207887384</v>
      </c>
      <c r="AN262" s="7">
        <v>-2.0749842078873826</v>
      </c>
      <c r="AO262" s="7">
        <v>2.9749884328060014E-2</v>
      </c>
      <c r="AP262" s="7">
        <v>-0.68678649689214288</v>
      </c>
      <c r="AQ262" s="7">
        <v>8.5073862793208152E-4</v>
      </c>
      <c r="AR262" s="7">
        <v>0.41093192943060336</v>
      </c>
      <c r="AS262" s="7">
        <v>0.3734161112853604</v>
      </c>
      <c r="AT262" s="7">
        <v>0.82872582733503775</v>
      </c>
      <c r="AU262" s="7">
        <v>-2.1386075346668387</v>
      </c>
    </row>
    <row r="263" spans="37:47" x14ac:dyDescent="0.25">
      <c r="AK263" t="str">
        <v>chevrolet monte carlo landau</v>
      </c>
      <c r="AL263" s="7">
        <v>19.2</v>
      </c>
      <c r="AM263" s="7">
        <v>19.693123764822097</v>
      </c>
      <c r="AN263" s="7">
        <v>-0.49312376482209785</v>
      </c>
      <c r="AO263" s="7">
        <v>3.6040940985145986E-2</v>
      </c>
      <c r="AP263" s="7">
        <v>-0.1637477879265988</v>
      </c>
      <c r="AQ263" s="7">
        <v>5.8971136076672969E-5</v>
      </c>
      <c r="AR263" s="7">
        <v>0.42488793897993393</v>
      </c>
      <c r="AS263" s="7">
        <v>0.37698943709717592</v>
      </c>
      <c r="AT263" s="7">
        <v>0.40465761814971285</v>
      </c>
      <c r="AU263" s="7">
        <v>-0.51156090106779017</v>
      </c>
    </row>
    <row r="264" spans="37:47" x14ac:dyDescent="0.25">
      <c r="AK264" t="str">
        <v>buick regal sport coupe (turbo)</v>
      </c>
      <c r="AL264" s="7">
        <v>17.7</v>
      </c>
      <c r="AM264" s="7">
        <v>19.267128933448944</v>
      </c>
      <c r="AN264" s="7">
        <v>-1.5671289334489451</v>
      </c>
      <c r="AO264" s="7">
        <v>4.9070502455294401E-2</v>
      </c>
      <c r="AP264" s="7">
        <v>-0.52393736657058176</v>
      </c>
      <c r="AQ264" s="7">
        <v>8.3326283140426507E-4</v>
      </c>
      <c r="AR264" s="7">
        <v>0.43189692948271047</v>
      </c>
      <c r="AS264" s="7">
        <v>0.37898661019969393</v>
      </c>
      <c r="AT264" s="7">
        <v>0.72383517914687023</v>
      </c>
      <c r="AU264" s="7">
        <v>-1.6479969729567365</v>
      </c>
    </row>
    <row r="265" spans="37:47" x14ac:dyDescent="0.25">
      <c r="AK265" t="str">
        <v>ford futura</v>
      </c>
      <c r="AL265" s="7">
        <v>18.100000000000001</v>
      </c>
      <c r="AM265" s="7">
        <v>20.904470471869033</v>
      </c>
      <c r="AN265" s="7">
        <v>-2.8044704718690312</v>
      </c>
      <c r="AO265" s="7">
        <v>3.7096220197083127E-2</v>
      </c>
      <c r="AP265" s="7">
        <v>-0.9317689403765218</v>
      </c>
      <c r="AQ265" s="7">
        <v>1.9674980339091886E-3</v>
      </c>
      <c r="AR265" s="7">
        <v>0.43189692948271047</v>
      </c>
      <c r="AS265" s="7">
        <v>0.3790485664453247</v>
      </c>
      <c r="AT265" s="7">
        <v>0.9652817932482316</v>
      </c>
      <c r="AU265" s="7">
        <v>-2.9125137222361288</v>
      </c>
    </row>
    <row r="266" spans="37:47" x14ac:dyDescent="0.25">
      <c r="AK266" t="str">
        <v>dodge magnum xe</v>
      </c>
      <c r="AL266" s="7">
        <v>17.5</v>
      </c>
      <c r="AM266" s="7">
        <v>16.457838126688337</v>
      </c>
      <c r="AN266" s="7">
        <v>1.0421618733116631</v>
      </c>
      <c r="AO266" s="7">
        <v>3.4091253908339864E-2</v>
      </c>
      <c r="AP266" s="7">
        <v>0.34571317856571621</v>
      </c>
      <c r="AQ266" s="7">
        <v>2.4813602777608177E-4</v>
      </c>
      <c r="AR266" s="7">
        <v>0.43189692948271047</v>
      </c>
      <c r="AS266" s="7">
        <v>0.38024696094502353</v>
      </c>
      <c r="AT266" s="7">
        <v>0.58797379071325639</v>
      </c>
      <c r="AU266" s="7">
        <v>1.0789444422452377</v>
      </c>
    </row>
    <row r="267" spans="37:47" x14ac:dyDescent="0.25">
      <c r="AK267" t="str">
        <v>chevrolet chevette</v>
      </c>
      <c r="AL267" s="7">
        <v>30</v>
      </c>
      <c r="AM267" s="7">
        <v>27.373732236443036</v>
      </c>
      <c r="AN267" s="7">
        <v>2.6262677635569638</v>
      </c>
      <c r="AO267" s="7">
        <v>3.7268324735451754E-2</v>
      </c>
      <c r="AP267" s="7">
        <v>0.87264012009621761</v>
      </c>
      <c r="AQ267" s="7">
        <v>1.73402773982469E-3</v>
      </c>
      <c r="AR267" s="7">
        <v>0.43189692948271047</v>
      </c>
      <c r="AS267" s="7">
        <v>0.38649046111355201</v>
      </c>
      <c r="AT267" s="7">
        <v>0.93415208617024326</v>
      </c>
      <c r="AU267" s="7">
        <v>2.7279332663852509</v>
      </c>
    </row>
    <row r="268" spans="37:47" x14ac:dyDescent="0.25">
      <c r="AK268" t="str">
        <v>toyota corona</v>
      </c>
      <c r="AL268" s="7">
        <v>27.5</v>
      </c>
      <c r="AM268" s="7">
        <v>26.944649790674134</v>
      </c>
      <c r="AN268" s="7">
        <v>0.55535020932586576</v>
      </c>
      <c r="AO268" s="7">
        <v>3.9123709977541374E-2</v>
      </c>
      <c r="AP268" s="7">
        <v>0.18470642599231274</v>
      </c>
      <c r="AQ268" s="7">
        <v>8.1712338986331064E-5</v>
      </c>
      <c r="AR268" s="7">
        <v>0.43189692948271047</v>
      </c>
      <c r="AS268" s="7">
        <v>0.39604728421942698</v>
      </c>
      <c r="AT268" s="7">
        <v>0.42977485500237533</v>
      </c>
      <c r="AU268" s="7">
        <v>0.57796223623426646</v>
      </c>
    </row>
    <row r="269" spans="37:47" x14ac:dyDescent="0.25">
      <c r="AK269" t="str">
        <v>datsun 510</v>
      </c>
      <c r="AL269" s="7">
        <v>27.2</v>
      </c>
      <c r="AM269" s="7">
        <v>28.228637426697397</v>
      </c>
      <c r="AN269" s="7">
        <v>-1.0286374266973972</v>
      </c>
      <c r="AO269" s="7">
        <v>3.9715916765860677E-2</v>
      </c>
      <c r="AP269" s="7">
        <v>-0.34222462819834187</v>
      </c>
      <c r="AQ269" s="7">
        <v>2.8493018540551589E-4</v>
      </c>
      <c r="AR269" s="7">
        <v>0.43189692948271047</v>
      </c>
      <c r="AS269" s="7">
        <v>0.39947920216775701</v>
      </c>
      <c r="AT269" s="7">
        <v>0.58499968222071874</v>
      </c>
      <c r="AU269" s="7">
        <v>-1.0711803357534062</v>
      </c>
    </row>
    <row r="270" spans="37:47" x14ac:dyDescent="0.25">
      <c r="AK270" t="str">
        <v>dodge omni</v>
      </c>
      <c r="AL270" s="7">
        <v>30.9</v>
      </c>
      <c r="AM270" s="7">
        <v>26.880328991634492</v>
      </c>
      <c r="AN270" s="7">
        <v>4.0196710083655063</v>
      </c>
      <c r="AO270" s="7">
        <v>3.6193310154119702E-2</v>
      </c>
      <c r="AP270" s="7">
        <v>1.3348865121336095</v>
      </c>
      <c r="AQ270" s="7">
        <v>3.9362088773436318E-3</v>
      </c>
      <c r="AR270" s="7">
        <v>0.43189692948271047</v>
      </c>
      <c r="AS270" s="7">
        <v>0.39968495672630688</v>
      </c>
      <c r="AT270" s="7">
        <v>1.1553728887824959</v>
      </c>
      <c r="AU270" s="7">
        <v>4.1706195347204753</v>
      </c>
    </row>
    <row r="271" spans="37:47" x14ac:dyDescent="0.25">
      <c r="AK271" t="str">
        <v>toyota celica gt liftback</v>
      </c>
      <c r="AL271" s="7">
        <v>21.1</v>
      </c>
      <c r="AM271" s="7">
        <v>27.172498723354387</v>
      </c>
      <c r="AN271" s="7">
        <v>-6.0724987233543857</v>
      </c>
      <c r="AO271" s="7">
        <v>3.8958920979371689E-2</v>
      </c>
      <c r="AP271" s="7">
        <v>-2.0195065214468055</v>
      </c>
      <c r="AQ271" s="7">
        <v>9.7253797156011245E-3</v>
      </c>
      <c r="AR271" s="7">
        <v>0.43189692948271047</v>
      </c>
      <c r="AS271" s="7">
        <v>0.4116364131495851</v>
      </c>
      <c r="AT271" s="7">
        <v>1.4210934246019173</v>
      </c>
      <c r="AU271" s="7">
        <v>-6.3186671786628619</v>
      </c>
    </row>
    <row r="272" spans="37:47" x14ac:dyDescent="0.25">
      <c r="AK272" t="str">
        <v>plymouth sapporo</v>
      </c>
      <c r="AL272" s="7">
        <v>23.2</v>
      </c>
      <c r="AM272" s="7">
        <v>23.785631581243138</v>
      </c>
      <c r="AN272" s="7">
        <v>-0.5856315812431383</v>
      </c>
      <c r="AO272" s="7">
        <v>3.2478881764690756E-2</v>
      </c>
      <c r="AP272" s="7">
        <v>-0.19410783505686549</v>
      </c>
      <c r="AQ272" s="7">
        <v>7.4400837671903121E-5</v>
      </c>
      <c r="AR272" s="7">
        <v>0.43189692948271047</v>
      </c>
      <c r="AS272" s="7">
        <v>0.42871024250542339</v>
      </c>
      <c r="AT272" s="7">
        <v>0.44057670734716048</v>
      </c>
      <c r="AU272" s="7">
        <v>-0.60529074787668646</v>
      </c>
    </row>
    <row r="273" spans="37:47" x14ac:dyDescent="0.25">
      <c r="AK273" t="str">
        <v>oldsmobile starfire sx</v>
      </c>
      <c r="AL273" s="7">
        <v>23.8</v>
      </c>
      <c r="AM273" s="7">
        <v>23.553396162651115</v>
      </c>
      <c r="AN273" s="7">
        <v>0.24660383734888569</v>
      </c>
      <c r="AO273" s="7">
        <v>3.2118027257318493E-2</v>
      </c>
      <c r="AP273" s="7">
        <v>8.1721707715661354E-2</v>
      </c>
      <c r="AQ273" s="7">
        <v>1.3036241783376027E-5</v>
      </c>
      <c r="AR273" s="7">
        <v>0.49599497085825733</v>
      </c>
      <c r="AS273" s="7">
        <v>0.43079556603355523</v>
      </c>
      <c r="AT273" s="7">
        <v>0.28587008887895454</v>
      </c>
      <c r="AU273" s="7">
        <v>0.25478709625109125</v>
      </c>
    </row>
    <row r="274" spans="37:47" x14ac:dyDescent="0.25">
      <c r="AK274" t="str">
        <v>datsun 200-sx</v>
      </c>
      <c r="AL274" s="7">
        <v>23.9</v>
      </c>
      <c r="AM274" s="7">
        <v>27.696989917110137</v>
      </c>
      <c r="AN274" s="7">
        <v>-3.7969899171101389</v>
      </c>
      <c r="AO274" s="7">
        <v>3.9159228669035963E-2</v>
      </c>
      <c r="AP274" s="7">
        <v>-1.2628813097867091</v>
      </c>
      <c r="AQ274" s="7">
        <v>3.8234802921392566E-3</v>
      </c>
      <c r="AR274" s="7">
        <v>0.49599497085825733</v>
      </c>
      <c r="AS274" s="7">
        <v>0.43174338069117302</v>
      </c>
      <c r="AT274" s="7">
        <v>1.1237799205301318</v>
      </c>
      <c r="AU274" s="7">
        <v>-3.951736885447231</v>
      </c>
    </row>
    <row r="275" spans="37:47" x14ac:dyDescent="0.25">
      <c r="AK275" t="str">
        <v>audi 5000</v>
      </c>
      <c r="AL275" s="7">
        <v>20.3</v>
      </c>
      <c r="AM275" s="7">
        <v>25.325687897014422</v>
      </c>
      <c r="AN275" s="7">
        <v>-5.0256878970144214</v>
      </c>
      <c r="AO275" s="7">
        <v>4.2709716114289586E-2</v>
      </c>
      <c r="AP275" s="7">
        <v>-1.6746439809266753</v>
      </c>
      <c r="AQ275" s="7">
        <v>7.3600217544443651E-3</v>
      </c>
      <c r="AR275" s="7">
        <v>0.49599497085825733</v>
      </c>
      <c r="AS275" s="7">
        <v>0.43433707282313838</v>
      </c>
      <c r="AT275" s="7">
        <v>1.2940803610775782</v>
      </c>
      <c r="AU275" s="7">
        <v>-5.24991006553915</v>
      </c>
    </row>
    <row r="276" spans="37:47" x14ac:dyDescent="0.25">
      <c r="AK276" t="str">
        <v>volvo 264gl</v>
      </c>
      <c r="AL276" s="7">
        <v>17</v>
      </c>
      <c r="AM276" s="7">
        <v>23.398860413350324</v>
      </c>
      <c r="AN276" s="7">
        <v>-6.3988604133503237</v>
      </c>
      <c r="AO276" s="7">
        <v>4.7833954880443882E-2</v>
      </c>
      <c r="AP276" s="7">
        <v>-2.1379379429147773</v>
      </c>
      <c r="AQ276" s="7">
        <v>1.3507185613380037E-2</v>
      </c>
      <c r="AR276" s="7">
        <v>0.51780857233137045</v>
      </c>
      <c r="AS276" s="7">
        <v>0.4407931061238981</v>
      </c>
      <c r="AT276" s="7">
        <v>1.4621689173672026</v>
      </c>
      <c r="AU276" s="7">
        <v>-6.7203198918386846</v>
      </c>
    </row>
    <row r="277" spans="37:47" x14ac:dyDescent="0.25">
      <c r="AK277" t="str">
        <v>saab 99gle</v>
      </c>
      <c r="AL277" s="7">
        <v>21.6</v>
      </c>
      <c r="AM277" s="7">
        <v>25.308066550101014</v>
      </c>
      <c r="AN277" s="7">
        <v>-3.7080665501010124</v>
      </c>
      <c r="AO277" s="7">
        <v>4.6087575958202398E-2</v>
      </c>
      <c r="AP277" s="7">
        <v>-1.2377760380844054</v>
      </c>
      <c r="AQ277" s="7">
        <v>4.3542221406322424E-3</v>
      </c>
      <c r="AR277" s="7">
        <v>0.5251343538696831</v>
      </c>
      <c r="AS277" s="7">
        <v>0.44266880067425035</v>
      </c>
      <c r="AT277" s="7">
        <v>1.1125538360386904</v>
      </c>
      <c r="AU277" s="7">
        <v>-3.8872190534951416</v>
      </c>
    </row>
    <row r="278" spans="37:47" x14ac:dyDescent="0.25">
      <c r="AK278" t="str">
        <v>peugeot 604sl</v>
      </c>
      <c r="AL278" s="7">
        <v>16.2</v>
      </c>
      <c r="AM278" s="7">
        <v>21.901875361640474</v>
      </c>
      <c r="AN278" s="7">
        <v>-5.7018753616404751</v>
      </c>
      <c r="AO278" s="7">
        <v>5.0433605497255063E-2</v>
      </c>
      <c r="AP278" s="7">
        <v>-1.9076726580567738</v>
      </c>
      <c r="AQ278" s="7">
        <v>1.1369816866149523E-2</v>
      </c>
      <c r="AR278" s="7">
        <v>0.53248842708754573</v>
      </c>
      <c r="AS278" s="7">
        <v>0.44275727569779938</v>
      </c>
      <c r="AT278" s="7">
        <v>1.3811852366923032</v>
      </c>
      <c r="AU278" s="7">
        <v>-6.0047147778711674</v>
      </c>
    </row>
    <row r="279" spans="37:47" x14ac:dyDescent="0.25">
      <c r="AK279" t="str">
        <v>volkswagen scirocco</v>
      </c>
      <c r="AL279" s="7">
        <v>31.5</v>
      </c>
      <c r="AM279" s="7">
        <v>30.098433796225809</v>
      </c>
      <c r="AN279" s="7">
        <v>1.4015662037741912</v>
      </c>
      <c r="AO279" s="7">
        <v>4.1544941705203203E-2</v>
      </c>
      <c r="AP279" s="7">
        <v>0.46674163527249862</v>
      </c>
      <c r="AQ279" s="7">
        <v>5.5545715540963815E-4</v>
      </c>
      <c r="AR279" s="7">
        <v>0.5398714122010615</v>
      </c>
      <c r="AS279" s="7">
        <v>0.45088667377233937</v>
      </c>
      <c r="AT279" s="7">
        <v>0.68318492026134381</v>
      </c>
      <c r="AU279" s="7">
        <v>1.4623181250331556</v>
      </c>
    </row>
    <row r="280" spans="37:47" x14ac:dyDescent="0.25">
      <c r="AK280" t="str">
        <v>honda accord lx</v>
      </c>
      <c r="AL280" s="7">
        <v>29.5</v>
      </c>
      <c r="AM280" s="7">
        <v>29.534940039844358</v>
      </c>
      <c r="AN280" s="7">
        <v>-3.4940039844357784E-2</v>
      </c>
      <c r="AO280" s="7">
        <v>3.9538758919076281E-2</v>
      </c>
      <c r="AP280" s="7">
        <v>-1.1623375752352078E-2</v>
      </c>
      <c r="AQ280" s="7">
        <v>3.2715896315122653E-7</v>
      </c>
      <c r="AR280" s="7">
        <v>0.5398714122010615</v>
      </c>
      <c r="AS280" s="7">
        <v>0.45411013125419586</v>
      </c>
      <c r="AT280" s="7">
        <v>0.10781176073301131</v>
      </c>
      <c r="AU280" s="7">
        <v>-3.6378396493163552E-2</v>
      </c>
    </row>
    <row r="281" spans="37:47" x14ac:dyDescent="0.25">
      <c r="AK281" t="str">
        <v>pontiac lemans v6</v>
      </c>
      <c r="AL281" s="7">
        <v>21.5</v>
      </c>
      <c r="AM281" s="7">
        <v>23.49949938057404</v>
      </c>
      <c r="AN281" s="7">
        <v>-1.99949938057404</v>
      </c>
      <c r="AO281" s="7">
        <v>3.5500114423946343E-2</v>
      </c>
      <c r="AP281" s="7">
        <v>-0.66377208981313185</v>
      </c>
      <c r="AQ281" s="7">
        <v>9.5393026049185375E-4</v>
      </c>
      <c r="AR281" s="7">
        <v>0.5398714122010615</v>
      </c>
      <c r="AS281" s="7">
        <v>0.45874200542910859</v>
      </c>
      <c r="AT281" s="7">
        <v>0.81472209360807923</v>
      </c>
      <c r="AU281" s="7">
        <v>-2.0730944715248216</v>
      </c>
    </row>
    <row r="282" spans="37:47" x14ac:dyDescent="0.25">
      <c r="AK282" t="str">
        <v>mercury zephyr 6</v>
      </c>
      <c r="AL282" s="7">
        <v>19.8</v>
      </c>
      <c r="AM282" s="7">
        <v>25.27773629103504</v>
      </c>
      <c r="AN282" s="7">
        <v>-5.4777362910350398</v>
      </c>
      <c r="AO282" s="7">
        <v>3.7172012207959099E-2</v>
      </c>
      <c r="AP282" s="7">
        <v>-1.8200175308828719</v>
      </c>
      <c r="AQ282" s="7">
        <v>7.5226280013666914E-3</v>
      </c>
      <c r="AR282" s="7">
        <v>0.5398714122010615</v>
      </c>
      <c r="AS282" s="7">
        <v>0.45897738397457388</v>
      </c>
      <c r="AT282" s="7">
        <v>1.3490802536850326</v>
      </c>
      <c r="AU282" s="7">
        <v>-5.689215893688961</v>
      </c>
    </row>
    <row r="283" spans="37:47" x14ac:dyDescent="0.25">
      <c r="AK283" t="str">
        <v>ford fairmont 4</v>
      </c>
      <c r="AL283" s="7">
        <v>22.3</v>
      </c>
      <c r="AM283" s="7">
        <v>25.735357956686098</v>
      </c>
      <c r="AN283" s="7">
        <v>-3.4353579566860972</v>
      </c>
      <c r="AO283" s="7">
        <v>3.6285933243070362E-2</v>
      </c>
      <c r="AP283" s="7">
        <v>-1.1408976899843095</v>
      </c>
      <c r="AQ283" s="7">
        <v>2.8829331984404493E-3</v>
      </c>
      <c r="AR283" s="7">
        <v>0.5398714122010615</v>
      </c>
      <c r="AS283" s="7">
        <v>0.46083052696320198</v>
      </c>
      <c r="AT283" s="7">
        <v>1.068128124329806</v>
      </c>
      <c r="AU283" s="7">
        <v>-3.5647066647545076</v>
      </c>
    </row>
    <row r="284" spans="37:47" x14ac:dyDescent="0.25">
      <c r="AK284" t="str">
        <v>amc concord dl 6</v>
      </c>
      <c r="AL284" s="7">
        <v>20.2</v>
      </c>
      <c r="AM284" s="7">
        <v>23.80414398711023</v>
      </c>
      <c r="AN284" s="7">
        <v>-3.6041439871102305</v>
      </c>
      <c r="AO284" s="7">
        <v>3.8402931379088068E-2</v>
      </c>
      <c r="AP284" s="7">
        <v>-1.1982691301329909</v>
      </c>
      <c r="AQ284" s="7">
        <v>3.3731143674384807E-3</v>
      </c>
      <c r="AR284" s="7">
        <v>0.5398714122010615</v>
      </c>
      <c r="AS284" s="7">
        <v>0.4654442793344194</v>
      </c>
      <c r="AT284" s="7">
        <v>1.0946547995295095</v>
      </c>
      <c r="AU284" s="7">
        <v>-3.7480812959207177</v>
      </c>
    </row>
    <row r="285" spans="37:47" x14ac:dyDescent="0.25">
      <c r="AK285" t="str">
        <v>dodge aspen 6</v>
      </c>
      <c r="AL285" s="7">
        <v>20.6</v>
      </c>
      <c r="AM285" s="7">
        <v>22.998400934603321</v>
      </c>
      <c r="AN285" s="7">
        <v>-2.3984009346033197</v>
      </c>
      <c r="AO285" s="7">
        <v>3.5147809350873277E-2</v>
      </c>
      <c r="AP285" s="7">
        <v>-0.7960497214769402</v>
      </c>
      <c r="AQ285" s="7">
        <v>1.3579036099850713E-3</v>
      </c>
      <c r="AR285" s="7">
        <v>0.5398714122010615</v>
      </c>
      <c r="AS285" s="7">
        <v>0.46674163527249862</v>
      </c>
      <c r="AT285" s="7">
        <v>0.8922161853928342</v>
      </c>
      <c r="AU285" s="7">
        <v>-2.4857703157514104</v>
      </c>
    </row>
    <row r="286" spans="37:47" x14ac:dyDescent="0.25">
      <c r="AK286" t="str">
        <v>chevrolet caprice classic</v>
      </c>
      <c r="AL286" s="7">
        <v>17</v>
      </c>
      <c r="AM286" s="7">
        <v>20.243283680276456</v>
      </c>
      <c r="AN286" s="7">
        <v>-3.2432836802764555</v>
      </c>
      <c r="AO286" s="7">
        <v>3.7166475367221063E-2</v>
      </c>
      <c r="AP286" s="7">
        <v>-1.0776013794312584</v>
      </c>
      <c r="AQ286" s="7">
        <v>2.6367413490506341E-3</v>
      </c>
      <c r="AR286" s="7">
        <v>0.5398714122010615</v>
      </c>
      <c r="AS286" s="7">
        <v>0.46857065274584953</v>
      </c>
      <c r="AT286" s="7">
        <v>1.0380758062064921</v>
      </c>
      <c r="AU286" s="7">
        <v>-3.3684781400953314</v>
      </c>
    </row>
    <row r="287" spans="37:47" x14ac:dyDescent="0.25">
      <c r="AK287" t="str">
        <v>ford ltd landau</v>
      </c>
      <c r="AL287" s="7">
        <v>17.600000000000001</v>
      </c>
      <c r="AM287" s="7">
        <v>20.841800717968425</v>
      </c>
      <c r="AN287" s="7">
        <v>-3.2418007179684238</v>
      </c>
      <c r="AO287" s="7">
        <v>3.6470607710320291E-2</v>
      </c>
      <c r="AP287" s="7">
        <v>-1.0767196379396311</v>
      </c>
      <c r="AQ287" s="7">
        <v>2.5812756200590935E-3</v>
      </c>
      <c r="AR287" s="7">
        <v>0.5398714122010615</v>
      </c>
      <c r="AS287" s="7">
        <v>0.46871808445674978</v>
      </c>
      <c r="AT287" s="7">
        <v>1.0376510193411035</v>
      </c>
      <c r="AU287" s="7">
        <v>-3.3645063076537625</v>
      </c>
    </row>
    <row r="288" spans="37:47" x14ac:dyDescent="0.25">
      <c r="AK288" t="str">
        <v>mercury grand marquis</v>
      </c>
      <c r="AL288" s="7">
        <v>16.5</v>
      </c>
      <c r="AM288" s="7">
        <v>19.531111618909698</v>
      </c>
      <c r="AN288" s="7">
        <v>-3.0311116189096978</v>
      </c>
      <c r="AO288" s="7">
        <v>3.8170821658972939E-2</v>
      </c>
      <c r="AP288" s="7">
        <v>-1.0076315540428575</v>
      </c>
      <c r="AQ288" s="7">
        <v>2.3702172657121263E-3</v>
      </c>
      <c r="AR288" s="7">
        <v>0.5398714122010615</v>
      </c>
      <c r="AS288" s="7">
        <v>0.47398446164132163</v>
      </c>
      <c r="AT288" s="7">
        <v>1.0038085245916462</v>
      </c>
      <c r="AU288" s="7">
        <v>-3.1514032711481996</v>
      </c>
    </row>
    <row r="289" spans="37:47" x14ac:dyDescent="0.25">
      <c r="AK289" t="str">
        <v>dodge st. regis</v>
      </c>
      <c r="AL289" s="7">
        <v>18.2</v>
      </c>
      <c r="AM289" s="7">
        <v>20.212734616659919</v>
      </c>
      <c r="AN289" s="7">
        <v>-2.0127346166599196</v>
      </c>
      <c r="AO289" s="7">
        <v>3.7299384768416474E-2</v>
      </c>
      <c r="AP289" s="7">
        <v>-0.66878988326602917</v>
      </c>
      <c r="AQ289" s="7">
        <v>1.0193912173724509E-3</v>
      </c>
      <c r="AR289" s="7">
        <v>0.61543829749621981</v>
      </c>
      <c r="AS289" s="7">
        <v>0.48931010929769164</v>
      </c>
      <c r="AT289" s="7">
        <v>0.81779574666662891</v>
      </c>
      <c r="AU289" s="7">
        <v>-2.0907170773706674</v>
      </c>
    </row>
    <row r="290" spans="37:47" x14ac:dyDescent="0.25">
      <c r="AK290" t="str">
        <v>buick estate wagon (sw)</v>
      </c>
      <c r="AL290" s="7">
        <v>16.899999999999999</v>
      </c>
      <c r="AM290" s="7">
        <v>17.204451881577224</v>
      </c>
      <c r="AN290" s="7">
        <v>-0.30445188157722569</v>
      </c>
      <c r="AO290" s="7">
        <v>4.2876541042037614E-2</v>
      </c>
      <c r="AP290" s="7">
        <v>-0.10145734321849574</v>
      </c>
      <c r="AQ290" s="7">
        <v>2.7125005284353174E-5</v>
      </c>
      <c r="AR290" s="7">
        <v>0.62318453179067923</v>
      </c>
      <c r="AS290" s="7">
        <v>0.50018854209738339</v>
      </c>
      <c r="AT290" s="7">
        <v>0.3185236933392801</v>
      </c>
      <c r="AU290" s="7">
        <v>-0.31809050204316169</v>
      </c>
    </row>
    <row r="291" spans="37:47" x14ac:dyDescent="0.25">
      <c r="AK291" t="str">
        <v>ford country squire (sw)</v>
      </c>
      <c r="AL291" s="7">
        <v>15.5</v>
      </c>
      <c r="AM291" s="7">
        <v>18.96489823919898</v>
      </c>
      <c r="AN291" s="7">
        <v>-3.4648982391989804</v>
      </c>
      <c r="AO291" s="7">
        <v>3.9116018286594861E-2</v>
      </c>
      <c r="AP291" s="7">
        <v>-1.1524014899843342</v>
      </c>
      <c r="AQ291" s="7">
        <v>3.1801117960045147E-3</v>
      </c>
      <c r="AR291" s="7">
        <v>0.63096834177070094</v>
      </c>
      <c r="AS291" s="7">
        <v>0.51286368166818253</v>
      </c>
      <c r="AT291" s="7">
        <v>1.0734996460103441</v>
      </c>
      <c r="AU291" s="7">
        <v>-3.6059485901935107</v>
      </c>
    </row>
    <row r="292" spans="37:47" x14ac:dyDescent="0.25">
      <c r="AK292" t="str">
        <v>chevrolet malibu classic (sw)</v>
      </c>
      <c r="AL292" s="7">
        <v>19.2</v>
      </c>
      <c r="AM292" s="7">
        <v>21.5143435995966</v>
      </c>
      <c r="AN292" s="7">
        <v>-2.3143435995966009</v>
      </c>
      <c r="AO292" s="7">
        <v>3.5888049414081885E-2</v>
      </c>
      <c r="AP292" s="7">
        <v>-0.76844520954536311</v>
      </c>
      <c r="AQ292" s="7">
        <v>1.2930022535661641E-3</v>
      </c>
      <c r="AR292" s="7">
        <v>0.63879057001741368</v>
      </c>
      <c r="AS292" s="7">
        <v>0.52607820754973145</v>
      </c>
      <c r="AT292" s="7">
        <v>0.87661006698837485</v>
      </c>
      <c r="AU292" s="7">
        <v>-2.4004925965185979</v>
      </c>
    </row>
    <row r="293" spans="37:47" x14ac:dyDescent="0.25">
      <c r="AK293" t="str">
        <v>chrysler lebaron town @ country (sw)</v>
      </c>
      <c r="AL293" s="7">
        <v>18.5</v>
      </c>
      <c r="AM293" s="7">
        <v>19.412224079693964</v>
      </c>
      <c r="AN293" s="7">
        <v>-0.91222407969396357</v>
      </c>
      <c r="AO293" s="7">
        <v>4.0258569851032752E-2</v>
      </c>
      <c r="AP293" s="7">
        <v>-0.30358004022533047</v>
      </c>
      <c r="AQ293" s="7">
        <v>2.2740583656844949E-4</v>
      </c>
      <c r="AR293" s="7">
        <v>0.63879057001741368</v>
      </c>
      <c r="AS293" s="7">
        <v>0.55319696979360178</v>
      </c>
      <c r="AT293" s="7">
        <v>0.55098097991249251</v>
      </c>
      <c r="AU293" s="7">
        <v>-0.95048942458634067</v>
      </c>
    </row>
    <row r="294" spans="37:47" x14ac:dyDescent="0.25">
      <c r="AK294" t="str">
        <v>vw rabbit custom</v>
      </c>
      <c r="AL294" s="7">
        <v>31.9</v>
      </c>
      <c r="AM294" s="7">
        <v>32.835435847633079</v>
      </c>
      <c r="AN294" s="7">
        <v>-0.93543584763308019</v>
      </c>
      <c r="AO294" s="7">
        <v>5.1336358751507799E-2</v>
      </c>
      <c r="AP294" s="7">
        <v>-0.3131170267789195</v>
      </c>
      <c r="AQ294" s="7">
        <v>3.12088131316136E-4</v>
      </c>
      <c r="AR294" s="7">
        <v>0.63879057001741368</v>
      </c>
      <c r="AS294" s="7">
        <v>0.55656803120621701</v>
      </c>
      <c r="AT294" s="7">
        <v>0.55956860774968387</v>
      </c>
      <c r="AU294" s="7">
        <v>-0.98605639233943487</v>
      </c>
    </row>
    <row r="295" spans="37:47" x14ac:dyDescent="0.25">
      <c r="AK295" t="str">
        <v>maxda glc deluxe</v>
      </c>
      <c r="AL295" s="7">
        <v>34.1</v>
      </c>
      <c r="AM295" s="7">
        <v>32.801665800548349</v>
      </c>
      <c r="AN295" s="7">
        <v>1.2983341994516522</v>
      </c>
      <c r="AO295" s="7">
        <v>5.0233601015170104E-2</v>
      </c>
      <c r="AP295" s="7">
        <v>0.43433707282313838</v>
      </c>
      <c r="AQ295" s="7">
        <v>5.8692470421661575E-4</v>
      </c>
      <c r="AR295" s="7">
        <v>0.63879057001741368</v>
      </c>
      <c r="AS295" s="7">
        <v>0.55972501051096391</v>
      </c>
      <c r="AT295" s="7">
        <v>0.65904254249869054</v>
      </c>
      <c r="AU295" s="7">
        <v>1.3670037188506494</v>
      </c>
    </row>
    <row r="296" spans="37:47" x14ac:dyDescent="0.25">
      <c r="AK296" t="str">
        <v>dodge colt hatchback custom</v>
      </c>
      <c r="AL296" s="7">
        <v>35.700000000000003</v>
      </c>
      <c r="AM296" s="7">
        <v>30.80197628705325</v>
      </c>
      <c r="AN296" s="7">
        <v>4.8980237129467525</v>
      </c>
      <c r="AO296" s="7">
        <v>5.1390096085500124E-2</v>
      </c>
      <c r="AP296" s="7">
        <v>1.6395545081768079</v>
      </c>
      <c r="AQ296" s="7">
        <v>8.5663255114177064E-3</v>
      </c>
      <c r="AR296" s="7">
        <v>0.63879057001741368</v>
      </c>
      <c r="AS296" s="7">
        <v>0.56798307093810663</v>
      </c>
      <c r="AT296" s="7">
        <v>1.2804509003381612</v>
      </c>
      <c r="AU296" s="7">
        <v>5.1633697821778402</v>
      </c>
    </row>
    <row r="297" spans="37:47" x14ac:dyDescent="0.25">
      <c r="AK297" t="str">
        <v>amc spirit dl</v>
      </c>
      <c r="AL297" s="7">
        <v>27.4</v>
      </c>
      <c r="AM297" s="7">
        <v>26.979177527640108</v>
      </c>
      <c r="AN297" s="7">
        <v>0.42082247235989101</v>
      </c>
      <c r="AO297" s="7">
        <v>3.7568519575838552E-2</v>
      </c>
      <c r="AP297" s="7">
        <v>0.13985011155836161</v>
      </c>
      <c r="AQ297" s="7">
        <v>4.4908750776935722E-5</v>
      </c>
      <c r="AR297" s="7">
        <v>0.63879057001741368</v>
      </c>
      <c r="AS297" s="7">
        <v>0.56878580743136242</v>
      </c>
      <c r="AT297" s="7">
        <v>0.3739653881823311</v>
      </c>
      <c r="AU297" s="7">
        <v>0.43724928051441825</v>
      </c>
    </row>
    <row r="298" spans="37:47" x14ac:dyDescent="0.25">
      <c r="AK298" t="str">
        <v>mercedes benz 300d</v>
      </c>
      <c r="AL298" s="7">
        <v>25.4</v>
      </c>
      <c r="AM298" s="7">
        <v>24.611405323649461</v>
      </c>
      <c r="AN298" s="7">
        <v>0.78859467635053804</v>
      </c>
      <c r="AO298" s="7">
        <v>7.376096318342551E-2</v>
      </c>
      <c r="AP298" s="7">
        <v>0.26714134253452815</v>
      </c>
      <c r="AQ298" s="7">
        <v>3.3430031485072394E-4</v>
      </c>
      <c r="AR298" s="7">
        <v>0.63879057001741368</v>
      </c>
      <c r="AS298" s="7">
        <v>0.58752778997756971</v>
      </c>
      <c r="AT298" s="7">
        <v>0.51685717808165166</v>
      </c>
      <c r="AU298" s="7">
        <v>0.851394343150218</v>
      </c>
    </row>
    <row r="299" spans="37:47" x14ac:dyDescent="0.25">
      <c r="AK299" t="str">
        <v>cadillac eldorado</v>
      </c>
      <c r="AL299" s="7">
        <v>23</v>
      </c>
      <c r="AM299" s="7">
        <v>20.02066726313716</v>
      </c>
      <c r="AN299" s="7">
        <v>2.9793327368628404</v>
      </c>
      <c r="AO299" s="7">
        <v>3.823657901527007E-2</v>
      </c>
      <c r="AP299" s="7">
        <v>0.99045257304542067</v>
      </c>
      <c r="AQ299" s="7">
        <v>2.2941891516981274E-3</v>
      </c>
      <c r="AR299" s="7">
        <v>0.63879057001741368</v>
      </c>
      <c r="AS299" s="7">
        <v>0.60637414955155566</v>
      </c>
      <c r="AT299" s="7">
        <v>0.99521483763327234</v>
      </c>
      <c r="AU299" s="7">
        <v>3.0977812961657061</v>
      </c>
    </row>
    <row r="300" spans="37:47" x14ac:dyDescent="0.25">
      <c r="AK300" t="str">
        <v>peugeot 504</v>
      </c>
      <c r="AL300" s="7">
        <v>27.2</v>
      </c>
      <c r="AM300" s="7">
        <v>26.430349184510405</v>
      </c>
      <c r="AN300" s="7">
        <v>0.76965081548959446</v>
      </c>
      <c r="AO300" s="7">
        <v>6.4256653349343162E-2</v>
      </c>
      <c r="AP300" s="7">
        <v>0.25939653083974346</v>
      </c>
      <c r="AQ300" s="7">
        <v>2.7179456028937041E-4</v>
      </c>
      <c r="AR300" s="7">
        <v>0.70286023091909866</v>
      </c>
      <c r="AS300" s="7">
        <v>0.6077873084612555</v>
      </c>
      <c r="AT300" s="7">
        <v>0.50930985739502765</v>
      </c>
      <c r="AU300" s="7">
        <v>0.82250204422445117</v>
      </c>
    </row>
    <row r="301" spans="37:47" x14ac:dyDescent="0.25">
      <c r="AK301" t="str">
        <v>oldsmobile cutlass salon brougham</v>
      </c>
      <c r="AL301" s="7">
        <v>23.9</v>
      </c>
      <c r="AM301" s="7">
        <v>23.019330996767135</v>
      </c>
      <c r="AN301" s="7">
        <v>0.8806690032328639</v>
      </c>
      <c r="AO301" s="7">
        <v>4.1029673787680812E-2</v>
      </c>
      <c r="AP301" s="7">
        <v>0.29319660015181503</v>
      </c>
      <c r="AQ301" s="7">
        <v>2.1635245811846756E-4</v>
      </c>
      <c r="AR301" s="7">
        <v>0.70286023091909866</v>
      </c>
      <c r="AS301" s="7">
        <v>0.60888968943784472</v>
      </c>
      <c r="AT301" s="7">
        <v>0.54147631541168539</v>
      </c>
      <c r="AU301" s="7">
        <v>0.91834854443439884</v>
      </c>
    </row>
    <row r="302" spans="37:47" x14ac:dyDescent="0.25">
      <c r="AK302" t="str">
        <v>plymouth horizon</v>
      </c>
      <c r="AL302" s="7">
        <v>34.200000000000003</v>
      </c>
      <c r="AM302" s="7">
        <v>29.52129736628039</v>
      </c>
      <c r="AN302" s="7">
        <v>4.6787026337196131</v>
      </c>
      <c r="AO302" s="7">
        <v>4.2138891843300122E-2</v>
      </c>
      <c r="AP302" s="7">
        <v>1.5585580298512536</v>
      </c>
      <c r="AQ302" s="7">
        <v>6.2860466992159317E-3</v>
      </c>
      <c r="AR302" s="7">
        <v>0.71932811724388146</v>
      </c>
      <c r="AS302" s="7">
        <v>0.61570961852167438</v>
      </c>
      <c r="AT302" s="7">
        <v>1.2484222161797882</v>
      </c>
      <c r="AU302" s="7">
        <v>4.8845313729495397</v>
      </c>
    </row>
    <row r="303" spans="37:47" x14ac:dyDescent="0.25">
      <c r="AK303" t="str">
        <v>plymouth horizon tc3</v>
      </c>
      <c r="AL303" s="7">
        <v>34.5</v>
      </c>
      <c r="AM303" s="7">
        <v>29.774462847036226</v>
      </c>
      <c r="AN303" s="7">
        <v>4.7255371529637742</v>
      </c>
      <c r="AO303" s="7">
        <v>4.2926586189464336E-2</v>
      </c>
      <c r="AP303" s="7">
        <v>1.5748070831006031</v>
      </c>
      <c r="AQ303" s="7">
        <v>6.5431503106133538E-3</v>
      </c>
      <c r="AR303" s="7">
        <v>0.71932811724388146</v>
      </c>
      <c r="AS303" s="7">
        <v>0.62541466034937299</v>
      </c>
      <c r="AT303" s="7">
        <v>1.254913177514924</v>
      </c>
      <c r="AU303" s="7">
        <v>4.9374865969260453</v>
      </c>
    </row>
    <row r="304" spans="37:47" x14ac:dyDescent="0.25">
      <c r="AK304" t="str">
        <v>datsun 210</v>
      </c>
      <c r="AL304" s="7">
        <v>31.8</v>
      </c>
      <c r="AM304" s="7">
        <v>32.573816867868096</v>
      </c>
      <c r="AN304" s="7">
        <v>-0.77381686786809567</v>
      </c>
      <c r="AO304" s="7">
        <v>5.0247251768750244E-2</v>
      </c>
      <c r="AP304" s="7">
        <v>-0.25886999570707547</v>
      </c>
      <c r="AQ304" s="7">
        <v>2.0855291577570649E-4</v>
      </c>
      <c r="AR304" s="7">
        <v>0.73599343368381387</v>
      </c>
      <c r="AS304" s="7">
        <v>0.62988652393519529</v>
      </c>
      <c r="AT304" s="7">
        <v>0.5087926844079772</v>
      </c>
      <c r="AU304" s="7">
        <v>-0.81475612395878372</v>
      </c>
    </row>
    <row r="305" spans="37:47" x14ac:dyDescent="0.25">
      <c r="AK305" t="str">
        <v>fiat strada custom</v>
      </c>
      <c r="AL305" s="7">
        <v>37.299999999999997</v>
      </c>
      <c r="AM305" s="7">
        <v>31.829930240441236</v>
      </c>
      <c r="AN305" s="7">
        <v>5.4700697595587613</v>
      </c>
      <c r="AO305" s="7">
        <v>4.8806752355090292E-2</v>
      </c>
      <c r="AP305" s="7">
        <v>1.8285518903811393</v>
      </c>
      <c r="AQ305" s="7">
        <v>1.009198993344795E-2</v>
      </c>
      <c r="AR305" s="7">
        <v>0.74440308519999565</v>
      </c>
      <c r="AS305" s="7">
        <v>0.65290692305069276</v>
      </c>
      <c r="AT305" s="7">
        <v>1.3522395832030429</v>
      </c>
      <c r="AU305" s="7">
        <v>5.7507449438926157</v>
      </c>
    </row>
    <row r="306" spans="37:47" x14ac:dyDescent="0.25">
      <c r="AK306" t="str">
        <v>buick skylark limited</v>
      </c>
      <c r="AL306" s="7">
        <v>28.4</v>
      </c>
      <c r="AM306" s="7">
        <v>26.816813208104694</v>
      </c>
      <c r="AN306" s="7">
        <v>1.5831867918953044</v>
      </c>
      <c r="AO306" s="7">
        <v>3.7365772034929169E-2</v>
      </c>
      <c r="AP306" s="7">
        <v>0.52607820754973145</v>
      </c>
      <c r="AQ306" s="7">
        <v>6.3192329082867879E-4</v>
      </c>
      <c r="AR306" s="7">
        <v>0.74440308519999565</v>
      </c>
      <c r="AS306" s="7">
        <v>0.6556418348632248</v>
      </c>
      <c r="AT306" s="7">
        <v>0.72531248958619998</v>
      </c>
      <c r="AU306" s="7">
        <v>1.6446400365817351</v>
      </c>
    </row>
    <row r="307" spans="37:47" x14ac:dyDescent="0.25">
      <c r="AK307" t="str">
        <v>chevrolet citation</v>
      </c>
      <c r="AL307" s="7">
        <v>28.8</v>
      </c>
      <c r="AM307" s="7">
        <v>26.790650630399924</v>
      </c>
      <c r="AN307" s="7">
        <v>2.009349369600077</v>
      </c>
      <c r="AO307" s="7">
        <v>4.7508372778672189E-2</v>
      </c>
      <c r="AP307" s="7">
        <v>0.67123358040088366</v>
      </c>
      <c r="AQ307" s="7">
        <v>1.3219268319857665E-3</v>
      </c>
      <c r="AR307" s="7">
        <v>0.74440308519999565</v>
      </c>
      <c r="AS307" s="7">
        <v>0.66552441488229708</v>
      </c>
      <c r="AT307" s="7">
        <v>0.81928845982406195</v>
      </c>
      <c r="AU307" s="7">
        <v>2.109571687744789</v>
      </c>
    </row>
    <row r="308" spans="37:47" x14ac:dyDescent="0.25">
      <c r="AK308" t="str">
        <v>oldsmobile omega brougham</v>
      </c>
      <c r="AL308" s="7">
        <v>26.8</v>
      </c>
      <c r="AM308" s="7">
        <v>26.259003120812665</v>
      </c>
      <c r="AN308" s="7">
        <v>0.54099687918733608</v>
      </c>
      <c r="AO308" s="7">
        <v>4.4408542497802156E-2</v>
      </c>
      <c r="AP308" s="7">
        <v>0.18042945365691565</v>
      </c>
      <c r="AQ308" s="7">
        <v>8.8993893524178441E-5</v>
      </c>
      <c r="AR308" s="7">
        <v>0.74440308519999565</v>
      </c>
      <c r="AS308" s="7">
        <v>0.67123358040088366</v>
      </c>
      <c r="AT308" s="7">
        <v>0.42476988318019399</v>
      </c>
      <c r="AU308" s="7">
        <v>0.56613825389506667</v>
      </c>
    </row>
    <row r="309" spans="37:47" x14ac:dyDescent="0.25">
      <c r="AK309" t="str">
        <v>pontiac phoenix</v>
      </c>
      <c r="AL309" s="7">
        <v>33.5</v>
      </c>
      <c r="AM309" s="7">
        <v>27.394030504228002</v>
      </c>
      <c r="AN309" s="7">
        <v>6.1059694957719977</v>
      </c>
      <c r="AO309" s="7">
        <v>3.880551738458058E-2</v>
      </c>
      <c r="AP309" s="7">
        <v>2.0304757137130016</v>
      </c>
      <c r="AQ309" s="7">
        <v>9.7910413829515944E-3</v>
      </c>
      <c r="AR309" s="7">
        <v>0.74440308519999565</v>
      </c>
      <c r="AS309" s="7">
        <v>0.67383986412758512</v>
      </c>
      <c r="AT309" s="7">
        <v>1.4249476178839002</v>
      </c>
      <c r="AU309" s="7">
        <v>6.3524807998872364</v>
      </c>
    </row>
    <row r="310" spans="37:47" x14ac:dyDescent="0.25">
      <c r="AK310" t="str">
        <v>vw rabbit</v>
      </c>
      <c r="AL310" s="7">
        <v>41.5</v>
      </c>
      <c r="AM310" s="7">
        <v>35.706490359450044</v>
      </c>
      <c r="AN310" s="7">
        <v>5.7935096405499564</v>
      </c>
      <c r="AO310" s="7">
        <v>4.9995549357879324E-2</v>
      </c>
      <c r="AP310" s="7">
        <v>1.937883735039764</v>
      </c>
      <c r="AQ310" s="7">
        <v>1.1625515480960857E-2</v>
      </c>
      <c r="AR310" s="7">
        <v>0.74440308519999565</v>
      </c>
      <c r="AS310" s="7">
        <v>0.6741998247581702</v>
      </c>
      <c r="AT310" s="7">
        <v>1.3920789255784902</v>
      </c>
      <c r="AU310" s="7">
        <v>6.0984026302550962</v>
      </c>
    </row>
    <row r="311" spans="37:47" x14ac:dyDescent="0.25">
      <c r="AK311" t="str">
        <v>toyota corolla tercel</v>
      </c>
      <c r="AL311" s="7">
        <v>38.1</v>
      </c>
      <c r="AM311" s="7">
        <v>36.979392604917109</v>
      </c>
      <c r="AN311" s="7">
        <v>1.1206073950828923</v>
      </c>
      <c r="AO311" s="7">
        <v>4.2765216076787169E-2</v>
      </c>
      <c r="AP311" s="7">
        <v>0.3734161112853604</v>
      </c>
      <c r="AQ311" s="7">
        <v>3.6644549050544065E-4</v>
      </c>
      <c r="AR311" s="7">
        <v>0.74440308519999565</v>
      </c>
      <c r="AS311" s="7">
        <v>0.67897281388579944</v>
      </c>
      <c r="AT311" s="7">
        <v>0.61107782751901607</v>
      </c>
      <c r="AU311" s="7">
        <v>1.1706714109260627</v>
      </c>
    </row>
    <row r="312" spans="37:47" x14ac:dyDescent="0.25">
      <c r="AK312" t="str">
        <v>chevrolet chevette</v>
      </c>
      <c r="AL312" s="7">
        <v>32.1</v>
      </c>
      <c r="AM312" s="7">
        <v>33.987463612784964</v>
      </c>
      <c r="AN312" s="7">
        <v>-1.8874636127849627</v>
      </c>
      <c r="AO312" s="7">
        <v>5.2829218384543734E-2</v>
      </c>
      <c r="AP312" s="7">
        <v>-0.63228553332444015</v>
      </c>
      <c r="AQ312" s="7">
        <v>1.3116666064299904E-3</v>
      </c>
      <c r="AR312" s="7">
        <v>0.80482899480686976</v>
      </c>
      <c r="AS312" s="7">
        <v>0.68086529918536198</v>
      </c>
      <c r="AT312" s="7">
        <v>0.79516384055390754</v>
      </c>
      <c r="AU312" s="7">
        <v>-1.9927384262907486</v>
      </c>
    </row>
    <row r="313" spans="37:47" x14ac:dyDescent="0.25">
      <c r="AK313" t="str">
        <v>datsun 310</v>
      </c>
      <c r="AL313" s="7">
        <v>37.200000000000003</v>
      </c>
      <c r="AM313" s="7">
        <v>36.639981654778452</v>
      </c>
      <c r="AN313" s="7">
        <v>0.56001834522155036</v>
      </c>
      <c r="AO313" s="7">
        <v>4.2480429377182466E-2</v>
      </c>
      <c r="AP313" s="7">
        <v>0.18658521528183183</v>
      </c>
      <c r="AQ313" s="7">
        <v>9.0854569129831202E-5</v>
      </c>
      <c r="AR313" s="7">
        <v>0.80482899480686976</v>
      </c>
      <c r="AS313" s="7">
        <v>0.68104115262367493</v>
      </c>
      <c r="AT313" s="7">
        <v>0.43195510794737901</v>
      </c>
      <c r="AU313" s="7">
        <v>0.5848636021687651</v>
      </c>
    </row>
    <row r="314" spans="37:47" x14ac:dyDescent="0.25">
      <c r="AK314" t="str">
        <v>chevrolet citation</v>
      </c>
      <c r="AL314" s="7">
        <v>28</v>
      </c>
      <c r="AM314" s="7">
        <v>30.837408208478998</v>
      </c>
      <c r="AN314" s="7">
        <v>-2.8374082084789976</v>
      </c>
      <c r="AO314" s="7">
        <v>4.6802528507141401E-2</v>
      </c>
      <c r="AP314" s="7">
        <v>-0.9474999235105962</v>
      </c>
      <c r="AQ314" s="7">
        <v>2.5929603784530155E-3</v>
      </c>
      <c r="AR314" s="7">
        <v>0.82263729107406613</v>
      </c>
      <c r="AS314" s="7">
        <v>0.69192234930796725</v>
      </c>
      <c r="AT314" s="7">
        <v>0.97339607740662082</v>
      </c>
      <c r="AU314" s="7">
        <v>-2.976726537089073</v>
      </c>
    </row>
    <row r="315" spans="37:47" x14ac:dyDescent="0.25">
      <c r="AK315" t="str">
        <v>ford fairmont</v>
      </c>
      <c r="AL315" s="7">
        <v>26.4</v>
      </c>
      <c r="AM315" s="7">
        <v>29.89772562628367</v>
      </c>
      <c r="AN315" s="7">
        <v>-3.4977256262836711</v>
      </c>
      <c r="AO315" s="7">
        <v>4.5219370689363984E-2</v>
      </c>
      <c r="AP315" s="7">
        <v>-1.1670319415810073</v>
      </c>
      <c r="AQ315" s="7">
        <v>3.7943507873432376E-3</v>
      </c>
      <c r="AR315" s="7">
        <v>0.83163987967842667</v>
      </c>
      <c r="AS315" s="7">
        <v>0.70221206283556825</v>
      </c>
      <c r="AT315" s="7">
        <v>1.0802925259303646</v>
      </c>
      <c r="AU315" s="7">
        <v>-3.6633814291028028</v>
      </c>
    </row>
    <row r="316" spans="37:47" x14ac:dyDescent="0.25">
      <c r="AK316" t="str">
        <v>amc concord</v>
      </c>
      <c r="AL316" s="7">
        <v>24.3</v>
      </c>
      <c r="AM316" s="7">
        <v>29.19183258356605</v>
      </c>
      <c r="AN316" s="7">
        <v>-4.8918325835660497</v>
      </c>
      <c r="AO316" s="7">
        <v>4.4937923213259942E-2</v>
      </c>
      <c r="AP316" s="7">
        <v>-1.6319415081566486</v>
      </c>
      <c r="AQ316" s="7">
        <v>7.3712586997697633E-3</v>
      </c>
      <c r="AR316" s="7">
        <v>0.84071038002398013</v>
      </c>
      <c r="AS316" s="7">
        <v>0.71162663600437204</v>
      </c>
      <c r="AT316" s="7">
        <v>1.2774746604753648</v>
      </c>
      <c r="AU316" s="7">
        <v>-5.1220048439410162</v>
      </c>
    </row>
    <row r="317" spans="37:47" x14ac:dyDescent="0.25">
      <c r="AK317" t="str">
        <v>dodge aspen</v>
      </c>
      <c r="AL317" s="7">
        <v>19.100000000000001</v>
      </c>
      <c r="AM317" s="7">
        <v>27.277901549051926</v>
      </c>
      <c r="AN317" s="7">
        <v>-8.1779015490519242</v>
      </c>
      <c r="AO317" s="7">
        <v>4.8156061843653876E-2</v>
      </c>
      <c r="AP317" s="7">
        <v>-2.7327997376671536</v>
      </c>
      <c r="AQ317" s="7">
        <v>2.2225518853665093E-2</v>
      </c>
      <c r="AR317" s="7">
        <v>0.84071038002398013</v>
      </c>
      <c r="AS317" s="7">
        <v>0.71980311888979953</v>
      </c>
      <c r="AT317" s="7">
        <v>1.6531181862368927</v>
      </c>
      <c r="AU317" s="7">
        <v>-8.591641151691249</v>
      </c>
    </row>
    <row r="318" spans="37:47" x14ac:dyDescent="0.25">
      <c r="AK318" t="str">
        <v>audi 4000</v>
      </c>
      <c r="AL318" s="7">
        <v>34.299999999999997</v>
      </c>
      <c r="AM318" s="7">
        <v>35.451231872477827</v>
      </c>
      <c r="AN318" s="7">
        <v>-1.1512318724778297</v>
      </c>
      <c r="AO318" s="7">
        <v>5.002878398459612E-2</v>
      </c>
      <c r="AP318" s="7">
        <v>-0.38508480762603786</v>
      </c>
      <c r="AQ318" s="7">
        <v>4.5938133914691137E-4</v>
      </c>
      <c r="AR318" s="7">
        <v>0.84071038002398013</v>
      </c>
      <c r="AS318" s="7">
        <v>0.73255545774192499</v>
      </c>
      <c r="AT318" s="7">
        <v>0.62055201846907071</v>
      </c>
      <c r="AU318" s="7">
        <v>-1.2118597417157555</v>
      </c>
    </row>
    <row r="319" spans="37:47" x14ac:dyDescent="0.25">
      <c r="AK319" t="str">
        <v>toyota corona liftback</v>
      </c>
      <c r="AL319" s="7">
        <v>29.8</v>
      </c>
      <c r="AM319" s="7">
        <v>32.730260602279131</v>
      </c>
      <c r="AN319" s="7">
        <v>-2.9302606022791302</v>
      </c>
      <c r="AO319" s="7">
        <v>4.4122580147146255E-2</v>
      </c>
      <c r="AP319" s="7">
        <v>-0.97713360215342948</v>
      </c>
      <c r="AQ319" s="7">
        <v>2.592493482164753E-3</v>
      </c>
      <c r="AR319" s="7">
        <v>0.84071038002398013</v>
      </c>
      <c r="AS319" s="7">
        <v>0.74258970300151861</v>
      </c>
      <c r="AT319" s="7">
        <v>0.98850068394181168</v>
      </c>
      <c r="AU319" s="7">
        <v>-3.0655192197449437</v>
      </c>
    </row>
    <row r="320" spans="37:47" x14ac:dyDescent="0.25">
      <c r="AK320" t="str">
        <v>mazda 626</v>
      </c>
      <c r="AL320" s="7">
        <v>31.3</v>
      </c>
      <c r="AM320" s="7">
        <v>33.829506406536979</v>
      </c>
      <c r="AN320" s="7">
        <v>-2.5295064065369779</v>
      </c>
      <c r="AO320" s="7">
        <v>4.4312786169455297E-2</v>
      </c>
      <c r="AP320" s="7">
        <v>-0.84358082508022647</v>
      </c>
      <c r="AQ320" s="7">
        <v>1.9409652460273955E-3</v>
      </c>
      <c r="AR320" s="7">
        <v>0.84071038002398013</v>
      </c>
      <c r="AS320" s="7">
        <v>0.74844507336636135</v>
      </c>
      <c r="AT320" s="7">
        <v>0.91846656176489438</v>
      </c>
      <c r="AU320" s="7">
        <v>-2.6467931870703998</v>
      </c>
    </row>
    <row r="321" spans="37:47" x14ac:dyDescent="0.25">
      <c r="AK321" t="str">
        <v>datsun 510 hatchback</v>
      </c>
      <c r="AL321" s="7">
        <v>37</v>
      </c>
      <c r="AM321" s="7">
        <v>34.100324501759388</v>
      </c>
      <c r="AN321" s="7">
        <v>2.8996754982406117</v>
      </c>
      <c r="AO321" s="7">
        <v>4.3635560442854847E-2</v>
      </c>
      <c r="AP321" s="7">
        <v>0.96668836786536427</v>
      </c>
      <c r="AQ321" s="7">
        <v>2.5080789491045362E-3</v>
      </c>
      <c r="AR321" s="7">
        <v>0.84071038002398013</v>
      </c>
      <c r="AS321" s="7">
        <v>0.77893428137700682</v>
      </c>
      <c r="AT321" s="7">
        <v>0.98320311628135326</v>
      </c>
      <c r="AU321" s="7">
        <v>3.0319775373322515</v>
      </c>
    </row>
    <row r="322" spans="37:47" x14ac:dyDescent="0.25">
      <c r="AK322" t="str">
        <v>toyota corolla</v>
      </c>
      <c r="AL322" s="7">
        <v>32.200000000000003</v>
      </c>
      <c r="AM322" s="7">
        <v>35.23204316992431</v>
      </c>
      <c r="AN322" s="7">
        <v>-3.0320431699243073</v>
      </c>
      <c r="AO322" s="7">
        <v>4.2341728892895142E-2</v>
      </c>
      <c r="AP322" s="7">
        <v>-1.0101337973139408</v>
      </c>
      <c r="AQ322" s="7">
        <v>2.6537921553327799E-3</v>
      </c>
      <c r="AR322" s="7">
        <v>0.84071038002398013</v>
      </c>
      <c r="AS322" s="7">
        <v>0.78371741325869382</v>
      </c>
      <c r="AT322" s="7">
        <v>1.0050541265593316</v>
      </c>
      <c r="AU322" s="7">
        <v>-3.1661013760358392</v>
      </c>
    </row>
    <row r="323" spans="37:47" x14ac:dyDescent="0.25">
      <c r="AK323" t="str">
        <v>mazda glc</v>
      </c>
      <c r="AL323" s="7">
        <v>46.6</v>
      </c>
      <c r="AM323" s="7">
        <v>36.179220479802822</v>
      </c>
      <c r="AN323" s="7">
        <v>10.420779520197179</v>
      </c>
      <c r="AO323" s="7">
        <v>4.2543065339562161E-2</v>
      </c>
      <c r="AP323" s="7">
        <v>3.4720773077781244</v>
      </c>
      <c r="AQ323" s="7">
        <v>3.1509345424163913E-2</v>
      </c>
      <c r="AR323" s="7">
        <v>0.90626440989817525</v>
      </c>
      <c r="AS323" s="7">
        <v>0.7914864360088929</v>
      </c>
      <c r="AT323" s="7">
        <v>1.8633510962183495</v>
      </c>
      <c r="AU323" s="7">
        <v>10.883810167287482</v>
      </c>
    </row>
    <row r="324" spans="37:47" x14ac:dyDescent="0.25">
      <c r="AK324" t="str">
        <v>dodge colt</v>
      </c>
      <c r="AL324" s="7">
        <v>27.9</v>
      </c>
      <c r="AM324" s="7">
        <v>29.976137956131645</v>
      </c>
      <c r="AN324" s="7">
        <v>-2.076137956131646</v>
      </c>
      <c r="AO324" s="7">
        <v>4.8543440672513642E-2</v>
      </c>
      <c r="AP324" s="7">
        <v>-0.69392179736044635</v>
      </c>
      <c r="AQ324" s="7">
        <v>1.4451526667439193E-3</v>
      </c>
      <c r="AR324" s="7">
        <v>0.91594855621391613</v>
      </c>
      <c r="AS324" s="7">
        <v>0.80808342930667132</v>
      </c>
      <c r="AT324" s="7">
        <v>0.83301968605816656</v>
      </c>
      <c r="AU324" s="7">
        <v>-2.1820627918095523</v>
      </c>
    </row>
    <row r="325" spans="37:47" x14ac:dyDescent="0.25">
      <c r="AK325" t="str">
        <v>datsun 210</v>
      </c>
      <c r="AL325" s="7">
        <v>40.799999999999997</v>
      </c>
      <c r="AM325" s="7">
        <v>36.179220479802822</v>
      </c>
      <c r="AN325" s="7">
        <v>4.6207795201971749</v>
      </c>
      <c r="AO325" s="7">
        <v>4.2543065339562161E-2</v>
      </c>
      <c r="AP325" s="7">
        <v>1.539587675300794</v>
      </c>
      <c r="AQ325" s="7">
        <v>6.1954015492519943E-3</v>
      </c>
      <c r="AR325" s="7">
        <v>0.91594855621391613</v>
      </c>
      <c r="AS325" s="7">
        <v>0.81643234827063926</v>
      </c>
      <c r="AT325" s="7">
        <v>1.2408012231218963</v>
      </c>
      <c r="AU325" s="7">
        <v>4.8260964571069032</v>
      </c>
    </row>
    <row r="326" spans="37:47" x14ac:dyDescent="0.25">
      <c r="AK326" t="str">
        <v>vw rabbit c (diesel)</v>
      </c>
      <c r="AL326" s="7">
        <v>44.3</v>
      </c>
      <c r="AM326" s="7">
        <v>36.459845721441084</v>
      </c>
      <c r="AN326" s="7">
        <v>7.8401542785589129</v>
      </c>
      <c r="AO326" s="7">
        <v>4.9109161636258357E-2</v>
      </c>
      <c r="AP326" s="7">
        <v>2.6212478115325442</v>
      </c>
      <c r="AQ326" s="7">
        <v>2.0873683660506931E-2</v>
      </c>
      <c r="AR326" s="7">
        <v>0.93557937876868658</v>
      </c>
      <c r="AS326" s="7">
        <v>0.82794023224202973</v>
      </c>
      <c r="AT326" s="7">
        <v>1.6190268100104286</v>
      </c>
      <c r="AU326" s="7">
        <v>8.2450623796628069</v>
      </c>
    </row>
    <row r="327" spans="37:47" x14ac:dyDescent="0.25">
      <c r="AK327" t="str">
        <v>vw dasher (diesel)</v>
      </c>
      <c r="AL327" s="7">
        <v>43.4</v>
      </c>
      <c r="AM327" s="7">
        <v>35.1940183176619</v>
      </c>
      <c r="AN327" s="7">
        <v>8.2059816823380984</v>
      </c>
      <c r="AO327" s="7">
        <v>5.1764620516722759E-2</v>
      </c>
      <c r="AP327" s="7">
        <v>2.7473960479992194</v>
      </c>
      <c r="AQ327" s="7">
        <v>2.4238765461914558E-2</v>
      </c>
      <c r="AR327" s="7">
        <v>0.94553119002021024</v>
      </c>
      <c r="AS327" s="7">
        <v>0.83361742346055501</v>
      </c>
      <c r="AT327" s="7">
        <v>1.6575270881645403</v>
      </c>
      <c r="AU327" s="7">
        <v>8.6539501266128589</v>
      </c>
    </row>
    <row r="328" spans="37:47" x14ac:dyDescent="0.25">
      <c r="AK328" t="str">
        <v>audi 5000s (diesel)</v>
      </c>
      <c r="AL328" s="7">
        <v>36.4</v>
      </c>
      <c r="AM328" s="7">
        <v>31.771590697247824</v>
      </c>
      <c r="AN328" s="7">
        <v>4.6284093027521749</v>
      </c>
      <c r="AO328" s="7">
        <v>5.6567924201591298E-2</v>
      </c>
      <c r="AP328" s="7">
        <v>1.5535500258921526</v>
      </c>
      <c r="AQ328" s="7">
        <v>8.512579252521876E-3</v>
      </c>
      <c r="AR328" s="7">
        <v>0.95557753794043188</v>
      </c>
      <c r="AS328" s="7">
        <v>0.84720077695598384</v>
      </c>
      <c r="AT328" s="7">
        <v>1.2464148690914083</v>
      </c>
      <c r="AU328" s="7">
        <v>4.905927433975827</v>
      </c>
    </row>
    <row r="329" spans="37:47" x14ac:dyDescent="0.25">
      <c r="AK329" t="str">
        <v>mercedes-benz 240d</v>
      </c>
      <c r="AL329" s="7">
        <v>30</v>
      </c>
      <c r="AM329" s="7">
        <v>30.2525978127128</v>
      </c>
      <c r="AN329" s="7">
        <v>-0.25259781271279991</v>
      </c>
      <c r="AO329" s="7">
        <v>6.6408958190973158E-2</v>
      </c>
      <c r="AP329" s="7">
        <v>-8.5231484219193049E-2</v>
      </c>
      <c r="AQ329" s="7">
        <v>3.0396331523534392E-5</v>
      </c>
      <c r="AR329" s="7">
        <v>0.96572126957388438</v>
      </c>
      <c r="AS329" s="7">
        <v>0.8534981078051288</v>
      </c>
      <c r="AT329" s="7">
        <v>0.29194431698389517</v>
      </c>
      <c r="AU329" s="7">
        <v>-0.27056580601216901</v>
      </c>
    </row>
    <row r="330" spans="37:47" x14ac:dyDescent="0.25">
      <c r="AK330" t="str">
        <v>honda civic 1500 gl</v>
      </c>
      <c r="AL330" s="7">
        <v>44.6</v>
      </c>
      <c r="AM330" s="7">
        <v>37.463208115826092</v>
      </c>
      <c r="AN330" s="7">
        <v>7.1367918841739098</v>
      </c>
      <c r="AO330" s="7">
        <v>4.3492507562084851E-2</v>
      </c>
      <c r="AP330" s="7">
        <v>2.3790723412149868</v>
      </c>
      <c r="AQ330" s="7">
        <v>1.5138834664552051E-2</v>
      </c>
      <c r="AR330" s="7">
        <v>0.96572126957388438</v>
      </c>
      <c r="AS330" s="7">
        <v>0.86418422319002008</v>
      </c>
      <c r="AT330" s="7">
        <v>1.5424241768122628</v>
      </c>
      <c r="AU330" s="7">
        <v>7.461302645924798</v>
      </c>
    </row>
    <row r="331" spans="37:47" x14ac:dyDescent="0.25">
      <c r="AK331" t="str">
        <v>subaru dl</v>
      </c>
      <c r="AL331" s="7">
        <v>33.799999999999997</v>
      </c>
      <c r="AM331" s="7">
        <v>35.969531779366662</v>
      </c>
      <c r="AN331" s="7">
        <v>-2.1695317793666646</v>
      </c>
      <c r="AO331" s="7">
        <v>4.2462545848669514E-2</v>
      </c>
      <c r="AP331" s="7">
        <v>-0.72283127398567082</v>
      </c>
      <c r="AQ331" s="7">
        <v>1.362935193344648E-3</v>
      </c>
      <c r="AR331" s="7">
        <v>0.96572126957388438</v>
      </c>
      <c r="AS331" s="7">
        <v>0.87264012009621761</v>
      </c>
      <c r="AT331" s="7">
        <v>0.85019484471835682</v>
      </c>
      <c r="AU331" s="7">
        <v>-2.2657409064896892</v>
      </c>
    </row>
    <row r="332" spans="37:47" x14ac:dyDescent="0.25">
      <c r="AK332" t="str">
        <v>vokswagen rabbit</v>
      </c>
      <c r="AL332" s="7">
        <v>29.8</v>
      </c>
      <c r="AM332" s="7">
        <v>37.447729981719526</v>
      </c>
      <c r="AN332" s="7">
        <v>-7.6477299817195252</v>
      </c>
      <c r="AO332" s="7">
        <v>5.037136542363066E-2</v>
      </c>
      <c r="AP332" s="7">
        <v>-2.5586120959927139</v>
      </c>
      <c r="AQ332" s="7">
        <v>2.0426309022841115E-2</v>
      </c>
      <c r="AR332" s="7">
        <v>0.96572126957388438</v>
      </c>
      <c r="AS332" s="7">
        <v>0.87970525767098529</v>
      </c>
      <c r="AT332" s="7">
        <v>1.5995662211964574</v>
      </c>
      <c r="AU332" s="7">
        <v>-8.0533902446309327</v>
      </c>
    </row>
    <row r="333" spans="37:47" x14ac:dyDescent="0.25">
      <c r="AK333" t="str">
        <v>datsun 280-zx</v>
      </c>
      <c r="AL333" s="7">
        <v>32.700000000000003</v>
      </c>
      <c r="AM333" s="7">
        <v>31.040731846822165</v>
      </c>
      <c r="AN333" s="7">
        <v>1.6592681531778375</v>
      </c>
      <c r="AO333" s="7">
        <v>5.5299275867682678E-2</v>
      </c>
      <c r="AP333" s="7">
        <v>0.55656803120621701</v>
      </c>
      <c r="AQ333" s="7">
        <v>1.0666275308936534E-3</v>
      </c>
      <c r="AR333" s="7">
        <v>0.96572126957388438</v>
      </c>
      <c r="AS333" s="7">
        <v>0.88224971223868354</v>
      </c>
      <c r="AT333" s="7">
        <v>0.74603487264753043</v>
      </c>
      <c r="AU333" s="7">
        <v>1.7563955555362059</v>
      </c>
    </row>
    <row r="334" spans="37:47" x14ac:dyDescent="0.25">
      <c r="AK334" t="str">
        <v>mazda rx-7 gs</v>
      </c>
      <c r="AL334" s="7">
        <v>23.7</v>
      </c>
      <c r="AM334" s="7">
        <v>34.041319380742692</v>
      </c>
      <c r="AN334" s="7">
        <v>-10.341319380742693</v>
      </c>
      <c r="AO334" s="7">
        <v>4.5913395389664366E-2</v>
      </c>
      <c r="AP334" s="7">
        <v>-3.451682617569364</v>
      </c>
      <c r="AQ334" s="7">
        <v>3.3725966329777535E-2</v>
      </c>
      <c r="AR334" s="7">
        <v>0.96572126957388438</v>
      </c>
      <c r="AS334" s="7">
        <v>0.88428252049290279</v>
      </c>
      <c r="AT334" s="7">
        <v>1.8578704523107537</v>
      </c>
      <c r="AU334" s="7">
        <v>-10.838973454580943</v>
      </c>
    </row>
    <row r="335" spans="37:47" x14ac:dyDescent="0.25">
      <c r="AK335" t="str">
        <v>triumph tr7 coupe</v>
      </c>
      <c r="AL335" s="7">
        <v>35</v>
      </c>
      <c r="AM335" s="7">
        <v>33.709114953025988</v>
      </c>
      <c r="AN335" s="7">
        <v>1.2908850469740116</v>
      </c>
      <c r="AO335" s="7">
        <v>4.9786115999968433E-2</v>
      </c>
      <c r="AP335" s="7">
        <v>0.43174338069117302</v>
      </c>
      <c r="AQ335" s="7">
        <v>5.7449906899618758E-4</v>
      </c>
      <c r="AR335" s="7">
        <v>1.0288047620058449</v>
      </c>
      <c r="AS335" s="7">
        <v>0.89210317838710018</v>
      </c>
      <c r="AT335" s="7">
        <v>0.65707182308418388</v>
      </c>
      <c r="AU335" s="7">
        <v>1.3585205064989019</v>
      </c>
    </row>
    <row r="336" spans="37:47" x14ac:dyDescent="0.25">
      <c r="AK336" t="str">
        <v>honda accord</v>
      </c>
      <c r="AL336" s="7">
        <v>32.4</v>
      </c>
      <c r="AM336" s="7">
        <v>35.154169725407016</v>
      </c>
      <c r="AN336" s="7">
        <v>-2.7541697254070172</v>
      </c>
      <c r="AO336" s="7">
        <v>4.2569726514608816E-2</v>
      </c>
      <c r="AP336" s="7">
        <v>-0.91766871471414591</v>
      </c>
      <c r="AQ336" s="7">
        <v>2.2025036410607212E-3</v>
      </c>
      <c r="AR336" s="7">
        <v>1.0397213301736039</v>
      </c>
      <c r="AS336" s="7">
        <v>0.89328897781380623</v>
      </c>
      <c r="AT336" s="7">
        <v>0.95795026734906541</v>
      </c>
      <c r="AU336" s="7">
        <v>-2.876626947862059</v>
      </c>
    </row>
    <row r="337" spans="37:47" x14ac:dyDescent="0.25">
      <c r="AK337" t="str">
        <v>plymouth reliant</v>
      </c>
      <c r="AL337" s="7">
        <v>27.2</v>
      </c>
      <c r="AM337" s="7">
        <v>29.250550208008114</v>
      </c>
      <c r="AN337" s="7">
        <v>-2.050550208008115</v>
      </c>
      <c r="AO337" s="7">
        <v>4.2608580271655559E-2</v>
      </c>
      <c r="AP337" s="7">
        <v>-0.68324182750021734</v>
      </c>
      <c r="AQ337" s="7">
        <v>1.2221021344029587E-3</v>
      </c>
      <c r="AR337" s="7">
        <v>1.050763231139634</v>
      </c>
      <c r="AS337" s="7">
        <v>0.89925474334883049</v>
      </c>
      <c r="AT337" s="7">
        <v>0.82658443458621778</v>
      </c>
      <c r="AU337" s="7">
        <v>-2.1418096775819753</v>
      </c>
    </row>
    <row r="338" spans="37:47" x14ac:dyDescent="0.25">
      <c r="AK338" t="str">
        <v>buick skylark</v>
      </c>
      <c r="AL338" s="7">
        <v>26.6</v>
      </c>
      <c r="AM338" s="7">
        <v>28.516370313816182</v>
      </c>
      <c r="AN338" s="7">
        <v>-1.9163703138161807</v>
      </c>
      <c r="AO338" s="7">
        <v>4.1092528424654287E-2</v>
      </c>
      <c r="AP338" s="7">
        <v>-0.63802821850481273</v>
      </c>
      <c r="AQ338" s="7">
        <v>1.0261645662393696E-3</v>
      </c>
      <c r="AR338" s="7">
        <v>1.0619347543176552</v>
      </c>
      <c r="AS338" s="7">
        <v>0.92150618089199277</v>
      </c>
      <c r="AT338" s="7">
        <v>0.79876668590071576</v>
      </c>
      <c r="AU338" s="7">
        <v>-1.9984934632617499</v>
      </c>
    </row>
    <row r="339" spans="37:47" x14ac:dyDescent="0.25">
      <c r="AK339" t="str">
        <v>dodge aries wagon (sw)</v>
      </c>
      <c r="AL339" s="7">
        <v>25.8</v>
      </c>
      <c r="AM339" s="7">
        <v>28.462428502414603</v>
      </c>
      <c r="AN339" s="7">
        <v>-2.6624285024146026</v>
      </c>
      <c r="AO339" s="7">
        <v>4.2310893601892552E-2</v>
      </c>
      <c r="AP339" s="7">
        <v>-0.88698134092906389</v>
      </c>
      <c r="AQ339" s="7">
        <v>2.0445968935016087E-3</v>
      </c>
      <c r="AR339" s="7">
        <v>1.0619347543176552</v>
      </c>
      <c r="AS339" s="7">
        <v>0.9235433462638315</v>
      </c>
      <c r="AT339" s="7">
        <v>0.94179686818817987</v>
      </c>
      <c r="AU339" s="7">
        <v>-2.7800551187514939</v>
      </c>
    </row>
    <row r="340" spans="37:47" x14ac:dyDescent="0.25">
      <c r="AK340" t="str">
        <v>chevrolet citation</v>
      </c>
      <c r="AL340" s="7">
        <v>23.5</v>
      </c>
      <c r="AM340" s="7">
        <v>27.638525217663606</v>
      </c>
      <c r="AN340" s="7">
        <v>-4.1385252176636058</v>
      </c>
      <c r="AO340" s="7">
        <v>4.6648569894361711E-2</v>
      </c>
      <c r="AP340" s="7">
        <v>-1.3818722583783176</v>
      </c>
      <c r="AQ340" s="7">
        <v>5.4963222423871387E-3</v>
      </c>
      <c r="AR340" s="7">
        <v>1.0846849303794233</v>
      </c>
      <c r="AS340" s="7">
        <v>0.92900557209987766</v>
      </c>
      <c r="AT340" s="7">
        <v>1.1755306284305473</v>
      </c>
      <c r="AU340" s="7">
        <v>-4.3410279640583607</v>
      </c>
    </row>
    <row r="341" spans="37:47" x14ac:dyDescent="0.25">
      <c r="AK341" t="str">
        <v>plymouth reliant</v>
      </c>
      <c r="AL341" s="7">
        <v>30</v>
      </c>
      <c r="AM341" s="7">
        <v>29.78219771759537</v>
      </c>
      <c r="AN341" s="7">
        <v>0.21780228240463018</v>
      </c>
      <c r="AO341" s="7">
        <v>4.4238536928883715E-2</v>
      </c>
      <c r="AP341" s="7">
        <v>7.2633416429777817E-2</v>
      </c>
      <c r="AQ341" s="7">
        <v>1.4363995595847449E-5</v>
      </c>
      <c r="AR341" s="7">
        <v>1.0962733150227</v>
      </c>
      <c r="AS341" s="7">
        <v>0.93448737390407655</v>
      </c>
      <c r="AT341" s="7">
        <v>0.26950587457377961</v>
      </c>
      <c r="AU341" s="7">
        <v>0.22788351573076968</v>
      </c>
    </row>
    <row r="342" spans="37:47" x14ac:dyDescent="0.25">
      <c r="AK342" t="str">
        <v>toyota starlet</v>
      </c>
      <c r="AL342" s="7">
        <v>39.1</v>
      </c>
      <c r="AM342" s="7">
        <v>35.454171617009976</v>
      </c>
      <c r="AN342" s="7">
        <v>3.6458283829900253</v>
      </c>
      <c r="AO342" s="7">
        <v>4.1951287323382581E-2</v>
      </c>
      <c r="AP342" s="7">
        <v>1.2143705581244542</v>
      </c>
      <c r="AQ342" s="7">
        <v>3.7984921914540185E-3</v>
      </c>
      <c r="AR342" s="7">
        <v>1.1080108204698569</v>
      </c>
      <c r="AS342" s="7">
        <v>0.96387111404314918</v>
      </c>
      <c r="AT342" s="7">
        <v>1.1019848266307728</v>
      </c>
      <c r="AU342" s="7">
        <v>3.8054728687064672</v>
      </c>
    </row>
    <row r="343" spans="37:47" x14ac:dyDescent="0.25">
      <c r="AK343" t="str">
        <v>plymouth champ</v>
      </c>
      <c r="AL343" s="7">
        <v>39</v>
      </c>
      <c r="AM343" s="7">
        <v>32.689214260375735</v>
      </c>
      <c r="AN343" s="7">
        <v>6.310785739624265</v>
      </c>
      <c r="AO343" s="7">
        <v>5.022858407809927E-2</v>
      </c>
      <c r="AP343" s="7">
        <v>2.1111674999819705</v>
      </c>
      <c r="AQ343" s="7">
        <v>1.3865269089159291E-2</v>
      </c>
      <c r="AR343" s="7">
        <v>1.1199029946137795</v>
      </c>
      <c r="AS343" s="7">
        <v>0.96668836786536427</v>
      </c>
      <c r="AT343" s="7">
        <v>1.4529857191252675</v>
      </c>
      <c r="AU343" s="7">
        <v>6.6445311301547934</v>
      </c>
    </row>
    <row r="344" spans="37:47" x14ac:dyDescent="0.25">
      <c r="AK344" t="str">
        <v>honda civic 1300</v>
      </c>
      <c r="AL344" s="7">
        <v>35.1</v>
      </c>
      <c r="AM344" s="7">
        <v>35.396382205027308</v>
      </c>
      <c r="AN344" s="7">
        <v>-0.29638220502730661</v>
      </c>
      <c r="AO344" s="7">
        <v>4.2013652542506719E-2</v>
      </c>
      <c r="AP344" s="7">
        <v>-9.8723664725633833E-2</v>
      </c>
      <c r="AQ344" s="7">
        <v>2.5143442298404685E-5</v>
      </c>
      <c r="AR344" s="7">
        <v>1.1199029946137795</v>
      </c>
      <c r="AS344" s="7">
        <v>0.9792108710792421</v>
      </c>
      <c r="AT344" s="7">
        <v>0.31420322201663342</v>
      </c>
      <c r="AU344" s="7">
        <v>-0.30938040590443527</v>
      </c>
    </row>
    <row r="345" spans="37:47" x14ac:dyDescent="0.25">
      <c r="AK345" t="str">
        <v>subaru</v>
      </c>
      <c r="AL345" s="7">
        <v>32.299999999999997</v>
      </c>
      <c r="AM345" s="7">
        <v>33.738417748741917</v>
      </c>
      <c r="AN345" s="7">
        <v>-1.4384177487419194</v>
      </c>
      <c r="AO345" s="7">
        <v>4.145794906136302E-2</v>
      </c>
      <c r="AP345" s="7">
        <v>-0.47899199098150291</v>
      </c>
      <c r="AQ345" s="7">
        <v>5.8371953236483322E-4</v>
      </c>
      <c r="AR345" s="7">
        <v>1.1199029946137795</v>
      </c>
      <c r="AS345" s="7">
        <v>0.99045257304542067</v>
      </c>
      <c r="AT345" s="7">
        <v>0.69209247285424436</v>
      </c>
      <c r="AU345" s="7">
        <v>-1.5006308250466132</v>
      </c>
    </row>
    <row r="346" spans="37:47" x14ac:dyDescent="0.25">
      <c r="AK346" t="str">
        <v>datsun 210 mpg</v>
      </c>
      <c r="AL346" s="7">
        <v>37</v>
      </c>
      <c r="AM346" s="7">
        <v>34.226588478009504</v>
      </c>
      <c r="AN346" s="7">
        <v>2.7734115219904965</v>
      </c>
      <c r="AO346" s="7">
        <v>4.1456844028665445E-2</v>
      </c>
      <c r="AP346" s="7">
        <v>0.9235433462638315</v>
      </c>
      <c r="AQ346" s="7">
        <v>2.1699524290074955E-3</v>
      </c>
      <c r="AR346" s="7">
        <v>1.156567811385141</v>
      </c>
      <c r="AS346" s="7">
        <v>0.99590616832095791</v>
      </c>
      <c r="AT346" s="7">
        <v>0.96101162649773986</v>
      </c>
      <c r="AU346" s="7">
        <v>2.8933611436410236</v>
      </c>
    </row>
    <row r="347" spans="37:47" x14ac:dyDescent="0.25">
      <c r="AK347" t="str">
        <v>toyota tercel</v>
      </c>
      <c r="AL347" s="7">
        <v>37.700000000000003</v>
      </c>
      <c r="AM347" s="7">
        <v>33.895549552736369</v>
      </c>
      <c r="AN347" s="7">
        <v>3.8044504472636334</v>
      </c>
      <c r="AO347" s="7">
        <v>4.1763111862033346E-2</v>
      </c>
      <c r="AP347" s="7">
        <v>1.26708074925088</v>
      </c>
      <c r="AQ347" s="7">
        <v>4.1160404126380449E-3</v>
      </c>
      <c r="AR347" s="7">
        <v>1.156567811385141</v>
      </c>
      <c r="AS347" s="7">
        <v>0.99879597785625729</v>
      </c>
      <c r="AT347" s="7">
        <v>1.1256468137257263</v>
      </c>
      <c r="AU347" s="7">
        <v>3.9702608972363729</v>
      </c>
    </row>
    <row r="348" spans="37:47" x14ac:dyDescent="0.25">
      <c r="AK348" t="str">
        <v>mazda glc 4</v>
      </c>
      <c r="AL348" s="7">
        <v>34.1</v>
      </c>
      <c r="AM348" s="7">
        <v>34.127246085997712</v>
      </c>
      <c r="AN348" s="7">
        <v>-2.7246085997710168E-2</v>
      </c>
      <c r="AO348" s="7">
        <v>4.1515795674472153E-2</v>
      </c>
      <c r="AP348" s="7">
        <v>-9.0731992161399936E-3</v>
      </c>
      <c r="AQ348" s="7">
        <v>2.0974923110860871E-7</v>
      </c>
      <c r="AR348" s="7">
        <v>1.156567811385141</v>
      </c>
      <c r="AS348" s="7">
        <v>1.0160259092109321</v>
      </c>
      <c r="AT348" s="7">
        <v>9.5253342283302553E-2</v>
      </c>
      <c r="AU348" s="7">
        <v>-2.8426223274991645E-2</v>
      </c>
    </row>
    <row r="349" spans="37:47" x14ac:dyDescent="0.25">
      <c r="AK349" t="str">
        <v>plymouth horizon 4</v>
      </c>
      <c r="AL349" s="7">
        <v>34.700000000000003</v>
      </c>
      <c r="AM349" s="7">
        <v>30.983925423189582</v>
      </c>
      <c r="AN349" s="7">
        <v>3.7160745768104206</v>
      </c>
      <c r="AO349" s="7">
        <v>4.4551350782135554E-2</v>
      </c>
      <c r="AP349" s="7">
        <v>1.2394515341278651</v>
      </c>
      <c r="AQ349" s="7">
        <v>4.2137008791074829E-3</v>
      </c>
      <c r="AR349" s="7">
        <v>1.1948571240757904</v>
      </c>
      <c r="AS349" s="7">
        <v>1.04461770630526</v>
      </c>
      <c r="AT349" s="7">
        <v>1.1133065768816175</v>
      </c>
      <c r="AU349" s="7">
        <v>3.8893503903662641</v>
      </c>
    </row>
    <row r="350" spans="37:47" x14ac:dyDescent="0.25">
      <c r="AK350" t="str">
        <v>ford escort 4w</v>
      </c>
      <c r="AL350" s="7">
        <v>34.4</v>
      </c>
      <c r="AM350" s="7">
        <v>31.812215193852346</v>
      </c>
      <c r="AN350" s="7">
        <v>2.5877848061476527</v>
      </c>
      <c r="AO350" s="7">
        <v>4.6893881316315424E-2</v>
      </c>
      <c r="AP350" s="7">
        <v>0.86418422319002008</v>
      </c>
      <c r="AQ350" s="7">
        <v>2.1614175219013573E-3</v>
      </c>
      <c r="AR350" s="7">
        <v>1.2080167583463306</v>
      </c>
      <c r="AS350" s="7">
        <v>1.0807560254323885</v>
      </c>
      <c r="AT350" s="7">
        <v>0.92961509410616827</v>
      </c>
      <c r="AU350" s="7">
        <v>2.7151066973755134</v>
      </c>
    </row>
    <row r="351" spans="37:47" x14ac:dyDescent="0.25">
      <c r="AK351" t="str">
        <v>ford escort 2h</v>
      </c>
      <c r="AL351" s="7">
        <v>29.9</v>
      </c>
      <c r="AM351" s="7">
        <v>30.116006472788236</v>
      </c>
      <c r="AN351" s="7">
        <v>-0.21600647278823715</v>
      </c>
      <c r="AO351" s="7">
        <v>4.3294655821143453E-2</v>
      </c>
      <c r="AP351" s="7">
        <v>-7.199900072986111E-2</v>
      </c>
      <c r="AQ351" s="7">
        <v>1.3799396962001494E-5</v>
      </c>
      <c r="AR351" s="7">
        <v>1.221388985601022</v>
      </c>
      <c r="AS351" s="7">
        <v>1.1069048065287981</v>
      </c>
      <c r="AT351" s="7">
        <v>0.26832629526354868</v>
      </c>
      <c r="AU351" s="7">
        <v>-0.22578160987867821</v>
      </c>
    </row>
    <row r="352" spans="37:47" x14ac:dyDescent="0.25">
      <c r="AK352" t="str">
        <v>volkswagen jetta</v>
      </c>
      <c r="AL352" s="7">
        <v>33</v>
      </c>
      <c r="AM352" s="7">
        <v>32.869872181227677</v>
      </c>
      <c r="AN352" s="7">
        <v>0.13012781877232271</v>
      </c>
      <c r="AO352" s="7">
        <v>5.2106229203956106E-2</v>
      </c>
      <c r="AP352" s="7">
        <v>4.357517290963854E-2</v>
      </c>
      <c r="AQ352" s="7">
        <v>6.1398716568037402E-6</v>
      </c>
      <c r="AR352" s="7">
        <v>1.221388985601022</v>
      </c>
      <c r="AS352" s="7">
        <v>1.1097334264431693</v>
      </c>
      <c r="AT352" s="7">
        <v>0.20874667161331828</v>
      </c>
      <c r="AU352" s="7">
        <v>0.13728101479455973</v>
      </c>
    </row>
    <row r="353" spans="37:47" x14ac:dyDescent="0.25">
      <c r="AK353" t="str">
        <v>honda prelude</v>
      </c>
      <c r="AL353" s="7">
        <v>33.700000000000003</v>
      </c>
      <c r="AM353" s="7">
        <v>32.874346398921652</v>
      </c>
      <c r="AN353" s="7">
        <v>0.82565360107835062</v>
      </c>
      <c r="AO353" s="7">
        <v>4.1634199205982172E-2</v>
      </c>
      <c r="AP353" s="7">
        <v>0.2749672873635931</v>
      </c>
      <c r="AQ353" s="7">
        <v>1.9321108768246162E-4</v>
      </c>
      <c r="AR353" s="7">
        <v>1.2488096764960821</v>
      </c>
      <c r="AS353" s="7">
        <v>1.1280247387124049</v>
      </c>
      <c r="AT353" s="7">
        <v>0.52437323288245097</v>
      </c>
      <c r="AU353" s="7">
        <v>0.86152239613964365</v>
      </c>
    </row>
    <row r="354" spans="37:47" x14ac:dyDescent="0.25">
      <c r="AK354" t="str">
        <v>toyota corolla</v>
      </c>
      <c r="AL354" s="7">
        <v>32.4</v>
      </c>
      <c r="AM354" s="7">
        <v>32.165483052805314</v>
      </c>
      <c r="AN354" s="7">
        <v>0.23451694719468463</v>
      </c>
      <c r="AO354" s="7">
        <v>4.2232188432905597E-2</v>
      </c>
      <c r="AP354" s="7">
        <v>7.8125519301108906E-2</v>
      </c>
      <c r="AQ354" s="7">
        <v>1.5831434276901405E-5</v>
      </c>
      <c r="AR354" s="7">
        <v>1.2488096764960821</v>
      </c>
      <c r="AS354" s="7">
        <v>1.1659795306247449</v>
      </c>
      <c r="AT354" s="7">
        <v>0.27950942613999424</v>
      </c>
      <c r="AU354" s="7">
        <v>0.24485782917570523</v>
      </c>
    </row>
    <row r="355" spans="37:47" x14ac:dyDescent="0.25">
      <c r="AK355" t="str">
        <v>datsun 200sx</v>
      </c>
      <c r="AL355" s="7">
        <v>32.9</v>
      </c>
      <c r="AM355" s="7">
        <v>30.417795205960847</v>
      </c>
      <c r="AN355" s="7">
        <v>2.4822047940391521</v>
      </c>
      <c r="AO355" s="7">
        <v>4.4622841874438268E-2</v>
      </c>
      <c r="AP355" s="7">
        <v>0.82794023224202973</v>
      </c>
      <c r="AQ355" s="7">
        <v>1.8833516818890722E-3</v>
      </c>
      <c r="AR355" s="7">
        <v>1.2772029316939737</v>
      </c>
      <c r="AS355" s="7">
        <v>1.1660321456416034</v>
      </c>
      <c r="AT355" s="7">
        <v>0.90991221128306099</v>
      </c>
      <c r="AU355" s="7">
        <v>2.5981412397478789</v>
      </c>
    </row>
    <row r="356" spans="37:47" x14ac:dyDescent="0.25">
      <c r="AK356" t="str">
        <v>mazda 626</v>
      </c>
      <c r="AL356" s="7">
        <v>31.6</v>
      </c>
      <c r="AM356" s="7">
        <v>30.738676244450581</v>
      </c>
      <c r="AN356" s="7">
        <v>0.86132375554942087</v>
      </c>
      <c r="AO356" s="7">
        <v>4.6205507722798973E-2</v>
      </c>
      <c r="AP356" s="7">
        <v>0.28753308488155438</v>
      </c>
      <c r="AQ356" s="7">
        <v>2.3559477951898205E-4</v>
      </c>
      <c r="AR356" s="7">
        <v>1.2917937758243685</v>
      </c>
      <c r="AS356" s="7">
        <v>1.1863106075738008</v>
      </c>
      <c r="AT356" s="7">
        <v>0.536221115661771</v>
      </c>
      <c r="AU356" s="7">
        <v>0.90304962182471338</v>
      </c>
    </row>
    <row r="357" spans="37:47" x14ac:dyDescent="0.25">
      <c r="AK357" t="str">
        <v>peugeot 505s turbo diesel</v>
      </c>
      <c r="AL357" s="7">
        <v>28.1</v>
      </c>
      <c r="AM357" s="7">
        <v>27.506611589785013</v>
      </c>
      <c r="AN357" s="7">
        <v>0.59338841021498823</v>
      </c>
      <c r="AO357" s="7">
        <v>6.371473386729605E-2</v>
      </c>
      <c r="AP357" s="7">
        <v>0.19993267130990572</v>
      </c>
      <c r="AQ357" s="7">
        <v>1.6001116978650996E-4</v>
      </c>
      <c r="AR357" s="7">
        <v>1.306664940712895</v>
      </c>
      <c r="AS357" s="7">
        <v>1.1899727275032896</v>
      </c>
      <c r="AT357" s="7">
        <v>0.44713831339967469</v>
      </c>
      <c r="AU357" s="7">
        <v>0.63376882204497342</v>
      </c>
    </row>
    <row r="358" spans="37:47" x14ac:dyDescent="0.25">
      <c r="AK358" t="str">
        <v>volvo diesel</v>
      </c>
      <c r="AL358" s="7">
        <v>30.7</v>
      </c>
      <c r="AM358" s="7">
        <v>27.925988990657356</v>
      </c>
      <c r="AN358" s="7">
        <v>2.7740110093426438</v>
      </c>
      <c r="AO358" s="7">
        <v>6.3372096018761231E-2</v>
      </c>
      <c r="AP358" s="7">
        <v>0.93448737390407655</v>
      </c>
      <c r="AQ358" s="7">
        <v>3.4755931599012753E-3</v>
      </c>
      <c r="AR358" s="7">
        <v>1.3218308296149113</v>
      </c>
      <c r="AS358" s="7">
        <v>1.2143705581244542</v>
      </c>
      <c r="AT358" s="7">
        <v>0.96668887130455605</v>
      </c>
      <c r="AU358" s="7">
        <v>2.9617001560079603</v>
      </c>
    </row>
    <row r="359" spans="37:47" x14ac:dyDescent="0.25">
      <c r="AK359" t="str">
        <v>toyota cressida</v>
      </c>
      <c r="AL359" s="7">
        <v>25.4</v>
      </c>
      <c r="AM359" s="7">
        <v>28.714969054395912</v>
      </c>
      <c r="AN359" s="7">
        <v>-3.3149690543959132</v>
      </c>
      <c r="AO359" s="7">
        <v>4.8511143620971447E-2</v>
      </c>
      <c r="AP359" s="7">
        <v>-1.1079659887017894</v>
      </c>
      <c r="AQ359" s="7">
        <v>3.6816435904011803E-3</v>
      </c>
      <c r="AR359" s="7">
        <v>1.3373069939616973</v>
      </c>
      <c r="AS359" s="7">
        <v>1.2394515341278651</v>
      </c>
      <c r="AT359" s="7">
        <v>1.0525996336222949</v>
      </c>
      <c r="AU359" s="7">
        <v>-3.4839809548703582</v>
      </c>
    </row>
    <row r="360" spans="37:47" x14ac:dyDescent="0.25">
      <c r="AK360" t="str">
        <v>datsun 810 maxima</v>
      </c>
      <c r="AL360" s="7">
        <v>24.2</v>
      </c>
      <c r="AM360" s="7">
        <v>28.498124038128246</v>
      </c>
      <c r="AN360" s="7">
        <v>-4.2981240381282468</v>
      </c>
      <c r="AO360" s="7">
        <v>4.9782609569163784E-2</v>
      </c>
      <c r="AP360" s="7">
        <v>-1.4375278289347933</v>
      </c>
      <c r="AQ360" s="7">
        <v>6.3685165871422179E-3</v>
      </c>
      <c r="AR360" s="7">
        <v>1.3531102606891987</v>
      </c>
      <c r="AS360" s="7">
        <v>1.26708074925088</v>
      </c>
      <c r="AT360" s="7">
        <v>1.1989694862400766</v>
      </c>
      <c r="AU360" s="7">
        <v>-4.5233060154576235</v>
      </c>
    </row>
    <row r="361" spans="37:47" x14ac:dyDescent="0.25">
      <c r="AK361" t="str">
        <v>buick century</v>
      </c>
      <c r="AL361" s="7">
        <v>22.4</v>
      </c>
      <c r="AM361" s="7">
        <v>24.144841583233053</v>
      </c>
      <c r="AN361" s="7">
        <v>-1.7448415832330539</v>
      </c>
      <c r="AO361" s="7">
        <v>4.0505338903003972E-2</v>
      </c>
      <c r="AP361" s="7">
        <v>-0.58074238683041579</v>
      </c>
      <c r="AQ361" s="7">
        <v>8.3750582565428268E-4</v>
      </c>
      <c r="AR361" s="7">
        <v>1.3531102606891987</v>
      </c>
      <c r="AS361" s="7">
        <v>1.2915705569901503</v>
      </c>
      <c r="AT361" s="7">
        <v>0.76206455555314723</v>
      </c>
      <c r="AU361" s="7">
        <v>-1.8185005649100394</v>
      </c>
    </row>
    <row r="362" spans="37:47" x14ac:dyDescent="0.25">
      <c r="AK362" t="str">
        <v>oldsmobile cutlass ls</v>
      </c>
      <c r="AL362" s="7">
        <v>26.6</v>
      </c>
      <c r="AM362" s="7">
        <v>22.656397762314569</v>
      </c>
      <c r="AN362" s="7">
        <v>3.9436022376854325</v>
      </c>
      <c r="AO362" s="7">
        <v>4.5514063559417423E-2</v>
      </c>
      <c r="AP362" s="7">
        <v>1.3160037932020494</v>
      </c>
      <c r="AQ362" s="7">
        <v>4.8578202243035511E-3</v>
      </c>
      <c r="AR362" s="7">
        <v>1.3857726818373162</v>
      </c>
      <c r="AS362" s="7">
        <v>1.3082330687569519</v>
      </c>
      <c r="AT362" s="7">
        <v>1.1471720852609906</v>
      </c>
      <c r="AU362" s="7">
        <v>4.1316504383413974</v>
      </c>
    </row>
    <row r="363" spans="37:47" x14ac:dyDescent="0.25">
      <c r="AK363" t="str">
        <v>ford granada gl</v>
      </c>
      <c r="AL363" s="7">
        <v>20.2</v>
      </c>
      <c r="AM363" s="7">
        <v>26.299517999577404</v>
      </c>
      <c r="AN363" s="7">
        <v>-6.0995179995774045</v>
      </c>
      <c r="AO363" s="7">
        <v>4.0669083135311486E-2</v>
      </c>
      <c r="AP363" s="7">
        <v>-2.0302994659393101</v>
      </c>
      <c r="AQ363" s="7">
        <v>1.0279387077060626E-2</v>
      </c>
      <c r="AR363" s="7">
        <v>1.402673289992322</v>
      </c>
      <c r="AS363" s="7">
        <v>1.3160037932020494</v>
      </c>
      <c r="AT363" s="7">
        <v>1.4248857729443825</v>
      </c>
      <c r="AU363" s="7">
        <v>-6.358095931602012</v>
      </c>
    </row>
    <row r="364" spans="37:47" x14ac:dyDescent="0.25">
      <c r="AK364" t="str">
        <v>chrysler lebaron salon</v>
      </c>
      <c r="AL364" s="7">
        <v>17.600000000000001</v>
      </c>
      <c r="AM364" s="7">
        <v>24.297586901315743</v>
      </c>
      <c r="AN364" s="7">
        <v>-6.6975869013157414</v>
      </c>
      <c r="AO364" s="7">
        <v>4.8271382998579748E-2</v>
      </c>
      <c r="AP364" s="7">
        <v>-2.2382603266400913</v>
      </c>
      <c r="AQ364" s="7">
        <v>1.4946822807055393E-2</v>
      </c>
      <c r="AR364" s="7">
        <v>1.4199843237682621</v>
      </c>
      <c r="AS364" s="7">
        <v>1.3348865121336095</v>
      </c>
      <c r="AT364" s="7">
        <v>1.4960816577446872</v>
      </c>
      <c r="AU364" s="7">
        <v>-7.0372864508557127</v>
      </c>
    </row>
    <row r="365" spans="37:47" x14ac:dyDescent="0.25">
      <c r="AK365" t="str">
        <v>chevrolet cavalier</v>
      </c>
      <c r="AL365" s="7">
        <v>28</v>
      </c>
      <c r="AM365" s="7">
        <v>30.28175978404812</v>
      </c>
      <c r="AN365" s="7">
        <v>-2.2817597840481199</v>
      </c>
      <c r="AO365" s="7">
        <v>3.5610204688537747E-2</v>
      </c>
      <c r="AP365" s="7">
        <v>-0.75751706682775866</v>
      </c>
      <c r="AQ365" s="7">
        <v>1.2464009927449339E-3</v>
      </c>
      <c r="AR365" s="7">
        <v>1.4199843237682621</v>
      </c>
      <c r="AS365" s="7">
        <v>1.4296443982960441</v>
      </c>
      <c r="AT365" s="7">
        <v>0.87035456385760324</v>
      </c>
      <c r="AU365" s="7">
        <v>-2.366014027876763</v>
      </c>
    </row>
    <row r="366" spans="37:47" x14ac:dyDescent="0.25">
      <c r="AK366" t="str">
        <v>chevrolet cavalier wagon</v>
      </c>
      <c r="AL366" s="7">
        <v>27</v>
      </c>
      <c r="AM366" s="7">
        <v>30.104543947519034</v>
      </c>
      <c r="AN366" s="7">
        <v>-3.1045439475190335</v>
      </c>
      <c r="AO366" s="7">
        <v>3.5478279036810861E-2</v>
      </c>
      <c r="AP366" s="7">
        <v>-1.0306011185079671</v>
      </c>
      <c r="AQ366" s="7">
        <v>2.2981735940034403E-3</v>
      </c>
      <c r="AR366" s="7">
        <v>1.4199843237682621</v>
      </c>
      <c r="AS366" s="7">
        <v>1.4343249307838992</v>
      </c>
      <c r="AT366" s="7">
        <v>1.0151852631455833</v>
      </c>
      <c r="AU366" s="7">
        <v>-3.218739277762225</v>
      </c>
    </row>
    <row r="367" spans="37:47" x14ac:dyDescent="0.25">
      <c r="AK367" t="str">
        <v>chevrolet cavalier 2-door</v>
      </c>
      <c r="AL367" s="7">
        <v>34</v>
      </c>
      <c r="AM367" s="7">
        <v>31.345054803222631</v>
      </c>
      <c r="AN367" s="7">
        <v>2.6549451967773692</v>
      </c>
      <c r="AO367" s="7">
        <v>3.7444725577322431E-2</v>
      </c>
      <c r="AP367" s="7">
        <v>0.88224971223868354</v>
      </c>
      <c r="AQ367" s="7">
        <v>1.7811442916589161E-3</v>
      </c>
      <c r="AR367" s="7">
        <v>1.4199843237682621</v>
      </c>
      <c r="AS367" s="7">
        <v>1.482908951694333</v>
      </c>
      <c r="AT367" s="7">
        <v>0.9392814872223787</v>
      </c>
      <c r="AU367" s="7">
        <v>2.7582262206913315</v>
      </c>
    </row>
    <row r="368" spans="37:47" x14ac:dyDescent="0.25">
      <c r="AK368" t="str">
        <v>pontiac j2000 se hatchback</v>
      </c>
      <c r="AL368" s="7">
        <v>31</v>
      </c>
      <c r="AM368" s="7">
        <v>30.482368368362238</v>
      </c>
      <c r="AN368" s="7">
        <v>0.51763163163776227</v>
      </c>
      <c r="AO368" s="7">
        <v>3.563524260105199E-2</v>
      </c>
      <c r="AP368" s="7">
        <v>0.17184976624815418</v>
      </c>
      <c r="AQ368" s="7">
        <v>6.4192953679571388E-5</v>
      </c>
      <c r="AR368" s="7">
        <v>1.4199843237682621</v>
      </c>
      <c r="AS368" s="7">
        <v>1.4945061059531675</v>
      </c>
      <c r="AT368" s="7">
        <v>0.41454766462754822</v>
      </c>
      <c r="AU368" s="7">
        <v>0.53675917505934245</v>
      </c>
    </row>
    <row r="369" spans="37:47" x14ac:dyDescent="0.25">
      <c r="AK369" t="str">
        <v>dodge aries se</v>
      </c>
      <c r="AL369" s="7">
        <v>29</v>
      </c>
      <c r="AM369" s="7">
        <v>30.751770281071622</v>
      </c>
      <c r="AN369" s="7">
        <v>-1.7517702810716216</v>
      </c>
      <c r="AO369" s="7">
        <v>3.5820172682296966E-2</v>
      </c>
      <c r="AP369" s="7">
        <v>-0.58163018536706346</v>
      </c>
      <c r="AQ369" s="7">
        <v>7.3928958454274989E-4</v>
      </c>
      <c r="AR369" s="7">
        <v>1.4199843237682621</v>
      </c>
      <c r="AS369" s="7">
        <v>1.539587675300794</v>
      </c>
      <c r="AT369" s="7">
        <v>0.76264682872681211</v>
      </c>
      <c r="AU369" s="7">
        <v>-1.8168501678208238</v>
      </c>
    </row>
    <row r="370" spans="37:47" x14ac:dyDescent="0.25">
      <c r="AK370" t="str">
        <v>pontiac phoenix</v>
      </c>
      <c r="AL370" s="7">
        <v>27</v>
      </c>
      <c r="AM370" s="7">
        <v>29.591056670175853</v>
      </c>
      <c r="AN370" s="7">
        <v>-2.5910566701758526</v>
      </c>
      <c r="AO370" s="7">
        <v>3.5317344801761894E-2</v>
      </c>
      <c r="AP370" s="7">
        <v>-0.86006936817939161</v>
      </c>
      <c r="AQ370" s="7">
        <v>1.593021416841849E-3</v>
      </c>
      <c r="AR370" s="7">
        <v>1.5341205443525465</v>
      </c>
      <c r="AS370" s="7">
        <v>1.5500221062846573</v>
      </c>
      <c r="AT370" s="7">
        <v>0.92739924961118636</v>
      </c>
      <c r="AU370" s="7">
        <v>-2.6859160950119931</v>
      </c>
    </row>
    <row r="371" spans="37:47" x14ac:dyDescent="0.25">
      <c r="AK371" t="str">
        <v>ford fairmont futura</v>
      </c>
      <c r="AL371" s="7">
        <v>24</v>
      </c>
      <c r="AM371" s="7">
        <v>28.900353556303592</v>
      </c>
      <c r="AN371" s="7">
        <v>-4.9003535563035925</v>
      </c>
      <c r="AO371" s="7">
        <v>3.5405901429528638E-2</v>
      </c>
      <c r="AP371" s="7">
        <v>-1.6266867098316833</v>
      </c>
      <c r="AQ371" s="7">
        <v>5.7133387015121419E-3</v>
      </c>
      <c r="AR371" s="7">
        <v>1.5341205443525465</v>
      </c>
      <c r="AS371" s="7">
        <v>1.5535500258921526</v>
      </c>
      <c r="AT371" s="7">
        <v>1.2754162888373675</v>
      </c>
      <c r="AU371" s="7">
        <v>-5.0802234469046796</v>
      </c>
    </row>
    <row r="372" spans="37:47" x14ac:dyDescent="0.25">
      <c r="AK372" t="str">
        <v>volkswagen rabbit l</v>
      </c>
      <c r="AL372" s="7">
        <v>36</v>
      </c>
      <c r="AM372" s="7">
        <v>35.611603109994782</v>
      </c>
      <c r="AN372" s="7">
        <v>0.38839689000521815</v>
      </c>
      <c r="AO372" s="7">
        <v>5.1105954864069499E-2</v>
      </c>
      <c r="AP372" s="7">
        <v>0.12999171896584169</v>
      </c>
      <c r="AQ372" s="7">
        <v>5.3534806589597148E-5</v>
      </c>
      <c r="AR372" s="7">
        <v>1.5769982907616837</v>
      </c>
      <c r="AS372" s="7">
        <v>1.5585580298512536</v>
      </c>
      <c r="AT372" s="7">
        <v>0.36054364363533259</v>
      </c>
      <c r="AU372" s="7">
        <v>0.40931534136625308</v>
      </c>
    </row>
    <row r="373" spans="37:47" x14ac:dyDescent="0.25">
      <c r="AK373" t="str">
        <v>mazda glc custom l</v>
      </c>
      <c r="AL373" s="7">
        <v>37</v>
      </c>
      <c r="AM373" s="7">
        <v>35.603149610985632</v>
      </c>
      <c r="AN373" s="7">
        <v>1.396850389014368</v>
      </c>
      <c r="AO373" s="7">
        <v>4.2669270414959395E-2</v>
      </c>
      <c r="AP373" s="7">
        <v>0.4654442793344194</v>
      </c>
      <c r="AQ373" s="7">
        <v>5.6798869237322999E-4</v>
      </c>
      <c r="AR373" s="7">
        <v>1.5995705882374911</v>
      </c>
      <c r="AS373" s="7">
        <v>1.5747836013923129</v>
      </c>
      <c r="AT373" s="7">
        <v>0.68223476848839903</v>
      </c>
      <c r="AU373" s="7">
        <v>1.4591095280309649</v>
      </c>
    </row>
    <row r="374" spans="37:47" x14ac:dyDescent="0.25">
      <c r="AK374" t="str">
        <v>mazda glc custom</v>
      </c>
      <c r="AL374" s="7">
        <v>31</v>
      </c>
      <c r="AM374" s="7">
        <v>35.881631639817051</v>
      </c>
      <c r="AN374" s="7">
        <v>-4.8816316398170514</v>
      </c>
      <c r="AO374" s="7">
        <v>4.2387674968809748E-2</v>
      </c>
      <c r="AP374" s="7">
        <v>-1.626368466519942</v>
      </c>
      <c r="AQ374" s="7">
        <v>6.8871388294999445E-3</v>
      </c>
      <c r="AR374" s="7">
        <v>1.5995705882374911</v>
      </c>
      <c r="AS374" s="7">
        <v>1.5748070831006031</v>
      </c>
      <c r="AT374" s="7">
        <v>1.2752915221704966</v>
      </c>
      <c r="AU374" s="7">
        <v>-5.0977117902675833</v>
      </c>
    </row>
    <row r="375" spans="37:47" x14ac:dyDescent="0.25">
      <c r="AK375" t="str">
        <v>plymouth horizon miser</v>
      </c>
      <c r="AL375" s="7">
        <v>38</v>
      </c>
      <c r="AM375" s="7">
        <v>33.118059198142682</v>
      </c>
      <c r="AN375" s="7">
        <v>4.8819408018573185</v>
      </c>
      <c r="AO375" s="7">
        <v>3.8409800761363619E-2</v>
      </c>
      <c r="AP375" s="7">
        <v>1.6231038143843988</v>
      </c>
      <c r="AQ375" s="7">
        <v>6.1900720136637581E-3</v>
      </c>
      <c r="AR375" s="7">
        <v>1.5995705882374911</v>
      </c>
      <c r="AS375" s="7">
        <v>1.5766853430851646</v>
      </c>
      <c r="AT375" s="7">
        <v>1.2740109161166551</v>
      </c>
      <c r="AU375" s="7">
        <v>5.0769452576812029</v>
      </c>
    </row>
    <row r="376" spans="37:47" x14ac:dyDescent="0.25">
      <c r="AK376" t="str">
        <v>mercury lynx l</v>
      </c>
      <c r="AL376" s="7">
        <v>36</v>
      </c>
      <c r="AM376" s="7">
        <v>33.004404174467894</v>
      </c>
      <c r="AN376" s="7">
        <v>2.9955958255321065</v>
      </c>
      <c r="AO376" s="7">
        <v>3.8327502244710633E-2</v>
      </c>
      <c r="AP376" s="7">
        <v>0.99590616832095791</v>
      </c>
      <c r="AQ376" s="7">
        <v>2.3252585222383769E-3</v>
      </c>
      <c r="AR376" s="7">
        <v>1.6726929638404258</v>
      </c>
      <c r="AS376" s="7">
        <v>1.5835184219573573</v>
      </c>
      <c r="AT376" s="7">
        <v>0.99795098492909862</v>
      </c>
      <c r="AU376" s="7">
        <v>3.1149854368554237</v>
      </c>
    </row>
    <row r="377" spans="37:47" x14ac:dyDescent="0.25">
      <c r="AK377" t="str">
        <v>nissan stanza xe</v>
      </c>
      <c r="AL377" s="7">
        <v>36</v>
      </c>
      <c r="AM377" s="7">
        <v>34.594874173874054</v>
      </c>
      <c r="AN377" s="7">
        <v>1.4051258261259463</v>
      </c>
      <c r="AO377" s="7">
        <v>4.4176133885526568E-2</v>
      </c>
      <c r="AP377" s="7">
        <v>0.46857065274584953</v>
      </c>
      <c r="AQ377" s="7">
        <v>5.9691306285993831E-4</v>
      </c>
      <c r="AR377" s="7">
        <v>1.6991776601112989</v>
      </c>
      <c r="AS377" s="7">
        <v>1.6231038143843988</v>
      </c>
      <c r="AT377" s="7">
        <v>0.68452220763525962</v>
      </c>
      <c r="AU377" s="7">
        <v>1.4700677352177169</v>
      </c>
    </row>
    <row r="378" spans="37:47" x14ac:dyDescent="0.25">
      <c r="AK378" t="str">
        <v>honda accord</v>
      </c>
      <c r="AL378" s="7">
        <v>36</v>
      </c>
      <c r="AM378" s="7">
        <v>34.578098856589833</v>
      </c>
      <c r="AN378" s="7">
        <v>1.4219011434101674</v>
      </c>
      <c r="AO378" s="7">
        <v>4.3448835492164536E-2</v>
      </c>
      <c r="AP378" s="7">
        <v>0.47398446164132163</v>
      </c>
      <c r="AQ378" s="7">
        <v>6.0027357340988079E-4</v>
      </c>
      <c r="AR378" s="7">
        <v>1.7269108614600868</v>
      </c>
      <c r="AS378" s="7">
        <v>1.6395545081768079</v>
      </c>
      <c r="AT378" s="7">
        <v>0.68846529443489135</v>
      </c>
      <c r="AU378" s="7">
        <v>1.4864872849135713</v>
      </c>
    </row>
    <row r="379" spans="37:47" x14ac:dyDescent="0.25">
      <c r="AK379" t="str">
        <v>toyota corolla</v>
      </c>
      <c r="AL379" s="7">
        <v>34</v>
      </c>
      <c r="AM379" s="7">
        <v>34.456748631752866</v>
      </c>
      <c r="AN379" s="7">
        <v>-0.45674863175286617</v>
      </c>
      <c r="AO379" s="7">
        <v>4.4582088373450866E-2</v>
      </c>
      <c r="AP379" s="7">
        <v>-0.15234540833318785</v>
      </c>
      <c r="AQ379" s="7">
        <v>6.3705487945309389E-5</v>
      </c>
      <c r="AR379" s="7">
        <v>1.7560396847773088</v>
      </c>
      <c r="AS379" s="7">
        <v>1.6896822821993771</v>
      </c>
      <c r="AT379" s="7">
        <v>0.39031449926077283</v>
      </c>
      <c r="AU379" s="7">
        <v>-0.47806161701037769</v>
      </c>
    </row>
    <row r="380" spans="37:47" x14ac:dyDescent="0.25">
      <c r="AK380" t="str">
        <v>honda civic</v>
      </c>
      <c r="AL380" s="7">
        <v>38</v>
      </c>
      <c r="AM380" s="7">
        <v>35.923184619846182</v>
      </c>
      <c r="AN380" s="7">
        <v>2.0768153801538176</v>
      </c>
      <c r="AO380" s="7">
        <v>4.2412049592578729E-2</v>
      </c>
      <c r="AP380" s="7">
        <v>0.69192234930796725</v>
      </c>
      <c r="AQ380" s="7">
        <v>1.2473156859063596E-3</v>
      </c>
      <c r="AR380" s="7">
        <v>1.7560396847773088</v>
      </c>
      <c r="AS380" s="7">
        <v>1.8285518903811393</v>
      </c>
      <c r="AT380" s="7">
        <v>0.83181869978257117</v>
      </c>
      <c r="AU380" s="7">
        <v>2.1687985727788273</v>
      </c>
    </row>
    <row r="381" spans="37:47" x14ac:dyDescent="0.25">
      <c r="AK381" t="str">
        <v>honda civic (auto)</v>
      </c>
      <c r="AL381" s="7">
        <v>32</v>
      </c>
      <c r="AM381" s="7">
        <v>35.923184619846182</v>
      </c>
      <c r="AN381" s="7">
        <v>-3.9231846198461824</v>
      </c>
      <c r="AO381" s="7">
        <v>4.2412049592578729E-2</v>
      </c>
      <c r="AP381" s="7">
        <v>-1.307068093232151</v>
      </c>
      <c r="AQ381" s="7">
        <v>4.4510051121384358E-3</v>
      </c>
      <c r="AR381" s="7">
        <v>1.7560396847773088</v>
      </c>
      <c r="AS381" s="7">
        <v>1.8307638951688041</v>
      </c>
      <c r="AT381" s="7">
        <v>1.1432707873606107</v>
      </c>
      <c r="AU381" s="7">
        <v>-4.0969444301977695</v>
      </c>
    </row>
    <row r="382" spans="37:47" x14ac:dyDescent="0.25">
      <c r="AK382" t="str">
        <v>datsun 310 gx</v>
      </c>
      <c r="AL382" s="7">
        <v>38</v>
      </c>
      <c r="AM382" s="7">
        <v>35.771285331392683</v>
      </c>
      <c r="AN382" s="7">
        <v>2.2287146686073172</v>
      </c>
      <c r="AO382" s="7">
        <v>4.2566311963328538E-2</v>
      </c>
      <c r="AP382" s="7">
        <v>0.74258970300151861</v>
      </c>
      <c r="AQ382" s="7">
        <v>1.442136083935238E-3</v>
      </c>
      <c r="AR382" s="7">
        <v>1.7560396847773088</v>
      </c>
      <c r="AS382" s="7">
        <v>1.937883735039764</v>
      </c>
      <c r="AT382" s="7">
        <v>0.86173644636949098</v>
      </c>
      <c r="AU382" s="7">
        <v>2.3278005531407135</v>
      </c>
    </row>
    <row r="383" spans="37:47" x14ac:dyDescent="0.25">
      <c r="AK383" t="str">
        <v>buick century limited</v>
      </c>
      <c r="AL383" s="7">
        <v>25</v>
      </c>
      <c r="AM383" s="7">
        <v>28.203033011930515</v>
      </c>
      <c r="AN383" s="7">
        <v>-3.2030330119305148</v>
      </c>
      <c r="AO383" s="7">
        <v>3.6684093867170968E-2</v>
      </c>
      <c r="AP383" s="7">
        <v>-1.0639613519924846</v>
      </c>
      <c r="AQ383" s="7">
        <v>2.5357816141103389E-3</v>
      </c>
      <c r="AR383" s="7">
        <v>1.8906321205380332</v>
      </c>
      <c r="AS383" s="7">
        <v>1.9447162353916565</v>
      </c>
      <c r="AT383" s="7">
        <v>1.0314850226699779</v>
      </c>
      <c r="AU383" s="7">
        <v>-3.3250079143703637</v>
      </c>
    </row>
    <row r="384" spans="37:47" x14ac:dyDescent="0.25">
      <c r="AK384" t="str">
        <v>oldsmobile cutlass ciera (diesel)</v>
      </c>
      <c r="AL384" s="7">
        <v>38</v>
      </c>
      <c r="AM384" s="7">
        <v>28.254512137710869</v>
      </c>
      <c r="AN384" s="7">
        <v>9.7454878622891314</v>
      </c>
      <c r="AO384" s="7">
        <v>3.8019752769928257E-2</v>
      </c>
      <c r="AP384" s="7">
        <v>3.2394353065249786</v>
      </c>
      <c r="AQ384" s="7">
        <v>2.4396798261845723E-2</v>
      </c>
      <c r="AR384" s="7">
        <v>1.9302858560575813</v>
      </c>
      <c r="AS384" s="7">
        <v>2.0304757137130016</v>
      </c>
      <c r="AT384" s="7">
        <v>1.7998431338661096</v>
      </c>
      <c r="AU384" s="7">
        <v>10.130652776239755</v>
      </c>
    </row>
    <row r="385" spans="37:47" x14ac:dyDescent="0.25">
      <c r="AK385" t="str">
        <v>chrysler lebaron medallion</v>
      </c>
      <c r="AL385" s="7">
        <v>26</v>
      </c>
      <c r="AM385" s="7">
        <v>30.318080248536283</v>
      </c>
      <c r="AN385" s="7">
        <v>-4.3180802485362832</v>
      </c>
      <c r="AO385" s="7">
        <v>3.6117187184438668E-2</v>
      </c>
      <c r="AP385" s="7">
        <v>-1.4339281629923626</v>
      </c>
      <c r="AQ385" s="7">
        <v>4.5320589621589431E-3</v>
      </c>
      <c r="AR385" s="7">
        <v>1.9732297912673347</v>
      </c>
      <c r="AS385" s="7">
        <v>2.1111674999819705</v>
      </c>
      <c r="AT385" s="7">
        <v>1.1974673953775787</v>
      </c>
      <c r="AU385" s="7">
        <v>-4.4798809472729406</v>
      </c>
    </row>
    <row r="386" spans="37:47" x14ac:dyDescent="0.25">
      <c r="AK386" t="str">
        <v>ford granada l</v>
      </c>
      <c r="AL386" s="7">
        <v>22</v>
      </c>
      <c r="AM386" s="7">
        <v>28.727524205686279</v>
      </c>
      <c r="AN386" s="7">
        <v>-6.7275242056862794</v>
      </c>
      <c r="AO386" s="7">
        <v>3.8320594343835251E-2</v>
      </c>
      <c r="AP386" s="7">
        <v>-2.2366030601609661</v>
      </c>
      <c r="AQ386" s="7">
        <v>1.1725485358042654E-2</v>
      </c>
      <c r="AR386" s="7">
        <v>2.0201546663717482</v>
      </c>
      <c r="AS386" s="7">
        <v>2.2990445774735213</v>
      </c>
      <c r="AT386" s="7">
        <v>1.4955276861900504</v>
      </c>
      <c r="AU386" s="7">
        <v>-6.9955997457344044</v>
      </c>
    </row>
    <row r="387" spans="37:47" x14ac:dyDescent="0.25">
      <c r="AK387" t="str">
        <v>toyota celica gt</v>
      </c>
      <c r="AL387" s="7">
        <v>32</v>
      </c>
      <c r="AM387" s="7">
        <v>31.908011362611767</v>
      </c>
      <c r="AN387" s="7">
        <v>9.1988637388233485E-2</v>
      </c>
      <c r="AO387" s="7">
        <v>4.7178806629519218E-2</v>
      </c>
      <c r="AP387" s="7">
        <v>3.0723966658172362E-2</v>
      </c>
      <c r="AQ387" s="7">
        <v>2.7494206600981862E-6</v>
      </c>
      <c r="AR387" s="7">
        <v>2.0720014483779305</v>
      </c>
      <c r="AS387" s="7">
        <v>2.3790723412149868</v>
      </c>
      <c r="AT387" s="7">
        <v>0.1752825338080562</v>
      </c>
      <c r="AU387" s="7">
        <v>9.6543441758296406E-2</v>
      </c>
    </row>
    <row r="388" spans="37:47" x14ac:dyDescent="0.25">
      <c r="AK388" t="str">
        <v>dodge charger 2.2</v>
      </c>
      <c r="AL388" s="7">
        <v>36</v>
      </c>
      <c r="AM388" s="7">
        <v>31.536583271414713</v>
      </c>
      <c r="AN388" s="7">
        <v>4.4634167285852868</v>
      </c>
      <c r="AO388" s="7">
        <v>3.7050510776076906E-2</v>
      </c>
      <c r="AP388" s="7">
        <v>1.482908951694333</v>
      </c>
      <c r="AQ388" s="7">
        <v>4.9770355711066501E-3</v>
      </c>
      <c r="AR388" s="7">
        <v>2.1301011271220536</v>
      </c>
      <c r="AS388" s="7">
        <v>2.6212478115325442</v>
      </c>
      <c r="AT388" s="7">
        <v>1.2177474909415058</v>
      </c>
      <c r="AU388" s="7">
        <v>4.6351514576143771</v>
      </c>
    </row>
    <row r="389" spans="37:47" x14ac:dyDescent="0.25">
      <c r="AK389" t="str">
        <v>chevrolet camaro</v>
      </c>
      <c r="AL389" s="7">
        <v>27</v>
      </c>
      <c r="AM389" s="7">
        <v>28.502445102925755</v>
      </c>
      <c r="AN389" s="7">
        <v>-1.5024451029257548</v>
      </c>
      <c r="AO389" s="7">
        <v>3.611000998796679E-2</v>
      </c>
      <c r="AP389" s="7">
        <v>-0.49892317917099432</v>
      </c>
      <c r="AQ389" s="7">
        <v>5.4855298049970834E-4</v>
      </c>
      <c r="AR389" s="7">
        <v>2.1964293827614645</v>
      </c>
      <c r="AS389" s="7">
        <v>2.7473960479992194</v>
      </c>
      <c r="AT389" s="7">
        <v>0.70634494347379195</v>
      </c>
      <c r="AU389" s="7">
        <v>-1.5587308909671302</v>
      </c>
    </row>
    <row r="390" spans="37:47" x14ac:dyDescent="0.25">
      <c r="AK390" t="str">
        <v>ford mustang gl</v>
      </c>
      <c r="AL390" s="7">
        <v>27</v>
      </c>
      <c r="AM390" s="7">
        <v>29.377520369158603</v>
      </c>
      <c r="AN390" s="7">
        <v>-2.3775203691586029</v>
      </c>
      <c r="AO390" s="7">
        <v>3.5685808262497551E-2</v>
      </c>
      <c r="AP390" s="7">
        <v>-0.78933938116930435</v>
      </c>
      <c r="AQ390" s="7">
        <v>1.356299494152636E-3</v>
      </c>
      <c r="AR390" s="7">
        <v>2.2741131596554611</v>
      </c>
      <c r="AS390" s="7">
        <v>2.9429591190884881</v>
      </c>
      <c r="AT390" s="7">
        <v>0.88844773688118783</v>
      </c>
      <c r="AU390" s="7">
        <v>-2.4655038674426057</v>
      </c>
    </row>
    <row r="391" spans="37:47" x14ac:dyDescent="0.25">
      <c r="AK391" t="str">
        <v>vw pickup</v>
      </c>
      <c r="AL391" s="7">
        <v>44</v>
      </c>
      <c r="AM391" s="7">
        <v>35.209308170705178</v>
      </c>
      <c r="AN391" s="7">
        <v>8.790691829294822</v>
      </c>
      <c r="AO391" s="7">
        <v>5.1635563700410413E-2</v>
      </c>
      <c r="AP391" s="7">
        <v>2.9429591190884881</v>
      </c>
      <c r="AQ391" s="7">
        <v>2.7739153271081101E-2</v>
      </c>
      <c r="AR391" s="7">
        <v>2.3685670592678738</v>
      </c>
      <c r="AS391" s="7">
        <v>3.1819916573400091</v>
      </c>
      <c r="AT391" s="7">
        <v>1.7155054995797852</v>
      </c>
      <c r="AU391" s="7">
        <v>9.2693183050970411</v>
      </c>
    </row>
    <row r="392" spans="37:47" x14ac:dyDescent="0.25">
      <c r="AK392" t="str">
        <v>dodge rampage</v>
      </c>
      <c r="AL392" s="7">
        <v>32</v>
      </c>
      <c r="AM392" s="7">
        <v>31.916331492548473</v>
      </c>
      <c r="AN392" s="7">
        <v>8.3668507451527319E-2</v>
      </c>
      <c r="AO392" s="7">
        <v>3.7995518466340882E-2</v>
      </c>
      <c r="AP392" s="7">
        <v>2.781136326470084E-2</v>
      </c>
      <c r="AQ392" s="7">
        <v>1.7970117380838996E-6</v>
      </c>
      <c r="AR392" s="7">
        <v>2.4905347542813567</v>
      </c>
      <c r="AS392" s="7">
        <v>3.2394353065249786</v>
      </c>
      <c r="AT392" s="7">
        <v>0.16676739269024038</v>
      </c>
      <c r="AU392" s="7">
        <v>8.6973095300076186E-2</v>
      </c>
    </row>
    <row r="393" spans="37:47" x14ac:dyDescent="0.25">
      <c r="AK393" t="str">
        <v>ford ranger</v>
      </c>
      <c r="AL393" s="7">
        <v>28</v>
      </c>
      <c r="AM393" s="7">
        <v>30.326621479327649</v>
      </c>
      <c r="AN393" s="7">
        <v>-2.326621479327649</v>
      </c>
      <c r="AO393" s="7">
        <v>3.599303784431826E-2</v>
      </c>
      <c r="AP393" s="7">
        <v>-0.77256397256164122</v>
      </c>
      <c r="AQ393" s="7">
        <v>1.3108660454863893E-3</v>
      </c>
      <c r="AR393" s="7">
        <v>2.6670046532742755</v>
      </c>
      <c r="AS393" s="7">
        <v>3.4720773077781244</v>
      </c>
      <c r="AT393" s="7">
        <v>0.87895618352773497</v>
      </c>
      <c r="AU393" s="7">
        <v>-2.4134903280417519</v>
      </c>
    </row>
    <row r="394" spans="37:47" x14ac:dyDescent="0.25">
      <c r="AK394" t="str">
        <v>chevy s-10</v>
      </c>
      <c r="AL394" s="7">
        <v>31</v>
      </c>
      <c r="AM394" s="7">
        <v>29.796897770030938</v>
      </c>
      <c r="AN394" s="7">
        <v>1.2031022299690619</v>
      </c>
      <c r="AO394" s="7">
        <v>3.5917225983654891E-2</v>
      </c>
      <c r="AP394" s="7">
        <v>0.39947920216775701</v>
      </c>
      <c r="AQ394" s="7">
        <v>3.4972597563339862E-4</v>
      </c>
      <c r="AR394" s="7">
        <v>3.0172230343004469</v>
      </c>
      <c r="AS394" s="7">
        <v>4.2007262122566926</v>
      </c>
      <c r="AT394" s="7">
        <v>0.63204367109224102</v>
      </c>
      <c r="AU394" s="7">
        <v>1.247924205674755</v>
      </c>
    </row>
  </sheetData>
  <conditionalFormatting sqref="B1">
    <cfRule type="expression" dxfId="33" priority="9">
      <formula>$B$1&lt;&gt;""</formula>
    </cfRule>
  </conditionalFormatting>
  <conditionalFormatting sqref="C2">
    <cfRule type="expression" dxfId="32" priority="12" stopIfTrue="1">
      <formula>AND($C$2=FALSE,SUMPRODUCT(N(_xlfn.TAKE(Spec_Role,COLUMNS(Source_Data))="Predictor (x)"),N(_xlfn.TAKE(Spec_Include,COLUMNS(Source_Data))=TRUE),N(_xlfn.TAKE(Spec_Type,COLUMNS(Source_Data))="Categorical"))&gt;0)</formula>
    </cfRule>
    <cfRule type="expression" dxfId="31" priority="13">
      <formula>SUMPRODUCT(N(_xlfn.TAKE(Spec_Role,COLUMNS(Source_Data))="Predictor (x)"),N(_xlfn.TAKE(Spec_Include,COLUMNS(Source_Data))=TRUE),N(_xlfn.TAKE(Spec_Type,COLUMNS(Source_Data))="Categorical"))&gt;0</formula>
    </cfRule>
    <cfRule type="expression" dxfId="30" priority="14">
      <formula>AND($C$2=TRUE,SUMPRODUCT(N(_xlfn.TAKE(Spec_Role,COLUMNS(Source_Data))="Fixed Effects"))&gt;0)</formula>
    </cfRule>
  </conditionalFormatting>
  <conditionalFormatting sqref="C4:G16000">
    <cfRule type="expression" dxfId="29" priority="1">
      <formula>$B4&lt;&gt;"Predictor (x)"</formula>
    </cfRule>
  </conditionalFormatting>
  <conditionalFormatting sqref="E1">
    <cfRule type="expression" dxfId="28" priority="8">
      <formula>$E$1&lt;&gt;""</formula>
    </cfRule>
  </conditionalFormatting>
  <conditionalFormatting sqref="E4:E16000">
    <cfRule type="expression" dxfId="27" priority="7">
      <formula>AND($E4&lt;&gt;"",ISNA(Dummy_Levels(INDEX(Source_Data,0,ROW()-3),$E4,Sample_Include())))</formula>
    </cfRule>
  </conditionalFormatting>
  <conditionalFormatting sqref="H4:H16000">
    <cfRule type="expression" dxfId="26" priority="5">
      <formula>AND($H4=TRUE,SUMPRODUCT(N(_xlfn.TAKE(Spec_Sequence,COLUMNS(Source_Data))=TRUE))&gt;1)</formula>
    </cfRule>
  </conditionalFormatting>
  <conditionalFormatting sqref="H4:I16000">
    <cfRule type="expression" dxfId="25" priority="3">
      <formula>$H4&lt;&gt;TRUE</formula>
    </cfRule>
  </conditionalFormatting>
  <conditionalFormatting sqref="I2">
    <cfRule type="expression" dxfId="24" priority="10" stopIfTrue="1">
      <formula>OR(ISNUMBER(SEARCH("off-grid",$I$2)),ISNUMBER(SEARCH("calendar",$I$2)))</formula>
    </cfRule>
    <cfRule type="expression" dxfId="23" priority="11">
      <formula>OR(ISNUMBER(SEARCH("evenly spaced",$I$2)),ISNUMBER(SEARCH("no natural",$I$2)))</formula>
    </cfRule>
  </conditionalFormatting>
  <conditionalFormatting sqref="J4:J16000">
    <cfRule type="expression" dxfId="22" priority="4">
      <formula>$H4&lt;&gt;TRUE</formula>
    </cfRule>
  </conditionalFormatting>
  <conditionalFormatting sqref="K4:K16000">
    <cfRule type="expression" dxfId="21" priority="6">
      <formula>AND($B4="Predictor (x)",$C4=TRUE,$D4="Categorical",N($K4)&lt;=1)</formula>
    </cfRule>
  </conditionalFormatting>
  <conditionalFormatting sqref="K4:L16000">
    <cfRule type="expression" dxfId="20" priority="2">
      <formula>$B4&lt;&gt;"Predictor (x)"</formula>
    </cfRule>
  </conditionalFormatting>
  <conditionalFormatting sqref="U3:U1048576">
    <cfRule type="expression" dxfId="19" priority="15">
      <formula>AND(ISNUMBER(U3),U3&gt;5,U3&lt;=10)</formula>
    </cfRule>
    <cfRule type="expression" dxfId="18" priority="16">
      <formula>AND(ISNUMBER(U3),U3&gt;10)</formula>
    </cfRule>
  </conditionalFormatting>
  <conditionalFormatting sqref="AB5">
    <cfRule type="expression" dxfId="17" priority="17">
      <formula>AND(ISNUMBER(AB5),AB5&lt;0)</formula>
    </cfRule>
  </conditionalFormatting>
  <conditionalFormatting sqref="AB10">
    <cfRule type="expression" dxfId="16" priority="18">
      <formula>AND(ISNUMBER(AB10),AB10&lt;0.98,AB10&gt;=0.95)</formula>
    </cfRule>
    <cfRule type="expression" dxfId="15" priority="19">
      <formula>AND(ISNUMBER(AB10),AB10&lt;0.95)</formula>
    </cfRule>
  </conditionalFormatting>
  <conditionalFormatting sqref="AB21:AB1048576">
    <cfRule type="expression" dxfId="14" priority="20">
      <formula>AND(ISNUMBER(AB21),AB21&gt;$Y$12)</formula>
    </cfRule>
  </conditionalFormatting>
  <conditionalFormatting sqref="AC15">
    <cfRule type="expression" dxfId="13" priority="21">
      <formula>AND(ISNUMBER(AC15),AC15&gt;$Y$12)</formula>
    </cfRule>
  </conditionalFormatting>
  <conditionalFormatting sqref="AH12">
    <cfRule type="expression" dxfId="12" priority="22">
      <formula>ISNA(MATCH($AH$12,Prediction_Group_Column(),0))</formula>
    </cfRule>
  </conditionalFormatting>
  <conditionalFormatting sqref="AO3:AO1048576">
    <cfRule type="expression" dxfId="11" priority="23">
      <formula>AND(ISNUMBER(AO3),AO3&gt;2*$AB$6)</formula>
    </cfRule>
    <cfRule type="expression" dxfId="10" priority="24">
      <formula>AND(ISNUMBER(AO3),AO3&gt;3*$AB$6)</formula>
    </cfRule>
  </conditionalFormatting>
  <conditionalFormatting sqref="AP3:AP1048576">
    <cfRule type="expression" dxfId="9" priority="25">
      <formula>AND(ISNUMBER(AP3),ABS(AP3)&gt;2,ABS(AP3)&lt;3)</formula>
    </cfRule>
    <cfRule type="expression" dxfId="8" priority="26">
      <formula>AND(ISNUMBER(AP3),ABS(AP3)&gt;=3)</formula>
    </cfRule>
  </conditionalFormatting>
  <conditionalFormatting sqref="AQ3:AQ1048576">
    <cfRule type="expression" dxfId="7" priority="29">
      <formula>AND(ISNUMBER(AQ3),AQ3&gt;4/$Y$8,AQ3&lt;=0.9)</formula>
    </cfRule>
    <cfRule type="expression" dxfId="6" priority="30">
      <formula>AND(ISNUMBER(AQ3),AQ3&gt;0.9)</formula>
    </cfRule>
  </conditionalFormatting>
  <conditionalFormatting sqref="AS3:AS1048576">
    <cfRule type="expression" dxfId="5" priority="27">
      <formula>AND(ISNUMBER(AS3),ABS(AS3)&gt;2,ABS(AS3)&lt;3)</formula>
    </cfRule>
    <cfRule type="expression" dxfId="4" priority="28">
      <formula>AND(ISNUMBER(AS3),ABS(AS3)&gt;=3)</formula>
    </cfRule>
  </conditionalFormatting>
  <conditionalFormatting sqref="AT3:AT1048576">
    <cfRule type="expression" dxfId="3" priority="31">
      <formula>AND(ISNUMBER(AT3),AT3&gt;1.414,AT3&lt;=1.732)</formula>
    </cfRule>
    <cfRule type="expression" dxfId="2" priority="32">
      <formula>AND(ISNUMBER(AT3),AT3&gt;1.732)</formula>
    </cfRule>
  </conditionalFormatting>
  <conditionalFormatting sqref="AU3:AU1048576">
    <cfRule type="expression" dxfId="1" priority="33">
      <formula>AND(ISNUMBER(AU3),ABS(AU3)&gt;2*$Y$7,ABS(AU3)&lt;=3*$Y$7)</formula>
    </cfRule>
    <cfRule type="expression" dxfId="0" priority="34">
      <formula>AND(ISNUMBER(AU3),ABS(AU3)&gt;3*$Y$7)</formula>
    </cfRule>
  </conditionalFormatting>
  <dataValidations count="5">
    <dataValidation type="list" allowBlank="1" showInputMessage="1" showErrorMessage="1" sqref="C4:C16000 C2" xr:uid="{6CF652CF-330B-419E-B661-8FC1BC2E43D2}">
      <formula1>"TRUE,FALSE"</formula1>
    </dataValidation>
    <dataValidation type="list" allowBlank="1" showInputMessage="1" showErrorMessage="1" sqref="D4:D16000" xr:uid="{74A3FC00-9CF0-410C-87BB-77EDF67AF0AB}">
      <formula1>"Continuous,Categorical"</formula1>
    </dataValidation>
    <dataValidation type="list" allowBlank="1" showInputMessage="1" showErrorMessage="1" sqref="G4:G16000" xr:uid="{4B1164D7-4AB3-4C97-9579-34D138665646}">
      <formula1>"None"</formula1>
    </dataValidation>
    <dataValidation type="list" allowBlank="1" showInputMessage="1" showErrorMessage="1" sqref="H4:H16000" xr:uid="{8162380A-3459-4CD1-96FC-E4BAF9391818}">
      <formula1>"TRUE"</formula1>
    </dataValidation>
    <dataValidation type="list" allowBlank="1" showInputMessage="1" showErrorMessage="1" sqref="B4:B16000" xr:uid="{FD5632ED-2085-43D1-8B81-2CD32A4F9726}">
      <formula1>"Response (y),Predictor (x),Identifier (Row Label),Filter,Omit,Fixed Effects"</formula1>
    </dataValidation>
  </dataValidations>
  <pageMargins left="0.7" right="0.7" top="0.75" bottom="0.75" header="0.3" footer="0.3"/>
  <drawing r:id="rId1"/>
  <legacyDrawing r:id="rId2"/>
  <tableParts count="1">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032716-66C0-43E4-B0B1-E3CEDB739ED4}">
  <sheetPr>
    <tabColor rgb="FFDCE6F1"/>
  </sheetPr>
  <dimension ref="A1:D37"/>
  <sheetViews>
    <sheetView workbookViewId="0"/>
  </sheetViews>
  <sheetFormatPr defaultRowHeight="15" x14ac:dyDescent="0.25"/>
  <cols>
    <col min="1" max="1" width="28.7109375" customWidth="1"/>
    <col min="2" max="3" width="22.7109375" customWidth="1"/>
    <col min="4" max="4" width="46.7109375" customWidth="1"/>
  </cols>
  <sheetData>
    <row r="1" spans="1:4" x14ac:dyDescent="0.25">
      <c r="A1" s="4" t="s">
        <v>560</v>
      </c>
      <c r="B1" s="13"/>
      <c r="C1" s="13"/>
      <c r="D1" s="13"/>
    </row>
    <row r="2" spans="1:4" ht="105" x14ac:dyDescent="0.25">
      <c r="A2" s="2" t="s">
        <v>561</v>
      </c>
    </row>
    <row r="4" spans="1:4" x14ac:dyDescent="0.25">
      <c r="A4" s="6" t="s">
        <v>562</v>
      </c>
      <c r="B4" s="5"/>
      <c r="C4" s="5"/>
      <c r="D4" s="5"/>
    </row>
    <row r="5" spans="1:4" x14ac:dyDescent="0.25">
      <c r="A5" s="6" t="s">
        <v>563</v>
      </c>
      <c r="B5" s="6" t="s">
        <v>564</v>
      </c>
      <c r="C5" s="6" t="s">
        <v>565</v>
      </c>
      <c r="D5" s="6" t="s">
        <v>566</v>
      </c>
    </row>
    <row r="6" spans="1:4" ht="45" x14ac:dyDescent="0.25">
      <c r="A6" s="2" t="s">
        <v>567</v>
      </c>
      <c r="B6" s="2" t="s">
        <v>568</v>
      </c>
      <c r="C6" s="2" t="s">
        <v>152</v>
      </c>
      <c r="D6" s="2" t="s">
        <v>569</v>
      </c>
    </row>
    <row r="7" spans="1:4" ht="60" x14ac:dyDescent="0.25">
      <c r="A7" s="2" t="s">
        <v>570</v>
      </c>
      <c r="B7" s="2" t="s">
        <v>571</v>
      </c>
      <c r="C7" s="2" t="s">
        <v>572</v>
      </c>
      <c r="D7" s="2" t="s">
        <v>573</v>
      </c>
    </row>
    <row r="8" spans="1:4" ht="45" x14ac:dyDescent="0.25">
      <c r="A8" s="2" t="s">
        <v>574</v>
      </c>
      <c r="B8" s="2" t="s">
        <v>568</v>
      </c>
      <c r="C8" s="2" t="s">
        <v>575</v>
      </c>
      <c r="D8" s="2" t="s">
        <v>576</v>
      </c>
    </row>
    <row r="10" spans="1:4" x14ac:dyDescent="0.25">
      <c r="A10" s="6" t="s">
        <v>577</v>
      </c>
      <c r="B10" s="5"/>
      <c r="C10" s="5"/>
      <c r="D10" s="5"/>
    </row>
    <row r="11" spans="1:4" x14ac:dyDescent="0.25">
      <c r="A11" s="6" t="s">
        <v>563</v>
      </c>
      <c r="B11" s="6" t="s">
        <v>564</v>
      </c>
      <c r="C11" s="6" t="s">
        <v>565</v>
      </c>
      <c r="D11" s="6" t="s">
        <v>566</v>
      </c>
    </row>
    <row r="12" spans="1:4" ht="60" x14ac:dyDescent="0.25">
      <c r="A12" s="2" t="s">
        <v>578</v>
      </c>
      <c r="B12" s="2" t="s">
        <v>568</v>
      </c>
      <c r="C12" s="2" t="s">
        <v>579</v>
      </c>
      <c r="D12" s="2" t="s">
        <v>580</v>
      </c>
    </row>
    <row r="13" spans="1:4" ht="180" x14ac:dyDescent="0.25">
      <c r="A13" s="2" t="s">
        <v>581</v>
      </c>
      <c r="B13" s="2" t="s">
        <v>582</v>
      </c>
      <c r="C13" s="2" t="s">
        <v>581</v>
      </c>
      <c r="D13" s="2" t="s">
        <v>583</v>
      </c>
    </row>
    <row r="14" spans="1:4" ht="60" x14ac:dyDescent="0.25">
      <c r="A14" s="2" t="s">
        <v>584</v>
      </c>
      <c r="B14" s="2" t="s">
        <v>585</v>
      </c>
      <c r="C14" s="2" t="s">
        <v>586</v>
      </c>
      <c r="D14" s="2" t="s">
        <v>587</v>
      </c>
    </row>
    <row r="15" spans="1:4" ht="75" x14ac:dyDescent="0.25">
      <c r="A15" s="2" t="s">
        <v>588</v>
      </c>
      <c r="B15" s="2" t="s">
        <v>582</v>
      </c>
      <c r="C15" s="2" t="s">
        <v>589</v>
      </c>
      <c r="D15" s="2" t="s">
        <v>590</v>
      </c>
    </row>
    <row r="17" spans="1:4" x14ac:dyDescent="0.25">
      <c r="A17" s="6" t="s">
        <v>591</v>
      </c>
      <c r="B17" s="5"/>
      <c r="C17" s="5"/>
      <c r="D17" s="5"/>
    </row>
    <row r="18" spans="1:4" x14ac:dyDescent="0.25">
      <c r="A18" s="6" t="s">
        <v>592</v>
      </c>
      <c r="B18" s="6" t="s">
        <v>593</v>
      </c>
      <c r="C18" s="6" t="s">
        <v>594</v>
      </c>
      <c r="D18" s="6" t="s">
        <v>595</v>
      </c>
    </row>
    <row r="19" spans="1:4" ht="30" x14ac:dyDescent="0.25">
      <c r="A19" s="2" t="s">
        <v>1628</v>
      </c>
      <c r="B19" s="2" t="s">
        <v>1629</v>
      </c>
      <c r="C19" s="2" t="s">
        <v>1630</v>
      </c>
      <c r="D19" s="2" t="s">
        <v>1631</v>
      </c>
    </row>
    <row r="20" spans="1:4" ht="30" x14ac:dyDescent="0.25">
      <c r="A20" s="2" t="s">
        <v>104</v>
      </c>
      <c r="B20" s="2" t="s">
        <v>1632</v>
      </c>
      <c r="C20" s="2" t="s">
        <v>596</v>
      </c>
      <c r="D20" s="2" t="s">
        <v>597</v>
      </c>
    </row>
    <row r="21" spans="1:4" x14ac:dyDescent="0.25">
      <c r="A21" s="2" t="s">
        <v>598</v>
      </c>
      <c r="B21" s="2" t="s">
        <v>599</v>
      </c>
      <c r="C21" s="2" t="s">
        <v>600</v>
      </c>
      <c r="D21" s="2" t="s">
        <v>601</v>
      </c>
    </row>
    <row r="22" spans="1:4" ht="30" x14ac:dyDescent="0.25">
      <c r="A22" s="2" t="s">
        <v>602</v>
      </c>
      <c r="B22" s="2" t="s">
        <v>603</v>
      </c>
      <c r="C22" s="2" t="s">
        <v>604</v>
      </c>
      <c r="D22" s="2" t="s">
        <v>605</v>
      </c>
    </row>
    <row r="23" spans="1:4" x14ac:dyDescent="0.25">
      <c r="A23" s="2" t="s">
        <v>606</v>
      </c>
      <c r="B23" s="2" t="s">
        <v>607</v>
      </c>
      <c r="C23" s="2" t="s">
        <v>600</v>
      </c>
      <c r="D23" s="2" t="s">
        <v>608</v>
      </c>
    </row>
    <row r="24" spans="1:4" x14ac:dyDescent="0.25">
      <c r="A24" s="2" t="s">
        <v>609</v>
      </c>
      <c r="B24" s="2" t="s">
        <v>610</v>
      </c>
      <c r="C24" s="2" t="s">
        <v>600</v>
      </c>
      <c r="D24" s="2" t="s">
        <v>611</v>
      </c>
    </row>
    <row r="25" spans="1:4" x14ac:dyDescent="0.25">
      <c r="A25" s="2" t="s">
        <v>585</v>
      </c>
      <c r="B25" s="2" t="s">
        <v>612</v>
      </c>
      <c r="C25" s="2" t="s">
        <v>600</v>
      </c>
      <c r="D25" s="2" t="s">
        <v>613</v>
      </c>
    </row>
    <row r="26" spans="1:4" ht="30" x14ac:dyDescent="0.25">
      <c r="A26" s="2" t="s">
        <v>586</v>
      </c>
      <c r="B26" s="2" t="s">
        <v>614</v>
      </c>
      <c r="C26" s="2" t="s">
        <v>615</v>
      </c>
      <c r="D26" s="2" t="s">
        <v>616</v>
      </c>
    </row>
    <row r="27" spans="1:4" x14ac:dyDescent="0.25">
      <c r="A27" s="2" t="s">
        <v>581</v>
      </c>
      <c r="B27" s="2" t="s">
        <v>617</v>
      </c>
      <c r="C27" s="2" t="s">
        <v>618</v>
      </c>
      <c r="D27" s="2" t="s">
        <v>619</v>
      </c>
    </row>
    <row r="28" spans="1:4" ht="30" x14ac:dyDescent="0.25">
      <c r="A28" s="2" t="s">
        <v>578</v>
      </c>
      <c r="B28" s="2" t="s">
        <v>620</v>
      </c>
      <c r="C28" s="2" t="s">
        <v>621</v>
      </c>
      <c r="D28" s="2" t="s">
        <v>622</v>
      </c>
    </row>
    <row r="29" spans="1:4" x14ac:dyDescent="0.25">
      <c r="A29" s="2" t="s">
        <v>623</v>
      </c>
      <c r="B29" s="2" t="s">
        <v>624</v>
      </c>
      <c r="C29" s="2" t="s">
        <v>625</v>
      </c>
      <c r="D29" s="2" t="s">
        <v>626</v>
      </c>
    </row>
    <row r="31" spans="1:4" x14ac:dyDescent="0.25">
      <c r="A31" s="6" t="s">
        <v>627</v>
      </c>
      <c r="B31" s="5"/>
      <c r="C31" s="5"/>
    </row>
    <row r="32" spans="1:4" x14ac:dyDescent="0.25">
      <c r="A32" s="6" t="s">
        <v>628</v>
      </c>
      <c r="B32" s="6" t="s">
        <v>629</v>
      </c>
      <c r="C32" s="6" t="s">
        <v>630</v>
      </c>
    </row>
    <row r="33" spans="1:3" ht="120" x14ac:dyDescent="0.25">
      <c r="A33" s="2" t="s">
        <v>631</v>
      </c>
      <c r="B33" s="2" t="s">
        <v>632</v>
      </c>
      <c r="C33" s="2" t="s">
        <v>633</v>
      </c>
    </row>
    <row r="34" spans="1:3" ht="105" x14ac:dyDescent="0.25">
      <c r="A34" s="2" t="s">
        <v>634</v>
      </c>
      <c r="B34" s="2" t="s">
        <v>635</v>
      </c>
      <c r="C34" s="2" t="s">
        <v>636</v>
      </c>
    </row>
    <row r="35" spans="1:3" ht="120" x14ac:dyDescent="0.25">
      <c r="A35" s="2" t="s">
        <v>637</v>
      </c>
      <c r="B35" s="2" t="s">
        <v>638</v>
      </c>
      <c r="C35" s="2" t="s">
        <v>639</v>
      </c>
    </row>
    <row r="36" spans="1:3" ht="240" x14ac:dyDescent="0.25">
      <c r="A36" s="2" t="s">
        <v>640</v>
      </c>
      <c r="B36" s="2" t="s">
        <v>641</v>
      </c>
      <c r="C36" s="2" t="s">
        <v>642</v>
      </c>
    </row>
    <row r="37" spans="1:3" ht="150" x14ac:dyDescent="0.25">
      <c r="A37" s="2" t="s">
        <v>1633</v>
      </c>
      <c r="B37" s="2" t="s">
        <v>1634</v>
      </c>
      <c r="C37" s="2" t="s">
        <v>643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775D-7513-427E-BA92-51439918266C}">
  <dimension ref="A1:G125"/>
  <sheetViews>
    <sheetView workbookViewId="0">
      <pane ySplit="1" topLeftCell="A2" activePane="bottomLeft" state="frozenSplit"/>
      <selection pane="bottomLeft" activeCell="B4" sqref="B4"/>
    </sheetView>
  </sheetViews>
  <sheetFormatPr defaultRowHeight="15" x14ac:dyDescent="0.25"/>
  <cols>
    <col min="1" max="2" width="18.7109375" customWidth="1"/>
    <col min="3" max="3" width="72.7109375" customWidth="1"/>
    <col min="4" max="4" width="30.7109375" customWidth="1"/>
    <col min="5" max="5" width="15.7109375" customWidth="1"/>
    <col min="6" max="6" width="34.7109375" customWidth="1"/>
    <col min="7" max="7" width="66.7109375" customWidth="1"/>
  </cols>
  <sheetData>
    <row r="1" spans="1:7" x14ac:dyDescent="0.25">
      <c r="A1" s="2" t="s">
        <v>0</v>
      </c>
      <c r="B1" s="2" t="s">
        <v>843</v>
      </c>
      <c r="C1" s="2" t="s">
        <v>1</v>
      </c>
      <c r="D1" s="2" t="s">
        <v>2</v>
      </c>
      <c r="E1" s="2" t="s">
        <v>3</v>
      </c>
      <c r="F1" s="2" t="s">
        <v>4</v>
      </c>
      <c r="G1" s="2" t="s">
        <v>5</v>
      </c>
    </row>
    <row r="2" spans="1:7" ht="90" x14ac:dyDescent="0.25">
      <c r="A2" s="2" t="s">
        <v>6</v>
      </c>
      <c r="B2" s="2" t="s">
        <v>844</v>
      </c>
      <c r="C2" s="1" t="s">
        <v>7</v>
      </c>
      <c r="D2" s="2" t="s">
        <v>8</v>
      </c>
      <c r="E2" s="2" t="s">
        <v>9</v>
      </c>
      <c r="F2" s="2" t="s">
        <v>10</v>
      </c>
      <c r="G2" s="2" t="s">
        <v>11</v>
      </c>
    </row>
    <row r="3" spans="1:7" ht="105" x14ac:dyDescent="0.25">
      <c r="A3" s="2" t="s">
        <v>765</v>
      </c>
      <c r="B3" s="2" t="s">
        <v>844</v>
      </c>
      <c r="C3" s="1" t="s">
        <v>12</v>
      </c>
      <c r="D3" s="2" t="s">
        <v>13</v>
      </c>
      <c r="E3" s="2" t="s">
        <v>14</v>
      </c>
      <c r="F3" s="2" t="s">
        <v>15</v>
      </c>
      <c r="G3" s="2" t="s">
        <v>16</v>
      </c>
    </row>
    <row r="4" spans="1:7" ht="105" x14ac:dyDescent="0.25">
      <c r="A4" s="2" t="s">
        <v>766</v>
      </c>
      <c r="B4" s="2" t="s">
        <v>844</v>
      </c>
      <c r="C4" s="1" t="s">
        <v>17</v>
      </c>
      <c r="D4" s="2" t="s">
        <v>18</v>
      </c>
      <c r="E4" s="2" t="s">
        <v>19</v>
      </c>
      <c r="F4" s="2" t="s">
        <v>20</v>
      </c>
      <c r="G4" s="2" t="s">
        <v>21</v>
      </c>
    </row>
    <row r="5" spans="1:7" ht="120" x14ac:dyDescent="0.25">
      <c r="A5" s="2" t="s">
        <v>767</v>
      </c>
      <c r="B5" s="2" t="s">
        <v>844</v>
      </c>
      <c r="C5" s="1" t="s">
        <v>22</v>
      </c>
      <c r="D5" s="2" t="s">
        <v>23</v>
      </c>
      <c r="E5" s="2" t="s">
        <v>24</v>
      </c>
      <c r="F5" s="2" t="s">
        <v>25</v>
      </c>
      <c r="G5" s="2" t="s">
        <v>768</v>
      </c>
    </row>
    <row r="6" spans="1:7" ht="240" x14ac:dyDescent="0.25">
      <c r="A6" s="2" t="s">
        <v>769</v>
      </c>
      <c r="B6" s="2" t="s">
        <v>844</v>
      </c>
      <c r="C6" s="1" t="s">
        <v>1639</v>
      </c>
      <c r="D6" s="2" t="s">
        <v>1640</v>
      </c>
      <c r="E6" s="2" t="s">
        <v>1641</v>
      </c>
      <c r="F6" s="2" t="s">
        <v>1642</v>
      </c>
      <c r="G6" s="2" t="s">
        <v>1643</v>
      </c>
    </row>
    <row r="7" spans="1:7" ht="120" x14ac:dyDescent="0.25">
      <c r="A7" s="2" t="s">
        <v>26</v>
      </c>
      <c r="B7" s="2" t="s">
        <v>844</v>
      </c>
      <c r="C7" s="1" t="s">
        <v>770</v>
      </c>
      <c r="D7" s="2" t="s">
        <v>23</v>
      </c>
      <c r="E7" s="2" t="s">
        <v>27</v>
      </c>
      <c r="F7" s="2" t="s">
        <v>28</v>
      </c>
      <c r="G7" s="2" t="s">
        <v>771</v>
      </c>
    </row>
    <row r="8" spans="1:7" ht="210" x14ac:dyDescent="0.25">
      <c r="A8" s="2" t="s">
        <v>772</v>
      </c>
      <c r="B8" s="2" t="s">
        <v>844</v>
      </c>
      <c r="C8" s="1" t="s">
        <v>1644</v>
      </c>
      <c r="D8" s="2" t="s">
        <v>1645</v>
      </c>
      <c r="E8" s="2" t="s">
        <v>29</v>
      </c>
      <c r="F8" s="2" t="s">
        <v>30</v>
      </c>
      <c r="G8" s="2" t="s">
        <v>1646</v>
      </c>
    </row>
    <row r="9" spans="1:7" ht="120" x14ac:dyDescent="0.25">
      <c r="A9" s="2" t="s">
        <v>31</v>
      </c>
      <c r="B9" s="2" t="s">
        <v>844</v>
      </c>
      <c r="C9" s="1" t="s">
        <v>32</v>
      </c>
      <c r="D9" s="2" t="s">
        <v>18</v>
      </c>
      <c r="E9" s="2" t="s">
        <v>33</v>
      </c>
      <c r="F9" s="2" t="s">
        <v>34</v>
      </c>
      <c r="G9" s="2" t="s">
        <v>35</v>
      </c>
    </row>
    <row r="10" spans="1:7" ht="120" x14ac:dyDescent="0.25">
      <c r="A10" s="2" t="s">
        <v>36</v>
      </c>
      <c r="B10" s="2" t="s">
        <v>844</v>
      </c>
      <c r="C10" s="1" t="s">
        <v>773</v>
      </c>
      <c r="D10" s="2" t="s">
        <v>23</v>
      </c>
      <c r="E10" s="2" t="s">
        <v>37</v>
      </c>
      <c r="F10" s="2" t="s">
        <v>38</v>
      </c>
      <c r="G10" s="2" t="s">
        <v>774</v>
      </c>
    </row>
    <row r="11" spans="1:7" ht="120" x14ac:dyDescent="0.25">
      <c r="A11" s="2" t="s">
        <v>39</v>
      </c>
      <c r="B11" s="2" t="s">
        <v>844</v>
      </c>
      <c r="C11" s="1" t="s">
        <v>775</v>
      </c>
      <c r="D11" s="2" t="s">
        <v>23</v>
      </c>
      <c r="E11" s="2" t="s">
        <v>40</v>
      </c>
      <c r="F11" s="2" t="s">
        <v>41</v>
      </c>
      <c r="G11" s="2" t="s">
        <v>776</v>
      </c>
    </row>
    <row r="12" spans="1:7" ht="120" x14ac:dyDescent="0.25">
      <c r="A12" s="2" t="s">
        <v>42</v>
      </c>
      <c r="B12" s="2" t="s">
        <v>844</v>
      </c>
      <c r="C12" s="1" t="s">
        <v>777</v>
      </c>
      <c r="D12" s="2" t="s">
        <v>23</v>
      </c>
      <c r="E12" s="2" t="s">
        <v>43</v>
      </c>
      <c r="F12" s="2" t="s">
        <v>44</v>
      </c>
      <c r="G12" s="2" t="s">
        <v>45</v>
      </c>
    </row>
    <row r="13" spans="1:7" ht="210" x14ac:dyDescent="0.25">
      <c r="A13" s="2" t="s">
        <v>46</v>
      </c>
      <c r="B13" s="2" t="s">
        <v>844</v>
      </c>
      <c r="C13" s="1" t="s">
        <v>1647</v>
      </c>
      <c r="D13" s="2" t="s">
        <v>1645</v>
      </c>
      <c r="E13" s="2" t="s">
        <v>47</v>
      </c>
      <c r="F13" s="2" t="s">
        <v>48</v>
      </c>
      <c r="G13" s="2" t="s">
        <v>1648</v>
      </c>
    </row>
    <row r="14" spans="1:7" ht="210" x14ac:dyDescent="0.25">
      <c r="A14" s="2" t="s">
        <v>49</v>
      </c>
      <c r="B14" s="2" t="s">
        <v>844</v>
      </c>
      <c r="C14" s="1" t="s">
        <v>1649</v>
      </c>
      <c r="D14" s="2" t="s">
        <v>1645</v>
      </c>
      <c r="E14" s="2" t="s">
        <v>50</v>
      </c>
      <c r="F14" s="2" t="s">
        <v>51</v>
      </c>
      <c r="G14" s="2" t="s">
        <v>1650</v>
      </c>
    </row>
    <row r="15" spans="1:7" ht="120" x14ac:dyDescent="0.25">
      <c r="A15" s="2" t="s">
        <v>52</v>
      </c>
      <c r="B15" s="2" t="s">
        <v>844</v>
      </c>
      <c r="C15" s="1" t="s">
        <v>812</v>
      </c>
      <c r="D15" s="2" t="s">
        <v>23</v>
      </c>
      <c r="E15" s="2" t="s">
        <v>53</v>
      </c>
      <c r="F15" s="2" t="s">
        <v>54</v>
      </c>
      <c r="G15" s="2" t="s">
        <v>817</v>
      </c>
    </row>
    <row r="16" spans="1:7" ht="240" x14ac:dyDescent="0.25">
      <c r="A16" s="2" t="s">
        <v>55</v>
      </c>
      <c r="B16" s="2" t="s">
        <v>844</v>
      </c>
      <c r="C16" s="1" t="s">
        <v>1651</v>
      </c>
      <c r="D16" s="2" t="s">
        <v>1652</v>
      </c>
      <c r="E16" s="2" t="s">
        <v>56</v>
      </c>
      <c r="F16" s="2" t="s">
        <v>57</v>
      </c>
      <c r="G16" s="2" t="s">
        <v>1653</v>
      </c>
    </row>
    <row r="17" spans="1:7" ht="240" x14ac:dyDescent="0.25">
      <c r="A17" s="2" t="s">
        <v>58</v>
      </c>
      <c r="B17" s="2" t="s">
        <v>844</v>
      </c>
      <c r="C17" s="1" t="s">
        <v>1654</v>
      </c>
      <c r="D17" s="2" t="s">
        <v>1652</v>
      </c>
      <c r="E17" s="2" t="s">
        <v>59</v>
      </c>
      <c r="F17" s="2" t="s">
        <v>60</v>
      </c>
      <c r="G17" s="2" t="s">
        <v>1655</v>
      </c>
    </row>
    <row r="18" spans="1:7" ht="240" x14ac:dyDescent="0.25">
      <c r="A18" s="2" t="s">
        <v>61</v>
      </c>
      <c r="B18" s="2" t="s">
        <v>844</v>
      </c>
      <c r="C18" s="1" t="s">
        <v>1656</v>
      </c>
      <c r="D18" s="2" t="s">
        <v>1657</v>
      </c>
      <c r="E18" s="2" t="s">
        <v>62</v>
      </c>
      <c r="F18" s="2" t="s">
        <v>63</v>
      </c>
      <c r="G18" s="2" t="s">
        <v>1658</v>
      </c>
    </row>
    <row r="19" spans="1:7" ht="135" x14ac:dyDescent="0.25">
      <c r="A19" s="2" t="s">
        <v>64</v>
      </c>
      <c r="B19" s="2" t="s">
        <v>844</v>
      </c>
      <c r="C19" s="1" t="s">
        <v>65</v>
      </c>
      <c r="D19" s="2" t="s">
        <v>23</v>
      </c>
      <c r="E19" s="2" t="s">
        <v>66</v>
      </c>
      <c r="F19" s="2" t="s">
        <v>67</v>
      </c>
      <c r="G19" s="2" t="s">
        <v>68</v>
      </c>
    </row>
    <row r="20" spans="1:7" ht="375" x14ac:dyDescent="0.25">
      <c r="A20" s="2" t="s">
        <v>893</v>
      </c>
      <c r="B20" s="2" t="s">
        <v>844</v>
      </c>
      <c r="C20" s="1" t="s">
        <v>894</v>
      </c>
      <c r="D20" s="2" t="s">
        <v>895</v>
      </c>
      <c r="E20" s="2" t="s">
        <v>896</v>
      </c>
      <c r="F20" s="2" t="s">
        <v>897</v>
      </c>
      <c r="G20" s="2" t="s">
        <v>898</v>
      </c>
    </row>
    <row r="21" spans="1:7" ht="409.5" x14ac:dyDescent="0.25">
      <c r="A21" s="2" t="s">
        <v>899</v>
      </c>
      <c r="B21" s="2" t="s">
        <v>844</v>
      </c>
      <c r="C21" s="1" t="s">
        <v>900</v>
      </c>
      <c r="D21" s="2" t="s">
        <v>901</v>
      </c>
      <c r="E21" s="2" t="s">
        <v>902</v>
      </c>
      <c r="F21" s="2" t="s">
        <v>903</v>
      </c>
      <c r="G21" s="2" t="s">
        <v>904</v>
      </c>
    </row>
    <row r="22" spans="1:7" ht="210" x14ac:dyDescent="0.25">
      <c r="A22" s="2" t="s">
        <v>69</v>
      </c>
      <c r="B22" s="2" t="s">
        <v>844</v>
      </c>
      <c r="C22" s="1" t="s">
        <v>1659</v>
      </c>
      <c r="D22" s="2" t="s">
        <v>1660</v>
      </c>
      <c r="E22" s="2" t="s">
        <v>70</v>
      </c>
      <c r="F22" s="2" t="s">
        <v>71</v>
      </c>
      <c r="G22" s="2" t="s">
        <v>72</v>
      </c>
    </row>
    <row r="23" spans="1:7" ht="165" x14ac:dyDescent="0.25">
      <c r="A23" s="2" t="s">
        <v>73</v>
      </c>
      <c r="B23" s="2" t="s">
        <v>844</v>
      </c>
      <c r="C23" s="1" t="s">
        <v>74</v>
      </c>
      <c r="D23" s="2" t="s">
        <v>23</v>
      </c>
      <c r="E23" s="2" t="s">
        <v>75</v>
      </c>
      <c r="F23" s="2" t="s">
        <v>76</v>
      </c>
      <c r="G23" s="2" t="s">
        <v>77</v>
      </c>
    </row>
    <row r="24" spans="1:7" ht="300" x14ac:dyDescent="0.25">
      <c r="A24" s="2" t="s">
        <v>78</v>
      </c>
      <c r="B24" s="2" t="s">
        <v>844</v>
      </c>
      <c r="C24" s="1" t="s">
        <v>1661</v>
      </c>
      <c r="D24" s="2" t="s">
        <v>1662</v>
      </c>
      <c r="E24" s="2" t="s">
        <v>79</v>
      </c>
      <c r="F24" s="2" t="s">
        <v>1663</v>
      </c>
      <c r="G24" s="2" t="s">
        <v>1664</v>
      </c>
    </row>
    <row r="25" spans="1:7" ht="225" x14ac:dyDescent="0.25">
      <c r="A25" s="2" t="s">
        <v>778</v>
      </c>
      <c r="B25" s="2" t="s">
        <v>844</v>
      </c>
      <c r="C25" s="1" t="s">
        <v>1665</v>
      </c>
      <c r="D25" s="2" t="s">
        <v>1666</v>
      </c>
      <c r="E25" s="2" t="s">
        <v>80</v>
      </c>
      <c r="F25" s="2" t="s">
        <v>81</v>
      </c>
      <c r="G25" s="2" t="s">
        <v>1667</v>
      </c>
    </row>
    <row r="26" spans="1:7" ht="225" x14ac:dyDescent="0.25">
      <c r="A26" s="2" t="s">
        <v>82</v>
      </c>
      <c r="B26" s="2" t="s">
        <v>844</v>
      </c>
      <c r="C26" s="1" t="s">
        <v>1668</v>
      </c>
      <c r="D26" s="2" t="s">
        <v>1669</v>
      </c>
      <c r="E26" s="2" t="s">
        <v>83</v>
      </c>
      <c r="F26" s="2" t="s">
        <v>84</v>
      </c>
      <c r="G26" s="2" t="s">
        <v>1670</v>
      </c>
    </row>
    <row r="27" spans="1:7" ht="270" x14ac:dyDescent="0.25">
      <c r="A27" s="2" t="s">
        <v>779</v>
      </c>
      <c r="B27" s="2" t="s">
        <v>844</v>
      </c>
      <c r="C27" s="1" t="s">
        <v>1671</v>
      </c>
      <c r="D27" s="2" t="s">
        <v>1672</v>
      </c>
      <c r="E27" s="2" t="s">
        <v>85</v>
      </c>
      <c r="F27" s="2" t="s">
        <v>86</v>
      </c>
      <c r="G27" s="2" t="s">
        <v>1673</v>
      </c>
    </row>
    <row r="28" spans="1:7" ht="270" x14ac:dyDescent="0.25">
      <c r="A28" s="2" t="s">
        <v>780</v>
      </c>
      <c r="B28" s="2" t="s">
        <v>844</v>
      </c>
      <c r="C28" s="1" t="s">
        <v>1674</v>
      </c>
      <c r="D28" s="2" t="s">
        <v>1672</v>
      </c>
      <c r="E28" s="2" t="s">
        <v>87</v>
      </c>
      <c r="F28" s="2" t="s">
        <v>88</v>
      </c>
      <c r="G28" s="2" t="s">
        <v>1675</v>
      </c>
    </row>
    <row r="29" spans="1:7" ht="225" x14ac:dyDescent="0.25">
      <c r="A29" s="2" t="s">
        <v>781</v>
      </c>
      <c r="B29" s="2" t="s">
        <v>844</v>
      </c>
      <c r="C29" s="1" t="s">
        <v>1676</v>
      </c>
      <c r="D29" s="2" t="s">
        <v>1669</v>
      </c>
      <c r="E29" s="2" t="s">
        <v>89</v>
      </c>
      <c r="F29" s="2" t="s">
        <v>90</v>
      </c>
      <c r="G29" s="2" t="s">
        <v>1677</v>
      </c>
    </row>
    <row r="30" spans="1:7" ht="225" x14ac:dyDescent="0.25">
      <c r="A30" s="2" t="s">
        <v>91</v>
      </c>
      <c r="B30" s="2" t="s">
        <v>844</v>
      </c>
      <c r="C30" s="1" t="s">
        <v>1678</v>
      </c>
      <c r="D30" s="2" t="s">
        <v>1669</v>
      </c>
      <c r="E30" s="2" t="s">
        <v>92</v>
      </c>
      <c r="F30" s="2" t="s">
        <v>93</v>
      </c>
      <c r="G30" s="2" t="s">
        <v>1679</v>
      </c>
    </row>
    <row r="31" spans="1:7" ht="180" x14ac:dyDescent="0.25">
      <c r="A31" s="2" t="s">
        <v>94</v>
      </c>
      <c r="B31" s="2" t="s">
        <v>844</v>
      </c>
      <c r="C31" s="1" t="s">
        <v>95</v>
      </c>
      <c r="D31" s="2" t="s">
        <v>23</v>
      </c>
      <c r="E31" s="2" t="s">
        <v>96</v>
      </c>
      <c r="F31" s="2" t="s">
        <v>97</v>
      </c>
      <c r="G31" s="2" t="s">
        <v>98</v>
      </c>
    </row>
    <row r="32" spans="1:7" ht="300" x14ac:dyDescent="0.25">
      <c r="A32" s="2" t="s">
        <v>99</v>
      </c>
      <c r="B32" s="2" t="s">
        <v>844</v>
      </c>
      <c r="C32" s="1" t="s">
        <v>782</v>
      </c>
      <c r="D32" s="2" t="s">
        <v>100</v>
      </c>
      <c r="E32" s="2" t="s">
        <v>101</v>
      </c>
      <c r="F32" s="2" t="s">
        <v>102</v>
      </c>
      <c r="G32" s="2" t="s">
        <v>103</v>
      </c>
    </row>
    <row r="33" spans="1:7" ht="120" x14ac:dyDescent="0.25">
      <c r="A33" s="2" t="s">
        <v>104</v>
      </c>
      <c r="B33" s="2" t="s">
        <v>844</v>
      </c>
      <c r="C33" s="1" t="s">
        <v>105</v>
      </c>
      <c r="D33" s="2" t="s">
        <v>106</v>
      </c>
      <c r="E33" s="2" t="s">
        <v>107</v>
      </c>
      <c r="F33" s="2" t="s">
        <v>108</v>
      </c>
      <c r="G33" s="2" t="s">
        <v>109</v>
      </c>
    </row>
    <row r="34" spans="1:7" ht="345" x14ac:dyDescent="0.25">
      <c r="A34" s="2" t="s">
        <v>1614</v>
      </c>
      <c r="B34" s="2" t="s">
        <v>844</v>
      </c>
      <c r="C34" s="1" t="s">
        <v>1615</v>
      </c>
      <c r="D34" s="2" t="s">
        <v>1616</v>
      </c>
      <c r="E34" s="2" t="s">
        <v>1617</v>
      </c>
      <c r="F34" s="2" t="s">
        <v>1618</v>
      </c>
      <c r="G34" s="2" t="s">
        <v>1619</v>
      </c>
    </row>
    <row r="35" spans="1:7" ht="240" x14ac:dyDescent="0.25">
      <c r="A35" s="2" t="s">
        <v>1620</v>
      </c>
      <c r="B35" s="2" t="s">
        <v>844</v>
      </c>
      <c r="C35" s="1" t="s">
        <v>1621</v>
      </c>
      <c r="D35" s="2" t="s">
        <v>1622</v>
      </c>
      <c r="E35" s="2" t="s">
        <v>1623</v>
      </c>
      <c r="F35" s="2" t="s">
        <v>1624</v>
      </c>
      <c r="G35" s="2" t="s">
        <v>1625</v>
      </c>
    </row>
    <row r="36" spans="1:7" ht="409.5" x14ac:dyDescent="0.25">
      <c r="A36" s="2" t="s">
        <v>110</v>
      </c>
      <c r="B36" s="2" t="s">
        <v>844</v>
      </c>
      <c r="C36" s="1" t="s">
        <v>1680</v>
      </c>
      <c r="D36" s="2" t="s">
        <v>1681</v>
      </c>
      <c r="E36" s="2" t="s">
        <v>111</v>
      </c>
      <c r="F36" s="2" t="s">
        <v>112</v>
      </c>
      <c r="G36" s="2" t="s">
        <v>1682</v>
      </c>
    </row>
    <row r="37" spans="1:7" ht="409.5" x14ac:dyDescent="0.25">
      <c r="A37" s="2" t="s">
        <v>1683</v>
      </c>
      <c r="B37" s="2" t="s">
        <v>844</v>
      </c>
      <c r="C37" s="1" t="s">
        <v>1763</v>
      </c>
      <c r="D37" s="2" t="s">
        <v>1684</v>
      </c>
      <c r="E37" s="2" t="s">
        <v>1685</v>
      </c>
      <c r="F37" s="2" t="s">
        <v>1686</v>
      </c>
      <c r="G37" s="2" t="s">
        <v>1687</v>
      </c>
    </row>
    <row r="38" spans="1:7" ht="60" x14ac:dyDescent="0.25">
      <c r="A38" s="2" t="s">
        <v>783</v>
      </c>
      <c r="B38" s="2" t="s">
        <v>844</v>
      </c>
      <c r="C38" s="1" t="s">
        <v>113</v>
      </c>
      <c r="D38" s="2" t="s">
        <v>8</v>
      </c>
      <c r="E38" s="2" t="s">
        <v>114</v>
      </c>
      <c r="F38" s="2" t="s">
        <v>115</v>
      </c>
      <c r="G38" s="2" t="s">
        <v>116</v>
      </c>
    </row>
    <row r="39" spans="1:7" ht="90" x14ac:dyDescent="0.25">
      <c r="A39" s="2" t="s">
        <v>117</v>
      </c>
      <c r="B39" s="2" t="s">
        <v>844</v>
      </c>
      <c r="C39" s="1" t="s">
        <v>118</v>
      </c>
      <c r="D39" s="2" t="s">
        <v>8</v>
      </c>
      <c r="E39" s="2" t="s">
        <v>119</v>
      </c>
      <c r="F39" s="2" t="s">
        <v>120</v>
      </c>
      <c r="G39" s="2" t="s">
        <v>121</v>
      </c>
    </row>
    <row r="40" spans="1:7" ht="60" x14ac:dyDescent="0.25">
      <c r="A40" s="2" t="s">
        <v>122</v>
      </c>
      <c r="B40" s="2" t="s">
        <v>844</v>
      </c>
      <c r="C40" s="1" t="s">
        <v>123</v>
      </c>
      <c r="D40" s="2" t="s">
        <v>8</v>
      </c>
      <c r="E40" s="2" t="s">
        <v>124</v>
      </c>
      <c r="F40" s="2" t="s">
        <v>125</v>
      </c>
      <c r="G40" s="2" t="s">
        <v>126</v>
      </c>
    </row>
    <row r="41" spans="1:7" ht="90" x14ac:dyDescent="0.25">
      <c r="A41" s="2" t="s">
        <v>784</v>
      </c>
      <c r="B41" s="2" t="s">
        <v>844</v>
      </c>
      <c r="C41" s="1" t="s">
        <v>127</v>
      </c>
      <c r="D41" s="2" t="s">
        <v>8</v>
      </c>
      <c r="E41" s="2" t="s">
        <v>128</v>
      </c>
      <c r="F41" s="2" t="s">
        <v>129</v>
      </c>
      <c r="G41" s="2" t="s">
        <v>130</v>
      </c>
    </row>
    <row r="42" spans="1:7" ht="120" x14ac:dyDescent="0.25">
      <c r="A42" s="2" t="s">
        <v>131</v>
      </c>
      <c r="B42" s="2" t="s">
        <v>844</v>
      </c>
      <c r="C42" s="1" t="s">
        <v>132</v>
      </c>
      <c r="D42" s="2" t="s">
        <v>8</v>
      </c>
      <c r="E42" s="2" t="s">
        <v>133</v>
      </c>
      <c r="F42" s="2" t="s">
        <v>134</v>
      </c>
      <c r="G42" s="2" t="s">
        <v>135</v>
      </c>
    </row>
    <row r="43" spans="1:7" ht="165" x14ac:dyDescent="0.25">
      <c r="A43" s="2" t="s">
        <v>136</v>
      </c>
      <c r="B43" s="2" t="s">
        <v>844</v>
      </c>
      <c r="C43" s="1" t="s">
        <v>137</v>
      </c>
      <c r="D43" s="2" t="s">
        <v>138</v>
      </c>
      <c r="E43" s="2" t="s">
        <v>139</v>
      </c>
      <c r="F43" s="2" t="s">
        <v>140</v>
      </c>
      <c r="G43" s="2" t="s">
        <v>141</v>
      </c>
    </row>
    <row r="44" spans="1:7" ht="105" x14ac:dyDescent="0.25">
      <c r="A44" s="2" t="s">
        <v>142</v>
      </c>
      <c r="B44" s="2" t="s">
        <v>844</v>
      </c>
      <c r="C44" s="1" t="s">
        <v>143</v>
      </c>
      <c r="D44" s="2" t="s">
        <v>144</v>
      </c>
      <c r="E44" s="2" t="s">
        <v>145</v>
      </c>
      <c r="F44" s="2" t="s">
        <v>146</v>
      </c>
      <c r="G44" s="2" t="s">
        <v>785</v>
      </c>
    </row>
    <row r="45" spans="1:7" ht="135" x14ac:dyDescent="0.25">
      <c r="A45" s="2" t="s">
        <v>147</v>
      </c>
      <c r="B45" s="2" t="s">
        <v>844</v>
      </c>
      <c r="C45" s="1" t="s">
        <v>148</v>
      </c>
      <c r="D45" s="2" t="s">
        <v>23</v>
      </c>
      <c r="E45" s="2" t="s">
        <v>149</v>
      </c>
      <c r="F45" s="2" t="s">
        <v>150</v>
      </c>
      <c r="G45" s="2" t="s">
        <v>151</v>
      </c>
    </row>
    <row r="46" spans="1:7" ht="120" x14ac:dyDescent="0.25">
      <c r="A46" s="2" t="s">
        <v>152</v>
      </c>
      <c r="B46" s="2" t="s">
        <v>844</v>
      </c>
      <c r="C46" s="1" t="s">
        <v>153</v>
      </c>
      <c r="D46" s="2" t="s">
        <v>23</v>
      </c>
      <c r="E46" s="2" t="s">
        <v>154</v>
      </c>
      <c r="F46" s="2" t="s">
        <v>155</v>
      </c>
      <c r="G46" s="2" t="s">
        <v>156</v>
      </c>
    </row>
    <row r="47" spans="1:7" ht="195" x14ac:dyDescent="0.25">
      <c r="A47" s="2" t="s">
        <v>157</v>
      </c>
      <c r="B47" s="2" t="s">
        <v>844</v>
      </c>
      <c r="C47" s="1" t="s">
        <v>1688</v>
      </c>
      <c r="D47" s="2" t="s">
        <v>1689</v>
      </c>
      <c r="E47" s="2" t="s">
        <v>158</v>
      </c>
      <c r="F47" s="2" t="s">
        <v>159</v>
      </c>
      <c r="G47" s="2" t="s">
        <v>160</v>
      </c>
    </row>
    <row r="48" spans="1:7" ht="105" x14ac:dyDescent="0.25">
      <c r="A48" s="2" t="s">
        <v>786</v>
      </c>
      <c r="B48" s="2" t="s">
        <v>844</v>
      </c>
      <c r="C48" s="1" t="s">
        <v>161</v>
      </c>
      <c r="D48" s="2" t="s">
        <v>162</v>
      </c>
      <c r="E48" s="2" t="s">
        <v>163</v>
      </c>
      <c r="F48" s="2" t="s">
        <v>164</v>
      </c>
      <c r="G48" s="2" t="s">
        <v>787</v>
      </c>
    </row>
    <row r="49" spans="1:7" ht="210" x14ac:dyDescent="0.25">
      <c r="A49" s="2" t="s">
        <v>788</v>
      </c>
      <c r="B49" s="2" t="s">
        <v>844</v>
      </c>
      <c r="C49" s="1" t="s">
        <v>165</v>
      </c>
      <c r="D49" s="2" t="s">
        <v>166</v>
      </c>
      <c r="E49" s="2" t="s">
        <v>167</v>
      </c>
      <c r="F49" s="2" t="s">
        <v>168</v>
      </c>
      <c r="G49" s="2" t="s">
        <v>169</v>
      </c>
    </row>
    <row r="50" spans="1:7" ht="195" x14ac:dyDescent="0.25">
      <c r="A50" s="2" t="s">
        <v>789</v>
      </c>
      <c r="B50" s="2" t="s">
        <v>844</v>
      </c>
      <c r="C50" s="1" t="s">
        <v>790</v>
      </c>
      <c r="D50" s="2" t="s">
        <v>170</v>
      </c>
      <c r="E50" s="2" t="s">
        <v>171</v>
      </c>
      <c r="F50" s="2" t="s">
        <v>172</v>
      </c>
      <c r="G50" s="2" t="s">
        <v>791</v>
      </c>
    </row>
    <row r="51" spans="1:7" ht="150" x14ac:dyDescent="0.25">
      <c r="A51" s="2" t="s">
        <v>792</v>
      </c>
      <c r="B51" s="2" t="s">
        <v>844</v>
      </c>
      <c r="C51" s="1" t="s">
        <v>793</v>
      </c>
      <c r="D51" s="2" t="s">
        <v>23</v>
      </c>
      <c r="E51" s="2" t="s">
        <v>173</v>
      </c>
      <c r="F51" s="2" t="s">
        <v>174</v>
      </c>
      <c r="G51" s="2" t="s">
        <v>813</v>
      </c>
    </row>
    <row r="52" spans="1:7" ht="135" x14ac:dyDescent="0.25">
      <c r="A52" s="2" t="s">
        <v>814</v>
      </c>
      <c r="B52" s="2" t="s">
        <v>844</v>
      </c>
      <c r="C52" s="1" t="s">
        <v>962</v>
      </c>
      <c r="D52" s="2" t="s">
        <v>23</v>
      </c>
      <c r="E52" s="2" t="s">
        <v>815</v>
      </c>
      <c r="F52" s="2" t="s">
        <v>816</v>
      </c>
      <c r="G52" s="2" t="s">
        <v>963</v>
      </c>
    </row>
    <row r="53" spans="1:7" ht="150" x14ac:dyDescent="0.25">
      <c r="A53" s="2" t="s">
        <v>794</v>
      </c>
      <c r="B53" s="2" t="s">
        <v>844</v>
      </c>
      <c r="C53" s="1" t="s">
        <v>175</v>
      </c>
      <c r="D53" s="2" t="s">
        <v>138</v>
      </c>
      <c r="E53" s="2" t="s">
        <v>176</v>
      </c>
      <c r="F53" s="2" t="s">
        <v>177</v>
      </c>
      <c r="G53" s="2" t="s">
        <v>795</v>
      </c>
    </row>
    <row r="54" spans="1:7" ht="195" x14ac:dyDescent="0.25">
      <c r="A54" s="2" t="s">
        <v>178</v>
      </c>
      <c r="B54" s="2" t="s">
        <v>844</v>
      </c>
      <c r="C54" s="1" t="s">
        <v>1690</v>
      </c>
      <c r="D54" s="2" t="s">
        <v>1689</v>
      </c>
      <c r="E54" s="2" t="s">
        <v>179</v>
      </c>
      <c r="F54" s="2" t="s">
        <v>180</v>
      </c>
      <c r="G54" s="2" t="s">
        <v>1691</v>
      </c>
    </row>
    <row r="55" spans="1:7" ht="210" x14ac:dyDescent="0.25">
      <c r="A55" s="2" t="s">
        <v>181</v>
      </c>
      <c r="B55" s="2" t="s">
        <v>844</v>
      </c>
      <c r="C55" s="1" t="s">
        <v>1692</v>
      </c>
      <c r="D55" s="2" t="s">
        <v>1693</v>
      </c>
      <c r="E55" s="2" t="s">
        <v>182</v>
      </c>
      <c r="F55" s="2" t="s">
        <v>183</v>
      </c>
      <c r="G55" s="2" t="s">
        <v>184</v>
      </c>
    </row>
    <row r="56" spans="1:7" ht="210" x14ac:dyDescent="0.25">
      <c r="A56" s="2" t="s">
        <v>185</v>
      </c>
      <c r="B56" s="2" t="s">
        <v>844</v>
      </c>
      <c r="C56" s="1" t="s">
        <v>1694</v>
      </c>
      <c r="D56" s="2" t="s">
        <v>1693</v>
      </c>
      <c r="E56" s="2" t="s">
        <v>186</v>
      </c>
      <c r="F56" s="2" t="s">
        <v>187</v>
      </c>
      <c r="G56" s="2" t="s">
        <v>188</v>
      </c>
    </row>
    <row r="57" spans="1:7" ht="210" x14ac:dyDescent="0.25">
      <c r="A57" s="2" t="s">
        <v>189</v>
      </c>
      <c r="B57" s="2" t="s">
        <v>844</v>
      </c>
      <c r="C57" s="1" t="s">
        <v>1695</v>
      </c>
      <c r="D57" s="2" t="s">
        <v>1696</v>
      </c>
      <c r="E57" s="2" t="s">
        <v>190</v>
      </c>
      <c r="F57" s="2" t="s">
        <v>191</v>
      </c>
      <c r="G57" s="2" t="s">
        <v>192</v>
      </c>
    </row>
    <row r="58" spans="1:7" ht="135" x14ac:dyDescent="0.25">
      <c r="A58" s="2" t="s">
        <v>796</v>
      </c>
      <c r="B58" s="2" t="s">
        <v>844</v>
      </c>
      <c r="C58" s="1" t="s">
        <v>193</v>
      </c>
      <c r="D58" s="2" t="s">
        <v>194</v>
      </c>
      <c r="E58" s="2" t="s">
        <v>195</v>
      </c>
      <c r="F58" s="2" t="s">
        <v>196</v>
      </c>
      <c r="G58" s="2" t="s">
        <v>797</v>
      </c>
    </row>
    <row r="59" spans="1:7" ht="150" x14ac:dyDescent="0.25">
      <c r="A59" s="2" t="s">
        <v>197</v>
      </c>
      <c r="B59" s="2" t="s">
        <v>844</v>
      </c>
      <c r="C59" s="1" t="s">
        <v>198</v>
      </c>
      <c r="D59" s="2" t="s">
        <v>798</v>
      </c>
      <c r="E59" s="2" t="s">
        <v>199</v>
      </c>
      <c r="F59" s="2" t="s">
        <v>200</v>
      </c>
      <c r="G59" s="2" t="s">
        <v>799</v>
      </c>
    </row>
    <row r="60" spans="1:7" ht="210" x14ac:dyDescent="0.25">
      <c r="A60" s="2" t="s">
        <v>201</v>
      </c>
      <c r="B60" s="2" t="s">
        <v>844</v>
      </c>
      <c r="C60" s="1" t="s">
        <v>202</v>
      </c>
      <c r="D60" s="2" t="s">
        <v>203</v>
      </c>
      <c r="E60" s="2" t="s">
        <v>204</v>
      </c>
      <c r="F60" s="2" t="s">
        <v>205</v>
      </c>
      <c r="G60" s="2" t="s">
        <v>206</v>
      </c>
    </row>
    <row r="61" spans="1:7" ht="150" x14ac:dyDescent="0.25">
      <c r="A61" s="2" t="s">
        <v>207</v>
      </c>
      <c r="B61" s="2" t="s">
        <v>844</v>
      </c>
      <c r="C61" s="1" t="s">
        <v>208</v>
      </c>
      <c r="D61" s="2" t="s">
        <v>209</v>
      </c>
      <c r="E61" s="2" t="s">
        <v>210</v>
      </c>
      <c r="F61" s="2" t="s">
        <v>211</v>
      </c>
      <c r="G61" s="2" t="s">
        <v>212</v>
      </c>
    </row>
    <row r="62" spans="1:7" ht="315" x14ac:dyDescent="0.25">
      <c r="A62" s="2" t="s">
        <v>213</v>
      </c>
      <c r="B62" s="2" t="s">
        <v>844</v>
      </c>
      <c r="C62" s="1" t="s">
        <v>214</v>
      </c>
      <c r="D62" s="2" t="s">
        <v>215</v>
      </c>
      <c r="E62" s="2" t="s">
        <v>216</v>
      </c>
      <c r="F62" s="2" t="s">
        <v>217</v>
      </c>
      <c r="G62" s="2" t="s">
        <v>218</v>
      </c>
    </row>
    <row r="63" spans="1:7" ht="135" x14ac:dyDescent="0.25">
      <c r="A63" s="2" t="s">
        <v>219</v>
      </c>
      <c r="B63" s="2" t="s">
        <v>844</v>
      </c>
      <c r="C63" s="1" t="s">
        <v>220</v>
      </c>
      <c r="D63" s="2" t="s">
        <v>221</v>
      </c>
      <c r="E63" s="2" t="s">
        <v>222</v>
      </c>
      <c r="F63" s="2" t="s">
        <v>223</v>
      </c>
      <c r="G63" s="2" t="s">
        <v>224</v>
      </c>
    </row>
    <row r="64" spans="1:7" ht="150" x14ac:dyDescent="0.25">
      <c r="A64" s="2" t="s">
        <v>225</v>
      </c>
      <c r="B64" s="2" t="s">
        <v>844</v>
      </c>
      <c r="C64" s="1" t="s">
        <v>226</v>
      </c>
      <c r="D64" s="2" t="s">
        <v>221</v>
      </c>
      <c r="E64" s="2" t="s">
        <v>227</v>
      </c>
      <c r="F64" s="2" t="s">
        <v>228</v>
      </c>
      <c r="G64" s="2" t="s">
        <v>229</v>
      </c>
    </row>
    <row r="65" spans="1:7" ht="270" x14ac:dyDescent="0.25">
      <c r="A65" s="2" t="s">
        <v>800</v>
      </c>
      <c r="B65" s="2" t="s">
        <v>844</v>
      </c>
      <c r="C65" s="1" t="s">
        <v>1697</v>
      </c>
      <c r="D65" s="2" t="s">
        <v>1698</v>
      </c>
      <c r="E65" s="2" t="s">
        <v>230</v>
      </c>
      <c r="F65" s="2" t="s">
        <v>231</v>
      </c>
      <c r="G65" s="2" t="s">
        <v>1699</v>
      </c>
    </row>
    <row r="66" spans="1:7" ht="225" x14ac:dyDescent="0.25">
      <c r="A66" s="2" t="s">
        <v>801</v>
      </c>
      <c r="B66" s="2" t="s">
        <v>844</v>
      </c>
      <c r="C66" s="1" t="s">
        <v>1700</v>
      </c>
      <c r="D66" s="2" t="s">
        <v>1701</v>
      </c>
      <c r="E66" s="2" t="s">
        <v>232</v>
      </c>
      <c r="F66" s="2" t="s">
        <v>233</v>
      </c>
      <c r="G66" s="2" t="s">
        <v>1702</v>
      </c>
    </row>
    <row r="67" spans="1:7" ht="150" x14ac:dyDescent="0.25">
      <c r="A67" s="2" t="s">
        <v>234</v>
      </c>
      <c r="B67" s="2" t="s">
        <v>844</v>
      </c>
      <c r="C67" s="1" t="s">
        <v>235</v>
      </c>
      <c r="D67" s="2" t="s">
        <v>236</v>
      </c>
      <c r="E67" s="2" t="s">
        <v>237</v>
      </c>
      <c r="F67" s="2" t="s">
        <v>238</v>
      </c>
      <c r="G67" s="2" t="s">
        <v>239</v>
      </c>
    </row>
    <row r="68" spans="1:7" ht="120" x14ac:dyDescent="0.25">
      <c r="A68" s="2" t="s">
        <v>240</v>
      </c>
      <c r="B68" s="2" t="s">
        <v>844</v>
      </c>
      <c r="C68" s="1" t="s">
        <v>241</v>
      </c>
      <c r="D68" s="2" t="s">
        <v>242</v>
      </c>
      <c r="E68" s="2" t="s">
        <v>243</v>
      </c>
      <c r="F68" s="2" t="s">
        <v>244</v>
      </c>
      <c r="G68" s="2" t="s">
        <v>245</v>
      </c>
    </row>
    <row r="69" spans="1:7" ht="330" x14ac:dyDescent="0.25">
      <c r="A69" s="2" t="s">
        <v>802</v>
      </c>
      <c r="B69" s="2" t="s">
        <v>844</v>
      </c>
      <c r="C69" s="1" t="s">
        <v>246</v>
      </c>
      <c r="D69" s="2" t="s">
        <v>247</v>
      </c>
      <c r="E69" s="2" t="s">
        <v>248</v>
      </c>
      <c r="F69" s="2" t="s">
        <v>249</v>
      </c>
      <c r="G69" s="2" t="s">
        <v>803</v>
      </c>
    </row>
    <row r="70" spans="1:7" ht="120" x14ac:dyDescent="0.25">
      <c r="A70" s="2" t="s">
        <v>250</v>
      </c>
      <c r="B70" s="2" t="s">
        <v>844</v>
      </c>
      <c r="C70" s="1" t="s">
        <v>251</v>
      </c>
      <c r="D70" s="2" t="s">
        <v>252</v>
      </c>
      <c r="E70" s="2" t="s">
        <v>253</v>
      </c>
      <c r="F70" s="2" t="s">
        <v>254</v>
      </c>
      <c r="G70" s="2" t="s">
        <v>255</v>
      </c>
    </row>
    <row r="71" spans="1:7" ht="150" x14ac:dyDescent="0.25">
      <c r="A71" s="2" t="s">
        <v>256</v>
      </c>
      <c r="B71" s="2" t="s">
        <v>844</v>
      </c>
      <c r="C71" s="1" t="s">
        <v>257</v>
      </c>
      <c r="D71" s="2" t="s">
        <v>252</v>
      </c>
      <c r="E71" s="2" t="s">
        <v>258</v>
      </c>
      <c r="F71" s="2" t="s">
        <v>259</v>
      </c>
      <c r="G71" s="2" t="s">
        <v>260</v>
      </c>
    </row>
    <row r="72" spans="1:7" ht="150" x14ac:dyDescent="0.25">
      <c r="A72" s="2" t="s">
        <v>804</v>
      </c>
      <c r="B72" s="2" t="s">
        <v>844</v>
      </c>
      <c r="C72" s="1" t="s">
        <v>261</v>
      </c>
      <c r="D72" s="2" t="s">
        <v>252</v>
      </c>
      <c r="E72" s="2" t="s">
        <v>262</v>
      </c>
      <c r="F72" s="2" t="s">
        <v>263</v>
      </c>
      <c r="G72" s="2" t="s">
        <v>805</v>
      </c>
    </row>
    <row r="73" spans="1:7" ht="330" x14ac:dyDescent="0.25">
      <c r="A73" s="2" t="s">
        <v>806</v>
      </c>
      <c r="B73" s="2" t="s">
        <v>844</v>
      </c>
      <c r="C73" s="1" t="s">
        <v>264</v>
      </c>
      <c r="D73" s="2" t="s">
        <v>265</v>
      </c>
      <c r="E73" s="2" t="s">
        <v>266</v>
      </c>
      <c r="F73" s="2" t="s">
        <v>267</v>
      </c>
      <c r="G73" s="2" t="s">
        <v>807</v>
      </c>
    </row>
    <row r="74" spans="1:7" ht="165" x14ac:dyDescent="0.25">
      <c r="A74" s="2" t="s">
        <v>268</v>
      </c>
      <c r="B74" s="2" t="s">
        <v>844</v>
      </c>
      <c r="C74" s="1" t="s">
        <v>841</v>
      </c>
      <c r="D74" s="2" t="s">
        <v>265</v>
      </c>
      <c r="E74" s="2" t="s">
        <v>742</v>
      </c>
      <c r="F74" s="2" t="s">
        <v>743</v>
      </c>
      <c r="G74" s="2" t="s">
        <v>842</v>
      </c>
    </row>
    <row r="75" spans="1:7" ht="105" x14ac:dyDescent="0.25">
      <c r="A75" s="2" t="s">
        <v>744</v>
      </c>
      <c r="B75" s="2" t="s">
        <v>844</v>
      </c>
      <c r="C75" s="1" t="s">
        <v>745</v>
      </c>
      <c r="D75" s="2" t="s">
        <v>265</v>
      </c>
      <c r="E75" s="2" t="s">
        <v>746</v>
      </c>
      <c r="F75" s="2" t="s">
        <v>747</v>
      </c>
      <c r="G75" s="2" t="s">
        <v>748</v>
      </c>
    </row>
    <row r="76" spans="1:7" ht="105" x14ac:dyDescent="0.25">
      <c r="A76" s="2" t="s">
        <v>269</v>
      </c>
      <c r="B76" s="2" t="s">
        <v>844</v>
      </c>
      <c r="C76" s="1" t="s">
        <v>749</v>
      </c>
      <c r="D76" s="2" t="s">
        <v>265</v>
      </c>
      <c r="E76" s="2" t="s">
        <v>750</v>
      </c>
      <c r="F76" s="2" t="s">
        <v>270</v>
      </c>
      <c r="G76" s="2" t="s">
        <v>751</v>
      </c>
    </row>
    <row r="77" spans="1:7" ht="90" x14ac:dyDescent="0.25">
      <c r="A77" s="2" t="s">
        <v>687</v>
      </c>
      <c r="B77" s="2" t="s">
        <v>844</v>
      </c>
      <c r="C77" s="1" t="s">
        <v>752</v>
      </c>
      <c r="D77" s="2" t="s">
        <v>265</v>
      </c>
      <c r="E77" s="2" t="s">
        <v>753</v>
      </c>
      <c r="F77" s="2" t="s">
        <v>688</v>
      </c>
      <c r="G77" s="2" t="s">
        <v>754</v>
      </c>
    </row>
    <row r="78" spans="1:7" ht="105" x14ac:dyDescent="0.25">
      <c r="A78" s="2" t="s">
        <v>689</v>
      </c>
      <c r="B78" s="2" t="s">
        <v>844</v>
      </c>
      <c r="C78" s="1" t="s">
        <v>755</v>
      </c>
      <c r="D78" s="2" t="s">
        <v>265</v>
      </c>
      <c r="E78" s="2" t="s">
        <v>756</v>
      </c>
      <c r="F78" s="2" t="s">
        <v>690</v>
      </c>
      <c r="G78" s="2" t="s">
        <v>757</v>
      </c>
    </row>
    <row r="79" spans="1:7" ht="120" x14ac:dyDescent="0.25">
      <c r="A79" s="2" t="s">
        <v>691</v>
      </c>
      <c r="B79" s="2" t="s">
        <v>844</v>
      </c>
      <c r="C79" s="1" t="s">
        <v>692</v>
      </c>
      <c r="D79" s="2" t="s">
        <v>693</v>
      </c>
      <c r="E79" s="2" t="s">
        <v>694</v>
      </c>
      <c r="F79" s="2" t="s">
        <v>695</v>
      </c>
      <c r="G79" s="2" t="s">
        <v>696</v>
      </c>
    </row>
    <row r="80" spans="1:7" ht="120" x14ac:dyDescent="0.25">
      <c r="A80" s="2" t="s">
        <v>697</v>
      </c>
      <c r="B80" s="2" t="s">
        <v>844</v>
      </c>
      <c r="C80" s="1" t="s">
        <v>698</v>
      </c>
      <c r="D80" s="2" t="s">
        <v>699</v>
      </c>
      <c r="E80" s="2" t="s">
        <v>700</v>
      </c>
      <c r="F80" s="2" t="s">
        <v>701</v>
      </c>
      <c r="G80" s="2" t="s">
        <v>702</v>
      </c>
    </row>
    <row r="81" spans="1:7" ht="105" x14ac:dyDescent="0.25">
      <c r="A81" s="2" t="s">
        <v>703</v>
      </c>
      <c r="B81" s="2" t="s">
        <v>844</v>
      </c>
      <c r="C81" s="1" t="s">
        <v>704</v>
      </c>
      <c r="D81" s="2" t="s">
        <v>705</v>
      </c>
      <c r="E81" s="2" t="s">
        <v>706</v>
      </c>
      <c r="F81" s="2" t="s">
        <v>707</v>
      </c>
      <c r="G81" s="2" t="s">
        <v>708</v>
      </c>
    </row>
    <row r="82" spans="1:7" ht="135" x14ac:dyDescent="0.25">
      <c r="A82" s="2" t="s">
        <v>709</v>
      </c>
      <c r="B82" s="2" t="s">
        <v>844</v>
      </c>
      <c r="C82" s="1" t="s">
        <v>710</v>
      </c>
      <c r="D82" s="2" t="s">
        <v>711</v>
      </c>
      <c r="E82" s="2" t="s">
        <v>712</v>
      </c>
      <c r="F82" s="2" t="s">
        <v>713</v>
      </c>
      <c r="G82" s="2" t="s">
        <v>714</v>
      </c>
    </row>
    <row r="83" spans="1:7" ht="135" x14ac:dyDescent="0.25">
      <c r="A83" s="2" t="s">
        <v>715</v>
      </c>
      <c r="B83" s="2" t="s">
        <v>844</v>
      </c>
      <c r="C83" s="1" t="s">
        <v>716</v>
      </c>
      <c r="D83" s="2" t="s">
        <v>717</v>
      </c>
      <c r="E83" s="2" t="s">
        <v>718</v>
      </c>
      <c r="F83" s="2" t="s">
        <v>719</v>
      </c>
      <c r="G83" s="2" t="s">
        <v>720</v>
      </c>
    </row>
    <row r="84" spans="1:7" ht="195" x14ac:dyDescent="0.25">
      <c r="A84" s="2" t="s">
        <v>721</v>
      </c>
      <c r="B84" s="2" t="s">
        <v>844</v>
      </c>
      <c r="C84" s="1" t="s">
        <v>722</v>
      </c>
      <c r="D84" s="2" t="s">
        <v>723</v>
      </c>
      <c r="E84" s="2" t="s">
        <v>724</v>
      </c>
      <c r="F84" s="2" t="s">
        <v>725</v>
      </c>
      <c r="G84" s="2" t="s">
        <v>726</v>
      </c>
    </row>
    <row r="85" spans="1:7" ht="255" x14ac:dyDescent="0.25">
      <c r="A85" s="2" t="s">
        <v>727</v>
      </c>
      <c r="B85" s="2" t="s">
        <v>844</v>
      </c>
      <c r="C85" s="1" t="s">
        <v>728</v>
      </c>
      <c r="D85" s="2" t="s">
        <v>729</v>
      </c>
      <c r="E85" s="2" t="s">
        <v>730</v>
      </c>
      <c r="F85" s="2" t="s">
        <v>731</v>
      </c>
      <c r="G85" s="2" t="s">
        <v>732</v>
      </c>
    </row>
    <row r="86" spans="1:7" ht="180" x14ac:dyDescent="0.25">
      <c r="A86" s="2" t="s">
        <v>733</v>
      </c>
      <c r="B86" s="2" t="s">
        <v>844</v>
      </c>
      <c r="C86" s="1" t="s">
        <v>890</v>
      </c>
      <c r="D86" s="2" t="s">
        <v>734</v>
      </c>
      <c r="E86" s="2" t="s">
        <v>735</v>
      </c>
      <c r="F86" s="2" t="s">
        <v>736</v>
      </c>
      <c r="G86" s="2" t="s">
        <v>891</v>
      </c>
    </row>
    <row r="87" spans="1:7" ht="240" x14ac:dyDescent="0.25">
      <c r="A87" s="2" t="s">
        <v>808</v>
      </c>
      <c r="B87" s="2" t="s">
        <v>844</v>
      </c>
      <c r="C87" s="1" t="s">
        <v>271</v>
      </c>
      <c r="D87" s="2" t="s">
        <v>272</v>
      </c>
      <c r="E87" s="2" t="s">
        <v>273</v>
      </c>
      <c r="F87" s="2" t="s">
        <v>274</v>
      </c>
      <c r="G87" s="2" t="s">
        <v>809</v>
      </c>
    </row>
    <row r="88" spans="1:7" ht="180" x14ac:dyDescent="0.25">
      <c r="A88" s="2" t="s">
        <v>275</v>
      </c>
      <c r="B88" s="2" t="s">
        <v>844</v>
      </c>
      <c r="C88" s="1" t="s">
        <v>810</v>
      </c>
      <c r="D88" s="2" t="s">
        <v>276</v>
      </c>
      <c r="E88" s="2" t="s">
        <v>277</v>
      </c>
      <c r="F88" s="2" t="s">
        <v>278</v>
      </c>
      <c r="G88" s="2" t="s">
        <v>811</v>
      </c>
    </row>
    <row r="89" spans="1:7" ht="150" x14ac:dyDescent="0.25">
      <c r="A89" s="2" t="s">
        <v>279</v>
      </c>
      <c r="B89" s="2" t="s">
        <v>844</v>
      </c>
      <c r="C89" s="1" t="s">
        <v>280</v>
      </c>
      <c r="D89" s="2" t="s">
        <v>281</v>
      </c>
      <c r="E89" s="2" t="s">
        <v>282</v>
      </c>
      <c r="F89" s="2" t="s">
        <v>283</v>
      </c>
      <c r="G89" s="2" t="s">
        <v>284</v>
      </c>
    </row>
    <row r="90" spans="1:7" ht="135" x14ac:dyDescent="0.25">
      <c r="A90" s="2" t="s">
        <v>285</v>
      </c>
      <c r="B90" s="2" t="s">
        <v>844</v>
      </c>
      <c r="C90" s="1" t="s">
        <v>286</v>
      </c>
      <c r="D90" s="2" t="s">
        <v>287</v>
      </c>
      <c r="E90" s="2" t="s">
        <v>288</v>
      </c>
      <c r="F90" s="2" t="s">
        <v>289</v>
      </c>
      <c r="G90" s="2" t="s">
        <v>290</v>
      </c>
    </row>
    <row r="91" spans="1:7" ht="120" x14ac:dyDescent="0.25">
      <c r="A91" s="2" t="s">
        <v>291</v>
      </c>
      <c r="B91" s="2" t="s">
        <v>844</v>
      </c>
      <c r="C91" s="1" t="s">
        <v>292</v>
      </c>
      <c r="D91" s="2" t="s">
        <v>293</v>
      </c>
      <c r="E91" s="2" t="s">
        <v>294</v>
      </c>
      <c r="F91" s="2" t="s">
        <v>295</v>
      </c>
      <c r="G91" s="2" t="s">
        <v>296</v>
      </c>
    </row>
    <row r="92" spans="1:7" ht="135" x14ac:dyDescent="0.25">
      <c r="A92" s="2" t="s">
        <v>297</v>
      </c>
      <c r="B92" s="2" t="s">
        <v>844</v>
      </c>
      <c r="C92" s="1" t="s">
        <v>298</v>
      </c>
      <c r="D92" s="2" t="s">
        <v>299</v>
      </c>
      <c r="E92" s="2" t="s">
        <v>300</v>
      </c>
      <c r="F92" s="2" t="s">
        <v>301</v>
      </c>
      <c r="G92" s="2" t="s">
        <v>302</v>
      </c>
    </row>
    <row r="93" spans="1:7" ht="120" x14ac:dyDescent="0.25">
      <c r="A93" s="2" t="s">
        <v>303</v>
      </c>
      <c r="B93" s="2" t="s">
        <v>844</v>
      </c>
      <c r="C93" s="1" t="s">
        <v>304</v>
      </c>
      <c r="D93" s="2" t="s">
        <v>305</v>
      </c>
      <c r="E93" s="2" t="s">
        <v>306</v>
      </c>
      <c r="F93" s="2" t="s">
        <v>307</v>
      </c>
      <c r="G93" s="2" t="s">
        <v>308</v>
      </c>
    </row>
    <row r="94" spans="1:7" ht="180" x14ac:dyDescent="0.25">
      <c r="A94" s="2" t="s">
        <v>309</v>
      </c>
      <c r="B94" s="2" t="s">
        <v>844</v>
      </c>
      <c r="C94" s="1" t="s">
        <v>310</v>
      </c>
      <c r="D94" s="2" t="s">
        <v>311</v>
      </c>
      <c r="E94" s="2" t="s">
        <v>312</v>
      </c>
      <c r="F94" s="2" t="s">
        <v>313</v>
      </c>
      <c r="G94" s="2" t="s">
        <v>314</v>
      </c>
    </row>
    <row r="95" spans="1:7" ht="135" x14ac:dyDescent="0.25">
      <c r="A95" s="2" t="s">
        <v>315</v>
      </c>
      <c r="B95" s="2" t="s">
        <v>844</v>
      </c>
      <c r="C95" s="1" t="s">
        <v>316</v>
      </c>
      <c r="D95" s="2" t="s">
        <v>317</v>
      </c>
      <c r="E95" s="2" t="s">
        <v>318</v>
      </c>
      <c r="F95" s="2" t="s">
        <v>319</v>
      </c>
      <c r="G95" s="2" t="s">
        <v>320</v>
      </c>
    </row>
    <row r="96" spans="1:7" ht="180" x14ac:dyDescent="0.25">
      <c r="A96" s="2" t="s">
        <v>321</v>
      </c>
      <c r="B96" s="2" t="s">
        <v>844</v>
      </c>
      <c r="C96" s="1" t="s">
        <v>322</v>
      </c>
      <c r="D96" s="2" t="s">
        <v>323</v>
      </c>
      <c r="E96" s="2" t="s">
        <v>324</v>
      </c>
      <c r="F96" s="2" t="s">
        <v>325</v>
      </c>
      <c r="G96" s="2" t="s">
        <v>326</v>
      </c>
    </row>
    <row r="97" spans="1:7" ht="150" x14ac:dyDescent="0.25">
      <c r="A97" s="2" t="s">
        <v>327</v>
      </c>
      <c r="B97" s="2" t="s">
        <v>844</v>
      </c>
      <c r="C97" s="1" t="s">
        <v>328</v>
      </c>
      <c r="D97" s="2" t="s">
        <v>329</v>
      </c>
      <c r="E97" s="2" t="s">
        <v>330</v>
      </c>
      <c r="F97" s="2" t="s">
        <v>331</v>
      </c>
      <c r="G97" s="2" t="s">
        <v>332</v>
      </c>
    </row>
    <row r="98" spans="1:7" ht="135" x14ac:dyDescent="0.25">
      <c r="A98" s="2" t="s">
        <v>333</v>
      </c>
      <c r="B98" s="2" t="s">
        <v>844</v>
      </c>
      <c r="C98" s="1" t="s">
        <v>334</v>
      </c>
      <c r="D98" s="2" t="s">
        <v>335</v>
      </c>
      <c r="E98" s="2" t="s">
        <v>336</v>
      </c>
      <c r="F98" s="2" t="s">
        <v>337</v>
      </c>
      <c r="G98" s="2" t="s">
        <v>338</v>
      </c>
    </row>
    <row r="99" spans="1:7" ht="240" x14ac:dyDescent="0.25">
      <c r="A99" s="2" t="s">
        <v>758</v>
      </c>
      <c r="B99" s="2" t="s">
        <v>844</v>
      </c>
      <c r="C99" s="1" t="s">
        <v>737</v>
      </c>
      <c r="D99" s="2" t="s">
        <v>738</v>
      </c>
      <c r="E99" s="2" t="s">
        <v>739</v>
      </c>
      <c r="F99" s="2" t="s">
        <v>759</v>
      </c>
      <c r="G99" s="2" t="s">
        <v>760</v>
      </c>
    </row>
    <row r="100" spans="1:7" ht="225" x14ac:dyDescent="0.25">
      <c r="A100" s="2" t="s">
        <v>761</v>
      </c>
      <c r="B100" s="2" t="s">
        <v>844</v>
      </c>
      <c r="C100" s="1" t="s">
        <v>740</v>
      </c>
      <c r="D100" s="2" t="s">
        <v>738</v>
      </c>
      <c r="E100" s="2" t="s">
        <v>741</v>
      </c>
      <c r="F100" s="2" t="s">
        <v>762</v>
      </c>
      <c r="G100" s="2" t="s">
        <v>763</v>
      </c>
    </row>
    <row r="101" spans="1:7" ht="409.5" x14ac:dyDescent="0.25">
      <c r="A101" s="2" t="s">
        <v>818</v>
      </c>
      <c r="B101" s="2" t="s">
        <v>844</v>
      </c>
      <c r="C101" s="1" t="s">
        <v>819</v>
      </c>
      <c r="D101" s="2" t="s">
        <v>820</v>
      </c>
      <c r="E101" s="2" t="s">
        <v>821</v>
      </c>
      <c r="F101" s="2" t="s">
        <v>822</v>
      </c>
      <c r="G101" s="2" t="s">
        <v>823</v>
      </c>
    </row>
    <row r="102" spans="1:7" ht="390" x14ac:dyDescent="0.25">
      <c r="A102" s="2" t="s">
        <v>824</v>
      </c>
      <c r="B102" s="2" t="s">
        <v>844</v>
      </c>
      <c r="C102" s="1" t="s">
        <v>825</v>
      </c>
      <c r="D102" s="2" t="s">
        <v>820</v>
      </c>
      <c r="E102" s="2" t="s">
        <v>826</v>
      </c>
      <c r="F102" s="2" t="s">
        <v>827</v>
      </c>
      <c r="G102" s="2" t="s">
        <v>828</v>
      </c>
    </row>
    <row r="103" spans="1:7" ht="375" x14ac:dyDescent="0.25">
      <c r="A103" s="2" t="s">
        <v>905</v>
      </c>
      <c r="B103" s="2" t="s">
        <v>844</v>
      </c>
      <c r="C103" s="1" t="s">
        <v>952</v>
      </c>
      <c r="D103" s="2"/>
      <c r="E103" s="2" t="s">
        <v>953</v>
      </c>
      <c r="F103" s="2" t="s">
        <v>906</v>
      </c>
      <c r="G103" s="2" t="s">
        <v>954</v>
      </c>
    </row>
    <row r="104" spans="1:7" ht="409.5" x14ac:dyDescent="0.25">
      <c r="A104" s="2" t="s">
        <v>907</v>
      </c>
      <c r="B104" s="2" t="s">
        <v>844</v>
      </c>
      <c r="C104" s="1" t="s">
        <v>908</v>
      </c>
      <c r="D104" s="2" t="s">
        <v>909</v>
      </c>
      <c r="E104" s="2" t="s">
        <v>910</v>
      </c>
      <c r="F104" s="2" t="s">
        <v>911</v>
      </c>
      <c r="G104" s="2" t="s">
        <v>912</v>
      </c>
    </row>
    <row r="105" spans="1:7" ht="409.5" x14ac:dyDescent="0.25">
      <c r="A105" s="2" t="s">
        <v>913</v>
      </c>
      <c r="B105" s="2" t="s">
        <v>844</v>
      </c>
      <c r="C105" s="1" t="s">
        <v>914</v>
      </c>
      <c r="D105" s="2" t="s">
        <v>915</v>
      </c>
      <c r="E105" s="2" t="s">
        <v>916</v>
      </c>
      <c r="F105" s="2" t="s">
        <v>917</v>
      </c>
      <c r="G105" s="2" t="s">
        <v>918</v>
      </c>
    </row>
    <row r="106" spans="1:7" ht="285" x14ac:dyDescent="0.25">
      <c r="A106" s="2" t="s">
        <v>1703</v>
      </c>
      <c r="B106" s="2" t="s">
        <v>844</v>
      </c>
      <c r="C106" s="1" t="s">
        <v>1764</v>
      </c>
      <c r="D106" s="2" t="s">
        <v>1704</v>
      </c>
      <c r="E106" s="2" t="s">
        <v>1705</v>
      </c>
      <c r="F106" s="2" t="s">
        <v>1706</v>
      </c>
      <c r="G106" s="2" t="s">
        <v>1707</v>
      </c>
    </row>
    <row r="107" spans="1:7" ht="330" x14ac:dyDescent="0.25">
      <c r="A107" s="2" t="s">
        <v>1708</v>
      </c>
      <c r="B107" s="2" t="s">
        <v>844</v>
      </c>
      <c r="C107" s="1" t="s">
        <v>1709</v>
      </c>
      <c r="D107" s="2" t="s">
        <v>1710</v>
      </c>
      <c r="E107" s="2" t="s">
        <v>1711</v>
      </c>
      <c r="F107" s="2" t="s">
        <v>1712</v>
      </c>
      <c r="G107" s="2" t="s">
        <v>1713</v>
      </c>
    </row>
    <row r="108" spans="1:7" ht="285" x14ac:dyDescent="0.25">
      <c r="A108" s="2" t="s">
        <v>1714</v>
      </c>
      <c r="B108" s="2" t="s">
        <v>844</v>
      </c>
      <c r="C108" s="1" t="s">
        <v>1715</v>
      </c>
      <c r="D108" s="2" t="s">
        <v>1716</v>
      </c>
      <c r="E108" s="2" t="s">
        <v>1717</v>
      </c>
      <c r="F108" s="2" t="s">
        <v>1718</v>
      </c>
      <c r="G108" s="2" t="s">
        <v>1719</v>
      </c>
    </row>
    <row r="109" spans="1:7" ht="180" x14ac:dyDescent="0.25">
      <c r="A109" s="2" t="s">
        <v>1720</v>
      </c>
      <c r="B109" s="2" t="s">
        <v>844</v>
      </c>
      <c r="C109" s="1" t="s">
        <v>1721</v>
      </c>
      <c r="D109" s="2" t="s">
        <v>1722</v>
      </c>
      <c r="E109" s="2" t="s">
        <v>1723</v>
      </c>
      <c r="F109" s="2" t="s">
        <v>1724</v>
      </c>
      <c r="G109" s="2" t="s">
        <v>1725</v>
      </c>
    </row>
    <row r="110" spans="1:7" ht="135" x14ac:dyDescent="0.25">
      <c r="A110" s="2" t="s">
        <v>1726</v>
      </c>
      <c r="B110" s="2" t="s">
        <v>844</v>
      </c>
      <c r="C110" s="1" t="s">
        <v>1727</v>
      </c>
      <c r="D110" s="2" t="s">
        <v>1728</v>
      </c>
      <c r="E110" s="2" t="s">
        <v>1729</v>
      </c>
      <c r="F110" s="2" t="s">
        <v>1730</v>
      </c>
      <c r="G110" s="2" t="s">
        <v>1731</v>
      </c>
    </row>
    <row r="111" spans="1:7" ht="165" x14ac:dyDescent="0.25">
      <c r="A111" s="2" t="s">
        <v>845</v>
      </c>
      <c r="B111" s="2" t="s">
        <v>667</v>
      </c>
      <c r="C111" s="1" t="s">
        <v>865</v>
      </c>
      <c r="D111" s="2"/>
      <c r="E111" s="2" t="s">
        <v>846</v>
      </c>
      <c r="F111" s="2" t="s">
        <v>847</v>
      </c>
      <c r="G111" s="2" t="s">
        <v>848</v>
      </c>
    </row>
    <row r="112" spans="1:7" ht="105" x14ac:dyDescent="0.25">
      <c r="A112" s="2" t="s">
        <v>849</v>
      </c>
      <c r="B112" s="2" t="s">
        <v>667</v>
      </c>
      <c r="C112" s="1" t="s">
        <v>866</v>
      </c>
      <c r="D112" s="2"/>
      <c r="E112" s="2" t="s">
        <v>850</v>
      </c>
      <c r="F112" s="2" t="s">
        <v>851</v>
      </c>
      <c r="G112" s="2" t="s">
        <v>852</v>
      </c>
    </row>
    <row r="113" spans="1:7" ht="135" x14ac:dyDescent="0.25">
      <c r="A113" s="2" t="s">
        <v>853</v>
      </c>
      <c r="B113" s="2" t="s">
        <v>667</v>
      </c>
      <c r="C113" s="1" t="s">
        <v>867</v>
      </c>
      <c r="D113" s="2"/>
      <c r="E113" s="2" t="s">
        <v>854</v>
      </c>
      <c r="F113" s="2" t="s">
        <v>855</v>
      </c>
      <c r="G113" s="2" t="s">
        <v>856</v>
      </c>
    </row>
    <row r="114" spans="1:7" ht="210" x14ac:dyDescent="0.25">
      <c r="A114" s="2" t="s">
        <v>857</v>
      </c>
      <c r="B114" s="2" t="s">
        <v>667</v>
      </c>
      <c r="C114" s="1" t="s">
        <v>868</v>
      </c>
      <c r="D114" s="2"/>
      <c r="E114" s="2" t="s">
        <v>858</v>
      </c>
      <c r="F114" s="2" t="s">
        <v>859</v>
      </c>
      <c r="G114" s="2" t="s">
        <v>863</v>
      </c>
    </row>
    <row r="115" spans="1:7" ht="135" x14ac:dyDescent="0.25">
      <c r="A115" s="2" t="s">
        <v>860</v>
      </c>
      <c r="B115" s="2" t="s">
        <v>667</v>
      </c>
      <c r="C115" s="1" t="s">
        <v>869</v>
      </c>
      <c r="D115" s="2"/>
      <c r="E115" s="2" t="s">
        <v>861</v>
      </c>
      <c r="F115" s="2" t="s">
        <v>862</v>
      </c>
      <c r="G115" s="2" t="s">
        <v>864</v>
      </c>
    </row>
    <row r="116" spans="1:7" ht="255" x14ac:dyDescent="0.25">
      <c r="A116" s="2" t="s">
        <v>919</v>
      </c>
      <c r="B116" s="2" t="s">
        <v>667</v>
      </c>
      <c r="C116" s="1" t="s">
        <v>920</v>
      </c>
      <c r="D116" s="2"/>
      <c r="E116" s="2" t="s">
        <v>921</v>
      </c>
      <c r="F116" s="2" t="s">
        <v>922</v>
      </c>
      <c r="G116" s="2" t="s">
        <v>923</v>
      </c>
    </row>
    <row r="117" spans="1:7" ht="360" x14ac:dyDescent="0.25">
      <c r="A117" s="2" t="s">
        <v>924</v>
      </c>
      <c r="B117" s="2" t="s">
        <v>667</v>
      </c>
      <c r="C117" s="1" t="s">
        <v>925</v>
      </c>
      <c r="D117" s="2"/>
      <c r="E117" s="2" t="s">
        <v>926</v>
      </c>
      <c r="F117" s="2" t="s">
        <v>927</v>
      </c>
      <c r="G117" s="2" t="s">
        <v>928</v>
      </c>
    </row>
    <row r="118" spans="1:7" ht="390" x14ac:dyDescent="0.25">
      <c r="A118" s="2" t="s">
        <v>1732</v>
      </c>
      <c r="B118" s="2" t="s">
        <v>667</v>
      </c>
      <c r="C118" s="1" t="s">
        <v>1733</v>
      </c>
      <c r="D118" s="2"/>
      <c r="E118" s="2" t="s">
        <v>1734</v>
      </c>
      <c r="F118" s="2" t="s">
        <v>1735</v>
      </c>
      <c r="G118" s="2" t="s">
        <v>1736</v>
      </c>
    </row>
    <row r="119" spans="1:7" ht="315" x14ac:dyDescent="0.25">
      <c r="A119" s="2" t="s">
        <v>1737</v>
      </c>
      <c r="B119" s="2" t="s">
        <v>667</v>
      </c>
      <c r="C119" s="1" t="s">
        <v>1738</v>
      </c>
      <c r="D119" s="2"/>
      <c r="E119" s="2" t="s">
        <v>1739</v>
      </c>
      <c r="F119" s="2" t="s">
        <v>1740</v>
      </c>
      <c r="G119" s="2" t="s">
        <v>1741</v>
      </c>
    </row>
    <row r="120" spans="1:7" ht="390" x14ac:dyDescent="0.25">
      <c r="A120" s="2" t="s">
        <v>1742</v>
      </c>
      <c r="B120" s="2" t="s">
        <v>667</v>
      </c>
      <c r="C120" s="1" t="s">
        <v>1743</v>
      </c>
      <c r="D120" s="2"/>
      <c r="E120" s="2" t="s">
        <v>1744</v>
      </c>
      <c r="F120" s="2" t="s">
        <v>1745</v>
      </c>
      <c r="G120" s="2" t="s">
        <v>1746</v>
      </c>
    </row>
    <row r="121" spans="1:7" ht="390" x14ac:dyDescent="0.25">
      <c r="A121" s="2" t="s">
        <v>1747</v>
      </c>
      <c r="B121" s="2" t="s">
        <v>667</v>
      </c>
      <c r="C121" s="1" t="s">
        <v>1765</v>
      </c>
      <c r="D121" s="2"/>
      <c r="E121" s="2" t="s">
        <v>1748</v>
      </c>
      <c r="F121" s="2" t="s">
        <v>1749</v>
      </c>
      <c r="G121" s="2" t="s">
        <v>1766</v>
      </c>
    </row>
    <row r="122" spans="1:7" ht="409.5" x14ac:dyDescent="0.25">
      <c r="A122" s="2" t="s">
        <v>929</v>
      </c>
      <c r="B122" s="2" t="s">
        <v>667</v>
      </c>
      <c r="C122" s="1" t="s">
        <v>930</v>
      </c>
      <c r="D122" s="2"/>
      <c r="E122" s="2" t="s">
        <v>931</v>
      </c>
      <c r="F122" s="2" t="s">
        <v>932</v>
      </c>
      <c r="G122" s="2" t="s">
        <v>933</v>
      </c>
    </row>
    <row r="123" spans="1:7" ht="409.5" x14ac:dyDescent="0.25">
      <c r="A123" s="2" t="s">
        <v>934</v>
      </c>
      <c r="B123" s="2" t="s">
        <v>667</v>
      </c>
      <c r="C123" s="1" t="s">
        <v>935</v>
      </c>
      <c r="D123" s="2"/>
      <c r="E123" s="2" t="s">
        <v>936</v>
      </c>
      <c r="F123" s="2" t="s">
        <v>937</v>
      </c>
      <c r="G123" s="2" t="s">
        <v>938</v>
      </c>
    </row>
    <row r="124" spans="1:7" ht="315" x14ac:dyDescent="0.25">
      <c r="A124" s="2" t="s">
        <v>939</v>
      </c>
      <c r="B124" s="2" t="s">
        <v>667</v>
      </c>
      <c r="C124" s="1" t="s">
        <v>940</v>
      </c>
      <c r="D124" s="2"/>
      <c r="E124" s="2" t="s">
        <v>941</v>
      </c>
      <c r="F124" s="2" t="s">
        <v>942</v>
      </c>
      <c r="G124" s="2" t="s">
        <v>955</v>
      </c>
    </row>
    <row r="125" spans="1:7" ht="255" x14ac:dyDescent="0.25">
      <c r="A125" s="2" t="s">
        <v>943</v>
      </c>
      <c r="B125" s="2" t="s">
        <v>667</v>
      </c>
      <c r="C125" s="1" t="s">
        <v>944</v>
      </c>
      <c r="D125" s="2"/>
      <c r="E125" s="2" t="s">
        <v>945</v>
      </c>
      <c r="F125" s="2" t="s">
        <v>946</v>
      </c>
      <c r="G125" s="2" t="s">
        <v>947</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Mileage Data</vt:lpstr>
      <vt:lpstr>Life Expectancy Data</vt:lpstr>
      <vt:lpstr>Production Lots</vt:lpstr>
      <vt:lpstr>Version History</vt:lpstr>
      <vt:lpstr>Regression Instructions</vt:lpstr>
      <vt:lpstr>Regression</vt:lpstr>
      <vt:lpstr>Diagnostic Guide</vt:lpstr>
      <vt:lpstr>LAMBDA_functions</vt:lpstr>
      <vt:lpstr>Regression!Allow_Intercept</vt:lpstr>
      <vt:lpstr>Regression!alpha</vt:lpstr>
      <vt:lpstr>Regression!Source_Table</vt:lpstr>
      <vt:lpstr>Regression!Spec_Base_Period_Delta</vt:lpstr>
      <vt:lpstr>Regression!Spec_Include</vt:lpstr>
      <vt:lpstr>Regression!Spec_Order</vt:lpstr>
      <vt:lpstr>Regression!Spec_Period_In_Use</vt:lpstr>
      <vt:lpstr>Regression!Spec_Reference</vt:lpstr>
      <vt:lpstr>Regression!Spec_Role</vt:lpstr>
      <vt:lpstr>Regression!Spec_Sequence</vt:lpstr>
      <vt:lpstr>Regression!Spec_Sequence_Period</vt:lpstr>
      <vt:lpstr>Regression!Spec_Transform</vt:lpstr>
      <vt:lpstr>Regression!Spec_Type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Colodner, Stephen</dc:creator>
  <cp:lastModifiedBy>Stephen Colodner</cp:lastModifiedBy>
  <dcterms:created xsi:type="dcterms:W3CDTF">2026-06-22T19:13:42Z</dcterms:created>
  <dcterms:modified xsi:type="dcterms:W3CDTF">2026-07-27T03:19:00Z</dcterms:modified>
</cp:coreProperties>
</file>