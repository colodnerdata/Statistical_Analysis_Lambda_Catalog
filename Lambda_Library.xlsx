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10685D00-0CC0-459A-92DA-96A3BCE03419}" xr6:coauthVersionLast="47" xr6:coauthVersionMax="47" xr10:uidLastSave="{00000000-0000-0000-0000-000000000000}"/>
  <bookViews>
    <workbookView xWindow="32130" yWindow="2190" windowWidth="21600" windowHeight="11295" activeTab="2" xr2:uid="{8C6D7ED2-175B-44AB-8FA7-7C1A75FC23AF}"/>
  </bookViews>
  <sheets>
    <sheet name="LAMBDA_functions" sheetId="1" r:id="rId1"/>
    <sheet name="Life Expectancy Data" sheetId="2" r:id="rId2"/>
    <sheet name="MLR_Scalar_Test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2" i="3" l="1"/>
  <c r="AK2" i="3" s="1"/>
  <c r="AJ3" i="3"/>
  <c r="AK3" i="3" s="1"/>
  <c r="AJ4" i="3"/>
  <c r="AK4" i="3" s="1"/>
  <c r="AJ5" i="3"/>
  <c r="AK5" i="3" s="1"/>
  <c r="AJ6" i="3"/>
  <c r="AK6" i="3" s="1"/>
  <c r="AJ7" i="3"/>
  <c r="AK7" i="3" s="1"/>
  <c r="AJ8" i="3"/>
  <c r="AK8" i="3" s="1"/>
  <c r="AJ9" i="3"/>
  <c r="AK9" i="3" s="1"/>
  <c r="AG2" i="3"/>
  <c r="AH2" i="3" s="1"/>
  <c r="AG3" i="3"/>
  <c r="AH3" i="3" s="1"/>
  <c r="AG4" i="3"/>
  <c r="AH4" i="3" s="1"/>
  <c r="AG5" i="3"/>
  <c r="AH5" i="3" s="1"/>
  <c r="AG6" i="3"/>
  <c r="AH6" i="3" s="1"/>
  <c r="AG7" i="3"/>
  <c r="AH7" i="3" s="1"/>
  <c r="AG8" i="3"/>
  <c r="AH8" i="3" s="1"/>
  <c r="AG9" i="3"/>
  <c r="AH9" i="3" s="1"/>
  <c r="AD2" i="3"/>
  <c r="AE2" i="3" s="1"/>
  <c r="AD3" i="3"/>
  <c r="AE3" i="3" s="1"/>
  <c r="AD4" i="3"/>
  <c r="AE4" i="3" s="1"/>
  <c r="AD5" i="3"/>
  <c r="AE5" i="3" s="1"/>
  <c r="AD6" i="3"/>
  <c r="AE6" i="3" s="1"/>
  <c r="AD7" i="3"/>
  <c r="AE7" i="3" s="1"/>
  <c r="AD8" i="3"/>
  <c r="AE8" i="3" s="1"/>
  <c r="AD9" i="3"/>
  <c r="AE9" i="3" s="1"/>
  <c r="AB8" i="3"/>
  <c r="AB9" i="3"/>
  <c r="AA2" i="3"/>
  <c r="AB2" i="3" s="1"/>
  <c r="AA3" i="3"/>
  <c r="AB3" i="3" s="1"/>
  <c r="AA4" i="3"/>
  <c r="AB4" i="3" s="1"/>
  <c r="AA5" i="3"/>
  <c r="AB5" i="3" s="1"/>
  <c r="AA6" i="3"/>
  <c r="AB6" i="3" s="1"/>
  <c r="AA7" i="3"/>
  <c r="AB7" i="3" s="1"/>
  <c r="AA8" i="3"/>
  <c r="AA9" i="3"/>
  <c r="X2" i="3"/>
  <c r="Y2" i="3" s="1"/>
  <c r="X3" i="3"/>
  <c r="Y3" i="3" s="1"/>
  <c r="X4" i="3"/>
  <c r="Y4" i="3" s="1"/>
  <c r="X5" i="3"/>
  <c r="Y5" i="3" s="1"/>
  <c r="X6" i="3"/>
  <c r="Y6" i="3" s="1"/>
  <c r="X7" i="3"/>
  <c r="Y7" i="3" s="1"/>
  <c r="X8" i="3"/>
  <c r="Y8" i="3" s="1"/>
  <c r="X9" i="3"/>
  <c r="Y9" i="3" s="1"/>
  <c r="U2" i="3"/>
  <c r="V2" i="3" s="1"/>
  <c r="U3" i="3"/>
  <c r="V3" i="3" s="1"/>
  <c r="U4" i="3"/>
  <c r="V4" i="3" s="1"/>
  <c r="U5" i="3"/>
  <c r="V5" i="3" s="1"/>
  <c r="U6" i="3"/>
  <c r="V6" i="3" s="1"/>
  <c r="U7" i="3"/>
  <c r="V7" i="3" s="1"/>
  <c r="U8" i="3"/>
  <c r="V8" i="3" s="1"/>
  <c r="U9" i="3"/>
  <c r="V9" i="3" s="1"/>
  <c r="R2" i="3"/>
  <c r="S2" i="3" s="1"/>
  <c r="R3" i="3"/>
  <c r="S3" i="3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O2" i="3"/>
  <c r="P2" i="3" s="1"/>
  <c r="O3" i="3"/>
  <c r="P3" i="3" s="1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L2" i="3"/>
  <c r="M2" i="3" s="1"/>
  <c r="L3" i="3"/>
  <c r="M3" i="3" s="1"/>
  <c r="L4" i="3"/>
  <c r="M4" i="3" s="1"/>
  <c r="L5" i="3"/>
  <c r="M5" i="3" s="1"/>
  <c r="L6" i="3"/>
  <c r="M6" i="3" s="1"/>
  <c r="L7" i="3"/>
  <c r="M7" i="3" s="1"/>
  <c r="L8" i="3"/>
  <c r="M8" i="3" s="1"/>
  <c r="L9" i="3"/>
  <c r="M9" i="3" s="1"/>
  <c r="I2" i="3"/>
  <c r="J2" i="3" s="1"/>
  <c r="I3" i="3"/>
  <c r="J3" i="3" s="1"/>
  <c r="I4" i="3"/>
  <c r="J4" i="3" s="1"/>
  <c r="I5" i="3"/>
  <c r="J5" i="3" s="1"/>
  <c r="I6" i="3"/>
  <c r="J6" i="3" s="1"/>
  <c r="I7" i="3"/>
  <c r="J7" i="3" s="1"/>
  <c r="I8" i="3"/>
  <c r="J8" i="3" s="1"/>
  <c r="I9" i="3"/>
  <c r="J9" i="3" s="1"/>
  <c r="G2" i="3"/>
  <c r="G3" i="3"/>
  <c r="G4" i="3"/>
  <c r="G5" i="3"/>
  <c r="G6" i="3"/>
  <c r="F2" i="3"/>
  <c r="F3" i="3"/>
  <c r="F4" i="3"/>
  <c r="F5" i="3"/>
  <c r="F6" i="3"/>
  <c r="F7" i="3"/>
  <c r="G7" i="3" s="1"/>
  <c r="F8" i="3"/>
  <c r="G8" i="3" s="1"/>
  <c r="F9" i="3"/>
  <c r="G9" i="3" s="1"/>
  <c r="A2" i="3"/>
  <c r="A3" i="3"/>
  <c r="A4" i="3"/>
  <c r="A5" i="3"/>
  <c r="A6" i="3"/>
  <c r="A7" i="3"/>
  <c r="A8" i="3"/>
  <c r="A9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D5" i="3" l="1"/>
  <c r="D3" i="3"/>
  <c r="D2" i="3"/>
  <c r="D9" i="3"/>
  <c r="D8" i="3"/>
  <c r="D7" i="3"/>
  <c r="D6" i="3"/>
  <c r="D4" i="3"/>
</calcChain>
</file>

<file path=xl/sharedStrings.xml><?xml version="1.0" encoding="utf-8"?>
<sst xmlns="http://schemas.openxmlformats.org/spreadsheetml/2006/main" count="5996" uniqueCount="308">
  <si>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</si>
  <si>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</si>
  <si>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</si>
  <si>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</si>
  <si>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</si>
  <si>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</si>
  <si>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</si>
  <si>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</si>
  <si>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</si>
  <si>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</si>
  <si>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</si>
  <si>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</si>
  <si>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</si>
  <si>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</si>
  <si>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</si>
  <si>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</si>
  <si>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</si>
  <si>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</si>
  <si>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</si>
  <si>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</si>
  <si>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</si>
  <si>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</si>
  <si>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</si>
  <si>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</si>
  <si>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</si>
  <si>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</si>
  <si>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</si>
  <si>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</si>
  <si>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</si>
  <si>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</si>
  <si>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</si>
  <si>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</si>
  <si>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</si>
  <si>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</si>
  <si>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</si>
  <si>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</si>
  <si>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</si>
  <si>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</si>
  <si>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</si>
  <si>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</si>
  <si>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</si>
  <si>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</si>
  <si>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</si>
  <si>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</si>
  <si>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</si>
  <si>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</si>
  <si>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</si>
  <si>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</si>
  <si>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</si>
  <si>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</si>
  <si>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</si>
  <si>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</si>
  <si>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</si>
  <si>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</si>
  <si>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</si>
  <si>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</si>
  <si>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</si>
  <si>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</si>
  <si>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</si>
  <si>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</si>
  <si>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</si>
  <si>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</si>
  <si>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</si>
  <si>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</si>
  <si>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</si>
  <si>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</si>
  <si>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</si>
  <si>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</si>
  <si>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</si>
  <si>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</si>
  <si>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</si>
  <si>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</si>
  <si>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</si>
  <si>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</si>
  <si>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</si>
  <si>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</si>
  <si>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</si>
  <si>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</si>
  <si>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</si>
  <si>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</si>
  <si>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</si>
  <si>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</si>
  <si>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</si>
  <si>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</si>
  <si>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</si>
  <si>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</si>
  <si>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</si>
  <si>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</si>
  <si>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</si>
  <si>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</si>
  <si>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</si>
  <si>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</si>
  <si>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</si>
  <si>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</si>
  <si>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</si>
  <si>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</si>
  <si>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</si>
  <si>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</si>
  <si>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</si>
  <si>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</si>
  <si>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</si>
  <si>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</si>
  <si>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</si>
  <si>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</si>
  <si>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</si>
  <si>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</si>
  <si>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</si>
  <si>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</si>
  <si>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</si>
  <si>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</si>
  <si>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</si>
  <si>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</si>
  <si>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</si>
  <si>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</si>
  <si>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</si>
  <si>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</si>
  <si>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</si>
  <si>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</si>
  <si>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</si>
  <si>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</si>
  <si>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</si>
  <si>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</si>
  <si>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</si>
  <si>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</si>
  <si>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</si>
  <si>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</si>
  <si>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</si>
  <si>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</si>
  <si>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</si>
  <si>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</si>
  <si>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</si>
  <si>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</si>
  <si>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</si>
  <si>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</si>
  <si>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</si>
  <si>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</si>
  <si>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</si>
  <si>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</si>
  <si>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</si>
  <si>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</si>
  <si>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</si>
  <si>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</si>
  <si>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</si>
  <si>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</si>
  <si>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</si>
  <si>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</si>
  <si>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</si>
  <si>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</si>
  <si>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</si>
  <si>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</si>
  <si>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</si>
  <si>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</si>
  <si>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</si>
  <si>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</si>
  <si>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</si>
  <si>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</si>
  <si>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</si>
  <si>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</si>
  <si>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</si>
  <si>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</si>
  <si>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</si>
  <si>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</si>
  <si>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</si>
  <si>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</si>
  <si>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</si>
  <si>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</si>
  <si>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</si>
  <si>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</si>
  <si>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</si>
  <si>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</si>
  <si>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</si>
  <si>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</si>
  <si>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</si>
  <si>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</si>
  <si>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</si>
  <si>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</si>
  <si>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</si>
  <si>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</si>
  <si>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</si>
  <si>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</si>
  <si>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</si>
  <si>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</si>
  <si>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</si>
  <si>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</si>
  <si>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</si>
  <si>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</si>
  <si>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</si>
  <si>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</si>
  <si>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</si>
  <si>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</si>
  <si>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</si>
  <si>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</si>
  <si>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</si>
  <si>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</si>
  <si>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</si>
  <si>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</si>
  <si>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</si>
  <si>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</si>
  <si>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</si>
  <si>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</si>
  <si>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</si>
  <si>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</si>
  <si>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</si>
  <si>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</si>
  <si>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</si>
  <si>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</si>
  <si>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</si>
  <si>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</si>
  <si>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</si>
  <si>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</si>
  <si>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</si>
  <si>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</si>
  <si>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</si>
  <si>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</si>
  <si>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</si>
  <si>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</si>
  <si>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</si>
  <si>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</si>
  <si>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</si>
  <si>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</si>
  <si>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</si>
  <si>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</si>
  <si>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</si>
  <si>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</si>
  <si>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</si>
  <si>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</si>
  <si>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</si>
  <si>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</si>
  <si>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</si>
  <si>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</si>
  <si>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</si>
  <si>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</si>
  <si>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</si>
  <si>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</si>
  <si>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</si>
  <si>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</si>
  <si>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</si>
  <si>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</si>
  <si>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</si>
  <si>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</si>
  <si>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</si>
  <si>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</si>
  <si>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</si>
  <si>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</si>
  <si>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</si>
  <si>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</si>
  <si>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</si>
  <si>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</si>
  <si>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</si>
  <si>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</si>
  <si>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</si>
  <si>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</si>
  <si>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</si>
  <si>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</si>
  <si>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</si>
  <si>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</si>
  <si>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Allow_Intercept</t>
  </si>
  <si>
    <t>Smoke Test</t>
  </si>
  <si>
    <t>ind_vars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</si>
  <si>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</si>
  <si>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</si>
  <si>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</si>
  <si>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</si>
  <si>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</si>
  <si>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</si>
  <si>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</si>
  <si>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</si>
  <si>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</si>
  <si>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</si>
  <si>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</si>
  <si>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</si>
  <si>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</si>
  <si>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</si>
  <si>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</si>
  <si>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</si>
  <si>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Observations
(Exp.)</t>
  </si>
  <si>
    <t>Observations
(Calc.)</t>
  </si>
  <si>
    <t>Observations
(Match)</t>
  </si>
  <si>
    <t>DF_Regression
(Exp.)</t>
  </si>
  <si>
    <t>DF_Regression
(Calc.)</t>
  </si>
  <si>
    <t>DF_Regression
(Match)</t>
  </si>
  <si>
    <t>DF_Total
(Exp.)</t>
  </si>
  <si>
    <t>DF_Total
(Calc.)</t>
  </si>
  <si>
    <t>DF_Total
(Match)</t>
  </si>
  <si>
    <t>R_squared
(Exp.)</t>
  </si>
  <si>
    <t>R_squared
(Calc.)</t>
  </si>
  <si>
    <t>R_squared
(Match)</t>
  </si>
  <si>
    <t>DF_Residual
(Exp.)</t>
  </si>
  <si>
    <t>DF_Residual
(Calc.)</t>
  </si>
  <si>
    <t>DF_Residual
(Match)</t>
  </si>
  <si>
    <t>Multiple_R
(Exp.)</t>
  </si>
  <si>
    <t>Multiple_R
(Calc.)</t>
  </si>
  <si>
    <t>Multiple_R
(Match)</t>
  </si>
  <si>
    <t>Adjusted_R2
(Exp.)</t>
  </si>
  <si>
    <t>Adjusted_R2
(Calc.)</t>
  </si>
  <si>
    <t>Adjusted_R2
(Match)</t>
  </si>
  <si>
    <t>SS_Total
(Exp.)</t>
  </si>
  <si>
    <t>SS_Total
(Calc.)</t>
  </si>
  <si>
    <t>SS_Total
(Match)</t>
  </si>
  <si>
    <t>SS_Residual
(Exp.)</t>
  </si>
  <si>
    <t>SS_Residual
(Calc.)</t>
  </si>
  <si>
    <t>SS_Residual
(Match)</t>
  </si>
  <si>
    <t>SS_Regression
(Exp.)</t>
  </si>
  <si>
    <t>SS_Regression
(Calc.)</t>
  </si>
  <si>
    <t>SS_Regression
(Match)</t>
  </si>
  <si>
    <t>SE_Regression
(Exp.)</t>
  </si>
  <si>
    <t>SE_Regression
(Calc.)</t>
  </si>
  <si>
    <t>SE_Regression
(Match)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</si>
</sst>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067F57-41F4-4585-B8F8-156633272EFA}" name="LAMBDAFunctionsCatalog" displayName="LAMBDAFunctionsCatalog" ref="A1:E12" totalsRowShown="0" headerRowDxfId="6" dataDxfId="5">
  <autoFilter ref="A1:E12" xr:uid="{AF067F57-41F4-4585-B8F8-156633272EFA}"/>
  <tableColumns count="5">
    <tableColumn id="1" xr3:uid="{49804AE2-A249-4FE7-9E07-2126DEFE7064}" name="Function Name" dataDxfId="4"/>
    <tableColumn id="2" xr3:uid="{4AB63529-2B4F-417B-A2A3-21E5CE293A6D}" name="Definition" dataDxfId="3"/>
    <tableColumn id="3" xr3:uid="{62CF76BE-E44E-4BCA-88FB-00C0F0A68119}" name="Arguments" dataDxfId="2"/>
    <tableColumn id="4" xr3:uid="{760838DC-50B8-4CEA-9507-5FB9ACD24265}" name="Yields" dataDxfId="1"/>
    <tableColumn id="5" xr3:uid="{9B544804-B015-43BB-B56A-ACA8606BEC98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353409-2CC1-45F9-A344-667F63E403EE}" name="LifeExpectancyData" displayName="LifeExpectancyData" ref="A1:W2939" totalsRowShown="0">
  <autoFilter ref="A1:W2939" xr:uid="{88353409-2CC1-45F9-A344-667F63E403EE}"/>
  <tableColumns count="23">
    <tableColumn id="1" xr3:uid="{CB57ABAC-CAD4-4A74-9FE9-4B38F0F75AE1}" name="Country"/>
    <tableColumn id="2" xr3:uid="{E00471F8-0B9F-4ED6-ABFC-299863189F9A}" name="Year"/>
    <tableColumn id="3" xr3:uid="{D730979A-06B7-48FF-BBAC-23AFCAA06534}" name="Status"/>
    <tableColumn id="4" xr3:uid="{0F451ECF-5AB9-41C6-A4D9-0DC40DA780A2}" name="Life expectancy"/>
    <tableColumn id="5" xr3:uid="{D284254C-60FF-4117-BF1C-A0FE378B05BF}" name="Adult Mortality"/>
    <tableColumn id="6" xr3:uid="{4DA84C36-35A6-4BC4-9CD3-CD74EEEF67D7}" name="infant deaths"/>
    <tableColumn id="7" xr3:uid="{E76B76FE-5172-42A3-991B-4B2861FA11B7}" name="Alcohol"/>
    <tableColumn id="8" xr3:uid="{3E1B44DF-C1D0-4D94-AB73-F1232AE7DC9D}" name="percentage expenditure"/>
    <tableColumn id="9" xr3:uid="{2CED1BCC-9704-46DF-A881-6D812C4F8027}" name="Hepatitis B"/>
    <tableColumn id="10" xr3:uid="{F1349D16-011A-4A89-B103-EF616471FC98}" name="Measles"/>
    <tableColumn id="11" xr3:uid="{0FEE157C-95C2-480A-B5C4-B41408D527C4}" name="BMI"/>
    <tableColumn id="12" xr3:uid="{C24EA0CC-98D3-4648-A72F-DE36F30AF7C6}" name="under-five deaths"/>
    <tableColumn id="13" xr3:uid="{FE5402F1-B97A-4D80-9BD6-5879B118F92F}" name="Polio"/>
    <tableColumn id="14" xr3:uid="{AFAD493F-0E95-47D8-9376-C8B4733C9BA3}" name="Total expenditure"/>
    <tableColumn id="15" xr3:uid="{8AA2C60F-0DF8-4F46-9F0D-0085DCED1C57}" name="Diphtheria"/>
    <tableColumn id="16" xr3:uid="{685BCE1A-9F21-4C0E-902A-0915F6F5EE67}" name="HIV/AIDS"/>
    <tableColumn id="17" xr3:uid="{1D270602-6C15-4C5A-AE15-9473E274B4A6}" name="GDP"/>
    <tableColumn id="18" xr3:uid="{24891281-A058-45EA-A416-E9F2A0B8912A}" name="Population"/>
    <tableColumn id="19" xr3:uid="{89A739D4-3A48-4709-983E-1699AB91D0BF}" name="thinness 1-19 years"/>
    <tableColumn id="20" xr3:uid="{CBE7637F-9DB0-40C9-9F5B-3A6163480FB0}" name="thinness 5-9 years"/>
    <tableColumn id="21" xr3:uid="{FC09BE0F-5B07-46D5-816C-692694426F14}" name="Income composition of resources"/>
    <tableColumn id="22" xr3:uid="{2B617B54-5414-443E-ACD9-B47EF12E21EA}" name="Schooling"/>
    <tableColumn id="23" xr3:uid="{2547DDF7-A942-458F-BE1F-03699C08C823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15C6A3-AA29-4C88-B54B-B3DDCD1DA049}" name="MLR_Scalar_Test" displayName="MLR_Scalar_Test" ref="A1:AK9" totalsRowShown="0" headerRowDxfId="31">
  <autoFilter ref="A1:AK9" xr:uid="{D215C6A3-AA29-4C88-B54B-B3DDCD1DA049}"/>
  <tableColumns count="37">
    <tableColumn id="1" xr3:uid="{C6FCB100-E499-44BD-80DA-3E116BF6C6D2}" name="X_Variables" dataDxfId="30">
      <calculatedColumnFormula>_xlfn.TEXTJOIN(", ",TRUE,OFFSET(y,-1,1,1,MLR_Scalar_Test[[#This Row],[ind_vars]]))</calculatedColumnFormula>
    </tableColumn>
    <tableColumn id="2" xr3:uid="{BBA14F07-1207-432B-9123-F90093C0F74A}" name="ind_vars"/>
    <tableColumn id="3" xr3:uid="{3C6F937A-F221-422B-87F6-394B9EE41CEE}" name="Allow_Intercept"/>
    <tableColumn id="4" xr3:uid="{E98EB0C4-6042-4DDD-82FE-46F093E37425}" name="Smoke Test" dataDxfId="29">
      <calculatedColumnFormula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calculatedColumnFormula>
    </tableColumn>
    <tableColumn id="5" xr3:uid="{CF2CA791-08DD-43A1-BDD9-F3721667BE53}" name="Observations_x000a_(Exp.)"/>
    <tableColumn id="6" xr3:uid="{302D061D-7E94-4AB1-81B6-E57C72B164D2}" name="Observations_x000a_(Calc.)" dataDxfId="28">
      <calculatedColumnFormula>Observations(y, fil)</calculatedColumnFormula>
    </tableColumn>
    <tableColumn id="7" xr3:uid="{9D4BDF08-2CF5-4A26-96DD-A4B508B1DCD3}" name="Observations_x000a_(Match)" dataDxfId="27">
      <calculatedColumnFormula>MLR_Scalar_Test[[#This Row],[Observations
(Exp.)]]=MLR_Scalar_Test[[#This Row],[Observations
(Calc.)]]</calculatedColumnFormula>
    </tableColumn>
    <tableColumn id="8" xr3:uid="{F5323344-9E83-4E8E-A228-DB9357D56799}" name="DF_Regression_x000a_(Exp.)"/>
    <tableColumn id="9" xr3:uid="{056543F6-974D-494E-9B5B-F38BAFA0344C}" name="DF_Regression_x000a_(Calc.)" dataDxfId="26">
      <calculatedColumnFormula>_xlfn.LET(_xlpm.x_s, OFFSET(y,0,1,ROWS(y),MLR_Scalar_Test[[#This Row],[ind_vars]]), DF_Regression(_xlpm.x_s))</calculatedColumnFormula>
    </tableColumn>
    <tableColumn id="10" xr3:uid="{4F766B93-5A3D-4555-A29B-A8D91F19F7D0}" name="DF_Regression_x000a_(Match)" dataDxfId="25">
      <calculatedColumnFormula>MLR_Scalar_Test[[#This Row],[DF_Regression
(Exp.)]]=MLR_Scalar_Test[[#This Row],[DF_Regression
(Calc.)]]</calculatedColumnFormula>
    </tableColumn>
    <tableColumn id="11" xr3:uid="{8845E606-096D-4BAB-8B93-9FAD792F2FBB}" name="DF_Total_x000a_(Exp.)"/>
    <tableColumn id="12" xr3:uid="{F3B6666C-C990-457A-A5B0-22477B1ED789}" name="DF_Total_x000a_(Calc.)" dataDxfId="24">
      <calculatedColumnFormula>DF_Total(y, MLR_Scalar_Test[[#This Row],[Allow_Intercept]], fil)</calculatedColumnFormula>
    </tableColumn>
    <tableColumn id="13" xr3:uid="{380A30D1-B0D3-40C9-97DA-3958481E5AD1}" name="DF_Total_x000a_(Match)" dataDxfId="23">
      <calculatedColumnFormula>MLR_Scalar_Test[[#This Row],[DF_Total
(Exp.)]]=MLR_Scalar_Test[[#This Row],[DF_Total
(Calc.)]]</calculatedColumnFormula>
    </tableColumn>
    <tableColumn id="14" xr3:uid="{E8CF6993-2367-4F67-9F91-D697D681238D}" name="R_squared_x000a_(Exp.)"/>
    <tableColumn id="15" xr3:uid="{6A3F6DCB-CC1F-4D37-81AA-93972CB5008D}" name="R_squared_x000a_(Calc.)" dataDxfId="22">
      <calculatedColumnFormula>_xlfn.LET(_xlpm.x_s, OFFSET(y,0,1,ROWS(y),MLR_Scalar_Test[[#This Row],[ind_vars]]), R_squared(_xlpm.x_s, y, MLR_Scalar_Test[[#This Row],[Allow_Intercept]], fil))</calculatedColumnFormula>
    </tableColumn>
    <tableColumn id="16" xr3:uid="{1FF9FDFA-7511-4272-8171-9090AB0CF452}" name="R_squared_x000a_(Match)" dataDxfId="21">
      <calculatedColumnFormula>ROUND(MLR_Scalar_Test[[#This Row],[R_squared
(Exp.)]],6)=ROUND(MLR_Scalar_Test[[#This Row],[R_squared
(Calc.)]],6)</calculatedColumnFormula>
    </tableColumn>
    <tableColumn id="17" xr3:uid="{640FFE26-0628-4BF7-83FB-1F06CB94C8AE}" name="DF_Residual_x000a_(Exp.)"/>
    <tableColumn id="18" xr3:uid="{44CD502C-45B8-4F49-B516-5B8566B92B3A}" name="DF_Residual_x000a_(Calc.)" dataDxfId="20">
      <calculatedColumnFormula>_xlfn.LET(_xlpm.x_s, OFFSET(y,0,1,ROWS(y),MLR_Scalar_Test[[#This Row],[ind_vars]]), DF_Residual(_xlpm.x_s, y, MLR_Scalar_Test[[#This Row],[Allow_Intercept]], fil))</calculatedColumnFormula>
    </tableColumn>
    <tableColumn id="19" xr3:uid="{EA49BBA1-0835-46E5-BC80-7FA6DEF78D88}" name="DF_Residual_x000a_(Match)" dataDxfId="19">
      <calculatedColumnFormula>MLR_Scalar_Test[[#This Row],[DF_Residual
(Exp.)]]=MLR_Scalar_Test[[#This Row],[DF_Residual
(Calc.)]]</calculatedColumnFormula>
    </tableColumn>
    <tableColumn id="20" xr3:uid="{CE177C42-A77C-4A22-90B3-19EFC18C2762}" name="Multiple_R_x000a_(Exp.)"/>
    <tableColumn id="21" xr3:uid="{B7541A97-CC65-4CFF-AF14-1C4BEE4F67FA}" name="Multiple_R_x000a_(Calc.)" dataDxfId="18">
      <calculatedColumnFormula>_xlfn.LET(_xlpm.x_s, OFFSET(y,0,1,ROWS(y),MLR_Scalar_Test[[#This Row],[ind_vars]]), Multiple_R(_xlpm.x_s, y, MLR_Scalar_Test[[#This Row],[Allow_Intercept]], fil))</calculatedColumnFormula>
    </tableColumn>
    <tableColumn id="22" xr3:uid="{48C6A76E-ED31-413C-BCFF-71DA681375C1}" name="Multiple_R_x000a_(Match)" dataDxfId="17">
      <calculatedColumnFormula>ROUND(MLR_Scalar_Test[[#This Row],[Multiple_R
(Exp.)]],6)=ROUND(MLR_Scalar_Test[[#This Row],[Multiple_R
(Calc.)]],6)</calculatedColumnFormula>
    </tableColumn>
    <tableColumn id="23" xr3:uid="{A54CB4E3-97EA-4CF8-A62A-71FB3129DFCF}" name="Adjusted_R2_x000a_(Exp.)"/>
    <tableColumn id="24" xr3:uid="{165CFE4F-61A7-46E5-ABC5-BDB184941FAA}" name="Adjusted_R2_x000a_(Calc.)" dataDxfId="16">
      <calculatedColumnFormula>_xlfn.LET(_xlpm.x_s, OFFSET(y,0,1,ROWS(y),MLR_Scalar_Test[[#This Row],[ind_vars]]), Adjusted_R2(_xlpm.x_s, y, MLR_Scalar_Test[[#This Row],[Allow_Intercept]], fil))</calculatedColumnFormula>
    </tableColumn>
    <tableColumn id="25" xr3:uid="{5764C504-6047-4391-ACAA-B5246E756970}" name="Adjusted_R2_x000a_(Match)" dataDxfId="15">
      <calculatedColumnFormula>ROUND(MLR_Scalar_Test[[#This Row],[Adjusted_R2
(Exp.)]],6)=ROUND(MLR_Scalar_Test[[#This Row],[Adjusted_R2
(Calc.)]],6)</calculatedColumnFormula>
    </tableColumn>
    <tableColumn id="26" xr3:uid="{9C358ECB-6369-4673-85D6-619A17C391E0}" name="SS_Total_x000a_(Exp.)"/>
    <tableColumn id="27" xr3:uid="{C55AD0EA-01D2-4A47-A8C9-3B95797D0C2B}" name="SS_Total_x000a_(Calc.)" dataDxfId="14">
      <calculatedColumnFormula>SS_Total(y, MLR_Scalar_Test[[#This Row],[Allow_Intercept]], fil)</calculatedColumnFormula>
    </tableColumn>
    <tableColumn id="28" xr3:uid="{712B31FF-118E-41B8-8AE1-C020DD564163}" name="SS_Total_x000a_(Match)" dataDxfId="13">
      <calculatedColumnFormula>ROUND(MLR_Scalar_Test[[#This Row],[SS_Total
(Exp.)]],4)=ROUND(MLR_Scalar_Test[[#This Row],[SS_Total
(Calc.)]],4)</calculatedColumnFormula>
    </tableColumn>
    <tableColumn id="29" xr3:uid="{3E08F6BC-5A5D-43E9-9C21-7D271BF8CA06}" name="SS_Residual_x000a_(Exp.)"/>
    <tableColumn id="30" xr3:uid="{54EE196E-69FB-4841-BBE9-1AC724661B83}" name="SS_Residual_x000a_(Calc.)" dataDxfId="12">
      <calculatedColumnFormula>_xlfn.LET(_xlpm.x_s, OFFSET(y,0,1,ROWS(y),MLR_Scalar_Test[[#This Row],[ind_vars]]), SS_Residual(_xlpm.x_s, y, MLR_Scalar_Test[[#This Row],[Allow_Intercept]], fil))</calculatedColumnFormula>
    </tableColumn>
    <tableColumn id="31" xr3:uid="{32C95FEC-7CC0-41B0-876B-8DD8A2573058}" name="SS_Residual_x000a_(Match)" dataDxfId="11">
      <calculatedColumnFormula>ROUND(MLR_Scalar_Test[[#This Row],[SS_Residual
(Exp.)]],4)=ROUND(MLR_Scalar_Test[[#This Row],[SS_Residual
(Calc.)]],4)</calculatedColumnFormula>
    </tableColumn>
    <tableColumn id="32" xr3:uid="{7275D799-A4CA-495D-8BE6-B1C12E204B22}" name="SS_Regression_x000a_(Exp.)"/>
    <tableColumn id="33" xr3:uid="{C7F0C91F-1343-4D77-AAA3-F3EED4AB7900}" name="SS_Regression_x000a_(Calc.)" dataDxfId="10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7C81776C-A275-4DC3-9D5B-46C46B79ECD7}" name="SS_Regression_x000a_(Match)" dataDxfId="9">
      <calculatedColumnFormula>ROUND(MLR_Scalar_Test[[#This Row],[SS_Regression
(Exp.)]],4)=ROUND(MLR_Scalar_Test[[#This Row],[SS_Regression
(Calc.)]],4)</calculatedColumnFormula>
    </tableColumn>
    <tableColumn id="35" xr3:uid="{CB9C4C73-5425-40E4-9F71-A38AE0D82054}" name="SE_Regression_x000a_(Exp.)"/>
    <tableColumn id="36" xr3:uid="{CEC3013C-F531-43F9-AA7E-471B39EF48ED}" name="SE_Regression_x000a_(Calc.)" dataDxfId="8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34D14E72-6831-450B-A09F-D02FE799F0E3}" name="SE_Regression_x000a_(Match)" dataDxfId="7">
      <calculatedColumnFormula>ROUND(MLR_Scalar_Test[[#This Row],[SE_Regression
(Exp.)]],6)=ROUND(MLR_Scalar_Test[[#This Row],[SE_Regression
(Calc.)]],6)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12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259</v>
      </c>
      <c r="B9" s="1" t="s">
        <v>260</v>
      </c>
      <c r="C9" s="2" t="s">
        <v>17</v>
      </c>
      <c r="D9" s="2" t="s">
        <v>261</v>
      </c>
      <c r="E9" s="2" t="s">
        <v>262</v>
      </c>
    </row>
    <row r="10" spans="1:5" ht="120" x14ac:dyDescent="0.25">
      <c r="A10" s="2" t="s">
        <v>263</v>
      </c>
      <c r="B10" s="1" t="s">
        <v>264</v>
      </c>
      <c r="C10" s="2" t="s">
        <v>22</v>
      </c>
      <c r="D10" s="2" t="s">
        <v>265</v>
      </c>
      <c r="E10" s="2" t="s">
        <v>266</v>
      </c>
    </row>
    <row r="11" spans="1:5" ht="120" x14ac:dyDescent="0.25">
      <c r="A11" s="2" t="s">
        <v>267</v>
      </c>
      <c r="B11" s="1" t="s">
        <v>268</v>
      </c>
      <c r="C11" s="2" t="s">
        <v>22</v>
      </c>
      <c r="D11" s="2" t="s">
        <v>269</v>
      </c>
      <c r="E11" s="2" t="s">
        <v>270</v>
      </c>
    </row>
    <row r="12" spans="1:5" ht="120" x14ac:dyDescent="0.25">
      <c r="A12" s="2" t="s">
        <v>271</v>
      </c>
      <c r="B12" s="1" t="s">
        <v>272</v>
      </c>
      <c r="C12" s="2" t="s">
        <v>22</v>
      </c>
      <c r="D12" s="2" t="s">
        <v>273</v>
      </c>
      <c r="E12" s="2" t="s">
        <v>274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AK9"/>
  <sheetViews>
    <sheetView tabSelected="1" workbookViewId="0">
      <pane ySplit="1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7" width="15.42578125" bestFit="1" customWidth="1"/>
    <col min="8" max="10" width="16.85546875" bestFit="1" customWidth="1"/>
    <col min="11" max="13" width="11" bestFit="1" customWidth="1"/>
    <col min="14" max="16" width="12.7109375" bestFit="1" customWidth="1"/>
    <col min="17" max="19" width="14.42578125" bestFit="1" customWidth="1"/>
    <col min="20" max="22" width="12.85546875" bestFit="1" customWidth="1"/>
    <col min="23" max="25" width="14.42578125" bestFit="1" customWidth="1"/>
    <col min="26" max="28" width="10.85546875" bestFit="1" customWidth="1"/>
    <col min="29" max="31" width="14.28515625" bestFit="1" customWidth="1"/>
    <col min="32" max="37" width="16.7109375" bestFit="1" customWidth="1"/>
  </cols>
  <sheetData>
    <row r="1" spans="1:37" ht="30" x14ac:dyDescent="0.25">
      <c r="A1" s="2" t="s">
        <v>255</v>
      </c>
      <c r="B1" s="2" t="s">
        <v>258</v>
      </c>
      <c r="C1" s="2" t="s">
        <v>256</v>
      </c>
      <c r="D1" s="2" t="s">
        <v>257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282</v>
      </c>
      <c r="M1" s="2" t="s">
        <v>283</v>
      </c>
      <c r="N1" s="2" t="s">
        <v>284</v>
      </c>
      <c r="O1" s="2" t="s">
        <v>285</v>
      </c>
      <c r="P1" s="2" t="s">
        <v>286</v>
      </c>
      <c r="Q1" s="2" t="s">
        <v>287</v>
      </c>
      <c r="R1" s="2" t="s">
        <v>288</v>
      </c>
      <c r="S1" s="2" t="s">
        <v>289</v>
      </c>
      <c r="T1" s="2" t="s">
        <v>290</v>
      </c>
      <c r="U1" s="2" t="s">
        <v>291</v>
      </c>
      <c r="V1" s="2" t="s">
        <v>292</v>
      </c>
      <c r="W1" s="2" t="s">
        <v>293</v>
      </c>
      <c r="X1" s="2" t="s">
        <v>294</v>
      </c>
      <c r="Y1" s="2" t="s">
        <v>295</v>
      </c>
      <c r="Z1" s="2" t="s">
        <v>296</v>
      </c>
      <c r="AA1" s="2" t="s">
        <v>297</v>
      </c>
      <c r="AB1" s="2" t="s">
        <v>298</v>
      </c>
      <c r="AC1" s="2" t="s">
        <v>299</v>
      </c>
      <c r="AD1" s="2" t="s">
        <v>300</v>
      </c>
      <c r="AE1" s="2" t="s">
        <v>301</v>
      </c>
      <c r="AF1" s="2" t="s">
        <v>302</v>
      </c>
      <c r="AG1" s="2" t="s">
        <v>303</v>
      </c>
      <c r="AH1" s="2" t="s">
        <v>304</v>
      </c>
      <c r="AI1" s="2" t="s">
        <v>305</v>
      </c>
      <c r="AJ1" s="2" t="s">
        <v>306</v>
      </c>
      <c r="AK1" s="2" t="s">
        <v>307</v>
      </c>
    </row>
    <row r="2" spans="1:37" x14ac:dyDescent="0.25">
      <c r="A2" s="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2" s="3">
        <v>1649</v>
      </c>
      <c r="F2" s="3">
        <f>Observations(y, fil)</f>
        <v>1649</v>
      </c>
      <c r="G2" t="b">
        <f>MLR_Scalar_Test[[#This Row],[Observations
(Exp.)]]=MLR_Scalar_Test[[#This Row],[Observations
(Calc.)]]</f>
        <v>1</v>
      </c>
      <c r="H2" s="3">
        <v>1</v>
      </c>
      <c r="I2" s="3">
        <f ca="1">_xlfn.LET(_xlpm.x_s, OFFSET(y,0,1,ROWS(y),MLR_Scalar_Test[[#This Row],[ind_vars]]), DF_Regression(_xlpm.x_s))</f>
        <v>1</v>
      </c>
      <c r="J2" t="b">
        <f ca="1">MLR_Scalar_Test[[#This Row],[DF_Regression
(Exp.)]]=MLR_Scalar_Test[[#This Row],[DF_Regression
(Calc.)]]</f>
        <v>1</v>
      </c>
      <c r="K2" s="3">
        <v>1648</v>
      </c>
      <c r="L2" s="3">
        <f>DF_Total(y, MLR_Scalar_Test[[#This Row],[Allow_Intercept]], fil)</f>
        <v>1648</v>
      </c>
      <c r="M2" t="b">
        <f>MLR_Scalar_Test[[#This Row],[DF_Total
(Exp.)]]=MLR_Scalar_Test[[#This Row],[DF_Total
(Calc.)]]</f>
        <v>1</v>
      </c>
      <c r="N2" s="4">
        <v>0.49353865307316791</v>
      </c>
      <c r="O2" s="4">
        <f ca="1">_xlfn.LET(_xlpm.x_s, OFFSET(y,0,1,ROWS(y),MLR_Scalar_Test[[#This Row],[ind_vars]]), R_squared(_xlpm.x_s, y, MLR_Scalar_Test[[#This Row],[Allow_Intercept]], fil))</f>
        <v>0.49353865307316708</v>
      </c>
      <c r="P2" t="b">
        <f ca="1">ROUND(MLR_Scalar_Test[[#This Row],[R_squared
(Exp.)]],6)=ROUND(MLR_Scalar_Test[[#This Row],[R_squared
(Calc.)]],6)</f>
        <v>1</v>
      </c>
      <c r="Q2" s="3">
        <v>1647</v>
      </c>
      <c r="R2" s="3">
        <f ca="1">_xlfn.LET(_xlpm.x_s, OFFSET(y,0,1,ROWS(y),MLR_Scalar_Test[[#This Row],[ind_vars]]), DF_Residual(_xlpm.x_s, y, MLR_Scalar_Test[[#This Row],[Allow_Intercept]], fil))</f>
        <v>1647</v>
      </c>
      <c r="S2" t="b">
        <f ca="1">MLR_Scalar_Test[[#This Row],[DF_Residual
(Exp.)]]=MLR_Scalar_Test[[#This Row],[DF_Residual
(Calc.)]]</f>
        <v>1</v>
      </c>
      <c r="T2" s="4">
        <v>0.70252306230697359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t="b">
        <f ca="1">ROUND(MLR_Scalar_Test[[#This Row],[Multiple_R
(Exp.)]],6)=ROUND(MLR_Scalar_Test[[#This Row],[Multiple_R
(Calc.)]],6)</f>
        <v>1</v>
      </c>
      <c r="W2" s="4">
        <v>0.49323114770162757</v>
      </c>
      <c r="X2" s="4">
        <f ca="1">_xlfn.LET(_xlpm.x_s, OFFSET(y,0,1,ROWS(y),MLR_Scalar_Test[[#This Row],[ind_vars]]), Adjusted_R2(_xlpm.x_s, y, MLR_Scalar_Test[[#This Row],[Allow_Intercept]], fil))</f>
        <v>0.4932311477016269</v>
      </c>
      <c r="Y2" t="b">
        <f ca="1">ROUND(MLR_Scalar_Test[[#This Row],[Adjusted_R2
(Exp.)]],6)=ROUND(MLR_Scalar_Test[[#This Row],[Adjusted_R2
(Calc.)]],6)</f>
        <v>1</v>
      </c>
      <c r="Z2" s="5">
        <v>127529.31124317768</v>
      </c>
      <c r="AA2" s="5">
        <f>SS_Total(y, MLR_Scalar_Test[[#This Row],[Allow_Intercept]], fil)</f>
        <v>127529.31124317752</v>
      </c>
      <c r="AB2" t="b">
        <f>ROUND(MLR_Scalar_Test[[#This Row],[SS_Total
(Exp.)]],4)=ROUND(MLR_Scalar_Test[[#This Row],[SS_Total
(Calc.)]],4)</f>
        <v>1</v>
      </c>
      <c r="AC2" s="5">
        <v>64588.666744870963</v>
      </c>
      <c r="AD2" s="5">
        <f ca="1">_xlfn.LET(_xlpm.x_s, OFFSET(y,0,1,ROWS(y),MLR_Scalar_Test[[#This Row],[ind_vars]]), SS_Residual(_xlpm.x_s, y, MLR_Scalar_Test[[#This Row],[Allow_Intercept]], fil))</f>
        <v>64588.666744870978</v>
      </c>
      <c r="AE2" t="b">
        <f ca="1">ROUND(MLR_Scalar_Test[[#This Row],[SS_Residual
(Exp.)]],4)=ROUND(MLR_Scalar_Test[[#This Row],[SS_Residual
(Calc.)]],4)</f>
        <v>1</v>
      </c>
      <c r="AF2" s="5">
        <v>62940.644498306719</v>
      </c>
      <c r="AG2" s="5">
        <f ca="1">_xlfn.LET(_xlpm.x_s, OFFSET(y,0,1,ROWS(y),MLR_Scalar_Test[[#This Row],[ind_vars]]), SS_Regression(_xlpm.x_s, y, MLR_Scalar_Test[[#This Row],[Allow_Intercept]], fil))</f>
        <v>62940.644498306538</v>
      </c>
      <c r="AH2" t="b">
        <f ca="1">ROUND(MLR_Scalar_Test[[#This Row],[SS_Regression
(Exp.)]],4)=ROUND(MLR_Scalar_Test[[#This Row],[SS_Regression
(Calc.)]],4)</f>
        <v>1</v>
      </c>
      <c r="AI2" s="4">
        <v>6.2622638267729238</v>
      </c>
      <c r="AJ2" s="4">
        <f ca="1">_xlfn.LET(_xlpm.x_s, OFFSET(y,0,1,ROWS(y),MLR_Scalar_Test[[#This Row],[ind_vars]]), SE_Regression(_xlpm.x_s, y, MLR_Scalar_Test[[#This Row],[Allow_Intercept]], fil))</f>
        <v>6.2622638267729238</v>
      </c>
      <c r="AK2" t="b">
        <f ca="1">ROUND(MLR_Scalar_Test[[#This Row],[SE_Regression
(Exp.)]],6)=ROUND(MLR_Scalar_Test[[#This Row],[SE_Regression
(Calc.)]],6)</f>
        <v>1</v>
      </c>
    </row>
    <row r="3" spans="1:37" x14ac:dyDescent="0.25">
      <c r="A3" s="2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3" s="3">
        <v>1649</v>
      </c>
      <c r="F3" s="3">
        <f>Observations(y, fil)</f>
        <v>1649</v>
      </c>
      <c r="G3" t="b">
        <f>MLR_Scalar_Test[[#This Row],[Observations
(Exp.)]]=MLR_Scalar_Test[[#This Row],[Observations
(Calc.)]]</f>
        <v>1</v>
      </c>
      <c r="H3" s="3">
        <v>1</v>
      </c>
      <c r="I3" s="3">
        <f ca="1">_xlfn.LET(_xlpm.x_s, OFFSET(y,0,1,ROWS(y),MLR_Scalar_Test[[#This Row],[ind_vars]]), DF_Regression(_xlpm.x_s))</f>
        <v>1</v>
      </c>
      <c r="J3" t="b">
        <f ca="1">MLR_Scalar_Test[[#This Row],[DF_Regression
(Exp.)]]=MLR_Scalar_Test[[#This Row],[DF_Regression
(Calc.)]]</f>
        <v>1</v>
      </c>
      <c r="K3" s="3">
        <v>1649</v>
      </c>
      <c r="L3" s="3">
        <f>DF_Total(y, MLR_Scalar_Test[[#This Row],[Allow_Intercept]], fil)</f>
        <v>1649</v>
      </c>
      <c r="M3" t="b">
        <f>MLR_Scalar_Test[[#This Row],[DF_Total
(Exp.)]]=MLR_Scalar_Test[[#This Row],[DF_Total
(Calc.)]]</f>
        <v>1</v>
      </c>
      <c r="N3" s="4">
        <v>0.55179208580397665</v>
      </c>
      <c r="O3" s="4">
        <f ca="1">_xlfn.LET(_xlpm.x_s, OFFSET(y,0,1,ROWS(y),MLR_Scalar_Test[[#This Row],[ind_vars]]), R_squared(_xlpm.x_s, y, MLR_Scalar_Test[[#This Row],[Allow_Intercept]], fil))</f>
        <v>0.55179208580397665</v>
      </c>
      <c r="P3" t="b">
        <f ca="1">ROUND(MLR_Scalar_Test[[#This Row],[R_squared
(Exp.)]],6)=ROUND(MLR_Scalar_Test[[#This Row],[R_squared
(Calc.)]],6)</f>
        <v>1</v>
      </c>
      <c r="Q3" s="3">
        <v>1648</v>
      </c>
      <c r="R3" s="3">
        <f ca="1">_xlfn.LET(_xlpm.x_s, OFFSET(y,0,1,ROWS(y),MLR_Scalar_Test[[#This Row],[ind_vars]]), DF_Residual(_xlpm.x_s, y, MLR_Scalar_Test[[#This Row],[Allow_Intercept]], fil))</f>
        <v>1648</v>
      </c>
      <c r="S3" t="b">
        <f ca="1">MLR_Scalar_Test[[#This Row],[DF_Residual
(Exp.)]]=MLR_Scalar_Test[[#This Row],[DF_Residual
(Calc.)]]</f>
        <v>1</v>
      </c>
      <c r="T3" s="4">
        <v>0.74282709011180836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t="b">
        <f ca="1">ROUND(MLR_Scalar_Test[[#This Row],[Multiple_R
(Exp.)]],6)=ROUND(MLR_Scalar_Test[[#This Row],[Multiple_R
(Calc.)]],6)</f>
        <v>1</v>
      </c>
      <c r="W3" s="4">
        <v>0.55152011498225573</v>
      </c>
      <c r="X3" s="4">
        <f ca="1">_xlfn.LET(_xlpm.x_s, OFFSET(y,0,1,ROWS(y),MLR_Scalar_Test[[#This Row],[ind_vars]]), Adjusted_R2(_xlpm.x_s, y, MLR_Scalar_Test[[#This Row],[Allow_Intercept]], fil))</f>
        <v>0.55152011498225573</v>
      </c>
      <c r="Y3" t="b">
        <f ca="1">ROUND(MLR_Scalar_Test[[#This Row],[Adjusted_R2
(Exp.)]],6)=ROUND(MLR_Scalar_Test[[#This Row],[Adjusted_R2
(Calc.)]],6)</f>
        <v>1</v>
      </c>
      <c r="Z3" s="5">
        <v>8047362.0100000016</v>
      </c>
      <c r="AA3" s="5">
        <f>SS_Total(y, MLR_Scalar_Test[[#This Row],[Allow_Intercept]], fil)</f>
        <v>8047362.0100000026</v>
      </c>
      <c r="AB3" t="b">
        <f>ROUND(MLR_Scalar_Test[[#This Row],[SS_Total
(Exp.)]],4)=ROUND(MLR_Scalar_Test[[#This Row],[SS_Total
(Calc.)]],4)</f>
        <v>1</v>
      </c>
      <c r="AC3" s="5">
        <v>3606891.3412824194</v>
      </c>
      <c r="AD3" s="5">
        <f ca="1">_xlfn.LET(_xlpm.x_s, OFFSET(y,0,1,ROWS(y),MLR_Scalar_Test[[#This Row],[ind_vars]]), SS_Residual(_xlpm.x_s, y, MLR_Scalar_Test[[#This Row],[Allow_Intercept]], fil))</f>
        <v>3606891.3412824189</v>
      </c>
      <c r="AE3" t="b">
        <f ca="1">ROUND(MLR_Scalar_Test[[#This Row],[SS_Residual
(Exp.)]],4)=ROUND(MLR_Scalar_Test[[#This Row],[SS_Residual
(Calc.)]],4)</f>
        <v>1</v>
      </c>
      <c r="AF3" s="5">
        <v>4440470.6687175818</v>
      </c>
      <c r="AG3" s="5">
        <f ca="1">_xlfn.LET(_xlpm.x_s, OFFSET(y,0,1,ROWS(y),MLR_Scalar_Test[[#This Row],[ind_vars]]), SS_Regression(_xlpm.x_s, y, MLR_Scalar_Test[[#This Row],[Allow_Intercept]], fil))</f>
        <v>4440470.6687175836</v>
      </c>
      <c r="AH3" t="b">
        <f ca="1">ROUND(MLR_Scalar_Test[[#This Row],[SS_Regression
(Exp.)]],4)=ROUND(MLR_Scalar_Test[[#This Row],[SS_Regression
(Calc.)]],4)</f>
        <v>1</v>
      </c>
      <c r="AI3" s="4">
        <v>46.78298471180689</v>
      </c>
      <c r="AJ3" s="4">
        <f ca="1">_xlfn.LET(_xlpm.x_s, OFFSET(y,0,1,ROWS(y),MLR_Scalar_Test[[#This Row],[ind_vars]]), SE_Regression(_xlpm.x_s, y, MLR_Scalar_Test[[#This Row],[Allow_Intercept]], fil))</f>
        <v>46.78298471180689</v>
      </c>
      <c r="AK3" t="b">
        <f ca="1">ROUND(MLR_Scalar_Test[[#This Row],[SE_Regression
(Exp.)]],6)=ROUND(MLR_Scalar_Test[[#This Row],[SE_Regression
(Calc.)]],6)</f>
        <v>1</v>
      </c>
    </row>
    <row r="4" spans="1:37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4" s="3">
        <v>1649</v>
      </c>
      <c r="F4" s="3">
        <f>Observations(y, fil)</f>
        <v>1649</v>
      </c>
      <c r="G4" t="b">
        <f>MLR_Scalar_Test[[#This Row],[Observations
(Exp.)]]=MLR_Scalar_Test[[#This Row],[Observations
(Calc.)]]</f>
        <v>1</v>
      </c>
      <c r="H4" s="3">
        <v>5</v>
      </c>
      <c r="I4" s="3">
        <f ca="1">_xlfn.LET(_xlpm.x_s, OFFSET(y,0,1,ROWS(y),MLR_Scalar_Test[[#This Row],[ind_vars]]), DF_Regression(_xlpm.x_s))</f>
        <v>5</v>
      </c>
      <c r="J4" t="b">
        <f ca="1">MLR_Scalar_Test[[#This Row],[DF_Regression
(Exp.)]]=MLR_Scalar_Test[[#This Row],[DF_Regression
(Calc.)]]</f>
        <v>1</v>
      </c>
      <c r="K4" s="3">
        <v>1648</v>
      </c>
      <c r="L4" s="3">
        <f>DF_Total(y, MLR_Scalar_Test[[#This Row],[Allow_Intercept]], fil)</f>
        <v>1648</v>
      </c>
      <c r="M4" t="b">
        <f>MLR_Scalar_Test[[#This Row],[DF_Total
(Exp.)]]=MLR_Scalar_Test[[#This Row],[DF_Total
(Calc.)]]</f>
        <v>1</v>
      </c>
      <c r="N4" s="4">
        <v>0.61521427511204863</v>
      </c>
      <c r="O4" s="4">
        <f ca="1">_xlfn.LET(_xlpm.x_s, OFFSET(y,0,1,ROWS(y),MLR_Scalar_Test[[#This Row],[ind_vars]]), R_squared(_xlpm.x_s, y, MLR_Scalar_Test[[#This Row],[Allow_Intercept]], fil))</f>
        <v>0.61521427511204763</v>
      </c>
      <c r="P4" t="b">
        <f ca="1">ROUND(MLR_Scalar_Test[[#This Row],[R_squared
(Exp.)]],6)=ROUND(MLR_Scalar_Test[[#This Row],[R_squared
(Calc.)]],6)</f>
        <v>1</v>
      </c>
      <c r="Q4" s="3">
        <v>1643</v>
      </c>
      <c r="R4" s="3">
        <f ca="1">_xlfn.LET(_xlpm.x_s, OFFSET(y,0,1,ROWS(y),MLR_Scalar_Test[[#This Row],[ind_vars]]), DF_Residual(_xlpm.x_s, y, MLR_Scalar_Test[[#This Row],[Allow_Intercept]], fil))</f>
        <v>1643</v>
      </c>
      <c r="S4" t="b">
        <f ca="1">MLR_Scalar_Test[[#This Row],[DF_Residual
(Exp.)]]=MLR_Scalar_Test[[#This Row],[DF_Residual
(Calc.)]]</f>
        <v>1</v>
      </c>
      <c r="T4" s="4">
        <v>0.78435596199177871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t="b">
        <f ca="1">ROUND(MLR_Scalar_Test[[#This Row],[Multiple_R
(Exp.)]],6)=ROUND(MLR_Scalar_Test[[#This Row],[Multiple_R
(Calc.)]],6)</f>
        <v>1</v>
      </c>
      <c r="W4" s="4">
        <v>0.61404328994805613</v>
      </c>
      <c r="X4" s="4">
        <f ca="1">_xlfn.LET(_xlpm.x_s, OFFSET(y,0,1,ROWS(y),MLR_Scalar_Test[[#This Row],[ind_vars]]), Adjusted_R2(_xlpm.x_s, y, MLR_Scalar_Test[[#This Row],[Allow_Intercept]], fil))</f>
        <v>0.61404328994805502</v>
      </c>
      <c r="Y4" t="b">
        <f ca="1">ROUND(MLR_Scalar_Test[[#This Row],[Adjusted_R2
(Exp.)]],6)=ROUND(MLR_Scalar_Test[[#This Row],[Adjusted_R2
(Calc.)]],6)</f>
        <v>1</v>
      </c>
      <c r="Z4" s="5">
        <v>127529.31124317768</v>
      </c>
      <c r="AA4" s="5">
        <f>SS_Total(y, MLR_Scalar_Test[[#This Row],[Allow_Intercept]], fil)</f>
        <v>127529.31124317752</v>
      </c>
      <c r="AB4" t="b">
        <f>ROUND(MLR_Scalar_Test[[#This Row],[SS_Total
(Exp.)]],4)=ROUND(MLR_Scalar_Test[[#This Row],[SS_Total
(Calc.)]],4)</f>
        <v>1</v>
      </c>
      <c r="AC4" s="5">
        <v>49071.458471167287</v>
      </c>
      <c r="AD4" s="5">
        <f ca="1">_xlfn.LET(_xlpm.x_s, OFFSET(y,0,1,ROWS(y),MLR_Scalar_Test[[#This Row],[ind_vars]]), SS_Residual(_xlpm.x_s, y, MLR_Scalar_Test[[#This Row],[Allow_Intercept]], fil))</f>
        <v>49071.45847116736</v>
      </c>
      <c r="AE4" t="b">
        <f ca="1">ROUND(MLR_Scalar_Test[[#This Row],[SS_Residual
(Exp.)]],4)=ROUND(MLR_Scalar_Test[[#This Row],[SS_Residual
(Calc.)]],4)</f>
        <v>1</v>
      </c>
      <c r="AF4" s="5">
        <v>78457.852772010403</v>
      </c>
      <c r="AG4" s="5">
        <f ca="1">_xlfn.LET(_xlpm.x_s, OFFSET(y,0,1,ROWS(y),MLR_Scalar_Test[[#This Row],[ind_vars]]), SS_Regression(_xlpm.x_s, y, MLR_Scalar_Test[[#This Row],[Allow_Intercept]], fil))</f>
        <v>78457.85277201017</v>
      </c>
      <c r="AH4" t="b">
        <f ca="1">ROUND(MLR_Scalar_Test[[#This Row],[SS_Regression
(Exp.)]],4)=ROUND(MLR_Scalar_Test[[#This Row],[SS_Regression
(Calc.)]],4)</f>
        <v>1</v>
      </c>
      <c r="AI4" s="4">
        <v>5.4650696507903564</v>
      </c>
      <c r="AJ4" s="4">
        <f ca="1">_xlfn.LET(_xlpm.x_s, OFFSET(y,0,1,ROWS(y),MLR_Scalar_Test[[#This Row],[ind_vars]]), SE_Regression(_xlpm.x_s, y, MLR_Scalar_Test[[#This Row],[Allow_Intercept]], fil))</f>
        <v>5.46506965079036</v>
      </c>
      <c r="AK4" t="b">
        <f ca="1">ROUND(MLR_Scalar_Test[[#This Row],[SE_Regression
(Exp.)]],6)=ROUND(MLR_Scalar_Test[[#This Row],[SE_Regression
(Calc.)]],6)</f>
        <v>1</v>
      </c>
    </row>
    <row r="5" spans="1:37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5" s="3">
        <v>1649</v>
      </c>
      <c r="F5" s="3">
        <f>Observations(y, fil)</f>
        <v>1649</v>
      </c>
      <c r="G5" t="b">
        <f>MLR_Scalar_Test[[#This Row],[Observations
(Exp.)]]=MLR_Scalar_Test[[#This Row],[Observations
(Calc.)]]</f>
        <v>1</v>
      </c>
      <c r="H5" s="3">
        <v>5</v>
      </c>
      <c r="I5" s="3">
        <f ca="1">_xlfn.LET(_xlpm.x_s, OFFSET(y,0,1,ROWS(y),MLR_Scalar_Test[[#This Row],[ind_vars]]), DF_Regression(_xlpm.x_s))</f>
        <v>5</v>
      </c>
      <c r="J5" t="b">
        <f ca="1">MLR_Scalar_Test[[#This Row],[DF_Regression
(Exp.)]]=MLR_Scalar_Test[[#This Row],[DF_Regression
(Calc.)]]</f>
        <v>1</v>
      </c>
      <c r="K5" s="3">
        <v>1649</v>
      </c>
      <c r="L5" s="3">
        <f>DF_Total(y, MLR_Scalar_Test[[#This Row],[Allow_Intercept]], fil)</f>
        <v>1649</v>
      </c>
      <c r="M5" t="b">
        <f>MLR_Scalar_Test[[#This Row],[DF_Total
(Exp.)]]=MLR_Scalar_Test[[#This Row],[DF_Total
(Calc.)]]</f>
        <v>1</v>
      </c>
      <c r="N5" s="4">
        <v>0.92776300985660654</v>
      </c>
      <c r="O5" s="4">
        <f ca="1">_xlfn.LET(_xlpm.x_s, OFFSET(y,0,1,ROWS(y),MLR_Scalar_Test[[#This Row],[ind_vars]]), R_squared(_xlpm.x_s, y, MLR_Scalar_Test[[#This Row],[Allow_Intercept]], fil))</f>
        <v>0.92776300985660642</v>
      </c>
      <c r="P5" t="b">
        <f ca="1">ROUND(MLR_Scalar_Test[[#This Row],[R_squared
(Exp.)]],6)=ROUND(MLR_Scalar_Test[[#This Row],[R_squared
(Calc.)]],6)</f>
        <v>1</v>
      </c>
      <c r="Q5" s="3">
        <v>1644</v>
      </c>
      <c r="R5" s="3">
        <f ca="1">_xlfn.LET(_xlpm.x_s, OFFSET(y,0,1,ROWS(y),MLR_Scalar_Test[[#This Row],[ind_vars]]), DF_Residual(_xlpm.x_s, y, MLR_Scalar_Test[[#This Row],[Allow_Intercept]], fil))</f>
        <v>1644</v>
      </c>
      <c r="S5" t="b">
        <f ca="1">MLR_Scalar_Test[[#This Row],[DF_Residual
(Exp.)]]=MLR_Scalar_Test[[#This Row],[DF_Residual
(Calc.)]]</f>
        <v>1</v>
      </c>
      <c r="T5" s="4">
        <v>0.96320455244802827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t="b">
        <f ca="1">ROUND(MLR_Scalar_Test[[#This Row],[Multiple_R
(Exp.)]],6)=ROUND(MLR_Scalar_Test[[#This Row],[Multiple_R
(Calc.)]],6)</f>
        <v>1</v>
      </c>
      <c r="W5" s="4">
        <v>0.92754331098147458</v>
      </c>
      <c r="X5" s="4">
        <f ca="1">_xlfn.LET(_xlpm.x_s, OFFSET(y,0,1,ROWS(y),MLR_Scalar_Test[[#This Row],[ind_vars]]), Adjusted_R2(_xlpm.x_s, y, MLR_Scalar_Test[[#This Row],[Allow_Intercept]], fil))</f>
        <v>0.92754331098147447</v>
      </c>
      <c r="Y5" t="b">
        <f ca="1">ROUND(MLR_Scalar_Test[[#This Row],[Adjusted_R2
(Exp.)]],6)=ROUND(MLR_Scalar_Test[[#This Row],[Adjusted_R2
(Calc.)]],6)</f>
        <v>1</v>
      </c>
      <c r="Z5" s="5">
        <v>8047362.0100000016</v>
      </c>
      <c r="AA5" s="5">
        <f>SS_Total(y, MLR_Scalar_Test[[#This Row],[Allow_Intercept]], fil)</f>
        <v>8047362.0100000026</v>
      </c>
      <c r="AB5" t="b">
        <f>ROUND(MLR_Scalar_Test[[#This Row],[SS_Total
(Exp.)]],4)=ROUND(MLR_Scalar_Test[[#This Row],[SS_Total
(Calc.)]],4)</f>
        <v>1</v>
      </c>
      <c r="AC5" s="5">
        <v>581317.21019668935</v>
      </c>
      <c r="AD5" s="5">
        <f ca="1">_xlfn.LET(_xlpm.x_s, OFFSET(y,0,1,ROWS(y),MLR_Scalar_Test[[#This Row],[ind_vars]]), SS_Residual(_xlpm.x_s, y, MLR_Scalar_Test[[#This Row],[Allow_Intercept]], fil))</f>
        <v>581317.21019669005</v>
      </c>
      <c r="AE5" t="b">
        <f ca="1">ROUND(MLR_Scalar_Test[[#This Row],[SS_Residual
(Exp.)]],4)=ROUND(MLR_Scalar_Test[[#This Row],[SS_Residual
(Calc.)]],4)</f>
        <v>1</v>
      </c>
      <c r="AF5" s="5">
        <v>7466044.7998033119</v>
      </c>
      <c r="AG5" s="5">
        <f ca="1">_xlfn.LET(_xlpm.x_s, OFFSET(y,0,1,ROWS(y),MLR_Scalar_Test[[#This Row],[ind_vars]]), SS_Regression(_xlpm.x_s, y, MLR_Scalar_Test[[#This Row],[Allow_Intercept]], fil))</f>
        <v>7466044.7998033129</v>
      </c>
      <c r="AH5" t="b">
        <f ca="1">ROUND(MLR_Scalar_Test[[#This Row],[SS_Regression
(Exp.)]],4)=ROUND(MLR_Scalar_Test[[#This Row],[SS_Regression
(Calc.)]],4)</f>
        <v>1</v>
      </c>
      <c r="AI5" s="4">
        <v>18.804235594018664</v>
      </c>
      <c r="AJ5" s="4">
        <f ca="1">_xlfn.LET(_xlpm.x_s, OFFSET(y,0,1,ROWS(y),MLR_Scalar_Test[[#This Row],[ind_vars]]), SE_Regression(_xlpm.x_s, y, MLR_Scalar_Test[[#This Row],[Allow_Intercept]], fil))</f>
        <v>18.804235594018678</v>
      </c>
      <c r="AK5" t="b">
        <f ca="1">ROUND(MLR_Scalar_Test[[#This Row],[SE_Regression
(Exp.)]],6)=ROUND(MLR_Scalar_Test[[#This Row],[SE_Regression
(Calc.)]],6)</f>
        <v>1</v>
      </c>
    </row>
    <row r="6" spans="1:37" ht="30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6" s="3">
        <v>1649</v>
      </c>
      <c r="F6" s="3">
        <f>Observations(y, fil)</f>
        <v>1649</v>
      </c>
      <c r="G6" t="b">
        <f>MLR_Scalar_Test[[#This Row],[Observations
(Exp.)]]=MLR_Scalar_Test[[#This Row],[Observations
(Calc.)]]</f>
        <v>1</v>
      </c>
      <c r="H6" s="3">
        <v>10</v>
      </c>
      <c r="I6" s="3">
        <f ca="1">_xlfn.LET(_xlpm.x_s, OFFSET(y,0,1,ROWS(y),MLR_Scalar_Test[[#This Row],[ind_vars]]), DF_Regression(_xlpm.x_s))</f>
        <v>10</v>
      </c>
      <c r="J6" t="b">
        <f ca="1">MLR_Scalar_Test[[#This Row],[DF_Regression
(Exp.)]]=MLR_Scalar_Test[[#This Row],[DF_Regression
(Calc.)]]</f>
        <v>1</v>
      </c>
      <c r="K6" s="3">
        <v>1648</v>
      </c>
      <c r="L6" s="3">
        <f>DF_Total(y, MLR_Scalar_Test[[#This Row],[Allow_Intercept]], fil)</f>
        <v>1648</v>
      </c>
      <c r="M6" t="b">
        <f>MLR_Scalar_Test[[#This Row],[DF_Total
(Exp.)]]=MLR_Scalar_Test[[#This Row],[DF_Total
(Calc.)]]</f>
        <v>1</v>
      </c>
      <c r="N6" s="4">
        <v>0.68651084263037387</v>
      </c>
      <c r="O6" s="4">
        <f ca="1">_xlfn.LET(_xlpm.x_s, OFFSET(y,0,1,ROWS(y),MLR_Scalar_Test[[#This Row],[ind_vars]]), R_squared(_xlpm.x_s, y, MLR_Scalar_Test[[#This Row],[Allow_Intercept]], fil))</f>
        <v>0.68651084263037343</v>
      </c>
      <c r="P6" t="b">
        <f ca="1">ROUND(MLR_Scalar_Test[[#This Row],[R_squared
(Exp.)]],6)=ROUND(MLR_Scalar_Test[[#This Row],[R_squared
(Calc.)]],6)</f>
        <v>1</v>
      </c>
      <c r="Q6" s="3">
        <v>1638</v>
      </c>
      <c r="R6" s="3">
        <f ca="1">_xlfn.LET(_xlpm.x_s, OFFSET(y,0,1,ROWS(y),MLR_Scalar_Test[[#This Row],[ind_vars]]), DF_Residual(_xlpm.x_s, y, MLR_Scalar_Test[[#This Row],[Allow_Intercept]], fil))</f>
        <v>1638</v>
      </c>
      <c r="S6" t="b">
        <f ca="1">MLR_Scalar_Test[[#This Row],[DF_Residual
(Exp.)]]=MLR_Scalar_Test[[#This Row],[DF_Residual
(Calc.)]]</f>
        <v>1</v>
      </c>
      <c r="T6" s="4">
        <v>0.82855949854574351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t="b">
        <f ca="1">ROUND(MLR_Scalar_Test[[#This Row],[Multiple_R
(Exp.)]],6)=ROUND(MLR_Scalar_Test[[#This Row],[Multiple_R
(Calc.)]],6)</f>
        <v>1</v>
      </c>
      <c r="W6" s="4">
        <v>0.68459698941077907</v>
      </c>
      <c r="X6" s="4">
        <f ca="1">_xlfn.LET(_xlpm.x_s, OFFSET(y,0,1,ROWS(y),MLR_Scalar_Test[[#This Row],[ind_vars]]), Adjusted_R2(_xlpm.x_s, y, MLR_Scalar_Test[[#This Row],[Allow_Intercept]], fil))</f>
        <v>0.68459698941077862</v>
      </c>
      <c r="Y6" t="b">
        <f ca="1">ROUND(MLR_Scalar_Test[[#This Row],[Adjusted_R2
(Exp.)]],6)=ROUND(MLR_Scalar_Test[[#This Row],[Adjusted_R2
(Calc.)]],6)</f>
        <v>1</v>
      </c>
      <c r="Z6" s="5">
        <v>127529.31124317768</v>
      </c>
      <c r="AA6" s="5">
        <f>SS_Total(y, MLR_Scalar_Test[[#This Row],[Allow_Intercept]], fil)</f>
        <v>127529.31124317752</v>
      </c>
      <c r="AB6" t="b">
        <f>ROUND(MLR_Scalar_Test[[#This Row],[SS_Total
(Exp.)]],4)=ROUND(MLR_Scalar_Test[[#This Row],[SS_Total
(Calc.)]],4)</f>
        <v>1</v>
      </c>
      <c r="AC6" s="5">
        <v>39979.056321552554</v>
      </c>
      <c r="AD6" s="5">
        <f ca="1">_xlfn.LET(_xlpm.x_s, OFFSET(y,0,1,ROWS(y),MLR_Scalar_Test[[#This Row],[ind_vars]]), SS_Residual(_xlpm.x_s, y, MLR_Scalar_Test[[#This Row],[Allow_Intercept]], fil))</f>
        <v>39979.056321552569</v>
      </c>
      <c r="AE6" t="b">
        <f ca="1">ROUND(MLR_Scalar_Test[[#This Row],[SS_Residual
(Exp.)]],4)=ROUND(MLR_Scalar_Test[[#This Row],[SS_Residual
(Calc.)]],4)</f>
        <v>1</v>
      </c>
      <c r="AF6" s="5">
        <v>87550.254921625135</v>
      </c>
      <c r="AG6" s="5">
        <f ca="1">_xlfn.LET(_xlpm.x_s, OFFSET(y,0,1,ROWS(y),MLR_Scalar_Test[[#This Row],[ind_vars]]), SS_Regression(_xlpm.x_s, y, MLR_Scalar_Test[[#This Row],[Allow_Intercept]], fil))</f>
        <v>87550.254921624961</v>
      </c>
      <c r="AH6" t="b">
        <f ca="1">ROUND(MLR_Scalar_Test[[#This Row],[SS_Regression
(Exp.)]],4)=ROUND(MLR_Scalar_Test[[#This Row],[SS_Regression
(Calc.)]],4)</f>
        <v>1</v>
      </c>
      <c r="AI6" s="4">
        <v>4.940368234407849</v>
      </c>
      <c r="AJ6" s="4">
        <f ca="1">_xlfn.LET(_xlpm.x_s, OFFSET(y,0,1,ROWS(y),MLR_Scalar_Test[[#This Row],[ind_vars]]), SE_Regression(_xlpm.x_s, y, MLR_Scalar_Test[[#This Row],[Allow_Intercept]], fil))</f>
        <v>4.9403682344078499</v>
      </c>
      <c r="AK6" t="b">
        <f ca="1">ROUND(MLR_Scalar_Test[[#This Row],[SE_Regression
(Exp.)]],6)=ROUND(MLR_Scalar_Test[[#This Row],[SE_Regression
(Calc.)]],6)</f>
        <v>1</v>
      </c>
    </row>
    <row r="7" spans="1:37" ht="30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7" s="3">
        <v>1649</v>
      </c>
      <c r="F7" s="3">
        <f>Observations(y, fil)</f>
        <v>1649</v>
      </c>
      <c r="G7" t="b">
        <f>MLR_Scalar_Test[[#This Row],[Observations
(Exp.)]]=MLR_Scalar_Test[[#This Row],[Observations
(Calc.)]]</f>
        <v>1</v>
      </c>
      <c r="H7" s="3">
        <v>10</v>
      </c>
      <c r="I7" s="3">
        <f ca="1">_xlfn.LET(_xlpm.x_s, OFFSET(y,0,1,ROWS(y),MLR_Scalar_Test[[#This Row],[ind_vars]]), DF_Regression(_xlpm.x_s))</f>
        <v>10</v>
      </c>
      <c r="J7" t="b">
        <f ca="1">MLR_Scalar_Test[[#This Row],[DF_Regression
(Exp.)]]=MLR_Scalar_Test[[#This Row],[DF_Regression
(Calc.)]]</f>
        <v>1</v>
      </c>
      <c r="K7" s="3">
        <v>1649</v>
      </c>
      <c r="L7" s="3">
        <f>DF_Total(y, MLR_Scalar_Test[[#This Row],[Allow_Intercept]], fil)</f>
        <v>1649</v>
      </c>
      <c r="M7" t="b">
        <f>MLR_Scalar_Test[[#This Row],[DF_Total
(Exp.)]]=MLR_Scalar_Test[[#This Row],[DF_Total
(Calc.)]]</f>
        <v>1</v>
      </c>
      <c r="N7" s="4">
        <v>0.96807706925095049</v>
      </c>
      <c r="O7" s="4">
        <f ca="1">_xlfn.LET(_xlpm.x_s, OFFSET(y,0,1,ROWS(y),MLR_Scalar_Test[[#This Row],[ind_vars]]), R_squared(_xlpm.x_s, y, MLR_Scalar_Test[[#This Row],[Allow_Intercept]], fil))</f>
        <v>0.96807706925095049</v>
      </c>
      <c r="P7" t="b">
        <f ca="1">ROUND(MLR_Scalar_Test[[#This Row],[R_squared
(Exp.)]],6)=ROUND(MLR_Scalar_Test[[#This Row],[R_squared
(Calc.)]],6)</f>
        <v>1</v>
      </c>
      <c r="Q7" s="3">
        <v>1639</v>
      </c>
      <c r="R7" s="3">
        <f ca="1">_xlfn.LET(_xlpm.x_s, OFFSET(y,0,1,ROWS(y),MLR_Scalar_Test[[#This Row],[ind_vars]]), DF_Residual(_xlpm.x_s, y, MLR_Scalar_Test[[#This Row],[Allow_Intercept]], fil))</f>
        <v>1639</v>
      </c>
      <c r="S7" t="b">
        <f ca="1">MLR_Scalar_Test[[#This Row],[DF_Residual
(Exp.)]]=MLR_Scalar_Test[[#This Row],[DF_Residual
(Calc.)]]</f>
        <v>1</v>
      </c>
      <c r="T7" s="4">
        <v>0.98390907570311115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t="b">
        <f ca="1">ROUND(MLR_Scalar_Test[[#This Row],[Multiple_R
(Exp.)]],6)=ROUND(MLR_Scalar_Test[[#This Row],[Multiple_R
(Calc.)]],6)</f>
        <v>1</v>
      </c>
      <c r="W7" s="4">
        <v>0.96788229847151763</v>
      </c>
      <c r="X7" s="4">
        <f ca="1">_xlfn.LET(_xlpm.x_s, OFFSET(y,0,1,ROWS(y),MLR_Scalar_Test[[#This Row],[ind_vars]]), Adjusted_R2(_xlpm.x_s, y, MLR_Scalar_Test[[#This Row],[Allow_Intercept]], fil))</f>
        <v>0.96788229847151763</v>
      </c>
      <c r="Y7" t="b">
        <f ca="1">ROUND(MLR_Scalar_Test[[#This Row],[Adjusted_R2
(Exp.)]],6)=ROUND(MLR_Scalar_Test[[#This Row],[Adjusted_R2
(Calc.)]],6)</f>
        <v>1</v>
      </c>
      <c r="Z7" s="5">
        <v>8047362.0100000016</v>
      </c>
      <c r="AA7" s="5">
        <f>SS_Total(y, MLR_Scalar_Test[[#This Row],[Allow_Intercept]], fil)</f>
        <v>8047362.0100000026</v>
      </c>
      <c r="AB7" t="b">
        <f>ROUND(MLR_Scalar_Test[[#This Row],[SS_Total
(Exp.)]],4)=ROUND(MLR_Scalar_Test[[#This Row],[SS_Total
(Calc.)]],4)</f>
        <v>1</v>
      </c>
      <c r="AC7" s="5">
        <v>256895.38015776157</v>
      </c>
      <c r="AD7" s="5">
        <f ca="1">_xlfn.LET(_xlpm.x_s, OFFSET(y,0,1,ROWS(y),MLR_Scalar_Test[[#This Row],[ind_vars]]), SS_Residual(_xlpm.x_s, y, MLR_Scalar_Test[[#This Row],[Allow_Intercept]], fil))</f>
        <v>256895.38015776192</v>
      </c>
      <c r="AE7" t="b">
        <f ca="1">ROUND(MLR_Scalar_Test[[#This Row],[SS_Residual
(Exp.)]],4)=ROUND(MLR_Scalar_Test[[#This Row],[SS_Residual
(Calc.)]],4)</f>
        <v>1</v>
      </c>
      <c r="AF7" s="5">
        <v>7790466.6298422404</v>
      </c>
      <c r="AG7" s="5">
        <f ca="1">_xlfn.LET(_xlpm.x_s, OFFSET(y,0,1,ROWS(y),MLR_Scalar_Test[[#This Row],[ind_vars]]), SS_Regression(_xlpm.x_s, y, MLR_Scalar_Test[[#This Row],[Allow_Intercept]], fil))</f>
        <v>7790466.6298422404</v>
      </c>
      <c r="AH7" t="b">
        <f ca="1">ROUND(MLR_Scalar_Test[[#This Row],[SS_Regression
(Exp.)]],4)=ROUND(MLR_Scalar_Test[[#This Row],[SS_Regression
(Calc.)]],4)</f>
        <v>1</v>
      </c>
      <c r="AI7" s="4">
        <v>12.519548598357169</v>
      </c>
      <c r="AJ7" s="4">
        <f ca="1">_xlfn.LET(_xlpm.x_s, OFFSET(y,0,1,ROWS(y),MLR_Scalar_Test[[#This Row],[ind_vars]]), SE_Regression(_xlpm.x_s, y, MLR_Scalar_Test[[#This Row],[Allow_Intercept]], fil))</f>
        <v>12.519548598357177</v>
      </c>
      <c r="AK7" t="b">
        <f ca="1">ROUND(MLR_Scalar_Test[[#This Row],[SE_Regression
(Exp.)]],6)=ROUND(MLR_Scalar_Test[[#This Row],[SE_Regression
(Calc.)]],6)</f>
        <v>1</v>
      </c>
    </row>
    <row r="8" spans="1:37" ht="45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8" s="3">
        <v>1649</v>
      </c>
      <c r="F8" s="3">
        <f>Observations(y, fil)</f>
        <v>1649</v>
      </c>
      <c r="G8" t="b">
        <f>MLR_Scalar_Test[[#This Row],[Observations
(Exp.)]]=MLR_Scalar_Test[[#This Row],[Observations
(Calc.)]]</f>
        <v>1</v>
      </c>
      <c r="H8" s="3">
        <v>18</v>
      </c>
      <c r="I8" s="3">
        <f ca="1">_xlfn.LET(_xlpm.x_s, OFFSET(y,0,1,ROWS(y),MLR_Scalar_Test[[#This Row],[ind_vars]]), DF_Regression(_xlpm.x_s))</f>
        <v>18</v>
      </c>
      <c r="J8" t="b">
        <f ca="1">MLR_Scalar_Test[[#This Row],[DF_Regression
(Exp.)]]=MLR_Scalar_Test[[#This Row],[DF_Regression
(Calc.)]]</f>
        <v>1</v>
      </c>
      <c r="K8" s="3">
        <v>1648</v>
      </c>
      <c r="L8" s="3">
        <f>DF_Total(y, MLR_Scalar_Test[[#This Row],[Allow_Intercept]], fil)</f>
        <v>1648</v>
      </c>
      <c r="M8" t="b">
        <f>MLR_Scalar_Test[[#This Row],[DF_Total
(Exp.)]]=MLR_Scalar_Test[[#This Row],[DF_Total
(Calc.)]]</f>
        <v>1</v>
      </c>
      <c r="N8" s="4">
        <v>0.83473769465896497</v>
      </c>
      <c r="O8" s="4">
        <f ca="1">_xlfn.LET(_xlpm.x_s, OFFSET(y,0,1,ROWS(y),MLR_Scalar_Test[[#This Row],[ind_vars]]), R_squared(_xlpm.x_s, y, MLR_Scalar_Test[[#This Row],[Allow_Intercept]], fil))</f>
        <v>0.83473769465896452</v>
      </c>
      <c r="P8" t="b">
        <f ca="1">ROUND(MLR_Scalar_Test[[#This Row],[R_squared
(Exp.)]],6)=ROUND(MLR_Scalar_Test[[#This Row],[R_squared
(Calc.)]],6)</f>
        <v>1</v>
      </c>
      <c r="Q8" s="3">
        <v>1630</v>
      </c>
      <c r="R8" s="3">
        <f ca="1">_xlfn.LET(_xlpm.x_s, OFFSET(y,0,1,ROWS(y),MLR_Scalar_Test[[#This Row],[ind_vars]]), DF_Residual(_xlpm.x_s, y, MLR_Scalar_Test[[#This Row],[Allow_Intercept]], fil))</f>
        <v>1630</v>
      </c>
      <c r="S8" t="b">
        <f ca="1">MLR_Scalar_Test[[#This Row],[DF_Residual
(Exp.)]]=MLR_Scalar_Test[[#This Row],[DF_Residual
(Calc.)]]</f>
        <v>1</v>
      </c>
      <c r="T8" s="4">
        <v>0.91363980575441484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t="b">
        <f ca="1">ROUND(MLR_Scalar_Test[[#This Row],[Multiple_R
(Exp.)]],6)=ROUND(MLR_Scalar_Test[[#This Row],[Multiple_R
(Calc.)]],6)</f>
        <v>1</v>
      </c>
      <c r="W8" s="4">
        <v>0.83291271214599649</v>
      </c>
      <c r="X8" s="4">
        <f ca="1">_xlfn.LET(_xlpm.x_s, OFFSET(y,0,1,ROWS(y),MLR_Scalar_Test[[#This Row],[ind_vars]]), Adjusted_R2(_xlpm.x_s, y, MLR_Scalar_Test[[#This Row],[Allow_Intercept]], fil))</f>
        <v>0.83291271214599605</v>
      </c>
      <c r="Y8" t="b">
        <f ca="1">ROUND(MLR_Scalar_Test[[#This Row],[Adjusted_R2
(Exp.)]],6)=ROUND(MLR_Scalar_Test[[#This Row],[Adjusted_R2
(Calc.)]],6)</f>
        <v>1</v>
      </c>
      <c r="Z8" s="5">
        <v>127529.31124317768</v>
      </c>
      <c r="AA8" s="5">
        <f>SS_Total(y, MLR_Scalar_Test[[#This Row],[Allow_Intercept]], fil)</f>
        <v>127529.31124317752</v>
      </c>
      <c r="AB8" t="b">
        <f>ROUND(MLR_Scalar_Test[[#This Row],[SS_Total
(Exp.)]],4)=ROUND(MLR_Scalar_Test[[#This Row],[SS_Total
(Calc.)]],4)</f>
        <v>1</v>
      </c>
      <c r="AC8" s="5">
        <v>21075.787974601921</v>
      </c>
      <c r="AD8" s="5">
        <f ca="1">_xlfn.LET(_xlpm.x_s, OFFSET(y,0,1,ROWS(y),MLR_Scalar_Test[[#This Row],[ind_vars]]), SS_Residual(_xlpm.x_s, y, MLR_Scalar_Test[[#This Row],[Allow_Intercept]], fil))</f>
        <v>21075.787974601953</v>
      </c>
      <c r="AE8" t="b">
        <f ca="1">ROUND(MLR_Scalar_Test[[#This Row],[SS_Residual
(Exp.)]],4)=ROUND(MLR_Scalar_Test[[#This Row],[SS_Residual
(Calc.)]],4)</f>
        <v>1</v>
      </c>
      <c r="AF8" s="5">
        <v>106453.52326857577</v>
      </c>
      <c r="AG8" s="5">
        <f ca="1">_xlfn.LET(_xlpm.x_s, OFFSET(y,0,1,ROWS(y),MLR_Scalar_Test[[#This Row],[ind_vars]]), SS_Regression(_xlpm.x_s, y, MLR_Scalar_Test[[#This Row],[Allow_Intercept]], fil))</f>
        <v>106453.52326857558</v>
      </c>
      <c r="AH8" t="b">
        <f ca="1">ROUND(MLR_Scalar_Test[[#This Row],[SS_Regression
(Exp.)]],4)=ROUND(MLR_Scalar_Test[[#This Row],[SS_Regression
(Calc.)]],4)</f>
        <v>1</v>
      </c>
      <c r="AI8" s="4">
        <v>3.5958213627434157</v>
      </c>
      <c r="AJ8" s="4">
        <f ca="1">_xlfn.LET(_xlpm.x_s, OFFSET(y,0,1,ROWS(y),MLR_Scalar_Test[[#This Row],[ind_vars]]), SE_Regression(_xlpm.x_s, y, MLR_Scalar_Test[[#This Row],[Allow_Intercept]], fil))</f>
        <v>3.5958213627434183</v>
      </c>
      <c r="AK8" t="b">
        <f ca="1">ROUND(MLR_Scalar_Test[[#This Row],[SE_Regression
(Exp.)]],6)=ROUND(MLR_Scalar_Test[[#This Row],[SE_Regression
(Calc.)]],6)</f>
        <v>1</v>
      </c>
    </row>
    <row r="9" spans="1:37" ht="45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9" s="3">
        <v>1649</v>
      </c>
      <c r="F9" s="3">
        <f>Observations(y, fil)</f>
        <v>1649</v>
      </c>
      <c r="G9" t="b">
        <f>MLR_Scalar_Test[[#This Row],[Observations
(Exp.)]]=MLR_Scalar_Test[[#This Row],[Observations
(Calc.)]]</f>
        <v>1</v>
      </c>
      <c r="H9" s="3">
        <v>18</v>
      </c>
      <c r="I9" s="3">
        <f ca="1">_xlfn.LET(_xlpm.x_s, OFFSET(y,0,1,ROWS(y),MLR_Scalar_Test[[#This Row],[ind_vars]]), DF_Regression(_xlpm.x_s))</f>
        <v>18</v>
      </c>
      <c r="J9" t="b">
        <f ca="1">MLR_Scalar_Test[[#This Row],[DF_Regression
(Exp.)]]=MLR_Scalar_Test[[#This Row],[DF_Regression
(Calc.)]]</f>
        <v>1</v>
      </c>
      <c r="K9" s="3">
        <v>1649</v>
      </c>
      <c r="L9" s="3">
        <f>DF_Total(y, MLR_Scalar_Test[[#This Row],[Allow_Intercept]], fil)</f>
        <v>1649</v>
      </c>
      <c r="M9" t="b">
        <f>MLR_Scalar_Test[[#This Row],[DF_Total
(Exp.)]]=MLR_Scalar_Test[[#This Row],[DF_Total
(Calc.)]]</f>
        <v>1</v>
      </c>
      <c r="N9" s="4">
        <v>0.98895618417793629</v>
      </c>
      <c r="O9" s="4">
        <f ca="1">_xlfn.LET(_xlpm.x_s, OFFSET(y,0,1,ROWS(y),MLR_Scalar_Test[[#This Row],[ind_vars]]), R_squared(_xlpm.x_s, y, MLR_Scalar_Test[[#This Row],[Allow_Intercept]], fil))</f>
        <v>0.9889561841779364</v>
      </c>
      <c r="P9" t="b">
        <f ca="1">ROUND(MLR_Scalar_Test[[#This Row],[R_squared
(Exp.)]],6)=ROUND(MLR_Scalar_Test[[#This Row],[R_squared
(Calc.)]],6)</f>
        <v>1</v>
      </c>
      <c r="Q9" s="3">
        <v>1631</v>
      </c>
      <c r="R9" s="3">
        <f ca="1">_xlfn.LET(_xlpm.x_s, OFFSET(y,0,1,ROWS(y),MLR_Scalar_Test[[#This Row],[ind_vars]]), DF_Residual(_xlpm.x_s, y, MLR_Scalar_Test[[#This Row],[Allow_Intercept]], fil))</f>
        <v>1631</v>
      </c>
      <c r="S9" t="b">
        <f ca="1">MLR_Scalar_Test[[#This Row],[DF_Residual
(Exp.)]]=MLR_Scalar_Test[[#This Row],[DF_Residual
(Calc.)]]</f>
        <v>1</v>
      </c>
      <c r="T9" s="4">
        <v>0.99446276158433222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t="b">
        <f ca="1">ROUND(MLR_Scalar_Test[[#This Row],[Multiple_R
(Exp.)]],6)=ROUND(MLR_Scalar_Test[[#This Row],[Multiple_R
(Calc.)]],6)</f>
        <v>1</v>
      </c>
      <c r="W9" s="4">
        <v>0.98883430270350514</v>
      </c>
      <c r="X9" s="4">
        <f ca="1">_xlfn.LET(_xlpm.x_s, OFFSET(y,0,1,ROWS(y),MLR_Scalar_Test[[#This Row],[ind_vars]]), Adjusted_R2(_xlpm.x_s, y, MLR_Scalar_Test[[#This Row],[Allow_Intercept]], fil))</f>
        <v>0.98883430270350525</v>
      </c>
      <c r="Y9" t="b">
        <f ca="1">ROUND(MLR_Scalar_Test[[#This Row],[Adjusted_R2
(Exp.)]],6)=ROUND(MLR_Scalar_Test[[#This Row],[Adjusted_R2
(Calc.)]],6)</f>
        <v>1</v>
      </c>
      <c r="Z9" s="5">
        <v>8047362.0100000016</v>
      </c>
      <c r="AA9" s="5">
        <f>SS_Total(y, MLR_Scalar_Test[[#This Row],[Allow_Intercept]], fil)</f>
        <v>8047362.0100000026</v>
      </c>
      <c r="AB9" t="b">
        <f>ROUND(MLR_Scalar_Test[[#This Row],[SS_Total
(Exp.)]],4)=ROUND(MLR_Scalar_Test[[#This Row],[SS_Total
(Calc.)]],4)</f>
        <v>1</v>
      </c>
      <c r="AC9" s="5">
        <v>88873.583891912</v>
      </c>
      <c r="AD9" s="5">
        <f ca="1">_xlfn.LET(_xlpm.x_s, OFFSET(y,0,1,ROWS(y),MLR_Scalar_Test[[#This Row],[ind_vars]]), SS_Residual(_xlpm.x_s, y, MLR_Scalar_Test[[#This Row],[Allow_Intercept]], fil))</f>
        <v>88873.583891911534</v>
      </c>
      <c r="AE9" t="b">
        <f ca="1">ROUND(MLR_Scalar_Test[[#This Row],[SS_Residual
(Exp.)]],4)=ROUND(MLR_Scalar_Test[[#This Row],[SS_Residual
(Calc.)]],4)</f>
        <v>1</v>
      </c>
      <c r="AF9" s="5">
        <v>7958488.4261080893</v>
      </c>
      <c r="AG9" s="5">
        <f ca="1">_xlfn.LET(_xlpm.x_s, OFFSET(y,0,1,ROWS(y),MLR_Scalar_Test[[#This Row],[ind_vars]]), SS_Regression(_xlpm.x_s, y, MLR_Scalar_Test[[#This Row],[Allow_Intercept]], fil))</f>
        <v>7958488.4261080911</v>
      </c>
      <c r="AH9" t="b">
        <f ca="1">ROUND(MLR_Scalar_Test[[#This Row],[SS_Regression
(Exp.)]],4)=ROUND(MLR_Scalar_Test[[#This Row],[SS_Regression
(Calc.)]],4)</f>
        <v>1</v>
      </c>
      <c r="AI9" s="4">
        <v>7.381750571735556</v>
      </c>
      <c r="AJ9" s="4">
        <f ca="1">_xlfn.LET(_xlpm.x_s, OFFSET(y,0,1,ROWS(y),MLR_Scalar_Test[[#This Row],[ind_vars]]), SE_Regression(_xlpm.x_s, y, MLR_Scalar_Test[[#This Row],[Allow_Intercept]], fil))</f>
        <v>7.3817505717355365</v>
      </c>
      <c r="AK9" t="b">
        <f ca="1">ROUND(MLR_Scalar_Test[[#This Row],[SE_Regression
(Exp.)]],6)=ROUND(MLR_Scalar_Test[[#This Row],[SE_Regression
(Calc.)]],6)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LAMBDA_functions</vt:lpstr>
      <vt:lpstr>Life Expectancy Data</vt:lpstr>
      <vt:lpstr>MLR_Scalar_Test</vt:lpstr>
      <vt:lpstr>MLR_Scalar_Test!fil</vt:lpstr>
      <vt:lpstr>MLR_Scalar_Test!y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2026-05-10T21:16:07Z</dcterms:modified>
</cp:coreProperties>
</file>