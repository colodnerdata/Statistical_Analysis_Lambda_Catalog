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claude\worktrees\production-lots-calculations-fixed-1770bd\"/>
    </mc:Choice>
  </mc:AlternateContent>
  <xr:revisionPtr revIDLastSave="0" documentId="8_{FE67CDA5-E025-4B06-9A2F-B5B5277635AF}" xr6:coauthVersionLast="47" xr6:coauthVersionMax="47" xr10:uidLastSave="{00000000-0000-0000-0000-000000000000}"/>
  <bookViews>
    <workbookView xWindow="2895" yWindow="1050" windowWidth="21600" windowHeight="11295" xr2:uid="{92D0E1A5-8335-431C-B56C-E9E74C0E0410}"/>
  </bookViews>
  <sheets>
    <sheet name="Mileage Data" sheetId="12" r:id="rId1"/>
    <sheet name="Life Expectancy Data" sheetId="2" r:id="rId2"/>
    <sheet name="Version History" sheetId="6" r:id="rId3"/>
    <sheet name="Regression Instructions" sheetId="4" r:id="rId4"/>
    <sheet name="Regression" sheetId="7" r:id="rId5"/>
    <sheet name="Diagnostic Guide" sheetId="5" r:id="rId6"/>
    <sheet name="LAMBDA_functions" sheetId="1" r:id="rId7"/>
  </sheets>
  <definedNames>
    <definedName name="Absorbed_Degrees_Of_Freedom" localSheetId="4">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llow_Intercept" localSheetId="4">Regression!$C$2</definedName>
    <definedName name="alpha" localSheetId="4">Regression!$Y$12</definedName>
    <definedName name="Base_Period_Delta_Candidate" localSheetId="4">_xlfn.LAMBDA(_xlfn.LET(_xlpm.d,Regression!Sequence_Deltas(),IF(COUNT(_xlpm.d)=0,NA(),IFERROR(_xlfn.MODE.SNGL(_xlpm.d),MIN(_xlpm.d)))))</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l_Select" comment="Named wrapper for CHOOSECOLS: picks non-contiguous predictor columns by index. Returns an array suitable for X_s.">_xlfn.LAMBDA(_xlpm.table,_xlpm.col_nums,_xlfn.CHOOSECOLS(_xlpm.table,_xlpm.col_nums))</definedName>
    <definedName name="Constructed_Column_Names" localSheetId="4">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Dependent_Var" comment="Filtered Y column in the order the model uses it. Companion to Predictions and Residuals for scatter plots.">_xlfn.LAMBDA(_xlpm.Y,_xlop.Include,_xlfn._xlws.FILTER(_xlpm.Y,IF(_xlfn.ISOMITTED(_xlpm.Include),TRUE,_xlpm.Include)))</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4">_xlfn.LAMBDA(_xlfn.LET(_xlpm.n_c,COLUMNS(Regression!Source_Data),INDEX(Regression!Source_Data,0,_xlfn.XMATCH("Fixed Effects",_xlfn.TAKE(Regression!Spec_Role,_xlpm.n_c),0))))</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Header_Names" localSheetId="4">_xlfn.TAKE(Regression!Source_Table,1)</definedName>
    <definedName name="Intercept_Only_DF" localSheetId="4">_xlfn.LAMBDA(Regression!Intercept_Only_N()-1)</definedName>
    <definedName name="Intercept_Only_N" localSheetId="4">_xlfn.LAMBDA(SUMPRODUCT(N(Regression!Sample_Include())))</definedName>
    <definedName name="Intercept_Only_Point" localSheetId="4">_xlfn.LAMBDA(AVERAGE(_xlfn._xlws.FILTER(Regression!Response_Column(),Regression!Sample_Include())))</definedName>
    <definedName name="Intercept_Only_S" localSheetId="4">_xlfn.LAMBDA(_xlfn.STDEV.S(_xlfn._xlws.FILTER(Regression!Response_Column(),Regression!Sample_Include())))</definedName>
    <definedName name="Intercept_Only_SE" localSheetId="4">_xlfn.LAMBDA(Regression!Intercept_Only_S()/SQRT(Regression!Intercept_Only_N()))</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rediction_Group_Column" localSheetId="4">_xlfn.LAMBDA(_xlfn.LET(_xlpm.n_c,COLUMNS(Regression!Source_Data),_xlpm.fe_active,SUMPRODUCT(N(_xlfn.TAKE(Regression!Spec_Role,_xlpm.n_c)="Fixed Effects"))&gt;0,IF(_xlpm.fe_active,Regression!Fixed_Effects_Column(),_xlfn.EXPAND("(all)",ROWS(Regression!Source_Data),1,"(all)"))))</definedName>
    <definedName name="RegChartActY" comment="Actual vs. Predicted chart: Y values (Actual Y)" localSheetId="4">OFFSET(Regression!$AL$2,1,0,MAX(IFERROR(Regression!$Y$8,1),1),1)</definedName>
    <definedName name="RegChartCookDist" comment="Cook's Distance chart: bar values" localSheetId="4">OFFSET(Regression!$AQ$2,1,0,MAX(IFERROR(Regression!$Y$8,1),1),1)</definedName>
    <definedName name="RegChartFitY" comment="Predicted Y: X values for the Residuals vs. Fitted, Actual vs. Predicted, and Scale-Location charts" localSheetId="4">OFFSET(Regression!$AM$2,1,0,MAX(IFERROR(Regression!$Y$8,1),1),1)</definedName>
    <definedName name="RegChartLeverage" comment="Studentized Residuals vs. Leverage chart: X values (Hat Diagonal)" localSheetId="4">OFFSET(Regression!$AO$2,1,0,MAX(IFERROR(Regression!$Y$8,1),1),1)</definedName>
    <definedName name="RegChartPRESSResid" comment="PRESS Residuals chart: bar values" localSheetId="4">OFFSET(Regression!$AU$2,1,0,MAX(IFERROR(Regression!$Y$8,1),1),1)</definedName>
    <definedName name="RegChartQQX" comment="Normal Q-Q chart: X values (theoretical quantiles, Normal Scores Ranked)" localSheetId="4">OFFSET(Regression!$AR$2,1,0,MAX(IFERROR(Regression!$Y$8,1),1),1)</definedName>
    <definedName name="RegChartQQY" comment="Normal Q-Q chart: Y values (Studentized Residuals Ranked)" localSheetId="4">OFFSET(Regression!$AS$2,1,0,MAX(IFERROR(Regression!$Y$8,1),1),1)</definedName>
    <definedName name="RegChartResid" comment="Residuals vs. Fitted chart: Y values (Residuals)" localSheetId="4">OFFSET(Regression!$AN$2,1,0,MAX(IFERROR(Regression!$Y$8,1),1),1)</definedName>
    <definedName name="RegChartScaleLoc" comment="Scale-Location chart: Y values (sqrt of abs Studentized Residual)" localSheetId="4">OFFSET(Regression!$AT$2,1,0,MAX(IFERROR(Regression!$Y$8,1),1),1)</definedName>
    <definedName name="RegChartStudResid" comment="Studentized Residuals vs. Leverage chart: Y values" localSheetId="4">OFFSET(Regression!$AP$2,1,0,MAX(IFERROR(Regression!$Y$8,1),1),1)</definedName>
    <definedName name="Response_Column" localSheetId="4">_xlfn.LAMBDA(_xlfn.LET(_xlpm.n_c,COLUMNS(Regression!Source_Data),_xlpm.rl,_xlfn.TAKE(Regression!Spec_Role,_xlpm.n_c),INDEX(Regression!Source_Data,0,_xlfn.XMATCH("Response (y)",_xlpm.rl))))</definedName>
    <definedName name="Row_Labels" localSheetId="4">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4">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equence_Column" localSheetId="4">_xlfn.LAMBDA(_xlfn.LET(_xlpm.n_c,COLUMNS(Regression!Source_Data),INDEX(Regression!Source_Data,0,_xlfn.XMATCH(TRUE,_xlfn.TAKE(Regression!Spec_Sequence,_xlpm.n_c),0))))</definedName>
    <definedName name="Sequence_Delta_Spectrum" localSheetId="4">_xlfn.LAMBDA(_xlfn.LET(_xlpm.d,Regression!Sequence_Deltas(),_xlpm.u,_xlfn._xlws.SORT(_xlfn.UNIQUE(_xlpm.d)),IF(COUNT(_xlpm.d)=0,NA(),_xlfn.HSTACK(_xlpm.u,_xlfn.BYROW(_xlpm.u,_xlfn.LAMBDA(_xlpm.v,SUM(--(_xlpm.d=_xlpm.v))))))))</definedName>
    <definedName name="Sequence_Deltas" localSheetId="4">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4">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ource_Data" localSheetId="4">_xlfn.DROP(Regression!Source_Table,1)</definedName>
    <definedName name="Source_Table" localSheetId="4">MileageData[#All]</definedName>
    <definedName name="Spec_Base_Period_Delta" localSheetId="4">Regression!$I$4:$I$15989</definedName>
    <definedName name="Spec_Include" localSheetId="4">SpecTable[[#Data],[Include]]</definedName>
    <definedName name="Spec_Order" localSheetId="4">SpecTable[[#Data],[Order]]</definedName>
    <definedName name="Spec_Period_In_Use" localSheetId="4">SpecTable[[#Data],[Period In Use]]</definedName>
    <definedName name="Spec_Reference" localSheetId="4">SpecTable[[#Data],[Reference Level]]</definedName>
    <definedName name="Spec_Role" localSheetId="4">SpecTable[[#Data],[Role]]</definedName>
    <definedName name="Spec_Sequence" localSheetId="4">SpecTable[[#Data],[Sequence]]</definedName>
    <definedName name="Spec_Sequence_Period" localSheetId="4">SpecTable[[#Data],[Sequence Period]]</definedName>
    <definedName name="Spec_Transform" localSheetId="4">SpecTable[[#Data],[Transform]]</definedName>
    <definedName name="Spec_Type" localSheetId="4">SpecTable[[#Data],[Type]]</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X_s" localSheetId="4">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X_s_Within" localSheetId="4">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s" localSheetId="4">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4">_xlfn.LAMBDA(IFERROR(COLUMNS(Regression!X_s()),0)=0)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_s)). Used as the numerator df in the F-test.">_xlfn.LAMBDA(_xlpm.X_s,COLUMNS(_xlpm.X_s))</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6BB46075-F0D0-4128-9990-57258E9564B1}">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981B1D8C-22DC-41D1-9BB5-8065F3ABBC2F}">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6655B010-D2D0-44E1-86A6-827C87A9BBC2}">
      <text>
        <r>
          <rPr>
            <b/>
            <sz val="9"/>
            <color indexed="81"/>
            <rFont val="Tahoma"/>
            <family val="2"/>
          </rPr>
          <t>Shows whether the data have a longer tail on one side. Positive means a longer right tail; negative means a longer left tail.</t>
        </r>
      </text>
    </comment>
    <comment ref="T2" authorId="0" shapeId="0" xr:uid="{E14C441B-31A3-4EE4-92C5-BA83526AA3FC}">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681F7630-6CD5-4721-A940-0796B1C7F523}">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22CDC09C-04E1-4A4A-B8D1-18FE189AA25D}">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752D3631-A851-4AE0-A127-CF9E945B7C82}">
      <text>
        <r>
          <rPr>
            <b/>
            <sz val="9"/>
            <color indexed="81"/>
            <rFont val="Tahoma"/>
            <family val="2"/>
          </rPr>
          <t>The actual observed outcome values.</t>
        </r>
      </text>
    </comment>
    <comment ref="AM2" authorId="0" shapeId="0" xr:uid="{AFEF858F-00B7-4CA3-AB8A-39AD5BDE8C33}">
      <text>
        <r>
          <rPr>
            <b/>
            <sz val="9"/>
            <color indexed="81"/>
            <rFont val="Tahoma"/>
            <family val="2"/>
          </rPr>
          <t>The fitted outcome values produced by the model.</t>
        </r>
      </text>
    </comment>
    <comment ref="AN2" authorId="0" shapeId="0" xr:uid="{B6CF6538-5DF9-4487-A5BF-F74071F3C0BD}">
      <text>
        <r>
          <rPr>
            <b/>
            <sz val="9"/>
            <color indexed="81"/>
            <rFont val="Tahoma"/>
            <family val="2"/>
          </rPr>
          <t>Actual Y minus predicted Y. Positive means the row came in above the model's prediction; negative means below.</t>
        </r>
      </text>
    </comment>
    <comment ref="AO2" authorId="0" shapeId="0" xr:uid="{3AA9F54A-D6B9-4779-88AD-0CEA6E13B8A5}">
      <text>
        <r>
          <rPr>
            <b/>
            <sz val="9"/>
            <color indexed="81"/>
            <rFont val="Tahoma"/>
            <family val="2"/>
          </rPr>
          <t>Leverage. It shows how unusual a row's predictor values are relative to the rest of the data.</t>
        </r>
      </text>
    </comment>
    <comment ref="AP2" authorId="0" shapeId="0" xr:uid="{05A86B5E-54EA-4586-9E12-BCBF57813FDE}">
      <text>
        <r>
          <rPr>
            <b/>
            <sz val="9"/>
            <color indexed="81"/>
            <rFont val="Tahoma"/>
            <family val="2"/>
          </rPr>
          <t>Residuals scaled to account for overall error size and leverage, making outliers easier to compare fairly.</t>
        </r>
      </text>
    </comment>
    <comment ref="AQ2" authorId="0" shapeId="0" xr:uid="{04CA06E1-AC38-4074-9AC9-F3CA389473D9}">
      <text>
        <r>
          <rPr>
            <b/>
            <sz val="9"/>
            <color indexed="81"/>
            <rFont val="Tahoma"/>
            <family val="2"/>
          </rPr>
          <t>How much a single row can pull the fitted coefficients and predictions around.</t>
        </r>
      </text>
    </comment>
    <comment ref="AR2" authorId="0" shapeId="0" xr:uid="{2B7DEFDB-C4D9-4A00-A581-B0D447E96566}">
      <text>
        <r>
          <rPr>
            <b/>
            <sz val="9"/>
            <color indexed="81"/>
            <rFont val="Tahoma"/>
            <family val="2"/>
          </rPr>
          <t>Expected bell-curve quantiles used for the Q-Q comparison.</t>
        </r>
      </text>
    </comment>
    <comment ref="AS2" authorId="0" shapeId="0" xr:uid="{B22DC6D1-5D18-4CE5-A3D0-37A547F7052A}">
      <text>
        <r>
          <rPr>
            <b/>
            <sz val="9"/>
            <color indexed="81"/>
            <rFont val="Tahoma"/>
            <family val="2"/>
          </rPr>
          <t>Studentized residuals sorted from smallest to largest for the Q-Q plot.</t>
        </r>
      </text>
    </comment>
    <comment ref="AT2" authorId="0" shapeId="0" xr:uid="{C2B0E569-E455-47A4-A092-781E8BAD0223}">
      <text>
        <r>
          <rPr>
            <b/>
            <sz val="9"/>
            <color indexed="81"/>
            <rFont val="Tahoma"/>
            <family val="2"/>
          </rPr>
          <t>The square root of the absolute studentized residual. A flat pattern suggests stable error spread.</t>
        </r>
      </text>
    </comment>
    <comment ref="AU2" authorId="0" shapeId="0" xr:uid="{E000E105-D6CA-47AA-9D2F-5FD4E00A2C05}">
      <text>
        <r>
          <rPr>
            <b/>
            <sz val="9"/>
            <color indexed="81"/>
            <rFont val="Tahoma"/>
            <family val="2"/>
          </rPr>
          <t>The prediction error for a row when that row is left out of the fitting step (the leave-one-out / LOOCV residual). Summing its squares gives PRESS.</t>
        </r>
      </text>
    </comment>
    <comment ref="AG3" authorId="0" shapeId="0" xr:uid="{F70C1D77-80D8-43E3-8602-31D2AB4DB439}">
      <text>
        <r>
          <rPr>
            <b/>
            <sz val="9"/>
            <color indexed="81"/>
            <rFont val="Tahoma"/>
            <family val="2"/>
          </rPr>
          <t>The model's single best predicted Y value for the inputs you entered.</t>
        </r>
      </text>
    </comment>
    <comment ref="F4" authorId="0" shapeId="0" xr:uid="{D186A505-0001-492E-BEC8-41A972C24AD6}">
      <text>
        <r>
          <rPr>
            <b/>
            <sz val="9"/>
            <color indexed="81"/>
            <rFont val="Tahoma"/>
            <family val="2"/>
          </rPr>
          <t>Reserved for a future release — not yet used by any formula.</t>
        </r>
      </text>
    </comment>
    <comment ref="G4" authorId="0" shapeId="0" xr:uid="{8EE55C55-3092-4694-B4E5-B53970AECA73}">
      <text>
        <r>
          <rPr>
            <b/>
            <sz val="9"/>
            <color indexed="81"/>
            <rFont val="Tahoma"/>
            <family val="2"/>
          </rPr>
          <t>Reserved for a future release — not yet used by any formula.</t>
        </r>
      </text>
    </comment>
    <comment ref="H4" authorId="0" shapeId="0" xr:uid="{15F24F34-B4E1-4F63-A9EE-94F862EF13D8}">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29E0C599-9C81-41CF-A0F6-18136999AD2B}">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166AE9B2-B5B5-4A81-8CDE-CC11C53244C2}">
      <text>
        <r>
          <rPr>
            <b/>
            <sz val="9"/>
            <color indexed="81"/>
            <rFont val="Tahoma"/>
            <family val="2"/>
          </rPr>
          <t>How closely the model's predicted Y values track the actual Y values overall.</t>
        </r>
      </text>
    </comment>
    <comment ref="AA4" authorId="0" shapeId="0" xr:uid="{BA9BE52E-6809-4304-91FC-342E31DAF9F7}">
      <text>
        <r>
          <rPr>
            <b/>
            <sz val="9"/>
            <color indexed="81"/>
            <rFont val="Tahoma"/>
            <family val="2"/>
          </rPr>
          <t>A leave-one-out prediction error score. Lower is better because it means the model predicts unseen rows more accurately.</t>
        </r>
      </text>
    </comment>
    <comment ref="AG4" authorId="0" shapeId="0" xr:uid="{FC03F592-3D74-4B68-883F-0673B8BB42F9}">
      <text>
        <r>
          <rPr>
            <b/>
            <sz val="9"/>
            <color indexed="81"/>
            <rFont val="Tahoma"/>
            <family val="2"/>
          </rPr>
          <t>The standard error for a new prediction. It reflects both model uncertainty and ordinary row-to-row noise.</t>
        </r>
      </text>
    </comment>
    <comment ref="X5" authorId="0" shapeId="0" xr:uid="{EFAF9478-0D98-4170-9ABE-DB3733A57C58}">
      <text>
        <r>
          <rPr>
            <b/>
            <sz val="9"/>
            <color indexed="81"/>
            <rFont val="Tahoma"/>
            <family val="2"/>
          </rPr>
          <t>The share of the outcome's variation explained by the model.</t>
        </r>
      </text>
    </comment>
    <comment ref="AA5" authorId="0" shapeId="0" xr:uid="{669DAC69-45BB-496F-B42B-6C9702D4793A}">
      <text>
        <r>
          <rPr>
            <b/>
            <sz val="9"/>
            <color indexed="81"/>
            <rFont val="Tahoma"/>
            <family val="2"/>
          </rPr>
          <t>An out-of-sample version of R Square based on leave-one-out prediction. Negative values mean the model predicts worse than just using the average Y.</t>
        </r>
      </text>
    </comment>
    <comment ref="AG5" authorId="0" shapeId="0" xr:uid="{3AF5A21E-7DE6-454D-9F4D-14622BFBC816}">
      <text>
        <r>
          <rPr>
            <b/>
            <sz val="9"/>
            <color indexed="81"/>
            <rFont val="Tahoma"/>
            <family val="2"/>
          </rPr>
          <t>The t-distribution cutoff at the chosen confidence level. Multiply by SE Prediction to get the prediction interval half-width.</t>
        </r>
      </text>
    </comment>
    <comment ref="X6" authorId="0" shapeId="0" xr:uid="{A6D45639-F2FC-4E17-8797-6EEC17D56115}">
      <text>
        <r>
          <rPr>
            <b/>
            <sz val="9"/>
            <color indexed="81"/>
            <rFont val="Tahoma"/>
            <family val="2"/>
          </rPr>
          <t>R Square with a penalty for adding predictors that do not help enough.</t>
        </r>
      </text>
    </comment>
    <comment ref="AA6" authorId="0" shapeId="0" xr:uid="{9B95DEF6-B60F-48B5-9721-3764367CD372}">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9CCA2F12-29D5-4C67-9A2C-10E51AED9703}">
      <text>
        <r>
          <rPr>
            <b/>
            <sz val="9"/>
            <color indexed="81"/>
            <rFont val="Tahoma"/>
            <family val="2"/>
          </rPr>
          <t>The lower bound of the 95% confidence interval.</t>
        </r>
      </text>
    </comment>
    <comment ref="X7" authorId="0" shapeId="0" xr:uid="{EE1B5D0E-62E1-462D-AF58-0734772878BE}">
      <text>
        <r>
          <rPr>
            <b/>
            <sz val="9"/>
            <color indexed="81"/>
            <rFont val="Tahoma"/>
            <family val="2"/>
          </rPr>
          <t>The typical size of the model's prediction errors, measured in the same units as Y.</t>
        </r>
      </text>
    </comment>
    <comment ref="AA7" authorId="0" shapeId="0" xr:uid="{F1339E5E-B787-4D65-B8AC-F089E64B3C0A}">
      <text>
        <r>
          <rPr>
            <b/>
            <sz val="9"/>
            <color indexed="81"/>
            <rFont val="Tahoma"/>
            <family val="2"/>
          </rPr>
          <t>A model-comparison score that balances fit against complexity. Lower is better when comparing models on the same data.</t>
        </r>
      </text>
    </comment>
    <comment ref="AG7" authorId="0" shapeId="0" xr:uid="{FAE84538-5B7A-483C-B8AD-50C1401B551C}">
      <text>
        <r>
          <rPr>
            <b/>
            <sz val="9"/>
            <color indexed="81"/>
            <rFont val="Tahoma"/>
            <family val="2"/>
          </rPr>
          <t>The upper bound of the 95% confidence interval.</t>
        </r>
      </text>
    </comment>
    <comment ref="X8" authorId="0" shapeId="0" xr:uid="{515BA0E5-7D17-4BD7-89B3-5055139536BC}">
      <text>
        <r>
          <rPr>
            <b/>
            <sz val="9"/>
            <color indexed="81"/>
            <rFont val="Tahoma"/>
            <family val="2"/>
          </rPr>
          <t>The number of rows actually used in the regression after filtering.</t>
        </r>
      </text>
    </comment>
    <comment ref="AA8" authorId="0" shapeId="0" xr:uid="{49A0E32B-81DE-4133-9D6A-83E3F502FA78}">
      <text>
        <r>
          <rPr>
            <b/>
            <sz val="9"/>
            <color indexed="81"/>
            <rFont val="Tahoma"/>
            <family val="2"/>
          </rPr>
          <t>Another model-comparison score like AIC, but it penalizes extra predictors more strongly.</t>
        </r>
      </text>
    </comment>
    <comment ref="AG8" authorId="0" shapeId="0" xr:uid="{580FF605-60D1-4331-8393-4B048C9D2388}">
      <text>
        <r>
          <rPr>
            <b/>
            <sz val="9"/>
            <color indexed="81"/>
            <rFont val="Tahoma"/>
            <family val="2"/>
          </rPr>
          <t>The probability level associated with the interval. With alpha 0.05, this is 95%.</t>
        </r>
      </text>
    </comment>
    <comment ref="AA9" authorId="0" shapeId="0" xr:uid="{CCC3361D-E3D4-4275-AD49-A00E280F56A3}">
      <text>
        <r>
          <rPr>
            <b/>
            <sz val="9"/>
            <color indexed="81"/>
            <rFont val="Tahoma"/>
            <family val="2"/>
          </rPr>
          <t>AIC with an extra correction for small samples.</t>
        </r>
      </text>
    </comment>
    <comment ref="AA10" authorId="0" shapeId="0" xr:uid="{D85B360B-3DD2-4C22-820B-5DC9ED3A0B00}">
      <text>
        <r>
          <rPr>
            <b/>
            <sz val="9"/>
            <color indexed="81"/>
            <rFont val="Tahoma"/>
            <family val="2"/>
          </rPr>
          <t>A numeric check of how close the residuals are to a normal bell shape. Values closer to 1 are better.</t>
        </r>
      </text>
    </comment>
    <comment ref="AA11" authorId="0" shapeId="0" xr:uid="{05BDB70F-DEF9-400F-8CEE-E1CF268F44CF}">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5B72CAEB-DFF1-434B-9C69-C217F229759A}">
      <text>
        <r>
          <rPr>
            <b/>
            <sz val="9"/>
            <color indexed="81"/>
            <rFont val="Tahoma"/>
            <family val="2"/>
          </rPr>
          <t>The cutoff for statistical significance. At 0.05, results with p-values below 0.05 are treated as statistically significant.</t>
        </r>
      </text>
    </comment>
    <comment ref="AA12" authorId="0" shapeId="0" xr:uid="{38E37367-9835-41A0-8BB8-023CFD75FB16}">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9898BFEB-D5FB-42A1-91DB-B966234F8971}">
      <text>
        <r>
          <rPr>
            <b/>
            <sz val="9"/>
            <color indexed="81"/>
            <rFont val="Tahoma"/>
            <family val="2"/>
          </rPr>
          <t>The number of independent data points available to estimate each part of the model — total rows minus one for each estimated parameter.</t>
        </r>
      </text>
    </comment>
    <comment ref="Z14" authorId="0" shapeId="0" xr:uid="{F699D222-F2EA-4365-ABB3-DF317843AC28}">
      <text>
        <r>
          <rPr>
            <b/>
            <sz val="9"/>
            <color indexed="81"/>
            <rFont val="Tahoma"/>
            <family val="2"/>
          </rPr>
          <t>The total variation attributed to that source — regression, residual, or total. The raw material from which MS and F are calculated.</t>
        </r>
      </text>
    </comment>
    <comment ref="AA14" authorId="0" shapeId="0" xr:uid="{CD4D9AE5-86A3-450E-80FB-05744324175E}">
      <text>
        <r>
          <rPr>
            <b/>
            <sz val="9"/>
            <color indexed="81"/>
            <rFont val="Tahoma"/>
            <family val="2"/>
          </rPr>
          <t>Sum of squares averaged over its degrees of freedom — a per-unit measure of variation for that source.</t>
        </r>
      </text>
    </comment>
    <comment ref="AB14" authorId="0" shapeId="0" xr:uid="{243B5095-E7D5-4745-A8F3-9DFA883A1646}">
      <text>
        <r>
          <rPr>
            <b/>
            <sz val="9"/>
            <color indexed="81"/>
            <rFont val="Tahoma"/>
            <family val="2"/>
          </rPr>
          <t>The model-vs-noise ratio used in the overall regression significance test.</t>
        </r>
      </text>
    </comment>
    <comment ref="AC14" authorId="0" shapeId="0" xr:uid="{E8EF6171-66FA-4026-BBE4-33D3447C8E01}">
      <text>
        <r>
          <rPr>
            <b/>
            <sz val="9"/>
            <color indexed="81"/>
            <rFont val="Tahoma"/>
            <family val="2"/>
          </rPr>
          <t>The p-value for the overall F test. Small values mean the model as a whole is unlikely to be pure noise.</t>
        </r>
      </text>
    </comment>
    <comment ref="X15" authorId="0" shapeId="0" xr:uid="{A4D4910E-AAAB-4D90-846B-1A28325AD112}">
      <text>
        <r>
          <rPr>
            <b/>
            <sz val="9"/>
            <color indexed="81"/>
            <rFont val="Tahoma"/>
            <family val="2"/>
          </rPr>
          <t>The variation explained by the predictors taken together.</t>
        </r>
      </text>
    </comment>
    <comment ref="X16" authorId="0" shapeId="0" xr:uid="{27AC2CAF-E230-43C7-9232-057367B4397A}">
      <text>
        <r>
          <rPr>
            <b/>
            <sz val="9"/>
            <color indexed="81"/>
            <rFont val="Tahoma"/>
            <family val="2"/>
          </rPr>
          <t>The variation the model does not explain.</t>
        </r>
      </text>
    </comment>
    <comment ref="X17" authorId="0" shapeId="0" xr:uid="{00ACD6B7-C511-431A-B044-083DFA660E10}">
      <text>
        <r>
          <rPr>
            <b/>
            <sz val="9"/>
            <color indexed="81"/>
            <rFont val="Tahoma"/>
            <family val="2"/>
          </rPr>
          <t>All variation in the outcome before splitting it into explained and unexplained parts.</t>
        </r>
      </text>
    </comment>
    <comment ref="Y20" authorId="0" shapeId="0" xr:uid="{FFF7244A-8539-43D7-A9FB-FC1963398D23}">
      <text>
        <r>
          <rPr>
            <b/>
            <sz val="9"/>
            <color indexed="81"/>
            <rFont val="Tahoma"/>
            <family val="2"/>
          </rPr>
          <t>The fitted weights used to turn predictor values into predictions.</t>
        </r>
      </text>
    </comment>
    <comment ref="Z20" authorId="0" shapeId="0" xr:uid="{8245DCDA-CE01-4F61-88FB-CB0715849F54}">
      <text>
        <r>
          <rPr>
            <b/>
            <sz val="9"/>
            <color indexed="81"/>
            <rFont val="Tahoma"/>
            <family val="2"/>
          </rPr>
          <t>How uncertain each coefficient estimate is.</t>
        </r>
      </text>
    </comment>
    <comment ref="AA20" authorId="0" shapeId="0" xr:uid="{FB8C5FB8-63C4-4B77-99F7-D02BF3387789}">
      <text>
        <r>
          <rPr>
            <b/>
            <sz val="9"/>
            <color indexed="81"/>
            <rFont val="Tahoma"/>
            <family val="2"/>
          </rPr>
          <t>How many standard errors the coefficient is away from zero.</t>
        </r>
      </text>
    </comment>
    <comment ref="AB20" authorId="0" shapeId="0" xr:uid="{19A784F4-F951-4484-BF27-D13DA043F65D}">
      <text>
        <r>
          <rPr>
            <b/>
            <sz val="9"/>
            <color indexed="81"/>
            <rFont val="Tahoma"/>
            <family val="2"/>
          </rPr>
          <t>How surprising this coefficient would be if its true effect were zero. Smaller values mean stronger evidence of a real effect.</t>
        </r>
      </text>
    </comment>
    <comment ref="AC20" authorId="0" shapeId="0" xr:uid="{3037735C-BC9A-4446-9D26-BFBB6440E1FF}">
      <text>
        <r>
          <rPr>
            <b/>
            <sz val="9"/>
            <color indexed="81"/>
            <rFont val="Tahoma"/>
            <family val="2"/>
          </rPr>
          <t>The lower bound of the 95% confidence interval.</t>
        </r>
      </text>
    </comment>
    <comment ref="AD20" authorId="0" shapeId="0" xr:uid="{4125B22D-32E6-4E43-A43D-954ED20C990E}">
      <text>
        <r>
          <rPr>
            <b/>
            <sz val="9"/>
            <color indexed="81"/>
            <rFont val="Tahoma"/>
            <family val="2"/>
          </rPr>
          <t>The upper bound of the 95% confidence interval.</t>
        </r>
      </text>
    </comment>
    <comment ref="AE20" authorId="0" shapeId="0" xr:uid="{C98A1133-7CD9-421E-9CE8-242166E95D0F}">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<sst xmlns="http://schemas.openxmlformats.org/spreadsheetml/2006/main" count="8634" uniqueCount="1769">
  <si>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</si>
  <si>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</si>
  <si>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</si>
  <si>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</si>
  <si>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</si>
  <si>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</si>
  <si>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</si>
  <si>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</si>
  <si>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</si>
  <si>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</si>
  <si>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</si>
  <si>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</si>
  <si>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</si>
  <si>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</si>
  <si>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</si>
  <si>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</si>
  <si>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</si>
  <si>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</si>
  <si>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</si>
  <si>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</si>
  <si>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</si>
  <si>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</si>
  <si>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</si>
  <si>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</si>
  <si>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</si>
  <si>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</si>
  <si>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</si>
  <si>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</si>
  <si>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</si>
  <si>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</si>
  <si>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</si>
  <si>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</si>
  <si>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</si>
  <si>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</si>
  <si>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</si>
  <si>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</si>
  <si>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</si>
  <si>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</si>
  <si>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</si>
  <si>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</si>
  <si>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</si>
  <si>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</si>
  <si>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</si>
  <si>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</si>
  <si>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</si>
  <si>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</si>
  <si>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</si>
  <si>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</si>
  <si>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</si>
  <si>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</si>
  <si>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</si>
  <si>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</si>
  <si>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</si>
  <si>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</si>
  <si>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</si>
  <si>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</si>
  <si>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</si>
  <si>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</si>
  <si>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</si>
  <si>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</si>
  <si>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</si>
  <si>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</si>
  <si>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</si>
  <si>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</si>
  <si>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</si>
  <si>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</si>
  <si>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</si>
  <si>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</si>
  <si>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</si>
  <si>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</si>
  <si>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</si>
  <si>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</si>
  <si>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</si>
  <si>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</si>
  <si>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</si>
  <si>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</si>
  <si>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</si>
  <si>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</si>
  <si>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</si>
  <si>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</si>
  <si>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</si>
  <si>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</si>
  <si>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</si>
  <si>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</si>
  <si>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</si>
  <si>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</si>
  <si>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</si>
  <si>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</si>
  <si>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</si>
  <si>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</si>
  <si>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</si>
  <si>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</si>
  <si>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</si>
  <si>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</si>
  <si>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</si>
  <si>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</si>
  <si>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</si>
  <si>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</si>
  <si>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</si>
  <si>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</si>
  <si>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</si>
  <si>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</si>
  <si>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</si>
  <si>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</si>
  <si>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</si>
  <si>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</si>
  <si>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</si>
  <si>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</si>
  <si>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</si>
  <si>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</si>
  <si>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</si>
  <si>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</si>
  <si>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</si>
  <si>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</si>
  <si>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</si>
  <si>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</si>
  <si>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</si>
  <si>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</si>
  <si>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</si>
  <si>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</si>
  <si>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</si>
  <si>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</si>
  <si>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</si>
  <si>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</si>
  <si>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</si>
  <si>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</si>
  <si>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</si>
  <si>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</si>
  <si>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</si>
  <si>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</si>
  <si>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</si>
  <si>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</si>
  <si>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</si>
  <si>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</si>
  <si>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</si>
  <si>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</si>
  <si>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</si>
  <si>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</si>
  <si>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</si>
  <si>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</si>
  <si>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</si>
  <si>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</si>
  <si>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</si>
  <si>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</si>
  <si>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</si>
  <si>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</si>
  <si>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</si>
  <si>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</si>
  <si>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</si>
  <si>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</si>
  <si>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</si>
  <si>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</si>
  <si>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</si>
  <si>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</si>
  <si>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</si>
  <si>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</si>
  <si>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</si>
  <si>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</si>
  <si>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</si>
  <si>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</si>
  <si>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</si>
  <si>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</si>
  <si>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</si>
  <si>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</si>
  <si>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</si>
  <si>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</si>
  <si>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</si>
  <si>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</si>
  <si>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</si>
  <si>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</si>
  <si>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</si>
  <si>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</si>
  <si>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</si>
  <si>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</si>
  <si>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</si>
  <si>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</si>
  <si>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</si>
  <si>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</si>
  <si>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</si>
  <si>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</si>
  <si>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</si>
  <si>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</si>
  <si>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</si>
  <si>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</si>
  <si>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</si>
  <si>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</si>
  <si>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</si>
  <si>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</si>
  <si>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</si>
  <si>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</si>
  <si>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</si>
  <si>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</si>
  <si>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</si>
  <si>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</si>
  <si>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</si>
  <si>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</si>
  <si>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</si>
  <si>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</si>
  <si>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</si>
  <si>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</si>
  <si>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</si>
  <si>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</si>
  <si>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</si>
  <si>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</si>
  <si>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</si>
  <si>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</si>
  <si>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</si>
  <si>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</si>
  <si>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</si>
  <si>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</si>
  <si>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</si>
  <si>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</si>
  <si>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</si>
  <si>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</si>
  <si>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</si>
  <si>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</si>
  <si>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</si>
  <si>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</si>
  <si>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</si>
  <si>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</si>
  <si>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</si>
  <si>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</si>
  <si>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</si>
  <si>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</si>
  <si>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</si>
  <si>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</si>
  <si>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</si>
  <si>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</si>
  <si>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</si>
  <si>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</si>
  <si>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</si>
  <si>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</si>
  <si>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</si>
  <si>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</si>
  <si>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</si>
  <si>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</si>
  <si>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</si>
  <si>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</si>
  <si>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</si>
  <si>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</si>
  <si>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</si>
  <si>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</si>
  <si>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</si>
  <si>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</si>
  <si>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</si>
  <si>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</si>
  <si>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</si>
  <si>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</si>
  <si>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</si>
  <si>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</si>
  <si>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</si>
  <si>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</si>
  <si>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</si>
  <si>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</si>
  <si>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</si>
  <si>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</si>
  <si>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</si>
  <si>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</si>
  <si>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</si>
  <si>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</si>
  <si>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</si>
  <si>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</si>
  <si>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</si>
  <si>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</si>
  <si>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</si>
  <si>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</si>
  <si>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</si>
  <si>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</si>
  <si>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</si>
  <si>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</si>
  <si>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</si>
  <si>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</si>
  <si>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</si>
  <si>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</si>
  <si>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</si>
  <si>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</si>
  <si>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</si>
  <si>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</si>
  <si>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</si>
  <si>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</si>
  <si>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</si>
  <si>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</si>
  <si>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</si>
  <si>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</si>
  <si>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</si>
  <si>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</si>
  <si>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</si>
  <si>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</si>
  <si>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</si>
  <si>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</si>
  <si>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</si>
  <si>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</si>
  <si>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</si>
  <si>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</si>
  <si>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</si>
  <si>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</si>
  <si>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</si>
  <si>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</si>
  <si>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</si>
  <si>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</si>
  <si>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</si>
  <si>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</si>
  <si>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</si>
  <si>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</si>
  <si>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</si>
  <si>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</si>
  <si>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</si>
  <si>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</si>
  <si>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</si>
  <si>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</si>
  <si>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</si>
  <si>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</si>
  <si>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</si>
  <si>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</si>
  <si>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</si>
  <si>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</si>
  <si>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</si>
  <si>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</si>
  <si>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</si>
  <si>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</si>
  <si>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</si>
  <si>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</si>
  <si>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</si>
  <si>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</si>
  <si>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</si>
  <si>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</si>
  <si>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</si>
  <si>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</si>
  <si>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</si>
  <si>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</si>
  <si>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</si>
  <si>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</si>
  <si>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</si>
  <si>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</si>
  <si>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</si>
  <si>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</si>
  <si>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</si>
  <si>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</si>
  <si>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</si>
  <si>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</si>
  <si>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</si>
  <si>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</si>
  <si>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</si>
  <si>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</si>
  <si>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</si>
  <si>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</si>
  <si>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</si>
  <si>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</si>
  <si>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</si>
  <si>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</si>
  <si>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</si>
  <si>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</si>
  <si>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</si>
  <si>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</si>
  <si>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</si>
  <si>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</si>
  <si>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</si>
  <si>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</si>
  <si>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</si>
  <si>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</si>
  <si>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</si>
  <si>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</si>
  <si>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</si>
  <si>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</si>
  <si>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</si>
  <si>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</si>
  <si>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</si>
  <si>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</si>
  <si>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</si>
  <si>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</si>
  <si>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</si>
  <si>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</si>
  <si>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</si>
  <si>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</si>
  <si>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</si>
  <si>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</si>
  <si>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</si>
  <si>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</si>
  <si>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</si>
  <si>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</si>
  <si>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</si>
  <si>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</si>
  <si>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</si>
  <si>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</si>
  <si>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</si>
  <si>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</si>
  <si>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</si>
  <si>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</si>
  <si>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</si>
  <si>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</si>
  <si>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</si>
  <si>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</si>
  <si>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</si>
  <si>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</si>
  <si>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</si>
  <si>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</si>
  <si>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</si>
  <si>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</si>
  <si>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</si>
  <si>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</si>
  <si>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</si>
  <si>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</si>
  <si>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</si>
  <si>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</si>
  <si>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</si>
  <si>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</si>
  <si>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</si>
  <si>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</si>
  <si>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</si>
  <si>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</si>
  <si>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</si>
  <si>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</si>
  <si>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</si>
  <si>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</si>
  <si>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</si>
  <si>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</si>
  <si>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</si>
  <si>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</si>
  <si>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</si>
  <si>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</si>
  <si>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</si>
  <si>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</si>
  <si>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</si>
  <si>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</si>
  <si>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</si>
  <si>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</si>
  <si>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</si>
  <si>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</si>
  <si>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</si>
  <si>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</si>
  <si>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</si>
  <si>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</si>
  <si>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</si>
  <si>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</si>
  <si>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</si>
  <si>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</si>
  <si>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</si>
  <si>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</si>
  <si>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</si>
  <si>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</si>
  <si>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</si>
  <si>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</si>
  <si>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</si>
  <si>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</si>
  <si>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</si>
  <si>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</si>
  <si>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</si>
  <si>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</si>
  <si>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</si>
  <si>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</si>
  <si>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</si>
  <si>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</si>
  <si>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</si>
  <si>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</si>
  <si>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</si>
  <si>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</si>
  <si>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</si>
  <si>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</si>
  <si>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</si>
  <si>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</si>
  <si>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</si>
  <si>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</si>
  <si>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</si>
  <si>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</si>
  <si>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</si>
  <si>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</si>
  <si>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</si>
  <si>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</si>
  <si>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</si>
  <si>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</si>
  <si>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</si>
  <si>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</si>
  <si>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</si>
  <si>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</si>
  <si>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</si>
  <si>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</si>
  <si>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</si>
  <si>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</si>
  <si>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</si>
  <si>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</si>
  <si>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</si>
  <si>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</si>
  <si>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</si>
  <si>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</si>
  <si>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</si>
  <si>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</si>
  <si>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</si>
  <si>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</si>
  <si>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</si>
  <si>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</si>
  <si>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</si>
  <si>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</si>
  <si>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</si>
  <si>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</si>
  <si>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</si>
  <si>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</si>
  <si>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</si>
  <si>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</si>
  <si>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</si>
  <si>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</si>
  <si>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</si>
  <si>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</si>
  <si>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</si>
  <si>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</si>
  <si>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</si>
  <si>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</si>
  <si>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</si>
  <si>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</si>
  <si>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</si>
  <si>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</si>
  <si>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</si>
  <si>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</si>
  <si>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</si>
  <si>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</si>
  <si>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</si>
  <si>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</si>
  <si>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</si>
  <si>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</si>
  <si>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</si>
  <si>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</si>
  <si>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</si>
  <si>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</si>
  <si>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</si>
  <si>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</si>
  <si>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</si>
  <si>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</si>
  <si>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</si>
  <si>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</si>
  <si>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</si>
  <si>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</si>
  <si>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</si>
  <si>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</si>
  <si>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</si>
  <si>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</si>
  <si>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</si>
  <si>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</si>
  <si>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</si>
  <si>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</si>
  <si>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</si>
  <si>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</si>
  <si>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</si>
  <si>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</si>
  <si>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</si>
  <si>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</si>
  <si>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</si>
  <si>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</si>
  <si>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</si>
  <si>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</si>
  <si>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</si>
  <si>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</si>
  <si>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</si>
  <si>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</si>
  <si>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</si>
  <si>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</si>
  <si>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</si>
  <si>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</si>
  <si>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</si>
  <si>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</si>
  <si>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</si>
  <si>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</si>
  <si>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</si>
  <si>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</si>
  <si>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</si>
  <si>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</si>
  <si>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</si>
  <si>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</si>
  <si>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</si>
  <si>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</si>
  <si>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</si>
  <si>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</si>
  <si>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</si>
  <si>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</si>
  <si>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</si>
  <si>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</si>
  <si>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</si>
  <si>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</si>
  <si>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</si>
  <si>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</si>
  <si>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</si>
  <si>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</si>
  <si>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</si>
  <si>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</si>
  <si>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</si>
  <si>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</si>
  <si>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</si>
  <si>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</si>
  <si>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</si>
  <si>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</si>
  <si>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</si>
  <si>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</si>
  <si>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</si>
  <si>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</si>
  <si>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</si>
  <si>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</si>
  <si>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</si>
  <si>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</si>
  <si>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</si>
  <si>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</si>
  <si>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</si>
  <si>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</si>
  <si>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</si>
  <si>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</si>
  <si>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</si>
  <si>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</si>
  <si>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</si>
  <si>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</si>
  <si>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</si>
  <si>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</si>
  <si>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</si>
  <si>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</si>
  <si>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</si>
  <si>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</si>
  <si>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</si>
  <si>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</si>
  <si>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</si>
  <si>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</si>
  <si>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</si>
  <si>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</si>
  <si>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</si>
  <si>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</si>
  <si>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</si>
  <si>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</si>
  <si>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</si>
  <si>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</si>
  <si>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</si>
  <si>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</si>
  <si>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</si>
  <si>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</si>
  <si>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</si>
  <si>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</si>
  <si>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</si>
  <si>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</si>
  <si>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</si>
  <si>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</si>
  <si>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</si>
  <si>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</si>
  <si>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</si>
  <si>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</si>
  <si>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</si>
  <si>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</si>
  <si>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</si>
  <si>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</si>
  <si>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</si>
  <si>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</si>
  <si>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</si>
  <si>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</si>
  <si>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</si>
  <si>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</si>
  <si>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</si>
  <si>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</si>
  <si>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</si>
  <si>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</si>
  <si>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</si>
  <si>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</si>
  <si>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</si>
  <si>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</si>
  <si>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</si>
  <si>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</si>
  <si>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</si>
  <si>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</si>
  <si>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</si>
  <si>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</si>
  <si>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</si>
  <si>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</si>
  <si>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</si>
  <si>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</si>
  <si>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</si>
  <si>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</si>
  <si>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</si>
  <si>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</si>
  <si>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</si>
  <si>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</si>
  <si>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</si>
  <si>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</si>
  <si>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</si>
  <si>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</si>
  <si>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</si>
  <si>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</si>
  <si>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</si>
  <si>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</si>
  <si>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</si>
  <si>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</si>
  <si>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</si>
  <si>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</si>
  <si>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</si>
  <si>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</si>
  <si>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</si>
  <si>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</si>
  <si>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</si>
  <si>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</si>
  <si>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</si>
  <si>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</si>
  <si>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</si>
  <si>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</si>
  <si>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</si>
  <si>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</si>
  <si>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</si>
  <si>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</si>
  <si>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</si>
  <si>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</si>
  <si>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</si>
  <si>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</si>
  <si>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</si>
  <si>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</si>
  <si>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</si>
  <si>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</si>
  <si>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</si>
  <si>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</si>
  <si>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</si>
  <si>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</si>
  <si>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</si>
  <si>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</si>
  <si>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</si>
  <si>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</si>
  <si>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</si>
  <si>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</si>
  <si>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</si>
  <si>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</si>
  <si>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</si>
  <si>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</si>
  <si>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</si>
  <si>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</si>
  <si>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</si>
  <si>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</si>
  <si>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</si>
  <si>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</si>
  <si>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</si>
  <si>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</si>
  <si>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</si>
  <si>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</si>
  <si>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</si>
  <si>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</si>
  <si>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</si>
  <si>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</si>
  <si>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</si>
  <si>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</si>
  <si>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</si>
  <si>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</si>
  <si>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</si>
  <si>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</si>
  <si>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</si>
  <si>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</si>
  <si>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</si>
  <si>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</si>
  <si>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</si>
  <si>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</si>
  <si>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</si>
  <si>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</si>
  <si>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</si>
  <si>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</si>
  <si>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</si>
  <si>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</si>
  <si>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</si>
  <si>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</si>
  <si>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</si>
  <si>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</si>
  <si>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</si>
  <si>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</si>
  <si>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</si>
  <si>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</si>
  <si>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</si>
  <si>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</si>
  <si>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</si>
  <si>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</si>
  <si>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</si>
  <si>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</si>
  <si>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</si>
  <si>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</si>
  <si>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</si>
  <si>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</si>
  <si>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</si>
  <si>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</si>
  <si>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</si>
  <si>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</si>
  <si>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</si>
  <si>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</si>
  <si>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</si>
  <si>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</si>
  <si>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</si>
  <si>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</si>
  <si>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</si>
  <si>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</si>
  <si>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</si>
  <si>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</si>
  <si>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</si>
  <si>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</si>
  <si>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</si>
  <si>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</si>
  <si>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</si>
  <si>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</si>
  <si>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</si>
  <si>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</si>
  <si>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</si>
  <si>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</si>
  <si>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</si>
  <si>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</si>
  <si>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</si>
  <si>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</si>
  <si>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</si>
  <si>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</si>
  <si>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</si>
  <si>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</si>
  <si>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</si>
  <si>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</si>
  <si>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</si>
  <si>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</si>
  <si>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</si>
  <si>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</si>
  <si>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</si>
  <si>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</si>
  <si>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</si>
  <si>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</si>
  <si>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</si>
  <si>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</si>
  <si>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</si>
  <si>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</si>
  <si>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</si>
  <si>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</si>
  <si>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</si>
  <si>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</si>
  <si>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</si>
  <si>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</si>
  <si>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</si>
  <si>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</si>
  <si>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</si>
  <si>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</si>
  <si>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</si>
  <si>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</si>
  <si>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</si>
  <si>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</si>
  <si>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</si>
  <si>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</si>
  <si>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</si>
  <si>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</si>
  <si>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</si>
  <si>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</si>
  <si>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</si>
  <si>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</si>
  <si>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</si>
  <si>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</si>
  <si>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</si>
  <si>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</si>
  <si>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</si>
  <si>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</si>
  <si>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</si>
  <si>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</si>
  <si>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</si>
  <si>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</si>
  <si>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</si>
  <si>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</si>
  <si>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</si>
  <si>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</si>
  <si>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</si>
  <si>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</si>
  <si>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</si>
  <si>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</si>
  <si>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</si>
  <si>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</si>
  <si>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</si>
  <si>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</si>
  <si>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</si>
  <si>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</si>
  <si>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</si>
  <si>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</si>
  <si>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</si>
  <si>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</si>
  <si>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</si>
  <si>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</si>
  <si>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</si>
  <si>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</si>
  <si>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</si>
  <si>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</si>
  <si>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</si>
  <si>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</si>
  <si>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</si>
  <si>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</si>
  <si>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</si>
  <si>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</si>
  <si>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</si>
  <si>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</si>
  <si>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</si>
  <si>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</si>
  <si>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</si>
  <si>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</si>
  <si>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</si>
  <si>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</si>
  <si>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</si>
  <si>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</si>
  <si>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</si>
  <si>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</si>
  <si>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</si>
  <si>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</si>
  <si>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</si>
  <si>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</si>
  <si>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</si>
  <si>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</si>
  <si>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</si>
  <si>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</si>
  <si>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</si>
  <si>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</si>
  <si>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</si>
  <si>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</si>
  <si>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</si>
  <si>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</si>
  <si>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</si>
  <si>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</si>
  <si>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</si>
  <si>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</si>
  <si>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</si>
  <si>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</si>
  <si>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</si>
  <si>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</si>
  <si>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</si>
  <si>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</si>
  <si>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</si>
  <si>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</si>
  <si>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</si>
  <si>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</si>
  <si>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</si>
  <si>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</si>
  <si>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</si>
  <si>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</si>
  <si>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</si>
  <si>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</si>
  <si>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</si>
  <si>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</si>
  <si>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</si>
  <si>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</si>
  <si>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</si>
  <si>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</si>
  <si>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</si>
  <si>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</si>
  <si>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</si>
  <si>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</si>
  <si>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</si>
  <si>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</si>
  <si>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</si>
  <si>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</si>
  <si>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</si>
  <si>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</si>
  <si>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</si>
  <si>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</si>
  <si>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</si>
  <si>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</si>
  <si>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</si>
  <si>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</si>
  <si>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</si>
  <si>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</si>
  <si>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</si>
  <si>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</si>
  <si>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</si>
  <si>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</si>
  <si>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</si>
  <si>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</si>
  <si>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</si>
  <si>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</si>
  <si>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</si>
  <si>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</si>
  <si>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</si>
  <si>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</si>
  <si>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</si>
  <si>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</si>
  <si>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</si>
  <si>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</si>
  <si>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</si>
  <si>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</si>
  <si>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</si>
  <si>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</si>
  <si>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</si>
  <si>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</si>
  <si>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</si>
  <si>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</si>
  <si>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</si>
  <si>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</si>
  <si>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</si>
  <si>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</si>
  <si>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</si>
  <si>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</si>
  <si>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</si>
  <si>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</si>
  <si>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</si>
  <si>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</si>
  <si>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</si>
  <si>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</si>
  <si>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</si>
  <si>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</si>
  <si>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</si>
  <si>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</si>
  <si>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</si>
  <si>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</si>
  <si>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</si>
  <si>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</si>
  <si>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</si>
  <si>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</si>
  <si>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</si>
  <si>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</si>
  <si>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</si>
  <si>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</si>
  <si>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</si>
  <si>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</si>
  <si>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</si>
  <si>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</si>
  <si>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</si>
  <si>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</si>
  <si>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</si>
  <si>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</si>
  <si>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</si>
  <si>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</si>
  <si>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</si>
  <si>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</si>
  <si>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</si>
  <si>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</si>
  <si>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</si>
  <si>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</si>
  <si>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</si>
  <si>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</si>
  <si>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</si>
  <si>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</si>
  <si>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</si>
  <si>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</si>
  <si>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</si>
  <si>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</si>
  <si>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</si>
  <si>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</si>
  <si>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</si>
  <si>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</si>
  <si>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</si>
  <si>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</si>
  <si>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</si>
  <si>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</si>
  <si>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</si>
  <si>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</si>
  <si>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</si>
  <si>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</si>
  <si>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</si>
  <si>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</si>
  <si>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</si>
  <si>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</si>
  <si>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</si>
  <si>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</si>
  <si>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</si>
  <si>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</si>
  <si>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</si>
  <si>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</si>
  <si>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</si>
  <si>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</si>
  <si>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</si>
  <si>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</si>
  <si>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</si>
  <si>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</si>
  <si>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</si>
  <si>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</si>
  <si>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</si>
  <si>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</si>
  <si>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</si>
  <si>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</si>
  <si>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</si>
  <si>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</si>
  <si>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</si>
  <si>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</si>
  <si>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</si>
  <si>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</si>
  <si>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</si>
  <si>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</si>
  <si>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</si>
  <si>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</si>
  <si>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</si>
  <si>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</si>
  <si>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</si>
  <si>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</si>
  <si>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</si>
  <si>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</si>
  <si>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</si>
  <si>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</si>
  <si>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</si>
  <si>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</si>
  <si>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</si>
  <si>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</si>
  <si>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</si>
  <si>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</si>
  <si>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</si>
  <si>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</si>
  <si>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</si>
  <si>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</si>
  <si>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</si>
  <si>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</si>
  <si>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</si>
  <si>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</si>
  <si>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</si>
  <si>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</si>
  <si>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</si>
  <si>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</si>
  <si>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</si>
  <si>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</si>
  <si>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</si>
  <si>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</si>
  <si>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</si>
  <si>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</si>
  <si>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</si>
  <si>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</si>
  <si>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</si>
  <si>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</si>
  <si>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</si>
  <si>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</si>
  <si>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</si>
  <si>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</si>
  <si>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</si>
  <si>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</si>
  <si>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</si>
  <si>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</si>
  <si>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</si>
  <si>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</si>
  <si>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</si>
  <si>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</si>
  <si>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</si>
  <si>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</si>
  <si>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</si>
  <si>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</si>
  <si>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</si>
  <si>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</si>
  <si>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</si>
  <si>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</si>
  <si>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</si>
  <si>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</si>
  <si>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</si>
  <si>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</si>
  <si>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</si>
  <si>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</si>
  <si>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</si>
  <si>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</si>
  <si>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</si>
  <si>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</si>
  <si>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</si>
  <si>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</si>
  <si>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</si>
  <si>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</si>
  <si>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</si>
  <si>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</si>
  <si>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</si>
  <si>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</si>
  <si>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</si>
  <si>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</si>
  <si>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</si>
  <si>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</si>
  <si>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</si>
  <si>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</si>
  <si>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</si>
  <si>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</si>
  <si>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</si>
  <si>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</si>
  <si>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</si>
  <si>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</si>
  <si>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</si>
  <si>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</si>
  <si>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</si>
  <si>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</si>
  <si>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</si>
  <si>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</si>
  <si>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</si>
  <si>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</si>
  <si>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</si>
  <si>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</si>
  <si>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</si>
  <si>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</si>
  <si>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</si>
  <si>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</si>
  <si>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</si>
  <si>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</si>
  <si>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</si>
  <si>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</si>
  <si>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</si>
  <si>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</si>
  <si>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</si>
  <si>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</si>
  <si>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</si>
  <si>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</si>
  <si>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</si>
  <si>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</si>
  <si>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</si>
  <si>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</si>
  <si>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</si>
  <si>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</si>
  <si>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</si>
  <si>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</si>
  <si>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</si>
  <si>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</si>
  <si>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</si>
  <si>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</si>
  <si>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</si>
  <si>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</si>
  <si>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</si>
  <si>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</si>
  <si>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</si>
  <si>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</si>
  <si>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</si>
  <si>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</si>
  <si>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</si>
  <si>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</si>
  <si>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</si>
  <si>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</si>
  <si>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</si>
  <si>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</si>
  <si>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</si>
  <si>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</si>
  <si>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</si>
  <si>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</si>
  <si>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</si>
  <si>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</si>
  <si>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</si>
  <si>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</si>
  <si>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</si>
  <si>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</si>
  <si>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</si>
  <si>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</si>
  <si>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</si>
  <si>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</si>
  <si>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</si>
  <si>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</si>
  <si>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</si>
  <si>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</si>
  <si>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</si>
  <si>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</si>
  <si>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</si>
  <si>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</si>
  <si>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</si>
  <si>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</si>
  <si>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</si>
  <si>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</si>
  <si>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</si>
  <si>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</si>
  <si>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</si>
  <si>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</si>
  <si>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</si>
  <si>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</si>
  <si>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</si>
  <si>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</si>
  <si>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</si>
  <si>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</si>
  <si>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</si>
  <si>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</si>
  <si>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</si>
  <si>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</si>
  <si>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</si>
  <si>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</si>
  <si>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</si>
  <si>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</si>
  <si>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</si>
  <si>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</si>
  <si>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</si>
  <si>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</si>
  <si>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</si>
  <si>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</si>
  <si>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</si>
  <si>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</si>
  <si>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</si>
  <si>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</si>
  <si>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</si>
  <si>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</si>
  <si>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</si>
  <si>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</si>
  <si>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</si>
  <si>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</si>
  <si>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</si>
  <si>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</si>
  <si>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</si>
  <si>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</si>
  <si>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</si>
  <si>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</si>
  <si>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</si>
  <si>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</si>
  <si>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</si>
  <si>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</si>
  <si>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</si>
  <si>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</si>
  <si>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</si>
  <si>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</si>
  <si>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</si>
  <si>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</si>
  <si>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</si>
  <si>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</si>
  <si>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</si>
  <si>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</si>
  <si>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</si>
  <si>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</si>
  <si>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</si>
  <si>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</si>
  <si>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</si>
  <si>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</si>
  <si>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</si>
  <si>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</si>
  <si>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</si>
  <si>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</si>
  <si>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</si>
  <si>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</si>
  <si>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</si>
  <si>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</si>
  <si>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</si>
  <si>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</si>
  <si>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</si>
  <si>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</si>
  <si>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</si>
  <si>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</si>
  <si>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</si>
  <si>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</si>
  <si>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</si>
  <si>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</si>
  <si>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</si>
  <si>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</si>
  <si>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</si>
  <si>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</si>
  <si>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</si>
  <si>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</si>
  <si>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</si>
  <si>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</si>
  <si>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</si>
  <si>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</si>
  <si>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</si>
  <si>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</si>
  <si>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</si>
  <si>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</si>
  <si>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</si>
  <si>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</si>
  <si>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</si>
  <si>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</si>
  <si>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</si>
  <si>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</si>
  <si>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</si>
  <si>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</si>
  <si>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</si>
  <si>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</si>
  <si>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</si>
  <si>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</si>
  <si>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</si>
  <si>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</si>
  <si>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</si>
  <si>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</si>
  <si>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</si>
  <si>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</si>
  <si>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</si>
  <si>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</si>
  <si>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</si>
  <si>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</si>
  <si>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</si>
  <si>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</si>
  <si>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</si>
  <si>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</si>
  <si>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</si>
  <si>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</si>
  <si>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</si>
  <si>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</si>
  <si>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</si>
  <si>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</si>
  <si>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</si>
  <si>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</si>
  <si>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</si>
  <si>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</si>
  <si>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</si>
  <si>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</si>
  <si>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</si>
  <si>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</si>
  <si>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</si>
  <si>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</si>
  <si>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</si>
  <si>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</si>
  <si>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</si>
  <si>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</si>
  <si>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</si>
  <si>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</si>
  <si>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</si>
  <si>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</si>
  <si>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</si>
  <si>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</si>
  <si>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</si>
  <si>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</si>
  <si>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</si>
  <si>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</si>
  <si>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</si>
  <si>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</si>
  <si>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</si>
  <si>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</si>
  <si>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</si>
  <si>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</si>
  <si>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</si>
  <si>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</si>
  <si>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</si>
  <si>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</si>
  <si>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</si>
  <si>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</si>
  <si>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</si>
  <si>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</si>
  <si>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</si>
  <si>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</si>
  <si>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</si>
  <si>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</si>
  <si>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</si>
  <si>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</si>
  <si>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</si>
  <si>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</si>
  <si>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</si>
  <si>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</si>
  <si>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</si>
  <si>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</si>
  <si>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</si>
  <si>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</si>
  <si>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</si>
  <si>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</si>
  <si>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</si>
  <si>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</si>
  <si>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</si>
  <si>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</si>
  <si>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</si>
  <si>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</si>
  <si>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</si>
  <si>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</si>
  <si>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</si>
  <si>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</si>
  <si>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</si>
  <si>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</si>
  <si>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</si>
  <si>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</si>
  <si>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</si>
  <si>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</si>
  <si>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</si>
  <si>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</si>
  <si>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</si>
  <si>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</si>
  <si>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</si>
  <si>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</si>
  <si>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</si>
  <si>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</si>
  <si>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</si>
  <si>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</si>
  <si>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</si>
  <si>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</si>
  <si>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</si>
  <si>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</si>
  <si>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</si>
  <si>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</si>
  <si>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</si>
  <si>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</si>
  <si>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</si>
  <si>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</si>
  <si>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</si>
  <si>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</si>
  <si>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</si>
  <si>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</si>
  <si>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</si>
  <si>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</si>
  <si>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</si>
  <si>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</si>
  <si>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</si>
  <si>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</si>
  <si>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</si>
  <si>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</si>
  <si>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</si>
  <si>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</si>
  <si>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</si>
  <si>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</si>
  <si>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</si>
  <si>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</si>
  <si>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</si>
  <si>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</si>
  <si>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</si>
  <si>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</si>
  <si>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</si>
  <si>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</si>
  <si>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</si>
  <si>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</si>
  <si>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</si>
  <si>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</si>
  <si>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</si>
  <si>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</si>
  <si>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</si>
  <si>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</si>
  <si>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</si>
  <si>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</si>
  <si>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</si>
  <si>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</si>
  <si>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</si>
  <si>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</si>
  <si>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</si>
  <si>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</si>
  <si>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</si>
  <si>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</si>
  <si>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</si>
  <si>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</si>
  <si>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</si>
  <si>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</si>
  <si>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</si>
  <si>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</si>
  <si>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</si>
  <si>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</si>
  <si>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</si>
  <si>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</si>
  <si>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</si>
  <si>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</si>
  <si>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</si>
  <si>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</si>
  <si>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</si>
  <si>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</si>
  <si>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</si>
  <si>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</si>
  <si>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</si>
  <si>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</si>
  <si>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</si>
  <si>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</si>
  <si>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</si>
  <si>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</si>
  <si>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</si>
  <si>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</si>
  <si>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</si>
  <si>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</si>
  <si>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</si>
  <si>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</si>
  <si>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</si>
  <si>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</si>
  <si>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</si>
  <si>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</si>
  <si>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</si>
  <si>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</si>
  <si>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</si>
  <si>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</si>
  <si>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</si>
  <si>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</si>
  <si>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</si>
  <si>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</si>
  <si>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</si>
  <si>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</si>
  <si>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</si>
  <si>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</si>
  <si>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</si>
  <si>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</si>
  <si>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</si>
  <si>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</si>
  <si>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</si>
  <si>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</si>
  <si>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</si>
  <si>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</si>
  <si>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</si>
  <si>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</si>
  <si>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</si>
  <si>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</si>
  <si>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</si>
  <si>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</si>
  <si>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</si>
  <si>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</si>
  <si>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</si>
  <si>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</si>
  <si>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</si>
  <si>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</si>
  <si>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</si>
  <si>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</si>
  <si>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</si>
  <si>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</si>
  <si>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</si>
  <si>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</si>
  <si>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</si>
  <si>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</si>
  <si>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</si>
  <si>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</si>
  <si>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</si>
  <si>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</si>
  <si>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</si>
  <si>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</si>
  <si>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</si>
  <si>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</si>
  <si>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</si>
  <si>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</si>
  <si>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</si>
  <si>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</si>
  <si>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</si>
  <si>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</si>
  <si>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</si>
  <si>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</si>
  <si>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</si>
  <si>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</si>
  <si>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</si>
  <si>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</si>
  <si>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</si>
  <si>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</si>
  <si>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</si>
  <si>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</si>
  <si>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</si>
  <si>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</si>
  <si>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</si>
  <si>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</si>
  <si>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</si>
  <si>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</si>
  <si>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</si>
  <si>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</si>
  <si>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</si>
  <si>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</si>
  <si>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</si>
  <si>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</si>
  <si>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</si>
  <si>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</si>
  <si>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</si>
  <si>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</si>
  <si>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</si>
  <si>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</si>
  <si>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</si>
  <si>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</si>
  <si>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</si>
  <si>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</si>
  <si>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</si>
  <si>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</si>
  <si>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</si>
  <si>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</si>
  <si>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</si>
  <si>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</si>
  <si>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</si>
  <si>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</si>
  <si>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</si>
  <si>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</si>
  <si>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</si>
  <si>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</si>
  <si>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</si>
  <si>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</si>
  <si>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</si>
  <si>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</si>
  <si>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</si>
  <si>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</si>
  <si>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</si>
  <si>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</si>
  <si>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</si>
  <si>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</si>
  <si>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</si>
  <si>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</si>
  <si>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</si>
  <si>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</si>
  <si>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</si>
  <si>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</si>
  <si>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</si>
  <si>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</si>
  <si>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</si>
  <si>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</si>
  <si>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</si>
  <si>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</si>
  <si>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</si>
  <si>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</si>
  <si>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</si>
  <si>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</si>
  <si>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</si>
  <si>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</si>
  <si>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</si>
  <si>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</si>
  <si>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</si>
  <si>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</si>
  <si>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</si>
  <si>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</si>
  <si>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</si>
  <si>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</si>
  <si>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</si>
  <si>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</si>
  <si>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</si>
  <si>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</si>
  <si>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</si>
  <si>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</si>
  <si>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</si>
  <si>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</si>
  <si>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</si>
  <si>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</si>
  <si>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</si>
  <si>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</si>
  <si>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</si>
  <si>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</si>
  <si>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</si>
  <si>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</si>
  <si>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</si>
  <si>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</si>
  <si>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</si>
  <si>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</si>
  <si>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</si>
  <si>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</si>
  <si>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</si>
  <si>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</si>
  <si>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</si>
  <si>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</si>
  <si>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</si>
  <si>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</si>
  <si>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</si>
  <si>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</si>
  <si>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</si>
  <si>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</si>
  <si>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</si>
  <si>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</si>
  <si>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</si>
  <si>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</si>
  <si>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</si>
  <si>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</si>
  <si>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</si>
  <si>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</si>
  <si>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</si>
  <si>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</si>
  <si>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</si>
  <si>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</si>
  <si>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</si>
  <si>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</si>
  <si>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</si>
  <si>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</si>
  <si>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</si>
  <si>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</si>
  <si>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</si>
  <si>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</si>
  <si>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</si>
  <si>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</si>
  <si>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</si>
  <si>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</si>
  <si>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</si>
  <si>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</si>
  <si>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</si>
  <si>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</si>
  <si>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</si>
  <si>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</si>
  <si>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</si>
  <si>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</si>
  <si>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</si>
  <si>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</si>
  <si>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</si>
  <si>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</si>
  <si>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</si>
  <si>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</si>
  <si>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</si>
  <si>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</si>
  <si>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</si>
  <si>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</si>
  <si>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</si>
  <si>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</si>
  <si>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</si>
  <si>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</si>
  <si>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</si>
  <si>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</si>
  <si>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</si>
  <si>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</si>
  <si>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</si>
  <si>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</si>
  <si>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</si>
  <si>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</si>
  <si>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</si>
  <si>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</si>
  <si>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</si>
  <si>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</si>
  <si>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</si>
  <si>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</si>
  <si>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</si>
  <si>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</si>
  <si>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</si>
  <si>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</si>
  <si>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</si>
  <si>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</si>
  <si>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</si>
  <si>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</si>
  <si>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X_s_Within is the fit-time design matrix for the Regression sheet — the predictor-side counterpart to y_s. With no declared Fixed Effects row it is X_s() unchanged; with one declared, BYCOL demeans every constructed column of X_s() by the Fixed Effects group via Demean_By, reproducing the LSDV fit's coefficients on the non-FE predictors without ever materializing the G−1 group dummy columns an explicit one-hot encoding would require.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</si>
  <si>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</si>
  <si>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</si>
  <si>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</si>
  <si>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</si>
  <si>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</si>
  <si>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</si>
  <si>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</si>
  <si>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</si>
  <si>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</si>
  <si>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PI Upper</t>
  </si>
  <si>
    <t>FE Group</t>
  </si>
  <si>
    <t>Group Mean (y)</t>
  </si>
  <si>
    <t>Group Count</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</si>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</sst>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5">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1" fillId="2" borderId="6" xfId="0" applyFont="1" applyFill="1" applyBorder="1"/>
    <xf numFmtId="0" fontId="0" fillId="0" borderId="7" xfId="0" applyBorder="1"/>
    <xf numFmtId="0" fontId="0" fillId="4" borderId="4" xfId="0" applyFill="1" applyBorder="1"/>
    <xf numFmtId="0" fontId="0" fillId="0" borderId="0" xfId="0" applyBorder="1"/>
    <xf numFmtId="1" fontId="0" fillId="0" borderId="0" xfId="0" applyNumberFormat="1" applyBorder="1"/>
    <xf numFmtId="0" fontId="1" fillId="0" borderId="0" xfId="0" applyFont="1" applyBorder="1"/>
    <xf numFmtId="165" fontId="0" fillId="0" borderId="0" xfId="0" applyNumberFormat="1" applyBorder="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81">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FFFF"/>
      </font>
    </dxf>
    <dxf>
      <font>
        <color rgb="FFFBE2D5"/>
      </font>
    </dxf>
    <dxf>
      <font>
        <color rgb="FFFFFFFF"/>
      </font>
    </dxf>
    <dxf>
      <font>
        <color rgb="FFFBE2D5"/>
      </font>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Regression!RegChartResid</c:f>
              <c:numCache>
                <c:formatCode>0.0000</c:formatCode>
                <c:ptCount val="392"/>
                <c:pt idx="0">
                  <c:v>1.1614263735683394</c:v>
                </c:pt>
                <c:pt idx="1">
                  <c:v>-0.3133329908006548</c:v>
                </c:pt>
                <c:pt idx="2">
                  <c:v>1.1418499588112212</c:v>
                </c:pt>
                <c:pt idx="3">
                  <c:v>-0.87333997003413089</c:v>
                </c:pt>
                <c:pt idx="4">
                  <c:v>4.5308664272333488E-2</c:v>
                </c:pt>
                <c:pt idx="5">
                  <c:v>3.5034938942618599</c:v>
                </c:pt>
                <c:pt idx="6">
                  <c:v>2.9265184222362794</c:v>
                </c:pt>
                <c:pt idx="7">
                  <c:v>2.6326772586336684</c:v>
                </c:pt>
                <c:pt idx="8">
                  <c:v>3.3671955646772762</c:v>
                </c:pt>
                <c:pt idx="9">
                  <c:v>0.88751741761120861</c:v>
                </c:pt>
                <c:pt idx="10">
                  <c:v>-0.89038108099812341</c:v>
                </c:pt>
                <c:pt idx="11">
                  <c:v>-1.8198331582381666</c:v>
                </c:pt>
                <c:pt idx="12">
                  <c:v>-0.21257441627583695</c:v>
                </c:pt>
                <c:pt idx="13">
                  <c:v>-3.4125760099640452</c:v>
                </c:pt>
                <c:pt idx="14">
                  <c:v>-1.1984568402167461</c:v>
                </c:pt>
                <c:pt idx="15">
                  <c:v>1.1956705034510584</c:v>
                </c:pt>
                <c:pt idx="16">
                  <c:v>-3.070591899933742</c:v>
                </c:pt>
                <c:pt idx="17">
                  <c:v>-1.2122679814030661</c:v>
                </c:pt>
                <c:pt idx="18">
                  <c:v>0.46256720925021355</c:v>
                </c:pt>
                <c:pt idx="19">
                  <c:v>-2.5910624273080991</c:v>
                </c:pt>
                <c:pt idx="20">
                  <c:v>1.3126214306398083</c:v>
                </c:pt>
                <c:pt idx="21">
                  <c:v>-0.86399020035781859</c:v>
                </c:pt>
                <c:pt idx="22">
                  <c:v>-6.1290069421541915E-2</c:v>
                </c:pt>
                <c:pt idx="23">
                  <c:v>0.51703905001074446</c:v>
                </c:pt>
                <c:pt idx="24">
                  <c:v>-0.82222393511323943</c:v>
                </c:pt>
                <c:pt idx="25">
                  <c:v>0.16686007201404429</c:v>
                </c:pt>
                <c:pt idx="26">
                  <c:v>-1.2868174053019725</c:v>
                </c:pt>
                <c:pt idx="27">
                  <c:v>-9.4073228075858495E-2</c:v>
                </c:pt>
                <c:pt idx="28">
                  <c:v>-0.59793420599519997</c:v>
                </c:pt>
                <c:pt idx="29">
                  <c:v>-0.44784298533256006</c:v>
                </c:pt>
                <c:pt idx="30">
                  <c:v>3.3230549780991581</c:v>
                </c:pt>
                <c:pt idx="31">
                  <c:v>-1.837983619376331</c:v>
                </c:pt>
                <c:pt idx="32">
                  <c:v>-3.6411561447722391</c:v>
                </c:pt>
                <c:pt idx="33">
                  <c:v>-2.4840097448355571</c:v>
                </c:pt>
                <c:pt idx="34">
                  <c:v>-2.1221559622661026</c:v>
                </c:pt>
                <c:pt idx="35">
                  <c:v>-0.45370250531675183</c:v>
                </c:pt>
                <c:pt idx="36">
                  <c:v>-1.3297516564858896</c:v>
                </c:pt>
                <c:pt idx="37">
                  <c:v>0.38892457601681052</c:v>
                </c:pt>
                <c:pt idx="38">
                  <c:v>1.8424328474069949</c:v>
                </c:pt>
                <c:pt idx="39">
                  <c:v>-8.4394636257103528E-2</c:v>
                </c:pt>
                <c:pt idx="40">
                  <c:v>-0.42677588979450043</c:v>
                </c:pt>
                <c:pt idx="41">
                  <c:v>2.4097000281970207</c:v>
                </c:pt>
                <c:pt idx="42">
                  <c:v>2.1891039991022101</c:v>
                </c:pt>
                <c:pt idx="43">
                  <c:v>4.2652301472259122</c:v>
                </c:pt>
                <c:pt idx="44">
                  <c:v>-2.8180262714785371</c:v>
                </c:pt>
                <c:pt idx="45">
                  <c:v>-2.2400842124877762</c:v>
                </c:pt>
                <c:pt idx="46">
                  <c:v>-0.36013151417659017</c:v>
                </c:pt>
                <c:pt idx="47">
                  <c:v>-2.2790219725807788</c:v>
                </c:pt>
                <c:pt idx="48">
                  <c:v>-1.9646763727801471</c:v>
                </c:pt>
                <c:pt idx="49">
                  <c:v>0.67116355321856602</c:v>
                </c:pt>
                <c:pt idx="50">
                  <c:v>2.0983327430070204</c:v>
                </c:pt>
                <c:pt idx="51">
                  <c:v>2.1501815481922115</c:v>
                </c:pt>
                <c:pt idx="52">
                  <c:v>1.3711175471393204</c:v>
                </c:pt>
                <c:pt idx="53">
                  <c:v>4.625933736534801</c:v>
                </c:pt>
                <c:pt idx="54">
                  <c:v>-2.2792258841564106</c:v>
                </c:pt>
                <c:pt idx="55">
                  <c:v>-0.56623633204274171</c:v>
                </c:pt>
                <c:pt idx="56">
                  <c:v>-1.3284562040783854</c:v>
                </c:pt>
                <c:pt idx="57">
                  <c:v>0.71831586621973997</c:v>
                </c:pt>
                <c:pt idx="58">
                  <c:v>-2.9936925029865158</c:v>
                </c:pt>
                <c:pt idx="59">
                  <c:v>-2.6914665027819247</c:v>
                </c:pt>
                <c:pt idx="60">
                  <c:v>-2.677934580547344</c:v>
                </c:pt>
                <c:pt idx="61">
                  <c:v>0.97440163554150594</c:v>
                </c:pt>
                <c:pt idx="62">
                  <c:v>2.698793322354879</c:v>
                </c:pt>
                <c:pt idx="63">
                  <c:v>2.0270551197371578</c:v>
                </c:pt>
                <c:pt idx="64">
                  <c:v>1.0453845579070826</c:v>
                </c:pt>
                <c:pt idx="65">
                  <c:v>1.6827427679381071</c:v>
                </c:pt>
                <c:pt idx="66">
                  <c:v>1.4902963613706905</c:v>
                </c:pt>
                <c:pt idx="67">
                  <c:v>1.9664719082527089</c:v>
                </c:pt>
                <c:pt idx="68">
                  <c:v>0.81474182572504539</c:v>
                </c:pt>
                <c:pt idx="69">
                  <c:v>2.1296822574173166</c:v>
                </c:pt>
                <c:pt idx="70">
                  <c:v>-6.0326912401852297</c:v>
                </c:pt>
                <c:pt idx="71">
                  <c:v>0.79667088326379165</c:v>
                </c:pt>
                <c:pt idx="72">
                  <c:v>-0.48501597509297945</c:v>
                </c:pt>
                <c:pt idx="73">
                  <c:v>0.66975702900531608</c:v>
                </c:pt>
                <c:pt idx="74">
                  <c:v>0.73338316206038634</c:v>
                </c:pt>
                <c:pt idx="75">
                  <c:v>-3.6139922210168614</c:v>
                </c:pt>
                <c:pt idx="76">
                  <c:v>-2.3352204289236127</c:v>
                </c:pt>
                <c:pt idx="77">
                  <c:v>-0.78699077756001756</c:v>
                </c:pt>
                <c:pt idx="78">
                  <c:v>-7.9261148665992209E-2</c:v>
                </c:pt>
                <c:pt idx="79">
                  <c:v>-0.8222352555926129</c:v>
                </c:pt>
                <c:pt idx="80">
                  <c:v>2.6734675962121628</c:v>
                </c:pt>
                <c:pt idx="81">
                  <c:v>-1.1415487479246806</c:v>
                </c:pt>
                <c:pt idx="82">
                  <c:v>3.9107216315941784</c:v>
                </c:pt>
                <c:pt idx="83">
                  <c:v>0.65661966075604283</c:v>
                </c:pt>
                <c:pt idx="84">
                  <c:v>0.61605239359653829</c:v>
                </c:pt>
                <c:pt idx="85">
                  <c:v>-0.95695492051195963</c:v>
                </c:pt>
                <c:pt idx="86">
                  <c:v>-0.43813124190276831</c:v>
                </c:pt>
                <c:pt idx="87">
                  <c:v>0.70539602168520155</c:v>
                </c:pt>
                <c:pt idx="88">
                  <c:v>0.57469258907529941</c:v>
                </c:pt>
                <c:pt idx="89">
                  <c:v>4.303430120607457</c:v>
                </c:pt>
                <c:pt idx="90">
                  <c:v>2.0531862946605006</c:v>
                </c:pt>
                <c:pt idx="91">
                  <c:v>1.6716834791620432</c:v>
                </c:pt>
                <c:pt idx="92">
                  <c:v>1.9038150120289981</c:v>
                </c:pt>
                <c:pt idx="93">
                  <c:v>4.4807112773373188</c:v>
                </c:pt>
                <c:pt idx="94">
                  <c:v>4.7367504737379473</c:v>
                </c:pt>
                <c:pt idx="95">
                  <c:v>-0.79661098902103156</c:v>
                </c:pt>
                <c:pt idx="96">
                  <c:v>-0.4774779563506435</c:v>
                </c:pt>
                <c:pt idx="97">
                  <c:v>-1.7637205065450203</c:v>
                </c:pt>
                <c:pt idx="98">
                  <c:v>-1.4498026083788922</c:v>
                </c:pt>
                <c:pt idx="99">
                  <c:v>-1.2598282610725171</c:v>
                </c:pt>
                <c:pt idx="100">
                  <c:v>3.2614195376336106</c:v>
                </c:pt>
                <c:pt idx="101">
                  <c:v>-1.3025277700604079</c:v>
                </c:pt>
                <c:pt idx="102">
                  <c:v>2.751930319517724</c:v>
                </c:pt>
                <c:pt idx="103">
                  <c:v>3.5671884877523024</c:v>
                </c:pt>
                <c:pt idx="104">
                  <c:v>3.3399437606035089</c:v>
                </c:pt>
                <c:pt idx="105">
                  <c:v>1.7174950897958272</c:v>
                </c:pt>
                <c:pt idx="106">
                  <c:v>-2.2396789083371083</c:v>
                </c:pt>
                <c:pt idx="107">
                  <c:v>-5.0767456065881227</c:v>
                </c:pt>
                <c:pt idx="108">
                  <c:v>-1.6588631337015549</c:v>
                </c:pt>
                <c:pt idx="109">
                  <c:v>-2.4729960533551996</c:v>
                </c:pt>
                <c:pt idx="110">
                  <c:v>-7.829085733024133</c:v>
                </c:pt>
                <c:pt idx="111">
                  <c:v>-3.9085506932811391</c:v>
                </c:pt>
                <c:pt idx="112">
                  <c:v>-0.73109303265432501</c:v>
                </c:pt>
                <c:pt idx="113">
                  <c:v>1.0068177646571854</c:v>
                </c:pt>
                <c:pt idx="114">
                  <c:v>2.0378198619182033</c:v>
                </c:pt>
                <c:pt idx="115">
                  <c:v>5.4103252625320852</c:v>
                </c:pt>
                <c:pt idx="116">
                  <c:v>1.3259268277455298</c:v>
                </c:pt>
                <c:pt idx="117">
                  <c:v>-1.7785028434634285</c:v>
                </c:pt>
                <c:pt idx="118">
                  <c:v>-3.3718766553972728</c:v>
                </c:pt>
                <c:pt idx="119">
                  <c:v>-2.5828050344495175</c:v>
                </c:pt>
                <c:pt idx="120">
                  <c:v>-1.3392384454388342</c:v>
                </c:pt>
                <c:pt idx="121">
                  <c:v>1.3315537016991179</c:v>
                </c:pt>
                <c:pt idx="122">
                  <c:v>-1.8512794433860797</c:v>
                </c:pt>
                <c:pt idx="123">
                  <c:v>-3.5103684388266547</c:v>
                </c:pt>
                <c:pt idx="124">
                  <c:v>-0.70016081502367911</c:v>
                </c:pt>
                <c:pt idx="125">
                  <c:v>-2.6367038878944342</c:v>
                </c:pt>
                <c:pt idx="126">
                  <c:v>-4.4341642053186519</c:v>
                </c:pt>
                <c:pt idx="127">
                  <c:v>1.9523448025636938</c:v>
                </c:pt>
                <c:pt idx="128">
                  <c:v>1.7600781462322104</c:v>
                </c:pt>
                <c:pt idx="129">
                  <c:v>2.3426546425333044</c:v>
                </c:pt>
                <c:pt idx="130">
                  <c:v>1.1396571614401267</c:v>
                </c:pt>
                <c:pt idx="131">
                  <c:v>-1.180991426591703</c:v>
                </c:pt>
                <c:pt idx="132">
                  <c:v>-1.7730602397086841</c:v>
                </c:pt>
                <c:pt idx="133">
                  <c:v>4.9554717836393536E-2</c:v>
                </c:pt>
                <c:pt idx="134">
                  <c:v>1.2912573129919824</c:v>
                </c:pt>
                <c:pt idx="135">
                  <c:v>1.2789483977625302</c:v>
                </c:pt>
                <c:pt idx="136">
                  <c:v>1.0536274709042779</c:v>
                </c:pt>
                <c:pt idx="137">
                  <c:v>1.8077221917050039</c:v>
                </c:pt>
                <c:pt idx="138">
                  <c:v>4.0965547880931652E-2</c:v>
                </c:pt>
                <c:pt idx="139">
                  <c:v>1.6961348422366136</c:v>
                </c:pt>
                <c:pt idx="140">
                  <c:v>-2.8598553304899319</c:v>
                </c:pt>
                <c:pt idx="141">
                  <c:v>-0.97491923870663655</c:v>
                </c:pt>
                <c:pt idx="142">
                  <c:v>0.18474212911043963</c:v>
                </c:pt>
                <c:pt idx="143">
                  <c:v>3.1232816204436418</c:v>
                </c:pt>
                <c:pt idx="144">
                  <c:v>2.0282570519364427</c:v>
                </c:pt>
                <c:pt idx="145">
                  <c:v>-3.9957839806696676</c:v>
                </c:pt>
                <c:pt idx="146">
                  <c:v>-1.2970472537835569</c:v>
                </c:pt>
                <c:pt idx="147">
                  <c:v>-1.8314383562821419</c:v>
                </c:pt>
                <c:pt idx="148">
                  <c:v>-0.39258842637774904</c:v>
                </c:pt>
                <c:pt idx="149">
                  <c:v>2.3274871252693892</c:v>
                </c:pt>
                <c:pt idx="150">
                  <c:v>-0.26139525343694814</c:v>
                </c:pt>
                <c:pt idx="151">
                  <c:v>-0.11168555895376997</c:v>
                </c:pt>
                <c:pt idx="152">
                  <c:v>-3.7841971730287796</c:v>
                </c:pt>
                <c:pt idx="153">
                  <c:v>-5.1715440075707697</c:v>
                </c:pt>
                <c:pt idx="154">
                  <c:v>5.0652238427025509</c:v>
                </c:pt>
                <c:pt idx="155">
                  <c:v>2.5048784516174081</c:v>
                </c:pt>
                <c:pt idx="156">
                  <c:v>3.8797325690618791</c:v>
                </c:pt>
                <c:pt idx="157">
                  <c:v>2.6523259339583589</c:v>
                </c:pt>
                <c:pt idx="158">
                  <c:v>1.2378593083862395</c:v>
                </c:pt>
                <c:pt idx="159">
                  <c:v>0.10604405246736626</c:v>
                </c:pt>
                <c:pt idx="160">
                  <c:v>-1.6583464934894252</c:v>
                </c:pt>
                <c:pt idx="161">
                  <c:v>1.376589056038874</c:v>
                </c:pt>
                <c:pt idx="162">
                  <c:v>0.84290656246490414</c:v>
                </c:pt>
                <c:pt idx="163">
                  <c:v>0.7644289124161503</c:v>
                </c:pt>
                <c:pt idx="164">
                  <c:v>-6.1903709804526379</c:v>
                </c:pt>
                <c:pt idx="165">
                  <c:v>1.8197370870706457</c:v>
                </c:pt>
                <c:pt idx="166">
                  <c:v>0.37919905367258977</c:v>
                </c:pt>
                <c:pt idx="167">
                  <c:v>-0.95237145896010134</c:v>
                </c:pt>
                <c:pt idx="168">
                  <c:v>6.0041341994399033E-2</c:v>
                </c:pt>
                <c:pt idx="169">
                  <c:v>-0.1506804362779981</c:v>
                </c:pt>
                <c:pt idx="170">
                  <c:v>-1.8599396988075974</c:v>
                </c:pt>
                <c:pt idx="171">
                  <c:v>-0.92938361389778379</c:v>
                </c:pt>
                <c:pt idx="172">
                  <c:v>-2.6466490817625505</c:v>
                </c:pt>
                <c:pt idx="173">
                  <c:v>0.67571731931547774</c:v>
                </c:pt>
                <c:pt idx="174">
                  <c:v>-0.61093282280583594</c:v>
                </c:pt>
                <c:pt idx="175">
                  <c:v>-1.0854465032026219</c:v>
                </c:pt>
                <c:pt idx="176">
                  <c:v>0.13254890189829638</c:v>
                </c:pt>
                <c:pt idx="177">
                  <c:v>-0.76584649394769144</c:v>
                </c:pt>
                <c:pt idx="178">
                  <c:v>1.1228260147205198</c:v>
                </c:pt>
                <c:pt idx="179">
                  <c:v>3.5587311688088441</c:v>
                </c:pt>
                <c:pt idx="180">
                  <c:v>1.8287918281424496</c:v>
                </c:pt>
                <c:pt idx="181">
                  <c:v>-2.4878378777137407</c:v>
                </c:pt>
                <c:pt idx="182">
                  <c:v>1.4110126274454373</c:v>
                </c:pt>
                <c:pt idx="183">
                  <c:v>0.59486986405739373</c:v>
                </c:pt>
                <c:pt idx="184">
                  <c:v>-0.5465045868787648</c:v>
                </c:pt>
                <c:pt idx="185">
                  <c:v>3.0093790588522271</c:v>
                </c:pt>
                <c:pt idx="186">
                  <c:v>1.5451606380097171</c:v>
                </c:pt>
                <c:pt idx="187">
                  <c:v>-0.5963669128431377</c:v>
                </c:pt>
                <c:pt idx="188">
                  <c:v>0.20421624229472179</c:v>
                </c:pt>
                <c:pt idx="189">
                  <c:v>1.8877517386659299</c:v>
                </c:pt>
                <c:pt idx="190">
                  <c:v>2.5765310522476454</c:v>
                </c:pt>
                <c:pt idx="191">
                  <c:v>2.4602681066078489</c:v>
                </c:pt>
                <c:pt idx="192">
                  <c:v>1.4760175960932465</c:v>
                </c:pt>
                <c:pt idx="193">
                  <c:v>2.0425580859860943</c:v>
                </c:pt>
                <c:pt idx="194">
                  <c:v>-1.674383518035512</c:v>
                </c:pt>
                <c:pt idx="195">
                  <c:v>-9.9355250280730445E-2</c:v>
                </c:pt>
                <c:pt idx="196">
                  <c:v>2.7836585992126359</c:v>
                </c:pt>
                <c:pt idx="197">
                  <c:v>2.0042151577847278</c:v>
                </c:pt>
                <c:pt idx="198">
                  <c:v>-0.7428611855571674</c:v>
                </c:pt>
                <c:pt idx="199">
                  <c:v>0.63619961962944416</c:v>
                </c:pt>
                <c:pt idx="200">
                  <c:v>-2.8959628057064464</c:v>
                </c:pt>
                <c:pt idx="201">
                  <c:v>-0.15020949522027038</c:v>
                </c:pt>
                <c:pt idx="202">
                  <c:v>3.0470233173706021</c:v>
                </c:pt>
                <c:pt idx="203">
                  <c:v>-3.6348436367429571E-2</c:v>
                </c:pt>
                <c:pt idx="204">
                  <c:v>2.5508408210687961</c:v>
                </c:pt>
                <c:pt idx="205">
                  <c:v>-2.4379948646307987</c:v>
                </c:pt>
                <c:pt idx="206">
                  <c:v>-2.7206667657694705</c:v>
                </c:pt>
                <c:pt idx="207">
                  <c:v>-3.057707758166373</c:v>
                </c:pt>
                <c:pt idx="208">
                  <c:v>-4.5764812301850952</c:v>
                </c:pt>
                <c:pt idx="209">
                  <c:v>-2.2533216473388435</c:v>
                </c:pt>
                <c:pt idx="210">
                  <c:v>3.4942824234881371</c:v>
                </c:pt>
                <c:pt idx="211">
                  <c:v>-2.2195683197987446</c:v>
                </c:pt>
                <c:pt idx="212">
                  <c:v>-3.3998270778984647</c:v>
                </c:pt>
                <c:pt idx="213">
                  <c:v>-3.6573790445660705</c:v>
                </c:pt>
                <c:pt idx="214">
                  <c:v>1.359339752426429</c:v>
                </c:pt>
                <c:pt idx="215">
                  <c:v>2.6710826046307474</c:v>
                </c:pt>
                <c:pt idx="216">
                  <c:v>4.7050241595151867</c:v>
                </c:pt>
                <c:pt idx="217">
                  <c:v>-0.83495458992066318</c:v>
                </c:pt>
                <c:pt idx="218">
                  <c:v>2.885481654821838</c:v>
                </c:pt>
                <c:pt idx="219">
                  <c:v>-3.9340232312689238E-2</c:v>
                </c:pt>
                <c:pt idx="220">
                  <c:v>-0.19621961996562476</c:v>
                </c:pt>
                <c:pt idx="221">
                  <c:v>-0.7228797323823386</c:v>
                </c:pt>
                <c:pt idx="222">
                  <c:v>-0.68161322134235824</c:v>
                </c:pt>
                <c:pt idx="223">
                  <c:v>-2.4304068121286662</c:v>
                </c:pt>
                <c:pt idx="224">
                  <c:v>7.3966146675417122E-3</c:v>
                </c:pt>
                <c:pt idx="225">
                  <c:v>-0.53580707400123373</c:v>
                </c:pt>
                <c:pt idx="226">
                  <c:v>-1.599927447495574</c:v>
                </c:pt>
                <c:pt idx="227">
                  <c:v>0.75046015520094222</c:v>
                </c:pt>
                <c:pt idx="228">
                  <c:v>-0.19038619316589056</c:v>
                </c:pt>
                <c:pt idx="229">
                  <c:v>0.94447198432361468</c:v>
                </c:pt>
                <c:pt idx="230">
                  <c:v>0.82941137037959045</c:v>
                </c:pt>
                <c:pt idx="231">
                  <c:v>-1.387966595675568</c:v>
                </c:pt>
                <c:pt idx="232">
                  <c:v>0.26301018510236673</c:v>
                </c:pt>
                <c:pt idx="233">
                  <c:v>-2.9130771085730984</c:v>
                </c:pt>
                <c:pt idx="234">
                  <c:v>1.3551962612826642</c:v>
                </c:pt>
                <c:pt idx="235">
                  <c:v>2.3684790614484044</c:v>
                </c:pt>
                <c:pt idx="236">
                  <c:v>5.8147271312820266</c:v>
                </c:pt>
                <c:pt idx="237">
                  <c:v>-0.46069525643412135</c:v>
                </c:pt>
                <c:pt idx="238">
                  <c:v>1.3778608081036161</c:v>
                </c:pt>
                <c:pt idx="239">
                  <c:v>-3.7710553172809824</c:v>
                </c:pt>
                <c:pt idx="240">
                  <c:v>-5.0266164271851927</c:v>
                </c:pt>
                <c:pt idx="241">
                  <c:v>-4.5409961153210432</c:v>
                </c:pt>
                <c:pt idx="242">
                  <c:v>12.602811720767161</c:v>
                </c:pt>
                <c:pt idx="243">
                  <c:v>6.8963199862834372</c:v>
                </c:pt>
                <c:pt idx="244">
                  <c:v>2.2457806066314632</c:v>
                </c:pt>
                <c:pt idx="245">
                  <c:v>9.5684176990801362</c:v>
                </c:pt>
                <c:pt idx="246">
                  <c:v>4.7389597834632013</c:v>
                </c:pt>
                <c:pt idx="247">
                  <c:v>-0.6651974601030517</c:v>
                </c:pt>
                <c:pt idx="248">
                  <c:v>1.195320056096385</c:v>
                </c:pt>
                <c:pt idx="249">
                  <c:v>1.1436375376485799</c:v>
                </c:pt>
                <c:pt idx="250">
                  <c:v>-0.58561698530090922</c:v>
                </c:pt>
                <c:pt idx="251">
                  <c:v>-1.3720389585806849</c:v>
                </c:pt>
                <c:pt idx="252">
                  <c:v>-2.7964321049882734</c:v>
                </c:pt>
                <c:pt idx="253">
                  <c:v>0.91176633516874261</c:v>
                </c:pt>
                <c:pt idx="254">
                  <c:v>0.10155334534412574</c:v>
                </c:pt>
                <c:pt idx="255">
                  <c:v>-2.2747390895169666</c:v>
                </c:pt>
                <c:pt idx="256">
                  <c:v>2.9570024355997759E-2</c:v>
                </c:pt>
                <c:pt idx="257">
                  <c:v>-1.664784595401013</c:v>
                </c:pt>
                <c:pt idx="258">
                  <c:v>-0.67405350824827792</c:v>
                </c:pt>
                <c:pt idx="259">
                  <c:v>-2.0749842078873826</c:v>
                </c:pt>
                <c:pt idx="260">
                  <c:v>-0.49312376482209785</c:v>
                </c:pt>
                <c:pt idx="261">
                  <c:v>-1.5671289334489451</c:v>
                </c:pt>
                <c:pt idx="262">
                  <c:v>-2.8044704718690312</c:v>
                </c:pt>
                <c:pt idx="263">
                  <c:v>1.0421618733116631</c:v>
                </c:pt>
                <c:pt idx="264">
                  <c:v>2.6262677635569638</c:v>
                </c:pt>
                <c:pt idx="265">
                  <c:v>0.55535020932586576</c:v>
                </c:pt>
                <c:pt idx="266">
                  <c:v>-1.0286374266973972</c:v>
                </c:pt>
                <c:pt idx="267">
                  <c:v>4.0196710083655063</c:v>
                </c:pt>
                <c:pt idx="268">
                  <c:v>-6.0724987233543857</c:v>
                </c:pt>
                <c:pt idx="269">
                  <c:v>-0.5856315812431383</c:v>
                </c:pt>
                <c:pt idx="270">
                  <c:v>0.24660383734888569</c:v>
                </c:pt>
                <c:pt idx="271">
                  <c:v>-3.7969899171101389</c:v>
                </c:pt>
                <c:pt idx="272">
                  <c:v>-5.0256878970144214</c:v>
                </c:pt>
                <c:pt idx="273">
                  <c:v>-6.3988604133503237</c:v>
                </c:pt>
                <c:pt idx="274">
                  <c:v>-3.7080665501010124</c:v>
                </c:pt>
                <c:pt idx="275">
                  <c:v>-5.7018753616404751</c:v>
                </c:pt>
                <c:pt idx="276">
                  <c:v>1.4015662037741912</c:v>
                </c:pt>
                <c:pt idx="277">
                  <c:v>-3.4940039844357784E-2</c:v>
                </c:pt>
                <c:pt idx="278">
                  <c:v>-1.99949938057404</c:v>
                </c:pt>
                <c:pt idx="279">
                  <c:v>-5.4777362910350398</c:v>
                </c:pt>
                <c:pt idx="280">
                  <c:v>-3.4353579566860972</c:v>
                </c:pt>
                <c:pt idx="281">
                  <c:v>-3.6041439871102305</c:v>
                </c:pt>
                <c:pt idx="282">
                  <c:v>-2.3984009346033197</c:v>
                </c:pt>
                <c:pt idx="283">
                  <c:v>-3.2432836802764555</c:v>
                </c:pt>
                <c:pt idx="284">
                  <c:v>-3.2418007179684238</c:v>
                </c:pt>
                <c:pt idx="285">
                  <c:v>-3.0311116189096978</c:v>
                </c:pt>
                <c:pt idx="286">
                  <c:v>-2.0127346166599196</c:v>
                </c:pt>
                <c:pt idx="287">
                  <c:v>-0.30445188157722569</c:v>
                </c:pt>
                <c:pt idx="288">
                  <c:v>-3.4648982391989804</c:v>
                </c:pt>
                <c:pt idx="289">
                  <c:v>-2.3143435995966009</c:v>
                </c:pt>
                <c:pt idx="290">
                  <c:v>-0.91222407969396357</c:v>
                </c:pt>
                <c:pt idx="291">
                  <c:v>-0.93543584763308019</c:v>
                </c:pt>
                <c:pt idx="292">
                  <c:v>1.2983341994516522</c:v>
                </c:pt>
                <c:pt idx="293">
                  <c:v>4.8980237129467525</c:v>
                </c:pt>
                <c:pt idx="294">
                  <c:v>0.42082247235989101</c:v>
                </c:pt>
                <c:pt idx="295">
                  <c:v>0.78859467635053804</c:v>
                </c:pt>
                <c:pt idx="296">
                  <c:v>2.9793327368628404</c:v>
                </c:pt>
                <c:pt idx="297">
                  <c:v>0.76965081548959446</c:v>
                </c:pt>
                <c:pt idx="298">
                  <c:v>0.8806690032328639</c:v>
                </c:pt>
                <c:pt idx="299">
                  <c:v>4.6787026337196131</c:v>
                </c:pt>
                <c:pt idx="300">
                  <c:v>4.7255371529637742</c:v>
                </c:pt>
                <c:pt idx="301">
                  <c:v>-0.77381686786809567</c:v>
                </c:pt>
                <c:pt idx="302">
                  <c:v>5.4700697595587613</c:v>
                </c:pt>
                <c:pt idx="303">
                  <c:v>1.5831867918953044</c:v>
                </c:pt>
                <c:pt idx="304">
                  <c:v>2.009349369600077</c:v>
                </c:pt>
                <c:pt idx="305">
                  <c:v>0.54099687918733608</c:v>
                </c:pt>
                <c:pt idx="306">
                  <c:v>6.1059694957719977</c:v>
                </c:pt>
                <c:pt idx="307">
                  <c:v>5.7935096405499564</c:v>
                </c:pt>
                <c:pt idx="308">
                  <c:v>1.1206073950828923</c:v>
                </c:pt>
                <c:pt idx="309">
                  <c:v>-1.8874636127849627</c:v>
                </c:pt>
                <c:pt idx="310">
                  <c:v>0.56001834522155036</c:v>
                </c:pt>
                <c:pt idx="311">
                  <c:v>-2.8374082084789976</c:v>
                </c:pt>
                <c:pt idx="312">
                  <c:v>-3.4977256262836711</c:v>
                </c:pt>
                <c:pt idx="313">
                  <c:v>-4.8918325835660497</c:v>
                </c:pt>
                <c:pt idx="314">
                  <c:v>-8.1779015490519242</c:v>
                </c:pt>
                <c:pt idx="315">
                  <c:v>-1.1512318724778297</c:v>
                </c:pt>
                <c:pt idx="316">
                  <c:v>-2.9302606022791302</c:v>
                </c:pt>
                <c:pt idx="317">
                  <c:v>-2.5295064065369779</c:v>
                </c:pt>
                <c:pt idx="318">
                  <c:v>2.8996754982406117</c:v>
                </c:pt>
                <c:pt idx="319">
                  <c:v>-3.0320431699243073</c:v>
                </c:pt>
                <c:pt idx="320">
                  <c:v>10.420779520197179</c:v>
                </c:pt>
                <c:pt idx="321">
                  <c:v>-2.076137956131646</c:v>
                </c:pt>
                <c:pt idx="322">
                  <c:v>4.6207795201971749</c:v>
                </c:pt>
                <c:pt idx="323">
                  <c:v>7.8401542785589129</c:v>
                </c:pt>
                <c:pt idx="324">
                  <c:v>8.2059816823380984</c:v>
                </c:pt>
                <c:pt idx="325">
                  <c:v>4.6284093027521749</c:v>
                </c:pt>
                <c:pt idx="326">
                  <c:v>-0.25259781271279991</c:v>
                </c:pt>
                <c:pt idx="327">
                  <c:v>7.1367918841739098</c:v>
                </c:pt>
                <c:pt idx="328">
                  <c:v>-2.1695317793666646</c:v>
                </c:pt>
                <c:pt idx="329">
                  <c:v>-7.6477299817195252</c:v>
                </c:pt>
                <c:pt idx="330">
                  <c:v>1.6592681531778375</c:v>
                </c:pt>
                <c:pt idx="331">
                  <c:v>-10.341319380742693</c:v>
                </c:pt>
                <c:pt idx="332">
                  <c:v>1.2908850469740116</c:v>
                </c:pt>
                <c:pt idx="333">
                  <c:v>-2.7541697254070172</c:v>
                </c:pt>
                <c:pt idx="334">
                  <c:v>-2.050550208008115</c:v>
                </c:pt>
                <c:pt idx="335">
                  <c:v>-1.9163703138161807</c:v>
                </c:pt>
                <c:pt idx="336">
                  <c:v>-2.6624285024146026</c:v>
                </c:pt>
                <c:pt idx="337">
                  <c:v>-4.1385252176636058</c:v>
                </c:pt>
                <c:pt idx="338">
                  <c:v>0.21780228240463018</c:v>
                </c:pt>
                <c:pt idx="339">
                  <c:v>3.6458283829900253</c:v>
                </c:pt>
                <c:pt idx="340">
                  <c:v>6.310785739624265</c:v>
                </c:pt>
                <c:pt idx="341">
                  <c:v>-0.29638220502730661</c:v>
                </c:pt>
                <c:pt idx="342">
                  <c:v>-1.4384177487419194</c:v>
                </c:pt>
                <c:pt idx="343">
                  <c:v>2.7734115219904965</c:v>
                </c:pt>
                <c:pt idx="344">
                  <c:v>3.8044504472636334</c:v>
                </c:pt>
                <c:pt idx="345">
                  <c:v>-2.7246085997710168E-2</c:v>
                </c:pt>
                <c:pt idx="346">
                  <c:v>3.7160745768104206</c:v>
                </c:pt>
                <c:pt idx="347">
                  <c:v>2.5877848061476527</c:v>
                </c:pt>
                <c:pt idx="348">
                  <c:v>-0.21600647278823715</c:v>
                </c:pt>
                <c:pt idx="349">
                  <c:v>0.13012781877232271</c:v>
                </c:pt>
                <c:pt idx="350">
                  <c:v>0.82565360107835062</c:v>
                </c:pt>
                <c:pt idx="351">
                  <c:v>0.23451694719468463</c:v>
                </c:pt>
                <c:pt idx="352">
                  <c:v>2.4822047940391521</c:v>
                </c:pt>
                <c:pt idx="353">
                  <c:v>0.86132375554942087</c:v>
                </c:pt>
                <c:pt idx="354">
                  <c:v>0.59338841021498823</c:v>
                </c:pt>
                <c:pt idx="355">
                  <c:v>2.7740110093426438</c:v>
                </c:pt>
                <c:pt idx="356">
                  <c:v>-3.3149690543959132</c:v>
                </c:pt>
                <c:pt idx="357">
                  <c:v>-4.2981240381282468</c:v>
                </c:pt>
                <c:pt idx="358">
                  <c:v>-1.7448415832330539</c:v>
                </c:pt>
                <c:pt idx="359">
                  <c:v>3.9436022376854325</c:v>
                </c:pt>
                <c:pt idx="360">
                  <c:v>-6.0995179995774045</c:v>
                </c:pt>
                <c:pt idx="361">
                  <c:v>-6.6975869013157414</c:v>
                </c:pt>
                <c:pt idx="362">
                  <c:v>-2.2817597840481199</c:v>
                </c:pt>
                <c:pt idx="363">
                  <c:v>-3.1045439475190335</c:v>
                </c:pt>
                <c:pt idx="364">
                  <c:v>2.6549451967773692</c:v>
                </c:pt>
                <c:pt idx="365">
                  <c:v>0.51763163163776227</c:v>
                </c:pt>
                <c:pt idx="366">
                  <c:v>-1.7517702810716216</c:v>
                </c:pt>
                <c:pt idx="367">
                  <c:v>-2.5910566701758526</c:v>
                </c:pt>
                <c:pt idx="368">
                  <c:v>-4.9003535563035925</c:v>
                </c:pt>
                <c:pt idx="369">
                  <c:v>0.38839689000521815</c:v>
                </c:pt>
                <c:pt idx="370">
                  <c:v>1.396850389014368</c:v>
                </c:pt>
                <c:pt idx="371">
                  <c:v>-4.8816316398170514</c:v>
                </c:pt>
                <c:pt idx="372">
                  <c:v>4.8819408018573185</c:v>
                </c:pt>
                <c:pt idx="373">
                  <c:v>2.9955958255321065</c:v>
                </c:pt>
                <c:pt idx="374">
                  <c:v>1.4051258261259463</c:v>
                </c:pt>
                <c:pt idx="375">
                  <c:v>1.4219011434101674</c:v>
                </c:pt>
                <c:pt idx="376">
                  <c:v>-0.45674863175286617</c:v>
                </c:pt>
                <c:pt idx="377">
                  <c:v>2.0768153801538176</c:v>
                </c:pt>
                <c:pt idx="378">
                  <c:v>-3.9231846198461824</c:v>
                </c:pt>
                <c:pt idx="379">
                  <c:v>2.2287146686073172</c:v>
                </c:pt>
                <c:pt idx="380">
                  <c:v>-3.2030330119305148</c:v>
                </c:pt>
                <c:pt idx="381">
                  <c:v>9.7454878622891314</c:v>
                </c:pt>
                <c:pt idx="382">
                  <c:v>-4.3180802485362832</c:v>
                </c:pt>
                <c:pt idx="383">
                  <c:v>-6.7275242056862794</c:v>
                </c:pt>
                <c:pt idx="384">
                  <c:v>9.1988637388233485E-2</c:v>
                </c:pt>
                <c:pt idx="385">
                  <c:v>4.4634167285852868</c:v>
                </c:pt>
                <c:pt idx="386">
                  <c:v>-1.5024451029257548</c:v>
                </c:pt>
                <c:pt idx="387">
                  <c:v>-2.3775203691586029</c:v>
                </c:pt>
                <c:pt idx="388">
                  <c:v>8.790691829294822</c:v>
                </c:pt>
                <c:pt idx="389">
                  <c:v>8.3668507451527319E-2</c:v>
                </c:pt>
                <c:pt idx="390">
                  <c:v>-2.326621479327649</c:v>
                </c:pt>
                <c:pt idx="391">
                  <c:v>1.2031022299690619</c:v>
                </c:pt>
              </c:numCache>
            </c:numRef>
          </c:yVal>
          <c:smooth val="0"/>
          <c:extLst>
            <c:ext xmlns:c16="http://schemas.microsoft.com/office/drawing/2014/chart" uri="{C3380CC4-5D6E-409C-BE32-E72D297353CC}">
              <c16:uniqueId val="{00000002-62A3-4BD8-8716-F60ED58A28B2}"/>
            </c:ext>
          </c:extLst>
        </c:ser>
        <c:dLbls>
          <c:showLegendKey val="0"/>
          <c:showVal val="0"/>
          <c:showCatName val="0"/>
          <c:showSerName val="0"/>
          <c:showPercent val="0"/>
          <c:showBubbleSize val="0"/>
        </c:dLbls>
        <c:axId val="2095043104"/>
        <c:axId val="2087015920"/>
      </c:scatterChart>
      <c:valAx>
        <c:axId val="2095043104"/>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87015920"/>
        <c:crosses val="autoZero"/>
        <c:crossBetween val="midCat"/>
      </c:valAx>
      <c:valAx>
        <c:axId val="2087015920"/>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0950431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-3.451682617569364</c:v>
                </c:pt>
                <c:pt idx="1">
                  <c:v>-2.7327997376671536</c:v>
                </c:pt>
                <c:pt idx="2">
                  <c:v>-2.6063331092365796</c:v>
                </c:pt>
                <c:pt idx="3">
                  <c:v>-2.5586120959927139</c:v>
                </c:pt>
                <c:pt idx="4">
                  <c:v>-2.2382603266400913</c:v>
                </c:pt>
                <c:pt idx="5">
                  <c:v>-2.2366030601609661</c:v>
                </c:pt>
                <c:pt idx="6">
                  <c:v>-2.1379379429147773</c:v>
                </c:pt>
                <c:pt idx="7">
                  <c:v>-2.0636596826638138</c:v>
                </c:pt>
                <c:pt idx="8">
                  <c:v>-2.0302994659393101</c:v>
                </c:pt>
                <c:pt idx="9">
                  <c:v>-2.0195065214468055</c:v>
                </c:pt>
                <c:pt idx="10">
                  <c:v>-2.0157358299478263</c:v>
                </c:pt>
                <c:pt idx="11">
                  <c:v>-1.9076726580567738</c:v>
                </c:pt>
                <c:pt idx="12">
                  <c:v>-1.8200175308828719</c:v>
                </c:pt>
                <c:pt idx="13">
                  <c:v>-1.7231986194513169</c:v>
                </c:pt>
                <c:pt idx="14">
                  <c:v>-1.6897180627740656</c:v>
                </c:pt>
                <c:pt idx="15">
                  <c:v>-1.68524344765387</c:v>
                </c:pt>
                <c:pt idx="16">
                  <c:v>-1.6746439809266753</c:v>
                </c:pt>
                <c:pt idx="17">
                  <c:v>-1.6319415081566486</c:v>
                </c:pt>
                <c:pt idx="18">
                  <c:v>-1.6266867098316833</c:v>
                </c:pt>
                <c:pt idx="19">
                  <c:v>-1.626368466519942</c:v>
                </c:pt>
                <c:pt idx="20">
                  <c:v>-1.5268692799723573</c:v>
                </c:pt>
                <c:pt idx="21">
                  <c:v>-1.5175419689962188</c:v>
                </c:pt>
                <c:pt idx="22">
                  <c:v>-1.4769363323181717</c:v>
                </c:pt>
                <c:pt idx="23">
                  <c:v>-1.4375278289347933</c:v>
                </c:pt>
                <c:pt idx="24">
                  <c:v>-1.4339281629923626</c:v>
                </c:pt>
                <c:pt idx="25">
                  <c:v>-1.3818722583783176</c:v>
                </c:pt>
                <c:pt idx="26">
                  <c:v>-1.3375231715810592</c:v>
                </c:pt>
                <c:pt idx="27">
                  <c:v>-1.307068093232151</c:v>
                </c:pt>
                <c:pt idx="28">
                  <c:v>-1.2992210520172569</c:v>
                </c:pt>
                <c:pt idx="29">
                  <c:v>-1.2647682754399088</c:v>
                </c:pt>
                <c:pt idx="30">
                  <c:v>-1.2628813097867091</c:v>
                </c:pt>
                <c:pt idx="31">
                  <c:v>-1.260569504380137</c:v>
                </c:pt>
                <c:pt idx="32">
                  <c:v>-1.2377760380844054</c:v>
                </c:pt>
                <c:pt idx="33">
                  <c:v>-1.2151675973963221</c:v>
                </c:pt>
                <c:pt idx="34">
                  <c:v>-1.2127928346337891</c:v>
                </c:pt>
                <c:pt idx="35">
                  <c:v>-1.2081383307454165</c:v>
                </c:pt>
                <c:pt idx="36">
                  <c:v>-1.1982691301329909</c:v>
                </c:pt>
                <c:pt idx="37">
                  <c:v>-1.1807393696594954</c:v>
                </c:pt>
                <c:pt idx="38">
                  <c:v>-1.1692507528849174</c:v>
                </c:pt>
                <c:pt idx="39">
                  <c:v>-1.1670319415810073</c:v>
                </c:pt>
                <c:pt idx="40">
                  <c:v>-1.1524014899843342</c:v>
                </c:pt>
                <c:pt idx="41">
                  <c:v>-1.1408976899843095</c:v>
                </c:pt>
                <c:pt idx="42">
                  <c:v>-1.1267405125615217</c:v>
                </c:pt>
                <c:pt idx="43">
                  <c:v>-1.1208436092324714</c:v>
                </c:pt>
                <c:pt idx="44">
                  <c:v>-1.1079659887017894</c:v>
                </c:pt>
                <c:pt idx="45">
                  <c:v>-1.0776013794312584</c:v>
                </c:pt>
                <c:pt idx="46">
                  <c:v>-1.0767196379396311</c:v>
                </c:pt>
                <c:pt idx="47">
                  <c:v>-1.0639613519924846</c:v>
                </c:pt>
                <c:pt idx="48">
                  <c:v>-1.0306011185079671</c:v>
                </c:pt>
                <c:pt idx="49">
                  <c:v>-1.0254466826344892</c:v>
                </c:pt>
                <c:pt idx="50">
                  <c:v>-1.0214074988536541</c:v>
                </c:pt>
                <c:pt idx="51">
                  <c:v>-1.0101337973139408</c:v>
                </c:pt>
                <c:pt idx="52">
                  <c:v>-1.0076315540428575</c:v>
                </c:pt>
                <c:pt idx="53">
                  <c:v>-1.0042751043337586</c:v>
                </c:pt>
                <c:pt idx="54">
                  <c:v>-0.97713360215342948</c:v>
                </c:pt>
                <c:pt idx="55">
                  <c:v>-0.97305252208919468</c:v>
                </c:pt>
                <c:pt idx="56">
                  <c:v>-0.95975295748031186</c:v>
                </c:pt>
                <c:pt idx="57">
                  <c:v>-0.95733088971303293</c:v>
                </c:pt>
                <c:pt idx="58">
                  <c:v>-0.9474999235105962</c:v>
                </c:pt>
                <c:pt idx="59">
                  <c:v>-0.93736805879047014</c:v>
                </c:pt>
                <c:pt idx="60">
                  <c:v>-0.9317689403765218</c:v>
                </c:pt>
                <c:pt idx="61">
                  <c:v>-0.92704752263459622</c:v>
                </c:pt>
                <c:pt idx="62">
                  <c:v>-0.91766871471414591</c:v>
                </c:pt>
                <c:pt idx="63">
                  <c:v>-0.9031170962155961</c:v>
                </c:pt>
                <c:pt idx="64">
                  <c:v>-0.8984734746582822</c:v>
                </c:pt>
                <c:pt idx="65">
                  <c:v>-0.89544945314468549</c:v>
                </c:pt>
                <c:pt idx="66">
                  <c:v>-0.88698134092906389</c:v>
                </c:pt>
                <c:pt idx="67">
                  <c:v>-0.87909939485507615</c:v>
                </c:pt>
                <c:pt idx="68">
                  <c:v>-0.87855079557956517</c:v>
                </c:pt>
                <c:pt idx="69">
                  <c:v>-0.87508847543411206</c:v>
                </c:pt>
                <c:pt idx="70">
                  <c:v>-0.86006936817939161</c:v>
                </c:pt>
                <c:pt idx="71">
                  <c:v>-0.85847137129504036</c:v>
                </c:pt>
                <c:pt idx="72">
                  <c:v>-0.84358082508022647</c:v>
                </c:pt>
                <c:pt idx="73">
                  <c:v>-0.82893417664067315</c:v>
                </c:pt>
                <c:pt idx="74">
                  <c:v>-0.8268734431087178</c:v>
                </c:pt>
                <c:pt idx="75">
                  <c:v>-0.82281965858508455</c:v>
                </c:pt>
                <c:pt idx="76">
                  <c:v>-0.81252205315322645</c:v>
                </c:pt>
                <c:pt idx="77">
                  <c:v>-0.80833512211099245</c:v>
                </c:pt>
                <c:pt idx="78">
                  <c:v>-0.7960497214769402</c:v>
                </c:pt>
                <c:pt idx="79">
                  <c:v>-0.78933938116930435</c:v>
                </c:pt>
                <c:pt idx="80">
                  <c:v>-0.78110036437009756</c:v>
                </c:pt>
                <c:pt idx="81">
                  <c:v>-0.77256397256164122</c:v>
                </c:pt>
                <c:pt idx="82">
                  <c:v>-0.76844520954536311</c:v>
                </c:pt>
                <c:pt idx="83">
                  <c:v>-0.76325101320992295</c:v>
                </c:pt>
                <c:pt idx="84">
                  <c:v>-0.75950614299184738</c:v>
                </c:pt>
                <c:pt idx="85">
                  <c:v>-0.75751706682775866</c:v>
                </c:pt>
                <c:pt idx="86">
                  <c:v>-0.75457189916222744</c:v>
                </c:pt>
                <c:pt idx="87">
                  <c:v>-0.75452115641439021</c:v>
                </c:pt>
                <c:pt idx="88">
                  <c:v>-0.74708884873176218</c:v>
                </c:pt>
                <c:pt idx="89">
                  <c:v>-0.74192401686980725</c:v>
                </c:pt>
                <c:pt idx="90">
                  <c:v>-0.73626542374561854</c:v>
                </c:pt>
                <c:pt idx="91">
                  <c:v>-0.72283127398567082</c:v>
                </c:pt>
                <c:pt idx="92">
                  <c:v>-0.70648636894145489</c:v>
                </c:pt>
                <c:pt idx="93">
                  <c:v>-0.69392179736044635</c:v>
                </c:pt>
                <c:pt idx="94">
                  <c:v>-0.68678649689214288</c:v>
                </c:pt>
                <c:pt idx="95">
                  <c:v>-0.68324182750021734</c:v>
                </c:pt>
                <c:pt idx="96">
                  <c:v>-0.66878988326602917</c:v>
                </c:pt>
                <c:pt idx="97">
                  <c:v>-0.66377208981313185</c:v>
                </c:pt>
                <c:pt idx="98">
                  <c:v>-0.65612392430107436</c:v>
                </c:pt>
                <c:pt idx="99">
                  <c:v>-0.63802821850481273</c:v>
                </c:pt>
                <c:pt idx="100">
                  <c:v>-0.63228553332444015</c:v>
                </c:pt>
                <c:pt idx="101">
                  <c:v>-0.62096861122347391</c:v>
                </c:pt>
                <c:pt idx="102">
                  <c:v>-0.61593470926202398</c:v>
                </c:pt>
                <c:pt idx="103">
                  <c:v>-0.61509549983121248</c:v>
                </c:pt>
                <c:pt idx="104">
                  <c:v>-0.61264897901117765</c:v>
                </c:pt>
                <c:pt idx="105">
                  <c:v>-0.60409084446563865</c:v>
                </c:pt>
                <c:pt idx="106">
                  <c:v>-0.59179023453714441</c:v>
                </c:pt>
                <c:pt idx="107">
                  <c:v>-0.59082143000943876</c:v>
                </c:pt>
                <c:pt idx="108">
                  <c:v>-0.58466219481199677</c:v>
                </c:pt>
                <c:pt idx="109">
                  <c:v>-0.58163018536706346</c:v>
                </c:pt>
                <c:pt idx="110">
                  <c:v>-0.58074238683041579</c:v>
                </c:pt>
                <c:pt idx="111">
                  <c:v>-0.55753264896976451</c:v>
                </c:pt>
                <c:pt idx="112">
                  <c:v>-0.55221926921070352</c:v>
                </c:pt>
                <c:pt idx="113">
                  <c:v>-0.55194584126169699</c:v>
                </c:pt>
                <c:pt idx="114">
                  <c:v>-0.55072347548179312</c:v>
                </c:pt>
                <c:pt idx="115">
                  <c:v>-0.53338642732774066</c:v>
                </c:pt>
                <c:pt idx="116">
                  <c:v>-0.52393736657058176</c:v>
                </c:pt>
                <c:pt idx="117">
                  <c:v>-0.49892317917099432</c:v>
                </c:pt>
                <c:pt idx="118">
                  <c:v>-0.48011210341267641</c:v>
                </c:pt>
                <c:pt idx="119">
                  <c:v>-0.47899199098150291</c:v>
                </c:pt>
                <c:pt idx="120">
                  <c:v>-0.46498176646527745</c:v>
                </c:pt>
                <c:pt idx="121">
                  <c:v>-0.4545453066083554</c:v>
                </c:pt>
                <c:pt idx="122">
                  <c:v>-0.44392180663234571</c:v>
                </c:pt>
                <c:pt idx="123">
                  <c:v>-0.44348189348087957</c:v>
                </c:pt>
                <c:pt idx="124">
                  <c:v>-0.44257513070662002</c:v>
                </c:pt>
                <c:pt idx="125">
                  <c:v>-0.43529358270499241</c:v>
                </c:pt>
                <c:pt idx="126">
                  <c:v>-0.4338415062904411</c:v>
                </c:pt>
                <c:pt idx="127">
                  <c:v>-0.4283920105670963</c:v>
                </c:pt>
                <c:pt idx="128">
                  <c:v>-0.4182369320992394</c:v>
                </c:pt>
                <c:pt idx="129">
                  <c:v>-0.40591022394118104</c:v>
                </c:pt>
                <c:pt idx="130">
                  <c:v>-0.40193142131393816</c:v>
                </c:pt>
                <c:pt idx="131">
                  <c:v>-0.39486001875875998</c:v>
                </c:pt>
                <c:pt idx="132">
                  <c:v>-0.38508480762603786</c:v>
                </c:pt>
                <c:pt idx="133">
                  <c:v>-0.38135513775663438</c:v>
                </c:pt>
                <c:pt idx="134">
                  <c:v>-0.36253627723479914</c:v>
                </c:pt>
                <c:pt idx="135">
                  <c:v>-0.34222462819834187</c:v>
                </c:pt>
                <c:pt idx="136">
                  <c:v>-0.32610721496463052</c:v>
                </c:pt>
                <c:pt idx="137">
                  <c:v>-0.31654278630410199</c:v>
                </c:pt>
                <c:pt idx="138">
                  <c:v>-0.31629077006854084</c:v>
                </c:pt>
                <c:pt idx="139">
                  <c:v>-0.3131170267789195</c:v>
                </c:pt>
                <c:pt idx="140">
                  <c:v>-0.31053190188587199</c:v>
                </c:pt>
                <c:pt idx="141">
                  <c:v>-0.30358004022533047</c:v>
                </c:pt>
                <c:pt idx="142">
                  <c:v>-0.29588942339118907</c:v>
                </c:pt>
                <c:pt idx="143">
                  <c:v>-0.28991504577291533</c:v>
                </c:pt>
                <c:pt idx="144">
                  <c:v>-0.28923752793397073</c:v>
                </c:pt>
                <c:pt idx="145">
                  <c:v>-0.27897206548305931</c:v>
                </c:pt>
                <c:pt idx="146">
                  <c:v>-0.27496797490025449</c:v>
                </c:pt>
                <c:pt idx="147">
                  <c:v>-0.2744986939956594</c:v>
                </c:pt>
                <c:pt idx="148">
                  <c:v>-0.26432732427601652</c:v>
                </c:pt>
                <c:pt idx="149">
                  <c:v>-0.26364023528520003</c:v>
                </c:pt>
                <c:pt idx="150">
                  <c:v>-0.25886999570707547</c:v>
                </c:pt>
                <c:pt idx="151">
                  <c:v>-0.2557150343200344</c:v>
                </c:pt>
                <c:pt idx="152">
                  <c:v>-0.24814969353100894</c:v>
                </c:pt>
                <c:pt idx="153">
                  <c:v>-0.24289117425341836</c:v>
                </c:pt>
                <c:pt idx="154">
                  <c:v>-0.24068058859416844</c:v>
                </c:pt>
                <c:pt idx="155">
                  <c:v>-0.23318022611887829</c:v>
                </c:pt>
                <c:pt idx="156">
                  <c:v>-0.22773334599687459</c:v>
                </c:pt>
                <c:pt idx="157">
                  <c:v>-0.22349400460848995</c:v>
                </c:pt>
                <c:pt idx="158">
                  <c:v>-0.22021492268660475</c:v>
                </c:pt>
                <c:pt idx="159">
                  <c:v>-0.20291519301261843</c:v>
                </c:pt>
                <c:pt idx="160">
                  <c:v>-0.19933424776620928</c:v>
                </c:pt>
                <c:pt idx="161">
                  <c:v>-0.19789440550577833</c:v>
                </c:pt>
                <c:pt idx="162">
                  <c:v>-0.19419634887019752</c:v>
                </c:pt>
                <c:pt idx="163">
                  <c:v>-0.19410783505686549</c:v>
                </c:pt>
                <c:pt idx="164">
                  <c:v>-0.18942202796255866</c:v>
                </c:pt>
                <c:pt idx="165">
                  <c:v>-0.18217601115513996</c:v>
                </c:pt>
                <c:pt idx="166">
                  <c:v>-0.17875083851948473</c:v>
                </c:pt>
                <c:pt idx="167">
                  <c:v>-0.1637477879265988</c:v>
                </c:pt>
                <c:pt idx="168">
                  <c:v>-0.16166667853581004</c:v>
                </c:pt>
                <c:pt idx="169">
                  <c:v>-0.1580347863334722</c:v>
                </c:pt>
                <c:pt idx="170">
                  <c:v>-0.15390694742658717</c:v>
                </c:pt>
                <c:pt idx="171">
                  <c:v>-0.15234540833318785</c:v>
                </c:pt>
                <c:pt idx="172">
                  <c:v>-0.15142098901853462</c:v>
                </c:pt>
                <c:pt idx="173">
                  <c:v>-0.14983838636843658</c:v>
                </c:pt>
                <c:pt idx="174">
                  <c:v>-0.14480257381873163</c:v>
                </c:pt>
                <c:pt idx="175">
                  <c:v>-0.14215101395795629</c:v>
                </c:pt>
                <c:pt idx="176">
                  <c:v>-0.13131189884057307</c:v>
                </c:pt>
                <c:pt idx="177">
                  <c:v>-0.119856830968657</c:v>
                </c:pt>
                <c:pt idx="178">
                  <c:v>-0.10402109723738608</c:v>
                </c:pt>
                <c:pt idx="179">
                  <c:v>-0.10145734321849574</c:v>
                </c:pt>
                <c:pt idx="180">
                  <c:v>-9.8723664725633833E-2</c:v>
                </c:pt>
                <c:pt idx="181">
                  <c:v>-8.6786137087073154E-2</c:v>
                </c:pt>
                <c:pt idx="182">
                  <c:v>-8.5231484219193049E-2</c:v>
                </c:pt>
                <c:pt idx="183">
                  <c:v>-7.199900072986111E-2</c:v>
                </c:pt>
                <c:pt idx="184">
                  <c:v>-7.0617155228780759E-2</c:v>
                </c:pt>
                <c:pt idx="185">
                  <c:v>-6.5682072482442247E-2</c:v>
                </c:pt>
                <c:pt idx="186">
                  <c:v>-6.3550945766768785E-2</c:v>
                </c:pt>
                <c:pt idx="187">
                  <c:v>-5.032391780723363E-2</c:v>
                </c:pt>
                <c:pt idx="188">
                  <c:v>-5.0151452692643997E-2</c:v>
                </c:pt>
                <c:pt idx="189">
                  <c:v>-3.7067224491663844E-2</c:v>
                </c:pt>
                <c:pt idx="190">
                  <c:v>-3.3128045912269553E-2</c:v>
                </c:pt>
                <c:pt idx="191">
                  <c:v>-3.1377572652116069E-2</c:v>
                </c:pt>
                <c:pt idx="192">
                  <c:v>-2.8119699994223715E-2</c:v>
                </c:pt>
                <c:pt idx="193">
                  <c:v>-2.6512351797492825E-2</c:v>
                </c:pt>
                <c:pt idx="194">
                  <c:v>-2.0495322425387076E-2</c:v>
                </c:pt>
                <c:pt idx="195">
                  <c:v>-1.3087490477449268E-2</c:v>
                </c:pt>
                <c:pt idx="196">
                  <c:v>-1.2115968549611986E-2</c:v>
                </c:pt>
                <c:pt idx="197">
                  <c:v>-1.1623375752352078E-2</c:v>
                </c:pt>
                <c:pt idx="198">
                  <c:v>-9.0731992161399936E-3</c:v>
                </c:pt>
                <c:pt idx="199">
                  <c:v>2.4603534850325339E-3</c:v>
                </c:pt>
                <c:pt idx="200">
                  <c:v>9.7946834914373372E-3</c:v>
                </c:pt>
                <c:pt idx="201">
                  <c:v>1.3677785391091995E-2</c:v>
                </c:pt>
                <c:pt idx="202">
                  <c:v>1.5048430823993899E-2</c:v>
                </c:pt>
                <c:pt idx="203">
                  <c:v>1.6521563559615881E-2</c:v>
                </c:pt>
                <c:pt idx="204">
                  <c:v>1.9978196923054012E-2</c:v>
                </c:pt>
                <c:pt idx="205">
                  <c:v>2.781136326470084E-2</c:v>
                </c:pt>
                <c:pt idx="206">
                  <c:v>3.0723966658172362E-2</c:v>
                </c:pt>
                <c:pt idx="207">
                  <c:v>3.3677120231556792E-2</c:v>
                </c:pt>
                <c:pt idx="208">
                  <c:v>3.5295875579668894E-2</c:v>
                </c:pt>
                <c:pt idx="209">
                  <c:v>4.357517290963854E-2</c:v>
                </c:pt>
                <c:pt idx="210">
                  <c:v>4.4247006473740601E-2</c:v>
                </c:pt>
                <c:pt idx="211">
                  <c:v>5.5683358456535478E-2</c:v>
                </c:pt>
                <c:pt idx="212">
                  <c:v>6.1844508852538164E-2</c:v>
                </c:pt>
                <c:pt idx="213">
                  <c:v>6.7796750316846358E-2</c:v>
                </c:pt>
                <c:pt idx="214">
                  <c:v>7.2633416429777817E-2</c:v>
                </c:pt>
                <c:pt idx="215">
                  <c:v>7.8125519301108906E-2</c:v>
                </c:pt>
                <c:pt idx="216">
                  <c:v>8.1721707715661354E-2</c:v>
                </c:pt>
                <c:pt idx="217">
                  <c:v>8.7513237424759235E-2</c:v>
                </c:pt>
                <c:pt idx="218">
                  <c:v>0.12614744788801885</c:v>
                </c:pt>
                <c:pt idx="219">
                  <c:v>0.12974540077511315</c:v>
                </c:pt>
                <c:pt idx="220">
                  <c:v>0.12999171896584169</c:v>
                </c:pt>
                <c:pt idx="221">
                  <c:v>0.13985011155836161</c:v>
                </c:pt>
                <c:pt idx="222">
                  <c:v>0.15513508303132956</c:v>
                </c:pt>
                <c:pt idx="223">
                  <c:v>0.17184976624815418</c:v>
                </c:pt>
                <c:pt idx="224">
                  <c:v>0.17289252435540003</c:v>
                </c:pt>
                <c:pt idx="225">
                  <c:v>0.18042945365691565</c:v>
                </c:pt>
                <c:pt idx="226">
                  <c:v>0.18470642599231274</c:v>
                </c:pt>
                <c:pt idx="227">
                  <c:v>0.18658521528183183</c:v>
                </c:pt>
                <c:pt idx="228">
                  <c:v>0.18988660114211794</c:v>
                </c:pt>
                <c:pt idx="229">
                  <c:v>0.19800523327850184</c:v>
                </c:pt>
                <c:pt idx="230">
                  <c:v>0.19993267130990572</c:v>
                </c:pt>
                <c:pt idx="231">
                  <c:v>0.20398710450777527</c:v>
                </c:pt>
                <c:pt idx="232">
                  <c:v>0.21089005247032522</c:v>
                </c:pt>
                <c:pt idx="233">
                  <c:v>0.21951048018534694</c:v>
                </c:pt>
                <c:pt idx="234">
                  <c:v>0.22330383955665867</c:v>
                </c:pt>
                <c:pt idx="235">
                  <c:v>0.22503211391071432</c:v>
                </c:pt>
                <c:pt idx="236">
                  <c:v>0.22610292454868022</c:v>
                </c:pt>
                <c:pt idx="237">
                  <c:v>0.2334274183109103</c:v>
                </c:pt>
                <c:pt idx="238">
                  <c:v>0.24039254577346184</c:v>
                </c:pt>
                <c:pt idx="239">
                  <c:v>0.24386567077228774</c:v>
                </c:pt>
                <c:pt idx="240">
                  <c:v>0.25110022474118066</c:v>
                </c:pt>
                <c:pt idx="241">
                  <c:v>0.25381221692103473</c:v>
                </c:pt>
                <c:pt idx="242">
                  <c:v>0.25939653083974346</c:v>
                </c:pt>
                <c:pt idx="243">
                  <c:v>0.26483477874394723</c:v>
                </c:pt>
                <c:pt idx="244">
                  <c:v>0.26714134253452815</c:v>
                </c:pt>
                <c:pt idx="245">
                  <c:v>0.27141090048237276</c:v>
                </c:pt>
                <c:pt idx="246">
                  <c:v>0.2749672873635931</c:v>
                </c:pt>
                <c:pt idx="247">
                  <c:v>0.27649769074526315</c:v>
                </c:pt>
                <c:pt idx="248">
                  <c:v>0.2802206101814847</c:v>
                </c:pt>
                <c:pt idx="249">
                  <c:v>0.28753308488155438</c:v>
                </c:pt>
                <c:pt idx="250">
                  <c:v>0.29319660015181503</c:v>
                </c:pt>
                <c:pt idx="251">
                  <c:v>0.29552136767781301</c:v>
                </c:pt>
                <c:pt idx="252">
                  <c:v>0.30206292858297307</c:v>
                </c:pt>
                <c:pt idx="253">
                  <c:v>0.31685206458484116</c:v>
                </c:pt>
                <c:pt idx="254">
                  <c:v>0.32432388942401408</c:v>
                </c:pt>
                <c:pt idx="255">
                  <c:v>0.33488821969058197</c:v>
                </c:pt>
                <c:pt idx="256">
                  <c:v>0.34571317856571621</c:v>
                </c:pt>
                <c:pt idx="257">
                  <c:v>0.34767210505293855</c:v>
                </c:pt>
                <c:pt idx="258">
                  <c:v>0.35223603151478755</c:v>
                </c:pt>
                <c:pt idx="259">
                  <c:v>0.3734161112853604</c:v>
                </c:pt>
                <c:pt idx="260">
                  <c:v>0.37698943709717592</c:v>
                </c:pt>
                <c:pt idx="261">
                  <c:v>0.37898661019969393</c:v>
                </c:pt>
                <c:pt idx="262">
                  <c:v>0.3790485664453247</c:v>
                </c:pt>
                <c:pt idx="263">
                  <c:v>0.38024696094502353</c:v>
                </c:pt>
                <c:pt idx="264">
                  <c:v>0.38649046111355201</c:v>
                </c:pt>
                <c:pt idx="265">
                  <c:v>0.39604728421942698</c:v>
                </c:pt>
                <c:pt idx="266">
                  <c:v>0.39947920216775701</c:v>
                </c:pt>
                <c:pt idx="267">
                  <c:v>0.39968495672630688</c:v>
                </c:pt>
                <c:pt idx="268">
                  <c:v>0.4116364131495851</c:v>
                </c:pt>
                <c:pt idx="269">
                  <c:v>0.42871024250542339</c:v>
                </c:pt>
                <c:pt idx="270">
                  <c:v>0.43079556603355523</c:v>
                </c:pt>
                <c:pt idx="271">
                  <c:v>0.43174338069117302</c:v>
                </c:pt>
                <c:pt idx="272">
                  <c:v>0.43433707282313838</c:v>
                </c:pt>
                <c:pt idx="273">
                  <c:v>0.4407931061238981</c:v>
                </c:pt>
                <c:pt idx="274">
                  <c:v>0.44266880067425035</c:v>
                </c:pt>
                <c:pt idx="275">
                  <c:v>0.44275727569779938</c:v>
                </c:pt>
                <c:pt idx="276">
                  <c:v>0.45088667377233937</c:v>
                </c:pt>
                <c:pt idx="277">
                  <c:v>0.45411013125419586</c:v>
                </c:pt>
                <c:pt idx="278">
                  <c:v>0.45874200542910859</c:v>
                </c:pt>
                <c:pt idx="279">
                  <c:v>0.45897738397457388</c:v>
                </c:pt>
                <c:pt idx="280">
                  <c:v>0.46083052696320198</c:v>
                </c:pt>
                <c:pt idx="281">
                  <c:v>0.4654442793344194</c:v>
                </c:pt>
                <c:pt idx="282">
                  <c:v>0.46674163527249862</c:v>
                </c:pt>
                <c:pt idx="283">
                  <c:v>0.46857065274584953</c:v>
                </c:pt>
                <c:pt idx="284">
                  <c:v>0.46871808445674978</c:v>
                </c:pt>
                <c:pt idx="285">
                  <c:v>0.47398446164132163</c:v>
                </c:pt>
                <c:pt idx="286">
                  <c:v>0.48931010929769164</c:v>
                </c:pt>
                <c:pt idx="287">
                  <c:v>0.50018854209738339</c:v>
                </c:pt>
                <c:pt idx="288">
                  <c:v>0.51286368166818253</c:v>
                </c:pt>
                <c:pt idx="289">
                  <c:v>0.52607820754973145</c:v>
                </c:pt>
                <c:pt idx="290">
                  <c:v>0.55319696979360178</c:v>
                </c:pt>
                <c:pt idx="291">
                  <c:v>0.55656803120621701</c:v>
                </c:pt>
                <c:pt idx="292">
                  <c:v>0.55972501051096391</c:v>
                </c:pt>
                <c:pt idx="293">
                  <c:v>0.56798307093810663</c:v>
                </c:pt>
                <c:pt idx="294">
                  <c:v>0.56878580743136242</c:v>
                </c:pt>
                <c:pt idx="295">
                  <c:v>0.58752778997756971</c:v>
                </c:pt>
                <c:pt idx="296">
                  <c:v>0.60637414955155566</c:v>
                </c:pt>
                <c:pt idx="297">
                  <c:v>0.6077873084612555</c:v>
                </c:pt>
                <c:pt idx="298">
                  <c:v>0.60888968943784472</c:v>
                </c:pt>
                <c:pt idx="299">
                  <c:v>0.61570961852167438</c:v>
                </c:pt>
                <c:pt idx="300">
                  <c:v>0.62541466034937299</c:v>
                </c:pt>
                <c:pt idx="301">
                  <c:v>0.62988652393519529</c:v>
                </c:pt>
                <c:pt idx="302">
                  <c:v>0.65290692305069276</c:v>
                </c:pt>
                <c:pt idx="303">
                  <c:v>0.6556418348632248</c:v>
                </c:pt>
                <c:pt idx="304">
                  <c:v>0.66552441488229708</c:v>
                </c:pt>
                <c:pt idx="305">
                  <c:v>0.67123358040088366</c:v>
                </c:pt>
                <c:pt idx="306">
                  <c:v>0.67383986412758512</c:v>
                </c:pt>
                <c:pt idx="307">
                  <c:v>0.6741998247581702</c:v>
                </c:pt>
                <c:pt idx="308">
                  <c:v>0.67897281388579944</c:v>
                </c:pt>
                <c:pt idx="309">
                  <c:v>0.68086529918536198</c:v>
                </c:pt>
                <c:pt idx="310">
                  <c:v>0.68104115262367493</c:v>
                </c:pt>
                <c:pt idx="311">
                  <c:v>0.69192234930796725</c:v>
                </c:pt>
                <c:pt idx="312">
                  <c:v>0.70221206283556825</c:v>
                </c:pt>
                <c:pt idx="313">
                  <c:v>0.71162663600437204</c:v>
                </c:pt>
                <c:pt idx="314">
                  <c:v>0.71980311888979953</c:v>
                </c:pt>
                <c:pt idx="315">
                  <c:v>0.73255545774192499</c:v>
                </c:pt>
                <c:pt idx="316">
                  <c:v>0.74258970300151861</c:v>
                </c:pt>
                <c:pt idx="317">
                  <c:v>0.74844507336636135</c:v>
                </c:pt>
                <c:pt idx="318">
                  <c:v>0.77893428137700682</c:v>
                </c:pt>
                <c:pt idx="319">
                  <c:v>0.78371741325869382</c:v>
                </c:pt>
                <c:pt idx="320">
                  <c:v>0.7914864360088929</c:v>
                </c:pt>
                <c:pt idx="321">
                  <c:v>0.80808342930667132</c:v>
                </c:pt>
                <c:pt idx="322">
                  <c:v>0.81643234827063926</c:v>
                </c:pt>
                <c:pt idx="323">
                  <c:v>0.82794023224202973</c:v>
                </c:pt>
                <c:pt idx="324">
                  <c:v>0.83361742346055501</c:v>
                </c:pt>
                <c:pt idx="325">
                  <c:v>0.84720077695598384</c:v>
                </c:pt>
                <c:pt idx="326">
                  <c:v>0.8534981078051288</c:v>
                </c:pt>
                <c:pt idx="327">
                  <c:v>0.86418422319002008</c:v>
                </c:pt>
                <c:pt idx="328">
                  <c:v>0.87264012009621761</c:v>
                </c:pt>
                <c:pt idx="329">
                  <c:v>0.87970525767098529</c:v>
                </c:pt>
                <c:pt idx="330">
                  <c:v>0.88224971223868354</c:v>
                </c:pt>
                <c:pt idx="331">
                  <c:v>0.88428252049290279</c:v>
                </c:pt>
                <c:pt idx="332">
                  <c:v>0.89210317838710018</c:v>
                </c:pt>
                <c:pt idx="333">
                  <c:v>0.89328897781380623</c:v>
                </c:pt>
                <c:pt idx="334">
                  <c:v>0.89925474334883049</c:v>
                </c:pt>
                <c:pt idx="335">
                  <c:v>0.92150618089199277</c:v>
                </c:pt>
                <c:pt idx="336">
                  <c:v>0.9235433462638315</c:v>
                </c:pt>
                <c:pt idx="337">
                  <c:v>0.92900557209987766</c:v>
                </c:pt>
                <c:pt idx="338">
                  <c:v>0.93448737390407655</c:v>
                </c:pt>
                <c:pt idx="339">
                  <c:v>0.96387111404314918</c:v>
                </c:pt>
                <c:pt idx="340">
                  <c:v>0.96668836786536427</c:v>
                </c:pt>
                <c:pt idx="341">
                  <c:v>0.9792108710792421</c:v>
                </c:pt>
                <c:pt idx="342">
                  <c:v>0.99045257304542067</c:v>
                </c:pt>
                <c:pt idx="343">
                  <c:v>0.99590616832095791</c:v>
                </c:pt>
                <c:pt idx="344">
                  <c:v>0.99879597785625729</c:v>
                </c:pt>
                <c:pt idx="345">
                  <c:v>1.0160259092109321</c:v>
                </c:pt>
                <c:pt idx="346">
                  <c:v>1.04461770630526</c:v>
                </c:pt>
                <c:pt idx="347">
                  <c:v>1.0807560254323885</c:v>
                </c:pt>
                <c:pt idx="348">
                  <c:v>1.1069048065287981</c:v>
                </c:pt>
                <c:pt idx="349">
                  <c:v>1.1097334264431693</c:v>
                </c:pt>
                <c:pt idx="350">
                  <c:v>1.1280247387124049</c:v>
                </c:pt>
                <c:pt idx="351">
                  <c:v>1.1659795306247449</c:v>
                </c:pt>
                <c:pt idx="352">
                  <c:v>1.1660321456416034</c:v>
                </c:pt>
                <c:pt idx="353">
                  <c:v>1.1863106075738008</c:v>
                </c:pt>
                <c:pt idx="354">
                  <c:v>1.1899727275032896</c:v>
                </c:pt>
                <c:pt idx="355">
                  <c:v>1.2143705581244542</c:v>
                </c:pt>
                <c:pt idx="356">
                  <c:v>1.2394515341278651</c:v>
                </c:pt>
                <c:pt idx="357">
                  <c:v>1.26708074925088</c:v>
                </c:pt>
                <c:pt idx="358">
                  <c:v>1.2915705569901503</c:v>
                </c:pt>
                <c:pt idx="359">
                  <c:v>1.3082330687569519</c:v>
                </c:pt>
                <c:pt idx="360">
                  <c:v>1.3160037932020494</c:v>
                </c:pt>
                <c:pt idx="361">
                  <c:v>1.3348865121336095</c:v>
                </c:pt>
                <c:pt idx="362">
                  <c:v>1.4296443982960441</c:v>
                </c:pt>
                <c:pt idx="363">
                  <c:v>1.4343249307838992</c:v>
                </c:pt>
                <c:pt idx="364">
                  <c:v>1.482908951694333</c:v>
                </c:pt>
                <c:pt idx="365">
                  <c:v>1.4945061059531675</c:v>
                </c:pt>
                <c:pt idx="366">
                  <c:v>1.539587675300794</c:v>
                </c:pt>
                <c:pt idx="367">
                  <c:v>1.5500221062846573</c:v>
                </c:pt>
                <c:pt idx="368">
                  <c:v>1.5535500258921526</c:v>
                </c:pt>
                <c:pt idx="369">
                  <c:v>1.5585580298512536</c:v>
                </c:pt>
                <c:pt idx="370">
                  <c:v>1.5747836013923129</c:v>
                </c:pt>
                <c:pt idx="371">
                  <c:v>1.5748070831006031</c:v>
                </c:pt>
                <c:pt idx="372">
                  <c:v>1.5766853430851646</c:v>
                </c:pt>
                <c:pt idx="373">
                  <c:v>1.5835184219573573</c:v>
                </c:pt>
                <c:pt idx="374">
                  <c:v>1.6231038143843988</c:v>
                </c:pt>
                <c:pt idx="375">
                  <c:v>1.6395545081768079</c:v>
                </c:pt>
                <c:pt idx="376">
                  <c:v>1.6896822821993771</c:v>
                </c:pt>
                <c:pt idx="377">
                  <c:v>1.8285518903811393</c:v>
                </c:pt>
                <c:pt idx="378">
                  <c:v>1.8307638951688041</c:v>
                </c:pt>
                <c:pt idx="379">
                  <c:v>1.937883735039764</c:v>
                </c:pt>
                <c:pt idx="380">
                  <c:v>1.9447162353916565</c:v>
                </c:pt>
                <c:pt idx="381">
                  <c:v>2.0304757137130016</c:v>
                </c:pt>
                <c:pt idx="382">
                  <c:v>2.1111674999819705</c:v>
                </c:pt>
                <c:pt idx="383">
                  <c:v>2.2990445774735213</c:v>
                </c:pt>
                <c:pt idx="384">
                  <c:v>2.3790723412149868</c:v>
                </c:pt>
                <c:pt idx="385">
                  <c:v>2.6212478115325442</c:v>
                </c:pt>
                <c:pt idx="386">
                  <c:v>2.7473960479992194</c:v>
                </c:pt>
                <c:pt idx="387">
                  <c:v>2.9429591190884881</c:v>
                </c:pt>
                <c:pt idx="388">
                  <c:v>3.1819916573400091</c:v>
                </c:pt>
                <c:pt idx="389">
                  <c:v>3.2394353065249786</c:v>
                </c:pt>
                <c:pt idx="390">
                  <c:v>3.4720773077781244</c:v>
                </c:pt>
                <c:pt idx="391">
                  <c:v>4.2007262122566926</c:v>
                </c:pt>
              </c:numCache>
            </c:numRef>
          </c:yVal>
          <c:smooth val="0"/>
          <c:extLst>
            <c:ext xmlns:c16="http://schemas.microsoft.com/office/drawing/2014/chart" uri="{C3380CC4-5D6E-409C-BE32-E72D297353CC}">
              <c16:uniqueId val="{00000002-D6F2-425D-A3D1-EB95AE48E35E}"/>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3-D6F2-425D-A3D1-EB95AE48E35E}"/>
            </c:ext>
          </c:extLst>
        </c:ser>
        <c:dLbls>
          <c:showLegendKey val="0"/>
          <c:showVal val="0"/>
          <c:showCatName val="0"/>
          <c:showSerName val="0"/>
          <c:showPercent val="0"/>
          <c:showBubbleSize val="0"/>
        </c:dLbls>
        <c:axId val="2083514336"/>
        <c:axId val="2087014960"/>
      </c:scatterChart>
      <c:valAx>
        <c:axId val="2083514336"/>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2087014960"/>
        <c:crosses val="autoZero"/>
        <c:crossBetween val="midCat"/>
      </c:valAx>
      <c:valAx>
        <c:axId val="2087014960"/>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08351433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2-59D1-424D-8F4A-FAF06E5FEE8A}"/>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yVal>
          <c:smooth val="0"/>
          <c:extLst>
            <c:ext xmlns:c16="http://schemas.microsoft.com/office/drawing/2014/chart" uri="{C3380CC4-5D6E-409C-BE32-E72D297353CC}">
              <c16:uniqueId val="{00000003-59D1-424D-8F4A-FAF06E5FEE8A}"/>
            </c:ext>
          </c:extLst>
        </c:ser>
        <c:dLbls>
          <c:showLegendKey val="0"/>
          <c:showVal val="0"/>
          <c:showCatName val="0"/>
          <c:showSerName val="0"/>
          <c:showPercent val="0"/>
          <c:showBubbleSize val="0"/>
        </c:dLbls>
        <c:axId val="2083514800"/>
        <c:axId val="2087020240"/>
      </c:scatterChart>
      <c:valAx>
        <c:axId val="2083514800"/>
        <c:scaling>
          <c:orientation val="minMax"/>
          <c:max val="46.6"/>
          <c:min val="7.263249526262052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087020240"/>
        <c:crosses val="autoZero"/>
        <c:crossBetween val="midCat"/>
      </c:valAx>
      <c:valAx>
        <c:axId val="2087020240"/>
        <c:scaling>
          <c:orientation val="minMax"/>
          <c:max val="46.6"/>
          <c:min val="7.263249526262052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20835148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Regression!RegChartScaleLoc</c:f>
              <c:numCache>
                <c:formatCode>0.0000</c:formatCode>
                <c:ptCount val="392"/>
                <c:pt idx="0">
                  <c:v>0.6216835699240828</c:v>
                </c:pt>
                <c:pt idx="1">
                  <c:v>0.32252301815124151</c:v>
                </c:pt>
                <c:pt idx="2">
                  <c:v>0.61566920212507359</c:v>
                </c:pt>
                <c:pt idx="3">
                  <c:v>0.53843759691622139</c:v>
                </c:pt>
                <c:pt idx="4">
                  <c:v>0.12267204581319209</c:v>
                </c:pt>
                <c:pt idx="5">
                  <c:v>1.0798296836268224</c:v>
                </c:pt>
                <c:pt idx="6">
                  <c:v>0.98955084309965702</c:v>
                </c:pt>
                <c:pt idx="7">
                  <c:v>0.93792604061886742</c:v>
                </c:pt>
                <c:pt idx="8">
                  <c:v>1.0620850901469265</c:v>
                </c:pt>
                <c:pt idx="9">
                  <c:v>0.54361877053484187</c:v>
                </c:pt>
                <c:pt idx="10">
                  <c:v>0.54395718893235434</c:v>
                </c:pt>
                <c:pt idx="11">
                  <c:v>0.77723281226775198</c:v>
                </c:pt>
                <c:pt idx="12">
                  <c:v>0.26573888542849872</c:v>
                </c:pt>
                <c:pt idx="13">
                  <c:v>1.0866183182974118</c:v>
                </c:pt>
                <c:pt idx="14">
                  <c:v>0.63398061588185661</c:v>
                </c:pt>
                <c:pt idx="15">
                  <c:v>0.63220641939662936</c:v>
                </c:pt>
                <c:pt idx="16">
                  <c:v>1.012643413366467</c:v>
                </c:pt>
                <c:pt idx="17">
                  <c:v>0.63711084117379535</c:v>
                </c:pt>
                <c:pt idx="18">
                  <c:v>0.39387191196038535</c:v>
                </c:pt>
                <c:pt idx="19">
                  <c:v>0.93546163760686207</c:v>
                </c:pt>
                <c:pt idx="20">
                  <c:v>0.66392251515059952</c:v>
                </c:pt>
                <c:pt idx="21">
                  <c:v>0.53780807723013113</c:v>
                </c:pt>
                <c:pt idx="22">
                  <c:v>0.14316187490175963</c:v>
                </c:pt>
                <c:pt idx="23">
                  <c:v>0.41580346842637089</c:v>
                </c:pt>
                <c:pt idx="24">
                  <c:v>0.52437388846151989</c:v>
                </c:pt>
                <c:pt idx="25">
                  <c:v>0.23597321554900141</c:v>
                </c:pt>
                <c:pt idx="26">
                  <c:v>0.65451662359874119</c:v>
                </c:pt>
                <c:pt idx="27">
                  <c:v>0.17713715773974717</c:v>
                </c:pt>
                <c:pt idx="28">
                  <c:v>0.44646864141416392</c:v>
                </c:pt>
                <c:pt idx="29">
                  <c:v>0.38708963609019109</c:v>
                </c:pt>
                <c:pt idx="30">
                  <c:v>1.0534388574773428</c:v>
                </c:pt>
                <c:pt idx="31">
                  <c:v>0.78428024317281664</c:v>
                </c:pt>
                <c:pt idx="32">
                  <c:v>1.1012687386073343</c:v>
                </c:pt>
                <c:pt idx="33">
                  <c:v>0.90932581790506628</c:v>
                </c:pt>
                <c:pt idx="34">
                  <c:v>0.84052743497250282</c:v>
                </c:pt>
                <c:pt idx="35">
                  <c:v>0.38912849936561394</c:v>
                </c:pt>
                <c:pt idx="36">
                  <c:v>0.66526320408288031</c:v>
                </c:pt>
                <c:pt idx="37">
                  <c:v>0.36020188891108434</c:v>
                </c:pt>
                <c:pt idx="38">
                  <c:v>0.78467166287669288</c:v>
                </c:pt>
                <c:pt idx="39">
                  <c:v>0.16768929600372146</c:v>
                </c:pt>
                <c:pt idx="40">
                  <c:v>0.37702919510026844</c:v>
                </c:pt>
                <c:pt idx="41">
                  <c:v>0.89893460791465318</c:v>
                </c:pt>
                <c:pt idx="42">
                  <c:v>0.8558945365767473</c:v>
                </c:pt>
                <c:pt idx="43">
                  <c:v>1.1976330534783595</c:v>
                </c:pt>
                <c:pt idx="44">
                  <c:v>0.9681777000068067</c:v>
                </c:pt>
                <c:pt idx="45">
                  <c:v>0.86434301566667515</c:v>
                </c:pt>
                <c:pt idx="46">
                  <c:v>0.34620345314375045</c:v>
                </c:pt>
                <c:pt idx="47">
                  <c:v>0.87149649625907699</c:v>
                </c:pt>
                <c:pt idx="48">
                  <c:v>0.81001476795245797</c:v>
                </c:pt>
                <c:pt idx="49">
                  <c:v>0.47437549885161051</c:v>
                </c:pt>
                <c:pt idx="50">
                  <c:v>0.83798094419596936</c:v>
                </c:pt>
                <c:pt idx="51">
                  <c:v>0.84841211618517065</c:v>
                </c:pt>
                <c:pt idx="52">
                  <c:v>0.67747869632526003</c:v>
                </c:pt>
                <c:pt idx="53">
                  <c:v>1.2449988378647818</c:v>
                </c:pt>
                <c:pt idx="54">
                  <c:v>0.87364238290614249</c:v>
                </c:pt>
                <c:pt idx="55">
                  <c:v>0.43522641000122991</c:v>
                </c:pt>
                <c:pt idx="56">
                  <c:v>0.66627457300451265</c:v>
                </c:pt>
                <c:pt idx="57">
                  <c:v>0.49029842522025485</c:v>
                </c:pt>
                <c:pt idx="58">
                  <c:v>1.0021352724726131</c:v>
                </c:pt>
                <c:pt idx="59">
                  <c:v>0.94787840710625015</c:v>
                </c:pt>
                <c:pt idx="60">
                  <c:v>0.94628190997434025</c:v>
                </c:pt>
                <c:pt idx="61">
                  <c:v>0.56949441562144754</c:v>
                </c:pt>
                <c:pt idx="62">
                  <c:v>0.94829043196102658</c:v>
                </c:pt>
                <c:pt idx="63">
                  <c:v>0.82109672070844986</c:v>
                </c:pt>
                <c:pt idx="64">
                  <c:v>0.5896372656582507</c:v>
                </c:pt>
                <c:pt idx="65">
                  <c:v>0.74814771971246685</c:v>
                </c:pt>
                <c:pt idx="66">
                  <c:v>0.70724008801635629</c:v>
                </c:pt>
                <c:pt idx="67">
                  <c:v>0.80971713262300726</c:v>
                </c:pt>
                <c:pt idx="68">
                  <c:v>0.52097111290586229</c:v>
                </c:pt>
                <c:pt idx="69">
                  <c:v>0.84357965599246887</c:v>
                </c:pt>
                <c:pt idx="70">
                  <c:v>1.4197661180447385</c:v>
                </c:pt>
                <c:pt idx="71">
                  <c:v>0.51462100495796637</c:v>
                </c:pt>
                <c:pt idx="72">
                  <c:v>0.40207795082024833</c:v>
                </c:pt>
                <c:pt idx="73">
                  <c:v>0.47255035663583905</c:v>
                </c:pt>
                <c:pt idx="74">
                  <c:v>0.49382757190368354</c:v>
                </c:pt>
                <c:pt idx="75">
                  <c:v>1.0991534609623064</c:v>
                </c:pt>
                <c:pt idx="76">
                  <c:v>0.88379882573473556</c:v>
                </c:pt>
                <c:pt idx="77">
                  <c:v>0.51345908822923758</c:v>
                </c:pt>
                <c:pt idx="78">
                  <c:v>0.16282613978564014</c:v>
                </c:pt>
                <c:pt idx="79">
                  <c:v>0.52392622953585688</c:v>
                </c:pt>
                <c:pt idx="80">
                  <c:v>0.94513966048082343</c:v>
                </c:pt>
                <c:pt idx="81">
                  <c:v>0.6175395839593073</c:v>
                </c:pt>
                <c:pt idx="82">
                  <c:v>1.1437801662718898</c:v>
                </c:pt>
                <c:pt idx="83">
                  <c:v>0.46851945550355423</c:v>
                </c:pt>
                <c:pt idx="84">
                  <c:v>0.45164931585000245</c:v>
                </c:pt>
                <c:pt idx="85">
                  <c:v>0.56239734180429835</c:v>
                </c:pt>
                <c:pt idx="86">
                  <c:v>0.38052933371651076</c:v>
                </c:pt>
                <c:pt idx="87">
                  <c:v>0.48314326892849319</c:v>
                </c:pt>
                <c:pt idx="88">
                  <c:v>0.43575979752854432</c:v>
                </c:pt>
                <c:pt idx="89">
                  <c:v>1.1956773805237113</c:v>
                </c:pt>
                <c:pt idx="90">
                  <c:v>0.82514562301775674</c:v>
                </c:pt>
                <c:pt idx="91">
                  <c:v>0.74377212222131706</c:v>
                </c:pt>
                <c:pt idx="92">
                  <c:v>0.79365390689846371</c:v>
                </c:pt>
                <c:pt idx="93">
                  <c:v>1.2224999410851387</c:v>
                </c:pt>
                <c:pt idx="94">
                  <c:v>1.2583792838239818</c:v>
                </c:pt>
                <c:pt idx="95">
                  <c:v>0.51412773147926627</c:v>
                </c:pt>
                <c:pt idx="96">
                  <c:v>0.39753589313855953</c:v>
                </c:pt>
                <c:pt idx="97">
                  <c:v>0.76463206499073577</c:v>
                </c:pt>
                <c:pt idx="98">
                  <c:v>0.6929012219737215</c:v>
                </c:pt>
                <c:pt idx="99">
                  <c:v>0.64671240292671006</c:v>
                </c:pt>
                <c:pt idx="100">
                  <c:v>1.0395941638122006</c:v>
                </c:pt>
                <c:pt idx="101">
                  <c:v>0.65976782484825103</c:v>
                </c:pt>
                <c:pt idx="102">
                  <c:v>0.95995113463758808</c:v>
                </c:pt>
                <c:pt idx="103">
                  <c:v>1.0891788684939683</c:v>
                </c:pt>
                <c:pt idx="104">
                  <c:v>1.0520954360364834</c:v>
                </c:pt>
                <c:pt idx="105">
                  <c:v>0.75417889617209688</c:v>
                </c:pt>
                <c:pt idx="106">
                  <c:v>0.86135011282857987</c:v>
                </c:pt>
                <c:pt idx="107">
                  <c:v>1.2998915580824677</c:v>
                </c:pt>
                <c:pt idx="108">
                  <c:v>0.74293057634054682</c:v>
                </c:pt>
                <c:pt idx="109">
                  <c:v>0.90709407372393547</c:v>
                </c:pt>
                <c:pt idx="110">
                  <c:v>1.6144141690522229</c:v>
                </c:pt>
                <c:pt idx="111">
                  <c:v>1.1398337826267726</c:v>
                </c:pt>
                <c:pt idx="112">
                  <c:v>0.49283990732632271</c:v>
                </c:pt>
                <c:pt idx="113">
                  <c:v>0.57869527360311313</c:v>
                </c:pt>
                <c:pt idx="114">
                  <c:v>0.82087749641928009</c:v>
                </c:pt>
                <c:pt idx="115">
                  <c:v>1.3530572401671719</c:v>
                </c:pt>
                <c:pt idx="116">
                  <c:v>0.66533360104104944</c:v>
                </c:pt>
                <c:pt idx="117">
                  <c:v>0.769279035550264</c:v>
                </c:pt>
                <c:pt idx="118">
                  <c:v>1.0586990173002293</c:v>
                </c:pt>
                <c:pt idx="119">
                  <c:v>0.92653730162095493</c:v>
                </c:pt>
                <c:pt idx="120">
                  <c:v>0.66594436215113317</c:v>
                </c:pt>
                <c:pt idx="121">
                  <c:v>0.66540008693852704</c:v>
                </c:pt>
                <c:pt idx="122">
                  <c:v>0.78481507966018593</c:v>
                </c:pt>
                <c:pt idx="123">
                  <c:v>1.0813189875725466</c:v>
                </c:pt>
                <c:pt idx="124">
                  <c:v>0.4828873845099686</c:v>
                </c:pt>
                <c:pt idx="125">
                  <c:v>0.93731040513778852</c:v>
                </c:pt>
                <c:pt idx="126">
                  <c:v>1.2152926940939668</c:v>
                </c:pt>
                <c:pt idx="127">
                  <c:v>0.8080265608571866</c:v>
                </c:pt>
                <c:pt idx="128">
                  <c:v>0.76650361380594267</c:v>
                </c:pt>
                <c:pt idx="129">
                  <c:v>0.88527815586893022</c:v>
                </c:pt>
                <c:pt idx="130">
                  <c:v>0.61664167953927951</c:v>
                </c:pt>
                <c:pt idx="131">
                  <c:v>0.6283788815346677</c:v>
                </c:pt>
                <c:pt idx="132">
                  <c:v>0.76864909419672045</c:v>
                </c:pt>
                <c:pt idx="133">
                  <c:v>0.12853623442288903</c:v>
                </c:pt>
                <c:pt idx="134">
                  <c:v>0.65635018552107927</c:v>
                </c:pt>
                <c:pt idx="135">
                  <c:v>0.65475968301768805</c:v>
                </c:pt>
                <c:pt idx="136">
                  <c:v>0.59349476115193089</c:v>
                </c:pt>
                <c:pt idx="137">
                  <c:v>0.77870029507606819</c:v>
                </c:pt>
                <c:pt idx="138">
                  <c:v>0.11695206450119637</c:v>
                </c:pt>
                <c:pt idx="139">
                  <c:v>0.75364651590656651</c:v>
                </c:pt>
                <c:pt idx="140">
                  <c:v>0.97843287440326376</c:v>
                </c:pt>
                <c:pt idx="141">
                  <c:v>0.57105797863669716</c:v>
                </c:pt>
                <c:pt idx="142">
                  <c:v>0.24868556221167759</c:v>
                </c:pt>
                <c:pt idx="143">
                  <c:v>1.0220654119503605</c:v>
                </c:pt>
                <c:pt idx="144">
                  <c:v>0.82399806667600828</c:v>
                </c:pt>
                <c:pt idx="145">
                  <c:v>1.1565133685267366</c:v>
                </c:pt>
                <c:pt idx="146">
                  <c:v>0.6586664605780691</c:v>
                </c:pt>
                <c:pt idx="147">
                  <c:v>0.78271896553691456</c:v>
                </c:pt>
                <c:pt idx="148">
                  <c:v>0.36236983710095555</c:v>
                </c:pt>
                <c:pt idx="149">
                  <c:v>0.88257253604279284</c:v>
                </c:pt>
                <c:pt idx="150">
                  <c:v>0.2945948694174309</c:v>
                </c:pt>
                <c:pt idx="151">
                  <c:v>0.19252850306295907</c:v>
                </c:pt>
                <c:pt idx="152">
                  <c:v>1.124619169070094</c:v>
                </c:pt>
                <c:pt idx="153">
                  <c:v>1.3127066006733252</c:v>
                </c:pt>
                <c:pt idx="154">
                  <c:v>1.2998777951020539</c:v>
                </c:pt>
                <c:pt idx="155">
                  <c:v>0.91302651848703442</c:v>
                </c:pt>
                <c:pt idx="156">
                  <c:v>1.1364728580085626</c:v>
                </c:pt>
                <c:pt idx="157">
                  <c:v>0.94036297273600833</c:v>
                </c:pt>
                <c:pt idx="158">
                  <c:v>0.64158897524005598</c:v>
                </c:pt>
                <c:pt idx="159">
                  <c:v>0.18787196592272326</c:v>
                </c:pt>
                <c:pt idx="160">
                  <c:v>0.74210745548188173</c:v>
                </c:pt>
                <c:pt idx="161">
                  <c:v>0.67730495748156794</c:v>
                </c:pt>
                <c:pt idx="162">
                  <c:v>0.52935867819606464</c:v>
                </c:pt>
                <c:pt idx="163">
                  <c:v>0.50379779368416722</c:v>
                </c:pt>
                <c:pt idx="164">
                  <c:v>1.4365443545758738</c:v>
                </c:pt>
                <c:pt idx="165">
                  <c:v>0.7796071500834606</c:v>
                </c:pt>
                <c:pt idx="166">
                  <c:v>0.35517241994279181</c:v>
                </c:pt>
                <c:pt idx="167">
                  <c:v>0.562621352513484</c:v>
                </c:pt>
                <c:pt idx="168">
                  <c:v>0.14134424969928566</c:v>
                </c:pt>
                <c:pt idx="169">
                  <c:v>0.22432993069858875</c:v>
                </c:pt>
                <c:pt idx="170">
                  <c:v>0.78801561610381421</c:v>
                </c:pt>
                <c:pt idx="171">
                  <c:v>0.55725389355828814</c:v>
                </c:pt>
                <c:pt idx="172">
                  <c:v>0.93760300493069892</c:v>
                </c:pt>
                <c:pt idx="173">
                  <c:v>0.47550281234571073</c:v>
                </c:pt>
                <c:pt idx="174">
                  <c:v>0.45046108934359519</c:v>
                </c:pt>
                <c:pt idx="175">
                  <c:v>0.60210985478963819</c:v>
                </c:pt>
                <c:pt idx="176">
                  <c:v>0.21034972420647621</c:v>
                </c:pt>
                <c:pt idx="177">
                  <c:v>0.50568274077729247</c:v>
                </c:pt>
                <c:pt idx="178">
                  <c:v>0.61399465559333322</c:v>
                </c:pt>
                <c:pt idx="179">
                  <c:v>1.0908587110635775</c:v>
                </c:pt>
                <c:pt idx="180">
                  <c:v>0.78031384034748785</c:v>
                </c:pt>
                <c:pt idx="181">
                  <c:v>0.91045822344612448</c:v>
                </c:pt>
                <c:pt idx="182">
                  <c:v>0.6846298886674097</c:v>
                </c:pt>
                <c:pt idx="183">
                  <c:v>0.44497778964629442</c:v>
                </c:pt>
                <c:pt idx="184">
                  <c:v>0.42682081855872489</c:v>
                </c:pt>
                <c:pt idx="185">
                  <c:v>0.99939780761029151</c:v>
                </c:pt>
                <c:pt idx="186">
                  <c:v>0.71614501441271139</c:v>
                </c:pt>
                <c:pt idx="187">
                  <c:v>0.4448532404128111</c:v>
                </c:pt>
                <c:pt idx="188">
                  <c:v>0.26037809108457333</c:v>
                </c:pt>
                <c:pt idx="189">
                  <c:v>0.79083162578982191</c:v>
                </c:pt>
                <c:pt idx="190">
                  <c:v>0.92384961319747749</c:v>
                </c:pt>
                <c:pt idx="191">
                  <c:v>0.90356646035067023</c:v>
                </c:pt>
                <c:pt idx="192">
                  <c:v>0.69950704735384306</c:v>
                </c:pt>
                <c:pt idx="193">
                  <c:v>0.82525217517052019</c:v>
                </c:pt>
                <c:pt idx="194">
                  <c:v>0.74668108920057996</c:v>
                </c:pt>
                <c:pt idx="195">
                  <c:v>0.18201111480420518</c:v>
                </c:pt>
                <c:pt idx="196">
                  <c:v>0.96384935135106964</c:v>
                </c:pt>
                <c:pt idx="197">
                  <c:v>0.81579679754354095</c:v>
                </c:pt>
                <c:pt idx="198">
                  <c:v>0.49814625716852368</c:v>
                </c:pt>
                <c:pt idx="199">
                  <c:v>0.45922766953911348</c:v>
                </c:pt>
                <c:pt idx="200">
                  <c:v>0.9796698206438289</c:v>
                </c:pt>
                <c:pt idx="201">
                  <c:v>0.22394520020005787</c:v>
                </c:pt>
                <c:pt idx="202">
                  <c:v>1.007981105582308</c:v>
                </c:pt>
                <c:pt idx="203">
                  <c:v>0.11007256038455718</c:v>
                </c:pt>
                <c:pt idx="204">
                  <c:v>0.92043510197948442</c:v>
                </c:pt>
                <c:pt idx="205">
                  <c:v>0.90140005167141324</c:v>
                </c:pt>
                <c:pt idx="206">
                  <c:v>0.95032473198144019</c:v>
                </c:pt>
                <c:pt idx="207">
                  <c:v>1.0106470693835974</c:v>
                </c:pt>
                <c:pt idx="208">
                  <c:v>1.2356655210745169</c:v>
                </c:pt>
                <c:pt idx="209">
                  <c:v>0.86866098056849972</c:v>
                </c:pt>
                <c:pt idx="210">
                  <c:v>1.0798053207058878</c:v>
                </c:pt>
                <c:pt idx="211">
                  <c:v>0.85805910271124008</c:v>
                </c:pt>
                <c:pt idx="212">
                  <c:v>1.0614803401672221</c:v>
                </c:pt>
                <c:pt idx="213">
                  <c:v>1.1023464053537446</c:v>
                </c:pt>
                <c:pt idx="214">
                  <c:v>0.67387694073487625</c:v>
                </c:pt>
                <c:pt idx="215">
                  <c:v>0.9445121377658946</c:v>
                </c:pt>
                <c:pt idx="216">
                  <c:v>1.2549038215705268</c:v>
                </c:pt>
                <c:pt idx="217">
                  <c:v>0.52817806228871278</c:v>
                </c:pt>
                <c:pt idx="218">
                  <c:v>0.98176937925520436</c:v>
                </c:pt>
                <c:pt idx="219">
                  <c:v>0.11440057026715063</c:v>
                </c:pt>
                <c:pt idx="220">
                  <c:v>0.25628513901988592</c:v>
                </c:pt>
                <c:pt idx="221">
                  <c:v>0.49059207962845103</c:v>
                </c:pt>
                <c:pt idx="222">
                  <c:v>0.47721415108614978</c:v>
                </c:pt>
                <c:pt idx="223">
                  <c:v>0.89907459207286711</c:v>
                </c:pt>
                <c:pt idx="224">
                  <c:v>4.9601950415608997E-2</c:v>
                </c:pt>
                <c:pt idx="225">
                  <c:v>0.42278935478496232</c:v>
                </c:pt>
                <c:pt idx="226">
                  <c:v>0.73033309340857655</c:v>
                </c:pt>
                <c:pt idx="227">
                  <c:v>0.50109901690302749</c:v>
                </c:pt>
                <c:pt idx="228">
                  <c:v>0.25209312915422505</c:v>
                </c:pt>
                <c:pt idx="229">
                  <c:v>0.56289614014029365</c:v>
                </c:pt>
                <c:pt idx="230">
                  <c:v>0.52583047719323306</c:v>
                </c:pt>
                <c:pt idx="231">
                  <c:v>0.68189571524191106</c:v>
                </c:pt>
                <c:pt idx="232">
                  <c:v>0.29582636364049641</c:v>
                </c:pt>
                <c:pt idx="233">
                  <c:v>0.9864342462066058</c:v>
                </c:pt>
                <c:pt idx="234">
                  <c:v>0.67148095562892873</c:v>
                </c:pt>
                <c:pt idx="235">
                  <c:v>0.88965523435142724</c:v>
                </c:pt>
                <c:pt idx="236">
                  <c:v>1.3945308298462449</c:v>
                </c:pt>
                <c:pt idx="237">
                  <c:v>0.3923097595352264</c:v>
                </c:pt>
                <c:pt idx="238">
                  <c:v>0.67884499479866678</c:v>
                </c:pt>
                <c:pt idx="239">
                  <c:v>1.1227508647870805</c:v>
                </c:pt>
                <c:pt idx="240">
                  <c:v>1.2981692677204579</c:v>
                </c:pt>
                <c:pt idx="241">
                  <c:v>1.2318855340477941</c:v>
                </c:pt>
                <c:pt idx="242">
                  <c:v>2.0495673231823082</c:v>
                </c:pt>
                <c:pt idx="243">
                  <c:v>1.5162600626124534</c:v>
                </c:pt>
                <c:pt idx="244">
                  <c:v>0.86512720068574966</c:v>
                </c:pt>
                <c:pt idx="245">
                  <c:v>1.7838137955907867</c:v>
                </c:pt>
                <c:pt idx="246">
                  <c:v>1.2556613170298607</c:v>
                </c:pt>
                <c:pt idx="247">
                  <c:v>0.46927062840817635</c:v>
                </c:pt>
                <c:pt idx="248">
                  <c:v>0.62932287755922789</c:v>
                </c:pt>
                <c:pt idx="249">
                  <c:v>0.615618883888152</c:v>
                </c:pt>
                <c:pt idx="250">
                  <c:v>0.44067714811435083</c:v>
                </c:pt>
                <c:pt idx="251">
                  <c:v>0.6741997527501441</c:v>
                </c:pt>
                <c:pt idx="252">
                  <c:v>0.96283307101210236</c:v>
                </c:pt>
                <c:pt idx="253">
                  <c:v>0.54960251871964072</c:v>
                </c:pt>
                <c:pt idx="254">
                  <c:v>0.18351326990590297</c:v>
                </c:pt>
                <c:pt idx="255">
                  <c:v>0.86863177262542624</c:v>
                </c:pt>
                <c:pt idx="256">
                  <c:v>9.8968093299999157E-2</c:v>
                </c:pt>
                <c:pt idx="257">
                  <c:v>0.74311457340756248</c:v>
                </c:pt>
                <c:pt idx="258">
                  <c:v>0.47275152523126773</c:v>
                </c:pt>
                <c:pt idx="259">
                  <c:v>0.82872582733503775</c:v>
                </c:pt>
                <c:pt idx="260">
                  <c:v>0.40465761814971285</c:v>
                </c:pt>
                <c:pt idx="261">
                  <c:v>0.72383517914687023</c:v>
                </c:pt>
                <c:pt idx="262">
                  <c:v>0.9652817932482316</c:v>
                </c:pt>
                <c:pt idx="263">
                  <c:v>0.58797379071325639</c:v>
                </c:pt>
                <c:pt idx="264">
                  <c:v>0.93415208617024326</c:v>
                </c:pt>
                <c:pt idx="265">
                  <c:v>0.42977485500237533</c:v>
                </c:pt>
                <c:pt idx="266">
                  <c:v>0.58499968222071874</c:v>
                </c:pt>
                <c:pt idx="267">
                  <c:v>1.1553728887824959</c:v>
                </c:pt>
                <c:pt idx="268">
                  <c:v>1.4210934246019173</c:v>
                </c:pt>
                <c:pt idx="269">
                  <c:v>0.44057670734716048</c:v>
                </c:pt>
                <c:pt idx="270">
                  <c:v>0.28587008887895454</c:v>
                </c:pt>
                <c:pt idx="271">
                  <c:v>1.1237799205301318</c:v>
                </c:pt>
                <c:pt idx="272">
                  <c:v>1.2940803610775782</c:v>
                </c:pt>
                <c:pt idx="273">
                  <c:v>1.4621689173672026</c:v>
                </c:pt>
                <c:pt idx="274">
                  <c:v>1.1125538360386904</c:v>
                </c:pt>
                <c:pt idx="275">
                  <c:v>1.3811852366923032</c:v>
                </c:pt>
                <c:pt idx="276">
                  <c:v>0.68318492026134381</c:v>
                </c:pt>
                <c:pt idx="277">
                  <c:v>0.10781176073301131</c:v>
                </c:pt>
                <c:pt idx="278">
                  <c:v>0.81472209360807923</c:v>
                </c:pt>
                <c:pt idx="279">
                  <c:v>1.3490802536850326</c:v>
                </c:pt>
                <c:pt idx="280">
                  <c:v>1.068128124329806</c:v>
                </c:pt>
                <c:pt idx="281">
                  <c:v>1.0946547995295095</c:v>
                </c:pt>
                <c:pt idx="282">
                  <c:v>0.8922161853928342</c:v>
                </c:pt>
                <c:pt idx="283">
                  <c:v>1.0380758062064921</c:v>
                </c:pt>
                <c:pt idx="284">
                  <c:v>1.0376510193411035</c:v>
                </c:pt>
                <c:pt idx="285">
                  <c:v>1.0038085245916462</c:v>
                </c:pt>
                <c:pt idx="286">
                  <c:v>0.81779574666662891</c:v>
                </c:pt>
                <c:pt idx="287">
                  <c:v>0.3185236933392801</c:v>
                </c:pt>
                <c:pt idx="288">
                  <c:v>1.0734996460103441</c:v>
                </c:pt>
                <c:pt idx="289">
                  <c:v>0.87661006698837485</c:v>
                </c:pt>
                <c:pt idx="290">
                  <c:v>0.55098097991249251</c:v>
                </c:pt>
                <c:pt idx="291">
                  <c:v>0.55956860774968387</c:v>
                </c:pt>
                <c:pt idx="292">
                  <c:v>0.65904254249869054</c:v>
                </c:pt>
                <c:pt idx="293">
                  <c:v>1.2804509003381612</c:v>
                </c:pt>
                <c:pt idx="294">
                  <c:v>0.3739653881823311</c:v>
                </c:pt>
                <c:pt idx="295">
                  <c:v>0.51685717808165166</c:v>
                </c:pt>
                <c:pt idx="296">
                  <c:v>0.99521483763327234</c:v>
                </c:pt>
                <c:pt idx="297">
                  <c:v>0.50930985739502765</c:v>
                </c:pt>
                <c:pt idx="298">
                  <c:v>0.54147631541168539</c:v>
                </c:pt>
                <c:pt idx="299">
                  <c:v>1.2484222161797882</c:v>
                </c:pt>
                <c:pt idx="300">
                  <c:v>1.254913177514924</c:v>
                </c:pt>
                <c:pt idx="301">
                  <c:v>0.5087926844079772</c:v>
                </c:pt>
                <c:pt idx="302">
                  <c:v>1.3522395832030429</c:v>
                </c:pt>
                <c:pt idx="303">
                  <c:v>0.72531248958619998</c:v>
                </c:pt>
                <c:pt idx="304">
                  <c:v>0.81928845982406195</c:v>
                </c:pt>
                <c:pt idx="305">
                  <c:v>0.42476988318019399</c:v>
                </c:pt>
                <c:pt idx="306">
                  <c:v>1.4249476178839002</c:v>
                </c:pt>
                <c:pt idx="307">
                  <c:v>1.3920789255784902</c:v>
                </c:pt>
                <c:pt idx="308">
                  <c:v>0.61107782751901607</c:v>
                </c:pt>
                <c:pt idx="309">
                  <c:v>0.79516384055390754</c:v>
                </c:pt>
                <c:pt idx="310">
                  <c:v>0.43195510794737901</c:v>
                </c:pt>
                <c:pt idx="311">
                  <c:v>0.97339607740662082</c:v>
                </c:pt>
                <c:pt idx="312">
                  <c:v>1.0802925259303646</c:v>
                </c:pt>
                <c:pt idx="313">
                  <c:v>1.2774746604753648</c:v>
                </c:pt>
                <c:pt idx="314">
                  <c:v>1.6531181862368927</c:v>
                </c:pt>
                <c:pt idx="315">
                  <c:v>0.62055201846907071</c:v>
                </c:pt>
                <c:pt idx="316">
                  <c:v>0.98850068394181168</c:v>
                </c:pt>
                <c:pt idx="317">
                  <c:v>0.91846656176489438</c:v>
                </c:pt>
                <c:pt idx="318">
                  <c:v>0.98320311628135326</c:v>
                </c:pt>
                <c:pt idx="319">
                  <c:v>1.0050541265593316</c:v>
                </c:pt>
                <c:pt idx="320">
                  <c:v>1.8633510962183495</c:v>
                </c:pt>
                <c:pt idx="321">
                  <c:v>0.83301968605816656</c:v>
                </c:pt>
                <c:pt idx="322">
                  <c:v>1.2408012231218963</c:v>
                </c:pt>
                <c:pt idx="323">
                  <c:v>1.6190268100104286</c:v>
                </c:pt>
                <c:pt idx="324">
                  <c:v>1.6575270881645403</c:v>
                </c:pt>
                <c:pt idx="325">
                  <c:v>1.2464148690914083</c:v>
                </c:pt>
                <c:pt idx="326">
                  <c:v>0.29194431698389517</c:v>
                </c:pt>
                <c:pt idx="327">
                  <c:v>1.5424241768122628</c:v>
                </c:pt>
                <c:pt idx="328">
                  <c:v>0.85019484471835682</c:v>
                </c:pt>
                <c:pt idx="329">
                  <c:v>1.5995662211964574</c:v>
                </c:pt>
                <c:pt idx="330">
                  <c:v>0.74603487264753043</c:v>
                </c:pt>
                <c:pt idx="331">
                  <c:v>1.8578704523107537</c:v>
                </c:pt>
                <c:pt idx="332">
                  <c:v>0.65707182308418388</c:v>
                </c:pt>
                <c:pt idx="333">
                  <c:v>0.95795026734906541</c:v>
                </c:pt>
                <c:pt idx="334">
                  <c:v>0.82658443458621778</c:v>
                </c:pt>
                <c:pt idx="335">
                  <c:v>0.79876668590071576</c:v>
                </c:pt>
                <c:pt idx="336">
                  <c:v>0.94179686818817987</c:v>
                </c:pt>
                <c:pt idx="337">
                  <c:v>1.1755306284305473</c:v>
                </c:pt>
                <c:pt idx="338">
                  <c:v>0.26950587457377961</c:v>
                </c:pt>
                <c:pt idx="339">
                  <c:v>1.1019848266307728</c:v>
                </c:pt>
                <c:pt idx="340">
                  <c:v>1.4529857191252675</c:v>
                </c:pt>
                <c:pt idx="341">
                  <c:v>0.31420322201663342</c:v>
                </c:pt>
                <c:pt idx="342">
                  <c:v>0.69209247285424436</c:v>
                </c:pt>
                <c:pt idx="343">
                  <c:v>0.96101162649773986</c:v>
                </c:pt>
                <c:pt idx="344">
                  <c:v>1.1256468137257263</c:v>
                </c:pt>
                <c:pt idx="345">
                  <c:v>9.5253342283302553E-2</c:v>
                </c:pt>
                <c:pt idx="346">
                  <c:v>1.1133065768816175</c:v>
                </c:pt>
                <c:pt idx="347">
                  <c:v>0.92961509410616827</c:v>
                </c:pt>
                <c:pt idx="348">
                  <c:v>0.26832629526354868</c:v>
                </c:pt>
                <c:pt idx="349">
                  <c:v>0.20874667161331828</c:v>
                </c:pt>
                <c:pt idx="350">
                  <c:v>0.52437323288245097</c:v>
                </c:pt>
                <c:pt idx="351">
                  <c:v>0.27950942613999424</c:v>
                </c:pt>
                <c:pt idx="352">
                  <c:v>0.90991221128306099</c:v>
                </c:pt>
                <c:pt idx="353">
                  <c:v>0.536221115661771</c:v>
                </c:pt>
                <c:pt idx="354">
                  <c:v>0.44713831339967469</c:v>
                </c:pt>
                <c:pt idx="355">
                  <c:v>0.96668887130455605</c:v>
                </c:pt>
                <c:pt idx="356">
                  <c:v>1.0525996336222949</c:v>
                </c:pt>
                <c:pt idx="357">
                  <c:v>1.1989694862400766</c:v>
                </c:pt>
                <c:pt idx="358">
                  <c:v>0.76206455555314723</c:v>
                </c:pt>
                <c:pt idx="359">
                  <c:v>1.1471720852609906</c:v>
                </c:pt>
                <c:pt idx="360">
                  <c:v>1.4248857729443825</c:v>
                </c:pt>
                <c:pt idx="361">
                  <c:v>1.4960816577446872</c:v>
                </c:pt>
                <c:pt idx="362">
                  <c:v>0.87035456385760324</c:v>
                </c:pt>
                <c:pt idx="363">
                  <c:v>1.0151852631455833</c:v>
                </c:pt>
                <c:pt idx="364">
                  <c:v>0.9392814872223787</c:v>
                </c:pt>
                <c:pt idx="365">
                  <c:v>0.41454766462754822</c:v>
                </c:pt>
                <c:pt idx="366">
                  <c:v>0.76264682872681211</c:v>
                </c:pt>
                <c:pt idx="367">
                  <c:v>0.92739924961118636</c:v>
                </c:pt>
                <c:pt idx="368">
                  <c:v>1.2754162888373675</c:v>
                </c:pt>
                <c:pt idx="369">
                  <c:v>0.36054364363533259</c:v>
                </c:pt>
                <c:pt idx="370">
                  <c:v>0.68223476848839903</c:v>
                </c:pt>
                <c:pt idx="371">
                  <c:v>1.2752915221704966</c:v>
                </c:pt>
                <c:pt idx="372">
                  <c:v>1.2740109161166551</c:v>
                </c:pt>
                <c:pt idx="373">
                  <c:v>0.99795098492909862</c:v>
                </c:pt>
                <c:pt idx="374">
                  <c:v>0.68452220763525962</c:v>
                </c:pt>
                <c:pt idx="375">
                  <c:v>0.68846529443489135</c:v>
                </c:pt>
                <c:pt idx="376">
                  <c:v>0.39031449926077283</c:v>
                </c:pt>
                <c:pt idx="377">
                  <c:v>0.83181869978257117</c:v>
                </c:pt>
                <c:pt idx="378">
                  <c:v>1.1432707873606107</c:v>
                </c:pt>
                <c:pt idx="379">
                  <c:v>0.86173644636949098</c:v>
                </c:pt>
                <c:pt idx="380">
                  <c:v>1.0314850226699779</c:v>
                </c:pt>
                <c:pt idx="381">
                  <c:v>1.7998431338661096</c:v>
                </c:pt>
                <c:pt idx="382">
                  <c:v>1.1974673953775787</c:v>
                </c:pt>
                <c:pt idx="383">
                  <c:v>1.4955276861900504</c:v>
                </c:pt>
                <c:pt idx="384">
                  <c:v>0.1752825338080562</c:v>
                </c:pt>
                <c:pt idx="385">
                  <c:v>1.2177474909415058</c:v>
                </c:pt>
                <c:pt idx="386">
                  <c:v>0.70634494347379195</c:v>
                </c:pt>
                <c:pt idx="387">
                  <c:v>0.88844773688118783</c:v>
                </c:pt>
                <c:pt idx="388">
                  <c:v>1.7155054995797852</c:v>
                </c:pt>
                <c:pt idx="389">
                  <c:v>0.16676739269024038</c:v>
                </c:pt>
                <c:pt idx="390">
                  <c:v>0.87895618352773497</c:v>
                </c:pt>
                <c:pt idx="391">
                  <c:v>0.63204367109224102</c:v>
                </c:pt>
              </c:numCache>
            </c:numRef>
          </c:yVal>
          <c:smooth val="0"/>
          <c:extLst>
            <c:ext xmlns:c16="http://schemas.microsoft.com/office/drawing/2014/chart" uri="{C3380CC4-5D6E-409C-BE32-E72D297353CC}">
              <c16:uniqueId val="{00000002-77AD-43F6-A2C9-179B959E201C}"/>
            </c:ext>
          </c:extLst>
        </c:ser>
        <c:dLbls>
          <c:showLegendKey val="0"/>
          <c:showVal val="0"/>
          <c:showCatName val="0"/>
          <c:showSerName val="0"/>
          <c:showPercent val="0"/>
          <c:showBubbleSize val="0"/>
        </c:dLbls>
        <c:axId val="2083514800"/>
        <c:axId val="2087024560"/>
      </c:scatterChart>
      <c:valAx>
        <c:axId val="208351480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87024560"/>
        <c:crosses val="autoZero"/>
        <c:crossBetween val="midCat"/>
      </c:valAx>
      <c:valAx>
        <c:axId val="2087024560"/>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0835148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3.6754428083898453E-4</c:v>
                </c:pt>
                <c:pt idx="1">
                  <c:v>2.34807289196539E-5</c:v>
                </c:pt>
                <c:pt idx="2">
                  <c:v>3.1059732014921516E-4</c:v>
                </c:pt>
                <c:pt idx="3">
                  <c:v>1.8173549121273713E-4</c:v>
                </c:pt>
                <c:pt idx="4">
                  <c:v>5.0380500510358217E-7</c:v>
                </c:pt>
                <c:pt idx="5">
                  <c:v>3.3692573430558702E-3</c:v>
                </c:pt>
                <c:pt idx="6">
                  <c:v>3.0063214519006724E-3</c:v>
                </c:pt>
                <c:pt idx="7">
                  <c:v>2.297282597575574E-3</c:v>
                </c:pt>
                <c:pt idx="8">
                  <c:v>4.1804729026989323E-3</c:v>
                </c:pt>
                <c:pt idx="9">
                  <c:v>2.214201314542533E-4</c:v>
                </c:pt>
                <c:pt idx="10">
                  <c:v>2.0077587758420966E-4</c:v>
                </c:pt>
                <c:pt idx="11">
                  <c:v>7.8733138753294416E-4</c:v>
                </c:pt>
                <c:pt idx="12">
                  <c:v>1.1219488900922424E-5</c:v>
                </c:pt>
                <c:pt idx="13">
                  <c:v>1.0355921898592959E-2</c:v>
                </c:pt>
                <c:pt idx="14">
                  <c:v>5.5292272908023029E-4</c:v>
                </c:pt>
                <c:pt idx="15">
                  <c:v>4.8179719659587972E-4</c:v>
                </c:pt>
                <c:pt idx="16">
                  <c:v>3.0471804305155937E-3</c:v>
                </c:pt>
                <c:pt idx="17">
                  <c:v>5.3100063365988423E-4</c:v>
                </c:pt>
                <c:pt idx="18">
                  <c:v>8.2410948129185235E-5</c:v>
                </c:pt>
                <c:pt idx="19">
                  <c:v>3.2940079133687945E-3</c:v>
                </c:pt>
                <c:pt idx="20">
                  <c:v>6.9656393771628427E-4</c:v>
                </c:pt>
                <c:pt idx="21">
                  <c:v>2.6757104145415611E-4</c:v>
                </c:pt>
                <c:pt idx="22">
                  <c:v>1.285837892010095E-6</c:v>
                </c:pt>
                <c:pt idx="23">
                  <c:v>9.1401420889604447E-5</c:v>
                </c:pt>
                <c:pt idx="24">
                  <c:v>2.3203088177442646E-4</c:v>
                </c:pt>
                <c:pt idx="25">
                  <c:v>8.705053750157693E-6</c:v>
                </c:pt>
                <c:pt idx="26">
                  <c:v>4.6074819083103937E-4</c:v>
                </c:pt>
                <c:pt idx="27">
                  <c:v>2.7027747579047299E-6</c:v>
                </c:pt>
                <c:pt idx="28">
                  <c:v>1.0654646364981789E-4</c:v>
                </c:pt>
                <c:pt idx="29">
                  <c:v>7.0215809939308985E-5</c:v>
                </c:pt>
                <c:pt idx="30">
                  <c:v>3.5652487247722739E-3</c:v>
                </c:pt>
                <c:pt idx="31">
                  <c:v>1.1944280641904474E-3</c:v>
                </c:pt>
                <c:pt idx="32">
                  <c:v>3.7854309026787501E-3</c:v>
                </c:pt>
                <c:pt idx="33">
                  <c:v>1.7090893677473593E-3</c:v>
                </c:pt>
                <c:pt idx="34">
                  <c:v>1.2533973309379685E-3</c:v>
                </c:pt>
                <c:pt idx="35">
                  <c:v>6.4644108034656565E-5</c:v>
                </c:pt>
                <c:pt idx="36">
                  <c:v>4.8578999244009346E-4</c:v>
                </c:pt>
                <c:pt idx="37">
                  <c:v>4.6561898072069656E-5</c:v>
                </c:pt>
                <c:pt idx="38">
                  <c:v>1.1301842896385282E-3</c:v>
                </c:pt>
                <c:pt idx="39">
                  <c:v>2.0682111384461643E-6</c:v>
                </c:pt>
                <c:pt idx="40">
                  <c:v>5.2020433725499967E-5</c:v>
                </c:pt>
                <c:pt idx="41">
                  <c:v>2.2281742354487285E-3</c:v>
                </c:pt>
                <c:pt idx="42">
                  <c:v>1.690061169542192E-3</c:v>
                </c:pt>
                <c:pt idx="43">
                  <c:v>7.7364623983457691E-3</c:v>
                </c:pt>
                <c:pt idx="44">
                  <c:v>2.1168747955341571E-3</c:v>
                </c:pt>
                <c:pt idx="45">
                  <c:v>1.5250187306289781E-3</c:v>
                </c:pt>
                <c:pt idx="46">
                  <c:v>3.5568681059557331E-5</c:v>
                </c:pt>
                <c:pt idx="47">
                  <c:v>1.5230080763382213E-3</c:v>
                </c:pt>
                <c:pt idx="48">
                  <c:v>1.2479823486709657E-3</c:v>
                </c:pt>
                <c:pt idx="49">
                  <c:v>1.7167428775597299E-4</c:v>
                </c:pt>
                <c:pt idx="50">
                  <c:v>1.5557403605267906E-3</c:v>
                </c:pt>
                <c:pt idx="51">
                  <c:v>1.6560625973104767E-3</c:v>
                </c:pt>
                <c:pt idx="52">
                  <c:v>6.7201268951934195E-4</c:v>
                </c:pt>
                <c:pt idx="53">
                  <c:v>7.9540200138242968E-3</c:v>
                </c:pt>
                <c:pt idx="54">
                  <c:v>1.8855578190512155E-3</c:v>
                </c:pt>
                <c:pt idx="55">
                  <c:v>1.1155389639298558E-4</c:v>
                </c:pt>
                <c:pt idx="56">
                  <c:v>5.8609937575260836E-4</c:v>
                </c:pt>
                <c:pt idx="57">
                  <c:v>1.8251494497609693E-4</c:v>
                </c:pt>
                <c:pt idx="58">
                  <c:v>3.4854916482902278E-3</c:v>
                </c:pt>
                <c:pt idx="59">
                  <c:v>2.2992117628888448E-3</c:v>
                </c:pt>
                <c:pt idx="60">
                  <c:v>2.4490999147277915E-3</c:v>
                </c:pt>
                <c:pt idx="61">
                  <c:v>2.6160164199702187E-4</c:v>
                </c:pt>
                <c:pt idx="62">
                  <c:v>2.1190915902930527E-3</c:v>
                </c:pt>
                <c:pt idx="63">
                  <c:v>1.0897083862935067E-3</c:v>
                </c:pt>
                <c:pt idx="64">
                  <c:v>2.8878407312035926E-4</c:v>
                </c:pt>
                <c:pt idx="65">
                  <c:v>7.540683395695733E-4</c:v>
                </c:pt>
                <c:pt idx="66">
                  <c:v>8.8009930219651864E-4</c:v>
                </c:pt>
                <c:pt idx="67">
                  <c:v>1.158815025469532E-3</c:v>
                </c:pt>
                <c:pt idx="68">
                  <c:v>1.9083071939234706E-4</c:v>
                </c:pt>
                <c:pt idx="69">
                  <c:v>1.5029811765241736E-3</c:v>
                </c:pt>
                <c:pt idx="70">
                  <c:v>1.2041954383457973E-2</c:v>
                </c:pt>
                <c:pt idx="71">
                  <c:v>1.6365819459319866E-4</c:v>
                </c:pt>
                <c:pt idx="72">
                  <c:v>6.9609488850078151E-5</c:v>
                </c:pt>
                <c:pt idx="73">
                  <c:v>1.3442287771775845E-4</c:v>
                </c:pt>
                <c:pt idx="74">
                  <c:v>1.4083972970042332E-4</c:v>
                </c:pt>
                <c:pt idx="75">
                  <c:v>4.4117497165024064E-3</c:v>
                </c:pt>
                <c:pt idx="76">
                  <c:v>1.8875104784440995E-3</c:v>
                </c:pt>
                <c:pt idx="77">
                  <c:v>2.2819180345161848E-4</c:v>
                </c:pt>
                <c:pt idx="78">
                  <c:v>2.1763544257762724E-6</c:v>
                </c:pt>
                <c:pt idx="79">
                  <c:v>2.1520678488999738E-4</c:v>
                </c:pt>
                <c:pt idx="80">
                  <c:v>2.3636637964117818E-3</c:v>
                </c:pt>
                <c:pt idx="81">
                  <c:v>4.2739652627326973E-4</c:v>
                </c:pt>
                <c:pt idx="82">
                  <c:v>5.3187978632043709E-3</c:v>
                </c:pt>
                <c:pt idx="83">
                  <c:v>1.4580616877093663E-4</c:v>
                </c:pt>
                <c:pt idx="84">
                  <c:v>7.7121370315234676E-5</c:v>
                </c:pt>
                <c:pt idx="85">
                  <c:v>1.633697648983552E-4</c:v>
                </c:pt>
                <c:pt idx="86">
                  <c:v>3.41072329342815E-5</c:v>
                </c:pt>
                <c:pt idx="87">
                  <c:v>9.6938152578108052E-5</c:v>
                </c:pt>
                <c:pt idx="88">
                  <c:v>5.7514649367666781E-5</c:v>
                </c:pt>
                <c:pt idx="89">
                  <c:v>4.6064966597044949E-3</c:v>
                </c:pt>
                <c:pt idx="90">
                  <c:v>9.4323127268055207E-4</c:v>
                </c:pt>
                <c:pt idx="91">
                  <c:v>5.4502843087953954E-4</c:v>
                </c:pt>
                <c:pt idx="92">
                  <c:v>6.9685566042903733E-4</c:v>
                </c:pt>
                <c:pt idx="93">
                  <c:v>6.1298740672773898E-3</c:v>
                </c:pt>
                <c:pt idx="94">
                  <c:v>7.5886080672865341E-3</c:v>
                </c:pt>
                <c:pt idx="95">
                  <c:v>1.473123904386963E-4</c:v>
                </c:pt>
                <c:pt idx="96">
                  <c:v>4.4993300213987257E-5</c:v>
                </c:pt>
                <c:pt idx="97">
                  <c:v>6.8042137360537316E-4</c:v>
                </c:pt>
                <c:pt idx="98">
                  <c:v>4.3036099915624349E-4</c:v>
                </c:pt>
                <c:pt idx="99">
                  <c:v>3.7937895031364449E-4</c:v>
                </c:pt>
                <c:pt idx="100">
                  <c:v>2.2745610997066666E-3</c:v>
                </c:pt>
                <c:pt idx="101">
                  <c:v>5.6548084865628765E-4</c:v>
                </c:pt>
                <c:pt idx="102">
                  <c:v>2.7438770542934508E-3</c:v>
                </c:pt>
                <c:pt idx="103">
                  <c:v>3.35375926789739E-3</c:v>
                </c:pt>
                <c:pt idx="104">
                  <c:v>2.4031468448560667E-3</c:v>
                </c:pt>
                <c:pt idx="105">
                  <c:v>6.0577184723648383E-4</c:v>
                </c:pt>
                <c:pt idx="106">
                  <c:v>1.0492289704715078E-3</c:v>
                </c:pt>
                <c:pt idx="107">
                  <c:v>7.0911158671741765E-3</c:v>
                </c:pt>
                <c:pt idx="108">
                  <c:v>7.443322664768201E-4</c:v>
                </c:pt>
                <c:pt idx="109">
                  <c:v>1.6532889736620513E-3</c:v>
                </c:pt>
                <c:pt idx="110">
                  <c:v>1.7043893646453555E-2</c:v>
                </c:pt>
                <c:pt idx="111">
                  <c:v>3.9250309517006171E-3</c:v>
                </c:pt>
                <c:pt idx="112">
                  <c:v>1.3339369925580096E-4</c:v>
                </c:pt>
                <c:pt idx="113">
                  <c:v>2.6968379516022147E-4</c:v>
                </c:pt>
                <c:pt idx="114">
                  <c:v>7.6627389377137119E-4</c:v>
                </c:pt>
                <c:pt idx="115">
                  <c:v>1.5232369994827872E-2</c:v>
                </c:pt>
                <c:pt idx="116">
                  <c:v>5.6051582264195177E-4</c:v>
                </c:pt>
                <c:pt idx="117">
                  <c:v>8.5837605658505305E-4</c:v>
                </c:pt>
                <c:pt idx="118">
                  <c:v>2.9233755109492575E-3</c:v>
                </c:pt>
                <c:pt idx="119">
                  <c:v>1.7068052633930145E-3</c:v>
                </c:pt>
                <c:pt idx="120">
                  <c:v>3.663291417823262E-4</c:v>
                </c:pt>
                <c:pt idx="121">
                  <c:v>4.6355127300932699E-4</c:v>
                </c:pt>
                <c:pt idx="122">
                  <c:v>9.2443789980417546E-4</c:v>
                </c:pt>
                <c:pt idx="123">
                  <c:v>3.5214511972825654E-3</c:v>
                </c:pt>
                <c:pt idx="124">
                  <c:v>1.3911385496748123E-4</c:v>
                </c:pt>
                <c:pt idx="125">
                  <c:v>2.0209788357389603E-3</c:v>
                </c:pt>
                <c:pt idx="126">
                  <c:v>5.6155672815874852E-3</c:v>
                </c:pt>
                <c:pt idx="127">
                  <c:v>1.3085644958385797E-3</c:v>
                </c:pt>
                <c:pt idx="128">
                  <c:v>9.8121962635278667E-4</c:v>
                </c:pt>
                <c:pt idx="129">
                  <c:v>1.9128386377732154E-3</c:v>
                </c:pt>
                <c:pt idx="130">
                  <c:v>4.0258837650253195E-4</c:v>
                </c:pt>
                <c:pt idx="131">
                  <c:v>4.7423777402829249E-4</c:v>
                </c:pt>
                <c:pt idx="132">
                  <c:v>9.1667782099527856E-4</c:v>
                </c:pt>
                <c:pt idx="133">
                  <c:v>7.3485180761357239E-7</c:v>
                </c:pt>
                <c:pt idx="134">
                  <c:v>5.1499756946704319E-4</c:v>
                </c:pt>
                <c:pt idx="135">
                  <c:v>6.1753686570022647E-4</c:v>
                </c:pt>
                <c:pt idx="136">
                  <c:v>3.7562131648234085E-4</c:v>
                </c:pt>
                <c:pt idx="137">
                  <c:v>1.2668404438458728E-3</c:v>
                </c:pt>
                <c:pt idx="138">
                  <c:v>5.3713449731715359E-7</c:v>
                </c:pt>
                <c:pt idx="139">
                  <c:v>1.0437196977374377E-3</c:v>
                </c:pt>
                <c:pt idx="140">
                  <c:v>2.9239765362483101E-3</c:v>
                </c:pt>
                <c:pt idx="141">
                  <c:v>3.2938884363680192E-4</c:v>
                </c:pt>
                <c:pt idx="142">
                  <c:v>1.2221370089460612E-5</c:v>
                </c:pt>
                <c:pt idx="143">
                  <c:v>3.365726204821601E-3</c:v>
                </c:pt>
                <c:pt idx="144">
                  <c:v>1.4723016665139849E-3</c:v>
                </c:pt>
                <c:pt idx="145">
                  <c:v>5.6980339185633885E-3</c:v>
                </c:pt>
                <c:pt idx="146">
                  <c:v>5.8209173033592408E-4</c:v>
                </c:pt>
                <c:pt idx="147">
                  <c:v>1.1655083173075383E-3</c:v>
                </c:pt>
                <c:pt idx="148">
                  <c:v>5.3282971853456959E-5</c:v>
                </c:pt>
                <c:pt idx="149">
                  <c:v>1.9176603742006981E-3</c:v>
                </c:pt>
                <c:pt idx="150">
                  <c:v>1.6423450272720468E-5</c:v>
                </c:pt>
                <c:pt idx="151">
                  <c:v>2.9344256287308819E-6</c:v>
                </c:pt>
                <c:pt idx="152">
                  <c:v>4.7930164375910266E-3</c:v>
                </c:pt>
                <c:pt idx="153">
                  <c:v>7.7830325589615043E-3</c:v>
                </c:pt>
                <c:pt idx="154">
                  <c:v>7.8805652842904063E-3</c:v>
                </c:pt>
                <c:pt idx="155">
                  <c:v>1.7163587022957112E-3</c:v>
                </c:pt>
                <c:pt idx="156">
                  <c:v>4.1842892969318861E-3</c:v>
                </c:pt>
                <c:pt idx="157">
                  <c:v>2.1046924450569644E-3</c:v>
                </c:pt>
                <c:pt idx="158">
                  <c:v>4.0237065341328126E-4</c:v>
                </c:pt>
                <c:pt idx="159">
                  <c:v>3.0971924792745049E-6</c:v>
                </c:pt>
                <c:pt idx="160">
                  <c:v>6.7035362396424773E-4</c:v>
                </c:pt>
                <c:pt idx="161">
                  <c:v>5.5451159645289157E-4</c:v>
                </c:pt>
                <c:pt idx="162">
                  <c:v>1.8376966255360998E-4</c:v>
                </c:pt>
                <c:pt idx="163">
                  <c:v>1.4088353926934238E-4</c:v>
                </c:pt>
                <c:pt idx="164">
                  <c:v>1.1411024261701269E-2</c:v>
                </c:pt>
                <c:pt idx="165">
                  <c:v>1.0759320631190616E-3</c:v>
                </c:pt>
                <c:pt idx="166">
                  <c:v>3.8545143009552257E-5</c:v>
                </c:pt>
                <c:pt idx="167">
                  <c:v>2.3182860362914372E-4</c:v>
                </c:pt>
                <c:pt idx="168">
                  <c:v>9.7743494523160525E-7</c:v>
                </c:pt>
                <c:pt idx="169">
                  <c:v>7.3578717392995239E-6</c:v>
                </c:pt>
                <c:pt idx="170">
                  <c:v>1.1042361165811147E-3</c:v>
                </c:pt>
                <c:pt idx="171">
                  <c:v>2.8547663095470542E-4</c:v>
                </c:pt>
                <c:pt idx="172">
                  <c:v>1.7261967878924593E-3</c:v>
                </c:pt>
                <c:pt idx="173">
                  <c:v>1.6052171099173177E-4</c:v>
                </c:pt>
                <c:pt idx="174">
                  <c:v>9.1731960876766412E-5</c:v>
                </c:pt>
                <c:pt idx="175">
                  <c:v>3.8281358385704688E-4</c:v>
                </c:pt>
                <c:pt idx="176">
                  <c:v>5.5714349909394559E-6</c:v>
                </c:pt>
                <c:pt idx="177">
                  <c:v>1.8806854102407716E-4</c:v>
                </c:pt>
                <c:pt idx="178">
                  <c:v>5.0629714512212727E-4</c:v>
                </c:pt>
                <c:pt idx="179">
                  <c:v>4.3254101044937513E-3</c:v>
                </c:pt>
                <c:pt idx="180">
                  <c:v>9.3603107765154691E-4</c:v>
                </c:pt>
                <c:pt idx="181">
                  <c:v>1.797685789047434E-3</c:v>
                </c:pt>
                <c:pt idx="182">
                  <c:v>4.9314571829620513E-4</c:v>
                </c:pt>
                <c:pt idx="183">
                  <c:v>9.765941011693387E-5</c:v>
                </c:pt>
                <c:pt idx="184">
                  <c:v>8.8700600488571737E-5</c:v>
                </c:pt>
                <c:pt idx="185">
                  <c:v>2.132490305725493E-3</c:v>
                </c:pt>
                <c:pt idx="186">
                  <c:v>5.6435892396387193E-4</c:v>
                </c:pt>
                <c:pt idx="187">
                  <c:v>8.2836039655796013E-5</c:v>
                </c:pt>
                <c:pt idx="188">
                  <c:v>9.9786410096223046E-6</c:v>
                </c:pt>
                <c:pt idx="189">
                  <c:v>7.509848928351564E-4</c:v>
                </c:pt>
                <c:pt idx="190">
                  <c:v>1.3872122881645962E-3</c:v>
                </c:pt>
                <c:pt idx="191">
                  <c:v>1.4132422684014045E-3</c:v>
                </c:pt>
                <c:pt idx="192">
                  <c:v>4.7774766919710722E-4</c:v>
                </c:pt>
                <c:pt idx="193">
                  <c:v>1.2529702681123756E-3</c:v>
                </c:pt>
                <c:pt idx="194">
                  <c:v>7.8839270533019774E-4</c:v>
                </c:pt>
                <c:pt idx="195">
                  <c:v>2.9666174993551399E-6</c:v>
                </c:pt>
                <c:pt idx="196">
                  <c:v>2.430212241802746E-3</c:v>
                </c:pt>
                <c:pt idx="197">
                  <c:v>9.7414680643075503E-4</c:v>
                </c:pt>
                <c:pt idx="198">
                  <c:v>1.804579520529167E-4</c:v>
                </c:pt>
                <c:pt idx="199">
                  <c:v>8.8371472904510444E-5</c:v>
                </c:pt>
                <c:pt idx="200">
                  <c:v>1.8054730036373983E-3</c:v>
                </c:pt>
                <c:pt idx="201">
                  <c:v>7.2135723349850473E-6</c:v>
                </c:pt>
                <c:pt idx="202">
                  <c:v>2.7975061003270257E-3</c:v>
                </c:pt>
                <c:pt idx="203">
                  <c:v>3.9129992780615229E-7</c:v>
                </c:pt>
                <c:pt idx="204">
                  <c:v>1.595401683831486E-3</c:v>
                </c:pt>
                <c:pt idx="205">
                  <c:v>1.7467117093002043E-3</c:v>
                </c:pt>
                <c:pt idx="206">
                  <c:v>1.7592596334059286E-3</c:v>
                </c:pt>
                <c:pt idx="207">
                  <c:v>3.0564674748133577E-3</c:v>
                </c:pt>
                <c:pt idx="208">
                  <c:v>6.4772014803550016E-3</c:v>
                </c:pt>
                <c:pt idx="209">
                  <c:v>1.8424991340947824E-3</c:v>
                </c:pt>
                <c:pt idx="210">
                  <c:v>3.8013662770483487E-3</c:v>
                </c:pt>
                <c:pt idx="211">
                  <c:v>1.1231914493353005E-3</c:v>
                </c:pt>
                <c:pt idx="212">
                  <c:v>2.4886122643385461E-3</c:v>
                </c:pt>
                <c:pt idx="213">
                  <c:v>3.3500178156531464E-3</c:v>
                </c:pt>
                <c:pt idx="214">
                  <c:v>6.0591474413001676E-4</c:v>
                </c:pt>
                <c:pt idx="215">
                  <c:v>2.3145490611005772E-3</c:v>
                </c:pt>
                <c:pt idx="216">
                  <c:v>7.8703278063428847E-3</c:v>
                </c:pt>
                <c:pt idx="217">
                  <c:v>2.3010283096977808E-4</c:v>
                </c:pt>
                <c:pt idx="218">
                  <c:v>2.7211822643756441E-3</c:v>
                </c:pt>
                <c:pt idx="219">
                  <c:v>4.1528067158141236E-7</c:v>
                </c:pt>
                <c:pt idx="220">
                  <c:v>1.374721736872366E-5</c:v>
                </c:pt>
                <c:pt idx="221">
                  <c:v>1.4626070451054007E-4</c:v>
                </c:pt>
                <c:pt idx="222">
                  <c:v>1.5320306744409423E-4</c:v>
                </c:pt>
                <c:pt idx="223">
                  <c:v>1.5644948348165081E-3</c:v>
                </c:pt>
                <c:pt idx="224">
                  <c:v>1.4582748947170539E-8</c:v>
                </c:pt>
                <c:pt idx="225">
                  <c:v>8.8496100589804255E-5</c:v>
                </c:pt>
                <c:pt idx="226">
                  <c:v>7.6394464843268105E-4</c:v>
                </c:pt>
                <c:pt idx="227">
                  <c:v>1.9758759791664929E-4</c:v>
                </c:pt>
                <c:pt idx="228">
                  <c:v>1.1468956821846464E-5</c:v>
                </c:pt>
                <c:pt idx="229">
                  <c:v>3.4758605236243426E-4</c:v>
                </c:pt>
                <c:pt idx="230">
                  <c:v>2.0485049891335791E-4</c:v>
                </c:pt>
                <c:pt idx="231">
                  <c:v>7.1073948431203671E-4</c:v>
                </c:pt>
                <c:pt idx="232">
                  <c:v>1.8745056327978849E-5</c:v>
                </c:pt>
                <c:pt idx="233">
                  <c:v>2.7688696773164527E-3</c:v>
                </c:pt>
                <c:pt idx="234">
                  <c:v>4.9552907027581336E-4</c:v>
                </c:pt>
                <c:pt idx="235">
                  <c:v>1.8657578421682358E-3</c:v>
                </c:pt>
                <c:pt idx="236">
                  <c:v>1.1643930329232586E-2</c:v>
                </c:pt>
                <c:pt idx="237">
                  <c:v>6.9675617228154668E-5</c:v>
                </c:pt>
                <c:pt idx="238">
                  <c:v>6.5438157939957074E-4</c:v>
                </c:pt>
                <c:pt idx="239">
                  <c:v>4.791418281541465E-3</c:v>
                </c:pt>
                <c:pt idx="240">
                  <c:v>9.6043353193524268E-3</c:v>
                </c:pt>
                <c:pt idx="241">
                  <c:v>6.8690855003637292E-3</c:v>
                </c:pt>
                <c:pt idx="242">
                  <c:v>4.6959959279888761E-2</c:v>
                </c:pt>
                <c:pt idx="243">
                  <c:v>1.4175460654412718E-2</c:v>
                </c:pt>
                <c:pt idx="244">
                  <c:v>1.4805288140072991E-3</c:v>
                </c:pt>
                <c:pt idx="245">
                  <c:v>2.409028614825447E-2</c:v>
                </c:pt>
                <c:pt idx="246">
                  <c:v>6.0570846398093712E-3</c:v>
                </c:pt>
                <c:pt idx="247">
                  <c:v>8.8675516438309517E-5</c:v>
                </c:pt>
                <c:pt idx="248">
                  <c:v>3.0289446441747052E-4</c:v>
                </c:pt>
                <c:pt idx="249">
                  <c:v>2.8027998610575947E-4</c:v>
                </c:pt>
                <c:pt idx="250">
                  <c:v>7.66746634500931E-5</c:v>
                </c:pt>
                <c:pt idx="251">
                  <c:v>3.9596916404452566E-4</c:v>
                </c:pt>
                <c:pt idx="252">
                  <c:v>1.7161009038441971E-3</c:v>
                </c:pt>
                <c:pt idx="253">
                  <c:v>1.7494475780529764E-4</c:v>
                </c:pt>
                <c:pt idx="254">
                  <c:v>2.31012867798152E-6</c:v>
                </c:pt>
                <c:pt idx="255">
                  <c:v>1.1754212964191057E-3</c:v>
                </c:pt>
                <c:pt idx="256">
                  <c:v>1.8192816649843895E-7</c:v>
                </c:pt>
                <c:pt idx="257">
                  <c:v>6.3078274113854678E-4</c:v>
                </c:pt>
                <c:pt idx="258">
                  <c:v>1.0077273787285113E-4</c:v>
                </c:pt>
                <c:pt idx="259">
                  <c:v>8.5073862793208152E-4</c:v>
                </c:pt>
                <c:pt idx="260">
                  <c:v>5.8971136076672969E-5</c:v>
                </c:pt>
                <c:pt idx="261">
                  <c:v>8.3326283140426507E-4</c:v>
                </c:pt>
                <c:pt idx="262">
                  <c:v>1.9674980339091886E-3</c:v>
                </c:pt>
                <c:pt idx="263">
                  <c:v>2.4813602777608177E-4</c:v>
                </c:pt>
                <c:pt idx="264">
                  <c:v>1.73402773982469E-3</c:v>
                </c:pt>
                <c:pt idx="265">
                  <c:v>8.1712338986331064E-5</c:v>
                </c:pt>
                <c:pt idx="266">
                  <c:v>2.8493018540551589E-4</c:v>
                </c:pt>
                <c:pt idx="267">
                  <c:v>3.9362088773436318E-3</c:v>
                </c:pt>
                <c:pt idx="268">
                  <c:v>9.7253797156011245E-3</c:v>
                </c:pt>
                <c:pt idx="269">
                  <c:v>7.4400837671903121E-5</c:v>
                </c:pt>
                <c:pt idx="270">
                  <c:v>1.3036241783376027E-5</c:v>
                </c:pt>
                <c:pt idx="271">
                  <c:v>3.8234802921392566E-3</c:v>
                </c:pt>
                <c:pt idx="272">
                  <c:v>7.3600217544443651E-3</c:v>
                </c:pt>
                <c:pt idx="273">
                  <c:v>1.3507185613380037E-2</c:v>
                </c:pt>
                <c:pt idx="274">
                  <c:v>4.3542221406322424E-3</c:v>
                </c:pt>
                <c:pt idx="275">
                  <c:v>1.1369816866149523E-2</c:v>
                </c:pt>
                <c:pt idx="276">
                  <c:v>5.5545715540963815E-4</c:v>
                </c:pt>
                <c:pt idx="277">
                  <c:v>3.2715896315122653E-7</c:v>
                </c:pt>
                <c:pt idx="278">
                  <c:v>9.5393026049185375E-4</c:v>
                </c:pt>
                <c:pt idx="279">
                  <c:v>7.5226280013666914E-3</c:v>
                </c:pt>
                <c:pt idx="280">
                  <c:v>2.8829331984404493E-3</c:v>
                </c:pt>
                <c:pt idx="281">
                  <c:v>3.3731143674384807E-3</c:v>
                </c:pt>
                <c:pt idx="282">
                  <c:v>1.3579036099850713E-3</c:v>
                </c:pt>
                <c:pt idx="283">
                  <c:v>2.6367413490506341E-3</c:v>
                </c:pt>
                <c:pt idx="284">
                  <c:v>2.5812756200590935E-3</c:v>
                </c:pt>
                <c:pt idx="285">
                  <c:v>2.3702172657121263E-3</c:v>
                </c:pt>
                <c:pt idx="286">
                  <c:v>1.0193912173724509E-3</c:v>
                </c:pt>
                <c:pt idx="287">
                  <c:v>2.7125005284353174E-5</c:v>
                </c:pt>
                <c:pt idx="288">
                  <c:v>3.1801117960045147E-3</c:v>
                </c:pt>
                <c:pt idx="289">
                  <c:v>1.2930022535661641E-3</c:v>
                </c:pt>
                <c:pt idx="290">
                  <c:v>2.2740583656844949E-4</c:v>
                </c:pt>
                <c:pt idx="291">
                  <c:v>3.12088131316136E-4</c:v>
                </c:pt>
                <c:pt idx="292">
                  <c:v>5.8692470421661575E-4</c:v>
                </c:pt>
                <c:pt idx="293">
                  <c:v>8.5663255114177064E-3</c:v>
                </c:pt>
                <c:pt idx="294">
                  <c:v>4.4908750776935722E-5</c:v>
                </c:pt>
                <c:pt idx="295">
                  <c:v>3.3430031485072394E-4</c:v>
                </c:pt>
                <c:pt idx="296">
                  <c:v>2.2941891516981274E-3</c:v>
                </c:pt>
                <c:pt idx="297">
                  <c:v>2.7179456028937041E-4</c:v>
                </c:pt>
                <c:pt idx="298">
                  <c:v>2.1635245811846756E-4</c:v>
                </c:pt>
                <c:pt idx="299">
                  <c:v>6.2860466992159317E-3</c:v>
                </c:pt>
                <c:pt idx="300">
                  <c:v>6.5431503106133538E-3</c:v>
                </c:pt>
                <c:pt idx="301">
                  <c:v>2.0855291577570649E-4</c:v>
                </c:pt>
                <c:pt idx="302">
                  <c:v>1.009198993344795E-2</c:v>
                </c:pt>
                <c:pt idx="303">
                  <c:v>6.3192329082867879E-4</c:v>
                </c:pt>
                <c:pt idx="304">
                  <c:v>1.3219268319857665E-3</c:v>
                </c:pt>
                <c:pt idx="305">
                  <c:v>8.8993893524178441E-5</c:v>
                </c:pt>
                <c:pt idx="306">
                  <c:v>9.7910413829515944E-3</c:v>
                </c:pt>
                <c:pt idx="307">
                  <c:v>1.1625515480960857E-2</c:v>
                </c:pt>
                <c:pt idx="308">
                  <c:v>3.6644549050544065E-4</c:v>
                </c:pt>
                <c:pt idx="309">
                  <c:v>1.3116666064299904E-3</c:v>
                </c:pt>
                <c:pt idx="310">
                  <c:v>9.0854569129831202E-5</c:v>
                </c:pt>
                <c:pt idx="311">
                  <c:v>2.5929603784530155E-3</c:v>
                </c:pt>
                <c:pt idx="312">
                  <c:v>3.7943507873432376E-3</c:v>
                </c:pt>
                <c:pt idx="313">
                  <c:v>7.3712586997697633E-3</c:v>
                </c:pt>
                <c:pt idx="314">
                  <c:v>2.2225518853665093E-2</c:v>
                </c:pt>
                <c:pt idx="315">
                  <c:v>4.5938133914691137E-4</c:v>
                </c:pt>
                <c:pt idx="316">
                  <c:v>2.592493482164753E-3</c:v>
                </c:pt>
                <c:pt idx="317">
                  <c:v>1.9409652460273955E-3</c:v>
                </c:pt>
                <c:pt idx="318">
                  <c:v>2.5080789491045362E-3</c:v>
                </c:pt>
                <c:pt idx="319">
                  <c:v>2.6537921553327799E-3</c:v>
                </c:pt>
                <c:pt idx="320">
                  <c:v>3.1509345424163913E-2</c:v>
                </c:pt>
                <c:pt idx="321">
                  <c:v>1.4451526667439193E-3</c:v>
                </c:pt>
                <c:pt idx="322">
                  <c:v>6.1954015492519943E-3</c:v>
                </c:pt>
                <c:pt idx="323">
                  <c:v>2.0873683660506931E-2</c:v>
                </c:pt>
                <c:pt idx="324">
                  <c:v>2.4238765461914558E-2</c:v>
                </c:pt>
                <c:pt idx="325">
                  <c:v>8.512579252521876E-3</c:v>
                </c:pt>
                <c:pt idx="326">
                  <c:v>3.0396331523534392E-5</c:v>
                </c:pt>
                <c:pt idx="327">
                  <c:v>1.5138834664552051E-2</c:v>
                </c:pt>
                <c:pt idx="328">
                  <c:v>1.362935193344648E-3</c:v>
                </c:pt>
                <c:pt idx="329">
                  <c:v>2.0426309022841115E-2</c:v>
                </c:pt>
                <c:pt idx="330">
                  <c:v>1.0666275308936534E-3</c:v>
                </c:pt>
                <c:pt idx="331">
                  <c:v>3.3725966329777535E-2</c:v>
                </c:pt>
                <c:pt idx="332">
                  <c:v>5.7449906899618758E-4</c:v>
                </c:pt>
                <c:pt idx="333">
                  <c:v>2.2025036410607212E-3</c:v>
                </c:pt>
                <c:pt idx="334">
                  <c:v>1.2221021344029587E-3</c:v>
                </c:pt>
                <c:pt idx="335">
                  <c:v>1.0261645662393696E-3</c:v>
                </c:pt>
                <c:pt idx="336">
                  <c:v>2.0445968935016087E-3</c:v>
                </c:pt>
                <c:pt idx="337">
                  <c:v>5.4963222423871387E-3</c:v>
                </c:pt>
                <c:pt idx="338">
                  <c:v>1.4363995595847449E-5</c:v>
                </c:pt>
                <c:pt idx="339">
                  <c:v>3.7984921914540185E-3</c:v>
                </c:pt>
                <c:pt idx="340">
                  <c:v>1.3865269089159291E-2</c:v>
                </c:pt>
                <c:pt idx="341">
                  <c:v>2.5143442298404685E-5</c:v>
                </c:pt>
                <c:pt idx="342">
                  <c:v>5.8371953236483322E-4</c:v>
                </c:pt>
                <c:pt idx="343">
                  <c:v>2.1699524290074955E-3</c:v>
                </c:pt>
                <c:pt idx="344">
                  <c:v>4.1160404126380449E-3</c:v>
                </c:pt>
                <c:pt idx="345">
                  <c:v>2.0974923110860871E-7</c:v>
                </c:pt>
                <c:pt idx="346">
                  <c:v>4.2137008791074829E-3</c:v>
                </c:pt>
                <c:pt idx="347">
                  <c:v>2.1614175219013573E-3</c:v>
                </c:pt>
                <c:pt idx="348">
                  <c:v>1.3799396962001494E-5</c:v>
                </c:pt>
                <c:pt idx="349">
                  <c:v>6.1398716568037402E-6</c:v>
                </c:pt>
                <c:pt idx="350">
                  <c:v>1.9321108768246162E-4</c:v>
                </c:pt>
                <c:pt idx="351">
                  <c:v>1.5831434276901405E-5</c:v>
                </c:pt>
                <c:pt idx="352">
                  <c:v>1.8833516818890722E-3</c:v>
                </c:pt>
                <c:pt idx="353">
                  <c:v>2.3559477951898205E-4</c:v>
                </c:pt>
                <c:pt idx="354">
                  <c:v>1.6001116978650996E-4</c:v>
                </c:pt>
                <c:pt idx="355">
                  <c:v>3.4755931599012753E-3</c:v>
                </c:pt>
                <c:pt idx="356">
                  <c:v>3.6816435904011803E-3</c:v>
                </c:pt>
                <c:pt idx="357">
                  <c:v>6.3685165871422179E-3</c:v>
                </c:pt>
                <c:pt idx="358">
                  <c:v>8.3750582565428268E-4</c:v>
                </c:pt>
                <c:pt idx="359">
                  <c:v>4.8578202243035511E-3</c:v>
                </c:pt>
                <c:pt idx="360">
                  <c:v>1.0279387077060626E-2</c:v>
                </c:pt>
                <c:pt idx="361">
                  <c:v>1.4946822807055393E-2</c:v>
                </c:pt>
                <c:pt idx="362">
                  <c:v>1.2464009927449339E-3</c:v>
                </c:pt>
                <c:pt idx="363">
                  <c:v>2.2981735940034403E-3</c:v>
                </c:pt>
                <c:pt idx="364">
                  <c:v>1.7811442916589161E-3</c:v>
                </c:pt>
                <c:pt idx="365">
                  <c:v>6.4192953679571388E-5</c:v>
                </c:pt>
                <c:pt idx="366">
                  <c:v>7.3928958454274989E-4</c:v>
                </c:pt>
                <c:pt idx="367">
                  <c:v>1.593021416841849E-3</c:v>
                </c:pt>
                <c:pt idx="368">
                  <c:v>5.7133387015121419E-3</c:v>
                </c:pt>
                <c:pt idx="369">
                  <c:v>5.3534806589597148E-5</c:v>
                </c:pt>
                <c:pt idx="370">
                  <c:v>5.6798869237322999E-4</c:v>
                </c:pt>
                <c:pt idx="371">
                  <c:v>6.8871388294999445E-3</c:v>
                </c:pt>
                <c:pt idx="372">
                  <c:v>6.1900720136637581E-3</c:v>
                </c:pt>
                <c:pt idx="373">
                  <c:v>2.3252585222383769E-3</c:v>
                </c:pt>
                <c:pt idx="374">
                  <c:v>5.9691306285993831E-4</c:v>
                </c:pt>
                <c:pt idx="375">
                  <c:v>6.0027357340988079E-4</c:v>
                </c:pt>
                <c:pt idx="376">
                  <c:v>6.3705487945309389E-5</c:v>
                </c:pt>
                <c:pt idx="377">
                  <c:v>1.2473156859063596E-3</c:v>
                </c:pt>
                <c:pt idx="378">
                  <c:v>4.4510051121384358E-3</c:v>
                </c:pt>
                <c:pt idx="379">
                  <c:v>1.442136083935238E-3</c:v>
                </c:pt>
                <c:pt idx="380">
                  <c:v>2.5357816141103389E-3</c:v>
                </c:pt>
                <c:pt idx="381">
                  <c:v>2.4396798261845723E-2</c:v>
                </c:pt>
                <c:pt idx="382">
                  <c:v>4.5320589621589431E-3</c:v>
                </c:pt>
                <c:pt idx="383">
                  <c:v>1.1725485358042654E-2</c:v>
                </c:pt>
                <c:pt idx="384">
                  <c:v>2.7494206600981862E-6</c:v>
                </c:pt>
                <c:pt idx="385">
                  <c:v>4.9770355711066501E-3</c:v>
                </c:pt>
                <c:pt idx="386">
                  <c:v>5.4855298049970834E-4</c:v>
                </c:pt>
                <c:pt idx="387">
                  <c:v>1.356299494152636E-3</c:v>
                </c:pt>
                <c:pt idx="388">
                  <c:v>2.7739153271081101E-2</c:v>
                </c:pt>
                <c:pt idx="389">
                  <c:v>1.7970117380838996E-6</c:v>
                </c:pt>
                <c:pt idx="390">
                  <c:v>1.3108660454863893E-3</c:v>
                </c:pt>
                <c:pt idx="391">
                  <c:v>3.4972597563339862E-4</c:v>
                </c:pt>
              </c:numCache>
            </c:numRef>
          </c:val>
          <c:extLst>
            <c:ext xmlns:c16="http://schemas.microsoft.com/office/drawing/2014/chart" uri="{C3380CC4-5D6E-409C-BE32-E72D297353CC}">
              <c16:uniqueId val="{00000002-781A-4E53-B02D-E1C4CF737CFE}"/>
            </c:ext>
          </c:extLst>
        </c:ser>
        <c:dLbls>
          <c:showLegendKey val="0"/>
          <c:showVal val="0"/>
          <c:showCatName val="0"/>
          <c:showSerName val="0"/>
          <c:showPercent val="0"/>
          <c:showBubbleSize val="0"/>
        </c:dLbls>
        <c:gapWidth val="150"/>
        <c:axId val="1654337232"/>
        <c:axId val="2087040880"/>
      </c:barChart>
      <c:catAx>
        <c:axId val="1654337232"/>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087040880"/>
        <c:crosses val="autoZero"/>
        <c:auto val="1"/>
        <c:lblAlgn val="ctr"/>
        <c:lblOffset val="100"/>
        <c:noMultiLvlLbl val="0"/>
      </c:catAx>
      <c:valAx>
        <c:axId val="2087040880"/>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65433723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0.38649046111355201</c:v>
                </c:pt>
                <c:pt idx="1">
                  <c:v>-0.10402109723738608</c:v>
                </c:pt>
                <c:pt idx="2">
                  <c:v>0.3790485664453247</c:v>
                </c:pt>
                <c:pt idx="3">
                  <c:v>-0.28991504577291533</c:v>
                </c:pt>
                <c:pt idx="4">
                  <c:v>1.5048430823993899E-2</c:v>
                </c:pt>
                <c:pt idx="5">
                  <c:v>1.1660321456416034</c:v>
                </c:pt>
                <c:pt idx="6">
                  <c:v>0.9792108710792421</c:v>
                </c:pt>
                <c:pt idx="7">
                  <c:v>0.87970525767098529</c:v>
                </c:pt>
                <c:pt idx="8">
                  <c:v>1.1280247387124049</c:v>
                </c:pt>
                <c:pt idx="9">
                  <c:v>0.29552136767781301</c:v>
                </c:pt>
                <c:pt idx="10">
                  <c:v>-0.29588942339118907</c:v>
                </c:pt>
                <c:pt idx="11">
                  <c:v>-0.60409084446563865</c:v>
                </c:pt>
                <c:pt idx="12">
                  <c:v>-7.0617155228780759E-2</c:v>
                </c:pt>
                <c:pt idx="13">
                  <c:v>-1.1807393696594954</c:v>
                </c:pt>
                <c:pt idx="14">
                  <c:v>-0.40193142131393816</c:v>
                </c:pt>
                <c:pt idx="15">
                  <c:v>0.39968495672630688</c:v>
                </c:pt>
                <c:pt idx="16">
                  <c:v>-1.0254466826344892</c:v>
                </c:pt>
                <c:pt idx="17">
                  <c:v>-0.40591022394118104</c:v>
                </c:pt>
                <c:pt idx="18">
                  <c:v>0.15513508303132956</c:v>
                </c:pt>
                <c:pt idx="19">
                  <c:v>-0.87508847543411206</c:v>
                </c:pt>
                <c:pt idx="20">
                  <c:v>0.4407931061238981</c:v>
                </c:pt>
                <c:pt idx="21">
                  <c:v>-0.28923752793397073</c:v>
                </c:pt>
                <c:pt idx="22">
                  <c:v>-2.0495322425387076E-2</c:v>
                </c:pt>
                <c:pt idx="23">
                  <c:v>0.17289252435540003</c:v>
                </c:pt>
                <c:pt idx="24">
                  <c:v>-0.27496797490025449</c:v>
                </c:pt>
                <c:pt idx="25">
                  <c:v>5.5683358456535478E-2</c:v>
                </c:pt>
                <c:pt idx="26">
                  <c:v>-0.4283920105670963</c:v>
                </c:pt>
                <c:pt idx="27">
                  <c:v>-3.1377572652116069E-2</c:v>
                </c:pt>
                <c:pt idx="28">
                  <c:v>-0.19933424776620928</c:v>
                </c:pt>
                <c:pt idx="29">
                  <c:v>-0.14983838636843658</c:v>
                </c:pt>
                <c:pt idx="30">
                  <c:v>1.1097334264431693</c:v>
                </c:pt>
                <c:pt idx="31">
                  <c:v>-0.61509549983121248</c:v>
                </c:pt>
                <c:pt idx="32">
                  <c:v>-1.2127928346337891</c:v>
                </c:pt>
                <c:pt idx="33">
                  <c:v>-0.8268734431087178</c:v>
                </c:pt>
                <c:pt idx="34">
                  <c:v>-0.70648636894145489</c:v>
                </c:pt>
                <c:pt idx="35">
                  <c:v>-0.15142098901853462</c:v>
                </c:pt>
                <c:pt idx="36">
                  <c:v>-0.44257513070662002</c:v>
                </c:pt>
                <c:pt idx="37">
                  <c:v>0.12974540077511315</c:v>
                </c:pt>
                <c:pt idx="38">
                  <c:v>0.61570961852167438</c:v>
                </c:pt>
                <c:pt idx="39">
                  <c:v>-2.8119699994223715E-2</c:v>
                </c:pt>
                <c:pt idx="40">
                  <c:v>-0.14215101395795629</c:v>
                </c:pt>
                <c:pt idx="41">
                  <c:v>0.80808342930667132</c:v>
                </c:pt>
                <c:pt idx="42">
                  <c:v>0.73255545774192499</c:v>
                </c:pt>
                <c:pt idx="43">
                  <c:v>1.4343249307838992</c:v>
                </c:pt>
                <c:pt idx="44">
                  <c:v>-0.93736805879047014</c:v>
                </c:pt>
                <c:pt idx="45">
                  <c:v>-0.74708884873176218</c:v>
                </c:pt>
                <c:pt idx="46">
                  <c:v>-0.119856830968657</c:v>
                </c:pt>
                <c:pt idx="47">
                  <c:v>-0.75950614299184738</c:v>
                </c:pt>
                <c:pt idx="48">
                  <c:v>-0.65612392430107436</c:v>
                </c:pt>
                <c:pt idx="49">
                  <c:v>0.22503211391071432</c:v>
                </c:pt>
                <c:pt idx="50">
                  <c:v>0.70221206283556825</c:v>
                </c:pt>
                <c:pt idx="51">
                  <c:v>0.71980311888979953</c:v>
                </c:pt>
                <c:pt idx="52">
                  <c:v>0.45897738397457388</c:v>
                </c:pt>
                <c:pt idx="53">
                  <c:v>1.5500221062846573</c:v>
                </c:pt>
                <c:pt idx="54">
                  <c:v>-0.76325101320992295</c:v>
                </c:pt>
                <c:pt idx="55">
                  <c:v>-0.18942202796255866</c:v>
                </c:pt>
                <c:pt idx="56">
                  <c:v>-0.44392180663234571</c:v>
                </c:pt>
                <c:pt idx="57">
                  <c:v>0.24039254577346184</c:v>
                </c:pt>
                <c:pt idx="58">
                  <c:v>-1.0042751043337586</c:v>
                </c:pt>
                <c:pt idx="59">
                  <c:v>-0.8984734746582822</c:v>
                </c:pt>
                <c:pt idx="60">
                  <c:v>-0.89544945314468549</c:v>
                </c:pt>
                <c:pt idx="61">
                  <c:v>0.32432388942401408</c:v>
                </c:pt>
                <c:pt idx="62">
                  <c:v>0.89925474334883049</c:v>
                </c:pt>
                <c:pt idx="63">
                  <c:v>0.6741998247581702</c:v>
                </c:pt>
                <c:pt idx="64">
                  <c:v>0.34767210505293855</c:v>
                </c:pt>
                <c:pt idx="65">
                  <c:v>0.55972501051096391</c:v>
                </c:pt>
                <c:pt idx="66">
                  <c:v>0.50018854209738339</c:v>
                </c:pt>
                <c:pt idx="67">
                  <c:v>0.6556418348632248</c:v>
                </c:pt>
                <c:pt idx="68">
                  <c:v>0.27141090048237276</c:v>
                </c:pt>
                <c:pt idx="69">
                  <c:v>0.71162663600437204</c:v>
                </c:pt>
                <c:pt idx="70">
                  <c:v>-2.0157358299478263</c:v>
                </c:pt>
                <c:pt idx="71">
                  <c:v>0.26483477874394723</c:v>
                </c:pt>
                <c:pt idx="72">
                  <c:v>-0.16166667853581004</c:v>
                </c:pt>
                <c:pt idx="73">
                  <c:v>0.22330383955665867</c:v>
                </c:pt>
                <c:pt idx="74">
                  <c:v>0.24386567077228774</c:v>
                </c:pt>
                <c:pt idx="75">
                  <c:v>-1.2081383307454165</c:v>
                </c:pt>
                <c:pt idx="76">
                  <c:v>-0.78110036437009756</c:v>
                </c:pt>
                <c:pt idx="77">
                  <c:v>-0.26364023528520003</c:v>
                </c:pt>
                <c:pt idx="78">
                  <c:v>-2.6512351797492825E-2</c:v>
                </c:pt>
                <c:pt idx="79">
                  <c:v>-0.2744986939956594</c:v>
                </c:pt>
                <c:pt idx="80">
                  <c:v>0.89328897781380623</c:v>
                </c:pt>
                <c:pt idx="81">
                  <c:v>-0.38135513775663438</c:v>
                </c:pt>
                <c:pt idx="82">
                  <c:v>1.3082330687569519</c:v>
                </c:pt>
                <c:pt idx="83">
                  <c:v>0.21951048018534694</c:v>
                </c:pt>
                <c:pt idx="84">
                  <c:v>0.20398710450777527</c:v>
                </c:pt>
                <c:pt idx="85">
                  <c:v>-0.31629077006854084</c:v>
                </c:pt>
                <c:pt idx="86">
                  <c:v>-0.14480257381873163</c:v>
                </c:pt>
                <c:pt idx="87">
                  <c:v>0.2334274183109103</c:v>
                </c:pt>
                <c:pt idx="88">
                  <c:v>0.18988660114211794</c:v>
                </c:pt>
                <c:pt idx="89">
                  <c:v>1.4296443982960441</c:v>
                </c:pt>
                <c:pt idx="90">
                  <c:v>0.68086529918536198</c:v>
                </c:pt>
                <c:pt idx="91">
                  <c:v>0.55319696979360178</c:v>
                </c:pt>
                <c:pt idx="92">
                  <c:v>0.62988652393519529</c:v>
                </c:pt>
                <c:pt idx="93">
                  <c:v>1.4945061059531675</c:v>
                </c:pt>
                <c:pt idx="94">
                  <c:v>1.5835184219573573</c:v>
                </c:pt>
                <c:pt idx="95">
                  <c:v>-0.26432732427601652</c:v>
                </c:pt>
                <c:pt idx="96">
                  <c:v>-0.1580347863334722</c:v>
                </c:pt>
                <c:pt idx="97">
                  <c:v>-0.58466219481199677</c:v>
                </c:pt>
                <c:pt idx="98">
                  <c:v>-0.48011210341267641</c:v>
                </c:pt>
                <c:pt idx="99">
                  <c:v>-0.4182369320992394</c:v>
                </c:pt>
                <c:pt idx="100">
                  <c:v>1.0807560254323885</c:v>
                </c:pt>
                <c:pt idx="101">
                  <c:v>-0.43529358270499241</c:v>
                </c:pt>
                <c:pt idx="102">
                  <c:v>0.92150618089199277</c:v>
                </c:pt>
                <c:pt idx="103">
                  <c:v>1.1863106075738008</c:v>
                </c:pt>
                <c:pt idx="104">
                  <c:v>1.1069048065287981</c:v>
                </c:pt>
                <c:pt idx="105">
                  <c:v>0.56878580743136242</c:v>
                </c:pt>
                <c:pt idx="106">
                  <c:v>-0.74192401686980725</c:v>
                </c:pt>
                <c:pt idx="107">
                  <c:v>-1.6897180627740656</c:v>
                </c:pt>
                <c:pt idx="108">
                  <c:v>-0.55194584126169699</c:v>
                </c:pt>
                <c:pt idx="109">
                  <c:v>-0.82281965858508455</c:v>
                </c:pt>
                <c:pt idx="110">
                  <c:v>-2.6063331092365796</c:v>
                </c:pt>
                <c:pt idx="111">
                  <c:v>-1.2992210520172569</c:v>
                </c:pt>
                <c:pt idx="112">
                  <c:v>-0.24289117425341836</c:v>
                </c:pt>
                <c:pt idx="113">
                  <c:v>0.33488821969058197</c:v>
                </c:pt>
                <c:pt idx="114">
                  <c:v>0.67383986412758512</c:v>
                </c:pt>
                <c:pt idx="115">
                  <c:v>1.8307638951688041</c:v>
                </c:pt>
                <c:pt idx="116">
                  <c:v>0.44266880067425035</c:v>
                </c:pt>
                <c:pt idx="117">
                  <c:v>-0.59179023453714441</c:v>
                </c:pt>
                <c:pt idx="118">
                  <c:v>-1.1208436092324714</c:v>
                </c:pt>
                <c:pt idx="119">
                  <c:v>-0.85847137129504036</c:v>
                </c:pt>
                <c:pt idx="120">
                  <c:v>-0.44348189348087957</c:v>
                </c:pt>
                <c:pt idx="121">
                  <c:v>0.44275727569779938</c:v>
                </c:pt>
                <c:pt idx="122">
                  <c:v>-0.61593470926202398</c:v>
                </c:pt>
                <c:pt idx="123">
                  <c:v>-1.1692507528849174</c:v>
                </c:pt>
                <c:pt idx="124">
                  <c:v>-0.23318022611887829</c:v>
                </c:pt>
                <c:pt idx="125">
                  <c:v>-0.87855079557956517</c:v>
                </c:pt>
                <c:pt idx="126">
                  <c:v>-1.4769363323181717</c:v>
                </c:pt>
                <c:pt idx="127">
                  <c:v>0.65290692305069276</c:v>
                </c:pt>
                <c:pt idx="128">
                  <c:v>0.58752778997756971</c:v>
                </c:pt>
                <c:pt idx="129">
                  <c:v>0.78371741325869382</c:v>
                </c:pt>
                <c:pt idx="130">
                  <c:v>0.38024696094502353</c:v>
                </c:pt>
                <c:pt idx="131">
                  <c:v>-0.39486001875875998</c:v>
                </c:pt>
                <c:pt idx="132">
                  <c:v>-0.59082143000943876</c:v>
                </c:pt>
                <c:pt idx="133">
                  <c:v>1.6521563559615881E-2</c:v>
                </c:pt>
                <c:pt idx="134">
                  <c:v>0.43079556603355523</c:v>
                </c:pt>
                <c:pt idx="135">
                  <c:v>0.42871024250542339</c:v>
                </c:pt>
                <c:pt idx="136">
                  <c:v>0.35223603151478755</c:v>
                </c:pt>
                <c:pt idx="137">
                  <c:v>0.60637414955155566</c:v>
                </c:pt>
                <c:pt idx="138">
                  <c:v>1.3677785391091995E-2</c:v>
                </c:pt>
                <c:pt idx="139">
                  <c:v>0.56798307093810663</c:v>
                </c:pt>
                <c:pt idx="140">
                  <c:v>-0.95733088971303293</c:v>
                </c:pt>
                <c:pt idx="141">
                  <c:v>-0.32610721496463052</c:v>
                </c:pt>
                <c:pt idx="142">
                  <c:v>6.1844508852538164E-2</c:v>
                </c:pt>
                <c:pt idx="143">
                  <c:v>1.04461770630526</c:v>
                </c:pt>
                <c:pt idx="144">
                  <c:v>0.67897281388579944</c:v>
                </c:pt>
                <c:pt idx="145">
                  <c:v>-1.3375231715810592</c:v>
                </c:pt>
                <c:pt idx="146">
                  <c:v>-0.4338415062904411</c:v>
                </c:pt>
                <c:pt idx="147">
                  <c:v>-0.61264897901117765</c:v>
                </c:pt>
                <c:pt idx="148">
                  <c:v>-0.13131189884057307</c:v>
                </c:pt>
                <c:pt idx="149">
                  <c:v>0.77893428137700682</c:v>
                </c:pt>
                <c:pt idx="150">
                  <c:v>-8.6786137087073154E-2</c:v>
                </c:pt>
                <c:pt idx="151">
                  <c:v>-3.7067224491663844E-2</c:v>
                </c:pt>
                <c:pt idx="152">
                  <c:v>-1.2647682754399088</c:v>
                </c:pt>
                <c:pt idx="153">
                  <c:v>-1.7231986194513169</c:v>
                </c:pt>
                <c:pt idx="154">
                  <c:v>1.6896822821993771</c:v>
                </c:pt>
                <c:pt idx="155">
                  <c:v>0.83361742346055501</c:v>
                </c:pt>
                <c:pt idx="156">
                  <c:v>1.2915705569901503</c:v>
                </c:pt>
                <c:pt idx="157">
                  <c:v>0.88428252049290279</c:v>
                </c:pt>
                <c:pt idx="158">
                  <c:v>0.4116364131495851</c:v>
                </c:pt>
                <c:pt idx="159">
                  <c:v>3.5295875579668894E-2</c:v>
                </c:pt>
                <c:pt idx="160">
                  <c:v>-0.55072347548179312</c:v>
                </c:pt>
                <c:pt idx="161">
                  <c:v>0.45874200542910859</c:v>
                </c:pt>
                <c:pt idx="162">
                  <c:v>0.2802206101814847</c:v>
                </c:pt>
                <c:pt idx="163">
                  <c:v>0.25381221692103473</c:v>
                </c:pt>
                <c:pt idx="164">
                  <c:v>-2.0636596826638138</c:v>
                </c:pt>
                <c:pt idx="165">
                  <c:v>0.6077873084612555</c:v>
                </c:pt>
                <c:pt idx="166">
                  <c:v>0.12614744788801885</c:v>
                </c:pt>
                <c:pt idx="167">
                  <c:v>-0.31654278630410199</c:v>
                </c:pt>
                <c:pt idx="168">
                  <c:v>1.9978196923054012E-2</c:v>
                </c:pt>
                <c:pt idx="169">
                  <c:v>-5.032391780723363E-2</c:v>
                </c:pt>
                <c:pt idx="170">
                  <c:v>-0.62096861122347391</c:v>
                </c:pt>
                <c:pt idx="171">
                  <c:v>-0.31053190188587199</c:v>
                </c:pt>
                <c:pt idx="172">
                  <c:v>-0.87909939485507615</c:v>
                </c:pt>
                <c:pt idx="173">
                  <c:v>0.22610292454868022</c:v>
                </c:pt>
                <c:pt idx="174">
                  <c:v>-0.20291519301261843</c:v>
                </c:pt>
                <c:pt idx="175">
                  <c:v>-0.36253627723479914</c:v>
                </c:pt>
                <c:pt idx="176">
                  <c:v>4.4247006473740601E-2</c:v>
                </c:pt>
                <c:pt idx="177">
                  <c:v>-0.2557150343200344</c:v>
                </c:pt>
                <c:pt idx="178">
                  <c:v>0.37698943709717592</c:v>
                </c:pt>
                <c:pt idx="179">
                  <c:v>1.1899727275032896</c:v>
                </c:pt>
                <c:pt idx="180">
                  <c:v>0.60888968943784472</c:v>
                </c:pt>
                <c:pt idx="181">
                  <c:v>-0.82893417664067315</c:v>
                </c:pt>
                <c:pt idx="182">
                  <c:v>0.46871808445674978</c:v>
                </c:pt>
                <c:pt idx="183">
                  <c:v>0.19800523327850184</c:v>
                </c:pt>
                <c:pt idx="184">
                  <c:v>-0.18217601115513996</c:v>
                </c:pt>
                <c:pt idx="185">
                  <c:v>0.99879597785625729</c:v>
                </c:pt>
                <c:pt idx="186">
                  <c:v>0.51286368166818253</c:v>
                </c:pt>
                <c:pt idx="187">
                  <c:v>-0.19789440550577833</c:v>
                </c:pt>
                <c:pt idx="188">
                  <c:v>6.7796750316846358E-2</c:v>
                </c:pt>
                <c:pt idx="189">
                  <c:v>0.62541466034937299</c:v>
                </c:pt>
                <c:pt idx="190">
                  <c:v>0.8534981078051288</c:v>
                </c:pt>
                <c:pt idx="191">
                  <c:v>0.81643234827063926</c:v>
                </c:pt>
                <c:pt idx="192">
                  <c:v>0.48931010929769164</c:v>
                </c:pt>
                <c:pt idx="193">
                  <c:v>0.68104115262367493</c:v>
                </c:pt>
                <c:pt idx="194">
                  <c:v>-0.55753264896976451</c:v>
                </c:pt>
                <c:pt idx="195">
                  <c:v>-3.3128045912269553E-2</c:v>
                </c:pt>
                <c:pt idx="196">
                  <c:v>0.92900557209987766</c:v>
                </c:pt>
                <c:pt idx="197">
                  <c:v>0.66552441488229708</c:v>
                </c:pt>
                <c:pt idx="198">
                  <c:v>-0.24814969353100894</c:v>
                </c:pt>
                <c:pt idx="199">
                  <c:v>0.21089005247032522</c:v>
                </c:pt>
                <c:pt idx="200">
                  <c:v>-0.95975295748031186</c:v>
                </c:pt>
                <c:pt idx="201">
                  <c:v>-5.0151452692643997E-2</c:v>
                </c:pt>
                <c:pt idx="202">
                  <c:v>1.0160259092109321</c:v>
                </c:pt>
                <c:pt idx="203">
                  <c:v>-1.2115968549611986E-2</c:v>
                </c:pt>
                <c:pt idx="204">
                  <c:v>0.84720077695598384</c:v>
                </c:pt>
                <c:pt idx="205">
                  <c:v>-0.81252205315322645</c:v>
                </c:pt>
                <c:pt idx="206">
                  <c:v>-0.9031170962155961</c:v>
                </c:pt>
                <c:pt idx="207">
                  <c:v>-1.0214074988536541</c:v>
                </c:pt>
                <c:pt idx="208">
                  <c:v>-1.5268692799723573</c:v>
                </c:pt>
                <c:pt idx="209">
                  <c:v>-0.75457189916222744</c:v>
                </c:pt>
                <c:pt idx="210">
                  <c:v>1.1659795306247449</c:v>
                </c:pt>
                <c:pt idx="211">
                  <c:v>-0.73626542374561854</c:v>
                </c:pt>
                <c:pt idx="212">
                  <c:v>-1.1267405125615217</c:v>
                </c:pt>
                <c:pt idx="213">
                  <c:v>-1.2151675973963221</c:v>
                </c:pt>
                <c:pt idx="214">
                  <c:v>0.45411013125419586</c:v>
                </c:pt>
                <c:pt idx="215">
                  <c:v>0.89210317838710018</c:v>
                </c:pt>
                <c:pt idx="216">
                  <c:v>1.5747836013923129</c:v>
                </c:pt>
                <c:pt idx="217">
                  <c:v>-0.27897206548305931</c:v>
                </c:pt>
                <c:pt idx="218">
                  <c:v>0.96387111404314918</c:v>
                </c:pt>
                <c:pt idx="219">
                  <c:v>-1.3087490477449268E-2</c:v>
                </c:pt>
                <c:pt idx="220">
                  <c:v>-6.5682072482442247E-2</c:v>
                </c:pt>
                <c:pt idx="221">
                  <c:v>-0.24068058859416844</c:v>
                </c:pt>
                <c:pt idx="222">
                  <c:v>-0.22773334599687459</c:v>
                </c:pt>
                <c:pt idx="223">
                  <c:v>-0.80833512211099245</c:v>
                </c:pt>
                <c:pt idx="224">
                  <c:v>2.4603534850325339E-3</c:v>
                </c:pt>
                <c:pt idx="225">
                  <c:v>-0.17875083851948473</c:v>
                </c:pt>
                <c:pt idx="226">
                  <c:v>-0.53338642732774066</c:v>
                </c:pt>
                <c:pt idx="227">
                  <c:v>0.25110022474118066</c:v>
                </c:pt>
                <c:pt idx="228">
                  <c:v>-6.3550945766768785E-2</c:v>
                </c:pt>
                <c:pt idx="229">
                  <c:v>0.31685206458484116</c:v>
                </c:pt>
                <c:pt idx="230">
                  <c:v>0.27649769074526315</c:v>
                </c:pt>
                <c:pt idx="231">
                  <c:v>-0.46498176646527745</c:v>
                </c:pt>
                <c:pt idx="232">
                  <c:v>8.7513237424759235E-2</c:v>
                </c:pt>
                <c:pt idx="233">
                  <c:v>-0.97305252208919468</c:v>
                </c:pt>
                <c:pt idx="234">
                  <c:v>0.45088667377233937</c:v>
                </c:pt>
                <c:pt idx="235">
                  <c:v>0.7914864360088929</c:v>
                </c:pt>
                <c:pt idx="236">
                  <c:v>1.9447162353916565</c:v>
                </c:pt>
                <c:pt idx="237">
                  <c:v>-0.15390694742658717</c:v>
                </c:pt>
                <c:pt idx="238">
                  <c:v>0.46083052696320198</c:v>
                </c:pt>
                <c:pt idx="239">
                  <c:v>-1.260569504380137</c:v>
                </c:pt>
                <c:pt idx="240">
                  <c:v>-1.68524344765387</c:v>
                </c:pt>
                <c:pt idx="241">
                  <c:v>-1.5175419689962188</c:v>
                </c:pt>
                <c:pt idx="242">
                  <c:v>4.2007262122566926</c:v>
                </c:pt>
                <c:pt idx="243">
                  <c:v>2.2990445774735213</c:v>
                </c:pt>
                <c:pt idx="244">
                  <c:v>0.74844507336636135</c:v>
                </c:pt>
                <c:pt idx="245">
                  <c:v>3.1819916573400091</c:v>
                </c:pt>
                <c:pt idx="246">
                  <c:v>1.5766853430851646</c:v>
                </c:pt>
                <c:pt idx="247">
                  <c:v>-0.22021492268660475</c:v>
                </c:pt>
                <c:pt idx="248">
                  <c:v>0.39604728421942698</c:v>
                </c:pt>
                <c:pt idx="249">
                  <c:v>0.37898661019969393</c:v>
                </c:pt>
                <c:pt idx="250">
                  <c:v>-0.19419634887019752</c:v>
                </c:pt>
                <c:pt idx="251">
                  <c:v>-0.4545453066083554</c:v>
                </c:pt>
                <c:pt idx="252">
                  <c:v>-0.92704752263459622</c:v>
                </c:pt>
                <c:pt idx="253">
                  <c:v>0.30206292858297307</c:v>
                </c:pt>
                <c:pt idx="254">
                  <c:v>3.3677120231556792E-2</c:v>
                </c:pt>
                <c:pt idx="255">
                  <c:v>-0.75452115641439021</c:v>
                </c:pt>
                <c:pt idx="256">
                  <c:v>9.7946834914373372E-3</c:v>
                </c:pt>
                <c:pt idx="257">
                  <c:v>-0.55221926921070352</c:v>
                </c:pt>
                <c:pt idx="258">
                  <c:v>-0.22349400460848995</c:v>
                </c:pt>
                <c:pt idx="259">
                  <c:v>-0.68678649689214288</c:v>
                </c:pt>
                <c:pt idx="260">
                  <c:v>-0.1637477879265988</c:v>
                </c:pt>
                <c:pt idx="261">
                  <c:v>-0.52393736657058176</c:v>
                </c:pt>
                <c:pt idx="262">
                  <c:v>-0.9317689403765218</c:v>
                </c:pt>
                <c:pt idx="263">
                  <c:v>0.34571317856571621</c:v>
                </c:pt>
                <c:pt idx="264">
                  <c:v>0.87264012009621761</c:v>
                </c:pt>
                <c:pt idx="265">
                  <c:v>0.18470642599231274</c:v>
                </c:pt>
                <c:pt idx="266">
                  <c:v>-0.34222462819834187</c:v>
                </c:pt>
                <c:pt idx="267">
                  <c:v>1.3348865121336095</c:v>
                </c:pt>
                <c:pt idx="268">
                  <c:v>-2.0195065214468055</c:v>
                </c:pt>
                <c:pt idx="269">
                  <c:v>-0.19410783505686549</c:v>
                </c:pt>
                <c:pt idx="270">
                  <c:v>8.1721707715661354E-2</c:v>
                </c:pt>
                <c:pt idx="271">
                  <c:v>-1.2628813097867091</c:v>
                </c:pt>
                <c:pt idx="272">
                  <c:v>-1.6746439809266753</c:v>
                </c:pt>
                <c:pt idx="273">
                  <c:v>-2.1379379429147773</c:v>
                </c:pt>
                <c:pt idx="274">
                  <c:v>-1.2377760380844054</c:v>
                </c:pt>
                <c:pt idx="275">
                  <c:v>-1.9076726580567738</c:v>
                </c:pt>
                <c:pt idx="276">
                  <c:v>0.46674163527249862</c:v>
                </c:pt>
                <c:pt idx="277">
                  <c:v>-1.1623375752352078E-2</c:v>
                </c:pt>
                <c:pt idx="278">
                  <c:v>-0.66377208981313185</c:v>
                </c:pt>
                <c:pt idx="279">
                  <c:v>-1.8200175308828719</c:v>
                </c:pt>
                <c:pt idx="280">
                  <c:v>-1.1408976899843095</c:v>
                </c:pt>
                <c:pt idx="281">
                  <c:v>-1.1982691301329909</c:v>
                </c:pt>
                <c:pt idx="282">
                  <c:v>-0.7960497214769402</c:v>
                </c:pt>
                <c:pt idx="283">
                  <c:v>-1.0776013794312584</c:v>
                </c:pt>
                <c:pt idx="284">
                  <c:v>-1.0767196379396311</c:v>
                </c:pt>
                <c:pt idx="285">
                  <c:v>-1.0076315540428575</c:v>
                </c:pt>
                <c:pt idx="286">
                  <c:v>-0.66878988326602917</c:v>
                </c:pt>
                <c:pt idx="287">
                  <c:v>-0.10145734321849574</c:v>
                </c:pt>
                <c:pt idx="288">
                  <c:v>-1.1524014899843342</c:v>
                </c:pt>
                <c:pt idx="289">
                  <c:v>-0.76844520954536311</c:v>
                </c:pt>
                <c:pt idx="290">
                  <c:v>-0.30358004022533047</c:v>
                </c:pt>
                <c:pt idx="291">
                  <c:v>-0.3131170267789195</c:v>
                </c:pt>
                <c:pt idx="292">
                  <c:v>0.43433707282313838</c:v>
                </c:pt>
                <c:pt idx="293">
                  <c:v>1.6395545081768079</c:v>
                </c:pt>
                <c:pt idx="294">
                  <c:v>0.13985011155836161</c:v>
                </c:pt>
                <c:pt idx="295">
                  <c:v>0.26714134253452815</c:v>
                </c:pt>
                <c:pt idx="296">
                  <c:v>0.99045257304542067</c:v>
                </c:pt>
                <c:pt idx="297">
                  <c:v>0.25939653083974346</c:v>
                </c:pt>
                <c:pt idx="298">
                  <c:v>0.29319660015181503</c:v>
                </c:pt>
                <c:pt idx="299">
                  <c:v>1.5585580298512536</c:v>
                </c:pt>
                <c:pt idx="300">
                  <c:v>1.5748070831006031</c:v>
                </c:pt>
                <c:pt idx="301">
                  <c:v>-0.25886999570707547</c:v>
                </c:pt>
                <c:pt idx="302">
                  <c:v>1.8285518903811393</c:v>
                </c:pt>
                <c:pt idx="303">
                  <c:v>0.52607820754973145</c:v>
                </c:pt>
                <c:pt idx="304">
                  <c:v>0.67123358040088366</c:v>
                </c:pt>
                <c:pt idx="305">
                  <c:v>0.18042945365691565</c:v>
                </c:pt>
                <c:pt idx="306">
                  <c:v>2.0304757137130016</c:v>
                </c:pt>
                <c:pt idx="307">
                  <c:v>1.937883735039764</c:v>
                </c:pt>
                <c:pt idx="308">
                  <c:v>0.3734161112853604</c:v>
                </c:pt>
                <c:pt idx="309">
                  <c:v>-0.63228553332444015</c:v>
                </c:pt>
                <c:pt idx="310">
                  <c:v>0.18658521528183183</c:v>
                </c:pt>
                <c:pt idx="311">
                  <c:v>-0.9474999235105962</c:v>
                </c:pt>
                <c:pt idx="312">
                  <c:v>-1.1670319415810073</c:v>
                </c:pt>
                <c:pt idx="313">
                  <c:v>-1.6319415081566486</c:v>
                </c:pt>
                <c:pt idx="314">
                  <c:v>-2.7327997376671536</c:v>
                </c:pt>
                <c:pt idx="315">
                  <c:v>-0.38508480762603786</c:v>
                </c:pt>
                <c:pt idx="316">
                  <c:v>-0.97713360215342948</c:v>
                </c:pt>
                <c:pt idx="317">
                  <c:v>-0.84358082508022647</c:v>
                </c:pt>
                <c:pt idx="318">
                  <c:v>0.96668836786536427</c:v>
                </c:pt>
                <c:pt idx="319">
                  <c:v>-1.0101337973139408</c:v>
                </c:pt>
                <c:pt idx="320">
                  <c:v>3.4720773077781244</c:v>
                </c:pt>
                <c:pt idx="321">
                  <c:v>-0.69392179736044635</c:v>
                </c:pt>
                <c:pt idx="322">
                  <c:v>1.539587675300794</c:v>
                </c:pt>
                <c:pt idx="323">
                  <c:v>2.6212478115325442</c:v>
                </c:pt>
                <c:pt idx="324">
                  <c:v>2.7473960479992194</c:v>
                </c:pt>
                <c:pt idx="325">
                  <c:v>1.5535500258921526</c:v>
                </c:pt>
                <c:pt idx="326">
                  <c:v>-8.5231484219193049E-2</c:v>
                </c:pt>
                <c:pt idx="327">
                  <c:v>2.3790723412149868</c:v>
                </c:pt>
                <c:pt idx="328">
                  <c:v>-0.72283127398567082</c:v>
                </c:pt>
                <c:pt idx="329">
                  <c:v>-2.5586120959927139</c:v>
                </c:pt>
                <c:pt idx="330">
                  <c:v>0.55656803120621701</c:v>
                </c:pt>
                <c:pt idx="331">
                  <c:v>-3.451682617569364</c:v>
                </c:pt>
                <c:pt idx="332">
                  <c:v>0.43174338069117302</c:v>
                </c:pt>
                <c:pt idx="333">
                  <c:v>-0.91766871471414591</c:v>
                </c:pt>
                <c:pt idx="334">
                  <c:v>-0.68324182750021734</c:v>
                </c:pt>
                <c:pt idx="335">
                  <c:v>-0.63802821850481273</c:v>
                </c:pt>
                <c:pt idx="336">
                  <c:v>-0.88698134092906389</c:v>
                </c:pt>
                <c:pt idx="337">
                  <c:v>-1.3818722583783176</c:v>
                </c:pt>
                <c:pt idx="338">
                  <c:v>7.2633416429777817E-2</c:v>
                </c:pt>
                <c:pt idx="339">
                  <c:v>1.2143705581244542</c:v>
                </c:pt>
                <c:pt idx="340">
                  <c:v>2.1111674999819705</c:v>
                </c:pt>
                <c:pt idx="341">
                  <c:v>-9.8723664725633833E-2</c:v>
                </c:pt>
                <c:pt idx="342">
                  <c:v>-0.47899199098150291</c:v>
                </c:pt>
                <c:pt idx="343">
                  <c:v>0.9235433462638315</c:v>
                </c:pt>
                <c:pt idx="344">
                  <c:v>1.26708074925088</c:v>
                </c:pt>
                <c:pt idx="345">
                  <c:v>-9.0731992161399936E-3</c:v>
                </c:pt>
                <c:pt idx="346">
                  <c:v>1.2394515341278651</c:v>
                </c:pt>
                <c:pt idx="347">
                  <c:v>0.86418422319002008</c:v>
                </c:pt>
                <c:pt idx="348">
                  <c:v>-7.199900072986111E-2</c:v>
                </c:pt>
                <c:pt idx="349">
                  <c:v>4.357517290963854E-2</c:v>
                </c:pt>
                <c:pt idx="350">
                  <c:v>0.2749672873635931</c:v>
                </c:pt>
                <c:pt idx="351">
                  <c:v>7.8125519301108906E-2</c:v>
                </c:pt>
                <c:pt idx="352">
                  <c:v>0.82794023224202973</c:v>
                </c:pt>
                <c:pt idx="353">
                  <c:v>0.28753308488155438</c:v>
                </c:pt>
                <c:pt idx="354">
                  <c:v>0.19993267130990572</c:v>
                </c:pt>
                <c:pt idx="355">
                  <c:v>0.93448737390407655</c:v>
                </c:pt>
                <c:pt idx="356">
                  <c:v>-1.1079659887017894</c:v>
                </c:pt>
                <c:pt idx="357">
                  <c:v>-1.4375278289347933</c:v>
                </c:pt>
                <c:pt idx="358">
                  <c:v>-0.58074238683041579</c:v>
                </c:pt>
                <c:pt idx="359">
                  <c:v>1.3160037932020494</c:v>
                </c:pt>
                <c:pt idx="360">
                  <c:v>-2.0302994659393101</c:v>
                </c:pt>
                <c:pt idx="361">
                  <c:v>-2.2382603266400913</c:v>
                </c:pt>
                <c:pt idx="362">
                  <c:v>-0.75751706682775866</c:v>
                </c:pt>
                <c:pt idx="363">
                  <c:v>-1.0306011185079671</c:v>
                </c:pt>
                <c:pt idx="364">
                  <c:v>0.88224971223868354</c:v>
                </c:pt>
                <c:pt idx="365">
                  <c:v>0.17184976624815418</c:v>
                </c:pt>
                <c:pt idx="366">
                  <c:v>-0.58163018536706346</c:v>
                </c:pt>
                <c:pt idx="367">
                  <c:v>-0.86006936817939161</c:v>
                </c:pt>
                <c:pt idx="368">
                  <c:v>-1.6266867098316833</c:v>
                </c:pt>
                <c:pt idx="369">
                  <c:v>0.12999171896584169</c:v>
                </c:pt>
                <c:pt idx="370">
                  <c:v>0.4654442793344194</c:v>
                </c:pt>
                <c:pt idx="371">
                  <c:v>-1.626368466519942</c:v>
                </c:pt>
                <c:pt idx="372">
                  <c:v>1.6231038143843988</c:v>
                </c:pt>
                <c:pt idx="373">
                  <c:v>0.99590616832095791</c:v>
                </c:pt>
                <c:pt idx="374">
                  <c:v>0.46857065274584953</c:v>
                </c:pt>
                <c:pt idx="375">
                  <c:v>0.47398446164132163</c:v>
                </c:pt>
                <c:pt idx="376">
                  <c:v>-0.15234540833318785</c:v>
                </c:pt>
                <c:pt idx="377">
                  <c:v>0.69192234930796725</c:v>
                </c:pt>
                <c:pt idx="378">
                  <c:v>-1.307068093232151</c:v>
                </c:pt>
                <c:pt idx="379">
                  <c:v>0.74258970300151861</c:v>
                </c:pt>
                <c:pt idx="380">
                  <c:v>-1.0639613519924846</c:v>
                </c:pt>
                <c:pt idx="381">
                  <c:v>3.2394353065249786</c:v>
                </c:pt>
                <c:pt idx="382">
                  <c:v>-1.4339281629923626</c:v>
                </c:pt>
                <c:pt idx="383">
                  <c:v>-2.2366030601609661</c:v>
                </c:pt>
                <c:pt idx="384">
                  <c:v>3.0723966658172362E-2</c:v>
                </c:pt>
                <c:pt idx="385">
                  <c:v>1.482908951694333</c:v>
                </c:pt>
                <c:pt idx="386">
                  <c:v>-0.49892317917099432</c:v>
                </c:pt>
                <c:pt idx="387">
                  <c:v>-0.78933938116930435</c:v>
                </c:pt>
                <c:pt idx="388">
                  <c:v>2.9429591190884881</c:v>
                </c:pt>
                <c:pt idx="389">
                  <c:v>2.781136326470084E-2</c:v>
                </c:pt>
                <c:pt idx="390">
                  <c:v>-0.77256397256164122</c:v>
                </c:pt>
                <c:pt idx="391">
                  <c:v>0.39947920216775701</c:v>
                </c:pt>
              </c:numCache>
            </c:numRef>
          </c:yVal>
          <c:smooth val="0"/>
          <c:extLst>
            <c:ext xmlns:c16="http://schemas.microsoft.com/office/drawing/2014/chart" uri="{C3380CC4-5D6E-409C-BE32-E72D297353CC}">
              <c16:uniqueId val="{00000002-6823-4103-9521-6FA9236D2C94}"/>
            </c:ext>
          </c:extLst>
        </c:ser>
        <c:dLbls>
          <c:showLegendKey val="0"/>
          <c:showVal val="0"/>
          <c:showCatName val="0"/>
          <c:showSerName val="0"/>
          <c:showPercent val="0"/>
          <c:showBubbleSize val="0"/>
        </c:dLbls>
        <c:axId val="1654338624"/>
        <c:axId val="2087042800"/>
      </c:scatterChart>
      <c:valAx>
        <c:axId val="1654338624"/>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2087042800"/>
        <c:crosses val="autoZero"/>
        <c:crossBetween val="midCat"/>
      </c:valAx>
      <c:valAx>
        <c:axId val="2087042800"/>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6543386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1.2100080743820438</c:v>
                </c:pt>
                <c:pt idx="1">
                  <c:v>-0.32489208383555762</c:v>
                </c:pt>
                <c:pt idx="2">
                  <c:v>1.1838129027934601</c:v>
                </c:pt>
                <c:pt idx="3">
                  <c:v>-0.90544185234696473</c:v>
                </c:pt>
                <c:pt idx="4">
                  <c:v>4.7022267319597577E-2</c:v>
                </c:pt>
                <c:pt idx="5">
                  <c:v>3.6510860999541257</c:v>
                </c:pt>
                <c:pt idx="6">
                  <c:v>3.0825035334412481</c:v>
                </c:pt>
                <c:pt idx="7">
                  <c:v>2.7655349161426095</c:v>
                </c:pt>
                <c:pt idx="8">
                  <c:v>3.5552594595502436</c:v>
                </c:pt>
                <c:pt idx="9">
                  <c:v>0.92577038537476919</c:v>
                </c:pt>
                <c:pt idx="10">
                  <c:v>-0.92509290975654135</c:v>
                </c:pt>
                <c:pt idx="11">
                  <c:v>-1.8865804352483648</c:v>
                </c:pt>
                <c:pt idx="12">
                  <c:v>-0.22070482827052992</c:v>
                </c:pt>
                <c:pt idx="13">
                  <c:v>-3.8435111730357598</c:v>
                </c:pt>
                <c:pt idx="14">
                  <c:v>-1.2681887958396509</c:v>
                </c:pt>
                <c:pt idx="15">
                  <c:v>1.2569745440661129</c:v>
                </c:pt>
                <c:pt idx="16">
                  <c:v>-3.2218584921045945</c:v>
                </c:pt>
                <c:pt idx="17">
                  <c:v>-1.278685495211731</c:v>
                </c:pt>
                <c:pt idx="18">
                  <c:v>0.48949425015705561</c:v>
                </c:pt>
                <c:pt idx="19">
                  <c:v>-2.7805355040656736</c:v>
                </c:pt>
                <c:pt idx="20">
                  <c:v>1.3926195562011578</c:v>
                </c:pt>
                <c:pt idx="21">
                  <c:v>-0.91096744764447557</c:v>
                </c:pt>
                <c:pt idx="22">
                  <c:v>-6.4479519027655127E-2</c:v>
                </c:pt>
                <c:pt idx="23">
                  <c:v>0.54391555439414818</c:v>
                </c:pt>
                <c:pt idx="24">
                  <c:v>-0.86512031043827142</c:v>
                </c:pt>
                <c:pt idx="25">
                  <c:v>0.17482390168274384</c:v>
                </c:pt>
                <c:pt idx="26">
                  <c:v>-1.3417394580617572</c:v>
                </c:pt>
                <c:pt idx="27">
                  <c:v>-9.8463446569464735E-2</c:v>
                </c:pt>
                <c:pt idx="28">
                  <c:v>-0.62519117226831977</c:v>
                </c:pt>
                <c:pt idx="29">
                  <c:v>-0.47165320666571647</c:v>
                </c:pt>
                <c:pt idx="30">
                  <c:v>3.4866006087113623</c:v>
                </c:pt>
                <c:pt idx="31">
                  <c:v>-1.9366264344286339</c:v>
                </c:pt>
                <c:pt idx="32">
                  <c:v>-3.8004614734856697</c:v>
                </c:pt>
                <c:pt idx="33">
                  <c:v>-2.5895671975627073</c:v>
                </c:pt>
                <c:pt idx="34">
                  <c:v>-2.2127516260067042</c:v>
                </c:pt>
                <c:pt idx="35">
                  <c:v>-0.47544838041367127</c:v>
                </c:pt>
                <c:pt idx="36">
                  <c:v>-1.3858169387055779</c:v>
                </c:pt>
                <c:pt idx="37">
                  <c:v>0.40721235819677037</c:v>
                </c:pt>
                <c:pt idx="38">
                  <c:v>1.9358094307204665</c:v>
                </c:pt>
                <c:pt idx="39">
                  <c:v>-8.8147279458059918E-2</c:v>
                </c:pt>
                <c:pt idx="40">
                  <c:v>-0.4454535660336465</c:v>
                </c:pt>
                <c:pt idx="41">
                  <c:v>2.5494811913343622</c:v>
                </c:pt>
                <c:pt idx="42">
                  <c:v>2.306306457858263</c:v>
                </c:pt>
                <c:pt idx="43">
                  <c:v>4.5379009999192963</c:v>
                </c:pt>
                <c:pt idx="44">
                  <c:v>-2.9334430184822149</c:v>
                </c:pt>
                <c:pt idx="45">
                  <c:v>-2.344134656154615</c:v>
                </c:pt>
                <c:pt idx="46">
                  <c:v>-0.37528987456563562</c:v>
                </c:pt>
                <c:pt idx="47">
                  <c:v>-2.3813128863916133</c:v>
                </c:pt>
                <c:pt idx="48">
                  <c:v>-2.0614989501083483</c:v>
                </c:pt>
                <c:pt idx="49">
                  <c:v>0.70984418335592858</c:v>
                </c:pt>
                <c:pt idx="50">
                  <c:v>2.2108771264682945</c:v>
                </c:pt>
                <c:pt idx="51">
                  <c:v>2.2670166529781306</c:v>
                </c:pt>
                <c:pt idx="52">
                  <c:v>1.4454739739280213</c:v>
                </c:pt>
                <c:pt idx="53">
                  <c:v>4.8862847209451834</c:v>
                </c:pt>
                <c:pt idx="54">
                  <c:v>-2.4046385400095205</c:v>
                </c:pt>
                <c:pt idx="55">
                  <c:v>-0.59616383164649944</c:v>
                </c:pt>
                <c:pt idx="56">
                  <c:v>-1.3956229739450776</c:v>
                </c:pt>
                <c:pt idx="57">
                  <c:v>0.75688330680052984</c:v>
                </c:pt>
                <c:pt idx="58">
                  <c:v>-3.1695718173709837</c:v>
                </c:pt>
                <c:pt idx="59">
                  <c:v>-2.8217850869349226</c:v>
                </c:pt>
                <c:pt idx="60">
                  <c:v>-2.8169852988999744</c:v>
                </c:pt>
                <c:pt idx="61">
                  <c:v>1.0155990074407435</c:v>
                </c:pt>
                <c:pt idx="62">
                  <c:v>2.819020541409297</c:v>
                </c:pt>
                <c:pt idx="63">
                  <c:v>2.1096679502107949</c:v>
                </c:pt>
                <c:pt idx="64">
                  <c:v>1.0878424613700093</c:v>
                </c:pt>
                <c:pt idx="65">
                  <c:v>1.7515965712486719</c:v>
                </c:pt>
                <c:pt idx="66">
                  <c:v>1.5794185331376021</c:v>
                </c:pt>
                <c:pt idx="67">
                  <c:v>2.0565911381379207</c:v>
                </c:pt>
                <c:pt idx="68">
                  <c:v>0.85062266962688249</c:v>
                </c:pt>
                <c:pt idx="69">
                  <c:v>2.2371338570248875</c:v>
                </c:pt>
                <c:pt idx="70">
                  <c:v>-6.336632574893744</c:v>
                </c:pt>
                <c:pt idx="71">
                  <c:v>0.82827295742581797</c:v>
                </c:pt>
                <c:pt idx="72">
                  <c:v>-0.50697597722031129</c:v>
                </c:pt>
                <c:pt idx="73">
                  <c:v>0.70045057104628083</c:v>
                </c:pt>
                <c:pt idx="74">
                  <c:v>0.76290909995306022</c:v>
                </c:pt>
                <c:pt idx="75">
                  <c:v>-3.7996929781103761</c:v>
                </c:pt>
                <c:pt idx="76">
                  <c:v>-2.4580357345029671</c:v>
                </c:pt>
                <c:pt idx="77">
                  <c:v>-0.83091410409803512</c:v>
                </c:pt>
                <c:pt idx="78">
                  <c:v>-8.3433130402052719E-2</c:v>
                </c:pt>
                <c:pt idx="79">
                  <c:v>-0.86215800200214221</c:v>
                </c:pt>
                <c:pt idx="80">
                  <c:v>2.8080925597340181</c:v>
                </c:pt>
                <c:pt idx="81">
                  <c:v>-1.1985802970076465</c:v>
                </c:pt>
                <c:pt idx="82">
                  <c:v>4.1173305504062085</c:v>
                </c:pt>
                <c:pt idx="83">
                  <c:v>0.69039721364846696</c:v>
                </c:pt>
                <c:pt idx="84">
                  <c:v>0.63546285600237218</c:v>
                </c:pt>
                <c:pt idx="85">
                  <c:v>-0.98352170838507613</c:v>
                </c:pt>
                <c:pt idx="86">
                  <c:v>-0.45024690165597342</c:v>
                </c:pt>
                <c:pt idx="87">
                  <c:v>0.72673005321321626</c:v>
                </c:pt>
                <c:pt idx="88">
                  <c:v>0.59027642448547857</c:v>
                </c:pt>
                <c:pt idx="89">
                  <c:v>4.468314070755838</c:v>
                </c:pt>
                <c:pt idx="90">
                  <c:v>2.1242050518669156</c:v>
                </c:pt>
                <c:pt idx="91">
                  <c:v>1.7222965332401785</c:v>
                </c:pt>
                <c:pt idx="92">
                  <c:v>1.9606599591133218</c:v>
                </c:pt>
                <c:pt idx="93">
                  <c:v>4.6897621797464435</c:v>
                </c:pt>
                <c:pt idx="94">
                  <c:v>4.9804447402668108</c:v>
                </c:pt>
                <c:pt idx="95">
                  <c:v>-0.82516389872297458</c:v>
                </c:pt>
                <c:pt idx="96">
                  <c:v>-0.49210123346205142</c:v>
                </c:pt>
                <c:pt idx="97">
                  <c:v>-1.823402951752368</c:v>
                </c:pt>
                <c:pt idx="98">
                  <c:v>-1.4958182409210292</c:v>
                </c:pt>
                <c:pt idx="99">
                  <c:v>-1.3062785840346252</c:v>
                </c:pt>
                <c:pt idx="100">
                  <c:v>3.369388236161452</c:v>
                </c:pt>
                <c:pt idx="101">
                  <c:v>-1.3686106991324332</c:v>
                </c:pt>
                <c:pt idx="102">
                  <c:v>2.9030964503735817</c:v>
                </c:pt>
                <c:pt idx="103">
                  <c:v>3.7117025261796162</c:v>
                </c:pt>
                <c:pt idx="104">
                  <c:v>3.4513085341038043</c:v>
                </c:pt>
                <c:pt idx="105">
                  <c:v>1.7721659628268265</c:v>
                </c:pt>
                <c:pt idx="106">
                  <c:v>-2.3122537497053934</c:v>
                </c:pt>
                <c:pt idx="107">
                  <c:v>-5.2910940882228843</c:v>
                </c:pt>
                <c:pt idx="108">
                  <c:v>-1.7277653817936316</c:v>
                </c:pt>
                <c:pt idx="109">
                  <c:v>-2.5756585438355857</c:v>
                </c:pt>
                <c:pt idx="110">
                  <c:v>-8.1630261181215609</c:v>
                </c:pt>
                <c:pt idx="111">
                  <c:v>-4.0630553801187883</c:v>
                </c:pt>
                <c:pt idx="112">
                  <c:v>-0.75919478577024446</c:v>
                </c:pt>
                <c:pt idx="113">
                  <c:v>1.0479758251353011</c:v>
                </c:pt>
                <c:pt idx="114">
                  <c:v>2.096283433312172</c:v>
                </c:pt>
                <c:pt idx="115">
                  <c:v>5.8283241238228989</c:v>
                </c:pt>
                <c:pt idx="116">
                  <c:v>1.3904028932765085</c:v>
                </c:pt>
                <c:pt idx="117">
                  <c:v>-1.8526074987725742</c:v>
                </c:pt>
                <c:pt idx="118">
                  <c:v>-3.5052641654598364</c:v>
                </c:pt>
                <c:pt idx="119">
                  <c:v>-2.6844937790394372</c:v>
                </c:pt>
                <c:pt idx="120">
                  <c:v>-1.3816443675927468</c:v>
                </c:pt>
                <c:pt idx="121">
                  <c:v>1.3850808334828915</c:v>
                </c:pt>
                <c:pt idx="122">
                  <c:v>-1.9279677743484762</c:v>
                </c:pt>
                <c:pt idx="123">
                  <c:v>-3.6640805120294702</c:v>
                </c:pt>
                <c:pt idx="124">
                  <c:v>-0.73061406659338524</c:v>
                </c:pt>
                <c:pt idx="125">
                  <c:v>-2.7540688042828081</c:v>
                </c:pt>
                <c:pt idx="126">
                  <c:v>-4.6282218606746213</c:v>
                </c:pt>
                <c:pt idx="127">
                  <c:v>2.0542269352690301</c:v>
                </c:pt>
                <c:pt idx="128">
                  <c:v>1.8451312705276162</c:v>
                </c:pt>
                <c:pt idx="129">
                  <c:v>2.4666817265611751</c:v>
                </c:pt>
                <c:pt idx="130">
                  <c:v>1.1936023696485396</c:v>
                </c:pt>
                <c:pt idx="131">
                  <c:v>-1.2420582720429392</c:v>
                </c:pt>
                <c:pt idx="132">
                  <c:v>-1.8522149305868523</c:v>
                </c:pt>
                <c:pt idx="133">
                  <c:v>5.1822657021996954E-2</c:v>
                </c:pt>
                <c:pt idx="134">
                  <c:v>1.3521723406279569</c:v>
                </c:pt>
                <c:pt idx="135">
                  <c:v>1.3520012393499123</c:v>
                </c:pt>
                <c:pt idx="136">
                  <c:v>1.107854857928066</c:v>
                </c:pt>
                <c:pt idx="137">
                  <c:v>1.9136039570416161</c:v>
                </c:pt>
                <c:pt idx="138">
                  <c:v>4.2965037548334264E-2</c:v>
                </c:pt>
                <c:pt idx="139">
                  <c:v>1.7894221143617004</c:v>
                </c:pt>
                <c:pt idx="140">
                  <c:v>-3.014966375713156</c:v>
                </c:pt>
                <c:pt idx="141">
                  <c:v>-1.0262533009321322</c:v>
                </c:pt>
                <c:pt idx="142">
                  <c:v>0.19477747790765451</c:v>
                </c:pt>
                <c:pt idx="143">
                  <c:v>3.2870477500707649</c:v>
                </c:pt>
                <c:pt idx="144">
                  <c:v>2.1383764804257579</c:v>
                </c:pt>
                <c:pt idx="145">
                  <c:v>-4.2121421627966393</c:v>
                </c:pt>
                <c:pt idx="146">
                  <c:v>-1.3652393358501107</c:v>
                </c:pt>
                <c:pt idx="147">
                  <c:v>-1.9281175847124778</c:v>
                </c:pt>
                <c:pt idx="148">
                  <c:v>-0.41321213148809277</c:v>
                </c:pt>
                <c:pt idx="149">
                  <c:v>2.4525436245562053</c:v>
                </c:pt>
                <c:pt idx="150">
                  <c:v>-0.27108495279249223</c:v>
                </c:pt>
                <c:pt idx="151">
                  <c:v>-0.11574054079709488</c:v>
                </c:pt>
                <c:pt idx="152">
                  <c:v>-3.9769539560774163</c:v>
                </c:pt>
                <c:pt idx="153">
                  <c:v>-5.4019784101142578</c:v>
                </c:pt>
                <c:pt idx="154">
                  <c:v>5.3029050445110597</c:v>
                </c:pt>
                <c:pt idx="155">
                  <c:v>2.6100528576220703</c:v>
                </c:pt>
                <c:pt idx="156">
                  <c:v>4.0451709012266592</c:v>
                </c:pt>
                <c:pt idx="157">
                  <c:v>2.7736878360180524</c:v>
                </c:pt>
                <c:pt idx="158">
                  <c:v>1.2878304114215113</c:v>
                </c:pt>
                <c:pt idx="159">
                  <c:v>0.11052588385341511</c:v>
                </c:pt>
                <c:pt idx="160">
                  <c:v>-1.7206569568704999</c:v>
                </c:pt>
                <c:pt idx="161">
                  <c:v>1.4382523683020747</c:v>
                </c:pt>
                <c:pt idx="162">
                  <c:v>0.87644184931180591</c:v>
                </c:pt>
                <c:pt idx="163">
                  <c:v>0.79284872663206629</c:v>
                </c:pt>
                <c:pt idx="164">
                  <c:v>-6.4723482283894116</c:v>
                </c:pt>
                <c:pt idx="165">
                  <c:v>1.90984006884239</c:v>
                </c:pt>
                <c:pt idx="166">
                  <c:v>0.39481358273116629</c:v>
                </c:pt>
                <c:pt idx="167">
                  <c:v>-0.989830570359571</c:v>
                </c:pt>
                <c:pt idx="168">
                  <c:v>6.2540965469571427E-2</c:v>
                </c:pt>
                <c:pt idx="169">
                  <c:v>-0.15812276956041443</c:v>
                </c:pt>
                <c:pt idx="170">
                  <c:v>-1.9504859422695788</c:v>
                </c:pt>
                <c:pt idx="171">
                  <c:v>-0.97615734869186344</c:v>
                </c:pt>
                <c:pt idx="172">
                  <c:v>-2.7471475923583948</c:v>
                </c:pt>
                <c:pt idx="173">
                  <c:v>0.71178642650447477</c:v>
                </c:pt>
                <c:pt idx="174">
                  <c:v>-0.63407125485399651</c:v>
                </c:pt>
                <c:pt idx="175">
                  <c:v>-1.1391919581707672</c:v>
                </c:pt>
                <c:pt idx="176">
                  <c:v>0.13896135696869913</c:v>
                </c:pt>
                <c:pt idx="177">
                  <c:v>-0.80329153237382334</c:v>
                </c:pt>
                <c:pt idx="178">
                  <c:v>1.1908259504853984</c:v>
                </c:pt>
                <c:pt idx="179">
                  <c:v>3.7435292160505758</c:v>
                </c:pt>
                <c:pt idx="180">
                  <c:v>1.9072839775669417</c:v>
                </c:pt>
                <c:pt idx="181">
                  <c:v>-2.5984861636940297</c:v>
                </c:pt>
                <c:pt idx="182">
                  <c:v>1.464855927285923</c:v>
                </c:pt>
                <c:pt idx="183">
                  <c:v>0.62006006597622276</c:v>
                </c:pt>
                <c:pt idx="184">
                  <c:v>-0.57133516980661769</c:v>
                </c:pt>
                <c:pt idx="185">
                  <c:v>3.1187392629080959</c:v>
                </c:pt>
                <c:pt idx="186">
                  <c:v>1.6015210375266666</c:v>
                </c:pt>
                <c:pt idx="187">
                  <c:v>-0.61781135510291629</c:v>
                </c:pt>
                <c:pt idx="188">
                  <c:v>0.21175314390591801</c:v>
                </c:pt>
                <c:pt idx="189">
                  <c:v>1.9493670839118078</c:v>
                </c:pt>
                <c:pt idx="190">
                  <c:v>2.6599418172327756</c:v>
                </c:pt>
                <c:pt idx="191">
                  <c:v>2.5489444075794121</c:v>
                </c:pt>
                <c:pt idx="192">
                  <c:v>1.5260867965339415</c:v>
                </c:pt>
                <c:pt idx="193">
                  <c:v>2.1363612293758742</c:v>
                </c:pt>
                <c:pt idx="194">
                  <c:v>-1.7465783067471083</c:v>
                </c:pt>
                <c:pt idx="195">
                  <c:v>-0.10392097432114804</c:v>
                </c:pt>
                <c:pt idx="196">
                  <c:v>2.9169102071070339</c:v>
                </c:pt>
                <c:pt idx="197">
                  <c:v>2.0791510168267773</c:v>
                </c:pt>
                <c:pt idx="198">
                  <c:v>-0.77986999604669482</c:v>
                </c:pt>
                <c:pt idx="199">
                  <c:v>0.65768990736195021</c:v>
                </c:pt>
                <c:pt idx="200">
                  <c:v>-2.9924598435242666</c:v>
                </c:pt>
                <c:pt idx="201">
                  <c:v>-0.15753318035327213</c:v>
                </c:pt>
                <c:pt idx="202">
                  <c:v>3.1873971558185135</c:v>
                </c:pt>
                <c:pt idx="203">
                  <c:v>-3.7995567392888153E-2</c:v>
                </c:pt>
                <c:pt idx="204">
                  <c:v>2.6472303005616276</c:v>
                </c:pt>
                <c:pt idx="205">
                  <c:v>-2.547650921488096</c:v>
                </c:pt>
                <c:pt idx="206">
                  <c:v>-2.8204289808416183</c:v>
                </c:pt>
                <c:pt idx="207">
                  <c:v>-3.2099960765935545</c:v>
                </c:pt>
                <c:pt idx="208">
                  <c:v>-4.7926357388214011</c:v>
                </c:pt>
                <c:pt idx="209">
                  <c:v>-2.377280671107092</c:v>
                </c:pt>
                <c:pt idx="210">
                  <c:v>3.6603805715581514</c:v>
                </c:pt>
                <c:pt idx="211">
                  <c:v>-2.2977495348791437</c:v>
                </c:pt>
                <c:pt idx="212">
                  <c:v>-3.5131232318501628</c:v>
                </c:pt>
                <c:pt idx="213">
                  <c:v>-3.7984357217959559</c:v>
                </c:pt>
                <c:pt idx="214">
                  <c:v>1.4272391744059372</c:v>
                </c:pt>
                <c:pt idx="215">
                  <c:v>2.8031429588783507</c:v>
                </c:pt>
                <c:pt idx="216">
                  <c:v>4.9588651964746262</c:v>
                </c:pt>
                <c:pt idx="217">
                  <c:v>-0.87692201307328443</c:v>
                </c:pt>
                <c:pt idx="218">
                  <c:v>3.0291585518993474</c:v>
                </c:pt>
                <c:pt idx="219">
                  <c:v>-4.0961724283076116E-2</c:v>
                </c:pt>
                <c:pt idx="220">
                  <c:v>-0.20684911065557746</c:v>
                </c:pt>
                <c:pt idx="221">
                  <c:v>-0.75390821236976013</c:v>
                </c:pt>
                <c:pt idx="222">
                  <c:v>-0.71584276694593196</c:v>
                </c:pt>
                <c:pt idx="223">
                  <c:v>-2.5293347896056928</c:v>
                </c:pt>
                <c:pt idx="224">
                  <c:v>7.6995335175618082E-3</c:v>
                </c:pt>
                <c:pt idx="225">
                  <c:v>-0.56103521930778322</c:v>
                </c:pt>
                <c:pt idx="226">
                  <c:v>-1.672961799882174</c:v>
                </c:pt>
                <c:pt idx="227">
                  <c:v>0.7904400860767099</c:v>
                </c:pt>
                <c:pt idx="228">
                  <c:v>-0.19957722463211716</c:v>
                </c:pt>
                <c:pt idx="229">
                  <c:v>1.0000607793284515</c:v>
                </c:pt>
                <c:pt idx="230">
                  <c:v>0.86719232395786683</c:v>
                </c:pt>
                <c:pt idx="231">
                  <c:v>-1.4655317270080654</c:v>
                </c:pt>
                <c:pt idx="232">
                  <c:v>0.27395379837911632</c:v>
                </c:pt>
                <c:pt idx="233">
                  <c:v>-3.0578978784161723</c:v>
                </c:pt>
                <c:pt idx="234">
                  <c:v>1.4113508763323765</c:v>
                </c:pt>
                <c:pt idx="235">
                  <c:v>2.4883977288064179</c:v>
                </c:pt>
                <c:pt idx="236">
                  <c:v>6.1190715761600609</c:v>
                </c:pt>
                <c:pt idx="237">
                  <c:v>-0.4837323155909769</c:v>
                </c:pt>
                <c:pt idx="238">
                  <c:v>1.4500384772618966</c:v>
                </c:pt>
                <c:pt idx="239">
                  <c:v>-3.9643599743230626</c:v>
                </c:pt>
                <c:pt idx="240">
                  <c:v>-5.3155956956869108</c:v>
                </c:pt>
                <c:pt idx="241">
                  <c:v>-4.7712556127595303</c:v>
                </c:pt>
                <c:pt idx="242">
                  <c:v>13.172969859036932</c:v>
                </c:pt>
                <c:pt idx="243">
                  <c:v>7.2107389430349329</c:v>
                </c:pt>
                <c:pt idx="244">
                  <c:v>2.3466857362476885</c:v>
                </c:pt>
                <c:pt idx="245">
                  <c:v>9.9554372747366315</c:v>
                </c:pt>
                <c:pt idx="246">
                  <c:v>4.9352531059743807</c:v>
                </c:pt>
                <c:pt idx="247">
                  <c:v>-0.68587551764978061</c:v>
                </c:pt>
                <c:pt idx="248">
                  <c:v>1.2345601813654961</c:v>
                </c:pt>
                <c:pt idx="249">
                  <c:v>1.1815761705870858</c:v>
                </c:pt>
                <c:pt idx="250">
                  <c:v>-0.60585800295101178</c:v>
                </c:pt>
                <c:pt idx="251">
                  <c:v>-1.4167404873075831</c:v>
                </c:pt>
                <c:pt idx="252">
                  <c:v>-2.8913596010713132</c:v>
                </c:pt>
                <c:pt idx="253">
                  <c:v>0.94148563341357638</c:v>
                </c:pt>
                <c:pt idx="254">
                  <c:v>0.10506983571430212</c:v>
                </c:pt>
                <c:pt idx="255">
                  <c:v>-2.3545810557722016</c:v>
                </c:pt>
                <c:pt idx="256">
                  <c:v>3.052330271299571E-2</c:v>
                </c:pt>
                <c:pt idx="257">
                  <c:v>-1.7233260700818205</c:v>
                </c:pt>
                <c:pt idx="258">
                  <c:v>-0.69717173920131104</c:v>
                </c:pt>
                <c:pt idx="259">
                  <c:v>-2.1386075346668387</c:v>
                </c:pt>
                <c:pt idx="260">
                  <c:v>-0.51156090106779017</c:v>
                </c:pt>
                <c:pt idx="261">
                  <c:v>-1.6479969729567365</c:v>
                </c:pt>
                <c:pt idx="262">
                  <c:v>-2.9125137222361288</c:v>
                </c:pt>
                <c:pt idx="263">
                  <c:v>1.0789444422452377</c:v>
                </c:pt>
                <c:pt idx="264">
                  <c:v>2.7279332663852509</c:v>
                </c:pt>
                <c:pt idx="265">
                  <c:v>0.57796223623426646</c:v>
                </c:pt>
                <c:pt idx="266">
                  <c:v>-1.0711803357534062</c:v>
                </c:pt>
                <c:pt idx="267">
                  <c:v>4.1706195347204753</c:v>
                </c:pt>
                <c:pt idx="268">
                  <c:v>-6.3186671786628619</c:v>
                </c:pt>
                <c:pt idx="269">
                  <c:v>-0.60529074787668646</c:v>
                </c:pt>
                <c:pt idx="270">
                  <c:v>0.25478709625109125</c:v>
                </c:pt>
                <c:pt idx="271">
                  <c:v>-3.951736885447231</c:v>
                </c:pt>
                <c:pt idx="272">
                  <c:v>-5.24991006553915</c:v>
                </c:pt>
                <c:pt idx="273">
                  <c:v>-6.7203198918386846</c:v>
                </c:pt>
                <c:pt idx="274">
                  <c:v>-3.8872190534951416</c:v>
                </c:pt>
                <c:pt idx="275">
                  <c:v>-6.0047147778711674</c:v>
                </c:pt>
                <c:pt idx="276">
                  <c:v>1.4623181250331556</c:v>
                </c:pt>
                <c:pt idx="277">
                  <c:v>-3.6378396493163552E-2</c:v>
                </c:pt>
                <c:pt idx="278">
                  <c:v>-2.0730944715248216</c:v>
                </c:pt>
                <c:pt idx="279">
                  <c:v>-5.689215893688961</c:v>
                </c:pt>
                <c:pt idx="280">
                  <c:v>-3.5647066647545076</c:v>
                </c:pt>
                <c:pt idx="281">
                  <c:v>-3.7480812959207177</c:v>
                </c:pt>
                <c:pt idx="282">
                  <c:v>-2.4857703157514104</c:v>
                </c:pt>
                <c:pt idx="283">
                  <c:v>-3.3684781400953314</c:v>
                </c:pt>
                <c:pt idx="284">
                  <c:v>-3.3645063076537625</c:v>
                </c:pt>
                <c:pt idx="285">
                  <c:v>-3.1514032711481996</c:v>
                </c:pt>
                <c:pt idx="286">
                  <c:v>-2.0907170773706674</c:v>
                </c:pt>
                <c:pt idx="287">
                  <c:v>-0.31809050204316169</c:v>
                </c:pt>
                <c:pt idx="288">
                  <c:v>-3.6059485901935107</c:v>
                </c:pt>
                <c:pt idx="289">
                  <c:v>-2.4004925965185979</c:v>
                </c:pt>
                <c:pt idx="290">
                  <c:v>-0.95048942458634067</c:v>
                </c:pt>
                <c:pt idx="291">
                  <c:v>-0.98605639233943487</c:v>
                </c:pt>
                <c:pt idx="292">
                  <c:v>1.3670037188506494</c:v>
                </c:pt>
                <c:pt idx="293">
                  <c:v>5.1633697821778402</c:v>
                </c:pt>
                <c:pt idx="294">
                  <c:v>0.43724928051441825</c:v>
                </c:pt>
                <c:pt idx="295">
                  <c:v>0.851394343150218</c:v>
                </c:pt>
                <c:pt idx="296">
                  <c:v>3.0977812961657061</c:v>
                </c:pt>
                <c:pt idx="297">
                  <c:v>0.82250204422445117</c:v>
                </c:pt>
                <c:pt idx="298">
                  <c:v>0.91834854443439884</c:v>
                </c:pt>
                <c:pt idx="299">
                  <c:v>4.8845313729495397</c:v>
                </c:pt>
                <c:pt idx="300">
                  <c:v>4.9374865969260453</c:v>
                </c:pt>
                <c:pt idx="301">
                  <c:v>-0.81475612395878372</c:v>
                </c:pt>
                <c:pt idx="302">
                  <c:v>5.7507449438926157</c:v>
                </c:pt>
                <c:pt idx="303">
                  <c:v>1.6446400365817351</c:v>
                </c:pt>
                <c:pt idx="304">
                  <c:v>2.109571687744789</c:v>
                </c:pt>
                <c:pt idx="305">
                  <c:v>0.56613825389506667</c:v>
                </c:pt>
                <c:pt idx="306">
                  <c:v>6.3524807998872364</c:v>
                </c:pt>
                <c:pt idx="307">
                  <c:v>6.0984026302550962</c:v>
                </c:pt>
                <c:pt idx="308">
                  <c:v>1.1706714109260627</c:v>
                </c:pt>
                <c:pt idx="309">
                  <c:v>-1.9927384262907486</c:v>
                </c:pt>
                <c:pt idx="310">
                  <c:v>0.5848636021687651</c:v>
                </c:pt>
                <c:pt idx="311">
                  <c:v>-2.976726537089073</c:v>
                </c:pt>
                <c:pt idx="312">
                  <c:v>-3.6633814291028028</c:v>
                </c:pt>
                <c:pt idx="313">
                  <c:v>-5.1220048439410162</c:v>
                </c:pt>
                <c:pt idx="314">
                  <c:v>-8.591641151691249</c:v>
                </c:pt>
                <c:pt idx="315">
                  <c:v>-1.2118597417157555</c:v>
                </c:pt>
                <c:pt idx="316">
                  <c:v>-3.0655192197449437</c:v>
                </c:pt>
                <c:pt idx="317">
                  <c:v>-2.6467931870703998</c:v>
                </c:pt>
                <c:pt idx="318">
                  <c:v>3.0319775373322515</c:v>
                </c:pt>
                <c:pt idx="319">
                  <c:v>-3.1661013760358392</c:v>
                </c:pt>
                <c:pt idx="320">
                  <c:v>10.883810167287482</c:v>
                </c:pt>
                <c:pt idx="321">
                  <c:v>-2.1820627918095523</c:v>
                </c:pt>
                <c:pt idx="322">
                  <c:v>4.8260964571069032</c:v>
                </c:pt>
                <c:pt idx="323">
                  <c:v>8.2450623796628069</c:v>
                </c:pt>
                <c:pt idx="324">
                  <c:v>8.6539501266128589</c:v>
                </c:pt>
                <c:pt idx="325">
                  <c:v>4.905927433975827</c:v>
                </c:pt>
                <c:pt idx="326">
                  <c:v>-0.27056580601216901</c:v>
                </c:pt>
                <c:pt idx="327">
                  <c:v>7.461302645924798</c:v>
                </c:pt>
                <c:pt idx="328">
                  <c:v>-2.2657409064896892</c:v>
                </c:pt>
                <c:pt idx="329">
                  <c:v>-8.0533902446309327</c:v>
                </c:pt>
                <c:pt idx="330">
                  <c:v>1.7563955555362059</c:v>
                </c:pt>
                <c:pt idx="331">
                  <c:v>-10.838973454580943</c:v>
                </c:pt>
                <c:pt idx="332">
                  <c:v>1.3585205064989019</c:v>
                </c:pt>
                <c:pt idx="333">
                  <c:v>-2.876626947862059</c:v>
                </c:pt>
                <c:pt idx="334">
                  <c:v>-2.1418096775819753</c:v>
                </c:pt>
                <c:pt idx="335">
                  <c:v>-1.9984934632617499</c:v>
                </c:pt>
                <c:pt idx="336">
                  <c:v>-2.7800551187514939</c:v>
                </c:pt>
                <c:pt idx="337">
                  <c:v>-4.3410279640583607</c:v>
                </c:pt>
                <c:pt idx="338">
                  <c:v>0.22788351573076968</c:v>
                </c:pt>
                <c:pt idx="339">
                  <c:v>3.8054728687064672</c:v>
                </c:pt>
                <c:pt idx="340">
                  <c:v>6.6445311301547934</c:v>
                </c:pt>
                <c:pt idx="341">
                  <c:v>-0.30938040590443527</c:v>
                </c:pt>
                <c:pt idx="342">
                  <c:v>-1.5006308250466132</c:v>
                </c:pt>
                <c:pt idx="343">
                  <c:v>2.8933611436410236</c:v>
                </c:pt>
                <c:pt idx="344">
                  <c:v>3.9702608972363729</c:v>
                </c:pt>
                <c:pt idx="345">
                  <c:v>-2.8426223274991645E-2</c:v>
                </c:pt>
                <c:pt idx="346">
                  <c:v>3.8893503903662641</c:v>
                </c:pt>
                <c:pt idx="347">
                  <c:v>2.7151066973755134</c:v>
                </c:pt>
                <c:pt idx="348">
                  <c:v>-0.22578160987867821</c:v>
                </c:pt>
                <c:pt idx="349">
                  <c:v>0.13728101479455973</c:v>
                </c:pt>
                <c:pt idx="350">
                  <c:v>0.86152239613964365</c:v>
                </c:pt>
                <c:pt idx="351">
                  <c:v>0.24485782917570523</c:v>
                </c:pt>
                <c:pt idx="352">
                  <c:v>2.5981412397478789</c:v>
                </c:pt>
                <c:pt idx="353">
                  <c:v>0.90304962182471338</c:v>
                </c:pt>
                <c:pt idx="354">
                  <c:v>0.63376882204497342</c:v>
                </c:pt>
                <c:pt idx="355">
                  <c:v>2.9617001560079603</c:v>
                </c:pt>
                <c:pt idx="356">
                  <c:v>-3.4839809548703582</c:v>
                </c:pt>
                <c:pt idx="357">
                  <c:v>-4.5233060154576235</c:v>
                </c:pt>
                <c:pt idx="358">
                  <c:v>-1.8185005649100394</c:v>
                </c:pt>
                <c:pt idx="359">
                  <c:v>4.1316504383413974</c:v>
                </c:pt>
                <c:pt idx="360">
                  <c:v>-6.358095931602012</c:v>
                </c:pt>
                <c:pt idx="361">
                  <c:v>-7.0372864508557127</c:v>
                </c:pt>
                <c:pt idx="362">
                  <c:v>-2.366014027876763</c:v>
                </c:pt>
                <c:pt idx="363">
                  <c:v>-3.218739277762225</c:v>
                </c:pt>
                <c:pt idx="364">
                  <c:v>2.7582262206913315</c:v>
                </c:pt>
                <c:pt idx="365">
                  <c:v>0.53675917505934245</c:v>
                </c:pt>
                <c:pt idx="366">
                  <c:v>-1.8168501678208238</c:v>
                </c:pt>
                <c:pt idx="367">
                  <c:v>-2.6859160950119931</c:v>
                </c:pt>
                <c:pt idx="368">
                  <c:v>-5.0802234469046796</c:v>
                </c:pt>
                <c:pt idx="369">
                  <c:v>0.40931534136625308</c:v>
                </c:pt>
                <c:pt idx="370">
                  <c:v>1.4591095280309649</c:v>
                </c:pt>
                <c:pt idx="371">
                  <c:v>-5.0977117902675833</c:v>
                </c:pt>
                <c:pt idx="372">
                  <c:v>5.0769452576812029</c:v>
                </c:pt>
                <c:pt idx="373">
                  <c:v>3.1149854368554237</c:v>
                </c:pt>
                <c:pt idx="374">
                  <c:v>1.4700677352177169</c:v>
                </c:pt>
                <c:pt idx="375">
                  <c:v>1.4864872849135713</c:v>
                </c:pt>
                <c:pt idx="376">
                  <c:v>-0.47806161701037769</c:v>
                </c:pt>
                <c:pt idx="377">
                  <c:v>2.1687985727788273</c:v>
                </c:pt>
                <c:pt idx="378">
                  <c:v>-4.0969444301977695</c:v>
                </c:pt>
                <c:pt idx="379">
                  <c:v>2.3278005531407135</c:v>
                </c:pt>
                <c:pt idx="380">
                  <c:v>-3.3250079143703637</c:v>
                </c:pt>
                <c:pt idx="381">
                  <c:v>10.130652776239755</c:v>
                </c:pt>
                <c:pt idx="382">
                  <c:v>-4.4798809472729406</c:v>
                </c:pt>
                <c:pt idx="383">
                  <c:v>-6.9955997457344044</c:v>
                </c:pt>
                <c:pt idx="384">
                  <c:v>9.6543441758296406E-2</c:v>
                </c:pt>
                <c:pt idx="385">
                  <c:v>4.6351514576143771</c:v>
                </c:pt>
                <c:pt idx="386">
                  <c:v>-1.5587308909671302</c:v>
                </c:pt>
                <c:pt idx="387">
                  <c:v>-2.4655038674426057</c:v>
                </c:pt>
                <c:pt idx="388">
                  <c:v>9.2693183050970411</c:v>
                </c:pt>
                <c:pt idx="389">
                  <c:v>8.6973095300076186E-2</c:v>
                </c:pt>
                <c:pt idx="390">
                  <c:v>-2.4134903280417519</c:v>
                </c:pt>
                <c:pt idx="391">
                  <c:v>1.247924205674755</c:v>
                </c:pt>
              </c:numCache>
            </c:numRef>
          </c:val>
          <c:extLst>
            <c:ext xmlns:c16="http://schemas.microsoft.com/office/drawing/2014/chart" uri="{C3380CC4-5D6E-409C-BE32-E72D297353CC}">
              <c16:uniqueId val="{00000002-A9A8-40BE-A242-E8427B270C95}"/>
            </c:ext>
          </c:extLst>
        </c:ser>
        <c:dLbls>
          <c:showLegendKey val="0"/>
          <c:showVal val="0"/>
          <c:showCatName val="0"/>
          <c:showSerName val="0"/>
          <c:showPercent val="0"/>
          <c:showBubbleSize val="0"/>
        </c:dLbls>
        <c:gapWidth val="150"/>
        <c:axId val="1654335840"/>
        <c:axId val="2087065840"/>
      </c:barChart>
      <c:catAx>
        <c:axId val="1654335840"/>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087065840"/>
        <c:crosses val="autoZero"/>
        <c:auto val="1"/>
        <c:lblAlgn val="ctr"/>
        <c:lblOffset val="100"/>
        <c:noMultiLvlLbl val="0"/>
      </c:catAx>
      <c:valAx>
        <c:axId val="2087065840"/>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65433584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47</xdr:col>
      <xdr:colOff>0</xdr:colOff>
      <xdr:row>2</xdr:row>
      <xdr:rowOff>0</xdr:rowOff>
    </xdr:from>
    <xdr:to>
      <xdr:col>51</xdr:col>
      <xdr:colOff>184150</xdr:colOff>
      <xdr:row>22</xdr:row>
      <xdr:rowOff>127000</xdr:rowOff>
    </xdr:to>
    <xdr:graphicFrame macro="">
      <xdr:nvGraphicFramePr>
        <xdr:cNvPr id="9" name="Chart 8">
          <a:extLst>
            <a:ext uri="{FF2B5EF4-FFF2-40B4-BE49-F238E27FC236}">
              <a16:creationId xmlns:a16="http://schemas.microsoft.com/office/drawing/2014/main" id="{77DA019D-F703-A24B-97A7-473DB43B56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311150</xdr:colOff>
      <xdr:row>2</xdr:row>
      <xdr:rowOff>0</xdr:rowOff>
    </xdr:from>
    <xdr:to>
      <xdr:col>57</xdr:col>
      <xdr:colOff>590550</xdr:colOff>
      <xdr:row>22</xdr:row>
      <xdr:rowOff>127000</xdr:rowOff>
    </xdr:to>
    <xdr:graphicFrame macro="">
      <xdr:nvGraphicFramePr>
        <xdr:cNvPr id="10" name="Chart 9">
          <a:extLst>
            <a:ext uri="{FF2B5EF4-FFF2-40B4-BE49-F238E27FC236}">
              <a16:creationId xmlns:a16="http://schemas.microsoft.com/office/drawing/2014/main" id="{874666DD-48C8-88F4-0C4D-3C870F5A2B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47</xdr:col>
      <xdr:colOff>0</xdr:colOff>
      <xdr:row>23</xdr:row>
      <xdr:rowOff>63500</xdr:rowOff>
    </xdr:from>
    <xdr:to>
      <xdr:col>51</xdr:col>
      <xdr:colOff>184150</xdr:colOff>
      <xdr:row>44</xdr:row>
      <xdr:rowOff>0</xdr:rowOff>
    </xdr:to>
    <xdr:graphicFrame macro="">
      <xdr:nvGraphicFramePr>
        <xdr:cNvPr id="11" name="Chart 10">
          <a:extLst>
            <a:ext uri="{FF2B5EF4-FFF2-40B4-BE49-F238E27FC236}">
              <a16:creationId xmlns:a16="http://schemas.microsoft.com/office/drawing/2014/main" id="{632DBFEE-BACF-79F2-E72E-36C363BC96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311150</xdr:colOff>
      <xdr:row>23</xdr:row>
      <xdr:rowOff>63500</xdr:rowOff>
    </xdr:from>
    <xdr:to>
      <xdr:col>57</xdr:col>
      <xdr:colOff>590550</xdr:colOff>
      <xdr:row>44</xdr:row>
      <xdr:rowOff>0</xdr:rowOff>
    </xdr:to>
    <xdr:graphicFrame macro="">
      <xdr:nvGraphicFramePr>
        <xdr:cNvPr id="12" name="Chart 11">
          <a:extLst>
            <a:ext uri="{FF2B5EF4-FFF2-40B4-BE49-F238E27FC236}">
              <a16:creationId xmlns:a16="http://schemas.microsoft.com/office/drawing/2014/main" id="{7A131E2F-AA73-F5DD-E343-661BAA3A04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0</xdr:colOff>
      <xdr:row>44</xdr:row>
      <xdr:rowOff>127000</xdr:rowOff>
    </xdr:from>
    <xdr:to>
      <xdr:col>51</xdr:col>
      <xdr:colOff>184150</xdr:colOff>
      <xdr:row>65</xdr:row>
      <xdr:rowOff>63500</xdr:rowOff>
    </xdr:to>
    <xdr:graphicFrame macro="">
      <xdr:nvGraphicFramePr>
        <xdr:cNvPr id="13" name="Chart 12">
          <a:extLst>
            <a:ext uri="{FF2B5EF4-FFF2-40B4-BE49-F238E27FC236}">
              <a16:creationId xmlns:a16="http://schemas.microsoft.com/office/drawing/2014/main" id="{8FBC0CB7-6720-5BAF-EF4E-82923F8710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311150</xdr:colOff>
      <xdr:row>44</xdr:row>
      <xdr:rowOff>127000</xdr:rowOff>
    </xdr:from>
    <xdr:to>
      <xdr:col>57</xdr:col>
      <xdr:colOff>590550</xdr:colOff>
      <xdr:row>65</xdr:row>
      <xdr:rowOff>63500</xdr:rowOff>
    </xdr:to>
    <xdr:graphicFrame macro="">
      <xdr:nvGraphicFramePr>
        <xdr:cNvPr id="14" name="Chart 13">
          <a:extLst>
            <a:ext uri="{FF2B5EF4-FFF2-40B4-BE49-F238E27FC236}">
              <a16:creationId xmlns:a16="http://schemas.microsoft.com/office/drawing/2014/main" id="{52A0C623-2FF6-460B-ACE4-97A9E1E9DC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47</xdr:col>
      <xdr:colOff>0</xdr:colOff>
      <xdr:row>66</xdr:row>
      <xdr:rowOff>0</xdr:rowOff>
    </xdr:from>
    <xdr:to>
      <xdr:col>51</xdr:col>
      <xdr:colOff>184150</xdr:colOff>
      <xdr:row>86</xdr:row>
      <xdr:rowOff>127000</xdr:rowOff>
    </xdr:to>
    <xdr:graphicFrame macro="">
      <xdr:nvGraphicFramePr>
        <xdr:cNvPr id="15" name="Chart 14">
          <a:extLst>
            <a:ext uri="{FF2B5EF4-FFF2-40B4-BE49-F238E27FC236}">
              <a16:creationId xmlns:a16="http://schemas.microsoft.com/office/drawing/2014/main" id="{A7EEACBD-04B7-B016-58FC-14ADE33026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A033923-D17E-431F-A23E-226F4A6F31E1}" name="MileageData" displayName="MileageData" ref="A1:L407" totalsRowShown="0">
  <autoFilter ref="A1:L407" xr:uid="{2A033923-D17E-431F-A23E-226F4A6F31E1}"/>
  <tableColumns count="12">
    <tableColumn id="1" xr3:uid="{85046BB9-6AA9-45AE-B14D-D083AE25803E}" name="MPG"/>
    <tableColumn id="2" xr3:uid="{A269EE68-F603-45CA-BE90-71156AC55DF2}" name="Cylinders"/>
    <tableColumn id="3" xr3:uid="{3C9ED3C3-1726-4DFE-A9A4-C1954B178242}" name="Displacement"/>
    <tableColumn id="4" xr3:uid="{65D41734-BDF6-42F7-8015-1AF9B6BD0EE2}" name="Horsepower"/>
    <tableColumn id="5" xr3:uid="{0DA7E7FB-2D2F-4B1F-8A56-9E7F206BCC4E}" name="Weight"/>
    <tableColumn id="6" xr3:uid="{EFBA3440-D0DF-43C9-A75D-2464DAB5F610}" name="Acceleration"/>
    <tableColumn id="7" xr3:uid="{AB934F4D-2BFF-43D8-846F-AA1EC173A736}" name="Model Year"/>
    <tableColumn id="8" xr3:uid="{BF5F62AF-1EEA-4681-8D34-C0DA348705BE}" name="Origin"/>
    <tableColumn id="9" xr3:uid="{3B854329-BC4B-433B-94D5-26C91E258DE6}" name="Car Name"/>
    <tableColumn id="10" xr3:uid="{CE7CEDC2-F214-4269-816E-5138E242316C}" name="Make"/>
    <tableColumn id="11" xr3:uid="{F34413B8-B063-409F-A331-70AA73D0C8F2}" name="Model?"/>
    <tableColumn id="12" xr3:uid="{1D9962C6-40AE-4825-9B25-2EABBC4E5E3D}"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147FCED-D649-481E-8F9E-C547238775B5}" name="LifeExpectancyData" displayName="LifeExpectancyData" ref="A1:W2939" totalsRowShown="0">
  <autoFilter ref="A1:W2939" xr:uid="{8147FCED-D649-481E-8F9E-C547238775B5}"/>
  <tableColumns count="23">
    <tableColumn id="1" xr3:uid="{F4E2F644-B5B8-48D0-AEA9-21FEF51C22FB}" name="Country"/>
    <tableColumn id="2" xr3:uid="{8FDE468B-13A0-4D64-B42F-92082ED7B12F}" name="Year"/>
    <tableColumn id="3" xr3:uid="{6FF47069-FFEC-4CEC-82F4-97158729B035}" name="Status"/>
    <tableColumn id="4" xr3:uid="{E395E750-C5F8-4EA9-B860-CD051ABA6F01}" name="Life expectancy"/>
    <tableColumn id="5" xr3:uid="{B735E084-4B7A-44C5-9E17-779FFB3D7EA7}" name="Adult Mortality"/>
    <tableColumn id="6" xr3:uid="{EBA5163A-44EC-4570-97DF-880F0B8917F3}" name="infant deaths"/>
    <tableColumn id="7" xr3:uid="{A616A3CD-CF0A-4E86-B955-EF2617F845B8}" name="Alcohol"/>
    <tableColumn id="8" xr3:uid="{02D66D41-2685-44FC-B964-06F1B918096C}" name="percentage expenditure"/>
    <tableColumn id="9" xr3:uid="{F1DE7D45-D577-4CD5-9630-4A1FCD44587A}" name="Hepatitis B"/>
    <tableColumn id="10" xr3:uid="{A3DFCFA4-EA2A-4128-84B4-37AFB850A018}" name="Measles"/>
    <tableColumn id="11" xr3:uid="{5403766D-61C2-4108-AB49-9C0A05DB2299}" name="BMI"/>
    <tableColumn id="12" xr3:uid="{C1843BF0-CAB0-4421-9F37-05C77DEA0DE2}" name="under-five deaths"/>
    <tableColumn id="13" xr3:uid="{2E92BAC3-28F2-42FC-BF4A-39D03882271B}" name="Polio"/>
    <tableColumn id="14" xr3:uid="{DD7A944E-911E-4C96-9886-2AE50B8FA3AC}" name="Total expenditure"/>
    <tableColumn id="15" xr3:uid="{2038573B-59B5-449F-84B7-645D3432D235}" name="Diphtheria"/>
    <tableColumn id="16" xr3:uid="{13BEB771-F194-4159-AA42-6479FC3F3769}" name="HIV/AIDS"/>
    <tableColumn id="17" xr3:uid="{F0E40326-82A0-4A1B-9265-5971F524F8FF}" name="GDP"/>
    <tableColumn id="18" xr3:uid="{76848F1C-954E-4B8A-A1FE-5F6FFE6109A9}" name="Population"/>
    <tableColumn id="19" xr3:uid="{BDFFE83C-57BD-4AEE-A160-421AAF4AB950}" name="thinness 1-19 years"/>
    <tableColumn id="20" xr3:uid="{C8ED0064-C10C-4D47-B02B-8BDCFFA244BA}" name="thinness 5-9 years"/>
    <tableColumn id="21" xr3:uid="{34A78A8F-7FCC-44C5-8028-D417DD809F47}" name="Income composition of resources"/>
    <tableColumn id="22" xr3:uid="{5C84F253-1E41-46F6-BB89-F92D2D2CC7BA}" name="Schooling"/>
    <tableColumn id="23" xr3:uid="{3B762B4E-5985-4F84-A7A7-C97BDBBFAF3D}"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9D43DBF-8944-45A2-A811-0B8178ACB288}" name="SpecTable" displayName="SpecTable" ref="B3:L15" totalsRowShown="0" headerRowDxfId="37">
  <autoFilter ref="B3:L15" xr:uid="{39D43DBF-8944-45A2-A811-0B8178ACB288}"/>
  <tableColumns count="11">
    <tableColumn id="1" xr3:uid="{D5915E7C-0A17-499B-9EB6-8CEB60842498}" name="Role"/>
    <tableColumn id="2" xr3:uid="{6725764B-EAD7-4212-B558-F446FA546634}" name="Include"/>
    <tableColumn id="3" xr3:uid="{310469E2-E4AB-4434-9882-0270A75443DE}" name="Type"/>
    <tableColumn id="4" xr3:uid="{6A8B741B-6030-49B2-8DC7-B307D0A9039F}" name="Reference Level"/>
    <tableColumn id="5" xr3:uid="{3DB63C79-BB9C-48E2-B493-6139592DCDCC}" name="Order"/>
    <tableColumn id="6" xr3:uid="{356F4E60-CDB2-48D3-86EE-7553DDF18850}" name="Transform"/>
    <tableColumn id="7" xr3:uid="{7BF53EE8-A29B-440B-8FC4-942CCB7BB863}" name="Sequence"/>
    <tableColumn id="8" xr3:uid="{251AB20C-E224-417D-8470-7D71328B764C}" name="Sequence Period"/>
    <tableColumn id="9" xr3:uid="{F75DE529-93F4-4F04-89DE-0A071F933899}" name="Period In Use" dataDxfId="36">
      <calculatedColumnFormula>IF(SpecTable[[#This Row],[Sequence]]&lt;&gt;TRUE,"",IF(N(SpecTable[[#This Row],[Sequence Period]])&lt;&gt;0,SpecTable[[#This Row],[Sequence Period]],IFERROR(Base_Period_Delta_Candidate(),"")))</calculatedColumnFormula>
    </tableColumn>
    <tableColumn id="10" xr3:uid="{B0AAF7B7-8CE4-48AC-9CD9-19372CFA2756}" name="Levels" dataDxfId="35">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668CA146-16AF-4E9B-95BF-7DC359392ED6}" name="Reference In Use" dataDxfId="34">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E5BF97-0574-44F9-9837-CB27420BC6DC}" name="LAMBDAFunctionsCatalog" displayName="LAMBDAFunctionsCatalog" ref="A1:G125" totalsRowShown="0" headerRowDxfId="39" dataDxfId="38">
  <autoFilter ref="A1:G125" xr:uid="{09E5BF97-0574-44F9-9837-CB27420BC6DC}"/>
  <tableColumns count="7">
    <tableColumn id="1" xr3:uid="{390C6F97-5933-4798-A3E2-4E05F037472B}" name="Function Name" dataDxfId="46"/>
    <tableColumn id="2" xr3:uid="{199262BB-3EE2-4CD1-A5CC-85E8D95AB6D0}" name="Scope" dataDxfId="45"/>
    <tableColumn id="3" xr3:uid="{D5ECD58B-F056-449B-8726-F134DB68AF55}" name="Definition" dataDxfId="44"/>
    <tableColumn id="4" xr3:uid="{DA723CEF-34AD-4501-9A52-C1610BD23C86}" name="Arguments" dataDxfId="43"/>
    <tableColumn id="5" xr3:uid="{2393ADF2-B06D-4E9E-8E11-5C5BF4CA4F24}" name="Yields" dataDxfId="42"/>
    <tableColumn id="6" xr3:uid="{DA5D7B4E-FB80-438C-96D6-B2C6E74C8AD7}" name="Plain-Language Summary" dataDxfId="41"/>
    <tableColumn id="7" xr3:uid="{8908BDD0-9978-4C6C-B28B-A510320CFC32}" name="Description"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90" activePane="bottomLeft" state="frozenSplit"/>
      <selection pane="bottomLeft" activeCell="N391" sqref="N391"/>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968</v>
      </c>
      <c r="B1" t="s">
        <v>969</v>
      </c>
      <c r="C1" t="s">
        <v>970</v>
      </c>
      <c r="D1" t="s">
        <v>971</v>
      </c>
      <c r="E1" t="s">
        <v>972</v>
      </c>
      <c r="F1" t="s">
        <v>973</v>
      </c>
      <c r="G1" t="s">
        <v>974</v>
      </c>
      <c r="H1" t="s">
        <v>975</v>
      </c>
      <c r="I1" t="s">
        <v>976</v>
      </c>
      <c r="J1" t="s">
        <v>977</v>
      </c>
      <c r="K1" t="s">
        <v>978</v>
      </c>
      <c r="L1" t="s">
        <v>361</v>
      </c>
    </row>
    <row r="2" spans="1:12" x14ac:dyDescent="0.25">
      <c r="A2">
        <v>18</v>
      </c>
      <c r="B2">
        <v>8</v>
      </c>
      <c r="C2">
        <v>307</v>
      </c>
      <c r="D2">
        <v>130</v>
      </c>
      <c r="E2">
        <v>3504</v>
      </c>
      <c r="F2">
        <v>12</v>
      </c>
      <c r="G2">
        <v>70</v>
      </c>
      <c r="H2" t="s">
        <v>1637</v>
      </c>
      <c r="I2" t="s">
        <v>979</v>
      </c>
      <c r="J2" t="s">
        <v>980</v>
      </c>
      <c r="K2" t="s">
        <v>981</v>
      </c>
      <c r="L2" t="b">
        <f>Data_Completeness(MileageData[[#This Row],[MPG]:[Acceleration]])</f>
        <v>1</v>
      </c>
    </row>
    <row r="3" spans="1:12" x14ac:dyDescent="0.25">
      <c r="A3">
        <v>15</v>
      </c>
      <c r="B3">
        <v>8</v>
      </c>
      <c r="C3">
        <v>350</v>
      </c>
      <c r="D3">
        <v>165</v>
      </c>
      <c r="E3">
        <v>3693</v>
      </c>
      <c r="F3">
        <v>11.5</v>
      </c>
      <c r="G3">
        <v>70</v>
      </c>
      <c r="H3" t="s">
        <v>1637</v>
      </c>
      <c r="I3" t="s">
        <v>982</v>
      </c>
      <c r="J3" t="s">
        <v>983</v>
      </c>
      <c r="K3" t="s">
        <v>984</v>
      </c>
      <c r="L3" t="b">
        <f>Data_Completeness(MileageData[[#This Row],[MPG]:[Acceleration]])</f>
        <v>1</v>
      </c>
    </row>
    <row r="4" spans="1:12" x14ac:dyDescent="0.25">
      <c r="A4">
        <v>18</v>
      </c>
      <c r="B4">
        <v>8</v>
      </c>
      <c r="C4">
        <v>318</v>
      </c>
      <c r="D4">
        <v>150</v>
      </c>
      <c r="E4">
        <v>3436</v>
      </c>
      <c r="F4">
        <v>11</v>
      </c>
      <c r="G4">
        <v>70</v>
      </c>
      <c r="H4" t="s">
        <v>1637</v>
      </c>
      <c r="I4" t="s">
        <v>985</v>
      </c>
      <c r="J4" t="s">
        <v>986</v>
      </c>
      <c r="K4" t="s">
        <v>987</v>
      </c>
      <c r="L4" t="b">
        <f>Data_Completeness(MileageData[[#This Row],[MPG]:[Acceleration]])</f>
        <v>1</v>
      </c>
    </row>
    <row r="5" spans="1:12" x14ac:dyDescent="0.25">
      <c r="A5">
        <v>16</v>
      </c>
      <c r="B5">
        <v>8</v>
      </c>
      <c r="C5">
        <v>304</v>
      </c>
      <c r="D5">
        <v>150</v>
      </c>
      <c r="E5">
        <v>3433</v>
      </c>
      <c r="F5">
        <v>12</v>
      </c>
      <c r="G5">
        <v>70</v>
      </c>
      <c r="H5" t="s">
        <v>1637</v>
      </c>
      <c r="I5" t="s">
        <v>988</v>
      </c>
      <c r="J5" t="s">
        <v>989</v>
      </c>
      <c r="K5" t="s">
        <v>990</v>
      </c>
      <c r="L5" t="b">
        <f>Data_Completeness(MileageData[[#This Row],[MPG]:[Acceleration]])</f>
        <v>1</v>
      </c>
    </row>
    <row r="6" spans="1:12" x14ac:dyDescent="0.25">
      <c r="A6">
        <v>17</v>
      </c>
      <c r="B6">
        <v>8</v>
      </c>
      <c r="C6">
        <v>302</v>
      </c>
      <c r="D6">
        <v>140</v>
      </c>
      <c r="E6">
        <v>3449</v>
      </c>
      <c r="F6">
        <v>10.5</v>
      </c>
      <c r="G6">
        <v>70</v>
      </c>
      <c r="H6" t="s">
        <v>1637</v>
      </c>
      <c r="I6" t="s">
        <v>991</v>
      </c>
      <c r="J6" t="s">
        <v>992</v>
      </c>
      <c r="K6" t="s">
        <v>993</v>
      </c>
      <c r="L6" t="b">
        <f>Data_Completeness(MileageData[[#This Row],[MPG]:[Acceleration]])</f>
        <v>1</v>
      </c>
    </row>
    <row r="7" spans="1:12" x14ac:dyDescent="0.25">
      <c r="A7">
        <v>15</v>
      </c>
      <c r="B7">
        <v>8</v>
      </c>
      <c r="C7">
        <v>429</v>
      </c>
      <c r="D7">
        <v>198</v>
      </c>
      <c r="E7">
        <v>4341</v>
      </c>
      <c r="F7">
        <v>10</v>
      </c>
      <c r="G7">
        <v>70</v>
      </c>
      <c r="H7" t="s">
        <v>1637</v>
      </c>
      <c r="I7" t="s">
        <v>994</v>
      </c>
      <c r="J7" t="s">
        <v>992</v>
      </c>
      <c r="K7" t="s">
        <v>995</v>
      </c>
      <c r="L7" t="b">
        <f>Data_Completeness(MileageData[[#This Row],[MPG]:[Acceleration]])</f>
        <v>1</v>
      </c>
    </row>
    <row r="8" spans="1:12" x14ac:dyDescent="0.25">
      <c r="A8">
        <v>14</v>
      </c>
      <c r="B8">
        <v>8</v>
      </c>
      <c r="C8">
        <v>454</v>
      </c>
      <c r="D8">
        <v>220</v>
      </c>
      <c r="E8">
        <v>4354</v>
      </c>
      <c r="F8">
        <v>9</v>
      </c>
      <c r="G8">
        <v>70</v>
      </c>
      <c r="H8" t="s">
        <v>1637</v>
      </c>
      <c r="I8" t="s">
        <v>996</v>
      </c>
      <c r="J8" t="s">
        <v>980</v>
      </c>
      <c r="K8" t="s">
        <v>997</v>
      </c>
      <c r="L8" t="b">
        <f>Data_Completeness(MileageData[[#This Row],[MPG]:[Acceleration]])</f>
        <v>1</v>
      </c>
    </row>
    <row r="9" spans="1:12" x14ac:dyDescent="0.25">
      <c r="A9">
        <v>14</v>
      </c>
      <c r="B9">
        <v>8</v>
      </c>
      <c r="C9">
        <v>440</v>
      </c>
      <c r="D9">
        <v>215</v>
      </c>
      <c r="E9">
        <v>4312</v>
      </c>
      <c r="F9">
        <v>8.5</v>
      </c>
      <c r="G9">
        <v>70</v>
      </c>
      <c r="H9" t="s">
        <v>1637</v>
      </c>
      <c r="I9" t="s">
        <v>998</v>
      </c>
      <c r="J9" t="s">
        <v>986</v>
      </c>
      <c r="K9" t="s">
        <v>999</v>
      </c>
      <c r="L9" t="b">
        <f>Data_Completeness(MileageData[[#This Row],[MPG]:[Acceleration]])</f>
        <v>1</v>
      </c>
    </row>
    <row r="10" spans="1:12" x14ac:dyDescent="0.25">
      <c r="A10">
        <v>14</v>
      </c>
      <c r="B10">
        <v>8</v>
      </c>
      <c r="C10">
        <v>455</v>
      </c>
      <c r="D10">
        <v>225</v>
      </c>
      <c r="E10">
        <v>4425</v>
      </c>
      <c r="F10">
        <v>10</v>
      </c>
      <c r="G10">
        <v>70</v>
      </c>
      <c r="H10" t="s">
        <v>1637</v>
      </c>
      <c r="I10" t="s">
        <v>1000</v>
      </c>
      <c r="J10" t="s">
        <v>1001</v>
      </c>
      <c r="K10" t="s">
        <v>1002</v>
      </c>
      <c r="L10" t="b">
        <f>Data_Completeness(MileageData[[#This Row],[MPG]:[Acceleration]])</f>
        <v>1</v>
      </c>
    </row>
    <row r="11" spans="1:12" x14ac:dyDescent="0.25">
      <c r="A11">
        <v>15</v>
      </c>
      <c r="B11">
        <v>8</v>
      </c>
      <c r="C11">
        <v>390</v>
      </c>
      <c r="D11">
        <v>190</v>
      </c>
      <c r="E11">
        <v>3850</v>
      </c>
      <c r="F11">
        <v>8.5</v>
      </c>
      <c r="G11">
        <v>70</v>
      </c>
      <c r="H11" t="s">
        <v>1637</v>
      </c>
      <c r="I11" t="s">
        <v>1003</v>
      </c>
      <c r="J11" t="s">
        <v>989</v>
      </c>
      <c r="K11" t="s">
        <v>1004</v>
      </c>
      <c r="L11" t="b">
        <f>Data_Completeness(MileageData[[#This Row],[MPG]:[Acceleration]])</f>
        <v>1</v>
      </c>
    </row>
    <row r="12" spans="1:12" x14ac:dyDescent="0.25">
      <c r="B12">
        <v>4</v>
      </c>
      <c r="C12">
        <v>133</v>
      </c>
      <c r="D12">
        <v>115</v>
      </c>
      <c r="E12">
        <v>3090</v>
      </c>
      <c r="F12">
        <v>17.5</v>
      </c>
      <c r="G12">
        <v>70</v>
      </c>
      <c r="H12" t="s">
        <v>1638</v>
      </c>
      <c r="I12" t="s">
        <v>1005</v>
      </c>
      <c r="J12" t="s">
        <v>1006</v>
      </c>
      <c r="K12" t="s">
        <v>1007</v>
      </c>
      <c r="L12" t="b">
        <f>Data_Completeness(MileageData[[#This Row],[MPG]:[Acceleration]])</f>
        <v>0</v>
      </c>
    </row>
    <row r="13" spans="1:12" x14ac:dyDescent="0.25">
      <c r="B13">
        <v>8</v>
      </c>
      <c r="C13">
        <v>350</v>
      </c>
      <c r="D13">
        <v>165</v>
      </c>
      <c r="E13">
        <v>4142</v>
      </c>
      <c r="F13">
        <v>11.5</v>
      </c>
      <c r="G13">
        <v>70</v>
      </c>
      <c r="H13" t="s">
        <v>1637</v>
      </c>
      <c r="I13" t="s">
        <v>1008</v>
      </c>
      <c r="J13" t="s">
        <v>980</v>
      </c>
      <c r="K13" t="s">
        <v>1009</v>
      </c>
      <c r="L13" t="b">
        <f>Data_Completeness(MileageData[[#This Row],[MPG]:[Acceleration]])</f>
        <v>0</v>
      </c>
    </row>
    <row r="14" spans="1:12" x14ac:dyDescent="0.25">
      <c r="B14">
        <v>8</v>
      </c>
      <c r="C14">
        <v>351</v>
      </c>
      <c r="D14">
        <v>153</v>
      </c>
      <c r="E14">
        <v>4034</v>
      </c>
      <c r="F14">
        <v>11</v>
      </c>
      <c r="G14">
        <v>70</v>
      </c>
      <c r="H14" t="s">
        <v>1637</v>
      </c>
      <c r="I14" t="s">
        <v>1010</v>
      </c>
      <c r="J14" t="s">
        <v>992</v>
      </c>
      <c r="K14" t="s">
        <v>1011</v>
      </c>
      <c r="L14" t="b">
        <f>Data_Completeness(MileageData[[#This Row],[MPG]:[Acceleration]])</f>
        <v>0</v>
      </c>
    </row>
    <row r="15" spans="1:12" x14ac:dyDescent="0.25">
      <c r="B15">
        <v>8</v>
      </c>
      <c r="C15">
        <v>383</v>
      </c>
      <c r="D15">
        <v>175</v>
      </c>
      <c r="E15">
        <v>4166</v>
      </c>
      <c r="F15">
        <v>10.5</v>
      </c>
      <c r="G15">
        <v>70</v>
      </c>
      <c r="H15" t="s">
        <v>1637</v>
      </c>
      <c r="I15" t="s">
        <v>1012</v>
      </c>
      <c r="J15" t="s">
        <v>986</v>
      </c>
      <c r="K15" t="s">
        <v>1013</v>
      </c>
      <c r="L15" t="b">
        <f>Data_Completeness(MileageData[[#This Row],[MPG]:[Acceleration]])</f>
        <v>0</v>
      </c>
    </row>
    <row r="16" spans="1:12" x14ac:dyDescent="0.25">
      <c r="B16">
        <v>8</v>
      </c>
      <c r="C16">
        <v>360</v>
      </c>
      <c r="D16">
        <v>175</v>
      </c>
      <c r="E16">
        <v>3850</v>
      </c>
      <c r="F16">
        <v>11</v>
      </c>
      <c r="G16">
        <v>70</v>
      </c>
      <c r="H16" t="s">
        <v>1637</v>
      </c>
      <c r="I16" t="s">
        <v>1014</v>
      </c>
      <c r="J16" t="s">
        <v>989</v>
      </c>
      <c r="K16" t="s">
        <v>1015</v>
      </c>
      <c r="L16" t="b">
        <f>Data_Completeness(MileageData[[#This Row],[MPG]:[Acceleration]])</f>
        <v>0</v>
      </c>
    </row>
    <row r="17" spans="1:12" x14ac:dyDescent="0.25">
      <c r="A17">
        <v>15</v>
      </c>
      <c r="B17">
        <v>8</v>
      </c>
      <c r="C17">
        <v>383</v>
      </c>
      <c r="D17">
        <v>170</v>
      </c>
      <c r="E17">
        <v>3563</v>
      </c>
      <c r="F17">
        <v>10</v>
      </c>
      <c r="G17">
        <v>70</v>
      </c>
      <c r="H17" t="s">
        <v>1637</v>
      </c>
      <c r="I17" t="s">
        <v>1016</v>
      </c>
      <c r="J17" t="s">
        <v>1017</v>
      </c>
      <c r="K17" t="s">
        <v>1018</v>
      </c>
      <c r="L17" t="b">
        <f>Data_Completeness(MileageData[[#This Row],[MPG]:[Acceleration]])</f>
        <v>1</v>
      </c>
    </row>
    <row r="18" spans="1:12" x14ac:dyDescent="0.25">
      <c r="A18">
        <v>14</v>
      </c>
      <c r="B18">
        <v>8</v>
      </c>
      <c r="C18">
        <v>340</v>
      </c>
      <c r="D18">
        <v>160</v>
      </c>
      <c r="E18">
        <v>3609</v>
      </c>
      <c r="F18">
        <v>8</v>
      </c>
      <c r="G18">
        <v>70</v>
      </c>
      <c r="H18" t="s">
        <v>1637</v>
      </c>
      <c r="I18" t="s">
        <v>1019</v>
      </c>
      <c r="J18" t="s">
        <v>986</v>
      </c>
      <c r="K18" s="34" t="s">
        <v>1628</v>
      </c>
      <c r="L18" t="b">
        <f>Data_Completeness(MileageData[[#This Row],[MPG]:[Acceleration]])</f>
        <v>1</v>
      </c>
    </row>
    <row r="19" spans="1:12" x14ac:dyDescent="0.25">
      <c r="B19">
        <v>8</v>
      </c>
      <c r="C19">
        <v>302</v>
      </c>
      <c r="D19">
        <v>140</v>
      </c>
      <c r="E19">
        <v>3353</v>
      </c>
      <c r="F19">
        <v>8</v>
      </c>
      <c r="G19">
        <v>70</v>
      </c>
      <c r="H19" t="s">
        <v>1637</v>
      </c>
      <c r="I19" t="s">
        <v>1020</v>
      </c>
      <c r="J19" t="s">
        <v>992</v>
      </c>
      <c r="K19" t="s">
        <v>1021</v>
      </c>
      <c r="L19" t="b">
        <f>Data_Completeness(MileageData[[#This Row],[MPG]:[Acceleration]])</f>
        <v>0</v>
      </c>
    </row>
    <row r="20" spans="1:12" x14ac:dyDescent="0.25">
      <c r="A20">
        <v>15</v>
      </c>
      <c r="B20">
        <v>8</v>
      </c>
      <c r="C20">
        <v>400</v>
      </c>
      <c r="D20">
        <v>150</v>
      </c>
      <c r="E20">
        <v>3761</v>
      </c>
      <c r="F20">
        <v>9.5</v>
      </c>
      <c r="G20">
        <v>70</v>
      </c>
      <c r="H20" t="s">
        <v>1637</v>
      </c>
      <c r="I20" t="s">
        <v>1022</v>
      </c>
      <c r="J20" t="s">
        <v>980</v>
      </c>
      <c r="K20" t="s">
        <v>1023</v>
      </c>
      <c r="L20" t="b">
        <f>Data_Completeness(MileageData[[#This Row],[MPG]:[Acceleration]])</f>
        <v>1</v>
      </c>
    </row>
    <row r="21" spans="1:12" x14ac:dyDescent="0.25">
      <c r="A21">
        <v>14</v>
      </c>
      <c r="B21">
        <v>8</v>
      </c>
      <c r="C21">
        <v>455</v>
      </c>
      <c r="D21">
        <v>225</v>
      </c>
      <c r="E21">
        <v>3086</v>
      </c>
      <c r="F21">
        <v>10</v>
      </c>
      <c r="G21">
        <v>70</v>
      </c>
      <c r="H21" t="s">
        <v>1637</v>
      </c>
      <c r="I21" t="s">
        <v>1024</v>
      </c>
      <c r="J21" t="s">
        <v>983</v>
      </c>
      <c r="K21" t="s">
        <v>1025</v>
      </c>
      <c r="L21" t="b">
        <f>Data_Completeness(MileageData[[#This Row],[MPG]:[Acceleration]])</f>
        <v>1</v>
      </c>
    </row>
    <row r="22" spans="1:12" x14ac:dyDescent="0.25">
      <c r="A22">
        <v>24</v>
      </c>
      <c r="B22">
        <v>4</v>
      </c>
      <c r="C22">
        <v>113</v>
      </c>
      <c r="D22">
        <v>95</v>
      </c>
      <c r="E22">
        <v>2372</v>
      </c>
      <c r="F22">
        <v>15</v>
      </c>
      <c r="G22">
        <v>70</v>
      </c>
      <c r="H22" t="s">
        <v>1639</v>
      </c>
      <c r="I22" t="s">
        <v>1026</v>
      </c>
      <c r="J22" t="s">
        <v>1027</v>
      </c>
      <c r="K22" t="s">
        <v>1028</v>
      </c>
      <c r="L22" t="b">
        <f>Data_Completeness(MileageData[[#This Row],[MPG]:[Acceleration]])</f>
        <v>1</v>
      </c>
    </row>
    <row r="23" spans="1:12" x14ac:dyDescent="0.25">
      <c r="A23">
        <v>22</v>
      </c>
      <c r="B23">
        <v>6</v>
      </c>
      <c r="C23">
        <v>198</v>
      </c>
      <c r="D23">
        <v>95</v>
      </c>
      <c r="E23">
        <v>2833</v>
      </c>
      <c r="F23">
        <v>15.5</v>
      </c>
      <c r="G23">
        <v>70</v>
      </c>
      <c r="H23" t="s">
        <v>1637</v>
      </c>
      <c r="I23" t="s">
        <v>1029</v>
      </c>
      <c r="J23" t="s">
        <v>986</v>
      </c>
      <c r="K23" t="s">
        <v>1030</v>
      </c>
      <c r="L23" t="b">
        <f>Data_Completeness(MileageData[[#This Row],[MPG]:[Acceleration]])</f>
        <v>1</v>
      </c>
    </row>
    <row r="24" spans="1:12" x14ac:dyDescent="0.25">
      <c r="A24">
        <v>18</v>
      </c>
      <c r="B24">
        <v>6</v>
      </c>
      <c r="C24">
        <v>199</v>
      </c>
      <c r="D24">
        <v>97</v>
      </c>
      <c r="E24">
        <v>2774</v>
      </c>
      <c r="F24">
        <v>15.5</v>
      </c>
      <c r="G24">
        <v>70</v>
      </c>
      <c r="H24" t="s">
        <v>1637</v>
      </c>
      <c r="I24" t="s">
        <v>1031</v>
      </c>
      <c r="J24" t="s">
        <v>989</v>
      </c>
      <c r="K24" t="s">
        <v>1032</v>
      </c>
      <c r="L24" t="b">
        <f>Data_Completeness(MileageData[[#This Row],[MPG]:[Acceleration]])</f>
        <v>1</v>
      </c>
    </row>
    <row r="25" spans="1:12" x14ac:dyDescent="0.25">
      <c r="A25">
        <v>21</v>
      </c>
      <c r="B25">
        <v>6</v>
      </c>
      <c r="C25">
        <v>200</v>
      </c>
      <c r="D25">
        <v>85</v>
      </c>
      <c r="E25">
        <v>2587</v>
      </c>
      <c r="F25">
        <v>16</v>
      </c>
      <c r="G25">
        <v>70</v>
      </c>
      <c r="H25" t="s">
        <v>1637</v>
      </c>
      <c r="I25" t="s">
        <v>1033</v>
      </c>
      <c r="J25" t="s">
        <v>992</v>
      </c>
      <c r="K25" t="s">
        <v>1034</v>
      </c>
      <c r="L25" t="b">
        <f>Data_Completeness(MileageData[[#This Row],[MPG]:[Acceleration]])</f>
        <v>1</v>
      </c>
    </row>
    <row r="26" spans="1:12" x14ac:dyDescent="0.25">
      <c r="A26">
        <v>27</v>
      </c>
      <c r="B26">
        <v>4</v>
      </c>
      <c r="C26">
        <v>97</v>
      </c>
      <c r="D26">
        <v>88</v>
      </c>
      <c r="E26">
        <v>2130</v>
      </c>
      <c r="F26">
        <v>14.5</v>
      </c>
      <c r="G26">
        <v>70</v>
      </c>
      <c r="H26" t="s">
        <v>1639</v>
      </c>
      <c r="I26" t="s">
        <v>1035</v>
      </c>
      <c r="J26" t="s">
        <v>1036</v>
      </c>
      <c r="K26" t="s">
        <v>1037</v>
      </c>
      <c r="L26" t="b">
        <f>Data_Completeness(MileageData[[#This Row],[MPG]:[Acceleration]])</f>
        <v>1</v>
      </c>
    </row>
    <row r="27" spans="1:12" x14ac:dyDescent="0.25">
      <c r="A27">
        <v>26</v>
      </c>
      <c r="B27">
        <v>4</v>
      </c>
      <c r="C27">
        <v>97</v>
      </c>
      <c r="D27">
        <v>46</v>
      </c>
      <c r="E27">
        <v>1835</v>
      </c>
      <c r="F27">
        <v>20.5</v>
      </c>
      <c r="G27">
        <v>70</v>
      </c>
      <c r="H27" t="s">
        <v>1638</v>
      </c>
      <c r="I27" t="s">
        <v>1038</v>
      </c>
      <c r="J27" t="s">
        <v>1039</v>
      </c>
      <c r="K27" t="s">
        <v>1040</v>
      </c>
      <c r="L27" t="b">
        <f>Data_Completeness(MileageData[[#This Row],[MPG]:[Acceleration]])</f>
        <v>1</v>
      </c>
    </row>
    <row r="28" spans="1:12" x14ac:dyDescent="0.25">
      <c r="A28">
        <v>25</v>
      </c>
      <c r="B28">
        <v>4</v>
      </c>
      <c r="C28">
        <v>110</v>
      </c>
      <c r="D28">
        <v>87</v>
      </c>
      <c r="E28">
        <v>2672</v>
      </c>
      <c r="F28">
        <v>17.5</v>
      </c>
      <c r="G28">
        <v>70</v>
      </c>
      <c r="H28" t="s">
        <v>1638</v>
      </c>
      <c r="I28" t="s">
        <v>1041</v>
      </c>
      <c r="J28" t="s">
        <v>1042</v>
      </c>
      <c r="K28">
        <v>504</v>
      </c>
      <c r="L28" t="b">
        <f>Data_Completeness(MileageData[[#This Row],[MPG]:[Acceleration]])</f>
        <v>1</v>
      </c>
    </row>
    <row r="29" spans="1:12" x14ac:dyDescent="0.25">
      <c r="A29">
        <v>24</v>
      </c>
      <c r="B29">
        <v>4</v>
      </c>
      <c r="C29">
        <v>107</v>
      </c>
      <c r="D29">
        <v>90</v>
      </c>
      <c r="E29">
        <v>2430</v>
      </c>
      <c r="F29">
        <v>14.5</v>
      </c>
      <c r="G29">
        <v>70</v>
      </c>
      <c r="H29" t="s">
        <v>1638</v>
      </c>
      <c r="I29" t="s">
        <v>1043</v>
      </c>
      <c r="J29" t="s">
        <v>1044</v>
      </c>
      <c r="K29" t="s">
        <v>1045</v>
      </c>
      <c r="L29" t="b">
        <f>Data_Completeness(MileageData[[#This Row],[MPG]:[Acceleration]])</f>
        <v>1</v>
      </c>
    </row>
    <row r="30" spans="1:12" x14ac:dyDescent="0.25">
      <c r="A30">
        <v>25</v>
      </c>
      <c r="B30">
        <v>4</v>
      </c>
      <c r="C30">
        <v>104</v>
      </c>
      <c r="D30">
        <v>95</v>
      </c>
      <c r="E30">
        <v>2375</v>
      </c>
      <c r="F30">
        <v>17.5</v>
      </c>
      <c r="G30">
        <v>70</v>
      </c>
      <c r="H30" t="s">
        <v>1638</v>
      </c>
      <c r="I30" t="s">
        <v>1046</v>
      </c>
      <c r="J30" t="s">
        <v>1047</v>
      </c>
      <c r="K30" t="s">
        <v>1048</v>
      </c>
      <c r="L30" t="b">
        <f>Data_Completeness(MileageData[[#This Row],[MPG]:[Acceleration]])</f>
        <v>1</v>
      </c>
    </row>
    <row r="31" spans="1:12" x14ac:dyDescent="0.25">
      <c r="A31">
        <v>26</v>
      </c>
      <c r="B31">
        <v>4</v>
      </c>
      <c r="C31">
        <v>121</v>
      </c>
      <c r="D31">
        <v>113</v>
      </c>
      <c r="E31">
        <v>2234</v>
      </c>
      <c r="F31">
        <v>12.5</v>
      </c>
      <c r="G31">
        <v>70</v>
      </c>
      <c r="H31" t="s">
        <v>1638</v>
      </c>
      <c r="I31" t="s">
        <v>1049</v>
      </c>
      <c r="J31" t="s">
        <v>1050</v>
      </c>
      <c r="K31">
        <v>2002</v>
      </c>
      <c r="L31" t="b">
        <f>Data_Completeness(MileageData[[#This Row],[MPG]:[Acceleration]])</f>
        <v>1</v>
      </c>
    </row>
    <row r="32" spans="1:12" x14ac:dyDescent="0.25">
      <c r="A32">
        <v>21</v>
      </c>
      <c r="B32">
        <v>6</v>
      </c>
      <c r="C32">
        <v>199</v>
      </c>
      <c r="D32">
        <v>90</v>
      </c>
      <c r="E32">
        <v>2648</v>
      </c>
      <c r="F32">
        <v>15</v>
      </c>
      <c r="G32">
        <v>70</v>
      </c>
      <c r="H32" t="s">
        <v>1637</v>
      </c>
      <c r="I32" t="s">
        <v>1051</v>
      </c>
      <c r="J32" t="s">
        <v>989</v>
      </c>
      <c r="K32" t="s">
        <v>1052</v>
      </c>
      <c r="L32" t="b">
        <f>Data_Completeness(MileageData[[#This Row],[MPG]:[Acceleration]])</f>
        <v>1</v>
      </c>
    </row>
    <row r="33" spans="1:12" x14ac:dyDescent="0.25">
      <c r="A33">
        <v>10</v>
      </c>
      <c r="B33">
        <v>8</v>
      </c>
      <c r="C33">
        <v>360</v>
      </c>
      <c r="D33">
        <v>215</v>
      </c>
      <c r="E33">
        <v>4615</v>
      </c>
      <c r="F33">
        <v>14</v>
      </c>
      <c r="G33">
        <v>70</v>
      </c>
      <c r="H33" t="s">
        <v>1637</v>
      </c>
      <c r="I33" t="s">
        <v>1053</v>
      </c>
      <c r="J33" t="s">
        <v>992</v>
      </c>
      <c r="K33" t="s">
        <v>1054</v>
      </c>
      <c r="L33" t="b">
        <f>Data_Completeness(MileageData[[#This Row],[MPG]:[Acceleration]])</f>
        <v>1</v>
      </c>
    </row>
    <row r="34" spans="1:12" x14ac:dyDescent="0.25">
      <c r="A34">
        <v>10</v>
      </c>
      <c r="B34">
        <v>8</v>
      </c>
      <c r="C34">
        <v>307</v>
      </c>
      <c r="D34">
        <v>200</v>
      </c>
      <c r="E34">
        <v>4376</v>
      </c>
      <c r="F34">
        <v>15</v>
      </c>
      <c r="G34">
        <v>70</v>
      </c>
      <c r="H34" t="s">
        <v>1637</v>
      </c>
      <c r="I34" t="s">
        <v>1055</v>
      </c>
      <c r="J34" t="s">
        <v>1056</v>
      </c>
      <c r="K34" t="s">
        <v>1057</v>
      </c>
      <c r="L34" t="b">
        <f>Data_Completeness(MileageData[[#This Row],[MPG]:[Acceleration]])</f>
        <v>1</v>
      </c>
    </row>
    <row r="35" spans="1:12" x14ac:dyDescent="0.25">
      <c r="A35">
        <v>11</v>
      </c>
      <c r="B35">
        <v>8</v>
      </c>
      <c r="C35">
        <v>318</v>
      </c>
      <c r="D35">
        <v>210</v>
      </c>
      <c r="E35">
        <v>4382</v>
      </c>
      <c r="F35">
        <v>13.5</v>
      </c>
      <c r="G35">
        <v>70</v>
      </c>
      <c r="H35" t="s">
        <v>1637</v>
      </c>
      <c r="I35" t="s">
        <v>1058</v>
      </c>
      <c r="J35" t="s">
        <v>1017</v>
      </c>
      <c r="K35" t="s">
        <v>1059</v>
      </c>
      <c r="L35" t="b">
        <f>Data_Completeness(MileageData[[#This Row],[MPG]:[Acceleration]])</f>
        <v>1</v>
      </c>
    </row>
    <row r="36" spans="1:12" x14ac:dyDescent="0.25">
      <c r="A36">
        <v>9</v>
      </c>
      <c r="B36">
        <v>8</v>
      </c>
      <c r="C36">
        <v>304</v>
      </c>
      <c r="D36">
        <v>193</v>
      </c>
      <c r="E36">
        <v>4732</v>
      </c>
      <c r="F36">
        <v>18.5</v>
      </c>
      <c r="G36">
        <v>70</v>
      </c>
      <c r="H36" t="s">
        <v>1637</v>
      </c>
      <c r="I36" t="s">
        <v>1060</v>
      </c>
      <c r="J36" t="s">
        <v>1061</v>
      </c>
      <c r="K36" t="s">
        <v>1062</v>
      </c>
      <c r="L36" t="b">
        <f>Data_Completeness(MileageData[[#This Row],[MPG]:[Acceleration]])</f>
        <v>1</v>
      </c>
    </row>
    <row r="37" spans="1:12" x14ac:dyDescent="0.25">
      <c r="A37">
        <v>27</v>
      </c>
      <c r="B37">
        <v>4</v>
      </c>
      <c r="C37">
        <v>97</v>
      </c>
      <c r="D37">
        <v>88</v>
      </c>
      <c r="E37">
        <v>2130</v>
      </c>
      <c r="F37">
        <v>14.5</v>
      </c>
      <c r="G37">
        <v>71</v>
      </c>
      <c r="H37" t="s">
        <v>1639</v>
      </c>
      <c r="I37" t="s">
        <v>1035</v>
      </c>
      <c r="J37" t="s">
        <v>1036</v>
      </c>
      <c r="K37" t="s">
        <v>1037</v>
      </c>
      <c r="L37" t="b">
        <f>Data_Completeness(MileageData[[#This Row],[MPG]:[Acceleration]])</f>
        <v>1</v>
      </c>
    </row>
    <row r="38" spans="1:12" x14ac:dyDescent="0.25">
      <c r="A38">
        <v>28</v>
      </c>
      <c r="B38">
        <v>4</v>
      </c>
      <c r="C38">
        <v>140</v>
      </c>
      <c r="D38">
        <v>90</v>
      </c>
      <c r="E38">
        <v>2264</v>
      </c>
      <c r="F38">
        <v>15.5</v>
      </c>
      <c r="G38">
        <v>71</v>
      </c>
      <c r="H38" t="s">
        <v>1637</v>
      </c>
      <c r="I38" t="s">
        <v>1063</v>
      </c>
      <c r="J38" t="s">
        <v>980</v>
      </c>
      <c r="K38" t="s">
        <v>1064</v>
      </c>
      <c r="L38" t="b">
        <f>Data_Completeness(MileageData[[#This Row],[MPG]:[Acceleration]])</f>
        <v>1</v>
      </c>
    </row>
    <row r="39" spans="1:12" x14ac:dyDescent="0.25">
      <c r="A39">
        <v>25</v>
      </c>
      <c r="B39">
        <v>4</v>
      </c>
      <c r="C39">
        <v>113</v>
      </c>
      <c r="D39">
        <v>95</v>
      </c>
      <c r="E39">
        <v>2228</v>
      </c>
      <c r="F39">
        <v>14</v>
      </c>
      <c r="G39">
        <v>71</v>
      </c>
      <c r="H39" t="s">
        <v>1639</v>
      </c>
      <c r="I39" t="s">
        <v>1065</v>
      </c>
      <c r="J39" t="s">
        <v>1027</v>
      </c>
      <c r="K39" t="s">
        <v>1066</v>
      </c>
      <c r="L39" t="b">
        <f>Data_Completeness(MileageData[[#This Row],[MPG]:[Acceleration]])</f>
        <v>1</v>
      </c>
    </row>
    <row r="40" spans="1:12" x14ac:dyDescent="0.25">
      <c r="A40">
        <v>25</v>
      </c>
      <c r="B40">
        <v>4</v>
      </c>
      <c r="C40">
        <v>98</v>
      </c>
      <c r="E40">
        <v>2046</v>
      </c>
      <c r="F40">
        <v>19</v>
      </c>
      <c r="G40">
        <v>71</v>
      </c>
      <c r="H40" t="s">
        <v>1637</v>
      </c>
      <c r="I40" t="s">
        <v>1067</v>
      </c>
      <c r="J40" t="s">
        <v>992</v>
      </c>
      <c r="K40" t="s">
        <v>1068</v>
      </c>
      <c r="L40" t="b">
        <f>Data_Completeness(MileageData[[#This Row],[MPG]:[Acceleration]])</f>
        <v>0</v>
      </c>
    </row>
    <row r="41" spans="1:12" x14ac:dyDescent="0.25">
      <c r="B41">
        <v>4</v>
      </c>
      <c r="C41">
        <v>97</v>
      </c>
      <c r="D41">
        <v>48</v>
      </c>
      <c r="E41">
        <v>1978</v>
      </c>
      <c r="F41">
        <v>20</v>
      </c>
      <c r="G41">
        <v>71</v>
      </c>
      <c r="H41" t="s">
        <v>1638</v>
      </c>
      <c r="I41" t="s">
        <v>1069</v>
      </c>
      <c r="J41" t="s">
        <v>1039</v>
      </c>
      <c r="K41" t="s">
        <v>1070</v>
      </c>
      <c r="L41" t="b">
        <f>Data_Completeness(MileageData[[#This Row],[MPG]:[Acceleration]])</f>
        <v>0</v>
      </c>
    </row>
    <row r="42" spans="1:12" x14ac:dyDescent="0.25">
      <c r="A42">
        <v>19</v>
      </c>
      <c r="B42">
        <v>6</v>
      </c>
      <c r="C42">
        <v>232</v>
      </c>
      <c r="D42">
        <v>100</v>
      </c>
      <c r="E42">
        <v>2634</v>
      </c>
      <c r="F42">
        <v>13</v>
      </c>
      <c r="G42">
        <v>71</v>
      </c>
      <c r="H42" t="s">
        <v>1637</v>
      </c>
      <c r="I42" t="s">
        <v>1051</v>
      </c>
      <c r="J42" t="s">
        <v>989</v>
      </c>
      <c r="K42" t="s">
        <v>1052</v>
      </c>
      <c r="L42" t="b">
        <f>Data_Completeness(MileageData[[#This Row],[MPG]:[Acceleration]])</f>
        <v>1</v>
      </c>
    </row>
    <row r="43" spans="1:12" x14ac:dyDescent="0.25">
      <c r="A43">
        <v>16</v>
      </c>
      <c r="B43">
        <v>6</v>
      </c>
      <c r="C43">
        <v>225</v>
      </c>
      <c r="D43">
        <v>105</v>
      </c>
      <c r="E43">
        <v>3439</v>
      </c>
      <c r="F43">
        <v>15.5</v>
      </c>
      <c r="G43">
        <v>71</v>
      </c>
      <c r="H43" t="s">
        <v>1637</v>
      </c>
      <c r="I43" t="s">
        <v>1071</v>
      </c>
      <c r="J43" t="s">
        <v>986</v>
      </c>
      <c r="K43" t="s">
        <v>1072</v>
      </c>
      <c r="L43" t="b">
        <f>Data_Completeness(MileageData[[#This Row],[MPG]:[Acceleration]])</f>
        <v>1</v>
      </c>
    </row>
    <row r="44" spans="1:12" x14ac:dyDescent="0.25">
      <c r="A44">
        <v>17</v>
      </c>
      <c r="B44">
        <v>6</v>
      </c>
      <c r="C44">
        <v>250</v>
      </c>
      <c r="D44">
        <v>100</v>
      </c>
      <c r="E44">
        <v>3329</v>
      </c>
      <c r="F44">
        <v>15.5</v>
      </c>
      <c r="G44">
        <v>71</v>
      </c>
      <c r="H44" t="s">
        <v>1637</v>
      </c>
      <c r="I44" t="s">
        <v>979</v>
      </c>
      <c r="J44" t="s">
        <v>980</v>
      </c>
      <c r="K44" t="s">
        <v>981</v>
      </c>
      <c r="L44" t="b">
        <f>Data_Completeness(MileageData[[#This Row],[MPG]:[Acceleration]])</f>
        <v>1</v>
      </c>
    </row>
    <row r="45" spans="1:12" x14ac:dyDescent="0.25">
      <c r="A45">
        <v>19</v>
      </c>
      <c r="B45">
        <v>6</v>
      </c>
      <c r="C45">
        <v>250</v>
      </c>
      <c r="D45">
        <v>88</v>
      </c>
      <c r="E45">
        <v>3302</v>
      </c>
      <c r="F45">
        <v>15.5</v>
      </c>
      <c r="G45">
        <v>71</v>
      </c>
      <c r="H45" t="s">
        <v>1637</v>
      </c>
      <c r="I45" t="s">
        <v>1073</v>
      </c>
      <c r="J45" t="s">
        <v>992</v>
      </c>
      <c r="K45" t="s">
        <v>1074</v>
      </c>
      <c r="L45" t="b">
        <f>Data_Completeness(MileageData[[#This Row],[MPG]:[Acceleration]])</f>
        <v>1</v>
      </c>
    </row>
    <row r="46" spans="1:12" x14ac:dyDescent="0.25">
      <c r="A46">
        <v>18</v>
      </c>
      <c r="B46">
        <v>6</v>
      </c>
      <c r="C46">
        <v>232</v>
      </c>
      <c r="D46">
        <v>100</v>
      </c>
      <c r="E46">
        <v>3288</v>
      </c>
      <c r="F46">
        <v>15.5</v>
      </c>
      <c r="G46">
        <v>71</v>
      </c>
      <c r="H46" t="s">
        <v>1637</v>
      </c>
      <c r="I46" t="s">
        <v>1075</v>
      </c>
      <c r="J46" t="s">
        <v>989</v>
      </c>
      <c r="K46" t="s">
        <v>1076</v>
      </c>
      <c r="L46" t="b">
        <f>Data_Completeness(MileageData[[#This Row],[MPG]:[Acceleration]])</f>
        <v>1</v>
      </c>
    </row>
    <row r="47" spans="1:12" x14ac:dyDescent="0.25">
      <c r="A47">
        <v>14</v>
      </c>
      <c r="B47">
        <v>8</v>
      </c>
      <c r="C47">
        <v>350</v>
      </c>
      <c r="D47">
        <v>165</v>
      </c>
      <c r="E47">
        <v>4209</v>
      </c>
      <c r="F47">
        <v>12</v>
      </c>
      <c r="G47">
        <v>71</v>
      </c>
      <c r="H47" t="s">
        <v>1637</v>
      </c>
      <c r="I47" t="s">
        <v>996</v>
      </c>
      <c r="J47" t="s">
        <v>980</v>
      </c>
      <c r="K47" t="s">
        <v>997</v>
      </c>
      <c r="L47" t="b">
        <f>Data_Completeness(MileageData[[#This Row],[MPG]:[Acceleration]])</f>
        <v>1</v>
      </c>
    </row>
    <row r="48" spans="1:12" x14ac:dyDescent="0.25">
      <c r="A48">
        <v>14</v>
      </c>
      <c r="B48">
        <v>8</v>
      </c>
      <c r="C48">
        <v>400</v>
      </c>
      <c r="D48">
        <v>175</v>
      </c>
      <c r="E48">
        <v>4464</v>
      </c>
      <c r="F48">
        <v>11.5</v>
      </c>
      <c r="G48">
        <v>71</v>
      </c>
      <c r="H48" t="s">
        <v>1637</v>
      </c>
      <c r="I48" t="s">
        <v>1077</v>
      </c>
      <c r="J48" t="s">
        <v>1001</v>
      </c>
      <c r="K48" t="s">
        <v>1078</v>
      </c>
      <c r="L48" t="b">
        <f>Data_Completeness(MileageData[[#This Row],[MPG]:[Acceleration]])</f>
        <v>1</v>
      </c>
    </row>
    <row r="49" spans="1:12" x14ac:dyDescent="0.25">
      <c r="A49">
        <v>14</v>
      </c>
      <c r="B49">
        <v>8</v>
      </c>
      <c r="C49">
        <v>351</v>
      </c>
      <c r="D49">
        <v>153</v>
      </c>
      <c r="E49">
        <v>4154</v>
      </c>
      <c r="F49">
        <v>13.5</v>
      </c>
      <c r="G49">
        <v>71</v>
      </c>
      <c r="H49" t="s">
        <v>1637</v>
      </c>
      <c r="I49" t="s">
        <v>994</v>
      </c>
      <c r="J49" t="s">
        <v>992</v>
      </c>
      <c r="K49" t="s">
        <v>995</v>
      </c>
      <c r="L49" t="b">
        <f>Data_Completeness(MileageData[[#This Row],[MPG]:[Acceleration]])</f>
        <v>1</v>
      </c>
    </row>
    <row r="50" spans="1:12" x14ac:dyDescent="0.25">
      <c r="A50">
        <v>14</v>
      </c>
      <c r="B50">
        <v>8</v>
      </c>
      <c r="C50">
        <v>318</v>
      </c>
      <c r="D50">
        <v>150</v>
      </c>
      <c r="E50">
        <v>4096</v>
      </c>
      <c r="F50">
        <v>13</v>
      </c>
      <c r="G50">
        <v>71</v>
      </c>
      <c r="H50" t="s">
        <v>1637</v>
      </c>
      <c r="I50" t="s">
        <v>998</v>
      </c>
      <c r="J50" t="s">
        <v>986</v>
      </c>
      <c r="K50" t="s">
        <v>999</v>
      </c>
      <c r="L50" t="b">
        <f>Data_Completeness(MileageData[[#This Row],[MPG]:[Acceleration]])</f>
        <v>1</v>
      </c>
    </row>
    <row r="51" spans="1:12" x14ac:dyDescent="0.25">
      <c r="A51">
        <v>12</v>
      </c>
      <c r="B51">
        <v>8</v>
      </c>
      <c r="C51">
        <v>383</v>
      </c>
      <c r="D51">
        <v>180</v>
      </c>
      <c r="E51">
        <v>4955</v>
      </c>
      <c r="F51">
        <v>11.5</v>
      </c>
      <c r="G51">
        <v>71</v>
      </c>
      <c r="H51" t="s">
        <v>1637</v>
      </c>
      <c r="I51" t="s">
        <v>1079</v>
      </c>
      <c r="J51" t="s">
        <v>1017</v>
      </c>
      <c r="K51" t="s">
        <v>1080</v>
      </c>
      <c r="L51" t="b">
        <f>Data_Completeness(MileageData[[#This Row],[MPG]:[Acceleration]])</f>
        <v>1</v>
      </c>
    </row>
    <row r="52" spans="1:12" x14ac:dyDescent="0.25">
      <c r="A52">
        <v>13</v>
      </c>
      <c r="B52">
        <v>8</v>
      </c>
      <c r="C52">
        <v>400</v>
      </c>
      <c r="D52">
        <v>170</v>
      </c>
      <c r="E52">
        <v>4746</v>
      </c>
      <c r="F52">
        <v>12</v>
      </c>
      <c r="G52">
        <v>71</v>
      </c>
      <c r="H52" t="s">
        <v>1637</v>
      </c>
      <c r="I52" t="s">
        <v>1081</v>
      </c>
      <c r="J52" t="s">
        <v>992</v>
      </c>
      <c r="K52" t="s">
        <v>1082</v>
      </c>
      <c r="L52" t="b">
        <f>Data_Completeness(MileageData[[#This Row],[MPG]:[Acceleration]])</f>
        <v>1</v>
      </c>
    </row>
    <row r="53" spans="1:12" x14ac:dyDescent="0.25">
      <c r="A53">
        <v>13</v>
      </c>
      <c r="B53">
        <v>8</v>
      </c>
      <c r="C53">
        <v>400</v>
      </c>
      <c r="D53">
        <v>175</v>
      </c>
      <c r="E53">
        <v>5140</v>
      </c>
      <c r="F53">
        <v>12</v>
      </c>
      <c r="G53">
        <v>71</v>
      </c>
      <c r="H53" t="s">
        <v>1637</v>
      </c>
      <c r="I53" t="s">
        <v>1083</v>
      </c>
      <c r="J53" t="s">
        <v>1001</v>
      </c>
      <c r="K53" t="s">
        <v>1084</v>
      </c>
      <c r="L53" t="b">
        <f>Data_Completeness(MileageData[[#This Row],[MPG]:[Acceleration]])</f>
        <v>1</v>
      </c>
    </row>
    <row r="54" spans="1:12" x14ac:dyDescent="0.25">
      <c r="A54">
        <v>18</v>
      </c>
      <c r="B54">
        <v>6</v>
      </c>
      <c r="C54">
        <v>258</v>
      </c>
      <c r="D54">
        <v>110</v>
      </c>
      <c r="E54">
        <v>2962</v>
      </c>
      <c r="F54">
        <v>13.5</v>
      </c>
      <c r="G54">
        <v>71</v>
      </c>
      <c r="H54" t="s">
        <v>1637</v>
      </c>
      <c r="I54" t="s">
        <v>1085</v>
      </c>
      <c r="J54" t="s">
        <v>989</v>
      </c>
      <c r="K54" t="s">
        <v>1086</v>
      </c>
      <c r="L54" t="b">
        <f>Data_Completeness(MileageData[[#This Row],[MPG]:[Acceleration]])</f>
        <v>1</v>
      </c>
    </row>
    <row r="55" spans="1:12" x14ac:dyDescent="0.25">
      <c r="A55">
        <v>22</v>
      </c>
      <c r="B55">
        <v>4</v>
      </c>
      <c r="C55">
        <v>140</v>
      </c>
      <c r="D55">
        <v>72</v>
      </c>
      <c r="E55">
        <v>2408</v>
      </c>
      <c r="F55">
        <v>19</v>
      </c>
      <c r="G55">
        <v>71</v>
      </c>
      <c r="H55" t="s">
        <v>1637</v>
      </c>
      <c r="I55" t="s">
        <v>1087</v>
      </c>
      <c r="J55" t="s">
        <v>980</v>
      </c>
      <c r="K55" t="s">
        <v>1088</v>
      </c>
      <c r="L55" t="b">
        <f>Data_Completeness(MileageData[[#This Row],[MPG]:[Acceleration]])</f>
        <v>1</v>
      </c>
    </row>
    <row r="56" spans="1:12" x14ac:dyDescent="0.25">
      <c r="A56">
        <v>19</v>
      </c>
      <c r="B56">
        <v>6</v>
      </c>
      <c r="C56">
        <v>250</v>
      </c>
      <c r="D56">
        <v>100</v>
      </c>
      <c r="E56">
        <v>3282</v>
      </c>
      <c r="F56">
        <v>15</v>
      </c>
      <c r="G56">
        <v>71</v>
      </c>
      <c r="H56" t="s">
        <v>1637</v>
      </c>
      <c r="I56" t="s">
        <v>1089</v>
      </c>
      <c r="J56" t="s">
        <v>1001</v>
      </c>
      <c r="K56" t="s">
        <v>1090</v>
      </c>
      <c r="L56" t="b">
        <f>Data_Completeness(MileageData[[#This Row],[MPG]:[Acceleration]])</f>
        <v>1</v>
      </c>
    </row>
    <row r="57" spans="1:12" x14ac:dyDescent="0.25">
      <c r="A57">
        <v>18</v>
      </c>
      <c r="B57">
        <v>6</v>
      </c>
      <c r="C57">
        <v>250</v>
      </c>
      <c r="D57">
        <v>88</v>
      </c>
      <c r="E57">
        <v>3139</v>
      </c>
      <c r="F57">
        <v>14.5</v>
      </c>
      <c r="G57">
        <v>71</v>
      </c>
      <c r="H57" t="s">
        <v>1637</v>
      </c>
      <c r="I57" t="s">
        <v>1091</v>
      </c>
      <c r="J57" t="s">
        <v>992</v>
      </c>
      <c r="K57" t="s">
        <v>1092</v>
      </c>
      <c r="L57" t="b">
        <f>Data_Completeness(MileageData[[#This Row],[MPG]:[Acceleration]])</f>
        <v>1</v>
      </c>
    </row>
    <row r="58" spans="1:12" x14ac:dyDescent="0.25">
      <c r="A58">
        <v>23</v>
      </c>
      <c r="B58">
        <v>4</v>
      </c>
      <c r="C58">
        <v>122</v>
      </c>
      <c r="D58">
        <v>86</v>
      </c>
      <c r="E58">
        <v>2220</v>
      </c>
      <c r="F58">
        <v>14</v>
      </c>
      <c r="G58">
        <v>71</v>
      </c>
      <c r="H58" t="s">
        <v>1637</v>
      </c>
      <c r="I58" t="s">
        <v>1093</v>
      </c>
      <c r="J58" t="s">
        <v>1094</v>
      </c>
      <c r="K58" t="s">
        <v>1095</v>
      </c>
      <c r="L58" t="b">
        <f>Data_Completeness(MileageData[[#This Row],[MPG]:[Acceleration]])</f>
        <v>1</v>
      </c>
    </row>
    <row r="59" spans="1:12" x14ac:dyDescent="0.25">
      <c r="A59">
        <v>28</v>
      </c>
      <c r="B59">
        <v>4</v>
      </c>
      <c r="C59">
        <v>116</v>
      </c>
      <c r="D59">
        <v>90</v>
      </c>
      <c r="E59">
        <v>2123</v>
      </c>
      <c r="F59">
        <v>14</v>
      </c>
      <c r="G59">
        <v>71</v>
      </c>
      <c r="H59" t="s">
        <v>1638</v>
      </c>
      <c r="I59" t="s">
        <v>1096</v>
      </c>
      <c r="J59" t="s">
        <v>1097</v>
      </c>
      <c r="K59">
        <v>1900</v>
      </c>
      <c r="L59" t="b">
        <f>Data_Completeness(MileageData[[#This Row],[MPG]:[Acceleration]])</f>
        <v>1</v>
      </c>
    </row>
    <row r="60" spans="1:12" x14ac:dyDescent="0.25">
      <c r="A60">
        <v>30</v>
      </c>
      <c r="B60">
        <v>4</v>
      </c>
      <c r="C60">
        <v>79</v>
      </c>
      <c r="D60">
        <v>70</v>
      </c>
      <c r="E60">
        <v>2074</v>
      </c>
      <c r="F60">
        <v>19.5</v>
      </c>
      <c r="G60">
        <v>71</v>
      </c>
      <c r="H60" t="s">
        <v>1638</v>
      </c>
      <c r="I60" t="s">
        <v>1098</v>
      </c>
      <c r="J60" t="s">
        <v>1042</v>
      </c>
      <c r="K60">
        <v>304</v>
      </c>
      <c r="L60" t="b">
        <f>Data_Completeness(MileageData[[#This Row],[MPG]:[Acceleration]])</f>
        <v>1</v>
      </c>
    </row>
    <row r="61" spans="1:12" x14ac:dyDescent="0.25">
      <c r="A61">
        <v>30</v>
      </c>
      <c r="B61">
        <v>4</v>
      </c>
      <c r="C61">
        <v>88</v>
      </c>
      <c r="D61">
        <v>76</v>
      </c>
      <c r="E61">
        <v>2065</v>
      </c>
      <c r="F61">
        <v>14.5</v>
      </c>
      <c r="G61">
        <v>71</v>
      </c>
      <c r="H61" t="s">
        <v>1638</v>
      </c>
      <c r="I61" t="s">
        <v>1099</v>
      </c>
      <c r="J61" t="s">
        <v>1100</v>
      </c>
      <c r="K61" t="s">
        <v>1101</v>
      </c>
      <c r="L61" t="b">
        <f>Data_Completeness(MileageData[[#This Row],[MPG]:[Acceleration]])</f>
        <v>1</v>
      </c>
    </row>
    <row r="62" spans="1:12" x14ac:dyDescent="0.25">
      <c r="A62">
        <v>31</v>
      </c>
      <c r="B62">
        <v>4</v>
      </c>
      <c r="C62">
        <v>71</v>
      </c>
      <c r="D62">
        <v>65</v>
      </c>
      <c r="E62">
        <v>1773</v>
      </c>
      <c r="F62">
        <v>19</v>
      </c>
      <c r="G62">
        <v>71</v>
      </c>
      <c r="H62" t="s">
        <v>1639</v>
      </c>
      <c r="I62" t="s">
        <v>1102</v>
      </c>
      <c r="J62" t="s">
        <v>1027</v>
      </c>
      <c r="K62" t="s">
        <v>1103</v>
      </c>
      <c r="L62" t="b">
        <f>Data_Completeness(MileageData[[#This Row],[MPG]:[Acceleration]])</f>
        <v>1</v>
      </c>
    </row>
    <row r="63" spans="1:12" x14ac:dyDescent="0.25">
      <c r="A63">
        <v>35</v>
      </c>
      <c r="B63">
        <v>4</v>
      </c>
      <c r="C63">
        <v>72</v>
      </c>
      <c r="D63">
        <v>69</v>
      </c>
      <c r="E63">
        <v>1613</v>
      </c>
      <c r="F63">
        <v>18</v>
      </c>
      <c r="G63">
        <v>71</v>
      </c>
      <c r="H63" t="s">
        <v>1639</v>
      </c>
      <c r="I63" t="s">
        <v>1104</v>
      </c>
      <c r="J63" t="s">
        <v>1036</v>
      </c>
      <c r="K63">
        <v>1200</v>
      </c>
      <c r="L63" t="b">
        <f>Data_Completeness(MileageData[[#This Row],[MPG]:[Acceleration]])</f>
        <v>1</v>
      </c>
    </row>
    <row r="64" spans="1:12" x14ac:dyDescent="0.25">
      <c r="A64">
        <v>27</v>
      </c>
      <c r="B64">
        <v>4</v>
      </c>
      <c r="C64">
        <v>97</v>
      </c>
      <c r="D64">
        <v>60</v>
      </c>
      <c r="E64">
        <v>1834</v>
      </c>
      <c r="F64">
        <v>19</v>
      </c>
      <c r="G64">
        <v>71</v>
      </c>
      <c r="H64" t="s">
        <v>1638</v>
      </c>
      <c r="I64" t="s">
        <v>1105</v>
      </c>
      <c r="J64" t="s">
        <v>1039</v>
      </c>
      <c r="K64" t="s">
        <v>1106</v>
      </c>
      <c r="L64" t="b">
        <f>Data_Completeness(MileageData[[#This Row],[MPG]:[Acceleration]])</f>
        <v>1</v>
      </c>
    </row>
    <row r="65" spans="1:12" x14ac:dyDescent="0.25">
      <c r="A65">
        <v>26</v>
      </c>
      <c r="B65">
        <v>4</v>
      </c>
      <c r="C65">
        <v>91</v>
      </c>
      <c r="D65">
        <v>70</v>
      </c>
      <c r="E65">
        <v>1955</v>
      </c>
      <c r="F65">
        <v>20.5</v>
      </c>
      <c r="G65">
        <v>71</v>
      </c>
      <c r="H65" t="s">
        <v>1637</v>
      </c>
      <c r="I65" t="s">
        <v>1107</v>
      </c>
      <c r="J65" t="s">
        <v>986</v>
      </c>
      <c r="K65" t="s">
        <v>1108</v>
      </c>
      <c r="L65" t="b">
        <f>Data_Completeness(MileageData[[#This Row],[MPG]:[Acceleration]])</f>
        <v>1</v>
      </c>
    </row>
    <row r="66" spans="1:12" x14ac:dyDescent="0.25">
      <c r="A66">
        <v>24</v>
      </c>
      <c r="B66">
        <v>4</v>
      </c>
      <c r="C66">
        <v>113</v>
      </c>
      <c r="D66">
        <v>95</v>
      </c>
      <c r="E66">
        <v>2278</v>
      </c>
      <c r="F66">
        <v>15.5</v>
      </c>
      <c r="G66">
        <v>72</v>
      </c>
      <c r="H66" t="s">
        <v>1639</v>
      </c>
      <c r="I66" t="s">
        <v>1109</v>
      </c>
      <c r="J66" t="s">
        <v>1027</v>
      </c>
      <c r="K66" t="s">
        <v>1110</v>
      </c>
      <c r="L66" t="b">
        <f>Data_Completeness(MileageData[[#This Row],[MPG]:[Acceleration]])</f>
        <v>1</v>
      </c>
    </row>
    <row r="67" spans="1:12" x14ac:dyDescent="0.25">
      <c r="A67">
        <v>25</v>
      </c>
      <c r="B67">
        <v>4</v>
      </c>
      <c r="C67">
        <v>97.5</v>
      </c>
      <c r="D67">
        <v>80</v>
      </c>
      <c r="E67">
        <v>2126</v>
      </c>
      <c r="F67">
        <v>17</v>
      </c>
      <c r="G67">
        <v>72</v>
      </c>
      <c r="H67" t="s">
        <v>1637</v>
      </c>
      <c r="I67" t="s">
        <v>1111</v>
      </c>
      <c r="J67" t="s">
        <v>1017</v>
      </c>
      <c r="K67" t="s">
        <v>1112</v>
      </c>
      <c r="L67" t="b">
        <f>Data_Completeness(MileageData[[#This Row],[MPG]:[Acceleration]])</f>
        <v>1</v>
      </c>
    </row>
    <row r="68" spans="1:12" x14ac:dyDescent="0.25">
      <c r="A68">
        <v>23</v>
      </c>
      <c r="B68">
        <v>4</v>
      </c>
      <c r="C68">
        <v>97</v>
      </c>
      <c r="D68">
        <v>54</v>
      </c>
      <c r="E68">
        <v>2254</v>
      </c>
      <c r="F68">
        <v>23.5</v>
      </c>
      <c r="G68">
        <v>72</v>
      </c>
      <c r="H68" t="s">
        <v>1638</v>
      </c>
      <c r="I68" t="s">
        <v>1113</v>
      </c>
      <c r="J68" t="s">
        <v>1039</v>
      </c>
      <c r="K68" t="s">
        <v>1114</v>
      </c>
      <c r="L68" t="b">
        <f>Data_Completeness(MileageData[[#This Row],[MPG]:[Acceleration]])</f>
        <v>1</v>
      </c>
    </row>
    <row r="69" spans="1:12" x14ac:dyDescent="0.25">
      <c r="A69">
        <v>20</v>
      </c>
      <c r="B69">
        <v>4</v>
      </c>
      <c r="C69">
        <v>140</v>
      </c>
      <c r="D69">
        <v>90</v>
      </c>
      <c r="E69">
        <v>2408</v>
      </c>
      <c r="F69">
        <v>19.5</v>
      </c>
      <c r="G69">
        <v>72</v>
      </c>
      <c r="H69" t="s">
        <v>1637</v>
      </c>
      <c r="I69" t="s">
        <v>1115</v>
      </c>
      <c r="J69" t="s">
        <v>980</v>
      </c>
      <c r="K69" t="s">
        <v>1116</v>
      </c>
      <c r="L69" t="b">
        <f>Data_Completeness(MileageData[[#This Row],[MPG]:[Acceleration]])</f>
        <v>1</v>
      </c>
    </row>
    <row r="70" spans="1:12" x14ac:dyDescent="0.25">
      <c r="A70">
        <v>21</v>
      </c>
      <c r="B70">
        <v>4</v>
      </c>
      <c r="C70">
        <v>122</v>
      </c>
      <c r="D70">
        <v>86</v>
      </c>
      <c r="E70">
        <v>2226</v>
      </c>
      <c r="F70">
        <v>16.5</v>
      </c>
      <c r="G70">
        <v>72</v>
      </c>
      <c r="H70" t="s">
        <v>1637</v>
      </c>
      <c r="I70" t="s">
        <v>1117</v>
      </c>
      <c r="J70" t="s">
        <v>992</v>
      </c>
      <c r="K70" t="s">
        <v>1118</v>
      </c>
      <c r="L70" t="b">
        <f>Data_Completeness(MileageData[[#This Row],[MPG]:[Acceleration]])</f>
        <v>1</v>
      </c>
    </row>
    <row r="71" spans="1:12" x14ac:dyDescent="0.25">
      <c r="A71">
        <v>13</v>
      </c>
      <c r="B71">
        <v>8</v>
      </c>
      <c r="C71">
        <v>350</v>
      </c>
      <c r="D71">
        <v>165</v>
      </c>
      <c r="E71">
        <v>4274</v>
      </c>
      <c r="F71">
        <v>12</v>
      </c>
      <c r="G71">
        <v>72</v>
      </c>
      <c r="H71" t="s">
        <v>1637</v>
      </c>
      <c r="I71" t="s">
        <v>996</v>
      </c>
      <c r="J71" t="s">
        <v>980</v>
      </c>
      <c r="K71" t="s">
        <v>997</v>
      </c>
      <c r="L71" t="b">
        <f>Data_Completeness(MileageData[[#This Row],[MPG]:[Acceleration]])</f>
        <v>1</v>
      </c>
    </row>
    <row r="72" spans="1:12" x14ac:dyDescent="0.25">
      <c r="A72">
        <v>14</v>
      </c>
      <c r="B72">
        <v>8</v>
      </c>
      <c r="C72">
        <v>400</v>
      </c>
      <c r="D72">
        <v>175</v>
      </c>
      <c r="E72">
        <v>4385</v>
      </c>
      <c r="F72">
        <v>12</v>
      </c>
      <c r="G72">
        <v>72</v>
      </c>
      <c r="H72" t="s">
        <v>1637</v>
      </c>
      <c r="I72" t="s">
        <v>1000</v>
      </c>
      <c r="J72" t="s">
        <v>1001</v>
      </c>
      <c r="K72" t="s">
        <v>1002</v>
      </c>
      <c r="L72" t="b">
        <f>Data_Completeness(MileageData[[#This Row],[MPG]:[Acceleration]])</f>
        <v>1</v>
      </c>
    </row>
    <row r="73" spans="1:12" x14ac:dyDescent="0.25">
      <c r="A73">
        <v>15</v>
      </c>
      <c r="B73">
        <v>8</v>
      </c>
      <c r="C73">
        <v>318</v>
      </c>
      <c r="D73">
        <v>150</v>
      </c>
      <c r="E73">
        <v>4135</v>
      </c>
      <c r="F73">
        <v>13.5</v>
      </c>
      <c r="G73">
        <v>72</v>
      </c>
      <c r="H73" t="s">
        <v>1637</v>
      </c>
      <c r="I73" t="s">
        <v>998</v>
      </c>
      <c r="J73" t="s">
        <v>986</v>
      </c>
      <c r="K73" t="s">
        <v>999</v>
      </c>
      <c r="L73" t="b">
        <f>Data_Completeness(MileageData[[#This Row],[MPG]:[Acceleration]])</f>
        <v>1</v>
      </c>
    </row>
    <row r="74" spans="1:12" x14ac:dyDescent="0.25">
      <c r="A74">
        <v>14</v>
      </c>
      <c r="B74">
        <v>8</v>
      </c>
      <c r="C74">
        <v>351</v>
      </c>
      <c r="D74">
        <v>153</v>
      </c>
      <c r="E74">
        <v>4129</v>
      </c>
      <c r="F74">
        <v>13</v>
      </c>
      <c r="G74">
        <v>72</v>
      </c>
      <c r="H74" t="s">
        <v>1637</v>
      </c>
      <c r="I74" t="s">
        <v>994</v>
      </c>
      <c r="J74" t="s">
        <v>992</v>
      </c>
      <c r="K74" t="s">
        <v>995</v>
      </c>
      <c r="L74" t="b">
        <f>Data_Completeness(MileageData[[#This Row],[MPG]:[Acceleration]])</f>
        <v>1</v>
      </c>
    </row>
    <row r="75" spans="1:12" x14ac:dyDescent="0.25">
      <c r="A75">
        <v>17</v>
      </c>
      <c r="B75">
        <v>8</v>
      </c>
      <c r="C75">
        <v>304</v>
      </c>
      <c r="D75">
        <v>150</v>
      </c>
      <c r="E75">
        <v>3672</v>
      </c>
      <c r="F75">
        <v>11.5</v>
      </c>
      <c r="G75">
        <v>72</v>
      </c>
      <c r="H75" t="s">
        <v>1637</v>
      </c>
      <c r="I75" t="s">
        <v>1119</v>
      </c>
      <c r="J75" t="s">
        <v>989</v>
      </c>
      <c r="K75" t="s">
        <v>1120</v>
      </c>
      <c r="L75" t="b">
        <f>Data_Completeness(MileageData[[#This Row],[MPG]:[Acceleration]])</f>
        <v>1</v>
      </c>
    </row>
    <row r="76" spans="1:12" x14ac:dyDescent="0.25">
      <c r="A76">
        <v>11</v>
      </c>
      <c r="B76">
        <v>8</v>
      </c>
      <c r="C76">
        <v>429</v>
      </c>
      <c r="D76">
        <v>208</v>
      </c>
      <c r="E76">
        <v>4633</v>
      </c>
      <c r="F76">
        <v>11</v>
      </c>
      <c r="G76">
        <v>72</v>
      </c>
      <c r="H76" t="s">
        <v>1637</v>
      </c>
      <c r="I76" t="s">
        <v>1121</v>
      </c>
      <c r="J76" t="s">
        <v>1094</v>
      </c>
      <c r="K76" t="s">
        <v>1122</v>
      </c>
      <c r="L76" t="b">
        <f>Data_Completeness(MileageData[[#This Row],[MPG]:[Acceleration]])</f>
        <v>1</v>
      </c>
    </row>
    <row r="77" spans="1:12" x14ac:dyDescent="0.25">
      <c r="A77">
        <v>13</v>
      </c>
      <c r="B77">
        <v>8</v>
      </c>
      <c r="C77">
        <v>350</v>
      </c>
      <c r="D77">
        <v>155</v>
      </c>
      <c r="E77">
        <v>4502</v>
      </c>
      <c r="F77">
        <v>13.5</v>
      </c>
      <c r="G77">
        <v>72</v>
      </c>
      <c r="H77" t="s">
        <v>1637</v>
      </c>
      <c r="I77" t="s">
        <v>1123</v>
      </c>
      <c r="J77" t="s">
        <v>983</v>
      </c>
      <c r="K77" t="s">
        <v>1124</v>
      </c>
      <c r="L77" t="b">
        <f>Data_Completeness(MileageData[[#This Row],[MPG]:[Acceleration]])</f>
        <v>1</v>
      </c>
    </row>
    <row r="78" spans="1:12" x14ac:dyDescent="0.25">
      <c r="A78">
        <v>12</v>
      </c>
      <c r="B78">
        <v>8</v>
      </c>
      <c r="C78">
        <v>350</v>
      </c>
      <c r="D78">
        <v>160</v>
      </c>
      <c r="E78">
        <v>4456</v>
      </c>
      <c r="F78">
        <v>13.5</v>
      </c>
      <c r="G78">
        <v>72</v>
      </c>
      <c r="H78" t="s">
        <v>1637</v>
      </c>
      <c r="I78" t="s">
        <v>1125</v>
      </c>
      <c r="J78" t="s">
        <v>1126</v>
      </c>
      <c r="K78" t="s">
        <v>1127</v>
      </c>
      <c r="L78" t="b">
        <f>Data_Completeness(MileageData[[#This Row],[MPG]:[Acceleration]])</f>
        <v>1</v>
      </c>
    </row>
    <row r="79" spans="1:12" x14ac:dyDescent="0.25">
      <c r="A79">
        <v>13</v>
      </c>
      <c r="B79">
        <v>8</v>
      </c>
      <c r="C79">
        <v>400</v>
      </c>
      <c r="D79">
        <v>190</v>
      </c>
      <c r="E79">
        <v>4422</v>
      </c>
      <c r="F79">
        <v>12.5</v>
      </c>
      <c r="G79">
        <v>72</v>
      </c>
      <c r="H79" t="s">
        <v>1637</v>
      </c>
      <c r="I79" t="s">
        <v>1128</v>
      </c>
      <c r="J79" t="s">
        <v>1129</v>
      </c>
      <c r="K79" t="s">
        <v>1130</v>
      </c>
      <c r="L79" t="b">
        <f>Data_Completeness(MileageData[[#This Row],[MPG]:[Acceleration]])</f>
        <v>1</v>
      </c>
    </row>
    <row r="80" spans="1:12" x14ac:dyDescent="0.25">
      <c r="A80">
        <v>19</v>
      </c>
      <c r="B80">
        <v>3</v>
      </c>
      <c r="C80">
        <v>70</v>
      </c>
      <c r="D80">
        <v>97</v>
      </c>
      <c r="E80">
        <v>2330</v>
      </c>
      <c r="F80">
        <v>13.5</v>
      </c>
      <c r="G80">
        <v>72</v>
      </c>
      <c r="H80" t="s">
        <v>1639</v>
      </c>
      <c r="I80" t="s">
        <v>1131</v>
      </c>
      <c r="J80" t="s">
        <v>1132</v>
      </c>
      <c r="K80" t="s">
        <v>1133</v>
      </c>
      <c r="L80" t="b">
        <f>Data_Completeness(MileageData[[#This Row],[MPG]:[Acceleration]])</f>
        <v>1</v>
      </c>
    </row>
    <row r="81" spans="1:12" x14ac:dyDescent="0.25">
      <c r="A81">
        <v>15</v>
      </c>
      <c r="B81">
        <v>8</v>
      </c>
      <c r="C81">
        <v>304</v>
      </c>
      <c r="D81">
        <v>150</v>
      </c>
      <c r="E81">
        <v>3892</v>
      </c>
      <c r="F81">
        <v>12.5</v>
      </c>
      <c r="G81">
        <v>72</v>
      </c>
      <c r="H81" t="s">
        <v>1637</v>
      </c>
      <c r="I81" t="s">
        <v>1134</v>
      </c>
      <c r="J81" t="s">
        <v>989</v>
      </c>
      <c r="K81" t="s">
        <v>1135</v>
      </c>
      <c r="L81" t="b">
        <f>Data_Completeness(MileageData[[#This Row],[MPG]:[Acceleration]])</f>
        <v>1</v>
      </c>
    </row>
    <row r="82" spans="1:12" x14ac:dyDescent="0.25">
      <c r="A82">
        <v>13</v>
      </c>
      <c r="B82">
        <v>8</v>
      </c>
      <c r="C82">
        <v>307</v>
      </c>
      <c r="D82">
        <v>130</v>
      </c>
      <c r="E82">
        <v>4098</v>
      </c>
      <c r="F82">
        <v>14</v>
      </c>
      <c r="G82">
        <v>72</v>
      </c>
      <c r="H82" t="s">
        <v>1637</v>
      </c>
      <c r="I82" t="s">
        <v>1008</v>
      </c>
      <c r="J82" t="s">
        <v>980</v>
      </c>
      <c r="K82" t="s">
        <v>1009</v>
      </c>
      <c r="L82" t="b">
        <f>Data_Completeness(MileageData[[#This Row],[MPG]:[Acceleration]])</f>
        <v>1</v>
      </c>
    </row>
    <row r="83" spans="1:12" x14ac:dyDescent="0.25">
      <c r="A83">
        <v>13</v>
      </c>
      <c r="B83">
        <v>8</v>
      </c>
      <c r="C83">
        <v>302</v>
      </c>
      <c r="D83">
        <v>140</v>
      </c>
      <c r="E83">
        <v>4294</v>
      </c>
      <c r="F83">
        <v>16</v>
      </c>
      <c r="G83">
        <v>72</v>
      </c>
      <c r="H83" t="s">
        <v>1637</v>
      </c>
      <c r="I83" t="s">
        <v>1136</v>
      </c>
      <c r="J83" t="s">
        <v>992</v>
      </c>
      <c r="K83" t="s">
        <v>1137</v>
      </c>
      <c r="L83" t="b">
        <f>Data_Completeness(MileageData[[#This Row],[MPG]:[Acceleration]])</f>
        <v>1</v>
      </c>
    </row>
    <row r="84" spans="1:12" x14ac:dyDescent="0.25">
      <c r="A84">
        <v>14</v>
      </c>
      <c r="B84">
        <v>8</v>
      </c>
      <c r="C84">
        <v>318</v>
      </c>
      <c r="D84">
        <v>150</v>
      </c>
      <c r="E84">
        <v>4077</v>
      </c>
      <c r="F84">
        <v>14</v>
      </c>
      <c r="G84">
        <v>72</v>
      </c>
      <c r="H84" t="s">
        <v>1637</v>
      </c>
      <c r="I84" t="s">
        <v>1138</v>
      </c>
      <c r="J84" t="s">
        <v>986</v>
      </c>
      <c r="K84" t="s">
        <v>1139</v>
      </c>
      <c r="L84" t="b">
        <f>Data_Completeness(MileageData[[#This Row],[MPG]:[Acceleration]])</f>
        <v>1</v>
      </c>
    </row>
    <row r="85" spans="1:12" x14ac:dyDescent="0.25">
      <c r="A85">
        <v>18</v>
      </c>
      <c r="B85">
        <v>4</v>
      </c>
      <c r="C85">
        <v>121</v>
      </c>
      <c r="D85">
        <v>112</v>
      </c>
      <c r="E85">
        <v>2933</v>
      </c>
      <c r="F85">
        <v>14.5</v>
      </c>
      <c r="G85">
        <v>72</v>
      </c>
      <c r="H85" t="s">
        <v>1638</v>
      </c>
      <c r="I85" t="s">
        <v>1140</v>
      </c>
      <c r="J85" t="s">
        <v>1141</v>
      </c>
      <c r="K85" t="s">
        <v>1142</v>
      </c>
      <c r="L85" t="b">
        <f>Data_Completeness(MileageData[[#This Row],[MPG]:[Acceleration]])</f>
        <v>1</v>
      </c>
    </row>
    <row r="86" spans="1:12" x14ac:dyDescent="0.25">
      <c r="A86">
        <v>22</v>
      </c>
      <c r="B86">
        <v>4</v>
      </c>
      <c r="C86">
        <v>121</v>
      </c>
      <c r="D86">
        <v>76</v>
      </c>
      <c r="E86">
        <v>2511</v>
      </c>
      <c r="F86">
        <v>18</v>
      </c>
      <c r="G86">
        <v>72</v>
      </c>
      <c r="H86" t="s">
        <v>1638</v>
      </c>
      <c r="I86" t="s">
        <v>1143</v>
      </c>
      <c r="J86" t="s">
        <v>1039</v>
      </c>
      <c r="K86" t="s">
        <v>1144</v>
      </c>
      <c r="L86" t="b">
        <f>Data_Completeness(MileageData[[#This Row],[MPG]:[Acceleration]])</f>
        <v>1</v>
      </c>
    </row>
    <row r="87" spans="1:12" x14ac:dyDescent="0.25">
      <c r="A87">
        <v>21</v>
      </c>
      <c r="B87">
        <v>4</v>
      </c>
      <c r="C87">
        <v>120</v>
      </c>
      <c r="D87">
        <v>87</v>
      </c>
      <c r="E87">
        <v>2979</v>
      </c>
      <c r="F87">
        <v>19.5</v>
      </c>
      <c r="G87">
        <v>72</v>
      </c>
      <c r="H87" t="s">
        <v>1638</v>
      </c>
      <c r="I87" t="s">
        <v>1145</v>
      </c>
      <c r="J87" t="s">
        <v>1042</v>
      </c>
      <c r="K87" t="s">
        <v>1146</v>
      </c>
      <c r="L87" t="b">
        <f>Data_Completeness(MileageData[[#This Row],[MPG]:[Acceleration]])</f>
        <v>1</v>
      </c>
    </row>
    <row r="88" spans="1:12" x14ac:dyDescent="0.25">
      <c r="A88">
        <v>26</v>
      </c>
      <c r="B88">
        <v>4</v>
      </c>
      <c r="C88">
        <v>96</v>
      </c>
      <c r="D88">
        <v>69</v>
      </c>
      <c r="E88">
        <v>2189</v>
      </c>
      <c r="F88">
        <v>18</v>
      </c>
      <c r="G88">
        <v>72</v>
      </c>
      <c r="H88" t="s">
        <v>1638</v>
      </c>
      <c r="I88" t="s">
        <v>1147</v>
      </c>
      <c r="J88" t="s">
        <v>1148</v>
      </c>
      <c r="K88" t="s">
        <v>1149</v>
      </c>
      <c r="L88" t="b">
        <f>Data_Completeness(MileageData[[#This Row],[MPG]:[Acceleration]])</f>
        <v>1</v>
      </c>
    </row>
    <row r="89" spans="1:12" x14ac:dyDescent="0.25">
      <c r="A89">
        <v>22</v>
      </c>
      <c r="B89">
        <v>4</v>
      </c>
      <c r="C89">
        <v>122</v>
      </c>
      <c r="D89">
        <v>86</v>
      </c>
      <c r="E89">
        <v>2395</v>
      </c>
      <c r="F89">
        <v>16</v>
      </c>
      <c r="G89">
        <v>72</v>
      </c>
      <c r="H89" t="s">
        <v>1637</v>
      </c>
      <c r="I89" t="s">
        <v>1150</v>
      </c>
      <c r="J89" t="s">
        <v>992</v>
      </c>
      <c r="K89" t="s">
        <v>1151</v>
      </c>
      <c r="L89" t="b">
        <f>Data_Completeness(MileageData[[#This Row],[MPG]:[Acceleration]])</f>
        <v>1</v>
      </c>
    </row>
    <row r="90" spans="1:12" x14ac:dyDescent="0.25">
      <c r="A90">
        <v>28</v>
      </c>
      <c r="B90">
        <v>4</v>
      </c>
      <c r="C90">
        <v>97</v>
      </c>
      <c r="D90">
        <v>92</v>
      </c>
      <c r="E90">
        <v>2288</v>
      </c>
      <c r="F90">
        <v>17</v>
      </c>
      <c r="G90">
        <v>72</v>
      </c>
      <c r="H90" t="s">
        <v>1639</v>
      </c>
      <c r="I90" t="s">
        <v>1152</v>
      </c>
      <c r="J90" t="s">
        <v>1036</v>
      </c>
      <c r="K90" t="s">
        <v>1153</v>
      </c>
      <c r="L90" t="b">
        <f>Data_Completeness(MileageData[[#This Row],[MPG]:[Acceleration]])</f>
        <v>1</v>
      </c>
    </row>
    <row r="91" spans="1:12" x14ac:dyDescent="0.25">
      <c r="A91">
        <v>23</v>
      </c>
      <c r="B91">
        <v>4</v>
      </c>
      <c r="C91">
        <v>120</v>
      </c>
      <c r="D91">
        <v>97</v>
      </c>
      <c r="E91">
        <v>2506</v>
      </c>
      <c r="F91">
        <v>14.5</v>
      </c>
      <c r="G91">
        <v>72</v>
      </c>
      <c r="H91" t="s">
        <v>1639</v>
      </c>
      <c r="I91" t="s">
        <v>1154</v>
      </c>
      <c r="J91" t="s">
        <v>1155</v>
      </c>
      <c r="K91" t="s">
        <v>1156</v>
      </c>
      <c r="L91" t="b">
        <f>Data_Completeness(MileageData[[#This Row],[MPG]:[Acceleration]])</f>
        <v>1</v>
      </c>
    </row>
    <row r="92" spans="1:12" x14ac:dyDescent="0.25">
      <c r="A92">
        <v>28</v>
      </c>
      <c r="B92">
        <v>4</v>
      </c>
      <c r="C92">
        <v>98</v>
      </c>
      <c r="D92">
        <v>80</v>
      </c>
      <c r="E92">
        <v>2164</v>
      </c>
      <c r="F92">
        <v>15</v>
      </c>
      <c r="G92">
        <v>72</v>
      </c>
      <c r="H92" t="s">
        <v>1637</v>
      </c>
      <c r="I92" t="s">
        <v>1157</v>
      </c>
      <c r="J92" t="s">
        <v>1017</v>
      </c>
      <c r="K92" t="s">
        <v>1158</v>
      </c>
      <c r="L92" t="b">
        <f>Data_Completeness(MileageData[[#This Row],[MPG]:[Acceleration]])</f>
        <v>1</v>
      </c>
    </row>
    <row r="93" spans="1:12" x14ac:dyDescent="0.25">
      <c r="A93">
        <v>27</v>
      </c>
      <c r="B93">
        <v>4</v>
      </c>
      <c r="C93">
        <v>97</v>
      </c>
      <c r="D93">
        <v>88</v>
      </c>
      <c r="E93">
        <v>2100</v>
      </c>
      <c r="F93">
        <v>16.5</v>
      </c>
      <c r="G93">
        <v>72</v>
      </c>
      <c r="H93" t="s">
        <v>1639</v>
      </c>
      <c r="I93" t="s">
        <v>1159</v>
      </c>
      <c r="J93" t="s">
        <v>1027</v>
      </c>
      <c r="K93" t="s">
        <v>1160</v>
      </c>
      <c r="L93" t="b">
        <f>Data_Completeness(MileageData[[#This Row],[MPG]:[Acceleration]])</f>
        <v>1</v>
      </c>
    </row>
    <row r="94" spans="1:12" x14ac:dyDescent="0.25">
      <c r="A94">
        <v>13</v>
      </c>
      <c r="B94">
        <v>8</v>
      </c>
      <c r="C94">
        <v>350</v>
      </c>
      <c r="D94">
        <v>175</v>
      </c>
      <c r="E94">
        <v>4100</v>
      </c>
      <c r="F94">
        <v>13</v>
      </c>
      <c r="G94">
        <v>73</v>
      </c>
      <c r="H94" t="s">
        <v>1637</v>
      </c>
      <c r="I94" t="s">
        <v>1161</v>
      </c>
      <c r="J94" t="s">
        <v>983</v>
      </c>
      <c r="K94" t="s">
        <v>1162</v>
      </c>
      <c r="L94" t="b">
        <f>Data_Completeness(MileageData[[#This Row],[MPG]:[Acceleration]])</f>
        <v>1</v>
      </c>
    </row>
    <row r="95" spans="1:12" x14ac:dyDescent="0.25">
      <c r="A95">
        <v>14</v>
      </c>
      <c r="B95">
        <v>8</v>
      </c>
      <c r="C95">
        <v>304</v>
      </c>
      <c r="D95">
        <v>150</v>
      </c>
      <c r="E95">
        <v>3672</v>
      </c>
      <c r="F95">
        <v>11.5</v>
      </c>
      <c r="G95">
        <v>73</v>
      </c>
      <c r="H95" t="s">
        <v>1637</v>
      </c>
      <c r="I95" t="s">
        <v>1075</v>
      </c>
      <c r="J95" t="s">
        <v>989</v>
      </c>
      <c r="K95" t="s">
        <v>1076</v>
      </c>
      <c r="L95" t="b">
        <f>Data_Completeness(MileageData[[#This Row],[MPG]:[Acceleration]])</f>
        <v>1</v>
      </c>
    </row>
    <row r="96" spans="1:12" x14ac:dyDescent="0.25">
      <c r="A96">
        <v>13</v>
      </c>
      <c r="B96">
        <v>8</v>
      </c>
      <c r="C96">
        <v>350</v>
      </c>
      <c r="D96">
        <v>145</v>
      </c>
      <c r="E96">
        <v>3988</v>
      </c>
      <c r="F96">
        <v>13</v>
      </c>
      <c r="G96">
        <v>73</v>
      </c>
      <c r="H96" t="s">
        <v>1637</v>
      </c>
      <c r="I96" t="s">
        <v>1163</v>
      </c>
      <c r="J96" t="s">
        <v>980</v>
      </c>
      <c r="K96" t="s">
        <v>1164</v>
      </c>
      <c r="L96" t="b">
        <f>Data_Completeness(MileageData[[#This Row],[MPG]:[Acceleration]])</f>
        <v>1</v>
      </c>
    </row>
    <row r="97" spans="1:12" x14ac:dyDescent="0.25">
      <c r="A97">
        <v>14</v>
      </c>
      <c r="B97">
        <v>8</v>
      </c>
      <c r="C97">
        <v>302</v>
      </c>
      <c r="D97">
        <v>137</v>
      </c>
      <c r="E97">
        <v>4042</v>
      </c>
      <c r="F97">
        <v>14.5</v>
      </c>
      <c r="G97">
        <v>73</v>
      </c>
      <c r="H97" t="s">
        <v>1637</v>
      </c>
      <c r="I97" t="s">
        <v>1165</v>
      </c>
      <c r="J97" t="s">
        <v>992</v>
      </c>
      <c r="K97" t="s">
        <v>1166</v>
      </c>
      <c r="L97" t="b">
        <f>Data_Completeness(MileageData[[#This Row],[MPG]:[Acceleration]])</f>
        <v>1</v>
      </c>
    </row>
    <row r="98" spans="1:12" x14ac:dyDescent="0.25">
      <c r="A98">
        <v>15</v>
      </c>
      <c r="B98">
        <v>8</v>
      </c>
      <c r="C98">
        <v>318</v>
      </c>
      <c r="D98">
        <v>150</v>
      </c>
      <c r="E98">
        <v>3777</v>
      </c>
      <c r="F98">
        <v>12.5</v>
      </c>
      <c r="G98">
        <v>73</v>
      </c>
      <c r="H98" t="s">
        <v>1637</v>
      </c>
      <c r="I98" t="s">
        <v>1167</v>
      </c>
      <c r="J98" t="s">
        <v>1017</v>
      </c>
      <c r="K98" t="s">
        <v>1168</v>
      </c>
      <c r="L98" t="b">
        <f>Data_Completeness(MileageData[[#This Row],[MPG]:[Acceleration]])</f>
        <v>1</v>
      </c>
    </row>
    <row r="99" spans="1:12" x14ac:dyDescent="0.25">
      <c r="A99">
        <v>12</v>
      </c>
      <c r="B99">
        <v>8</v>
      </c>
      <c r="C99">
        <v>429</v>
      </c>
      <c r="D99">
        <v>198</v>
      </c>
      <c r="E99">
        <v>4952</v>
      </c>
      <c r="F99">
        <v>11.5</v>
      </c>
      <c r="G99">
        <v>73</v>
      </c>
      <c r="H99" t="s">
        <v>1637</v>
      </c>
      <c r="I99" t="s">
        <v>1169</v>
      </c>
      <c r="J99" t="s">
        <v>1094</v>
      </c>
      <c r="K99" t="s">
        <v>1170</v>
      </c>
      <c r="L99" t="b">
        <f>Data_Completeness(MileageData[[#This Row],[MPG]:[Acceleration]])</f>
        <v>1</v>
      </c>
    </row>
    <row r="100" spans="1:12" x14ac:dyDescent="0.25">
      <c r="A100">
        <v>13</v>
      </c>
      <c r="B100">
        <v>8</v>
      </c>
      <c r="C100">
        <v>400</v>
      </c>
      <c r="D100">
        <v>150</v>
      </c>
      <c r="E100">
        <v>4464</v>
      </c>
      <c r="F100">
        <v>12</v>
      </c>
      <c r="G100">
        <v>73</v>
      </c>
      <c r="H100" t="s">
        <v>1637</v>
      </c>
      <c r="I100" t="s">
        <v>1171</v>
      </c>
      <c r="J100" t="s">
        <v>980</v>
      </c>
      <c r="K100" t="s">
        <v>1172</v>
      </c>
      <c r="L100" t="b">
        <f>Data_Completeness(MileageData[[#This Row],[MPG]:[Acceleration]])</f>
        <v>1</v>
      </c>
    </row>
    <row r="101" spans="1:12" x14ac:dyDescent="0.25">
      <c r="A101">
        <v>13</v>
      </c>
      <c r="B101">
        <v>8</v>
      </c>
      <c r="C101">
        <v>351</v>
      </c>
      <c r="D101">
        <v>158</v>
      </c>
      <c r="E101">
        <v>4363</v>
      </c>
      <c r="F101">
        <v>13</v>
      </c>
      <c r="G101">
        <v>73</v>
      </c>
      <c r="H101" t="s">
        <v>1637</v>
      </c>
      <c r="I101" t="s">
        <v>1173</v>
      </c>
      <c r="J101" t="s">
        <v>992</v>
      </c>
      <c r="K101" t="s">
        <v>1174</v>
      </c>
      <c r="L101" t="b">
        <f>Data_Completeness(MileageData[[#This Row],[MPG]:[Acceleration]])</f>
        <v>1</v>
      </c>
    </row>
    <row r="102" spans="1:12" x14ac:dyDescent="0.25">
      <c r="A102">
        <v>14</v>
      </c>
      <c r="B102">
        <v>8</v>
      </c>
      <c r="C102">
        <v>318</v>
      </c>
      <c r="D102">
        <v>150</v>
      </c>
      <c r="E102">
        <v>4237</v>
      </c>
      <c r="F102">
        <v>14.5</v>
      </c>
      <c r="G102">
        <v>73</v>
      </c>
      <c r="H102" t="s">
        <v>1637</v>
      </c>
      <c r="I102" t="s">
        <v>1175</v>
      </c>
      <c r="J102" t="s">
        <v>986</v>
      </c>
      <c r="K102" t="s">
        <v>1176</v>
      </c>
      <c r="L102" t="b">
        <f>Data_Completeness(MileageData[[#This Row],[MPG]:[Acceleration]])</f>
        <v>1</v>
      </c>
    </row>
    <row r="103" spans="1:12" x14ac:dyDescent="0.25">
      <c r="A103">
        <v>13</v>
      </c>
      <c r="B103">
        <v>8</v>
      </c>
      <c r="C103">
        <v>440</v>
      </c>
      <c r="D103">
        <v>215</v>
      </c>
      <c r="E103">
        <v>4735</v>
      </c>
      <c r="F103">
        <v>11</v>
      </c>
      <c r="G103">
        <v>73</v>
      </c>
      <c r="H103" t="s">
        <v>1637</v>
      </c>
      <c r="I103" t="s">
        <v>1177</v>
      </c>
      <c r="J103" t="s">
        <v>1129</v>
      </c>
      <c r="K103" t="s">
        <v>1178</v>
      </c>
      <c r="L103" t="b">
        <f>Data_Completeness(MileageData[[#This Row],[MPG]:[Acceleration]])</f>
        <v>1</v>
      </c>
    </row>
    <row r="104" spans="1:12" x14ac:dyDescent="0.25">
      <c r="A104">
        <v>12</v>
      </c>
      <c r="B104">
        <v>8</v>
      </c>
      <c r="C104">
        <v>455</v>
      </c>
      <c r="D104">
        <v>225</v>
      </c>
      <c r="E104">
        <v>4951</v>
      </c>
      <c r="F104">
        <v>11</v>
      </c>
      <c r="G104">
        <v>73</v>
      </c>
      <c r="H104" t="s">
        <v>1637</v>
      </c>
      <c r="I104" t="s">
        <v>1179</v>
      </c>
      <c r="J104" t="s">
        <v>983</v>
      </c>
      <c r="K104" t="s">
        <v>1180</v>
      </c>
      <c r="L104" t="b">
        <f>Data_Completeness(MileageData[[#This Row],[MPG]:[Acceleration]])</f>
        <v>1</v>
      </c>
    </row>
    <row r="105" spans="1:12" x14ac:dyDescent="0.25">
      <c r="A105">
        <v>13</v>
      </c>
      <c r="B105">
        <v>8</v>
      </c>
      <c r="C105">
        <v>360</v>
      </c>
      <c r="D105">
        <v>175</v>
      </c>
      <c r="E105">
        <v>3821</v>
      </c>
      <c r="F105">
        <v>11</v>
      </c>
      <c r="G105">
        <v>73</v>
      </c>
      <c r="H105" t="s">
        <v>1637</v>
      </c>
      <c r="I105" t="s">
        <v>1181</v>
      </c>
      <c r="J105" t="s">
        <v>989</v>
      </c>
      <c r="K105" t="s">
        <v>1182</v>
      </c>
      <c r="L105" t="b">
        <f>Data_Completeness(MileageData[[#This Row],[MPG]:[Acceleration]])</f>
        <v>1</v>
      </c>
    </row>
    <row r="106" spans="1:12" x14ac:dyDescent="0.25">
      <c r="A106">
        <v>18</v>
      </c>
      <c r="B106">
        <v>6</v>
      </c>
      <c r="C106">
        <v>225</v>
      </c>
      <c r="D106">
        <v>105</v>
      </c>
      <c r="E106">
        <v>3121</v>
      </c>
      <c r="F106">
        <v>16.5</v>
      </c>
      <c r="G106">
        <v>73</v>
      </c>
      <c r="H106" t="s">
        <v>1637</v>
      </c>
      <c r="I106" t="s">
        <v>1183</v>
      </c>
      <c r="J106" t="s">
        <v>986</v>
      </c>
      <c r="K106" t="s">
        <v>1184</v>
      </c>
      <c r="L106" t="b">
        <f>Data_Completeness(MileageData[[#This Row],[MPG]:[Acceleration]])</f>
        <v>1</v>
      </c>
    </row>
    <row r="107" spans="1:12" x14ac:dyDescent="0.25">
      <c r="A107">
        <v>16</v>
      </c>
      <c r="B107">
        <v>6</v>
      </c>
      <c r="C107">
        <v>250</v>
      </c>
      <c r="D107">
        <v>100</v>
      </c>
      <c r="E107">
        <v>3278</v>
      </c>
      <c r="F107">
        <v>18</v>
      </c>
      <c r="G107">
        <v>73</v>
      </c>
      <c r="H107" t="s">
        <v>1637</v>
      </c>
      <c r="I107" t="s">
        <v>1185</v>
      </c>
      <c r="J107" t="s">
        <v>980</v>
      </c>
      <c r="K107" t="s">
        <v>1186</v>
      </c>
      <c r="L107" t="b">
        <f>Data_Completeness(MileageData[[#This Row],[MPG]:[Acceleration]])</f>
        <v>1</v>
      </c>
    </row>
    <row r="108" spans="1:12" x14ac:dyDescent="0.25">
      <c r="A108">
        <v>18</v>
      </c>
      <c r="B108">
        <v>6</v>
      </c>
      <c r="C108">
        <v>232</v>
      </c>
      <c r="D108">
        <v>100</v>
      </c>
      <c r="E108">
        <v>2945</v>
      </c>
      <c r="F108">
        <v>16</v>
      </c>
      <c r="G108">
        <v>73</v>
      </c>
      <c r="H108" t="s">
        <v>1637</v>
      </c>
      <c r="I108" t="s">
        <v>1031</v>
      </c>
      <c r="J108" t="s">
        <v>989</v>
      </c>
      <c r="K108" t="s">
        <v>1032</v>
      </c>
      <c r="L108" t="b">
        <f>Data_Completeness(MileageData[[#This Row],[MPG]:[Acceleration]])</f>
        <v>1</v>
      </c>
    </row>
    <row r="109" spans="1:12" x14ac:dyDescent="0.25">
      <c r="A109">
        <v>18</v>
      </c>
      <c r="B109">
        <v>6</v>
      </c>
      <c r="C109">
        <v>250</v>
      </c>
      <c r="D109">
        <v>88</v>
      </c>
      <c r="E109">
        <v>3021</v>
      </c>
      <c r="F109">
        <v>16.5</v>
      </c>
      <c r="G109">
        <v>73</v>
      </c>
      <c r="H109" t="s">
        <v>1637</v>
      </c>
      <c r="I109" t="s">
        <v>1033</v>
      </c>
      <c r="J109" t="s">
        <v>992</v>
      </c>
      <c r="K109" t="s">
        <v>1034</v>
      </c>
      <c r="L109" t="b">
        <f>Data_Completeness(MileageData[[#This Row],[MPG]:[Acceleration]])</f>
        <v>1</v>
      </c>
    </row>
    <row r="110" spans="1:12" x14ac:dyDescent="0.25">
      <c r="A110">
        <v>23</v>
      </c>
      <c r="B110">
        <v>6</v>
      </c>
      <c r="C110">
        <v>198</v>
      </c>
      <c r="D110">
        <v>95</v>
      </c>
      <c r="E110">
        <v>2904</v>
      </c>
      <c r="F110">
        <v>16</v>
      </c>
      <c r="G110">
        <v>73</v>
      </c>
      <c r="H110" t="s">
        <v>1637</v>
      </c>
      <c r="I110" t="s">
        <v>1029</v>
      </c>
      <c r="J110" t="s">
        <v>986</v>
      </c>
      <c r="K110" t="s">
        <v>1030</v>
      </c>
      <c r="L110" t="b">
        <f>Data_Completeness(MileageData[[#This Row],[MPG]:[Acceleration]])</f>
        <v>1</v>
      </c>
    </row>
    <row r="111" spans="1:12" x14ac:dyDescent="0.25">
      <c r="A111">
        <v>26</v>
      </c>
      <c r="B111">
        <v>4</v>
      </c>
      <c r="C111">
        <v>97</v>
      </c>
      <c r="D111">
        <v>46</v>
      </c>
      <c r="E111">
        <v>1950</v>
      </c>
      <c r="F111">
        <v>21</v>
      </c>
      <c r="G111">
        <v>73</v>
      </c>
      <c r="H111" t="s">
        <v>1638</v>
      </c>
      <c r="I111" t="s">
        <v>1187</v>
      </c>
      <c r="J111" t="s">
        <v>1039</v>
      </c>
      <c r="K111" t="s">
        <v>1188</v>
      </c>
      <c r="L111" t="b">
        <f>Data_Completeness(MileageData[[#This Row],[MPG]:[Acceleration]])</f>
        <v>1</v>
      </c>
    </row>
    <row r="112" spans="1:12" x14ac:dyDescent="0.25">
      <c r="A112">
        <v>11</v>
      </c>
      <c r="B112">
        <v>8</v>
      </c>
      <c r="C112">
        <v>400</v>
      </c>
      <c r="D112">
        <v>150</v>
      </c>
      <c r="E112">
        <v>4997</v>
      </c>
      <c r="F112">
        <v>14</v>
      </c>
      <c r="G112">
        <v>73</v>
      </c>
      <c r="H112" t="s">
        <v>1637</v>
      </c>
      <c r="I112" t="s">
        <v>996</v>
      </c>
      <c r="J112" t="s">
        <v>980</v>
      </c>
      <c r="K112" t="s">
        <v>997</v>
      </c>
      <c r="L112" t="b">
        <f>Data_Completeness(MileageData[[#This Row],[MPG]:[Acceleration]])</f>
        <v>1</v>
      </c>
    </row>
    <row r="113" spans="1:12" x14ac:dyDescent="0.25">
      <c r="A113">
        <v>12</v>
      </c>
      <c r="B113">
        <v>8</v>
      </c>
      <c r="C113">
        <v>400</v>
      </c>
      <c r="D113">
        <v>167</v>
      </c>
      <c r="E113">
        <v>4906</v>
      </c>
      <c r="F113">
        <v>12.5</v>
      </c>
      <c r="G113">
        <v>73</v>
      </c>
      <c r="H113" t="s">
        <v>1637</v>
      </c>
      <c r="I113" t="s">
        <v>1189</v>
      </c>
      <c r="J113" t="s">
        <v>992</v>
      </c>
      <c r="K113" t="s">
        <v>1190</v>
      </c>
      <c r="L113" t="b">
        <f>Data_Completeness(MileageData[[#This Row],[MPG]:[Acceleration]])</f>
        <v>1</v>
      </c>
    </row>
    <row r="114" spans="1:12" x14ac:dyDescent="0.25">
      <c r="A114">
        <v>13</v>
      </c>
      <c r="B114">
        <v>8</v>
      </c>
      <c r="C114">
        <v>360</v>
      </c>
      <c r="D114">
        <v>170</v>
      </c>
      <c r="E114">
        <v>4654</v>
      </c>
      <c r="F114">
        <v>13</v>
      </c>
      <c r="G114">
        <v>73</v>
      </c>
      <c r="H114" t="s">
        <v>1637</v>
      </c>
      <c r="I114" t="s">
        <v>1191</v>
      </c>
      <c r="J114" t="s">
        <v>986</v>
      </c>
      <c r="K114" t="s">
        <v>1192</v>
      </c>
      <c r="L114" t="b">
        <f>Data_Completeness(MileageData[[#This Row],[MPG]:[Acceleration]])</f>
        <v>1</v>
      </c>
    </row>
    <row r="115" spans="1:12" x14ac:dyDescent="0.25">
      <c r="A115">
        <v>12</v>
      </c>
      <c r="B115">
        <v>8</v>
      </c>
      <c r="C115">
        <v>350</v>
      </c>
      <c r="D115">
        <v>180</v>
      </c>
      <c r="E115">
        <v>4499</v>
      </c>
      <c r="F115">
        <v>12.5</v>
      </c>
      <c r="G115">
        <v>73</v>
      </c>
      <c r="H115" t="s">
        <v>1637</v>
      </c>
      <c r="I115" t="s">
        <v>1193</v>
      </c>
      <c r="J115" t="s">
        <v>1126</v>
      </c>
      <c r="K115" t="s">
        <v>1194</v>
      </c>
      <c r="L115" t="b">
        <f>Data_Completeness(MileageData[[#This Row],[MPG]:[Acceleration]])</f>
        <v>1</v>
      </c>
    </row>
    <row r="116" spans="1:12" x14ac:dyDescent="0.25">
      <c r="A116">
        <v>18</v>
      </c>
      <c r="B116">
        <v>6</v>
      </c>
      <c r="C116">
        <v>232</v>
      </c>
      <c r="D116">
        <v>100</v>
      </c>
      <c r="E116">
        <v>2789</v>
      </c>
      <c r="F116">
        <v>15</v>
      </c>
      <c r="G116">
        <v>73</v>
      </c>
      <c r="H116" t="s">
        <v>1637</v>
      </c>
      <c r="I116" t="s">
        <v>1051</v>
      </c>
      <c r="J116" t="s">
        <v>989</v>
      </c>
      <c r="K116" t="s">
        <v>1052</v>
      </c>
      <c r="L116" t="b">
        <f>Data_Completeness(MileageData[[#This Row],[MPG]:[Acceleration]])</f>
        <v>1</v>
      </c>
    </row>
    <row r="117" spans="1:12" x14ac:dyDescent="0.25">
      <c r="A117">
        <v>20</v>
      </c>
      <c r="B117">
        <v>4</v>
      </c>
      <c r="C117">
        <v>97</v>
      </c>
      <c r="D117">
        <v>88</v>
      </c>
      <c r="E117">
        <v>2279</v>
      </c>
      <c r="F117">
        <v>19</v>
      </c>
      <c r="G117">
        <v>73</v>
      </c>
      <c r="H117" t="s">
        <v>1639</v>
      </c>
      <c r="I117" t="s">
        <v>1195</v>
      </c>
      <c r="J117" t="s">
        <v>1027</v>
      </c>
      <c r="K117" t="s">
        <v>1196</v>
      </c>
      <c r="L117" t="b">
        <f>Data_Completeness(MileageData[[#This Row],[MPG]:[Acceleration]])</f>
        <v>1</v>
      </c>
    </row>
    <row r="118" spans="1:12" x14ac:dyDescent="0.25">
      <c r="A118">
        <v>21</v>
      </c>
      <c r="B118">
        <v>4</v>
      </c>
      <c r="C118">
        <v>140</v>
      </c>
      <c r="D118">
        <v>72</v>
      </c>
      <c r="E118">
        <v>2401</v>
      </c>
      <c r="F118">
        <v>19.5</v>
      </c>
      <c r="G118">
        <v>73</v>
      </c>
      <c r="H118" t="s">
        <v>1637</v>
      </c>
      <c r="I118" t="s">
        <v>1115</v>
      </c>
      <c r="J118" t="s">
        <v>980</v>
      </c>
      <c r="K118" t="s">
        <v>1116</v>
      </c>
      <c r="L118" t="b">
        <f>Data_Completeness(MileageData[[#This Row],[MPG]:[Acceleration]])</f>
        <v>1</v>
      </c>
    </row>
    <row r="119" spans="1:12" x14ac:dyDescent="0.25">
      <c r="A119">
        <v>22</v>
      </c>
      <c r="B119">
        <v>4</v>
      </c>
      <c r="C119">
        <v>108</v>
      </c>
      <c r="D119">
        <v>94</v>
      </c>
      <c r="E119">
        <v>2379</v>
      </c>
      <c r="F119">
        <v>16.5</v>
      </c>
      <c r="G119">
        <v>73</v>
      </c>
      <c r="H119" t="s">
        <v>1639</v>
      </c>
      <c r="I119" t="s">
        <v>1197</v>
      </c>
      <c r="J119" t="s">
        <v>1036</v>
      </c>
      <c r="K119">
        <v>610</v>
      </c>
      <c r="L119" t="b">
        <f>Data_Completeness(MileageData[[#This Row],[MPG]:[Acceleration]])</f>
        <v>1</v>
      </c>
    </row>
    <row r="120" spans="1:12" x14ac:dyDescent="0.25">
      <c r="A120">
        <v>18</v>
      </c>
      <c r="B120">
        <v>3</v>
      </c>
      <c r="C120">
        <v>70</v>
      </c>
      <c r="D120">
        <v>90</v>
      </c>
      <c r="E120">
        <v>2124</v>
      </c>
      <c r="F120">
        <v>13.5</v>
      </c>
      <c r="G120">
        <v>73</v>
      </c>
      <c r="H120" t="s">
        <v>1639</v>
      </c>
      <c r="I120" t="s">
        <v>1198</v>
      </c>
      <c r="J120" t="s">
        <v>1199</v>
      </c>
      <c r="K120" t="s">
        <v>1200</v>
      </c>
      <c r="L120" t="b">
        <f>Data_Completeness(MileageData[[#This Row],[MPG]:[Acceleration]])</f>
        <v>1</v>
      </c>
    </row>
    <row r="121" spans="1:12" x14ac:dyDescent="0.25">
      <c r="A121">
        <v>19</v>
      </c>
      <c r="B121">
        <v>4</v>
      </c>
      <c r="C121">
        <v>122</v>
      </c>
      <c r="D121">
        <v>85</v>
      </c>
      <c r="E121">
        <v>2310</v>
      </c>
      <c r="F121">
        <v>18.5</v>
      </c>
      <c r="G121">
        <v>73</v>
      </c>
      <c r="H121" t="s">
        <v>1637</v>
      </c>
      <c r="I121" t="s">
        <v>1067</v>
      </c>
      <c r="J121" t="s">
        <v>992</v>
      </c>
      <c r="K121" t="s">
        <v>1068</v>
      </c>
      <c r="L121" t="b">
        <f>Data_Completeness(MileageData[[#This Row],[MPG]:[Acceleration]])</f>
        <v>1</v>
      </c>
    </row>
    <row r="122" spans="1:12" x14ac:dyDescent="0.25">
      <c r="A122">
        <v>21</v>
      </c>
      <c r="B122">
        <v>6</v>
      </c>
      <c r="C122">
        <v>155</v>
      </c>
      <c r="D122">
        <v>107</v>
      </c>
      <c r="E122">
        <v>2472</v>
      </c>
      <c r="F122">
        <v>14</v>
      </c>
      <c r="G122">
        <v>73</v>
      </c>
      <c r="H122" t="s">
        <v>1637</v>
      </c>
      <c r="I122" t="s">
        <v>1201</v>
      </c>
      <c r="J122" t="s">
        <v>1094</v>
      </c>
      <c r="K122" t="s">
        <v>1202</v>
      </c>
      <c r="L122" t="b">
        <f>Data_Completeness(MileageData[[#This Row],[MPG]:[Acceleration]])</f>
        <v>1</v>
      </c>
    </row>
    <row r="123" spans="1:12" x14ac:dyDescent="0.25">
      <c r="A123">
        <v>26</v>
      </c>
      <c r="B123">
        <v>4</v>
      </c>
      <c r="C123">
        <v>98</v>
      </c>
      <c r="D123">
        <v>90</v>
      </c>
      <c r="E123">
        <v>2265</v>
      </c>
      <c r="F123">
        <v>15.5</v>
      </c>
      <c r="G123">
        <v>73</v>
      </c>
      <c r="H123" t="s">
        <v>1638</v>
      </c>
      <c r="I123" t="s">
        <v>1203</v>
      </c>
      <c r="J123" t="s">
        <v>1100</v>
      </c>
      <c r="K123" t="s">
        <v>1204</v>
      </c>
      <c r="L123" t="b">
        <f>Data_Completeness(MileageData[[#This Row],[MPG]:[Acceleration]])</f>
        <v>1</v>
      </c>
    </row>
    <row r="124" spans="1:12" x14ac:dyDescent="0.25">
      <c r="A124">
        <v>15</v>
      </c>
      <c r="B124">
        <v>8</v>
      </c>
      <c r="C124">
        <v>350</v>
      </c>
      <c r="D124">
        <v>145</v>
      </c>
      <c r="E124">
        <v>4082</v>
      </c>
      <c r="F124">
        <v>13</v>
      </c>
      <c r="G124">
        <v>73</v>
      </c>
      <c r="H124" t="s">
        <v>1637</v>
      </c>
      <c r="I124" t="s">
        <v>1205</v>
      </c>
      <c r="J124" t="s">
        <v>980</v>
      </c>
      <c r="K124" t="s">
        <v>1206</v>
      </c>
      <c r="L124" t="b">
        <f>Data_Completeness(MileageData[[#This Row],[MPG]:[Acceleration]])</f>
        <v>1</v>
      </c>
    </row>
    <row r="125" spans="1:12" x14ac:dyDescent="0.25">
      <c r="A125">
        <v>16</v>
      </c>
      <c r="B125">
        <v>8</v>
      </c>
      <c r="C125">
        <v>400</v>
      </c>
      <c r="D125">
        <v>230</v>
      </c>
      <c r="E125">
        <v>4278</v>
      </c>
      <c r="F125">
        <v>9.5</v>
      </c>
      <c r="G125">
        <v>73</v>
      </c>
      <c r="H125" t="s">
        <v>1637</v>
      </c>
      <c r="I125" t="s">
        <v>1207</v>
      </c>
      <c r="J125" t="s">
        <v>1001</v>
      </c>
      <c r="K125" t="s">
        <v>1208</v>
      </c>
      <c r="L125" t="b">
        <f>Data_Completeness(MileageData[[#This Row],[MPG]:[Acceleration]])</f>
        <v>1</v>
      </c>
    </row>
    <row r="126" spans="1:12" x14ac:dyDescent="0.25">
      <c r="A126">
        <v>29</v>
      </c>
      <c r="B126">
        <v>4</v>
      </c>
      <c r="C126">
        <v>68</v>
      </c>
      <c r="D126">
        <v>49</v>
      </c>
      <c r="E126">
        <v>1867</v>
      </c>
      <c r="F126">
        <v>19.5</v>
      </c>
      <c r="G126">
        <v>73</v>
      </c>
      <c r="H126" t="s">
        <v>1638</v>
      </c>
      <c r="I126" t="s">
        <v>1209</v>
      </c>
      <c r="J126" t="s">
        <v>1100</v>
      </c>
      <c r="K126">
        <v>128</v>
      </c>
      <c r="L126" t="b">
        <f>Data_Completeness(MileageData[[#This Row],[MPG]:[Acceleration]])</f>
        <v>1</v>
      </c>
    </row>
    <row r="127" spans="1:12" x14ac:dyDescent="0.25">
      <c r="A127">
        <v>24</v>
      </c>
      <c r="B127">
        <v>4</v>
      </c>
      <c r="C127">
        <v>116</v>
      </c>
      <c r="D127">
        <v>75</v>
      </c>
      <c r="E127">
        <v>2158</v>
      </c>
      <c r="F127">
        <v>15.5</v>
      </c>
      <c r="G127">
        <v>73</v>
      </c>
      <c r="H127" t="s">
        <v>1638</v>
      </c>
      <c r="I127" t="s">
        <v>1210</v>
      </c>
      <c r="J127" t="s">
        <v>1097</v>
      </c>
      <c r="K127" t="s">
        <v>1211</v>
      </c>
      <c r="L127" t="b">
        <f>Data_Completeness(MileageData[[#This Row],[MPG]:[Acceleration]])</f>
        <v>1</v>
      </c>
    </row>
    <row r="128" spans="1:12" x14ac:dyDescent="0.25">
      <c r="A128">
        <v>20</v>
      </c>
      <c r="B128">
        <v>4</v>
      </c>
      <c r="C128">
        <v>114</v>
      </c>
      <c r="D128">
        <v>91</v>
      </c>
      <c r="E128">
        <v>2582</v>
      </c>
      <c r="F128">
        <v>14</v>
      </c>
      <c r="G128">
        <v>73</v>
      </c>
      <c r="H128" t="s">
        <v>1638</v>
      </c>
      <c r="I128" t="s">
        <v>1212</v>
      </c>
      <c r="J128" t="s">
        <v>1044</v>
      </c>
      <c r="K128" t="s">
        <v>1213</v>
      </c>
      <c r="L128" t="b">
        <f>Data_Completeness(MileageData[[#This Row],[MPG]:[Acceleration]])</f>
        <v>1</v>
      </c>
    </row>
    <row r="129" spans="1:12" x14ac:dyDescent="0.25">
      <c r="A129">
        <v>19</v>
      </c>
      <c r="B129">
        <v>4</v>
      </c>
      <c r="C129">
        <v>121</v>
      </c>
      <c r="D129">
        <v>112</v>
      </c>
      <c r="E129">
        <v>2868</v>
      </c>
      <c r="F129">
        <v>15.5</v>
      </c>
      <c r="G129">
        <v>73</v>
      </c>
      <c r="H129" t="s">
        <v>1638</v>
      </c>
      <c r="I129" t="s">
        <v>1214</v>
      </c>
      <c r="J129" t="s">
        <v>1141</v>
      </c>
      <c r="K129" t="s">
        <v>1215</v>
      </c>
      <c r="L129" t="b">
        <f>Data_Completeness(MileageData[[#This Row],[MPG]:[Acceleration]])</f>
        <v>1</v>
      </c>
    </row>
    <row r="130" spans="1:12" x14ac:dyDescent="0.25">
      <c r="A130">
        <v>15</v>
      </c>
      <c r="B130">
        <v>8</v>
      </c>
      <c r="C130">
        <v>318</v>
      </c>
      <c r="D130">
        <v>150</v>
      </c>
      <c r="E130">
        <v>3399</v>
      </c>
      <c r="F130">
        <v>11</v>
      </c>
      <c r="G130">
        <v>73</v>
      </c>
      <c r="H130" t="s">
        <v>1637</v>
      </c>
      <c r="I130" t="s">
        <v>1216</v>
      </c>
      <c r="J130" t="s">
        <v>1017</v>
      </c>
      <c r="K130" t="s">
        <v>1217</v>
      </c>
      <c r="L130" t="b">
        <f>Data_Completeness(MileageData[[#This Row],[MPG]:[Acceleration]])</f>
        <v>1</v>
      </c>
    </row>
    <row r="131" spans="1:12" x14ac:dyDescent="0.25">
      <c r="A131">
        <v>24</v>
      </c>
      <c r="B131">
        <v>4</v>
      </c>
      <c r="C131">
        <v>121</v>
      </c>
      <c r="D131">
        <v>110</v>
      </c>
      <c r="E131">
        <v>2660</v>
      </c>
      <c r="F131">
        <v>14</v>
      </c>
      <c r="G131">
        <v>73</v>
      </c>
      <c r="H131" t="s">
        <v>1638</v>
      </c>
      <c r="I131" t="s">
        <v>1218</v>
      </c>
      <c r="J131" t="s">
        <v>1047</v>
      </c>
      <c r="K131" t="s">
        <v>1219</v>
      </c>
      <c r="L131" t="b">
        <f>Data_Completeness(MileageData[[#This Row],[MPG]:[Acceleration]])</f>
        <v>1</v>
      </c>
    </row>
    <row r="132" spans="1:12" x14ac:dyDescent="0.25">
      <c r="A132">
        <v>20</v>
      </c>
      <c r="B132">
        <v>6</v>
      </c>
      <c r="C132">
        <v>156</v>
      </c>
      <c r="D132">
        <v>122</v>
      </c>
      <c r="E132">
        <v>2807</v>
      </c>
      <c r="F132">
        <v>13.5</v>
      </c>
      <c r="G132">
        <v>73</v>
      </c>
      <c r="H132" t="s">
        <v>1639</v>
      </c>
      <c r="I132" t="s">
        <v>1220</v>
      </c>
      <c r="J132" t="s">
        <v>1027</v>
      </c>
      <c r="K132" t="s">
        <v>1221</v>
      </c>
      <c r="L132" t="b">
        <f>Data_Completeness(MileageData[[#This Row],[MPG]:[Acceleration]])</f>
        <v>1</v>
      </c>
    </row>
    <row r="133" spans="1:12" x14ac:dyDescent="0.25">
      <c r="A133">
        <v>11</v>
      </c>
      <c r="B133">
        <v>8</v>
      </c>
      <c r="C133">
        <v>350</v>
      </c>
      <c r="D133">
        <v>180</v>
      </c>
      <c r="E133">
        <v>3664</v>
      </c>
      <c r="F133">
        <v>11</v>
      </c>
      <c r="G133">
        <v>73</v>
      </c>
      <c r="H133" t="s">
        <v>1637</v>
      </c>
      <c r="I133" t="s">
        <v>1222</v>
      </c>
      <c r="J133" t="s">
        <v>1126</v>
      </c>
      <c r="K133" t="s">
        <v>1223</v>
      </c>
      <c r="L133" t="b">
        <f>Data_Completeness(MileageData[[#This Row],[MPG]:[Acceleration]])</f>
        <v>1</v>
      </c>
    </row>
    <row r="134" spans="1:12" x14ac:dyDescent="0.25">
      <c r="A134">
        <v>20</v>
      </c>
      <c r="B134">
        <v>6</v>
      </c>
      <c r="C134">
        <v>198</v>
      </c>
      <c r="D134">
        <v>95</v>
      </c>
      <c r="E134">
        <v>3102</v>
      </c>
      <c r="F134">
        <v>16.5</v>
      </c>
      <c r="G134">
        <v>74</v>
      </c>
      <c r="H134" t="s">
        <v>1637</v>
      </c>
      <c r="I134" t="s">
        <v>1029</v>
      </c>
      <c r="J134" t="s">
        <v>986</v>
      </c>
      <c r="K134" t="s">
        <v>1030</v>
      </c>
      <c r="L134" t="b">
        <f>Data_Completeness(MileageData[[#This Row],[MPG]:[Acceleration]])</f>
        <v>1</v>
      </c>
    </row>
    <row r="135" spans="1:12" x14ac:dyDescent="0.25">
      <c r="A135">
        <v>21</v>
      </c>
      <c r="B135">
        <v>6</v>
      </c>
      <c r="C135">
        <v>200</v>
      </c>
      <c r="E135">
        <v>2875</v>
      </c>
      <c r="F135">
        <v>17</v>
      </c>
      <c r="G135">
        <v>74</v>
      </c>
      <c r="H135" t="s">
        <v>1637</v>
      </c>
      <c r="I135" t="s">
        <v>1033</v>
      </c>
      <c r="J135" t="s">
        <v>992</v>
      </c>
      <c r="K135" t="s">
        <v>1034</v>
      </c>
      <c r="L135" t="b">
        <f>Data_Completeness(MileageData[[#This Row],[MPG]:[Acceleration]])</f>
        <v>0</v>
      </c>
    </row>
    <row r="136" spans="1:12" x14ac:dyDescent="0.25">
      <c r="A136">
        <v>19</v>
      </c>
      <c r="B136">
        <v>6</v>
      </c>
      <c r="C136">
        <v>232</v>
      </c>
      <c r="D136">
        <v>100</v>
      </c>
      <c r="E136">
        <v>2901</v>
      </c>
      <c r="F136">
        <v>16</v>
      </c>
      <c r="G136">
        <v>74</v>
      </c>
      <c r="H136" t="s">
        <v>1637</v>
      </c>
      <c r="I136" t="s">
        <v>1031</v>
      </c>
      <c r="J136" t="s">
        <v>989</v>
      </c>
      <c r="K136" t="s">
        <v>1032</v>
      </c>
      <c r="L136" t="b">
        <f>Data_Completeness(MileageData[[#This Row],[MPG]:[Acceleration]])</f>
        <v>1</v>
      </c>
    </row>
    <row r="137" spans="1:12" x14ac:dyDescent="0.25">
      <c r="A137">
        <v>15</v>
      </c>
      <c r="B137">
        <v>6</v>
      </c>
      <c r="C137">
        <v>250</v>
      </c>
      <c r="D137">
        <v>100</v>
      </c>
      <c r="E137">
        <v>3336</v>
      </c>
      <c r="F137">
        <v>17</v>
      </c>
      <c r="G137">
        <v>74</v>
      </c>
      <c r="H137" t="s">
        <v>1637</v>
      </c>
      <c r="I137" t="s">
        <v>1224</v>
      </c>
      <c r="J137" t="s">
        <v>980</v>
      </c>
      <c r="K137" t="s">
        <v>1225</v>
      </c>
      <c r="L137" t="b">
        <f>Data_Completeness(MileageData[[#This Row],[MPG]:[Acceleration]])</f>
        <v>1</v>
      </c>
    </row>
    <row r="138" spans="1:12" x14ac:dyDescent="0.25">
      <c r="A138">
        <v>31</v>
      </c>
      <c r="B138">
        <v>4</v>
      </c>
      <c r="C138">
        <v>79</v>
      </c>
      <c r="D138">
        <v>67</v>
      </c>
      <c r="E138">
        <v>1950</v>
      </c>
      <c r="F138">
        <v>19</v>
      </c>
      <c r="G138">
        <v>74</v>
      </c>
      <c r="H138" t="s">
        <v>1639</v>
      </c>
      <c r="I138" t="s">
        <v>1226</v>
      </c>
      <c r="J138" t="s">
        <v>1036</v>
      </c>
      <c r="K138" t="s">
        <v>1227</v>
      </c>
      <c r="L138" t="b">
        <f>Data_Completeness(MileageData[[#This Row],[MPG]:[Acceleration]])</f>
        <v>1</v>
      </c>
    </row>
    <row r="139" spans="1:12" x14ac:dyDescent="0.25">
      <c r="A139">
        <v>26</v>
      </c>
      <c r="B139">
        <v>4</v>
      </c>
      <c r="C139">
        <v>122</v>
      </c>
      <c r="D139">
        <v>80</v>
      </c>
      <c r="E139">
        <v>2451</v>
      </c>
      <c r="F139">
        <v>16.5</v>
      </c>
      <c r="G139">
        <v>74</v>
      </c>
      <c r="H139" t="s">
        <v>1637</v>
      </c>
      <c r="I139" t="s">
        <v>1067</v>
      </c>
      <c r="J139" t="s">
        <v>992</v>
      </c>
      <c r="K139" t="s">
        <v>1068</v>
      </c>
      <c r="L139" t="b">
        <f>Data_Completeness(MileageData[[#This Row],[MPG]:[Acceleration]])</f>
        <v>1</v>
      </c>
    </row>
    <row r="140" spans="1:12" x14ac:dyDescent="0.25">
      <c r="A140">
        <v>32</v>
      </c>
      <c r="B140">
        <v>4</v>
      </c>
      <c r="C140">
        <v>71</v>
      </c>
      <c r="D140">
        <v>65</v>
      </c>
      <c r="E140">
        <v>1836</v>
      </c>
      <c r="F140">
        <v>21</v>
      </c>
      <c r="G140">
        <v>74</v>
      </c>
      <c r="H140" t="s">
        <v>1639</v>
      </c>
      <c r="I140" t="s">
        <v>1102</v>
      </c>
      <c r="J140" t="s">
        <v>1027</v>
      </c>
      <c r="K140" t="s">
        <v>1103</v>
      </c>
      <c r="L140" t="b">
        <f>Data_Completeness(MileageData[[#This Row],[MPG]:[Acceleration]])</f>
        <v>1</v>
      </c>
    </row>
    <row r="141" spans="1:12" x14ac:dyDescent="0.25">
      <c r="A141">
        <v>25</v>
      </c>
      <c r="B141">
        <v>4</v>
      </c>
      <c r="C141">
        <v>140</v>
      </c>
      <c r="D141">
        <v>75</v>
      </c>
      <c r="E141">
        <v>2542</v>
      </c>
      <c r="F141">
        <v>17</v>
      </c>
      <c r="G141">
        <v>74</v>
      </c>
      <c r="H141" t="s">
        <v>1637</v>
      </c>
      <c r="I141" t="s">
        <v>1115</v>
      </c>
      <c r="J141" t="s">
        <v>980</v>
      </c>
      <c r="K141" t="s">
        <v>1116</v>
      </c>
      <c r="L141" t="b">
        <f>Data_Completeness(MileageData[[#This Row],[MPG]:[Acceleration]])</f>
        <v>1</v>
      </c>
    </row>
    <row r="142" spans="1:12" x14ac:dyDescent="0.25">
      <c r="A142">
        <v>16</v>
      </c>
      <c r="B142">
        <v>6</v>
      </c>
      <c r="C142">
        <v>250</v>
      </c>
      <c r="D142">
        <v>100</v>
      </c>
      <c r="E142">
        <v>3781</v>
      </c>
      <c r="F142">
        <v>17</v>
      </c>
      <c r="G142">
        <v>74</v>
      </c>
      <c r="H142" t="s">
        <v>1637</v>
      </c>
      <c r="I142" t="s">
        <v>1228</v>
      </c>
      <c r="J142" t="s">
        <v>980</v>
      </c>
      <c r="K142" t="s">
        <v>1229</v>
      </c>
      <c r="L142" t="b">
        <f>Data_Completeness(MileageData[[#This Row],[MPG]:[Acceleration]])</f>
        <v>1</v>
      </c>
    </row>
    <row r="143" spans="1:12" x14ac:dyDescent="0.25">
      <c r="A143">
        <v>16</v>
      </c>
      <c r="B143">
        <v>6</v>
      </c>
      <c r="C143">
        <v>258</v>
      </c>
      <c r="D143">
        <v>110</v>
      </c>
      <c r="E143">
        <v>3632</v>
      </c>
      <c r="F143">
        <v>18</v>
      </c>
      <c r="G143">
        <v>74</v>
      </c>
      <c r="H143" t="s">
        <v>1637</v>
      </c>
      <c r="I143" t="s">
        <v>1075</v>
      </c>
      <c r="J143" t="s">
        <v>989</v>
      </c>
      <c r="K143" t="s">
        <v>1076</v>
      </c>
      <c r="L143" t="b">
        <f>Data_Completeness(MileageData[[#This Row],[MPG]:[Acceleration]])</f>
        <v>1</v>
      </c>
    </row>
    <row r="144" spans="1:12" x14ac:dyDescent="0.25">
      <c r="A144">
        <v>18</v>
      </c>
      <c r="B144">
        <v>6</v>
      </c>
      <c r="C144">
        <v>225</v>
      </c>
      <c r="D144">
        <v>105</v>
      </c>
      <c r="E144">
        <v>3613</v>
      </c>
      <c r="F144">
        <v>16.5</v>
      </c>
      <c r="G144">
        <v>74</v>
      </c>
      <c r="H144" t="s">
        <v>1637</v>
      </c>
      <c r="I144" t="s">
        <v>1230</v>
      </c>
      <c r="J144" t="s">
        <v>986</v>
      </c>
      <c r="K144" t="s">
        <v>1231</v>
      </c>
      <c r="L144" t="b">
        <f>Data_Completeness(MileageData[[#This Row],[MPG]:[Acceleration]])</f>
        <v>1</v>
      </c>
    </row>
    <row r="145" spans="1:12" x14ac:dyDescent="0.25">
      <c r="A145">
        <v>16</v>
      </c>
      <c r="B145">
        <v>8</v>
      </c>
      <c r="C145">
        <v>302</v>
      </c>
      <c r="D145">
        <v>140</v>
      </c>
      <c r="E145">
        <v>4141</v>
      </c>
      <c r="F145">
        <v>14</v>
      </c>
      <c r="G145">
        <v>74</v>
      </c>
      <c r="H145" t="s">
        <v>1637</v>
      </c>
      <c r="I145" t="s">
        <v>1165</v>
      </c>
      <c r="J145" t="s">
        <v>992</v>
      </c>
      <c r="K145" t="s">
        <v>1166</v>
      </c>
      <c r="L145" t="b">
        <f>Data_Completeness(MileageData[[#This Row],[MPG]:[Acceleration]])</f>
        <v>1</v>
      </c>
    </row>
    <row r="146" spans="1:12" x14ac:dyDescent="0.25">
      <c r="A146">
        <v>13</v>
      </c>
      <c r="B146">
        <v>8</v>
      </c>
      <c r="C146">
        <v>350</v>
      </c>
      <c r="D146">
        <v>150</v>
      </c>
      <c r="E146">
        <v>4699</v>
      </c>
      <c r="F146">
        <v>14.5</v>
      </c>
      <c r="G146">
        <v>74</v>
      </c>
      <c r="H146" t="s">
        <v>1637</v>
      </c>
      <c r="I146" t="s">
        <v>1232</v>
      </c>
      <c r="J146" t="s">
        <v>983</v>
      </c>
      <c r="K146" t="s">
        <v>1233</v>
      </c>
      <c r="L146" t="b">
        <f>Data_Completeness(MileageData[[#This Row],[MPG]:[Acceleration]])</f>
        <v>1</v>
      </c>
    </row>
    <row r="147" spans="1:12" x14ac:dyDescent="0.25">
      <c r="A147">
        <v>14</v>
      </c>
      <c r="B147">
        <v>8</v>
      </c>
      <c r="C147">
        <v>318</v>
      </c>
      <c r="D147">
        <v>150</v>
      </c>
      <c r="E147">
        <v>4457</v>
      </c>
      <c r="F147">
        <v>13.5</v>
      </c>
      <c r="G147">
        <v>74</v>
      </c>
      <c r="H147" t="s">
        <v>1637</v>
      </c>
      <c r="I147" t="s">
        <v>1234</v>
      </c>
      <c r="J147" t="s">
        <v>1017</v>
      </c>
      <c r="K147" t="s">
        <v>1235</v>
      </c>
      <c r="L147" t="b">
        <f>Data_Completeness(MileageData[[#This Row],[MPG]:[Acceleration]])</f>
        <v>1</v>
      </c>
    </row>
    <row r="148" spans="1:12" x14ac:dyDescent="0.25">
      <c r="A148">
        <v>14</v>
      </c>
      <c r="B148">
        <v>8</v>
      </c>
      <c r="C148">
        <v>302</v>
      </c>
      <c r="D148">
        <v>140</v>
      </c>
      <c r="E148">
        <v>4638</v>
      </c>
      <c r="F148">
        <v>16</v>
      </c>
      <c r="G148">
        <v>74</v>
      </c>
      <c r="H148" t="s">
        <v>1637</v>
      </c>
      <c r="I148" t="s">
        <v>1136</v>
      </c>
      <c r="J148" t="s">
        <v>992</v>
      </c>
      <c r="K148" t="s">
        <v>1137</v>
      </c>
      <c r="L148" t="b">
        <f>Data_Completeness(MileageData[[#This Row],[MPG]:[Acceleration]])</f>
        <v>1</v>
      </c>
    </row>
    <row r="149" spans="1:12" x14ac:dyDescent="0.25">
      <c r="A149">
        <v>14</v>
      </c>
      <c r="B149">
        <v>8</v>
      </c>
      <c r="C149">
        <v>304</v>
      </c>
      <c r="D149">
        <v>150</v>
      </c>
      <c r="E149">
        <v>4257</v>
      </c>
      <c r="F149">
        <v>15.5</v>
      </c>
      <c r="G149">
        <v>74</v>
      </c>
      <c r="H149" t="s">
        <v>1637</v>
      </c>
      <c r="I149" t="s">
        <v>1134</v>
      </c>
      <c r="J149" t="s">
        <v>989</v>
      </c>
      <c r="K149" t="s">
        <v>1135</v>
      </c>
      <c r="L149" t="b">
        <f>Data_Completeness(MileageData[[#This Row],[MPG]:[Acceleration]])</f>
        <v>1</v>
      </c>
    </row>
    <row r="150" spans="1:12" x14ac:dyDescent="0.25">
      <c r="A150">
        <v>29</v>
      </c>
      <c r="B150">
        <v>4</v>
      </c>
      <c r="C150">
        <v>98</v>
      </c>
      <c r="D150">
        <v>83</v>
      </c>
      <c r="E150">
        <v>2219</v>
      </c>
      <c r="F150">
        <v>16.5</v>
      </c>
      <c r="G150">
        <v>74</v>
      </c>
      <c r="H150" t="s">
        <v>1638</v>
      </c>
      <c r="I150" t="s">
        <v>1236</v>
      </c>
      <c r="J150" t="s">
        <v>1044</v>
      </c>
      <c r="K150" t="s">
        <v>1237</v>
      </c>
      <c r="L150" t="b">
        <f>Data_Completeness(MileageData[[#This Row],[MPG]:[Acceleration]])</f>
        <v>1</v>
      </c>
    </row>
    <row r="151" spans="1:12" x14ac:dyDescent="0.25">
      <c r="A151">
        <v>26</v>
      </c>
      <c r="B151">
        <v>4</v>
      </c>
      <c r="C151">
        <v>79</v>
      </c>
      <c r="D151">
        <v>67</v>
      </c>
      <c r="E151">
        <v>1963</v>
      </c>
      <c r="F151">
        <v>15.5</v>
      </c>
      <c r="G151">
        <v>74</v>
      </c>
      <c r="H151" t="s">
        <v>1638</v>
      </c>
      <c r="I151" t="s">
        <v>1238</v>
      </c>
      <c r="J151" t="s">
        <v>1039</v>
      </c>
      <c r="K151" t="s">
        <v>1239</v>
      </c>
      <c r="L151" t="b">
        <f>Data_Completeness(MileageData[[#This Row],[MPG]:[Acceleration]])</f>
        <v>1</v>
      </c>
    </row>
    <row r="152" spans="1:12" x14ac:dyDescent="0.25">
      <c r="A152">
        <v>26</v>
      </c>
      <c r="B152">
        <v>4</v>
      </c>
      <c r="C152">
        <v>97</v>
      </c>
      <c r="D152">
        <v>78</v>
      </c>
      <c r="E152">
        <v>2300</v>
      </c>
      <c r="F152">
        <v>14.5</v>
      </c>
      <c r="G152">
        <v>74</v>
      </c>
      <c r="H152" t="s">
        <v>1638</v>
      </c>
      <c r="I152" t="s">
        <v>1210</v>
      </c>
      <c r="J152" t="s">
        <v>1097</v>
      </c>
      <c r="K152" t="s">
        <v>1211</v>
      </c>
      <c r="L152" t="b">
        <f>Data_Completeness(MileageData[[#This Row],[MPG]:[Acceleration]])</f>
        <v>1</v>
      </c>
    </row>
    <row r="153" spans="1:12" x14ac:dyDescent="0.25">
      <c r="A153">
        <v>31</v>
      </c>
      <c r="B153">
        <v>4</v>
      </c>
      <c r="C153">
        <v>76</v>
      </c>
      <c r="D153">
        <v>52</v>
      </c>
      <c r="E153">
        <v>1649</v>
      </c>
      <c r="F153">
        <v>16.5</v>
      </c>
      <c r="G153">
        <v>74</v>
      </c>
      <c r="H153" t="s">
        <v>1639</v>
      </c>
      <c r="I153" t="s">
        <v>1065</v>
      </c>
      <c r="J153" t="s">
        <v>1027</v>
      </c>
      <c r="K153" t="s">
        <v>1066</v>
      </c>
      <c r="L153" t="b">
        <f>Data_Completeness(MileageData[[#This Row],[MPG]:[Acceleration]])</f>
        <v>1</v>
      </c>
    </row>
    <row r="154" spans="1:12" x14ac:dyDescent="0.25">
      <c r="A154">
        <v>32</v>
      </c>
      <c r="B154">
        <v>4</v>
      </c>
      <c r="C154">
        <v>83</v>
      </c>
      <c r="D154">
        <v>61</v>
      </c>
      <c r="E154">
        <v>2003</v>
      </c>
      <c r="F154">
        <v>19</v>
      </c>
      <c r="G154">
        <v>74</v>
      </c>
      <c r="H154" t="s">
        <v>1639</v>
      </c>
      <c r="I154" t="s">
        <v>1240</v>
      </c>
      <c r="J154" t="s">
        <v>1036</v>
      </c>
      <c r="K154">
        <v>710</v>
      </c>
      <c r="L154" t="b">
        <f>Data_Completeness(MileageData[[#This Row],[MPG]:[Acceleration]])</f>
        <v>1</v>
      </c>
    </row>
    <row r="155" spans="1:12" x14ac:dyDescent="0.25">
      <c r="A155">
        <v>28</v>
      </c>
      <c r="B155">
        <v>4</v>
      </c>
      <c r="C155">
        <v>90</v>
      </c>
      <c r="D155">
        <v>75</v>
      </c>
      <c r="E155">
        <v>2125</v>
      </c>
      <c r="F155">
        <v>14.5</v>
      </c>
      <c r="G155">
        <v>74</v>
      </c>
      <c r="H155" t="s">
        <v>1637</v>
      </c>
      <c r="I155" t="s">
        <v>1241</v>
      </c>
      <c r="J155" t="s">
        <v>1017</v>
      </c>
      <c r="K155" t="s">
        <v>1242</v>
      </c>
      <c r="L155" t="b">
        <f>Data_Completeness(MileageData[[#This Row],[MPG]:[Acceleration]])</f>
        <v>1</v>
      </c>
    </row>
    <row r="156" spans="1:12" x14ac:dyDescent="0.25">
      <c r="A156">
        <v>24</v>
      </c>
      <c r="B156">
        <v>4</v>
      </c>
      <c r="C156">
        <v>90</v>
      </c>
      <c r="D156">
        <v>75</v>
      </c>
      <c r="E156">
        <v>2108</v>
      </c>
      <c r="F156">
        <v>15.5</v>
      </c>
      <c r="G156">
        <v>74</v>
      </c>
      <c r="H156" t="s">
        <v>1638</v>
      </c>
      <c r="I156" t="s">
        <v>1209</v>
      </c>
      <c r="J156" t="s">
        <v>1100</v>
      </c>
      <c r="K156">
        <v>128</v>
      </c>
      <c r="L156" t="b">
        <f>Data_Completeness(MileageData[[#This Row],[MPG]:[Acceleration]])</f>
        <v>1</v>
      </c>
    </row>
    <row r="157" spans="1:12" x14ac:dyDescent="0.25">
      <c r="A157">
        <v>26</v>
      </c>
      <c r="B157">
        <v>4</v>
      </c>
      <c r="C157">
        <v>116</v>
      </c>
      <c r="D157">
        <v>75</v>
      </c>
      <c r="E157">
        <v>2246</v>
      </c>
      <c r="F157">
        <v>14</v>
      </c>
      <c r="G157">
        <v>74</v>
      </c>
      <c r="H157" t="s">
        <v>1638</v>
      </c>
      <c r="I157" t="s">
        <v>1243</v>
      </c>
      <c r="J157" t="s">
        <v>1100</v>
      </c>
      <c r="K157" t="s">
        <v>1244</v>
      </c>
      <c r="L157" t="b">
        <f>Data_Completeness(MileageData[[#This Row],[MPG]:[Acceleration]])</f>
        <v>1</v>
      </c>
    </row>
    <row r="158" spans="1:12" x14ac:dyDescent="0.25">
      <c r="A158">
        <v>24</v>
      </c>
      <c r="B158">
        <v>4</v>
      </c>
      <c r="C158">
        <v>120</v>
      </c>
      <c r="D158">
        <v>97</v>
      </c>
      <c r="E158">
        <v>2489</v>
      </c>
      <c r="F158">
        <v>15</v>
      </c>
      <c r="G158">
        <v>74</v>
      </c>
      <c r="H158" t="s">
        <v>1639</v>
      </c>
      <c r="I158" t="s">
        <v>1245</v>
      </c>
      <c r="J158" t="s">
        <v>1246</v>
      </c>
      <c r="K158" t="s">
        <v>1247</v>
      </c>
      <c r="L158" t="b">
        <f>Data_Completeness(MileageData[[#This Row],[MPG]:[Acceleration]])</f>
        <v>1</v>
      </c>
    </row>
    <row r="159" spans="1:12" x14ac:dyDescent="0.25">
      <c r="A159">
        <v>26</v>
      </c>
      <c r="B159">
        <v>4</v>
      </c>
      <c r="C159">
        <v>108</v>
      </c>
      <c r="D159">
        <v>93</v>
      </c>
      <c r="E159">
        <v>2391</v>
      </c>
      <c r="F159">
        <v>15.5</v>
      </c>
      <c r="G159">
        <v>74</v>
      </c>
      <c r="H159" t="s">
        <v>1639</v>
      </c>
      <c r="I159" t="s">
        <v>1248</v>
      </c>
      <c r="J159" t="e">
        <v>#VALUE!</v>
      </c>
      <c r="K159" t="e">
        <v>#VALUE!</v>
      </c>
      <c r="L159" t="b">
        <f>Data_Completeness(MileageData[[#This Row],[MPG]:[Acceleration]])</f>
        <v>1</v>
      </c>
    </row>
    <row r="160" spans="1:12" x14ac:dyDescent="0.25">
      <c r="A160">
        <v>31</v>
      </c>
      <c r="B160">
        <v>4</v>
      </c>
      <c r="C160">
        <v>79</v>
      </c>
      <c r="D160">
        <v>67</v>
      </c>
      <c r="E160">
        <v>2000</v>
      </c>
      <c r="F160">
        <v>16</v>
      </c>
      <c r="G160">
        <v>74</v>
      </c>
      <c r="H160" t="s">
        <v>1638</v>
      </c>
      <c r="I160" t="s">
        <v>1249</v>
      </c>
      <c r="J160" t="s">
        <v>1100</v>
      </c>
      <c r="K160" t="s">
        <v>1250</v>
      </c>
      <c r="L160" t="b">
        <f>Data_Completeness(MileageData[[#This Row],[MPG]:[Acceleration]])</f>
        <v>1</v>
      </c>
    </row>
    <row r="161" spans="1:12" x14ac:dyDescent="0.25">
      <c r="A161">
        <v>19</v>
      </c>
      <c r="B161">
        <v>6</v>
      </c>
      <c r="C161">
        <v>225</v>
      </c>
      <c r="D161">
        <v>95</v>
      </c>
      <c r="E161">
        <v>3264</v>
      </c>
      <c r="F161">
        <v>16</v>
      </c>
      <c r="G161">
        <v>75</v>
      </c>
      <c r="H161" t="s">
        <v>1637</v>
      </c>
      <c r="I161" t="s">
        <v>1251</v>
      </c>
      <c r="J161" t="s">
        <v>986</v>
      </c>
      <c r="K161" t="s">
        <v>1252</v>
      </c>
      <c r="L161" t="b">
        <f>Data_Completeness(MileageData[[#This Row],[MPG]:[Acceleration]])</f>
        <v>1</v>
      </c>
    </row>
    <row r="162" spans="1:12" x14ac:dyDescent="0.25">
      <c r="A162">
        <v>18</v>
      </c>
      <c r="B162">
        <v>6</v>
      </c>
      <c r="C162">
        <v>250</v>
      </c>
      <c r="D162">
        <v>105</v>
      </c>
      <c r="E162">
        <v>3459</v>
      </c>
      <c r="F162">
        <v>16</v>
      </c>
      <c r="G162">
        <v>75</v>
      </c>
      <c r="H162" t="s">
        <v>1637</v>
      </c>
      <c r="I162" t="s">
        <v>1224</v>
      </c>
      <c r="J162" t="s">
        <v>980</v>
      </c>
      <c r="K162" t="s">
        <v>1225</v>
      </c>
      <c r="L162" t="b">
        <f>Data_Completeness(MileageData[[#This Row],[MPG]:[Acceleration]])</f>
        <v>1</v>
      </c>
    </row>
    <row r="163" spans="1:12" x14ac:dyDescent="0.25">
      <c r="A163">
        <v>15</v>
      </c>
      <c r="B163">
        <v>6</v>
      </c>
      <c r="C163">
        <v>250</v>
      </c>
      <c r="D163">
        <v>72</v>
      </c>
      <c r="E163">
        <v>3432</v>
      </c>
      <c r="F163">
        <v>21</v>
      </c>
      <c r="G163">
        <v>75</v>
      </c>
      <c r="H163" t="s">
        <v>1637</v>
      </c>
      <c r="I163" t="s">
        <v>1253</v>
      </c>
      <c r="J163" t="s">
        <v>1094</v>
      </c>
      <c r="K163" t="s">
        <v>1254</v>
      </c>
      <c r="L163" t="b">
        <f>Data_Completeness(MileageData[[#This Row],[MPG]:[Acceleration]])</f>
        <v>1</v>
      </c>
    </row>
    <row r="164" spans="1:12" x14ac:dyDescent="0.25">
      <c r="A164">
        <v>15</v>
      </c>
      <c r="B164">
        <v>6</v>
      </c>
      <c r="C164">
        <v>250</v>
      </c>
      <c r="D164">
        <v>72</v>
      </c>
      <c r="E164">
        <v>3158</v>
      </c>
      <c r="F164">
        <v>19.5</v>
      </c>
      <c r="G164">
        <v>75</v>
      </c>
      <c r="H164" t="s">
        <v>1637</v>
      </c>
      <c r="I164" t="s">
        <v>1033</v>
      </c>
      <c r="J164" t="s">
        <v>992</v>
      </c>
      <c r="K164" t="s">
        <v>1034</v>
      </c>
      <c r="L164" t="b">
        <f>Data_Completeness(MileageData[[#This Row],[MPG]:[Acceleration]])</f>
        <v>1</v>
      </c>
    </row>
    <row r="165" spans="1:12" x14ac:dyDescent="0.25">
      <c r="A165">
        <v>16</v>
      </c>
      <c r="B165">
        <v>8</v>
      </c>
      <c r="C165">
        <v>400</v>
      </c>
      <c r="D165">
        <v>170</v>
      </c>
      <c r="E165">
        <v>4668</v>
      </c>
      <c r="F165">
        <v>11.5</v>
      </c>
      <c r="G165">
        <v>75</v>
      </c>
      <c r="H165" t="s">
        <v>1637</v>
      </c>
      <c r="I165" t="s">
        <v>1000</v>
      </c>
      <c r="J165" t="s">
        <v>1001</v>
      </c>
      <c r="K165" t="s">
        <v>1002</v>
      </c>
      <c r="L165" t="b">
        <f>Data_Completeness(MileageData[[#This Row],[MPG]:[Acceleration]])</f>
        <v>1</v>
      </c>
    </row>
    <row r="166" spans="1:12" x14ac:dyDescent="0.25">
      <c r="A166">
        <v>15</v>
      </c>
      <c r="B166">
        <v>8</v>
      </c>
      <c r="C166">
        <v>350</v>
      </c>
      <c r="D166">
        <v>145</v>
      </c>
      <c r="E166">
        <v>4440</v>
      </c>
      <c r="F166">
        <v>14</v>
      </c>
      <c r="G166">
        <v>75</v>
      </c>
      <c r="H166" t="s">
        <v>1637</v>
      </c>
      <c r="I166" t="s">
        <v>1255</v>
      </c>
      <c r="J166" t="s">
        <v>980</v>
      </c>
      <c r="K166" t="s">
        <v>1256</v>
      </c>
      <c r="L166" t="b">
        <f>Data_Completeness(MileageData[[#This Row],[MPG]:[Acceleration]])</f>
        <v>1</v>
      </c>
    </row>
    <row r="167" spans="1:12" x14ac:dyDescent="0.25">
      <c r="A167">
        <v>16</v>
      </c>
      <c r="B167">
        <v>8</v>
      </c>
      <c r="C167">
        <v>318</v>
      </c>
      <c r="D167">
        <v>150</v>
      </c>
      <c r="E167">
        <v>4498</v>
      </c>
      <c r="F167">
        <v>14.5</v>
      </c>
      <c r="G167">
        <v>75</v>
      </c>
      <c r="H167" t="s">
        <v>1637</v>
      </c>
      <c r="I167" t="s">
        <v>1257</v>
      </c>
      <c r="J167" t="s">
        <v>986</v>
      </c>
      <c r="K167" t="s">
        <v>1258</v>
      </c>
      <c r="L167" t="b">
        <f>Data_Completeness(MileageData[[#This Row],[MPG]:[Acceleration]])</f>
        <v>1</v>
      </c>
    </row>
    <row r="168" spans="1:12" x14ac:dyDescent="0.25">
      <c r="A168">
        <v>14</v>
      </c>
      <c r="B168">
        <v>8</v>
      </c>
      <c r="C168">
        <v>351</v>
      </c>
      <c r="D168">
        <v>148</v>
      </c>
      <c r="E168">
        <v>4657</v>
      </c>
      <c r="F168">
        <v>13.5</v>
      </c>
      <c r="G168">
        <v>75</v>
      </c>
      <c r="H168" t="s">
        <v>1637</v>
      </c>
      <c r="I168" t="s">
        <v>1173</v>
      </c>
      <c r="J168" t="s">
        <v>992</v>
      </c>
      <c r="K168" t="s">
        <v>1174</v>
      </c>
      <c r="L168" t="b">
        <f>Data_Completeness(MileageData[[#This Row],[MPG]:[Acceleration]])</f>
        <v>1</v>
      </c>
    </row>
    <row r="169" spans="1:12" x14ac:dyDescent="0.25">
      <c r="A169">
        <v>17</v>
      </c>
      <c r="B169">
        <v>6</v>
      </c>
      <c r="C169">
        <v>231</v>
      </c>
      <c r="D169">
        <v>110</v>
      </c>
      <c r="E169">
        <v>3907</v>
      </c>
      <c r="F169">
        <v>21</v>
      </c>
      <c r="G169">
        <v>75</v>
      </c>
      <c r="H169" t="s">
        <v>1637</v>
      </c>
      <c r="I169" t="s">
        <v>1259</v>
      </c>
      <c r="J169" t="s">
        <v>983</v>
      </c>
      <c r="K169" t="s">
        <v>1260</v>
      </c>
      <c r="L169" t="b">
        <f>Data_Completeness(MileageData[[#This Row],[MPG]:[Acceleration]])</f>
        <v>1</v>
      </c>
    </row>
    <row r="170" spans="1:12" x14ac:dyDescent="0.25">
      <c r="A170">
        <v>16</v>
      </c>
      <c r="B170">
        <v>6</v>
      </c>
      <c r="C170">
        <v>250</v>
      </c>
      <c r="D170">
        <v>105</v>
      </c>
      <c r="E170">
        <v>3897</v>
      </c>
      <c r="F170">
        <v>18.5</v>
      </c>
      <c r="G170">
        <v>75</v>
      </c>
      <c r="H170" t="s">
        <v>1637</v>
      </c>
      <c r="I170" t="s">
        <v>1261</v>
      </c>
      <c r="J170" t="s">
        <v>1262</v>
      </c>
      <c r="K170" t="s">
        <v>981</v>
      </c>
      <c r="L170" t="b">
        <f>Data_Completeness(MileageData[[#This Row],[MPG]:[Acceleration]])</f>
        <v>1</v>
      </c>
    </row>
    <row r="171" spans="1:12" x14ac:dyDescent="0.25">
      <c r="A171">
        <v>15</v>
      </c>
      <c r="B171">
        <v>6</v>
      </c>
      <c r="C171">
        <v>258</v>
      </c>
      <c r="D171">
        <v>110</v>
      </c>
      <c r="E171">
        <v>3730</v>
      </c>
      <c r="F171">
        <v>19</v>
      </c>
      <c r="G171">
        <v>75</v>
      </c>
      <c r="H171" t="s">
        <v>1637</v>
      </c>
      <c r="I171" t="s">
        <v>1075</v>
      </c>
      <c r="J171" t="s">
        <v>989</v>
      </c>
      <c r="K171" t="s">
        <v>1076</v>
      </c>
      <c r="L171" t="b">
        <f>Data_Completeness(MileageData[[#This Row],[MPG]:[Acceleration]])</f>
        <v>1</v>
      </c>
    </row>
    <row r="172" spans="1:12" x14ac:dyDescent="0.25">
      <c r="A172">
        <v>18</v>
      </c>
      <c r="B172">
        <v>6</v>
      </c>
      <c r="C172">
        <v>225</v>
      </c>
      <c r="D172">
        <v>95</v>
      </c>
      <c r="E172">
        <v>3785</v>
      </c>
      <c r="F172">
        <v>19</v>
      </c>
      <c r="G172">
        <v>75</v>
      </c>
      <c r="H172" t="s">
        <v>1637</v>
      </c>
      <c r="I172" t="s">
        <v>1263</v>
      </c>
      <c r="J172" t="s">
        <v>986</v>
      </c>
      <c r="K172" t="s">
        <v>1264</v>
      </c>
      <c r="L172" t="b">
        <f>Data_Completeness(MileageData[[#This Row],[MPG]:[Acceleration]])</f>
        <v>1</v>
      </c>
    </row>
    <row r="173" spans="1:12" x14ac:dyDescent="0.25">
      <c r="A173">
        <v>21</v>
      </c>
      <c r="B173">
        <v>6</v>
      </c>
      <c r="C173">
        <v>231</v>
      </c>
      <c r="D173">
        <v>110</v>
      </c>
      <c r="E173">
        <v>3039</v>
      </c>
      <c r="F173">
        <v>15</v>
      </c>
      <c r="G173">
        <v>75</v>
      </c>
      <c r="H173" t="s">
        <v>1637</v>
      </c>
      <c r="I173" t="s">
        <v>1265</v>
      </c>
      <c r="J173" t="s">
        <v>983</v>
      </c>
      <c r="K173" t="s">
        <v>1266</v>
      </c>
      <c r="L173" t="b">
        <f>Data_Completeness(MileageData[[#This Row],[MPG]:[Acceleration]])</f>
        <v>1</v>
      </c>
    </row>
    <row r="174" spans="1:12" x14ac:dyDescent="0.25">
      <c r="A174">
        <v>20</v>
      </c>
      <c r="B174">
        <v>8</v>
      </c>
      <c r="C174">
        <v>262</v>
      </c>
      <c r="D174">
        <v>110</v>
      </c>
      <c r="E174">
        <v>3221</v>
      </c>
      <c r="F174">
        <v>13.5</v>
      </c>
      <c r="G174">
        <v>75</v>
      </c>
      <c r="H174" t="s">
        <v>1637</v>
      </c>
      <c r="I174" t="s">
        <v>1267</v>
      </c>
      <c r="J174" t="s">
        <v>980</v>
      </c>
      <c r="K174" t="s">
        <v>1268</v>
      </c>
      <c r="L174" t="b">
        <f>Data_Completeness(MileageData[[#This Row],[MPG]:[Acceleration]])</f>
        <v>1</v>
      </c>
    </row>
    <row r="175" spans="1:12" x14ac:dyDescent="0.25">
      <c r="A175">
        <v>13</v>
      </c>
      <c r="B175">
        <v>8</v>
      </c>
      <c r="C175">
        <v>302</v>
      </c>
      <c r="D175">
        <v>129</v>
      </c>
      <c r="E175">
        <v>3169</v>
      </c>
      <c r="F175">
        <v>12</v>
      </c>
      <c r="G175">
        <v>75</v>
      </c>
      <c r="H175" t="s">
        <v>1637</v>
      </c>
      <c r="I175" t="s">
        <v>1269</v>
      </c>
      <c r="J175" t="s">
        <v>992</v>
      </c>
      <c r="K175" t="s">
        <v>1270</v>
      </c>
      <c r="L175" t="b">
        <f>Data_Completeness(MileageData[[#This Row],[MPG]:[Acceleration]])</f>
        <v>1</v>
      </c>
    </row>
    <row r="176" spans="1:12" x14ac:dyDescent="0.25">
      <c r="A176">
        <v>29</v>
      </c>
      <c r="B176">
        <v>4</v>
      </c>
      <c r="C176">
        <v>97</v>
      </c>
      <c r="D176">
        <v>75</v>
      </c>
      <c r="E176">
        <v>2171</v>
      </c>
      <c r="F176">
        <v>16</v>
      </c>
      <c r="G176">
        <v>75</v>
      </c>
      <c r="H176" t="s">
        <v>1639</v>
      </c>
      <c r="I176" t="s">
        <v>1271</v>
      </c>
      <c r="J176" t="s">
        <v>1027</v>
      </c>
      <c r="K176" t="s">
        <v>1272</v>
      </c>
      <c r="L176" t="b">
        <f>Data_Completeness(MileageData[[#This Row],[MPG]:[Acceleration]])</f>
        <v>1</v>
      </c>
    </row>
    <row r="177" spans="1:12" x14ac:dyDescent="0.25">
      <c r="A177">
        <v>23</v>
      </c>
      <c r="B177">
        <v>4</v>
      </c>
      <c r="C177">
        <v>140</v>
      </c>
      <c r="D177">
        <v>83</v>
      </c>
      <c r="E177">
        <v>2639</v>
      </c>
      <c r="F177">
        <v>17</v>
      </c>
      <c r="G177">
        <v>75</v>
      </c>
      <c r="H177" t="s">
        <v>1637</v>
      </c>
      <c r="I177" t="s">
        <v>1067</v>
      </c>
      <c r="J177" t="s">
        <v>992</v>
      </c>
      <c r="K177" t="s">
        <v>1068</v>
      </c>
      <c r="L177" t="b">
        <f>Data_Completeness(MileageData[[#This Row],[MPG]:[Acceleration]])</f>
        <v>1</v>
      </c>
    </row>
    <row r="178" spans="1:12" x14ac:dyDescent="0.25">
      <c r="A178">
        <v>20</v>
      </c>
      <c r="B178">
        <v>6</v>
      </c>
      <c r="C178">
        <v>232</v>
      </c>
      <c r="D178">
        <v>100</v>
      </c>
      <c r="E178">
        <v>2914</v>
      </c>
      <c r="F178">
        <v>16</v>
      </c>
      <c r="G178">
        <v>75</v>
      </c>
      <c r="H178" t="s">
        <v>1637</v>
      </c>
      <c r="I178" t="s">
        <v>1051</v>
      </c>
      <c r="J178" t="s">
        <v>989</v>
      </c>
      <c r="K178" t="s">
        <v>1052</v>
      </c>
      <c r="L178" t="b">
        <f>Data_Completeness(MileageData[[#This Row],[MPG]:[Acceleration]])</f>
        <v>1</v>
      </c>
    </row>
    <row r="179" spans="1:12" x14ac:dyDescent="0.25">
      <c r="A179">
        <v>23</v>
      </c>
      <c r="B179">
        <v>4</v>
      </c>
      <c r="C179">
        <v>140</v>
      </c>
      <c r="D179">
        <v>78</v>
      </c>
      <c r="E179">
        <v>2592</v>
      </c>
      <c r="F179">
        <v>18.5</v>
      </c>
      <c r="G179">
        <v>75</v>
      </c>
      <c r="H179" t="s">
        <v>1637</v>
      </c>
      <c r="I179" t="s">
        <v>1273</v>
      </c>
      <c r="J179" t="s">
        <v>1001</v>
      </c>
      <c r="K179" t="s">
        <v>1274</v>
      </c>
      <c r="L179" t="b">
        <f>Data_Completeness(MileageData[[#This Row],[MPG]:[Acceleration]])</f>
        <v>1</v>
      </c>
    </row>
    <row r="180" spans="1:12" x14ac:dyDescent="0.25">
      <c r="A180">
        <v>24</v>
      </c>
      <c r="B180">
        <v>4</v>
      </c>
      <c r="C180">
        <v>134</v>
      </c>
      <c r="D180">
        <v>96</v>
      </c>
      <c r="E180">
        <v>2702</v>
      </c>
      <c r="F180">
        <v>13.5</v>
      </c>
      <c r="G180">
        <v>75</v>
      </c>
      <c r="H180" t="s">
        <v>1639</v>
      </c>
      <c r="I180" t="s">
        <v>1065</v>
      </c>
      <c r="J180" t="s">
        <v>1027</v>
      </c>
      <c r="K180" t="s">
        <v>1066</v>
      </c>
      <c r="L180" t="b">
        <f>Data_Completeness(MileageData[[#This Row],[MPG]:[Acceleration]])</f>
        <v>1</v>
      </c>
    </row>
    <row r="181" spans="1:12" x14ac:dyDescent="0.25">
      <c r="A181">
        <v>25</v>
      </c>
      <c r="B181">
        <v>4</v>
      </c>
      <c r="C181">
        <v>90</v>
      </c>
      <c r="D181">
        <v>71</v>
      </c>
      <c r="E181">
        <v>2223</v>
      </c>
      <c r="F181">
        <v>16.5</v>
      </c>
      <c r="G181">
        <v>75</v>
      </c>
      <c r="H181" t="s">
        <v>1638</v>
      </c>
      <c r="I181" t="s">
        <v>1238</v>
      </c>
      <c r="J181" t="s">
        <v>1039</v>
      </c>
      <c r="K181" t="s">
        <v>1239</v>
      </c>
      <c r="L181" t="b">
        <f>Data_Completeness(MileageData[[#This Row],[MPG]:[Acceleration]])</f>
        <v>1</v>
      </c>
    </row>
    <row r="182" spans="1:12" x14ac:dyDescent="0.25">
      <c r="A182">
        <v>24</v>
      </c>
      <c r="B182">
        <v>4</v>
      </c>
      <c r="C182">
        <v>119</v>
      </c>
      <c r="D182">
        <v>97</v>
      </c>
      <c r="E182">
        <v>2545</v>
      </c>
      <c r="F182">
        <v>17</v>
      </c>
      <c r="G182">
        <v>75</v>
      </c>
      <c r="H182" t="s">
        <v>1639</v>
      </c>
      <c r="I182" t="s">
        <v>1240</v>
      </c>
      <c r="J182" t="s">
        <v>1036</v>
      </c>
      <c r="K182">
        <v>710</v>
      </c>
      <c r="L182" t="b">
        <f>Data_Completeness(MileageData[[#This Row],[MPG]:[Acceleration]])</f>
        <v>1</v>
      </c>
    </row>
    <row r="183" spans="1:12" x14ac:dyDescent="0.25">
      <c r="A183">
        <v>18</v>
      </c>
      <c r="B183">
        <v>6</v>
      </c>
      <c r="C183">
        <v>171</v>
      </c>
      <c r="D183">
        <v>97</v>
      </c>
      <c r="E183">
        <v>2984</v>
      </c>
      <c r="F183">
        <v>14.5</v>
      </c>
      <c r="G183">
        <v>75</v>
      </c>
      <c r="H183" t="s">
        <v>1637</v>
      </c>
      <c r="I183" t="s">
        <v>1067</v>
      </c>
      <c r="J183" t="s">
        <v>992</v>
      </c>
      <c r="K183" t="s">
        <v>1068</v>
      </c>
      <c r="L183" t="b">
        <f>Data_Completeness(MileageData[[#This Row],[MPG]:[Acceleration]])</f>
        <v>1</v>
      </c>
    </row>
    <row r="184" spans="1:12" x14ac:dyDescent="0.25">
      <c r="A184">
        <v>29</v>
      </c>
      <c r="B184">
        <v>4</v>
      </c>
      <c r="C184">
        <v>90</v>
      </c>
      <c r="D184">
        <v>70</v>
      </c>
      <c r="E184">
        <v>1937</v>
      </c>
      <c r="F184">
        <v>14</v>
      </c>
      <c r="G184">
        <v>75</v>
      </c>
      <c r="H184" t="s">
        <v>1638</v>
      </c>
      <c r="I184" t="s">
        <v>1275</v>
      </c>
      <c r="J184" t="s">
        <v>1039</v>
      </c>
      <c r="K184" t="s">
        <v>1276</v>
      </c>
      <c r="L184" t="b">
        <f>Data_Completeness(MileageData[[#This Row],[MPG]:[Acceleration]])</f>
        <v>1</v>
      </c>
    </row>
    <row r="185" spans="1:12" x14ac:dyDescent="0.25">
      <c r="A185">
        <v>19</v>
      </c>
      <c r="B185">
        <v>6</v>
      </c>
      <c r="C185">
        <v>232</v>
      </c>
      <c r="D185">
        <v>90</v>
      </c>
      <c r="E185">
        <v>3211</v>
      </c>
      <c r="F185">
        <v>17</v>
      </c>
      <c r="G185">
        <v>75</v>
      </c>
      <c r="H185" t="s">
        <v>1637</v>
      </c>
      <c r="I185" t="s">
        <v>1277</v>
      </c>
      <c r="J185" t="s">
        <v>989</v>
      </c>
      <c r="K185" t="s">
        <v>1278</v>
      </c>
      <c r="L185" t="b">
        <f>Data_Completeness(MileageData[[#This Row],[MPG]:[Acceleration]])</f>
        <v>1</v>
      </c>
    </row>
    <row r="186" spans="1:12" x14ac:dyDescent="0.25">
      <c r="A186">
        <v>23</v>
      </c>
      <c r="B186">
        <v>4</v>
      </c>
      <c r="C186">
        <v>115</v>
      </c>
      <c r="D186">
        <v>95</v>
      </c>
      <c r="E186">
        <v>2694</v>
      </c>
      <c r="F186">
        <v>15</v>
      </c>
      <c r="G186">
        <v>75</v>
      </c>
      <c r="H186" t="s">
        <v>1638</v>
      </c>
      <c r="I186" t="s">
        <v>1212</v>
      </c>
      <c r="J186" t="s">
        <v>1044</v>
      </c>
      <c r="K186" t="s">
        <v>1213</v>
      </c>
      <c r="L186" t="b">
        <f>Data_Completeness(MileageData[[#This Row],[MPG]:[Acceleration]])</f>
        <v>1</v>
      </c>
    </row>
    <row r="187" spans="1:12" x14ac:dyDescent="0.25">
      <c r="A187">
        <v>23</v>
      </c>
      <c r="B187">
        <v>4</v>
      </c>
      <c r="C187">
        <v>120</v>
      </c>
      <c r="D187">
        <v>88</v>
      </c>
      <c r="E187">
        <v>2957</v>
      </c>
      <c r="F187">
        <v>17</v>
      </c>
      <c r="G187">
        <v>75</v>
      </c>
      <c r="H187" t="s">
        <v>1638</v>
      </c>
      <c r="I187" t="s">
        <v>1041</v>
      </c>
      <c r="J187" t="s">
        <v>1042</v>
      </c>
      <c r="K187">
        <v>504</v>
      </c>
      <c r="L187" t="b">
        <f>Data_Completeness(MileageData[[#This Row],[MPG]:[Acceleration]])</f>
        <v>1</v>
      </c>
    </row>
    <row r="188" spans="1:12" x14ac:dyDescent="0.25">
      <c r="A188">
        <v>22</v>
      </c>
      <c r="B188">
        <v>4</v>
      </c>
      <c r="C188">
        <v>121</v>
      </c>
      <c r="D188">
        <v>98</v>
      </c>
      <c r="E188">
        <v>2945</v>
      </c>
      <c r="F188">
        <v>14.5</v>
      </c>
      <c r="G188">
        <v>75</v>
      </c>
      <c r="H188" t="s">
        <v>1638</v>
      </c>
      <c r="I188" t="s">
        <v>1279</v>
      </c>
      <c r="J188" t="s">
        <v>1141</v>
      </c>
      <c r="K188" t="s">
        <v>1280</v>
      </c>
      <c r="L188" t="b">
        <f>Data_Completeness(MileageData[[#This Row],[MPG]:[Acceleration]])</f>
        <v>1</v>
      </c>
    </row>
    <row r="189" spans="1:12" x14ac:dyDescent="0.25">
      <c r="A189">
        <v>25</v>
      </c>
      <c r="B189">
        <v>4</v>
      </c>
      <c r="C189">
        <v>121</v>
      </c>
      <c r="D189">
        <v>115</v>
      </c>
      <c r="E189">
        <v>2671</v>
      </c>
      <c r="F189">
        <v>13.5</v>
      </c>
      <c r="G189">
        <v>75</v>
      </c>
      <c r="H189" t="s">
        <v>1638</v>
      </c>
      <c r="I189" t="s">
        <v>1218</v>
      </c>
      <c r="J189" t="s">
        <v>1047</v>
      </c>
      <c r="K189" t="s">
        <v>1219</v>
      </c>
      <c r="L189" t="b">
        <f>Data_Completeness(MileageData[[#This Row],[MPG]:[Acceleration]])</f>
        <v>1</v>
      </c>
    </row>
    <row r="190" spans="1:12" x14ac:dyDescent="0.25">
      <c r="A190">
        <v>33</v>
      </c>
      <c r="B190">
        <v>4</v>
      </c>
      <c r="C190">
        <v>91</v>
      </c>
      <c r="D190">
        <v>53</v>
      </c>
      <c r="E190">
        <v>1795</v>
      </c>
      <c r="F190">
        <v>17.5</v>
      </c>
      <c r="G190">
        <v>75</v>
      </c>
      <c r="H190" t="s">
        <v>1639</v>
      </c>
      <c r="I190" t="s">
        <v>1281</v>
      </c>
      <c r="J190" t="s">
        <v>1246</v>
      </c>
      <c r="K190" t="s">
        <v>1282</v>
      </c>
      <c r="L190" t="b">
        <f>Data_Completeness(MileageData[[#This Row],[MPG]:[Acceleration]])</f>
        <v>1</v>
      </c>
    </row>
    <row r="191" spans="1:12" x14ac:dyDescent="0.25">
      <c r="A191">
        <v>28</v>
      </c>
      <c r="B191">
        <v>4</v>
      </c>
      <c r="C191">
        <v>107</v>
      </c>
      <c r="D191">
        <v>86</v>
      </c>
      <c r="E191">
        <v>2464</v>
      </c>
      <c r="F191">
        <v>15.5</v>
      </c>
      <c r="G191">
        <v>76</v>
      </c>
      <c r="H191" t="s">
        <v>1638</v>
      </c>
      <c r="I191" t="s">
        <v>1283</v>
      </c>
      <c r="J191" t="s">
        <v>1100</v>
      </c>
      <c r="K191">
        <v>131</v>
      </c>
      <c r="L191" t="b">
        <f>Data_Completeness(MileageData[[#This Row],[MPG]:[Acceleration]])</f>
        <v>1</v>
      </c>
    </row>
    <row r="192" spans="1:12" x14ac:dyDescent="0.25">
      <c r="A192">
        <v>25</v>
      </c>
      <c r="B192">
        <v>4</v>
      </c>
      <c r="C192">
        <v>116</v>
      </c>
      <c r="D192">
        <v>81</v>
      </c>
      <c r="E192">
        <v>2220</v>
      </c>
      <c r="F192">
        <v>16.899999999999999</v>
      </c>
      <c r="G192">
        <v>76</v>
      </c>
      <c r="H192" t="s">
        <v>1638</v>
      </c>
      <c r="I192" t="s">
        <v>1096</v>
      </c>
      <c r="J192" t="s">
        <v>1097</v>
      </c>
      <c r="K192">
        <v>1900</v>
      </c>
      <c r="L192" t="b">
        <f>Data_Completeness(MileageData[[#This Row],[MPG]:[Acceleration]])</f>
        <v>1</v>
      </c>
    </row>
    <row r="193" spans="1:12" x14ac:dyDescent="0.25">
      <c r="A193">
        <v>25</v>
      </c>
      <c r="B193">
        <v>4</v>
      </c>
      <c r="C193">
        <v>140</v>
      </c>
      <c r="D193">
        <v>92</v>
      </c>
      <c r="E193">
        <v>2572</v>
      </c>
      <c r="F193">
        <v>14.9</v>
      </c>
      <c r="G193">
        <v>76</v>
      </c>
      <c r="H193" t="s">
        <v>1637</v>
      </c>
      <c r="I193" t="s">
        <v>1284</v>
      </c>
      <c r="J193" t="s">
        <v>1285</v>
      </c>
      <c r="K193" t="s">
        <v>1286</v>
      </c>
      <c r="L193" t="b">
        <f>Data_Completeness(MileageData[[#This Row],[MPG]:[Acceleration]])</f>
        <v>1</v>
      </c>
    </row>
    <row r="194" spans="1:12" x14ac:dyDescent="0.25">
      <c r="A194">
        <v>26</v>
      </c>
      <c r="B194">
        <v>4</v>
      </c>
      <c r="C194">
        <v>98</v>
      </c>
      <c r="D194">
        <v>79</v>
      </c>
      <c r="E194">
        <v>2255</v>
      </c>
      <c r="F194">
        <v>17.7</v>
      </c>
      <c r="G194">
        <v>76</v>
      </c>
      <c r="H194" t="s">
        <v>1637</v>
      </c>
      <c r="I194" t="s">
        <v>1241</v>
      </c>
      <c r="J194" t="s">
        <v>1017</v>
      </c>
      <c r="K194" t="s">
        <v>1242</v>
      </c>
      <c r="L194" t="b">
        <f>Data_Completeness(MileageData[[#This Row],[MPG]:[Acceleration]])</f>
        <v>1</v>
      </c>
    </row>
    <row r="195" spans="1:12" x14ac:dyDescent="0.25">
      <c r="A195">
        <v>27</v>
      </c>
      <c r="B195">
        <v>4</v>
      </c>
      <c r="C195">
        <v>101</v>
      </c>
      <c r="D195">
        <v>83</v>
      </c>
      <c r="E195">
        <v>2202</v>
      </c>
      <c r="F195">
        <v>15.3</v>
      </c>
      <c r="G195">
        <v>76</v>
      </c>
      <c r="H195" t="s">
        <v>1638</v>
      </c>
      <c r="I195" t="s">
        <v>1287</v>
      </c>
      <c r="J195" t="s">
        <v>1148</v>
      </c>
      <c r="K195" t="s">
        <v>1288</v>
      </c>
      <c r="L195" t="b">
        <f>Data_Completeness(MileageData[[#This Row],[MPG]:[Acceleration]])</f>
        <v>1</v>
      </c>
    </row>
    <row r="196" spans="1:12" x14ac:dyDescent="0.25">
      <c r="A196">
        <v>17.5</v>
      </c>
      <c r="B196">
        <v>8</v>
      </c>
      <c r="C196">
        <v>305</v>
      </c>
      <c r="D196">
        <v>140</v>
      </c>
      <c r="E196">
        <v>4215</v>
      </c>
      <c r="F196">
        <v>13</v>
      </c>
      <c r="G196">
        <v>76</v>
      </c>
      <c r="H196" t="s">
        <v>1637</v>
      </c>
      <c r="I196" t="s">
        <v>1228</v>
      </c>
      <c r="J196" t="s">
        <v>980</v>
      </c>
      <c r="K196" t="s">
        <v>1229</v>
      </c>
      <c r="L196" t="b">
        <f>Data_Completeness(MileageData[[#This Row],[MPG]:[Acceleration]])</f>
        <v>1</v>
      </c>
    </row>
    <row r="197" spans="1:12" x14ac:dyDescent="0.25">
      <c r="A197">
        <v>16</v>
      </c>
      <c r="B197">
        <v>8</v>
      </c>
      <c r="C197">
        <v>318</v>
      </c>
      <c r="D197">
        <v>150</v>
      </c>
      <c r="E197">
        <v>4190</v>
      </c>
      <c r="F197">
        <v>13</v>
      </c>
      <c r="G197">
        <v>76</v>
      </c>
      <c r="H197" t="s">
        <v>1637</v>
      </c>
      <c r="I197" t="s">
        <v>1289</v>
      </c>
      <c r="J197" t="s">
        <v>1017</v>
      </c>
      <c r="K197" t="s">
        <v>1290</v>
      </c>
      <c r="L197" t="b">
        <f>Data_Completeness(MileageData[[#This Row],[MPG]:[Acceleration]])</f>
        <v>1</v>
      </c>
    </row>
    <row r="198" spans="1:12" x14ac:dyDescent="0.25">
      <c r="A198">
        <v>15.5</v>
      </c>
      <c r="B198">
        <v>8</v>
      </c>
      <c r="C198">
        <v>304</v>
      </c>
      <c r="D198">
        <v>120</v>
      </c>
      <c r="E198">
        <v>3962</v>
      </c>
      <c r="F198">
        <v>13.9</v>
      </c>
      <c r="G198">
        <v>76</v>
      </c>
      <c r="H198" t="s">
        <v>1637</v>
      </c>
      <c r="I198" t="s">
        <v>1075</v>
      </c>
      <c r="J198" t="s">
        <v>989</v>
      </c>
      <c r="K198" t="s">
        <v>1076</v>
      </c>
      <c r="L198" t="b">
        <f>Data_Completeness(MileageData[[#This Row],[MPG]:[Acceleration]])</f>
        <v>1</v>
      </c>
    </row>
    <row r="199" spans="1:12" x14ac:dyDescent="0.25">
      <c r="A199">
        <v>14.5</v>
      </c>
      <c r="B199">
        <v>8</v>
      </c>
      <c r="C199">
        <v>351</v>
      </c>
      <c r="D199">
        <v>152</v>
      </c>
      <c r="E199">
        <v>4215</v>
      </c>
      <c r="F199">
        <v>12.8</v>
      </c>
      <c r="G199">
        <v>76</v>
      </c>
      <c r="H199" t="s">
        <v>1637</v>
      </c>
      <c r="I199" t="s">
        <v>1165</v>
      </c>
      <c r="J199" t="s">
        <v>992</v>
      </c>
      <c r="K199" t="s">
        <v>1166</v>
      </c>
      <c r="L199" t="b">
        <f>Data_Completeness(MileageData[[#This Row],[MPG]:[Acceleration]])</f>
        <v>1</v>
      </c>
    </row>
    <row r="200" spans="1:12" x14ac:dyDescent="0.25">
      <c r="A200">
        <v>22</v>
      </c>
      <c r="B200">
        <v>6</v>
      </c>
      <c r="C200">
        <v>225</v>
      </c>
      <c r="D200">
        <v>100</v>
      </c>
      <c r="E200">
        <v>3233</v>
      </c>
      <c r="F200">
        <v>15.4</v>
      </c>
      <c r="G200">
        <v>76</v>
      </c>
      <c r="H200" t="s">
        <v>1637</v>
      </c>
      <c r="I200" t="s">
        <v>1183</v>
      </c>
      <c r="J200" t="s">
        <v>986</v>
      </c>
      <c r="K200" t="s">
        <v>1184</v>
      </c>
      <c r="L200" t="b">
        <f>Data_Completeness(MileageData[[#This Row],[MPG]:[Acceleration]])</f>
        <v>1</v>
      </c>
    </row>
    <row r="201" spans="1:12" x14ac:dyDescent="0.25">
      <c r="A201">
        <v>22</v>
      </c>
      <c r="B201">
        <v>6</v>
      </c>
      <c r="C201">
        <v>250</v>
      </c>
      <c r="D201">
        <v>105</v>
      </c>
      <c r="E201">
        <v>3353</v>
      </c>
      <c r="F201">
        <v>14.5</v>
      </c>
      <c r="G201">
        <v>76</v>
      </c>
      <c r="H201" t="s">
        <v>1637</v>
      </c>
      <c r="I201" t="s">
        <v>1224</v>
      </c>
      <c r="J201" t="s">
        <v>980</v>
      </c>
      <c r="K201" t="s">
        <v>1225</v>
      </c>
      <c r="L201" t="b">
        <f>Data_Completeness(MileageData[[#This Row],[MPG]:[Acceleration]])</f>
        <v>1</v>
      </c>
    </row>
    <row r="202" spans="1:12" x14ac:dyDescent="0.25">
      <c r="A202">
        <v>24</v>
      </c>
      <c r="B202">
        <v>6</v>
      </c>
      <c r="C202">
        <v>200</v>
      </c>
      <c r="D202">
        <v>81</v>
      </c>
      <c r="E202">
        <v>3012</v>
      </c>
      <c r="F202">
        <v>17.600000000000001</v>
      </c>
      <c r="G202">
        <v>76</v>
      </c>
      <c r="H202" t="s">
        <v>1637</v>
      </c>
      <c r="I202" t="s">
        <v>1033</v>
      </c>
      <c r="J202" t="s">
        <v>992</v>
      </c>
      <c r="K202" t="s">
        <v>1034</v>
      </c>
      <c r="L202" t="b">
        <f>Data_Completeness(MileageData[[#This Row],[MPG]:[Acceleration]])</f>
        <v>1</v>
      </c>
    </row>
    <row r="203" spans="1:12" x14ac:dyDescent="0.25">
      <c r="A203">
        <v>22.5</v>
      </c>
      <c r="B203">
        <v>6</v>
      </c>
      <c r="C203">
        <v>232</v>
      </c>
      <c r="D203">
        <v>90</v>
      </c>
      <c r="E203">
        <v>3085</v>
      </c>
      <c r="F203">
        <v>17.600000000000001</v>
      </c>
      <c r="G203">
        <v>76</v>
      </c>
      <c r="H203" t="s">
        <v>1637</v>
      </c>
      <c r="I203" t="s">
        <v>1031</v>
      </c>
      <c r="J203" t="s">
        <v>989</v>
      </c>
      <c r="K203" t="s">
        <v>1032</v>
      </c>
      <c r="L203" t="b">
        <f>Data_Completeness(MileageData[[#This Row],[MPG]:[Acceleration]])</f>
        <v>1</v>
      </c>
    </row>
    <row r="204" spans="1:12" x14ac:dyDescent="0.25">
      <c r="A204">
        <v>29</v>
      </c>
      <c r="B204">
        <v>4</v>
      </c>
      <c r="C204">
        <v>85</v>
      </c>
      <c r="D204">
        <v>52</v>
      </c>
      <c r="E204">
        <v>2035</v>
      </c>
      <c r="F204">
        <v>22.2</v>
      </c>
      <c r="G204">
        <v>76</v>
      </c>
      <c r="H204" t="s">
        <v>1637</v>
      </c>
      <c r="I204" t="s">
        <v>1291</v>
      </c>
      <c r="J204" t="s">
        <v>980</v>
      </c>
      <c r="K204" t="s">
        <v>1292</v>
      </c>
      <c r="L204" t="b">
        <f>Data_Completeness(MileageData[[#This Row],[MPG]:[Acceleration]])</f>
        <v>1</v>
      </c>
    </row>
    <row r="205" spans="1:12" x14ac:dyDescent="0.25">
      <c r="A205">
        <v>24.5</v>
      </c>
      <c r="B205">
        <v>4</v>
      </c>
      <c r="C205">
        <v>98</v>
      </c>
      <c r="D205">
        <v>60</v>
      </c>
      <c r="E205">
        <v>2164</v>
      </c>
      <c r="F205">
        <v>22.1</v>
      </c>
      <c r="G205">
        <v>76</v>
      </c>
      <c r="H205" t="s">
        <v>1637</v>
      </c>
      <c r="I205" t="s">
        <v>1293</v>
      </c>
      <c r="J205" t="s">
        <v>980</v>
      </c>
      <c r="K205" t="s">
        <v>1294</v>
      </c>
      <c r="L205" t="b">
        <f>Data_Completeness(MileageData[[#This Row],[MPG]:[Acceleration]])</f>
        <v>1</v>
      </c>
    </row>
    <row r="206" spans="1:12" x14ac:dyDescent="0.25">
      <c r="A206">
        <v>29</v>
      </c>
      <c r="B206">
        <v>4</v>
      </c>
      <c r="C206">
        <v>90</v>
      </c>
      <c r="D206">
        <v>70</v>
      </c>
      <c r="E206">
        <v>1937</v>
      </c>
      <c r="F206">
        <v>14.2</v>
      </c>
      <c r="G206">
        <v>76</v>
      </c>
      <c r="H206" t="s">
        <v>1638</v>
      </c>
      <c r="I206" t="s">
        <v>1295</v>
      </c>
      <c r="J206" t="s">
        <v>1296</v>
      </c>
      <c r="K206" t="s">
        <v>1276</v>
      </c>
      <c r="L206" t="b">
        <f>Data_Completeness(MileageData[[#This Row],[MPG]:[Acceleration]])</f>
        <v>1</v>
      </c>
    </row>
    <row r="207" spans="1:12" x14ac:dyDescent="0.25">
      <c r="A207">
        <v>33</v>
      </c>
      <c r="B207">
        <v>4</v>
      </c>
      <c r="C207">
        <v>91</v>
      </c>
      <c r="D207">
        <v>53</v>
      </c>
      <c r="E207">
        <v>1795</v>
      </c>
      <c r="F207">
        <v>17.399999999999999</v>
      </c>
      <c r="G207">
        <v>76</v>
      </c>
      <c r="H207" t="s">
        <v>1639</v>
      </c>
      <c r="I207" t="s">
        <v>1245</v>
      </c>
      <c r="J207" t="s">
        <v>1246</v>
      </c>
      <c r="K207" t="s">
        <v>1247</v>
      </c>
      <c r="L207" t="b">
        <f>Data_Completeness(MileageData[[#This Row],[MPG]:[Acceleration]])</f>
        <v>1</v>
      </c>
    </row>
    <row r="208" spans="1:12" x14ac:dyDescent="0.25">
      <c r="A208">
        <v>20</v>
      </c>
      <c r="B208">
        <v>6</v>
      </c>
      <c r="C208">
        <v>225</v>
      </c>
      <c r="D208">
        <v>100</v>
      </c>
      <c r="E208">
        <v>3651</v>
      </c>
      <c r="F208">
        <v>17.7</v>
      </c>
      <c r="G208">
        <v>76</v>
      </c>
      <c r="H208" t="s">
        <v>1637</v>
      </c>
      <c r="I208" t="s">
        <v>1297</v>
      </c>
      <c r="J208" t="s">
        <v>1017</v>
      </c>
      <c r="K208" t="s">
        <v>1298</v>
      </c>
      <c r="L208" t="b">
        <f>Data_Completeness(MileageData[[#This Row],[MPG]:[Acceleration]])</f>
        <v>1</v>
      </c>
    </row>
    <row r="209" spans="1:12" x14ac:dyDescent="0.25">
      <c r="A209">
        <v>18</v>
      </c>
      <c r="B209">
        <v>6</v>
      </c>
      <c r="C209">
        <v>250</v>
      </c>
      <c r="D209">
        <v>78</v>
      </c>
      <c r="E209">
        <v>3574</v>
      </c>
      <c r="F209">
        <v>21</v>
      </c>
      <c r="G209">
        <v>76</v>
      </c>
      <c r="H209" t="s">
        <v>1637</v>
      </c>
      <c r="I209" t="s">
        <v>1299</v>
      </c>
      <c r="J209" t="s">
        <v>992</v>
      </c>
      <c r="K209" t="s">
        <v>1300</v>
      </c>
      <c r="L209" t="b">
        <f>Data_Completeness(MileageData[[#This Row],[MPG]:[Acceleration]])</f>
        <v>1</v>
      </c>
    </row>
    <row r="210" spans="1:12" x14ac:dyDescent="0.25">
      <c r="A210">
        <v>18.5</v>
      </c>
      <c r="B210">
        <v>6</v>
      </c>
      <c r="C210">
        <v>250</v>
      </c>
      <c r="D210">
        <v>110</v>
      </c>
      <c r="E210">
        <v>3645</v>
      </c>
      <c r="F210">
        <v>16.2</v>
      </c>
      <c r="G210">
        <v>76</v>
      </c>
      <c r="H210" t="s">
        <v>1637</v>
      </c>
      <c r="I210" t="s">
        <v>1301</v>
      </c>
      <c r="J210" t="s">
        <v>1001</v>
      </c>
      <c r="K210" t="s">
        <v>1302</v>
      </c>
      <c r="L210" t="b">
        <f>Data_Completeness(MileageData[[#This Row],[MPG]:[Acceleration]])</f>
        <v>1</v>
      </c>
    </row>
    <row r="211" spans="1:12" x14ac:dyDescent="0.25">
      <c r="A211">
        <v>17.5</v>
      </c>
      <c r="B211">
        <v>6</v>
      </c>
      <c r="C211">
        <v>258</v>
      </c>
      <c r="D211">
        <v>95</v>
      </c>
      <c r="E211">
        <v>3193</v>
      </c>
      <c r="F211">
        <v>17.8</v>
      </c>
      <c r="G211">
        <v>76</v>
      </c>
      <c r="H211" t="s">
        <v>1637</v>
      </c>
      <c r="I211" t="s">
        <v>1303</v>
      </c>
      <c r="J211" t="s">
        <v>989</v>
      </c>
      <c r="K211" t="s">
        <v>1304</v>
      </c>
      <c r="L211" t="b">
        <f>Data_Completeness(MileageData[[#This Row],[MPG]:[Acceleration]])</f>
        <v>1</v>
      </c>
    </row>
    <row r="212" spans="1:12" x14ac:dyDescent="0.25">
      <c r="A212">
        <v>29.5</v>
      </c>
      <c r="B212">
        <v>4</v>
      </c>
      <c r="C212">
        <v>97</v>
      </c>
      <c r="D212">
        <v>71</v>
      </c>
      <c r="E212">
        <v>1825</v>
      </c>
      <c r="F212">
        <v>12.2</v>
      </c>
      <c r="G212">
        <v>76</v>
      </c>
      <c r="H212" t="s">
        <v>1638</v>
      </c>
      <c r="I212" t="s">
        <v>1275</v>
      </c>
      <c r="J212" t="s">
        <v>1039</v>
      </c>
      <c r="K212" t="s">
        <v>1276</v>
      </c>
      <c r="L212" t="b">
        <f>Data_Completeness(MileageData[[#This Row],[MPG]:[Acceleration]])</f>
        <v>1</v>
      </c>
    </row>
    <row r="213" spans="1:12" x14ac:dyDescent="0.25">
      <c r="A213">
        <v>32</v>
      </c>
      <c r="B213">
        <v>4</v>
      </c>
      <c r="C213">
        <v>85</v>
      </c>
      <c r="D213">
        <v>70</v>
      </c>
      <c r="E213">
        <v>1990</v>
      </c>
      <c r="F213">
        <v>17</v>
      </c>
      <c r="G213">
        <v>76</v>
      </c>
      <c r="H213" t="s">
        <v>1639</v>
      </c>
      <c r="I213" t="s">
        <v>1305</v>
      </c>
      <c r="J213" t="s">
        <v>1036</v>
      </c>
      <c r="K213" t="s">
        <v>1306</v>
      </c>
      <c r="L213" t="b">
        <f>Data_Completeness(MileageData[[#This Row],[MPG]:[Acceleration]])</f>
        <v>1</v>
      </c>
    </row>
    <row r="214" spans="1:12" x14ac:dyDescent="0.25">
      <c r="A214">
        <v>28</v>
      </c>
      <c r="B214">
        <v>4</v>
      </c>
      <c r="C214">
        <v>97</v>
      </c>
      <c r="D214">
        <v>75</v>
      </c>
      <c r="E214">
        <v>2155</v>
      </c>
      <c r="F214">
        <v>16.399999999999999</v>
      </c>
      <c r="G214">
        <v>76</v>
      </c>
      <c r="H214" t="s">
        <v>1639</v>
      </c>
      <c r="I214" t="s">
        <v>1271</v>
      </c>
      <c r="J214" t="s">
        <v>1027</v>
      </c>
      <c r="K214" t="s">
        <v>1272</v>
      </c>
      <c r="L214" t="b">
        <f>Data_Completeness(MileageData[[#This Row],[MPG]:[Acceleration]])</f>
        <v>1</v>
      </c>
    </row>
    <row r="215" spans="1:12" x14ac:dyDescent="0.25">
      <c r="A215">
        <v>26.5</v>
      </c>
      <c r="B215">
        <v>4</v>
      </c>
      <c r="C215">
        <v>140</v>
      </c>
      <c r="D215">
        <v>72</v>
      </c>
      <c r="E215">
        <v>2565</v>
      </c>
      <c r="F215">
        <v>13.6</v>
      </c>
      <c r="G215">
        <v>76</v>
      </c>
      <c r="H215" t="s">
        <v>1637</v>
      </c>
      <c r="I215" t="s">
        <v>1067</v>
      </c>
      <c r="J215" t="s">
        <v>992</v>
      </c>
      <c r="K215" t="s">
        <v>1068</v>
      </c>
      <c r="L215" t="b">
        <f>Data_Completeness(MileageData[[#This Row],[MPG]:[Acceleration]])</f>
        <v>1</v>
      </c>
    </row>
    <row r="216" spans="1:12" x14ac:dyDescent="0.25">
      <c r="A216">
        <v>20</v>
      </c>
      <c r="B216">
        <v>4</v>
      </c>
      <c r="C216">
        <v>130</v>
      </c>
      <c r="D216">
        <v>102</v>
      </c>
      <c r="E216">
        <v>3150</v>
      </c>
      <c r="F216">
        <v>15.7</v>
      </c>
      <c r="G216">
        <v>76</v>
      </c>
      <c r="H216" t="s">
        <v>1638</v>
      </c>
      <c r="I216" t="s">
        <v>1307</v>
      </c>
      <c r="J216" t="s">
        <v>1141</v>
      </c>
      <c r="K216">
        <v>245</v>
      </c>
      <c r="L216" t="b">
        <f>Data_Completeness(MileageData[[#This Row],[MPG]:[Acceleration]])</f>
        <v>1</v>
      </c>
    </row>
    <row r="217" spans="1:12" x14ac:dyDescent="0.25">
      <c r="A217">
        <v>13</v>
      </c>
      <c r="B217">
        <v>8</v>
      </c>
      <c r="C217">
        <v>318</v>
      </c>
      <c r="D217">
        <v>150</v>
      </c>
      <c r="E217">
        <v>3940</v>
      </c>
      <c r="F217">
        <v>13.2</v>
      </c>
      <c r="G217">
        <v>76</v>
      </c>
      <c r="H217" t="s">
        <v>1637</v>
      </c>
      <c r="I217" t="s">
        <v>1308</v>
      </c>
      <c r="J217" t="s">
        <v>986</v>
      </c>
      <c r="K217" t="s">
        <v>1309</v>
      </c>
      <c r="L217" t="b">
        <f>Data_Completeness(MileageData[[#This Row],[MPG]:[Acceleration]])</f>
        <v>1</v>
      </c>
    </row>
    <row r="218" spans="1:12" x14ac:dyDescent="0.25">
      <c r="A218">
        <v>19</v>
      </c>
      <c r="B218">
        <v>4</v>
      </c>
      <c r="C218">
        <v>120</v>
      </c>
      <c r="D218">
        <v>88</v>
      </c>
      <c r="E218">
        <v>3270</v>
      </c>
      <c r="F218">
        <v>21.9</v>
      </c>
      <c r="G218">
        <v>76</v>
      </c>
      <c r="H218" t="s">
        <v>1638</v>
      </c>
      <c r="I218" t="s">
        <v>1041</v>
      </c>
      <c r="J218" t="s">
        <v>1042</v>
      </c>
      <c r="K218">
        <v>504</v>
      </c>
      <c r="L218" t="b">
        <f>Data_Completeness(MileageData[[#This Row],[MPG]:[Acceleration]])</f>
        <v>1</v>
      </c>
    </row>
    <row r="219" spans="1:12" x14ac:dyDescent="0.25">
      <c r="A219">
        <v>19</v>
      </c>
      <c r="B219">
        <v>6</v>
      </c>
      <c r="C219">
        <v>156</v>
      </c>
      <c r="D219">
        <v>108</v>
      </c>
      <c r="E219">
        <v>2930</v>
      </c>
      <c r="F219">
        <v>15.5</v>
      </c>
      <c r="G219">
        <v>76</v>
      </c>
      <c r="H219" t="s">
        <v>1639</v>
      </c>
      <c r="I219" t="s">
        <v>1220</v>
      </c>
      <c r="J219" t="s">
        <v>1027</v>
      </c>
      <c r="K219" t="s">
        <v>1221</v>
      </c>
      <c r="L219" t="b">
        <f>Data_Completeness(MileageData[[#This Row],[MPG]:[Acceleration]])</f>
        <v>1</v>
      </c>
    </row>
    <row r="220" spans="1:12" x14ac:dyDescent="0.25">
      <c r="A220">
        <v>16.5</v>
      </c>
      <c r="B220">
        <v>6</v>
      </c>
      <c r="C220">
        <v>168</v>
      </c>
      <c r="D220">
        <v>120</v>
      </c>
      <c r="E220">
        <v>3820</v>
      </c>
      <c r="F220">
        <v>16.7</v>
      </c>
      <c r="G220">
        <v>76</v>
      </c>
      <c r="H220" t="s">
        <v>1638</v>
      </c>
      <c r="I220" t="s">
        <v>1310</v>
      </c>
      <c r="J220" t="s">
        <v>1311</v>
      </c>
      <c r="K220" t="s">
        <v>1312</v>
      </c>
      <c r="L220" t="b">
        <f>Data_Completeness(MileageData[[#This Row],[MPG]:[Acceleration]])</f>
        <v>1</v>
      </c>
    </row>
    <row r="221" spans="1:12" x14ac:dyDescent="0.25">
      <c r="A221">
        <v>16.5</v>
      </c>
      <c r="B221">
        <v>8</v>
      </c>
      <c r="C221">
        <v>350</v>
      </c>
      <c r="D221">
        <v>180</v>
      </c>
      <c r="E221">
        <v>4380</v>
      </c>
      <c r="F221">
        <v>12.1</v>
      </c>
      <c r="G221">
        <v>76</v>
      </c>
      <c r="H221" t="s">
        <v>1637</v>
      </c>
      <c r="I221" t="s">
        <v>1313</v>
      </c>
      <c r="J221" t="s">
        <v>1314</v>
      </c>
      <c r="K221" t="s">
        <v>1315</v>
      </c>
      <c r="L221" t="b">
        <f>Data_Completeness(MileageData[[#This Row],[MPG]:[Acceleration]])</f>
        <v>1</v>
      </c>
    </row>
    <row r="222" spans="1:12" x14ac:dyDescent="0.25">
      <c r="A222">
        <v>13</v>
      </c>
      <c r="B222">
        <v>8</v>
      </c>
      <c r="C222">
        <v>350</v>
      </c>
      <c r="D222">
        <v>145</v>
      </c>
      <c r="E222">
        <v>4055</v>
      </c>
      <c r="F222">
        <v>12</v>
      </c>
      <c r="G222">
        <v>76</v>
      </c>
      <c r="H222" t="s">
        <v>1637</v>
      </c>
      <c r="I222" t="s">
        <v>1316</v>
      </c>
      <c r="J222" t="s">
        <v>1056</v>
      </c>
      <c r="K222" t="s">
        <v>1317</v>
      </c>
      <c r="L222" t="b">
        <f>Data_Completeness(MileageData[[#This Row],[MPG]:[Acceleration]])</f>
        <v>1</v>
      </c>
    </row>
    <row r="223" spans="1:12" x14ac:dyDescent="0.25">
      <c r="A223">
        <v>13</v>
      </c>
      <c r="B223">
        <v>8</v>
      </c>
      <c r="C223">
        <v>302</v>
      </c>
      <c r="D223">
        <v>130</v>
      </c>
      <c r="E223">
        <v>3870</v>
      </c>
      <c r="F223">
        <v>15</v>
      </c>
      <c r="G223">
        <v>76</v>
      </c>
      <c r="H223" t="s">
        <v>1637</v>
      </c>
      <c r="I223" t="s">
        <v>1318</v>
      </c>
      <c r="J223" t="s">
        <v>992</v>
      </c>
      <c r="K223" t="s">
        <v>1319</v>
      </c>
      <c r="L223" t="b">
        <f>Data_Completeness(MileageData[[#This Row],[MPG]:[Acceleration]])</f>
        <v>1</v>
      </c>
    </row>
    <row r="224" spans="1:12" x14ac:dyDescent="0.25">
      <c r="A224">
        <v>13</v>
      </c>
      <c r="B224">
        <v>8</v>
      </c>
      <c r="C224">
        <v>318</v>
      </c>
      <c r="D224">
        <v>150</v>
      </c>
      <c r="E224">
        <v>3755</v>
      </c>
      <c r="F224">
        <v>14</v>
      </c>
      <c r="G224">
        <v>76</v>
      </c>
      <c r="H224" t="s">
        <v>1637</v>
      </c>
      <c r="I224" t="s">
        <v>1320</v>
      </c>
      <c r="J224" t="s">
        <v>1017</v>
      </c>
      <c r="K224" t="s">
        <v>1321</v>
      </c>
      <c r="L224" t="b">
        <f>Data_Completeness(MileageData[[#This Row],[MPG]:[Acceleration]])</f>
        <v>1</v>
      </c>
    </row>
    <row r="225" spans="1:12" x14ac:dyDescent="0.25">
      <c r="A225">
        <v>31.5</v>
      </c>
      <c r="B225">
        <v>4</v>
      </c>
      <c r="C225">
        <v>98</v>
      </c>
      <c r="D225">
        <v>68</v>
      </c>
      <c r="E225">
        <v>2045</v>
      </c>
      <c r="F225">
        <v>18.5</v>
      </c>
      <c r="G225">
        <v>77</v>
      </c>
      <c r="H225" t="s">
        <v>1639</v>
      </c>
      <c r="I225" t="s">
        <v>1322</v>
      </c>
      <c r="J225" t="s">
        <v>1246</v>
      </c>
      <c r="K225" t="s">
        <v>1323</v>
      </c>
      <c r="L225" t="b">
        <f>Data_Completeness(MileageData[[#This Row],[MPG]:[Acceleration]])</f>
        <v>1</v>
      </c>
    </row>
    <row r="226" spans="1:12" x14ac:dyDescent="0.25">
      <c r="A226">
        <v>30</v>
      </c>
      <c r="B226">
        <v>4</v>
      </c>
      <c r="C226">
        <v>111</v>
      </c>
      <c r="D226">
        <v>80</v>
      </c>
      <c r="E226">
        <v>2155</v>
      </c>
      <c r="F226">
        <v>14.8</v>
      </c>
      <c r="G226">
        <v>77</v>
      </c>
      <c r="H226" t="s">
        <v>1637</v>
      </c>
      <c r="I226" t="s">
        <v>1324</v>
      </c>
      <c r="J226" t="s">
        <v>983</v>
      </c>
      <c r="K226" t="s">
        <v>1325</v>
      </c>
      <c r="L226" t="b">
        <f>Data_Completeness(MileageData[[#This Row],[MPG]:[Acceleration]])</f>
        <v>1</v>
      </c>
    </row>
    <row r="227" spans="1:12" x14ac:dyDescent="0.25">
      <c r="A227">
        <v>36</v>
      </c>
      <c r="B227">
        <v>4</v>
      </c>
      <c r="C227">
        <v>79</v>
      </c>
      <c r="D227">
        <v>58</v>
      </c>
      <c r="E227">
        <v>1825</v>
      </c>
      <c r="F227">
        <v>18.600000000000001</v>
      </c>
      <c r="G227">
        <v>77</v>
      </c>
      <c r="H227" t="s">
        <v>1638</v>
      </c>
      <c r="I227" t="s">
        <v>1326</v>
      </c>
      <c r="J227" t="s">
        <v>1148</v>
      </c>
      <c r="K227" t="s">
        <v>1327</v>
      </c>
      <c r="L227" t="b">
        <f>Data_Completeness(MileageData[[#This Row],[MPG]:[Acceleration]])</f>
        <v>1</v>
      </c>
    </row>
    <row r="228" spans="1:12" x14ac:dyDescent="0.25">
      <c r="A228">
        <v>25.5</v>
      </c>
      <c r="B228">
        <v>4</v>
      </c>
      <c r="C228">
        <v>122</v>
      </c>
      <c r="D228">
        <v>96</v>
      </c>
      <c r="E228">
        <v>2300</v>
      </c>
      <c r="F228">
        <v>15.5</v>
      </c>
      <c r="G228">
        <v>77</v>
      </c>
      <c r="H228" t="s">
        <v>1637</v>
      </c>
      <c r="I228" t="s">
        <v>1328</v>
      </c>
      <c r="J228" t="s">
        <v>986</v>
      </c>
      <c r="K228" t="s">
        <v>1329</v>
      </c>
      <c r="L228" t="b">
        <f>Data_Completeness(MileageData[[#This Row],[MPG]:[Acceleration]])</f>
        <v>1</v>
      </c>
    </row>
    <row r="229" spans="1:12" x14ac:dyDescent="0.25">
      <c r="A229">
        <v>33.5</v>
      </c>
      <c r="B229">
        <v>4</v>
      </c>
      <c r="C229">
        <v>85</v>
      </c>
      <c r="D229">
        <v>70</v>
      </c>
      <c r="E229">
        <v>1945</v>
      </c>
      <c r="F229">
        <v>16.8</v>
      </c>
      <c r="G229">
        <v>77</v>
      </c>
      <c r="H229" t="s">
        <v>1639</v>
      </c>
      <c r="I229" t="s">
        <v>1330</v>
      </c>
      <c r="J229" t="s">
        <v>1036</v>
      </c>
      <c r="K229" t="s">
        <v>1331</v>
      </c>
      <c r="L229" t="b">
        <f>Data_Completeness(MileageData[[#This Row],[MPG]:[Acceleration]])</f>
        <v>1</v>
      </c>
    </row>
    <row r="230" spans="1:12" x14ac:dyDescent="0.25">
      <c r="A230">
        <v>17.5</v>
      </c>
      <c r="B230">
        <v>8</v>
      </c>
      <c r="C230">
        <v>305</v>
      </c>
      <c r="D230">
        <v>145</v>
      </c>
      <c r="E230">
        <v>3880</v>
      </c>
      <c r="F230">
        <v>12.5</v>
      </c>
      <c r="G230">
        <v>77</v>
      </c>
      <c r="H230" t="s">
        <v>1637</v>
      </c>
      <c r="I230" t="s">
        <v>1171</v>
      </c>
      <c r="J230" t="s">
        <v>980</v>
      </c>
      <c r="K230" t="s">
        <v>1172</v>
      </c>
      <c r="L230" t="b">
        <f>Data_Completeness(MileageData[[#This Row],[MPG]:[Acceleration]])</f>
        <v>1</v>
      </c>
    </row>
    <row r="231" spans="1:12" x14ac:dyDescent="0.25">
      <c r="A231">
        <v>17</v>
      </c>
      <c r="B231">
        <v>8</v>
      </c>
      <c r="C231">
        <v>260</v>
      </c>
      <c r="D231">
        <v>110</v>
      </c>
      <c r="E231">
        <v>4060</v>
      </c>
      <c r="F231">
        <v>19</v>
      </c>
      <c r="G231">
        <v>77</v>
      </c>
      <c r="H231" t="s">
        <v>1637</v>
      </c>
      <c r="I231" t="s">
        <v>1332</v>
      </c>
      <c r="J231" t="s">
        <v>1126</v>
      </c>
      <c r="K231" t="s">
        <v>1333</v>
      </c>
      <c r="L231" t="b">
        <f>Data_Completeness(MileageData[[#This Row],[MPG]:[Acceleration]])</f>
        <v>1</v>
      </c>
    </row>
    <row r="232" spans="1:12" x14ac:dyDescent="0.25">
      <c r="A232">
        <v>15.5</v>
      </c>
      <c r="B232">
        <v>8</v>
      </c>
      <c r="C232">
        <v>318</v>
      </c>
      <c r="D232">
        <v>145</v>
      </c>
      <c r="E232">
        <v>4140</v>
      </c>
      <c r="F232">
        <v>13.7</v>
      </c>
      <c r="G232">
        <v>77</v>
      </c>
      <c r="H232" t="s">
        <v>1637</v>
      </c>
      <c r="I232" t="s">
        <v>1334</v>
      </c>
      <c r="J232" t="s">
        <v>1017</v>
      </c>
      <c r="K232" t="s">
        <v>1335</v>
      </c>
      <c r="L232" t="b">
        <f>Data_Completeness(MileageData[[#This Row],[MPG]:[Acceleration]])</f>
        <v>1</v>
      </c>
    </row>
    <row r="233" spans="1:12" x14ac:dyDescent="0.25">
      <c r="A233">
        <v>15</v>
      </c>
      <c r="B233">
        <v>8</v>
      </c>
      <c r="C233">
        <v>302</v>
      </c>
      <c r="D233">
        <v>130</v>
      </c>
      <c r="E233">
        <v>4295</v>
      </c>
      <c r="F233">
        <v>14.9</v>
      </c>
      <c r="G233">
        <v>77</v>
      </c>
      <c r="H233" t="s">
        <v>1637</v>
      </c>
      <c r="I233" t="s">
        <v>1336</v>
      </c>
      <c r="J233" t="s">
        <v>1094</v>
      </c>
      <c r="K233" t="s">
        <v>1337</v>
      </c>
      <c r="L233" t="b">
        <f>Data_Completeness(MileageData[[#This Row],[MPG]:[Acceleration]])</f>
        <v>1</v>
      </c>
    </row>
    <row r="234" spans="1:12" x14ac:dyDescent="0.25">
      <c r="A234">
        <v>17.5</v>
      </c>
      <c r="B234">
        <v>6</v>
      </c>
      <c r="C234">
        <v>250</v>
      </c>
      <c r="D234">
        <v>110</v>
      </c>
      <c r="E234">
        <v>3520</v>
      </c>
      <c r="F234">
        <v>16.399999999999999</v>
      </c>
      <c r="G234">
        <v>77</v>
      </c>
      <c r="H234" t="s">
        <v>1637</v>
      </c>
      <c r="I234" t="s">
        <v>1338</v>
      </c>
      <c r="J234" t="s">
        <v>980</v>
      </c>
      <c r="K234" t="s">
        <v>1339</v>
      </c>
      <c r="L234" t="b">
        <f>Data_Completeness(MileageData[[#This Row],[MPG]:[Acceleration]])</f>
        <v>1</v>
      </c>
    </row>
    <row r="235" spans="1:12" x14ac:dyDescent="0.25">
      <c r="A235">
        <v>20.5</v>
      </c>
      <c r="B235">
        <v>6</v>
      </c>
      <c r="C235">
        <v>231</v>
      </c>
      <c r="D235">
        <v>105</v>
      </c>
      <c r="E235">
        <v>3425</v>
      </c>
      <c r="F235">
        <v>16.899999999999999</v>
      </c>
      <c r="G235">
        <v>77</v>
      </c>
      <c r="H235" t="s">
        <v>1637</v>
      </c>
      <c r="I235" t="s">
        <v>1340</v>
      </c>
      <c r="J235" t="s">
        <v>983</v>
      </c>
      <c r="K235" t="s">
        <v>1341</v>
      </c>
      <c r="L235" t="b">
        <f>Data_Completeness(MileageData[[#This Row],[MPG]:[Acceleration]])</f>
        <v>1</v>
      </c>
    </row>
    <row r="236" spans="1:12" x14ac:dyDescent="0.25">
      <c r="A236">
        <v>19</v>
      </c>
      <c r="B236">
        <v>6</v>
      </c>
      <c r="C236">
        <v>225</v>
      </c>
      <c r="D236">
        <v>100</v>
      </c>
      <c r="E236">
        <v>3630</v>
      </c>
      <c r="F236">
        <v>17.7</v>
      </c>
      <c r="G236">
        <v>77</v>
      </c>
      <c r="H236" t="s">
        <v>1637</v>
      </c>
      <c r="I236" t="s">
        <v>1342</v>
      </c>
      <c r="J236" t="s">
        <v>986</v>
      </c>
      <c r="K236" t="s">
        <v>1343</v>
      </c>
      <c r="L236" t="b">
        <f>Data_Completeness(MileageData[[#This Row],[MPG]:[Acceleration]])</f>
        <v>1</v>
      </c>
    </row>
    <row r="237" spans="1:12" x14ac:dyDescent="0.25">
      <c r="A237">
        <v>18.5</v>
      </c>
      <c r="B237">
        <v>6</v>
      </c>
      <c r="C237">
        <v>250</v>
      </c>
      <c r="D237">
        <v>98</v>
      </c>
      <c r="E237">
        <v>3525</v>
      </c>
      <c r="F237">
        <v>19</v>
      </c>
      <c r="G237">
        <v>77</v>
      </c>
      <c r="H237" t="s">
        <v>1637</v>
      </c>
      <c r="I237" t="s">
        <v>1344</v>
      </c>
      <c r="J237" t="s">
        <v>992</v>
      </c>
      <c r="K237" t="s">
        <v>1345</v>
      </c>
      <c r="L237" t="b">
        <f>Data_Completeness(MileageData[[#This Row],[MPG]:[Acceleration]])</f>
        <v>1</v>
      </c>
    </row>
    <row r="238" spans="1:12" x14ac:dyDescent="0.25">
      <c r="A238">
        <v>16</v>
      </c>
      <c r="B238">
        <v>8</v>
      </c>
      <c r="C238">
        <v>400</v>
      </c>
      <c r="D238">
        <v>180</v>
      </c>
      <c r="E238">
        <v>4220</v>
      </c>
      <c r="F238">
        <v>11.1</v>
      </c>
      <c r="G238">
        <v>77</v>
      </c>
      <c r="H238" t="s">
        <v>1637</v>
      </c>
      <c r="I238" t="s">
        <v>1346</v>
      </c>
      <c r="J238" t="s">
        <v>1001</v>
      </c>
      <c r="K238" t="s">
        <v>1347</v>
      </c>
      <c r="L238" t="b">
        <f>Data_Completeness(MileageData[[#This Row],[MPG]:[Acceleration]])</f>
        <v>1</v>
      </c>
    </row>
    <row r="239" spans="1:12" x14ac:dyDescent="0.25">
      <c r="A239">
        <v>15.5</v>
      </c>
      <c r="B239">
        <v>8</v>
      </c>
      <c r="C239">
        <v>350</v>
      </c>
      <c r="D239">
        <v>170</v>
      </c>
      <c r="E239">
        <v>4165</v>
      </c>
      <c r="F239">
        <v>11.4</v>
      </c>
      <c r="G239">
        <v>77</v>
      </c>
      <c r="H239" t="s">
        <v>1637</v>
      </c>
      <c r="I239" t="s">
        <v>1348</v>
      </c>
      <c r="J239" t="s">
        <v>980</v>
      </c>
      <c r="K239" t="s">
        <v>1349</v>
      </c>
      <c r="L239" t="b">
        <f>Data_Completeness(MileageData[[#This Row],[MPG]:[Acceleration]])</f>
        <v>1</v>
      </c>
    </row>
    <row r="240" spans="1:12" x14ac:dyDescent="0.25">
      <c r="A240">
        <v>15.5</v>
      </c>
      <c r="B240">
        <v>8</v>
      </c>
      <c r="C240">
        <v>400</v>
      </c>
      <c r="D240">
        <v>190</v>
      </c>
      <c r="E240">
        <v>4325</v>
      </c>
      <c r="F240">
        <v>12.2</v>
      </c>
      <c r="G240">
        <v>77</v>
      </c>
      <c r="H240" t="s">
        <v>1637</v>
      </c>
      <c r="I240" t="s">
        <v>1350</v>
      </c>
      <c r="J240" t="s">
        <v>1129</v>
      </c>
      <c r="K240" t="s">
        <v>1351</v>
      </c>
      <c r="L240" t="b">
        <f>Data_Completeness(MileageData[[#This Row],[MPG]:[Acceleration]])</f>
        <v>1</v>
      </c>
    </row>
    <row r="241" spans="1:12" x14ac:dyDescent="0.25">
      <c r="A241">
        <v>16</v>
      </c>
      <c r="B241">
        <v>8</v>
      </c>
      <c r="C241">
        <v>351</v>
      </c>
      <c r="D241">
        <v>149</v>
      </c>
      <c r="E241">
        <v>4335</v>
      </c>
      <c r="F241">
        <v>14.5</v>
      </c>
      <c r="G241">
        <v>77</v>
      </c>
      <c r="H241" t="s">
        <v>1637</v>
      </c>
      <c r="I241" t="s">
        <v>1352</v>
      </c>
      <c r="J241" t="s">
        <v>992</v>
      </c>
      <c r="K241" t="s">
        <v>1353</v>
      </c>
      <c r="L241" t="b">
        <f>Data_Completeness(MileageData[[#This Row],[MPG]:[Acceleration]])</f>
        <v>1</v>
      </c>
    </row>
    <row r="242" spans="1:12" x14ac:dyDescent="0.25">
      <c r="A242">
        <v>29</v>
      </c>
      <c r="B242">
        <v>4</v>
      </c>
      <c r="C242">
        <v>97</v>
      </c>
      <c r="D242">
        <v>78</v>
      </c>
      <c r="E242">
        <v>1940</v>
      </c>
      <c r="F242">
        <v>14.5</v>
      </c>
      <c r="G242">
        <v>77</v>
      </c>
      <c r="H242" t="s">
        <v>1638</v>
      </c>
      <c r="I242" t="s">
        <v>1354</v>
      </c>
      <c r="J242" t="s">
        <v>1039</v>
      </c>
      <c r="K242" t="s">
        <v>1355</v>
      </c>
      <c r="L242" t="b">
        <f>Data_Completeness(MileageData[[#This Row],[MPG]:[Acceleration]])</f>
        <v>1</v>
      </c>
    </row>
    <row r="243" spans="1:12" x14ac:dyDescent="0.25">
      <c r="A243">
        <v>24.5</v>
      </c>
      <c r="B243">
        <v>4</v>
      </c>
      <c r="C243">
        <v>151</v>
      </c>
      <c r="D243">
        <v>88</v>
      </c>
      <c r="E243">
        <v>2740</v>
      </c>
      <c r="F243">
        <v>16</v>
      </c>
      <c r="G243">
        <v>77</v>
      </c>
      <c r="H243" t="s">
        <v>1637</v>
      </c>
      <c r="I243" t="s">
        <v>1356</v>
      </c>
      <c r="J243" t="s">
        <v>1001</v>
      </c>
      <c r="K243" t="s">
        <v>1357</v>
      </c>
      <c r="L243" t="b">
        <f>Data_Completeness(MileageData[[#This Row],[MPG]:[Acceleration]])</f>
        <v>1</v>
      </c>
    </row>
    <row r="244" spans="1:12" x14ac:dyDescent="0.25">
      <c r="A244">
        <v>26</v>
      </c>
      <c r="B244">
        <v>4</v>
      </c>
      <c r="C244">
        <v>97</v>
      </c>
      <c r="D244">
        <v>75</v>
      </c>
      <c r="E244">
        <v>2265</v>
      </c>
      <c r="F244">
        <v>18.2</v>
      </c>
      <c r="G244">
        <v>77</v>
      </c>
      <c r="H244" t="s">
        <v>1639</v>
      </c>
      <c r="I244" t="s">
        <v>1358</v>
      </c>
      <c r="J244" t="s">
        <v>1027</v>
      </c>
      <c r="K244" t="s">
        <v>1359</v>
      </c>
      <c r="L244" t="b">
        <f>Data_Completeness(MileageData[[#This Row],[MPG]:[Acceleration]])</f>
        <v>1</v>
      </c>
    </row>
    <row r="245" spans="1:12" x14ac:dyDescent="0.25">
      <c r="A245">
        <v>25.5</v>
      </c>
      <c r="B245">
        <v>4</v>
      </c>
      <c r="C245">
        <v>140</v>
      </c>
      <c r="D245">
        <v>89</v>
      </c>
      <c r="E245">
        <v>2755</v>
      </c>
      <c r="F245">
        <v>15.8</v>
      </c>
      <c r="G245">
        <v>77</v>
      </c>
      <c r="H245" t="s">
        <v>1637</v>
      </c>
      <c r="I245" t="s">
        <v>1360</v>
      </c>
      <c r="J245" t="s">
        <v>992</v>
      </c>
      <c r="K245" t="s">
        <v>1361</v>
      </c>
      <c r="L245" t="b">
        <f>Data_Completeness(MileageData[[#This Row],[MPG]:[Acceleration]])</f>
        <v>1</v>
      </c>
    </row>
    <row r="246" spans="1:12" x14ac:dyDescent="0.25">
      <c r="A246">
        <v>30.5</v>
      </c>
      <c r="B246">
        <v>4</v>
      </c>
      <c r="C246">
        <v>98</v>
      </c>
      <c r="D246">
        <v>63</v>
      </c>
      <c r="E246">
        <v>2051</v>
      </c>
      <c r="F246">
        <v>17</v>
      </c>
      <c r="G246">
        <v>77</v>
      </c>
      <c r="H246" t="s">
        <v>1637</v>
      </c>
      <c r="I246" t="s">
        <v>1291</v>
      </c>
      <c r="J246" t="s">
        <v>980</v>
      </c>
      <c r="K246" t="s">
        <v>1292</v>
      </c>
      <c r="L246" t="b">
        <f>Data_Completeness(MileageData[[#This Row],[MPG]:[Acceleration]])</f>
        <v>1</v>
      </c>
    </row>
    <row r="247" spans="1:12" x14ac:dyDescent="0.25">
      <c r="A247">
        <v>33.5</v>
      </c>
      <c r="B247">
        <v>4</v>
      </c>
      <c r="C247">
        <v>98</v>
      </c>
      <c r="D247">
        <v>83</v>
      </c>
      <c r="E247">
        <v>2075</v>
      </c>
      <c r="F247">
        <v>15.9</v>
      </c>
      <c r="G247">
        <v>77</v>
      </c>
      <c r="H247" t="s">
        <v>1637</v>
      </c>
      <c r="I247" t="s">
        <v>1362</v>
      </c>
      <c r="J247" t="s">
        <v>1017</v>
      </c>
      <c r="K247" t="s">
        <v>1363</v>
      </c>
      <c r="L247" t="b">
        <f>Data_Completeness(MileageData[[#This Row],[MPG]:[Acceleration]])</f>
        <v>1</v>
      </c>
    </row>
    <row r="248" spans="1:12" x14ac:dyDescent="0.25">
      <c r="A248">
        <v>30</v>
      </c>
      <c r="B248">
        <v>4</v>
      </c>
      <c r="C248">
        <v>97</v>
      </c>
      <c r="D248">
        <v>67</v>
      </c>
      <c r="E248">
        <v>1985</v>
      </c>
      <c r="F248">
        <v>16.399999999999999</v>
      </c>
      <c r="G248">
        <v>77</v>
      </c>
      <c r="H248" t="s">
        <v>1639</v>
      </c>
      <c r="I248" t="s">
        <v>1364</v>
      </c>
      <c r="J248" t="s">
        <v>1248</v>
      </c>
      <c r="K248" t="s">
        <v>1365</v>
      </c>
      <c r="L248" t="b">
        <f>Data_Completeness(MileageData[[#This Row],[MPG]:[Acceleration]])</f>
        <v>1</v>
      </c>
    </row>
    <row r="249" spans="1:12" x14ac:dyDescent="0.25">
      <c r="A249">
        <v>30.5</v>
      </c>
      <c r="B249">
        <v>4</v>
      </c>
      <c r="C249">
        <v>97</v>
      </c>
      <c r="D249">
        <v>78</v>
      </c>
      <c r="E249">
        <v>2190</v>
      </c>
      <c r="F249">
        <v>14.1</v>
      </c>
      <c r="G249">
        <v>77</v>
      </c>
      <c r="H249" t="s">
        <v>1638</v>
      </c>
      <c r="I249" t="s">
        <v>1238</v>
      </c>
      <c r="J249" t="s">
        <v>1039</v>
      </c>
      <c r="K249" t="s">
        <v>1239</v>
      </c>
      <c r="L249" t="b">
        <f>Data_Completeness(MileageData[[#This Row],[MPG]:[Acceleration]])</f>
        <v>1</v>
      </c>
    </row>
    <row r="250" spans="1:12" x14ac:dyDescent="0.25">
      <c r="A250">
        <v>22</v>
      </c>
      <c r="B250">
        <v>6</v>
      </c>
      <c r="C250">
        <v>146</v>
      </c>
      <c r="D250">
        <v>97</v>
      </c>
      <c r="E250">
        <v>2815</v>
      </c>
      <c r="F250">
        <v>14.5</v>
      </c>
      <c r="G250">
        <v>77</v>
      </c>
      <c r="H250" t="s">
        <v>1639</v>
      </c>
      <c r="I250" t="s">
        <v>1366</v>
      </c>
      <c r="J250" t="s">
        <v>1036</v>
      </c>
      <c r="K250">
        <v>810</v>
      </c>
      <c r="L250" t="b">
        <f>Data_Completeness(MileageData[[#This Row],[MPG]:[Acceleration]])</f>
        <v>1</v>
      </c>
    </row>
    <row r="251" spans="1:12" x14ac:dyDescent="0.25">
      <c r="A251">
        <v>21.5</v>
      </c>
      <c r="B251">
        <v>4</v>
      </c>
      <c r="C251">
        <v>121</v>
      </c>
      <c r="D251">
        <v>110</v>
      </c>
      <c r="E251">
        <v>2600</v>
      </c>
      <c r="F251">
        <v>12.8</v>
      </c>
      <c r="G251">
        <v>77</v>
      </c>
      <c r="H251" t="s">
        <v>1638</v>
      </c>
      <c r="I251" t="s">
        <v>1367</v>
      </c>
      <c r="J251" t="s">
        <v>1050</v>
      </c>
      <c r="K251" t="s">
        <v>1368</v>
      </c>
      <c r="L251" t="b">
        <f>Data_Completeness(MileageData[[#This Row],[MPG]:[Acceleration]])</f>
        <v>1</v>
      </c>
    </row>
    <row r="252" spans="1:12" x14ac:dyDescent="0.25">
      <c r="A252">
        <v>21.5</v>
      </c>
      <c r="B252">
        <v>3</v>
      </c>
      <c r="C252">
        <v>80</v>
      </c>
      <c r="D252">
        <v>110</v>
      </c>
      <c r="E252">
        <v>2720</v>
      </c>
      <c r="F252">
        <v>13.5</v>
      </c>
      <c r="G252">
        <v>77</v>
      </c>
      <c r="H252" t="s">
        <v>1639</v>
      </c>
      <c r="I252" t="s">
        <v>1369</v>
      </c>
      <c r="J252" t="s">
        <v>1132</v>
      </c>
      <c r="K252" t="s">
        <v>1370</v>
      </c>
      <c r="L252" t="b">
        <f>Data_Completeness(MileageData[[#This Row],[MPG]:[Acceleration]])</f>
        <v>1</v>
      </c>
    </row>
    <row r="253" spans="1:12" x14ac:dyDescent="0.25">
      <c r="A253">
        <v>43.1</v>
      </c>
      <c r="B253">
        <v>4</v>
      </c>
      <c r="C253">
        <v>90</v>
      </c>
      <c r="D253">
        <v>48</v>
      </c>
      <c r="E253">
        <v>1985</v>
      </c>
      <c r="F253">
        <v>21.5</v>
      </c>
      <c r="G253">
        <v>78</v>
      </c>
      <c r="H253" t="s">
        <v>1638</v>
      </c>
      <c r="I253" t="s">
        <v>1371</v>
      </c>
      <c r="J253" t="s">
        <v>1039</v>
      </c>
      <c r="K253" t="s">
        <v>1372</v>
      </c>
      <c r="L253" t="b">
        <f>Data_Completeness(MileageData[[#This Row],[MPG]:[Acceleration]])</f>
        <v>1</v>
      </c>
    </row>
    <row r="254" spans="1:12" x14ac:dyDescent="0.25">
      <c r="A254">
        <v>36.1</v>
      </c>
      <c r="B254">
        <v>4</v>
      </c>
      <c r="C254">
        <v>98</v>
      </c>
      <c r="D254">
        <v>66</v>
      </c>
      <c r="E254">
        <v>1800</v>
      </c>
      <c r="F254">
        <v>14.4</v>
      </c>
      <c r="G254">
        <v>78</v>
      </c>
      <c r="H254" t="s">
        <v>1637</v>
      </c>
      <c r="I254" t="s">
        <v>1373</v>
      </c>
      <c r="J254" t="s">
        <v>992</v>
      </c>
      <c r="K254" t="s">
        <v>1374</v>
      </c>
      <c r="L254" t="b">
        <f>Data_Completeness(MileageData[[#This Row],[MPG]:[Acceleration]])</f>
        <v>1</v>
      </c>
    </row>
    <row r="255" spans="1:12" x14ac:dyDescent="0.25">
      <c r="A255">
        <v>32.799999999999997</v>
      </c>
      <c r="B255">
        <v>4</v>
      </c>
      <c r="C255">
        <v>78</v>
      </c>
      <c r="D255">
        <v>52</v>
      </c>
      <c r="E255">
        <v>1985</v>
      </c>
      <c r="F255">
        <v>19.399999999999999</v>
      </c>
      <c r="G255">
        <v>78</v>
      </c>
      <c r="H255" t="s">
        <v>1639</v>
      </c>
      <c r="I255" t="s">
        <v>1375</v>
      </c>
      <c r="J255" t="s">
        <v>1132</v>
      </c>
      <c r="K255" t="s">
        <v>1376</v>
      </c>
      <c r="L255" t="b">
        <f>Data_Completeness(MileageData[[#This Row],[MPG]:[Acceleration]])</f>
        <v>1</v>
      </c>
    </row>
    <row r="256" spans="1:12" x14ac:dyDescent="0.25">
      <c r="A256">
        <v>39.4</v>
      </c>
      <c r="B256">
        <v>4</v>
      </c>
      <c r="C256">
        <v>85</v>
      </c>
      <c r="D256">
        <v>70</v>
      </c>
      <c r="E256">
        <v>2070</v>
      </c>
      <c r="F256">
        <v>18.600000000000001</v>
      </c>
      <c r="G256">
        <v>78</v>
      </c>
      <c r="H256" t="s">
        <v>1639</v>
      </c>
      <c r="I256" t="s">
        <v>1377</v>
      </c>
      <c r="J256" t="s">
        <v>1036</v>
      </c>
      <c r="K256" t="s">
        <v>1378</v>
      </c>
      <c r="L256" t="b">
        <f>Data_Completeness(MileageData[[#This Row],[MPG]:[Acceleration]])</f>
        <v>1</v>
      </c>
    </row>
    <row r="257" spans="1:12" x14ac:dyDescent="0.25">
      <c r="A257">
        <v>36.1</v>
      </c>
      <c r="B257">
        <v>4</v>
      </c>
      <c r="C257">
        <v>91</v>
      </c>
      <c r="D257">
        <v>60</v>
      </c>
      <c r="E257">
        <v>1800</v>
      </c>
      <c r="F257">
        <v>16.399999999999999</v>
      </c>
      <c r="G257">
        <v>78</v>
      </c>
      <c r="H257" t="s">
        <v>1639</v>
      </c>
      <c r="I257" t="s">
        <v>1281</v>
      </c>
      <c r="J257" t="s">
        <v>1246</v>
      </c>
      <c r="K257" t="s">
        <v>1282</v>
      </c>
      <c r="L257" t="b">
        <f>Data_Completeness(MileageData[[#This Row],[MPG]:[Acceleration]])</f>
        <v>1</v>
      </c>
    </row>
    <row r="258" spans="1:12" x14ac:dyDescent="0.25">
      <c r="A258">
        <v>19.899999999999999</v>
      </c>
      <c r="B258">
        <v>8</v>
      </c>
      <c r="C258">
        <v>260</v>
      </c>
      <c r="D258">
        <v>110</v>
      </c>
      <c r="E258">
        <v>3365</v>
      </c>
      <c r="F258">
        <v>15.5</v>
      </c>
      <c r="G258">
        <v>78</v>
      </c>
      <c r="H258" t="s">
        <v>1637</v>
      </c>
      <c r="I258" t="s">
        <v>1379</v>
      </c>
      <c r="J258" t="s">
        <v>1126</v>
      </c>
      <c r="K258" t="s">
        <v>1380</v>
      </c>
      <c r="L258" t="b">
        <f>Data_Completeness(MileageData[[#This Row],[MPG]:[Acceleration]])</f>
        <v>1</v>
      </c>
    </row>
    <row r="259" spans="1:12" x14ac:dyDescent="0.25">
      <c r="A259">
        <v>19.399999999999999</v>
      </c>
      <c r="B259">
        <v>8</v>
      </c>
      <c r="C259">
        <v>318</v>
      </c>
      <c r="D259">
        <v>140</v>
      </c>
      <c r="E259">
        <v>3735</v>
      </c>
      <c r="F259">
        <v>13.2</v>
      </c>
      <c r="G259">
        <v>78</v>
      </c>
      <c r="H259" t="s">
        <v>1637</v>
      </c>
      <c r="I259" t="s">
        <v>1381</v>
      </c>
      <c r="J259" t="s">
        <v>1017</v>
      </c>
      <c r="K259" t="s">
        <v>1382</v>
      </c>
      <c r="L259" t="b">
        <f>Data_Completeness(MileageData[[#This Row],[MPG]:[Acceleration]])</f>
        <v>1</v>
      </c>
    </row>
    <row r="260" spans="1:12" x14ac:dyDescent="0.25">
      <c r="A260">
        <v>20.2</v>
      </c>
      <c r="B260">
        <v>8</v>
      </c>
      <c r="C260">
        <v>302</v>
      </c>
      <c r="D260">
        <v>139</v>
      </c>
      <c r="E260">
        <v>3570</v>
      </c>
      <c r="F260">
        <v>12.8</v>
      </c>
      <c r="G260">
        <v>78</v>
      </c>
      <c r="H260" t="s">
        <v>1637</v>
      </c>
      <c r="I260" t="s">
        <v>1383</v>
      </c>
      <c r="J260" t="s">
        <v>1094</v>
      </c>
      <c r="K260" t="s">
        <v>1384</v>
      </c>
      <c r="L260" t="b">
        <f>Data_Completeness(MileageData[[#This Row],[MPG]:[Acceleration]])</f>
        <v>1</v>
      </c>
    </row>
    <row r="261" spans="1:12" x14ac:dyDescent="0.25">
      <c r="A261">
        <v>19.2</v>
      </c>
      <c r="B261">
        <v>6</v>
      </c>
      <c r="C261">
        <v>231</v>
      </c>
      <c r="D261">
        <v>105</v>
      </c>
      <c r="E261">
        <v>3535</v>
      </c>
      <c r="F261">
        <v>19.2</v>
      </c>
      <c r="G261">
        <v>78</v>
      </c>
      <c r="H261" t="s">
        <v>1637</v>
      </c>
      <c r="I261" t="s">
        <v>1385</v>
      </c>
      <c r="J261" t="s">
        <v>1001</v>
      </c>
      <c r="K261" t="s">
        <v>1386</v>
      </c>
      <c r="L261" t="b">
        <f>Data_Completeness(MileageData[[#This Row],[MPG]:[Acceleration]])</f>
        <v>1</v>
      </c>
    </row>
    <row r="262" spans="1:12" x14ac:dyDescent="0.25">
      <c r="A262">
        <v>20.5</v>
      </c>
      <c r="B262">
        <v>6</v>
      </c>
      <c r="C262">
        <v>200</v>
      </c>
      <c r="D262">
        <v>95</v>
      </c>
      <c r="E262">
        <v>3155</v>
      </c>
      <c r="F262">
        <v>18.2</v>
      </c>
      <c r="G262">
        <v>78</v>
      </c>
      <c r="H262" t="s">
        <v>1637</v>
      </c>
      <c r="I262" t="s">
        <v>1163</v>
      </c>
      <c r="J262" t="s">
        <v>980</v>
      </c>
      <c r="K262" t="s">
        <v>1164</v>
      </c>
      <c r="L262" t="b">
        <f>Data_Completeness(MileageData[[#This Row],[MPG]:[Acceleration]])</f>
        <v>1</v>
      </c>
    </row>
    <row r="263" spans="1:12" x14ac:dyDescent="0.25">
      <c r="A263">
        <v>20.2</v>
      </c>
      <c r="B263">
        <v>6</v>
      </c>
      <c r="C263">
        <v>200</v>
      </c>
      <c r="D263">
        <v>85</v>
      </c>
      <c r="E263">
        <v>2965</v>
      </c>
      <c r="F263">
        <v>15.8</v>
      </c>
      <c r="G263">
        <v>78</v>
      </c>
      <c r="H263" t="s">
        <v>1637</v>
      </c>
      <c r="I263" t="s">
        <v>1387</v>
      </c>
      <c r="J263" t="s">
        <v>992</v>
      </c>
      <c r="K263" t="s">
        <v>1388</v>
      </c>
      <c r="L263" t="b">
        <f>Data_Completeness(MileageData[[#This Row],[MPG]:[Acceleration]])</f>
        <v>1</v>
      </c>
    </row>
    <row r="264" spans="1:12" x14ac:dyDescent="0.25">
      <c r="A264">
        <v>25.1</v>
      </c>
      <c r="B264">
        <v>4</v>
      </c>
      <c r="C264">
        <v>140</v>
      </c>
      <c r="D264">
        <v>88</v>
      </c>
      <c r="E264">
        <v>2720</v>
      </c>
      <c r="F264">
        <v>15.4</v>
      </c>
      <c r="G264">
        <v>78</v>
      </c>
      <c r="H264" t="s">
        <v>1637</v>
      </c>
      <c r="I264" t="s">
        <v>1389</v>
      </c>
      <c r="J264" t="s">
        <v>992</v>
      </c>
      <c r="K264" t="s">
        <v>1390</v>
      </c>
      <c r="L264" t="b">
        <f>Data_Completeness(MileageData[[#This Row],[MPG]:[Acceleration]])</f>
        <v>1</v>
      </c>
    </row>
    <row r="265" spans="1:12" x14ac:dyDescent="0.25">
      <c r="A265">
        <v>20.5</v>
      </c>
      <c r="B265">
        <v>6</v>
      </c>
      <c r="C265">
        <v>225</v>
      </c>
      <c r="D265">
        <v>100</v>
      </c>
      <c r="E265">
        <v>3430</v>
      </c>
      <c r="F265">
        <v>17.2</v>
      </c>
      <c r="G265">
        <v>78</v>
      </c>
      <c r="H265" t="s">
        <v>1637</v>
      </c>
      <c r="I265" t="s">
        <v>1391</v>
      </c>
      <c r="J265" t="s">
        <v>986</v>
      </c>
      <c r="K265" t="s">
        <v>1392</v>
      </c>
      <c r="L265" t="b">
        <f>Data_Completeness(MileageData[[#This Row],[MPG]:[Acceleration]])</f>
        <v>1</v>
      </c>
    </row>
    <row r="266" spans="1:12" x14ac:dyDescent="0.25">
      <c r="A266">
        <v>19.399999999999999</v>
      </c>
      <c r="B266">
        <v>6</v>
      </c>
      <c r="C266">
        <v>232</v>
      </c>
      <c r="D266">
        <v>90</v>
      </c>
      <c r="E266">
        <v>3210</v>
      </c>
      <c r="F266">
        <v>17.2</v>
      </c>
      <c r="G266">
        <v>78</v>
      </c>
      <c r="H266" t="s">
        <v>1637</v>
      </c>
      <c r="I266" t="s">
        <v>1393</v>
      </c>
      <c r="J266" t="s">
        <v>989</v>
      </c>
      <c r="K266" t="s">
        <v>1394</v>
      </c>
      <c r="L266" t="b">
        <f>Data_Completeness(MileageData[[#This Row],[MPG]:[Acceleration]])</f>
        <v>1</v>
      </c>
    </row>
    <row r="267" spans="1:12" x14ac:dyDescent="0.25">
      <c r="A267">
        <v>20.6</v>
      </c>
      <c r="B267">
        <v>6</v>
      </c>
      <c r="C267">
        <v>231</v>
      </c>
      <c r="D267">
        <v>105</v>
      </c>
      <c r="E267">
        <v>3380</v>
      </c>
      <c r="F267">
        <v>15.8</v>
      </c>
      <c r="G267">
        <v>78</v>
      </c>
      <c r="H267" t="s">
        <v>1637</v>
      </c>
      <c r="I267" t="s">
        <v>1395</v>
      </c>
      <c r="J267" t="s">
        <v>983</v>
      </c>
      <c r="K267" t="s">
        <v>1396</v>
      </c>
      <c r="L267" t="b">
        <f>Data_Completeness(MileageData[[#This Row],[MPG]:[Acceleration]])</f>
        <v>1</v>
      </c>
    </row>
    <row r="268" spans="1:12" x14ac:dyDescent="0.25">
      <c r="A268">
        <v>20.8</v>
      </c>
      <c r="B268">
        <v>6</v>
      </c>
      <c r="C268">
        <v>200</v>
      </c>
      <c r="D268">
        <v>85</v>
      </c>
      <c r="E268">
        <v>3070</v>
      </c>
      <c r="F268">
        <v>16.7</v>
      </c>
      <c r="G268">
        <v>78</v>
      </c>
      <c r="H268" t="s">
        <v>1637</v>
      </c>
      <c r="I268" t="s">
        <v>1397</v>
      </c>
      <c r="J268" t="s">
        <v>1094</v>
      </c>
      <c r="K268" t="s">
        <v>1398</v>
      </c>
      <c r="L268" t="b">
        <f>Data_Completeness(MileageData[[#This Row],[MPG]:[Acceleration]])</f>
        <v>1</v>
      </c>
    </row>
    <row r="269" spans="1:12" x14ac:dyDescent="0.25">
      <c r="A269">
        <v>18.600000000000001</v>
      </c>
      <c r="B269">
        <v>6</v>
      </c>
      <c r="C269">
        <v>225</v>
      </c>
      <c r="D269">
        <v>110</v>
      </c>
      <c r="E269">
        <v>3620</v>
      </c>
      <c r="F269">
        <v>18.7</v>
      </c>
      <c r="G269">
        <v>78</v>
      </c>
      <c r="H269" t="s">
        <v>1637</v>
      </c>
      <c r="I269" t="s">
        <v>1399</v>
      </c>
      <c r="J269" t="s">
        <v>1017</v>
      </c>
      <c r="K269" t="s">
        <v>1400</v>
      </c>
      <c r="L269" t="b">
        <f>Data_Completeness(MileageData[[#This Row],[MPG]:[Acceleration]])</f>
        <v>1</v>
      </c>
    </row>
    <row r="270" spans="1:12" x14ac:dyDescent="0.25">
      <c r="A270">
        <v>18.100000000000001</v>
      </c>
      <c r="B270">
        <v>6</v>
      </c>
      <c r="C270">
        <v>258</v>
      </c>
      <c r="D270">
        <v>120</v>
      </c>
      <c r="E270">
        <v>3410</v>
      </c>
      <c r="F270">
        <v>15.1</v>
      </c>
      <c r="G270">
        <v>78</v>
      </c>
      <c r="H270" t="s">
        <v>1637</v>
      </c>
      <c r="I270" t="s">
        <v>1401</v>
      </c>
      <c r="J270" t="s">
        <v>989</v>
      </c>
      <c r="K270" t="s">
        <v>1402</v>
      </c>
      <c r="L270" t="b">
        <f>Data_Completeness(MileageData[[#This Row],[MPG]:[Acceleration]])</f>
        <v>1</v>
      </c>
    </row>
    <row r="271" spans="1:12" x14ac:dyDescent="0.25">
      <c r="A271">
        <v>19.2</v>
      </c>
      <c r="B271">
        <v>8</v>
      </c>
      <c r="C271">
        <v>305</v>
      </c>
      <c r="D271">
        <v>145</v>
      </c>
      <c r="E271">
        <v>3425</v>
      </c>
      <c r="F271">
        <v>13.2</v>
      </c>
      <c r="G271">
        <v>78</v>
      </c>
      <c r="H271" t="s">
        <v>1637</v>
      </c>
      <c r="I271" t="s">
        <v>1348</v>
      </c>
      <c r="J271" t="s">
        <v>980</v>
      </c>
      <c r="K271" t="s">
        <v>1349</v>
      </c>
      <c r="L271" t="b">
        <f>Data_Completeness(MileageData[[#This Row],[MPG]:[Acceleration]])</f>
        <v>1</v>
      </c>
    </row>
    <row r="272" spans="1:12" x14ac:dyDescent="0.25">
      <c r="A272">
        <v>17.7</v>
      </c>
      <c r="B272">
        <v>6</v>
      </c>
      <c r="C272">
        <v>231</v>
      </c>
      <c r="D272">
        <v>165</v>
      </c>
      <c r="E272">
        <v>3445</v>
      </c>
      <c r="F272">
        <v>13.4</v>
      </c>
      <c r="G272">
        <v>78</v>
      </c>
      <c r="H272" t="s">
        <v>1637</v>
      </c>
      <c r="I272" t="s">
        <v>1403</v>
      </c>
      <c r="J272" t="s">
        <v>983</v>
      </c>
      <c r="K272" t="s">
        <v>1404</v>
      </c>
      <c r="L272" t="b">
        <f>Data_Completeness(MileageData[[#This Row],[MPG]:[Acceleration]])</f>
        <v>1</v>
      </c>
    </row>
    <row r="273" spans="1:12" x14ac:dyDescent="0.25">
      <c r="A273">
        <v>18.100000000000001</v>
      </c>
      <c r="B273">
        <v>8</v>
      </c>
      <c r="C273">
        <v>302</v>
      </c>
      <c r="D273">
        <v>139</v>
      </c>
      <c r="E273">
        <v>3205</v>
      </c>
      <c r="F273">
        <v>11.2</v>
      </c>
      <c r="G273">
        <v>78</v>
      </c>
      <c r="H273" t="s">
        <v>1637</v>
      </c>
      <c r="I273" t="s">
        <v>1405</v>
      </c>
      <c r="J273" t="s">
        <v>992</v>
      </c>
      <c r="K273" t="s">
        <v>1406</v>
      </c>
      <c r="L273" t="b">
        <f>Data_Completeness(MileageData[[#This Row],[MPG]:[Acceleration]])</f>
        <v>1</v>
      </c>
    </row>
    <row r="274" spans="1:12" x14ac:dyDescent="0.25">
      <c r="A274">
        <v>17.5</v>
      </c>
      <c r="B274">
        <v>8</v>
      </c>
      <c r="C274">
        <v>318</v>
      </c>
      <c r="D274">
        <v>140</v>
      </c>
      <c r="E274">
        <v>4080</v>
      </c>
      <c r="F274">
        <v>13.7</v>
      </c>
      <c r="G274">
        <v>78</v>
      </c>
      <c r="H274" t="s">
        <v>1637</v>
      </c>
      <c r="I274" t="s">
        <v>1407</v>
      </c>
      <c r="J274" t="s">
        <v>1017</v>
      </c>
      <c r="K274" t="s">
        <v>1408</v>
      </c>
      <c r="L274" t="b">
        <f>Data_Completeness(MileageData[[#This Row],[MPG]:[Acceleration]])</f>
        <v>1</v>
      </c>
    </row>
    <row r="275" spans="1:12" x14ac:dyDescent="0.25">
      <c r="A275">
        <v>30</v>
      </c>
      <c r="B275">
        <v>4</v>
      </c>
      <c r="C275">
        <v>98</v>
      </c>
      <c r="D275">
        <v>68</v>
      </c>
      <c r="E275">
        <v>2155</v>
      </c>
      <c r="F275">
        <v>16.5</v>
      </c>
      <c r="G275">
        <v>78</v>
      </c>
      <c r="H275" t="s">
        <v>1637</v>
      </c>
      <c r="I275" t="s">
        <v>1291</v>
      </c>
      <c r="J275" t="s">
        <v>980</v>
      </c>
      <c r="K275" t="s">
        <v>1292</v>
      </c>
      <c r="L275" t="b">
        <f>Data_Completeness(MileageData[[#This Row],[MPG]:[Acceleration]])</f>
        <v>1</v>
      </c>
    </row>
    <row r="276" spans="1:12" x14ac:dyDescent="0.25">
      <c r="A276">
        <v>27.5</v>
      </c>
      <c r="B276">
        <v>4</v>
      </c>
      <c r="C276">
        <v>134</v>
      </c>
      <c r="D276">
        <v>95</v>
      </c>
      <c r="E276">
        <v>2560</v>
      </c>
      <c r="F276">
        <v>14.2</v>
      </c>
      <c r="G276">
        <v>78</v>
      </c>
      <c r="H276" t="s">
        <v>1639</v>
      </c>
      <c r="I276" t="s">
        <v>1065</v>
      </c>
      <c r="J276" t="s">
        <v>1027</v>
      </c>
      <c r="K276" t="s">
        <v>1066</v>
      </c>
      <c r="L276" t="b">
        <f>Data_Completeness(MileageData[[#This Row],[MPG]:[Acceleration]])</f>
        <v>1</v>
      </c>
    </row>
    <row r="277" spans="1:12" x14ac:dyDescent="0.25">
      <c r="A277">
        <v>27.2</v>
      </c>
      <c r="B277">
        <v>4</v>
      </c>
      <c r="C277">
        <v>119</v>
      </c>
      <c r="D277">
        <v>97</v>
      </c>
      <c r="E277">
        <v>2300</v>
      </c>
      <c r="F277">
        <v>14.7</v>
      </c>
      <c r="G277">
        <v>78</v>
      </c>
      <c r="H277" t="s">
        <v>1639</v>
      </c>
      <c r="I277" t="s">
        <v>1409</v>
      </c>
      <c r="J277" t="s">
        <v>1036</v>
      </c>
      <c r="K277">
        <v>510</v>
      </c>
      <c r="L277" t="b">
        <f>Data_Completeness(MileageData[[#This Row],[MPG]:[Acceleration]])</f>
        <v>1</v>
      </c>
    </row>
    <row r="278" spans="1:12" x14ac:dyDescent="0.25">
      <c r="A278">
        <v>30.9</v>
      </c>
      <c r="B278">
        <v>4</v>
      </c>
      <c r="C278">
        <v>105</v>
      </c>
      <c r="D278">
        <v>75</v>
      </c>
      <c r="E278">
        <v>2230</v>
      </c>
      <c r="F278">
        <v>14.5</v>
      </c>
      <c r="G278">
        <v>78</v>
      </c>
      <c r="H278" t="s">
        <v>1637</v>
      </c>
      <c r="I278" t="s">
        <v>1410</v>
      </c>
      <c r="J278" t="s">
        <v>1017</v>
      </c>
      <c r="K278" t="s">
        <v>1411</v>
      </c>
      <c r="L278" t="b">
        <f>Data_Completeness(MileageData[[#This Row],[MPG]:[Acceleration]])</f>
        <v>1</v>
      </c>
    </row>
    <row r="279" spans="1:12" x14ac:dyDescent="0.25">
      <c r="A279">
        <v>21.1</v>
      </c>
      <c r="B279">
        <v>4</v>
      </c>
      <c r="C279">
        <v>134</v>
      </c>
      <c r="D279">
        <v>95</v>
      </c>
      <c r="E279">
        <v>2515</v>
      </c>
      <c r="F279">
        <v>14.8</v>
      </c>
      <c r="G279">
        <v>78</v>
      </c>
      <c r="H279" t="s">
        <v>1639</v>
      </c>
      <c r="I279" t="s">
        <v>1412</v>
      </c>
      <c r="J279" t="s">
        <v>1027</v>
      </c>
      <c r="K279" t="s">
        <v>1413</v>
      </c>
      <c r="L279" t="b">
        <f>Data_Completeness(MileageData[[#This Row],[MPG]:[Acceleration]])</f>
        <v>1</v>
      </c>
    </row>
    <row r="280" spans="1:12" x14ac:dyDescent="0.25">
      <c r="A280">
        <v>23.2</v>
      </c>
      <c r="B280">
        <v>4</v>
      </c>
      <c r="C280">
        <v>156</v>
      </c>
      <c r="D280">
        <v>105</v>
      </c>
      <c r="E280">
        <v>2745</v>
      </c>
      <c r="F280">
        <v>16.7</v>
      </c>
      <c r="G280">
        <v>78</v>
      </c>
      <c r="H280" t="s">
        <v>1637</v>
      </c>
      <c r="I280" t="s">
        <v>1414</v>
      </c>
      <c r="J280" t="s">
        <v>986</v>
      </c>
      <c r="K280" t="s">
        <v>1415</v>
      </c>
      <c r="L280" t="b">
        <f>Data_Completeness(MileageData[[#This Row],[MPG]:[Acceleration]])</f>
        <v>1</v>
      </c>
    </row>
    <row r="281" spans="1:12" x14ac:dyDescent="0.25">
      <c r="A281">
        <v>23.8</v>
      </c>
      <c r="B281">
        <v>4</v>
      </c>
      <c r="C281">
        <v>151</v>
      </c>
      <c r="D281">
        <v>85</v>
      </c>
      <c r="E281">
        <v>2855</v>
      </c>
      <c r="F281">
        <v>17.600000000000001</v>
      </c>
      <c r="G281">
        <v>78</v>
      </c>
      <c r="H281" t="s">
        <v>1637</v>
      </c>
      <c r="I281" t="s">
        <v>1416</v>
      </c>
      <c r="J281" t="s">
        <v>1126</v>
      </c>
      <c r="K281" t="s">
        <v>1417</v>
      </c>
      <c r="L281" t="b">
        <f>Data_Completeness(MileageData[[#This Row],[MPG]:[Acceleration]])</f>
        <v>1</v>
      </c>
    </row>
    <row r="282" spans="1:12" x14ac:dyDescent="0.25">
      <c r="A282">
        <v>23.9</v>
      </c>
      <c r="B282">
        <v>4</v>
      </c>
      <c r="C282">
        <v>119</v>
      </c>
      <c r="D282">
        <v>97</v>
      </c>
      <c r="E282">
        <v>2405</v>
      </c>
      <c r="F282">
        <v>14.9</v>
      </c>
      <c r="G282">
        <v>78</v>
      </c>
      <c r="H282" t="s">
        <v>1639</v>
      </c>
      <c r="I282" t="s">
        <v>1418</v>
      </c>
      <c r="J282" t="s">
        <v>1036</v>
      </c>
      <c r="K282" t="s">
        <v>1419</v>
      </c>
      <c r="L282" t="b">
        <f>Data_Completeness(MileageData[[#This Row],[MPG]:[Acceleration]])</f>
        <v>1</v>
      </c>
    </row>
    <row r="283" spans="1:12" x14ac:dyDescent="0.25">
      <c r="A283">
        <v>20.3</v>
      </c>
      <c r="B283">
        <v>5</v>
      </c>
      <c r="C283">
        <v>131</v>
      </c>
      <c r="D283">
        <v>103</v>
      </c>
      <c r="E283">
        <v>2830</v>
      </c>
      <c r="F283">
        <v>15.9</v>
      </c>
      <c r="G283">
        <v>78</v>
      </c>
      <c r="H283" t="s">
        <v>1638</v>
      </c>
      <c r="I283" t="s">
        <v>1420</v>
      </c>
      <c r="J283" t="s">
        <v>1044</v>
      </c>
      <c r="K283">
        <v>5000</v>
      </c>
      <c r="L283" t="b">
        <f>Data_Completeness(MileageData[[#This Row],[MPG]:[Acceleration]])</f>
        <v>1</v>
      </c>
    </row>
    <row r="284" spans="1:12" x14ac:dyDescent="0.25">
      <c r="A284">
        <v>17</v>
      </c>
      <c r="B284">
        <v>6</v>
      </c>
      <c r="C284">
        <v>163</v>
      </c>
      <c r="D284">
        <v>125</v>
      </c>
      <c r="E284">
        <v>3140</v>
      </c>
      <c r="F284">
        <v>13.6</v>
      </c>
      <c r="G284">
        <v>78</v>
      </c>
      <c r="H284" t="s">
        <v>1638</v>
      </c>
      <c r="I284" t="s">
        <v>1421</v>
      </c>
      <c r="J284" t="s">
        <v>1141</v>
      </c>
      <c r="K284" t="s">
        <v>1422</v>
      </c>
      <c r="L284" t="b">
        <f>Data_Completeness(MileageData[[#This Row],[MPG]:[Acceleration]])</f>
        <v>1</v>
      </c>
    </row>
    <row r="285" spans="1:12" x14ac:dyDescent="0.25">
      <c r="A285">
        <v>21.6</v>
      </c>
      <c r="B285">
        <v>4</v>
      </c>
      <c r="C285">
        <v>121</v>
      </c>
      <c r="D285">
        <v>115</v>
      </c>
      <c r="E285">
        <v>2795</v>
      </c>
      <c r="F285">
        <v>15.7</v>
      </c>
      <c r="G285">
        <v>78</v>
      </c>
      <c r="H285" t="s">
        <v>1638</v>
      </c>
      <c r="I285" t="s">
        <v>1423</v>
      </c>
      <c r="J285" t="s">
        <v>1047</v>
      </c>
      <c r="K285" t="s">
        <v>1424</v>
      </c>
      <c r="L285" t="b">
        <f>Data_Completeness(MileageData[[#This Row],[MPG]:[Acceleration]])</f>
        <v>1</v>
      </c>
    </row>
    <row r="286" spans="1:12" x14ac:dyDescent="0.25">
      <c r="A286">
        <v>16.2</v>
      </c>
      <c r="B286">
        <v>6</v>
      </c>
      <c r="C286">
        <v>163</v>
      </c>
      <c r="D286">
        <v>133</v>
      </c>
      <c r="E286">
        <v>3410</v>
      </c>
      <c r="F286">
        <v>15.8</v>
      </c>
      <c r="G286">
        <v>78</v>
      </c>
      <c r="H286" t="s">
        <v>1638</v>
      </c>
      <c r="I286" t="s">
        <v>1425</v>
      </c>
      <c r="J286" t="s">
        <v>1042</v>
      </c>
      <c r="K286" t="s">
        <v>1426</v>
      </c>
      <c r="L286" t="b">
        <f>Data_Completeness(MileageData[[#This Row],[MPG]:[Acceleration]])</f>
        <v>1</v>
      </c>
    </row>
    <row r="287" spans="1:12" x14ac:dyDescent="0.25">
      <c r="A287">
        <v>31.5</v>
      </c>
      <c r="B287">
        <v>4</v>
      </c>
      <c r="C287">
        <v>89</v>
      </c>
      <c r="D287">
        <v>71</v>
      </c>
      <c r="E287">
        <v>1990</v>
      </c>
      <c r="F287">
        <v>14.9</v>
      </c>
      <c r="G287">
        <v>78</v>
      </c>
      <c r="H287" t="s">
        <v>1638</v>
      </c>
      <c r="I287" t="s">
        <v>1427</v>
      </c>
      <c r="J287" t="s">
        <v>1039</v>
      </c>
      <c r="K287" t="s">
        <v>1428</v>
      </c>
      <c r="L287" t="b">
        <f>Data_Completeness(MileageData[[#This Row],[MPG]:[Acceleration]])</f>
        <v>1</v>
      </c>
    </row>
    <row r="288" spans="1:12" x14ac:dyDescent="0.25">
      <c r="A288">
        <v>29.5</v>
      </c>
      <c r="B288">
        <v>4</v>
      </c>
      <c r="C288">
        <v>98</v>
      </c>
      <c r="D288">
        <v>68</v>
      </c>
      <c r="E288">
        <v>2135</v>
      </c>
      <c r="F288">
        <v>16.600000000000001</v>
      </c>
      <c r="G288">
        <v>78</v>
      </c>
      <c r="H288" t="s">
        <v>1639</v>
      </c>
      <c r="I288" t="s">
        <v>1429</v>
      </c>
      <c r="J288" t="s">
        <v>1246</v>
      </c>
      <c r="K288" t="s">
        <v>1430</v>
      </c>
      <c r="L288" t="b">
        <f>Data_Completeness(MileageData[[#This Row],[MPG]:[Acceleration]])</f>
        <v>1</v>
      </c>
    </row>
    <row r="289" spans="1:12" x14ac:dyDescent="0.25">
      <c r="A289">
        <v>21.5</v>
      </c>
      <c r="B289">
        <v>6</v>
      </c>
      <c r="C289">
        <v>231</v>
      </c>
      <c r="D289">
        <v>115</v>
      </c>
      <c r="E289">
        <v>3245</v>
      </c>
      <c r="F289">
        <v>15.4</v>
      </c>
      <c r="G289">
        <v>79</v>
      </c>
      <c r="H289" t="s">
        <v>1637</v>
      </c>
      <c r="I289" t="s">
        <v>1431</v>
      </c>
      <c r="J289" t="s">
        <v>1001</v>
      </c>
      <c r="K289" t="s">
        <v>1432</v>
      </c>
      <c r="L289" t="b">
        <f>Data_Completeness(MileageData[[#This Row],[MPG]:[Acceleration]])</f>
        <v>1</v>
      </c>
    </row>
    <row r="290" spans="1:12" x14ac:dyDescent="0.25">
      <c r="A290">
        <v>19.8</v>
      </c>
      <c r="B290">
        <v>6</v>
      </c>
      <c r="C290">
        <v>200</v>
      </c>
      <c r="D290">
        <v>85</v>
      </c>
      <c r="E290">
        <v>2990</v>
      </c>
      <c r="F290">
        <v>18.2</v>
      </c>
      <c r="G290">
        <v>79</v>
      </c>
      <c r="H290" t="s">
        <v>1637</v>
      </c>
      <c r="I290" t="s">
        <v>1433</v>
      </c>
      <c r="J290" t="s">
        <v>1094</v>
      </c>
      <c r="K290" t="s">
        <v>1434</v>
      </c>
      <c r="L290" t="b">
        <f>Data_Completeness(MileageData[[#This Row],[MPG]:[Acceleration]])</f>
        <v>1</v>
      </c>
    </row>
    <row r="291" spans="1:12" x14ac:dyDescent="0.25">
      <c r="A291">
        <v>22.3</v>
      </c>
      <c r="B291">
        <v>4</v>
      </c>
      <c r="C291">
        <v>140</v>
      </c>
      <c r="D291">
        <v>88</v>
      </c>
      <c r="E291">
        <v>2890</v>
      </c>
      <c r="F291">
        <v>17.3</v>
      </c>
      <c r="G291">
        <v>79</v>
      </c>
      <c r="H291" t="s">
        <v>1637</v>
      </c>
      <c r="I291" t="s">
        <v>1435</v>
      </c>
      <c r="J291" t="s">
        <v>992</v>
      </c>
      <c r="K291" t="s">
        <v>1436</v>
      </c>
      <c r="L291" t="b">
        <f>Data_Completeness(MileageData[[#This Row],[MPG]:[Acceleration]])</f>
        <v>1</v>
      </c>
    </row>
    <row r="292" spans="1:12" x14ac:dyDescent="0.25">
      <c r="A292">
        <v>20.2</v>
      </c>
      <c r="B292">
        <v>6</v>
      </c>
      <c r="C292">
        <v>232</v>
      </c>
      <c r="D292">
        <v>90</v>
      </c>
      <c r="E292">
        <v>3265</v>
      </c>
      <c r="F292">
        <v>18.2</v>
      </c>
      <c r="G292">
        <v>79</v>
      </c>
      <c r="H292" t="s">
        <v>1637</v>
      </c>
      <c r="I292" t="s">
        <v>1437</v>
      </c>
      <c r="J292" t="s">
        <v>989</v>
      </c>
      <c r="K292" t="s">
        <v>1438</v>
      </c>
      <c r="L292" t="b">
        <f>Data_Completeness(MileageData[[#This Row],[MPG]:[Acceleration]])</f>
        <v>1</v>
      </c>
    </row>
    <row r="293" spans="1:12" x14ac:dyDescent="0.25">
      <c r="A293">
        <v>20.6</v>
      </c>
      <c r="B293">
        <v>6</v>
      </c>
      <c r="C293">
        <v>225</v>
      </c>
      <c r="D293">
        <v>110</v>
      </c>
      <c r="E293">
        <v>3360</v>
      </c>
      <c r="F293">
        <v>16.600000000000001</v>
      </c>
      <c r="G293">
        <v>79</v>
      </c>
      <c r="H293" t="s">
        <v>1637</v>
      </c>
      <c r="I293" t="s">
        <v>1439</v>
      </c>
      <c r="J293" t="s">
        <v>1017</v>
      </c>
      <c r="K293" t="s">
        <v>1440</v>
      </c>
      <c r="L293" t="b">
        <f>Data_Completeness(MileageData[[#This Row],[MPG]:[Acceleration]])</f>
        <v>1</v>
      </c>
    </row>
    <row r="294" spans="1:12" x14ac:dyDescent="0.25">
      <c r="A294">
        <v>17</v>
      </c>
      <c r="B294">
        <v>8</v>
      </c>
      <c r="C294">
        <v>305</v>
      </c>
      <c r="D294">
        <v>130</v>
      </c>
      <c r="E294">
        <v>3840</v>
      </c>
      <c r="F294">
        <v>15.4</v>
      </c>
      <c r="G294">
        <v>79</v>
      </c>
      <c r="H294" t="s">
        <v>1637</v>
      </c>
      <c r="I294" t="s">
        <v>1171</v>
      </c>
      <c r="J294" t="s">
        <v>980</v>
      </c>
      <c r="K294" t="s">
        <v>1172</v>
      </c>
      <c r="L294" t="b">
        <f>Data_Completeness(MileageData[[#This Row],[MPG]:[Acceleration]])</f>
        <v>1</v>
      </c>
    </row>
    <row r="295" spans="1:12" x14ac:dyDescent="0.25">
      <c r="A295">
        <v>17.600000000000001</v>
      </c>
      <c r="B295">
        <v>8</v>
      </c>
      <c r="C295">
        <v>302</v>
      </c>
      <c r="D295">
        <v>129</v>
      </c>
      <c r="E295">
        <v>3725</v>
      </c>
      <c r="F295">
        <v>13.4</v>
      </c>
      <c r="G295">
        <v>79</v>
      </c>
      <c r="H295" t="s">
        <v>1637</v>
      </c>
      <c r="I295" t="s">
        <v>1441</v>
      </c>
      <c r="J295" t="s">
        <v>992</v>
      </c>
      <c r="K295" t="s">
        <v>1442</v>
      </c>
      <c r="L295" t="b">
        <f>Data_Completeness(MileageData[[#This Row],[MPG]:[Acceleration]])</f>
        <v>1</v>
      </c>
    </row>
    <row r="296" spans="1:12" x14ac:dyDescent="0.25">
      <c r="A296">
        <v>16.5</v>
      </c>
      <c r="B296">
        <v>8</v>
      </c>
      <c r="C296">
        <v>351</v>
      </c>
      <c r="D296">
        <v>138</v>
      </c>
      <c r="E296">
        <v>3955</v>
      </c>
      <c r="F296">
        <v>13.2</v>
      </c>
      <c r="G296">
        <v>79</v>
      </c>
      <c r="H296" t="s">
        <v>1637</v>
      </c>
      <c r="I296" t="s">
        <v>1443</v>
      </c>
      <c r="J296" t="s">
        <v>1094</v>
      </c>
      <c r="K296" t="s">
        <v>1444</v>
      </c>
      <c r="L296" t="b">
        <f>Data_Completeness(MileageData[[#This Row],[MPG]:[Acceleration]])</f>
        <v>1</v>
      </c>
    </row>
    <row r="297" spans="1:12" x14ac:dyDescent="0.25">
      <c r="A297">
        <v>18.2</v>
      </c>
      <c r="B297">
        <v>8</v>
      </c>
      <c r="C297">
        <v>318</v>
      </c>
      <c r="D297">
        <v>135</v>
      </c>
      <c r="E297">
        <v>3830</v>
      </c>
      <c r="F297">
        <v>15.2</v>
      </c>
      <c r="G297">
        <v>79</v>
      </c>
      <c r="H297" t="s">
        <v>1637</v>
      </c>
      <c r="I297" t="s">
        <v>1445</v>
      </c>
      <c r="J297" t="s">
        <v>1017</v>
      </c>
      <c r="K297" t="s">
        <v>1446</v>
      </c>
      <c r="L297" t="b">
        <f>Data_Completeness(MileageData[[#This Row],[MPG]:[Acceleration]])</f>
        <v>1</v>
      </c>
    </row>
    <row r="298" spans="1:12" x14ac:dyDescent="0.25">
      <c r="A298">
        <v>16.899999999999999</v>
      </c>
      <c r="B298">
        <v>8</v>
      </c>
      <c r="C298">
        <v>350</v>
      </c>
      <c r="D298">
        <v>155</v>
      </c>
      <c r="E298">
        <v>4360</v>
      </c>
      <c r="F298">
        <v>14.9</v>
      </c>
      <c r="G298">
        <v>79</v>
      </c>
      <c r="H298" t="s">
        <v>1637</v>
      </c>
      <c r="I298" t="s">
        <v>1024</v>
      </c>
      <c r="J298" t="s">
        <v>983</v>
      </c>
      <c r="K298" t="s">
        <v>1025</v>
      </c>
      <c r="L298" t="b">
        <f>Data_Completeness(MileageData[[#This Row],[MPG]:[Acceleration]])</f>
        <v>1</v>
      </c>
    </row>
    <row r="299" spans="1:12" x14ac:dyDescent="0.25">
      <c r="A299">
        <v>15.5</v>
      </c>
      <c r="B299">
        <v>8</v>
      </c>
      <c r="C299">
        <v>351</v>
      </c>
      <c r="D299">
        <v>142</v>
      </c>
      <c r="E299">
        <v>4054</v>
      </c>
      <c r="F299">
        <v>14.3</v>
      </c>
      <c r="G299">
        <v>79</v>
      </c>
      <c r="H299" t="s">
        <v>1637</v>
      </c>
      <c r="I299" t="s">
        <v>1081</v>
      </c>
      <c r="J299" t="s">
        <v>992</v>
      </c>
      <c r="K299" t="s">
        <v>1082</v>
      </c>
      <c r="L299" t="b">
        <f>Data_Completeness(MileageData[[#This Row],[MPG]:[Acceleration]])</f>
        <v>1</v>
      </c>
    </row>
    <row r="300" spans="1:12" x14ac:dyDescent="0.25">
      <c r="A300">
        <v>19.2</v>
      </c>
      <c r="B300">
        <v>8</v>
      </c>
      <c r="C300">
        <v>267</v>
      </c>
      <c r="D300">
        <v>125</v>
      </c>
      <c r="E300">
        <v>3605</v>
      </c>
      <c r="F300">
        <v>15</v>
      </c>
      <c r="G300">
        <v>79</v>
      </c>
      <c r="H300" t="s">
        <v>1637</v>
      </c>
      <c r="I300" t="s">
        <v>1447</v>
      </c>
      <c r="J300" t="s">
        <v>980</v>
      </c>
      <c r="K300" t="s">
        <v>1448</v>
      </c>
      <c r="L300" t="b">
        <f>Data_Completeness(MileageData[[#This Row],[MPG]:[Acceleration]])</f>
        <v>1</v>
      </c>
    </row>
    <row r="301" spans="1:12" x14ac:dyDescent="0.25">
      <c r="A301">
        <v>18.5</v>
      </c>
      <c r="B301">
        <v>8</v>
      </c>
      <c r="C301">
        <v>360</v>
      </c>
      <c r="D301">
        <v>150</v>
      </c>
      <c r="E301">
        <v>3940</v>
      </c>
      <c r="F301">
        <v>13</v>
      </c>
      <c r="G301">
        <v>79</v>
      </c>
      <c r="H301" t="s">
        <v>1637</v>
      </c>
      <c r="I301" t="s">
        <v>1449</v>
      </c>
      <c r="J301" t="s">
        <v>1129</v>
      </c>
      <c r="K301" t="s">
        <v>1450</v>
      </c>
      <c r="L301" t="b">
        <f>Data_Completeness(MileageData[[#This Row],[MPG]:[Acceleration]])</f>
        <v>1</v>
      </c>
    </row>
    <row r="302" spans="1:12" x14ac:dyDescent="0.25">
      <c r="A302">
        <v>31.9</v>
      </c>
      <c r="B302">
        <v>4</v>
      </c>
      <c r="C302">
        <v>89</v>
      </c>
      <c r="D302">
        <v>71</v>
      </c>
      <c r="E302">
        <v>1925</v>
      </c>
      <c r="F302">
        <v>14</v>
      </c>
      <c r="G302">
        <v>79</v>
      </c>
      <c r="H302" t="s">
        <v>1638</v>
      </c>
      <c r="I302" t="s">
        <v>1451</v>
      </c>
      <c r="J302" t="s">
        <v>1296</v>
      </c>
      <c r="K302" t="s">
        <v>1355</v>
      </c>
      <c r="L302" t="b">
        <f>Data_Completeness(MileageData[[#This Row],[MPG]:[Acceleration]])</f>
        <v>1</v>
      </c>
    </row>
    <row r="303" spans="1:12" x14ac:dyDescent="0.25">
      <c r="A303">
        <v>34.1</v>
      </c>
      <c r="B303">
        <v>4</v>
      </c>
      <c r="C303">
        <v>86</v>
      </c>
      <c r="D303">
        <v>65</v>
      </c>
      <c r="E303">
        <v>1975</v>
      </c>
      <c r="F303">
        <v>15.2</v>
      </c>
      <c r="G303">
        <v>79</v>
      </c>
      <c r="H303" t="s">
        <v>1639</v>
      </c>
      <c r="I303" t="s">
        <v>1452</v>
      </c>
      <c r="J303" t="s">
        <v>1199</v>
      </c>
      <c r="K303" t="s">
        <v>1376</v>
      </c>
      <c r="L303" t="b">
        <f>Data_Completeness(MileageData[[#This Row],[MPG]:[Acceleration]])</f>
        <v>1</v>
      </c>
    </row>
    <row r="304" spans="1:12" x14ac:dyDescent="0.25">
      <c r="A304">
        <v>35.700000000000003</v>
      </c>
      <c r="B304">
        <v>4</v>
      </c>
      <c r="C304">
        <v>98</v>
      </c>
      <c r="D304">
        <v>80</v>
      </c>
      <c r="E304">
        <v>1915</v>
      </c>
      <c r="F304">
        <v>14.4</v>
      </c>
      <c r="G304">
        <v>79</v>
      </c>
      <c r="H304" t="s">
        <v>1637</v>
      </c>
      <c r="I304" t="s">
        <v>1453</v>
      </c>
      <c r="J304" t="s">
        <v>1017</v>
      </c>
      <c r="K304" t="s">
        <v>1454</v>
      </c>
      <c r="L304" t="b">
        <f>Data_Completeness(MileageData[[#This Row],[MPG]:[Acceleration]])</f>
        <v>1</v>
      </c>
    </row>
    <row r="305" spans="1:12" x14ac:dyDescent="0.25">
      <c r="A305">
        <v>27.4</v>
      </c>
      <c r="B305">
        <v>4</v>
      </c>
      <c r="C305">
        <v>121</v>
      </c>
      <c r="D305">
        <v>80</v>
      </c>
      <c r="E305">
        <v>2670</v>
      </c>
      <c r="F305">
        <v>15</v>
      </c>
      <c r="G305">
        <v>79</v>
      </c>
      <c r="H305" t="s">
        <v>1637</v>
      </c>
      <c r="I305" t="s">
        <v>1455</v>
      </c>
      <c r="J305" t="s">
        <v>989</v>
      </c>
      <c r="K305" t="s">
        <v>1456</v>
      </c>
      <c r="L305" t="b">
        <f>Data_Completeness(MileageData[[#This Row],[MPG]:[Acceleration]])</f>
        <v>1</v>
      </c>
    </row>
    <row r="306" spans="1:12" x14ac:dyDescent="0.25">
      <c r="A306">
        <v>25.4</v>
      </c>
      <c r="B306">
        <v>5</v>
      </c>
      <c r="C306">
        <v>183</v>
      </c>
      <c r="D306">
        <v>77</v>
      </c>
      <c r="E306">
        <v>3530</v>
      </c>
      <c r="F306">
        <v>20.100000000000001</v>
      </c>
      <c r="G306">
        <v>79</v>
      </c>
      <c r="H306" t="s">
        <v>1638</v>
      </c>
      <c r="I306" t="s">
        <v>1457</v>
      </c>
      <c r="J306" t="s">
        <v>1458</v>
      </c>
      <c r="K306" t="s">
        <v>1459</v>
      </c>
      <c r="L306" t="b">
        <f>Data_Completeness(MileageData[[#This Row],[MPG]:[Acceleration]])</f>
        <v>1</v>
      </c>
    </row>
    <row r="307" spans="1:12" x14ac:dyDescent="0.25">
      <c r="A307">
        <v>23</v>
      </c>
      <c r="B307">
        <v>8</v>
      </c>
      <c r="C307">
        <v>350</v>
      </c>
      <c r="D307">
        <v>125</v>
      </c>
      <c r="E307">
        <v>3900</v>
      </c>
      <c r="F307">
        <v>17.399999999999999</v>
      </c>
      <c r="G307">
        <v>79</v>
      </c>
      <c r="H307" t="s">
        <v>1637</v>
      </c>
      <c r="I307" t="s">
        <v>1460</v>
      </c>
      <c r="J307" t="s">
        <v>1314</v>
      </c>
      <c r="K307" t="s">
        <v>1461</v>
      </c>
      <c r="L307" t="b">
        <f>Data_Completeness(MileageData[[#This Row],[MPG]:[Acceleration]])</f>
        <v>1</v>
      </c>
    </row>
    <row r="308" spans="1:12" x14ac:dyDescent="0.25">
      <c r="A308">
        <v>27.2</v>
      </c>
      <c r="B308">
        <v>4</v>
      </c>
      <c r="C308">
        <v>141</v>
      </c>
      <c r="D308">
        <v>71</v>
      </c>
      <c r="E308">
        <v>3190</v>
      </c>
      <c r="F308">
        <v>24.8</v>
      </c>
      <c r="G308">
        <v>79</v>
      </c>
      <c r="H308" t="s">
        <v>1638</v>
      </c>
      <c r="I308" t="s">
        <v>1041</v>
      </c>
      <c r="J308" t="s">
        <v>1042</v>
      </c>
      <c r="K308">
        <v>504</v>
      </c>
      <c r="L308" t="b">
        <f>Data_Completeness(MileageData[[#This Row],[MPG]:[Acceleration]])</f>
        <v>1</v>
      </c>
    </row>
    <row r="309" spans="1:12" x14ac:dyDescent="0.25">
      <c r="A309">
        <v>23.9</v>
      </c>
      <c r="B309">
        <v>8</v>
      </c>
      <c r="C309">
        <v>260</v>
      </c>
      <c r="D309">
        <v>90</v>
      </c>
      <c r="E309">
        <v>3420</v>
      </c>
      <c r="F309">
        <v>22.2</v>
      </c>
      <c r="G309">
        <v>79</v>
      </c>
      <c r="H309" t="s">
        <v>1637</v>
      </c>
      <c r="I309" t="s">
        <v>1379</v>
      </c>
      <c r="J309" t="s">
        <v>1126</v>
      </c>
      <c r="K309" t="s">
        <v>1380</v>
      </c>
      <c r="L309" t="b">
        <f>Data_Completeness(MileageData[[#This Row],[MPG]:[Acceleration]])</f>
        <v>1</v>
      </c>
    </row>
    <row r="310" spans="1:12" x14ac:dyDescent="0.25">
      <c r="A310">
        <v>34.200000000000003</v>
      </c>
      <c r="B310">
        <v>4</v>
      </c>
      <c r="C310">
        <v>105</v>
      </c>
      <c r="D310">
        <v>70</v>
      </c>
      <c r="E310">
        <v>2200</v>
      </c>
      <c r="F310">
        <v>13.2</v>
      </c>
      <c r="G310">
        <v>79</v>
      </c>
      <c r="H310" t="s">
        <v>1637</v>
      </c>
      <c r="I310" t="s">
        <v>1462</v>
      </c>
      <c r="J310" t="s">
        <v>986</v>
      </c>
      <c r="K310" t="s">
        <v>1463</v>
      </c>
      <c r="L310" t="b">
        <f>Data_Completeness(MileageData[[#This Row],[MPG]:[Acceleration]])</f>
        <v>1</v>
      </c>
    </row>
    <row r="311" spans="1:12" x14ac:dyDescent="0.25">
      <c r="A311">
        <v>34.5</v>
      </c>
      <c r="B311">
        <v>4</v>
      </c>
      <c r="C311">
        <v>105</v>
      </c>
      <c r="D311">
        <v>70</v>
      </c>
      <c r="E311">
        <v>2150</v>
      </c>
      <c r="F311">
        <v>14.9</v>
      </c>
      <c r="G311">
        <v>79</v>
      </c>
      <c r="H311" t="s">
        <v>1637</v>
      </c>
      <c r="I311" t="s">
        <v>1464</v>
      </c>
      <c r="J311" t="s">
        <v>986</v>
      </c>
      <c r="K311" t="s">
        <v>1465</v>
      </c>
      <c r="L311" t="b">
        <f>Data_Completeness(MileageData[[#This Row],[MPG]:[Acceleration]])</f>
        <v>1</v>
      </c>
    </row>
    <row r="312" spans="1:12" x14ac:dyDescent="0.25">
      <c r="A312">
        <v>31.8</v>
      </c>
      <c r="B312">
        <v>4</v>
      </c>
      <c r="C312">
        <v>85</v>
      </c>
      <c r="D312">
        <v>65</v>
      </c>
      <c r="E312">
        <v>2020</v>
      </c>
      <c r="F312">
        <v>19.2</v>
      </c>
      <c r="G312">
        <v>79</v>
      </c>
      <c r="H312" t="s">
        <v>1639</v>
      </c>
      <c r="I312" t="s">
        <v>1466</v>
      </c>
      <c r="J312" t="s">
        <v>1036</v>
      </c>
      <c r="K312">
        <v>210</v>
      </c>
      <c r="L312" t="b">
        <f>Data_Completeness(MileageData[[#This Row],[MPG]:[Acceleration]])</f>
        <v>1</v>
      </c>
    </row>
    <row r="313" spans="1:12" x14ac:dyDescent="0.25">
      <c r="A313">
        <v>37.299999999999997</v>
      </c>
      <c r="B313">
        <v>4</v>
      </c>
      <c r="C313">
        <v>91</v>
      </c>
      <c r="D313">
        <v>69</v>
      </c>
      <c r="E313">
        <v>2130</v>
      </c>
      <c r="F313">
        <v>14.7</v>
      </c>
      <c r="G313">
        <v>79</v>
      </c>
      <c r="H313" t="s">
        <v>1638</v>
      </c>
      <c r="I313" t="s">
        <v>1467</v>
      </c>
      <c r="J313" t="s">
        <v>1100</v>
      </c>
      <c r="K313" t="s">
        <v>1468</v>
      </c>
      <c r="L313" t="b">
        <f>Data_Completeness(MileageData[[#This Row],[MPG]:[Acceleration]])</f>
        <v>1</v>
      </c>
    </row>
    <row r="314" spans="1:12" x14ac:dyDescent="0.25">
      <c r="A314">
        <v>28.4</v>
      </c>
      <c r="B314">
        <v>4</v>
      </c>
      <c r="C314">
        <v>151</v>
      </c>
      <c r="D314">
        <v>90</v>
      </c>
      <c r="E314">
        <v>2670</v>
      </c>
      <c r="F314">
        <v>16</v>
      </c>
      <c r="G314">
        <v>79</v>
      </c>
      <c r="H314" t="s">
        <v>1637</v>
      </c>
      <c r="I314" t="s">
        <v>1469</v>
      </c>
      <c r="J314" t="s">
        <v>983</v>
      </c>
      <c r="K314" t="s">
        <v>1470</v>
      </c>
      <c r="L314" t="b">
        <f>Data_Completeness(MileageData[[#This Row],[MPG]:[Acceleration]])</f>
        <v>1</v>
      </c>
    </row>
    <row r="315" spans="1:12" x14ac:dyDescent="0.25">
      <c r="A315">
        <v>28.8</v>
      </c>
      <c r="B315">
        <v>6</v>
      </c>
      <c r="C315">
        <v>173</v>
      </c>
      <c r="D315">
        <v>115</v>
      </c>
      <c r="E315">
        <v>2595</v>
      </c>
      <c r="F315">
        <v>11.3</v>
      </c>
      <c r="G315">
        <v>79</v>
      </c>
      <c r="H315" t="s">
        <v>1637</v>
      </c>
      <c r="I315" t="s">
        <v>1471</v>
      </c>
      <c r="J315" t="s">
        <v>980</v>
      </c>
      <c r="K315" t="s">
        <v>1472</v>
      </c>
      <c r="L315" t="b">
        <f>Data_Completeness(MileageData[[#This Row],[MPG]:[Acceleration]])</f>
        <v>1</v>
      </c>
    </row>
    <row r="316" spans="1:12" x14ac:dyDescent="0.25">
      <c r="A316">
        <v>26.8</v>
      </c>
      <c r="B316">
        <v>6</v>
      </c>
      <c r="C316">
        <v>173</v>
      </c>
      <c r="D316">
        <v>115</v>
      </c>
      <c r="E316">
        <v>2700</v>
      </c>
      <c r="F316">
        <v>12.9</v>
      </c>
      <c r="G316">
        <v>79</v>
      </c>
      <c r="H316" t="s">
        <v>1637</v>
      </c>
      <c r="I316" t="s">
        <v>1473</v>
      </c>
      <c r="J316" t="s">
        <v>1126</v>
      </c>
      <c r="K316" t="s">
        <v>1474</v>
      </c>
      <c r="L316" t="b">
        <f>Data_Completeness(MileageData[[#This Row],[MPG]:[Acceleration]])</f>
        <v>1</v>
      </c>
    </row>
    <row r="317" spans="1:12" x14ac:dyDescent="0.25">
      <c r="A317">
        <v>33.5</v>
      </c>
      <c r="B317">
        <v>4</v>
      </c>
      <c r="C317">
        <v>151</v>
      </c>
      <c r="D317">
        <v>90</v>
      </c>
      <c r="E317">
        <v>2556</v>
      </c>
      <c r="F317">
        <v>13.2</v>
      </c>
      <c r="G317">
        <v>79</v>
      </c>
      <c r="H317" t="s">
        <v>1637</v>
      </c>
      <c r="I317" t="s">
        <v>1475</v>
      </c>
      <c r="J317" t="s">
        <v>1001</v>
      </c>
      <c r="K317" t="s">
        <v>1476</v>
      </c>
      <c r="L317" t="b">
        <f>Data_Completeness(MileageData[[#This Row],[MPG]:[Acceleration]])</f>
        <v>1</v>
      </c>
    </row>
    <row r="318" spans="1:12" x14ac:dyDescent="0.25">
      <c r="A318">
        <v>41.5</v>
      </c>
      <c r="B318">
        <v>4</v>
      </c>
      <c r="C318">
        <v>98</v>
      </c>
      <c r="D318">
        <v>76</v>
      </c>
      <c r="E318">
        <v>2144</v>
      </c>
      <c r="F318">
        <v>14.7</v>
      </c>
      <c r="G318">
        <v>80</v>
      </c>
      <c r="H318" t="s">
        <v>1638</v>
      </c>
      <c r="I318" t="s">
        <v>1295</v>
      </c>
      <c r="J318" t="s">
        <v>1296</v>
      </c>
      <c r="K318" t="s">
        <v>1276</v>
      </c>
      <c r="L318" t="b">
        <f>Data_Completeness(MileageData[[#This Row],[MPG]:[Acceleration]])</f>
        <v>1</v>
      </c>
    </row>
    <row r="319" spans="1:12" x14ac:dyDescent="0.25">
      <c r="A319">
        <v>38.1</v>
      </c>
      <c r="B319">
        <v>4</v>
      </c>
      <c r="C319">
        <v>89</v>
      </c>
      <c r="D319">
        <v>60</v>
      </c>
      <c r="E319">
        <v>1968</v>
      </c>
      <c r="F319">
        <v>18.8</v>
      </c>
      <c r="G319">
        <v>80</v>
      </c>
      <c r="H319" t="s">
        <v>1639</v>
      </c>
      <c r="I319" t="s">
        <v>1477</v>
      </c>
      <c r="J319" t="s">
        <v>1027</v>
      </c>
      <c r="K319" t="s">
        <v>1478</v>
      </c>
      <c r="L319" t="b">
        <f>Data_Completeness(MileageData[[#This Row],[MPG]:[Acceleration]])</f>
        <v>1</v>
      </c>
    </row>
    <row r="320" spans="1:12" x14ac:dyDescent="0.25">
      <c r="A320">
        <v>32.1</v>
      </c>
      <c r="B320">
        <v>4</v>
      </c>
      <c r="C320">
        <v>98</v>
      </c>
      <c r="D320">
        <v>70</v>
      </c>
      <c r="E320">
        <v>2120</v>
      </c>
      <c r="F320">
        <v>15.5</v>
      </c>
      <c r="G320">
        <v>80</v>
      </c>
      <c r="H320" t="s">
        <v>1637</v>
      </c>
      <c r="I320" t="s">
        <v>1291</v>
      </c>
      <c r="J320" t="s">
        <v>980</v>
      </c>
      <c r="K320" t="s">
        <v>1292</v>
      </c>
      <c r="L320" t="b">
        <f>Data_Completeness(MileageData[[#This Row],[MPG]:[Acceleration]])</f>
        <v>1</v>
      </c>
    </row>
    <row r="321" spans="1:12" x14ac:dyDescent="0.25">
      <c r="A321">
        <v>37.200000000000003</v>
      </c>
      <c r="B321">
        <v>4</v>
      </c>
      <c r="C321">
        <v>86</v>
      </c>
      <c r="D321">
        <v>65</v>
      </c>
      <c r="E321">
        <v>2019</v>
      </c>
      <c r="F321">
        <v>16.399999999999999</v>
      </c>
      <c r="G321">
        <v>80</v>
      </c>
      <c r="H321" t="s">
        <v>1639</v>
      </c>
      <c r="I321" t="s">
        <v>1479</v>
      </c>
      <c r="J321" t="s">
        <v>1036</v>
      </c>
      <c r="K321">
        <v>310</v>
      </c>
      <c r="L321" t="b">
        <f>Data_Completeness(MileageData[[#This Row],[MPG]:[Acceleration]])</f>
        <v>1</v>
      </c>
    </row>
    <row r="322" spans="1:12" x14ac:dyDescent="0.25">
      <c r="A322">
        <v>28</v>
      </c>
      <c r="B322">
        <v>4</v>
      </c>
      <c r="C322">
        <v>151</v>
      </c>
      <c r="D322">
        <v>90</v>
      </c>
      <c r="E322">
        <v>2678</v>
      </c>
      <c r="F322">
        <v>16.5</v>
      </c>
      <c r="G322">
        <v>80</v>
      </c>
      <c r="H322" t="s">
        <v>1637</v>
      </c>
      <c r="I322" t="s">
        <v>1471</v>
      </c>
      <c r="J322" t="s">
        <v>980</v>
      </c>
      <c r="K322" t="s">
        <v>1472</v>
      </c>
      <c r="L322" t="b">
        <f>Data_Completeness(MileageData[[#This Row],[MPG]:[Acceleration]])</f>
        <v>1</v>
      </c>
    </row>
    <row r="323" spans="1:12" x14ac:dyDescent="0.25">
      <c r="A323">
        <v>26.4</v>
      </c>
      <c r="B323">
        <v>4</v>
      </c>
      <c r="C323">
        <v>140</v>
      </c>
      <c r="D323">
        <v>88</v>
      </c>
      <c r="E323">
        <v>2870</v>
      </c>
      <c r="F323">
        <v>18.100000000000001</v>
      </c>
      <c r="G323">
        <v>80</v>
      </c>
      <c r="H323" t="s">
        <v>1637</v>
      </c>
      <c r="I323" t="s">
        <v>1480</v>
      </c>
      <c r="J323" t="s">
        <v>992</v>
      </c>
      <c r="K323" t="s">
        <v>1481</v>
      </c>
      <c r="L323" t="b">
        <f>Data_Completeness(MileageData[[#This Row],[MPG]:[Acceleration]])</f>
        <v>1</v>
      </c>
    </row>
    <row r="324" spans="1:12" x14ac:dyDescent="0.25">
      <c r="A324">
        <v>24.3</v>
      </c>
      <c r="B324">
        <v>4</v>
      </c>
      <c r="C324">
        <v>151</v>
      </c>
      <c r="D324">
        <v>90</v>
      </c>
      <c r="E324">
        <v>3003</v>
      </c>
      <c r="F324">
        <v>20.100000000000001</v>
      </c>
      <c r="G324">
        <v>80</v>
      </c>
      <c r="H324" t="s">
        <v>1637</v>
      </c>
      <c r="I324" t="s">
        <v>1393</v>
      </c>
      <c r="J324" t="s">
        <v>989</v>
      </c>
      <c r="K324" t="s">
        <v>1394</v>
      </c>
      <c r="L324" t="b">
        <f>Data_Completeness(MileageData[[#This Row],[MPG]:[Acceleration]])</f>
        <v>1</v>
      </c>
    </row>
    <row r="325" spans="1:12" x14ac:dyDescent="0.25">
      <c r="A325">
        <v>19.100000000000001</v>
      </c>
      <c r="B325">
        <v>6</v>
      </c>
      <c r="C325">
        <v>225</v>
      </c>
      <c r="D325">
        <v>90</v>
      </c>
      <c r="E325">
        <v>3381</v>
      </c>
      <c r="F325">
        <v>18.7</v>
      </c>
      <c r="G325">
        <v>80</v>
      </c>
      <c r="H325" t="s">
        <v>1637</v>
      </c>
      <c r="I325" t="s">
        <v>1399</v>
      </c>
      <c r="J325" t="s">
        <v>1017</v>
      </c>
      <c r="K325" t="s">
        <v>1400</v>
      </c>
      <c r="L325" t="b">
        <f>Data_Completeness(MileageData[[#This Row],[MPG]:[Acceleration]])</f>
        <v>1</v>
      </c>
    </row>
    <row r="326" spans="1:12" x14ac:dyDescent="0.25">
      <c r="A326">
        <v>34.299999999999997</v>
      </c>
      <c r="B326">
        <v>4</v>
      </c>
      <c r="C326">
        <v>97</v>
      </c>
      <c r="D326">
        <v>78</v>
      </c>
      <c r="E326">
        <v>2188</v>
      </c>
      <c r="F326">
        <v>15.8</v>
      </c>
      <c r="G326">
        <v>80</v>
      </c>
      <c r="H326" t="s">
        <v>1638</v>
      </c>
      <c r="I326" t="s">
        <v>1482</v>
      </c>
      <c r="J326" t="s">
        <v>1044</v>
      </c>
      <c r="K326">
        <v>4000</v>
      </c>
      <c r="L326" t="b">
        <f>Data_Completeness(MileageData[[#This Row],[MPG]:[Acceleration]])</f>
        <v>1</v>
      </c>
    </row>
    <row r="327" spans="1:12" x14ac:dyDescent="0.25">
      <c r="A327">
        <v>29.8</v>
      </c>
      <c r="B327">
        <v>4</v>
      </c>
      <c r="C327">
        <v>134</v>
      </c>
      <c r="D327">
        <v>90</v>
      </c>
      <c r="E327">
        <v>2711</v>
      </c>
      <c r="F327">
        <v>15.5</v>
      </c>
      <c r="G327">
        <v>80</v>
      </c>
      <c r="H327" t="s">
        <v>1639</v>
      </c>
      <c r="I327" t="s">
        <v>1483</v>
      </c>
      <c r="J327" t="s">
        <v>1027</v>
      </c>
      <c r="K327" t="s">
        <v>1484</v>
      </c>
      <c r="L327" t="b">
        <f>Data_Completeness(MileageData[[#This Row],[MPG]:[Acceleration]])</f>
        <v>1</v>
      </c>
    </row>
    <row r="328" spans="1:12" x14ac:dyDescent="0.25">
      <c r="A328">
        <v>31.3</v>
      </c>
      <c r="B328">
        <v>4</v>
      </c>
      <c r="C328">
        <v>120</v>
      </c>
      <c r="D328">
        <v>75</v>
      </c>
      <c r="E328">
        <v>2542</v>
      </c>
      <c r="F328">
        <v>17.5</v>
      </c>
      <c r="G328">
        <v>80</v>
      </c>
      <c r="H328" t="s">
        <v>1639</v>
      </c>
      <c r="I328" t="s">
        <v>1485</v>
      </c>
      <c r="J328" t="s">
        <v>1132</v>
      </c>
      <c r="K328">
        <v>626</v>
      </c>
      <c r="L328" t="b">
        <f>Data_Completeness(MileageData[[#This Row],[MPG]:[Acceleration]])</f>
        <v>1</v>
      </c>
    </row>
    <row r="329" spans="1:12" x14ac:dyDescent="0.25">
      <c r="A329">
        <v>37</v>
      </c>
      <c r="B329">
        <v>4</v>
      </c>
      <c r="C329">
        <v>119</v>
      </c>
      <c r="D329">
        <v>92</v>
      </c>
      <c r="E329">
        <v>2434</v>
      </c>
      <c r="F329">
        <v>15</v>
      </c>
      <c r="G329">
        <v>80</v>
      </c>
      <c r="H329" t="s">
        <v>1639</v>
      </c>
      <c r="I329" t="s">
        <v>1486</v>
      </c>
      <c r="J329" t="s">
        <v>1036</v>
      </c>
      <c r="K329" t="s">
        <v>1487</v>
      </c>
      <c r="L329" t="b">
        <f>Data_Completeness(MileageData[[#This Row],[MPG]:[Acceleration]])</f>
        <v>1</v>
      </c>
    </row>
    <row r="330" spans="1:12" x14ac:dyDescent="0.25">
      <c r="A330">
        <v>32.200000000000003</v>
      </c>
      <c r="B330">
        <v>4</v>
      </c>
      <c r="C330">
        <v>108</v>
      </c>
      <c r="D330">
        <v>75</v>
      </c>
      <c r="E330">
        <v>2265</v>
      </c>
      <c r="F330">
        <v>15.2</v>
      </c>
      <c r="G330">
        <v>80</v>
      </c>
      <c r="H330" t="s">
        <v>1639</v>
      </c>
      <c r="I330" t="s">
        <v>1271</v>
      </c>
      <c r="J330" t="s">
        <v>1027</v>
      </c>
      <c r="K330" t="s">
        <v>1272</v>
      </c>
      <c r="L330" t="b">
        <f>Data_Completeness(MileageData[[#This Row],[MPG]:[Acceleration]])</f>
        <v>1</v>
      </c>
    </row>
    <row r="331" spans="1:12" x14ac:dyDescent="0.25">
      <c r="A331">
        <v>46.6</v>
      </c>
      <c r="B331">
        <v>4</v>
      </c>
      <c r="C331">
        <v>86</v>
      </c>
      <c r="D331">
        <v>65</v>
      </c>
      <c r="E331">
        <v>2110</v>
      </c>
      <c r="F331">
        <v>17.899999999999999</v>
      </c>
      <c r="G331">
        <v>80</v>
      </c>
      <c r="H331" t="s">
        <v>1639</v>
      </c>
      <c r="I331" t="s">
        <v>1488</v>
      </c>
      <c r="J331" t="s">
        <v>1132</v>
      </c>
      <c r="K331" t="s">
        <v>1489</v>
      </c>
      <c r="L331" t="b">
        <f>Data_Completeness(MileageData[[#This Row],[MPG]:[Acceleration]])</f>
        <v>1</v>
      </c>
    </row>
    <row r="332" spans="1:12" x14ac:dyDescent="0.25">
      <c r="A332">
        <v>27.9</v>
      </c>
      <c r="B332">
        <v>4</v>
      </c>
      <c r="C332">
        <v>156</v>
      </c>
      <c r="D332">
        <v>105</v>
      </c>
      <c r="E332">
        <v>2800</v>
      </c>
      <c r="F332">
        <v>14.4</v>
      </c>
      <c r="G332">
        <v>80</v>
      </c>
      <c r="H332" t="s">
        <v>1637</v>
      </c>
      <c r="I332" t="s">
        <v>1241</v>
      </c>
      <c r="J332" t="s">
        <v>1017</v>
      </c>
      <c r="K332" t="s">
        <v>1242</v>
      </c>
      <c r="L332" t="b">
        <f>Data_Completeness(MileageData[[#This Row],[MPG]:[Acceleration]])</f>
        <v>1</v>
      </c>
    </row>
    <row r="333" spans="1:12" x14ac:dyDescent="0.25">
      <c r="A333">
        <v>40.799999999999997</v>
      </c>
      <c r="B333">
        <v>4</v>
      </c>
      <c r="C333">
        <v>85</v>
      </c>
      <c r="D333">
        <v>65</v>
      </c>
      <c r="E333">
        <v>2110</v>
      </c>
      <c r="F333">
        <v>19.2</v>
      </c>
      <c r="G333">
        <v>80</v>
      </c>
      <c r="H333" t="s">
        <v>1639</v>
      </c>
      <c r="I333" t="s">
        <v>1466</v>
      </c>
      <c r="J333" t="s">
        <v>1036</v>
      </c>
      <c r="K333">
        <v>210</v>
      </c>
      <c r="L333" t="b">
        <f>Data_Completeness(MileageData[[#This Row],[MPG]:[Acceleration]])</f>
        <v>1</v>
      </c>
    </row>
    <row r="334" spans="1:12" x14ac:dyDescent="0.25">
      <c r="A334">
        <v>44.3</v>
      </c>
      <c r="B334">
        <v>4</v>
      </c>
      <c r="C334">
        <v>90</v>
      </c>
      <c r="D334">
        <v>48</v>
      </c>
      <c r="E334">
        <v>2085</v>
      </c>
      <c r="F334">
        <v>21.7</v>
      </c>
      <c r="G334">
        <v>80</v>
      </c>
      <c r="H334" t="s">
        <v>1638</v>
      </c>
      <c r="I334" t="s">
        <v>1490</v>
      </c>
      <c r="J334" t="s">
        <v>1296</v>
      </c>
      <c r="K334" t="s">
        <v>1491</v>
      </c>
      <c r="L334" t="b">
        <f>Data_Completeness(MileageData[[#This Row],[MPG]:[Acceleration]])</f>
        <v>1</v>
      </c>
    </row>
    <row r="335" spans="1:12" x14ac:dyDescent="0.25">
      <c r="A335">
        <v>43.4</v>
      </c>
      <c r="B335">
        <v>4</v>
      </c>
      <c r="C335">
        <v>90</v>
      </c>
      <c r="D335">
        <v>48</v>
      </c>
      <c r="E335">
        <v>2335</v>
      </c>
      <c r="F335">
        <v>23.7</v>
      </c>
      <c r="G335">
        <v>80</v>
      </c>
      <c r="H335" t="s">
        <v>1638</v>
      </c>
      <c r="I335" t="s">
        <v>1492</v>
      </c>
      <c r="J335" t="s">
        <v>1296</v>
      </c>
      <c r="K335" t="s">
        <v>1493</v>
      </c>
      <c r="L335" t="b">
        <f>Data_Completeness(MileageData[[#This Row],[MPG]:[Acceleration]])</f>
        <v>1</v>
      </c>
    </row>
    <row r="336" spans="1:12" x14ac:dyDescent="0.25">
      <c r="A336">
        <v>36.4</v>
      </c>
      <c r="B336">
        <v>5</v>
      </c>
      <c r="C336">
        <v>121</v>
      </c>
      <c r="D336">
        <v>67</v>
      </c>
      <c r="E336">
        <v>2950</v>
      </c>
      <c r="F336">
        <v>19.899999999999999</v>
      </c>
      <c r="G336">
        <v>80</v>
      </c>
      <c r="H336" t="s">
        <v>1638</v>
      </c>
      <c r="I336" t="s">
        <v>1494</v>
      </c>
      <c r="J336" t="s">
        <v>1044</v>
      </c>
      <c r="K336" t="s">
        <v>1495</v>
      </c>
      <c r="L336" t="b">
        <f>Data_Completeness(MileageData[[#This Row],[MPG]:[Acceleration]])</f>
        <v>1</v>
      </c>
    </row>
    <row r="337" spans="1:12" x14ac:dyDescent="0.25">
      <c r="A337">
        <v>30</v>
      </c>
      <c r="B337">
        <v>4</v>
      </c>
      <c r="C337">
        <v>146</v>
      </c>
      <c r="D337">
        <v>67</v>
      </c>
      <c r="E337">
        <v>3250</v>
      </c>
      <c r="F337">
        <v>21.8</v>
      </c>
      <c r="G337">
        <v>80</v>
      </c>
      <c r="H337" t="s">
        <v>1638</v>
      </c>
      <c r="I337" t="s">
        <v>1496</v>
      </c>
      <c r="J337" t="s">
        <v>1311</v>
      </c>
      <c r="K337" t="s">
        <v>1497</v>
      </c>
      <c r="L337" t="b">
        <f>Data_Completeness(MileageData[[#This Row],[MPG]:[Acceleration]])</f>
        <v>1</v>
      </c>
    </row>
    <row r="338" spans="1:12" x14ac:dyDescent="0.25">
      <c r="A338">
        <v>44.6</v>
      </c>
      <c r="B338">
        <v>4</v>
      </c>
      <c r="C338">
        <v>91</v>
      </c>
      <c r="D338">
        <v>67</v>
      </c>
      <c r="E338">
        <v>1850</v>
      </c>
      <c r="F338">
        <v>13.8</v>
      </c>
      <c r="G338">
        <v>80</v>
      </c>
      <c r="H338" t="s">
        <v>1639</v>
      </c>
      <c r="I338" t="s">
        <v>1498</v>
      </c>
      <c r="J338" t="s">
        <v>1246</v>
      </c>
      <c r="K338" t="s">
        <v>1499</v>
      </c>
      <c r="L338" t="b">
        <f>Data_Completeness(MileageData[[#This Row],[MPG]:[Acceleration]])</f>
        <v>1</v>
      </c>
    </row>
    <row r="339" spans="1:12" x14ac:dyDescent="0.25">
      <c r="A339">
        <v>40.9</v>
      </c>
      <c r="B339">
        <v>4</v>
      </c>
      <c r="C339">
        <v>85</v>
      </c>
      <c r="E339">
        <v>1835</v>
      </c>
      <c r="F339">
        <v>17.3</v>
      </c>
      <c r="G339">
        <v>80</v>
      </c>
      <c r="H339" t="s">
        <v>1638</v>
      </c>
      <c r="I339" t="s">
        <v>1500</v>
      </c>
      <c r="J339" t="s">
        <v>1148</v>
      </c>
      <c r="K339" t="s">
        <v>1501</v>
      </c>
      <c r="L339" t="b">
        <f>Data_Completeness(MileageData[[#This Row],[MPG]:[Acceleration]])</f>
        <v>0</v>
      </c>
    </row>
    <row r="340" spans="1:12" x14ac:dyDescent="0.25">
      <c r="A340">
        <v>33.799999999999997</v>
      </c>
      <c r="B340">
        <v>4</v>
      </c>
      <c r="C340">
        <v>97</v>
      </c>
      <c r="D340">
        <v>67</v>
      </c>
      <c r="E340">
        <v>2145</v>
      </c>
      <c r="F340">
        <v>18</v>
      </c>
      <c r="G340">
        <v>80</v>
      </c>
      <c r="H340" t="s">
        <v>1639</v>
      </c>
      <c r="I340" t="s">
        <v>1364</v>
      </c>
      <c r="J340" t="s">
        <v>1248</v>
      </c>
      <c r="K340" t="s">
        <v>1365</v>
      </c>
      <c r="L340" t="b">
        <f>Data_Completeness(MileageData[[#This Row],[MPG]:[Acceleration]])</f>
        <v>1</v>
      </c>
    </row>
    <row r="341" spans="1:12" x14ac:dyDescent="0.25">
      <c r="A341">
        <v>29.8</v>
      </c>
      <c r="B341">
        <v>4</v>
      </c>
      <c r="C341">
        <v>89</v>
      </c>
      <c r="D341">
        <v>62</v>
      </c>
      <c r="E341">
        <v>1845</v>
      </c>
      <c r="F341">
        <v>15.3</v>
      </c>
      <c r="G341">
        <v>80</v>
      </c>
      <c r="H341" t="s">
        <v>1638</v>
      </c>
      <c r="I341" t="s">
        <v>1502</v>
      </c>
      <c r="J341" t="s">
        <v>1503</v>
      </c>
      <c r="K341" t="s">
        <v>1276</v>
      </c>
      <c r="L341" t="b">
        <f>Data_Completeness(MileageData[[#This Row],[MPG]:[Acceleration]])</f>
        <v>1</v>
      </c>
    </row>
    <row r="342" spans="1:12" x14ac:dyDescent="0.25">
      <c r="A342">
        <v>32.700000000000003</v>
      </c>
      <c r="B342">
        <v>6</v>
      </c>
      <c r="C342">
        <v>168</v>
      </c>
      <c r="D342">
        <v>132</v>
      </c>
      <c r="E342">
        <v>2910</v>
      </c>
      <c r="F342">
        <v>11.4</v>
      </c>
      <c r="G342">
        <v>80</v>
      </c>
      <c r="H342" t="s">
        <v>1639</v>
      </c>
      <c r="I342" t="s">
        <v>1504</v>
      </c>
      <c r="J342" t="s">
        <v>1036</v>
      </c>
      <c r="K342" t="s">
        <v>1505</v>
      </c>
      <c r="L342" t="b">
        <f>Data_Completeness(MileageData[[#This Row],[MPG]:[Acceleration]])</f>
        <v>1</v>
      </c>
    </row>
    <row r="343" spans="1:12" x14ac:dyDescent="0.25">
      <c r="A343">
        <v>23.7</v>
      </c>
      <c r="B343">
        <v>3</v>
      </c>
      <c r="C343">
        <v>70</v>
      </c>
      <c r="D343">
        <v>100</v>
      </c>
      <c r="E343">
        <v>2420</v>
      </c>
      <c r="F343">
        <v>12.5</v>
      </c>
      <c r="G343">
        <v>80</v>
      </c>
      <c r="H343" t="s">
        <v>1639</v>
      </c>
      <c r="I343" t="s">
        <v>1506</v>
      </c>
      <c r="J343" t="s">
        <v>1132</v>
      </c>
      <c r="K343" t="s">
        <v>1507</v>
      </c>
      <c r="L343" t="b">
        <f>Data_Completeness(MileageData[[#This Row],[MPG]:[Acceleration]])</f>
        <v>1</v>
      </c>
    </row>
    <row r="344" spans="1:12" x14ac:dyDescent="0.25">
      <c r="A344">
        <v>35</v>
      </c>
      <c r="B344">
        <v>4</v>
      </c>
      <c r="C344">
        <v>122</v>
      </c>
      <c r="D344">
        <v>88</v>
      </c>
      <c r="E344">
        <v>2500</v>
      </c>
      <c r="F344">
        <v>15.1</v>
      </c>
      <c r="G344">
        <v>80</v>
      </c>
      <c r="H344" t="s">
        <v>1638</v>
      </c>
      <c r="I344" t="s">
        <v>1508</v>
      </c>
      <c r="J344" t="s">
        <v>1509</v>
      </c>
      <c r="K344" t="s">
        <v>1510</v>
      </c>
      <c r="L344" t="b">
        <f>Data_Completeness(MileageData[[#This Row],[MPG]:[Acceleration]])</f>
        <v>1</v>
      </c>
    </row>
    <row r="345" spans="1:12" x14ac:dyDescent="0.25">
      <c r="A345">
        <v>23.6</v>
      </c>
      <c r="B345">
        <v>4</v>
      </c>
      <c r="C345">
        <v>140</v>
      </c>
      <c r="E345">
        <v>2905</v>
      </c>
      <c r="F345">
        <v>14.3</v>
      </c>
      <c r="G345">
        <v>80</v>
      </c>
      <c r="H345" t="s">
        <v>1637</v>
      </c>
      <c r="I345" t="s">
        <v>1511</v>
      </c>
      <c r="J345" t="s">
        <v>992</v>
      </c>
      <c r="K345" t="s">
        <v>1512</v>
      </c>
      <c r="L345" t="b">
        <f>Data_Completeness(MileageData[[#This Row],[MPG]:[Acceleration]])</f>
        <v>0</v>
      </c>
    </row>
    <row r="346" spans="1:12" x14ac:dyDescent="0.25">
      <c r="A346">
        <v>32.4</v>
      </c>
      <c r="B346">
        <v>4</v>
      </c>
      <c r="C346">
        <v>107</v>
      </c>
      <c r="D346">
        <v>72</v>
      </c>
      <c r="E346">
        <v>2290</v>
      </c>
      <c r="F346">
        <v>17</v>
      </c>
      <c r="G346">
        <v>80</v>
      </c>
      <c r="H346" t="s">
        <v>1639</v>
      </c>
      <c r="I346" t="s">
        <v>1513</v>
      </c>
      <c r="J346" t="s">
        <v>1246</v>
      </c>
      <c r="K346" t="s">
        <v>1514</v>
      </c>
      <c r="L346" t="b">
        <f>Data_Completeness(MileageData[[#This Row],[MPG]:[Acceleration]])</f>
        <v>1</v>
      </c>
    </row>
    <row r="347" spans="1:12" x14ac:dyDescent="0.25">
      <c r="A347">
        <v>27.2</v>
      </c>
      <c r="B347">
        <v>4</v>
      </c>
      <c r="C347">
        <v>135</v>
      </c>
      <c r="D347">
        <v>84</v>
      </c>
      <c r="E347">
        <v>2490</v>
      </c>
      <c r="F347">
        <v>15.7</v>
      </c>
      <c r="G347">
        <v>81</v>
      </c>
      <c r="H347" t="s">
        <v>1637</v>
      </c>
      <c r="I347" t="s">
        <v>1515</v>
      </c>
      <c r="J347" t="s">
        <v>986</v>
      </c>
      <c r="K347" t="s">
        <v>1516</v>
      </c>
      <c r="L347" t="b">
        <f>Data_Completeness(MileageData[[#This Row],[MPG]:[Acceleration]])</f>
        <v>1</v>
      </c>
    </row>
    <row r="348" spans="1:12" x14ac:dyDescent="0.25">
      <c r="A348">
        <v>26.6</v>
      </c>
      <c r="B348">
        <v>4</v>
      </c>
      <c r="C348">
        <v>151</v>
      </c>
      <c r="D348">
        <v>84</v>
      </c>
      <c r="E348">
        <v>2635</v>
      </c>
      <c r="F348">
        <v>16.399999999999999</v>
      </c>
      <c r="G348">
        <v>81</v>
      </c>
      <c r="H348" t="s">
        <v>1637</v>
      </c>
      <c r="I348" t="s">
        <v>1340</v>
      </c>
      <c r="J348" t="s">
        <v>983</v>
      </c>
      <c r="K348" t="s">
        <v>1341</v>
      </c>
      <c r="L348" t="b">
        <f>Data_Completeness(MileageData[[#This Row],[MPG]:[Acceleration]])</f>
        <v>1</v>
      </c>
    </row>
    <row r="349" spans="1:12" x14ac:dyDescent="0.25">
      <c r="A349">
        <v>25.8</v>
      </c>
      <c r="B349">
        <v>4</v>
      </c>
      <c r="C349">
        <v>156</v>
      </c>
      <c r="D349">
        <v>92</v>
      </c>
      <c r="E349">
        <v>2620</v>
      </c>
      <c r="F349">
        <v>14.4</v>
      </c>
      <c r="G349">
        <v>81</v>
      </c>
      <c r="H349" t="s">
        <v>1637</v>
      </c>
      <c r="I349" t="s">
        <v>1517</v>
      </c>
      <c r="J349" t="s">
        <v>1017</v>
      </c>
      <c r="K349" t="s">
        <v>1518</v>
      </c>
      <c r="L349" t="b">
        <f>Data_Completeness(MileageData[[#This Row],[MPG]:[Acceleration]])</f>
        <v>1</v>
      </c>
    </row>
    <row r="350" spans="1:12" x14ac:dyDescent="0.25">
      <c r="A350">
        <v>23.5</v>
      </c>
      <c r="B350">
        <v>6</v>
      </c>
      <c r="C350">
        <v>173</v>
      </c>
      <c r="D350">
        <v>110</v>
      </c>
      <c r="E350">
        <v>2725</v>
      </c>
      <c r="F350">
        <v>12.6</v>
      </c>
      <c r="G350">
        <v>81</v>
      </c>
      <c r="H350" t="s">
        <v>1637</v>
      </c>
      <c r="I350" t="s">
        <v>1471</v>
      </c>
      <c r="J350" t="s">
        <v>980</v>
      </c>
      <c r="K350" t="s">
        <v>1472</v>
      </c>
      <c r="L350" t="b">
        <f>Data_Completeness(MileageData[[#This Row],[MPG]:[Acceleration]])</f>
        <v>1</v>
      </c>
    </row>
    <row r="351" spans="1:12" x14ac:dyDescent="0.25">
      <c r="A351">
        <v>30</v>
      </c>
      <c r="B351">
        <v>4</v>
      </c>
      <c r="C351">
        <v>135</v>
      </c>
      <c r="D351">
        <v>84</v>
      </c>
      <c r="E351">
        <v>2385</v>
      </c>
      <c r="F351">
        <v>12.9</v>
      </c>
      <c r="G351">
        <v>81</v>
      </c>
      <c r="H351" t="s">
        <v>1637</v>
      </c>
      <c r="I351" t="s">
        <v>1515</v>
      </c>
      <c r="J351" t="s">
        <v>986</v>
      </c>
      <c r="K351" t="s">
        <v>1516</v>
      </c>
      <c r="L351" t="b">
        <f>Data_Completeness(MileageData[[#This Row],[MPG]:[Acceleration]])</f>
        <v>1</v>
      </c>
    </row>
    <row r="352" spans="1:12" x14ac:dyDescent="0.25">
      <c r="A352">
        <v>39.1</v>
      </c>
      <c r="B352">
        <v>4</v>
      </c>
      <c r="C352">
        <v>79</v>
      </c>
      <c r="D352">
        <v>58</v>
      </c>
      <c r="E352">
        <v>1755</v>
      </c>
      <c r="F352">
        <v>16.899999999999999</v>
      </c>
      <c r="G352">
        <v>81</v>
      </c>
      <c r="H352" t="s">
        <v>1639</v>
      </c>
      <c r="I352" t="s">
        <v>1519</v>
      </c>
      <c r="J352" t="s">
        <v>1027</v>
      </c>
      <c r="K352" t="s">
        <v>1520</v>
      </c>
      <c r="L352" t="b">
        <f>Data_Completeness(MileageData[[#This Row],[MPG]:[Acceleration]])</f>
        <v>1</v>
      </c>
    </row>
    <row r="353" spans="1:12" x14ac:dyDescent="0.25">
      <c r="A353">
        <v>39</v>
      </c>
      <c r="B353">
        <v>4</v>
      </c>
      <c r="C353">
        <v>86</v>
      </c>
      <c r="D353">
        <v>64</v>
      </c>
      <c r="E353">
        <v>1875</v>
      </c>
      <c r="F353">
        <v>16.399999999999999</v>
      </c>
      <c r="G353">
        <v>81</v>
      </c>
      <c r="H353" t="s">
        <v>1637</v>
      </c>
      <c r="I353" t="s">
        <v>1521</v>
      </c>
      <c r="J353" t="s">
        <v>986</v>
      </c>
      <c r="K353" t="s">
        <v>1522</v>
      </c>
      <c r="L353" t="b">
        <f>Data_Completeness(MileageData[[#This Row],[MPG]:[Acceleration]])</f>
        <v>1</v>
      </c>
    </row>
    <row r="354" spans="1:12" x14ac:dyDescent="0.25">
      <c r="A354">
        <v>35.1</v>
      </c>
      <c r="B354">
        <v>4</v>
      </c>
      <c r="C354">
        <v>81</v>
      </c>
      <c r="D354">
        <v>60</v>
      </c>
      <c r="E354">
        <v>1760</v>
      </c>
      <c r="F354">
        <v>16.100000000000001</v>
      </c>
      <c r="G354">
        <v>81</v>
      </c>
      <c r="H354" t="s">
        <v>1639</v>
      </c>
      <c r="I354" t="s">
        <v>1523</v>
      </c>
      <c r="J354" t="s">
        <v>1246</v>
      </c>
      <c r="K354" t="s">
        <v>1524</v>
      </c>
      <c r="L354" t="b">
        <f>Data_Completeness(MileageData[[#This Row],[MPG]:[Acceleration]])</f>
        <v>1</v>
      </c>
    </row>
    <row r="355" spans="1:12" x14ac:dyDescent="0.25">
      <c r="A355">
        <v>32.299999999999997</v>
      </c>
      <c r="B355">
        <v>4</v>
      </c>
      <c r="C355">
        <v>97</v>
      </c>
      <c r="D355">
        <v>67</v>
      </c>
      <c r="E355">
        <v>2065</v>
      </c>
      <c r="F355">
        <v>17.8</v>
      </c>
      <c r="G355">
        <v>81</v>
      </c>
      <c r="H355" t="s">
        <v>1639</v>
      </c>
      <c r="I355" t="s">
        <v>1248</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1639</v>
      </c>
      <c r="I356" t="s">
        <v>1525</v>
      </c>
      <c r="J356" t="s">
        <v>1036</v>
      </c>
      <c r="K356" t="s">
        <v>1526</v>
      </c>
      <c r="L356" t="b">
        <f>Data_Completeness(MileageData[[#This Row],[MPG]:[Acceleration]])</f>
        <v>1</v>
      </c>
    </row>
    <row r="357" spans="1:12" x14ac:dyDescent="0.25">
      <c r="A357">
        <v>37.700000000000003</v>
      </c>
      <c r="B357">
        <v>4</v>
      </c>
      <c r="C357">
        <v>89</v>
      </c>
      <c r="D357">
        <v>62</v>
      </c>
      <c r="E357">
        <v>2050</v>
      </c>
      <c r="F357">
        <v>17.3</v>
      </c>
      <c r="G357">
        <v>81</v>
      </c>
      <c r="H357" t="s">
        <v>1639</v>
      </c>
      <c r="I357" t="s">
        <v>1527</v>
      </c>
      <c r="J357" t="s">
        <v>1027</v>
      </c>
      <c r="K357" t="s">
        <v>1528</v>
      </c>
      <c r="L357" t="b">
        <f>Data_Completeness(MileageData[[#This Row],[MPG]:[Acceleration]])</f>
        <v>1</v>
      </c>
    </row>
    <row r="358" spans="1:12" x14ac:dyDescent="0.25">
      <c r="A358">
        <v>34.1</v>
      </c>
      <c r="B358">
        <v>4</v>
      </c>
      <c r="C358">
        <v>91</v>
      </c>
      <c r="D358">
        <v>68</v>
      </c>
      <c r="E358">
        <v>1985</v>
      </c>
      <c r="F358">
        <v>16</v>
      </c>
      <c r="G358">
        <v>81</v>
      </c>
      <c r="H358" t="s">
        <v>1639</v>
      </c>
      <c r="I358" t="s">
        <v>1529</v>
      </c>
      <c r="J358" t="s">
        <v>1132</v>
      </c>
      <c r="K358" t="s">
        <v>1530</v>
      </c>
      <c r="L358" t="b">
        <f>Data_Completeness(MileageData[[#This Row],[MPG]:[Acceleration]])</f>
        <v>1</v>
      </c>
    </row>
    <row r="359" spans="1:12" x14ac:dyDescent="0.25">
      <c r="A359">
        <v>34.700000000000003</v>
      </c>
      <c r="B359">
        <v>4</v>
      </c>
      <c r="C359">
        <v>105</v>
      </c>
      <c r="D359">
        <v>63</v>
      </c>
      <c r="E359">
        <v>2215</v>
      </c>
      <c r="F359">
        <v>14.9</v>
      </c>
      <c r="G359">
        <v>81</v>
      </c>
      <c r="H359" t="s">
        <v>1637</v>
      </c>
      <c r="I359" t="s">
        <v>1531</v>
      </c>
      <c r="J359" t="s">
        <v>986</v>
      </c>
      <c r="K359" t="s">
        <v>1532</v>
      </c>
      <c r="L359" t="b">
        <f>Data_Completeness(MileageData[[#This Row],[MPG]:[Acceleration]])</f>
        <v>1</v>
      </c>
    </row>
    <row r="360" spans="1:12" x14ac:dyDescent="0.25">
      <c r="A360">
        <v>34.4</v>
      </c>
      <c r="B360">
        <v>4</v>
      </c>
      <c r="C360">
        <v>98</v>
      </c>
      <c r="D360">
        <v>65</v>
      </c>
      <c r="E360">
        <v>2045</v>
      </c>
      <c r="F360">
        <v>16.2</v>
      </c>
      <c r="G360">
        <v>81</v>
      </c>
      <c r="H360" t="s">
        <v>1637</v>
      </c>
      <c r="I360" t="s">
        <v>1533</v>
      </c>
      <c r="J360" t="s">
        <v>992</v>
      </c>
      <c r="K360" t="s">
        <v>1534</v>
      </c>
      <c r="L360" t="b">
        <f>Data_Completeness(MileageData[[#This Row],[MPG]:[Acceleration]])</f>
        <v>1</v>
      </c>
    </row>
    <row r="361" spans="1:12" x14ac:dyDescent="0.25">
      <c r="A361">
        <v>29.9</v>
      </c>
      <c r="B361">
        <v>4</v>
      </c>
      <c r="C361">
        <v>98</v>
      </c>
      <c r="D361">
        <v>65</v>
      </c>
      <c r="E361">
        <v>2380</v>
      </c>
      <c r="F361">
        <v>20.7</v>
      </c>
      <c r="G361">
        <v>81</v>
      </c>
      <c r="H361" t="s">
        <v>1637</v>
      </c>
      <c r="I361" t="s">
        <v>1535</v>
      </c>
      <c r="J361" t="s">
        <v>992</v>
      </c>
      <c r="K361" t="s">
        <v>1536</v>
      </c>
      <c r="L361" t="b">
        <f>Data_Completeness(MileageData[[#This Row],[MPG]:[Acceleration]])</f>
        <v>1</v>
      </c>
    </row>
    <row r="362" spans="1:12" x14ac:dyDescent="0.25">
      <c r="A362">
        <v>33</v>
      </c>
      <c r="B362">
        <v>4</v>
      </c>
      <c r="C362">
        <v>105</v>
      </c>
      <c r="D362">
        <v>74</v>
      </c>
      <c r="E362">
        <v>2190</v>
      </c>
      <c r="F362">
        <v>14.2</v>
      </c>
      <c r="G362">
        <v>81</v>
      </c>
      <c r="H362" t="s">
        <v>1638</v>
      </c>
      <c r="I362" t="s">
        <v>1537</v>
      </c>
      <c r="J362" t="s">
        <v>1039</v>
      </c>
      <c r="K362" t="s">
        <v>1538</v>
      </c>
      <c r="L362" t="b">
        <f>Data_Completeness(MileageData[[#This Row],[MPG]:[Acceleration]])</f>
        <v>1</v>
      </c>
    </row>
    <row r="363" spans="1:12" x14ac:dyDescent="0.25">
      <c r="A363">
        <v>34.5</v>
      </c>
      <c r="B363">
        <v>4</v>
      </c>
      <c r="C363">
        <v>100</v>
      </c>
      <c r="E363">
        <v>2320</v>
      </c>
      <c r="F363">
        <v>15.8</v>
      </c>
      <c r="G363">
        <v>81</v>
      </c>
      <c r="H363" t="s">
        <v>1638</v>
      </c>
      <c r="I363" t="s">
        <v>1539</v>
      </c>
      <c r="J363" t="s">
        <v>1148</v>
      </c>
      <c r="K363" t="s">
        <v>1540</v>
      </c>
      <c r="L363" t="b">
        <f>Data_Completeness(MileageData[[#This Row],[MPG]:[Acceleration]])</f>
        <v>0</v>
      </c>
    </row>
    <row r="364" spans="1:12" x14ac:dyDescent="0.25">
      <c r="A364">
        <v>33.700000000000003</v>
      </c>
      <c r="B364">
        <v>4</v>
      </c>
      <c r="C364">
        <v>107</v>
      </c>
      <c r="D364">
        <v>75</v>
      </c>
      <c r="E364">
        <v>2210</v>
      </c>
      <c r="F364">
        <v>14.4</v>
      </c>
      <c r="G364">
        <v>81</v>
      </c>
      <c r="H364" t="s">
        <v>1639</v>
      </c>
      <c r="I364" t="s">
        <v>1541</v>
      </c>
      <c r="J364" t="s">
        <v>1246</v>
      </c>
      <c r="K364" t="s">
        <v>1542</v>
      </c>
      <c r="L364" t="b">
        <f>Data_Completeness(MileageData[[#This Row],[MPG]:[Acceleration]])</f>
        <v>1</v>
      </c>
    </row>
    <row r="365" spans="1:12" x14ac:dyDescent="0.25">
      <c r="A365">
        <v>32.4</v>
      </c>
      <c r="B365">
        <v>4</v>
      </c>
      <c r="C365">
        <v>108</v>
      </c>
      <c r="D365">
        <v>75</v>
      </c>
      <c r="E365">
        <v>2350</v>
      </c>
      <c r="F365">
        <v>16.8</v>
      </c>
      <c r="G365">
        <v>81</v>
      </c>
      <c r="H365" t="s">
        <v>1639</v>
      </c>
      <c r="I365" t="s">
        <v>1271</v>
      </c>
      <c r="J365" t="s">
        <v>1027</v>
      </c>
      <c r="K365" t="s">
        <v>1272</v>
      </c>
      <c r="L365" t="b">
        <f>Data_Completeness(MileageData[[#This Row],[MPG]:[Acceleration]])</f>
        <v>1</v>
      </c>
    </row>
    <row r="366" spans="1:12" x14ac:dyDescent="0.25">
      <c r="A366">
        <v>32.9</v>
      </c>
      <c r="B366">
        <v>4</v>
      </c>
      <c r="C366">
        <v>119</v>
      </c>
      <c r="D366">
        <v>100</v>
      </c>
      <c r="E366">
        <v>2615</v>
      </c>
      <c r="F366">
        <v>14.8</v>
      </c>
      <c r="G366">
        <v>81</v>
      </c>
      <c r="H366" t="s">
        <v>1639</v>
      </c>
      <c r="I366" t="s">
        <v>1543</v>
      </c>
      <c r="J366" t="s">
        <v>1036</v>
      </c>
      <c r="K366" t="s">
        <v>1544</v>
      </c>
      <c r="L366" t="b">
        <f>Data_Completeness(MileageData[[#This Row],[MPG]:[Acceleration]])</f>
        <v>1</v>
      </c>
    </row>
    <row r="367" spans="1:12" x14ac:dyDescent="0.25">
      <c r="A367">
        <v>31.6</v>
      </c>
      <c r="B367">
        <v>4</v>
      </c>
      <c r="C367">
        <v>120</v>
      </c>
      <c r="D367">
        <v>74</v>
      </c>
      <c r="E367">
        <v>2635</v>
      </c>
      <c r="F367">
        <v>18.3</v>
      </c>
      <c r="G367">
        <v>81</v>
      </c>
      <c r="H367" t="s">
        <v>1639</v>
      </c>
      <c r="I367" t="s">
        <v>1485</v>
      </c>
      <c r="J367" t="s">
        <v>1132</v>
      </c>
      <c r="K367">
        <v>626</v>
      </c>
      <c r="L367" t="b">
        <f>Data_Completeness(MileageData[[#This Row],[MPG]:[Acceleration]])</f>
        <v>1</v>
      </c>
    </row>
    <row r="368" spans="1:12" x14ac:dyDescent="0.25">
      <c r="A368">
        <v>28.1</v>
      </c>
      <c r="B368">
        <v>4</v>
      </c>
      <c r="C368">
        <v>141</v>
      </c>
      <c r="D368">
        <v>80</v>
      </c>
      <c r="E368">
        <v>3230</v>
      </c>
      <c r="F368">
        <v>20.399999999999999</v>
      </c>
      <c r="G368">
        <v>81</v>
      </c>
      <c r="H368" t="s">
        <v>1638</v>
      </c>
      <c r="I368" t="s">
        <v>1545</v>
      </c>
      <c r="J368" t="s">
        <v>1042</v>
      </c>
      <c r="K368" t="s">
        <v>1546</v>
      </c>
      <c r="L368" t="b">
        <f>Data_Completeness(MileageData[[#This Row],[MPG]:[Acceleration]])</f>
        <v>1</v>
      </c>
    </row>
    <row r="369" spans="1:12" x14ac:dyDescent="0.25">
      <c r="B369">
        <v>4</v>
      </c>
      <c r="C369">
        <v>121</v>
      </c>
      <c r="D369">
        <v>110</v>
      </c>
      <c r="E369">
        <v>2800</v>
      </c>
      <c r="F369">
        <v>15.4</v>
      </c>
      <c r="G369">
        <v>81</v>
      </c>
      <c r="H369" t="s">
        <v>1638</v>
      </c>
      <c r="I369" t="s">
        <v>1547</v>
      </c>
      <c r="J369" t="s">
        <v>1047</v>
      </c>
      <c r="K369" t="s">
        <v>1548</v>
      </c>
      <c r="L369" t="b">
        <f>Data_Completeness(MileageData[[#This Row],[MPG]:[Acceleration]])</f>
        <v>0</v>
      </c>
    </row>
    <row r="370" spans="1:12" x14ac:dyDescent="0.25">
      <c r="A370">
        <v>30.7</v>
      </c>
      <c r="B370">
        <v>6</v>
      </c>
      <c r="C370">
        <v>145</v>
      </c>
      <c r="D370">
        <v>76</v>
      </c>
      <c r="E370">
        <v>3160</v>
      </c>
      <c r="F370">
        <v>19.600000000000001</v>
      </c>
      <c r="G370">
        <v>81</v>
      </c>
      <c r="H370" t="s">
        <v>1638</v>
      </c>
      <c r="I370" t="s">
        <v>1549</v>
      </c>
      <c r="J370" t="s">
        <v>1141</v>
      </c>
      <c r="K370" t="s">
        <v>1550</v>
      </c>
      <c r="L370" t="b">
        <f>Data_Completeness(MileageData[[#This Row],[MPG]:[Acceleration]])</f>
        <v>1</v>
      </c>
    </row>
    <row r="371" spans="1:12" x14ac:dyDescent="0.25">
      <c r="A371">
        <v>25.4</v>
      </c>
      <c r="B371">
        <v>6</v>
      </c>
      <c r="C371">
        <v>168</v>
      </c>
      <c r="D371">
        <v>116</v>
      </c>
      <c r="E371">
        <v>2900</v>
      </c>
      <c r="F371">
        <v>12.6</v>
      </c>
      <c r="G371">
        <v>81</v>
      </c>
      <c r="H371" t="s">
        <v>1639</v>
      </c>
      <c r="I371" t="s">
        <v>1551</v>
      </c>
      <c r="J371" t="s">
        <v>1027</v>
      </c>
      <c r="K371" t="s">
        <v>1552</v>
      </c>
      <c r="L371" t="b">
        <f>Data_Completeness(MileageData[[#This Row],[MPG]:[Acceleration]])</f>
        <v>1</v>
      </c>
    </row>
    <row r="372" spans="1:12" x14ac:dyDescent="0.25">
      <c r="A372">
        <v>24.2</v>
      </c>
      <c r="B372">
        <v>6</v>
      </c>
      <c r="C372">
        <v>146</v>
      </c>
      <c r="D372">
        <v>120</v>
      </c>
      <c r="E372">
        <v>2930</v>
      </c>
      <c r="F372">
        <v>13.8</v>
      </c>
      <c r="G372">
        <v>81</v>
      </c>
      <c r="H372" t="s">
        <v>1639</v>
      </c>
      <c r="I372" t="s">
        <v>1553</v>
      </c>
      <c r="J372" t="s">
        <v>1036</v>
      </c>
      <c r="K372" t="s">
        <v>1554</v>
      </c>
      <c r="L372" t="b">
        <f>Data_Completeness(MileageData[[#This Row],[MPG]:[Acceleration]])</f>
        <v>1</v>
      </c>
    </row>
    <row r="373" spans="1:12" x14ac:dyDescent="0.25">
      <c r="A373">
        <v>22.4</v>
      </c>
      <c r="B373">
        <v>6</v>
      </c>
      <c r="C373">
        <v>231</v>
      </c>
      <c r="D373">
        <v>110</v>
      </c>
      <c r="E373">
        <v>3415</v>
      </c>
      <c r="F373">
        <v>15.8</v>
      </c>
      <c r="G373">
        <v>81</v>
      </c>
      <c r="H373" t="s">
        <v>1637</v>
      </c>
      <c r="I373" t="s">
        <v>1259</v>
      </c>
      <c r="J373" t="s">
        <v>983</v>
      </c>
      <c r="K373" t="s">
        <v>1260</v>
      </c>
      <c r="L373" t="b">
        <f>Data_Completeness(MileageData[[#This Row],[MPG]:[Acceleration]])</f>
        <v>1</v>
      </c>
    </row>
    <row r="374" spans="1:12" x14ac:dyDescent="0.25">
      <c r="A374">
        <v>26.6</v>
      </c>
      <c r="B374">
        <v>8</v>
      </c>
      <c r="C374">
        <v>350</v>
      </c>
      <c r="D374">
        <v>105</v>
      </c>
      <c r="E374">
        <v>3725</v>
      </c>
      <c r="F374">
        <v>19</v>
      </c>
      <c r="G374">
        <v>81</v>
      </c>
      <c r="H374" t="s">
        <v>1637</v>
      </c>
      <c r="I374" t="s">
        <v>1555</v>
      </c>
      <c r="J374" t="s">
        <v>1126</v>
      </c>
      <c r="K374" t="s">
        <v>1556</v>
      </c>
      <c r="L374" t="b">
        <f>Data_Completeness(MileageData[[#This Row],[MPG]:[Acceleration]])</f>
        <v>1</v>
      </c>
    </row>
    <row r="375" spans="1:12" x14ac:dyDescent="0.25">
      <c r="A375">
        <v>20.2</v>
      </c>
      <c r="B375">
        <v>6</v>
      </c>
      <c r="C375">
        <v>200</v>
      </c>
      <c r="D375">
        <v>88</v>
      </c>
      <c r="E375">
        <v>3060</v>
      </c>
      <c r="F375">
        <v>17.100000000000001</v>
      </c>
      <c r="G375">
        <v>81</v>
      </c>
      <c r="H375" t="s">
        <v>1637</v>
      </c>
      <c r="I375" t="s">
        <v>1557</v>
      </c>
      <c r="J375" t="s">
        <v>992</v>
      </c>
      <c r="K375" t="s">
        <v>1558</v>
      </c>
      <c r="L375" t="b">
        <f>Data_Completeness(MileageData[[#This Row],[MPG]:[Acceleration]])</f>
        <v>1</v>
      </c>
    </row>
    <row r="376" spans="1:12" x14ac:dyDescent="0.25">
      <c r="A376">
        <v>17.600000000000001</v>
      </c>
      <c r="B376">
        <v>6</v>
      </c>
      <c r="C376">
        <v>225</v>
      </c>
      <c r="D376">
        <v>85</v>
      </c>
      <c r="E376">
        <v>3465</v>
      </c>
      <c r="F376">
        <v>16.600000000000001</v>
      </c>
      <c r="G376">
        <v>81</v>
      </c>
      <c r="H376" t="s">
        <v>1637</v>
      </c>
      <c r="I376" t="s">
        <v>1559</v>
      </c>
      <c r="J376" t="s">
        <v>1129</v>
      </c>
      <c r="K376" t="s">
        <v>1560</v>
      </c>
      <c r="L376" t="b">
        <f>Data_Completeness(MileageData[[#This Row],[MPG]:[Acceleration]])</f>
        <v>1</v>
      </c>
    </row>
    <row r="377" spans="1:12" x14ac:dyDescent="0.25">
      <c r="A377">
        <v>28</v>
      </c>
      <c r="B377">
        <v>4</v>
      </c>
      <c r="C377">
        <v>112</v>
      </c>
      <c r="D377">
        <v>88</v>
      </c>
      <c r="E377">
        <v>2605</v>
      </c>
      <c r="F377">
        <v>19.600000000000001</v>
      </c>
      <c r="G377">
        <v>82</v>
      </c>
      <c r="H377" t="s">
        <v>1637</v>
      </c>
      <c r="I377" t="s">
        <v>1561</v>
      </c>
      <c r="J377" t="s">
        <v>980</v>
      </c>
      <c r="K377" t="s">
        <v>1562</v>
      </c>
      <c r="L377" t="b">
        <f>Data_Completeness(MileageData[[#This Row],[MPG]:[Acceleration]])</f>
        <v>1</v>
      </c>
    </row>
    <row r="378" spans="1:12" x14ac:dyDescent="0.25">
      <c r="A378">
        <v>27</v>
      </c>
      <c r="B378">
        <v>4</v>
      </c>
      <c r="C378">
        <v>112</v>
      </c>
      <c r="D378">
        <v>88</v>
      </c>
      <c r="E378">
        <v>2640</v>
      </c>
      <c r="F378">
        <v>18.600000000000001</v>
      </c>
      <c r="G378">
        <v>82</v>
      </c>
      <c r="H378" t="s">
        <v>1637</v>
      </c>
      <c r="I378" t="s">
        <v>1563</v>
      </c>
      <c r="J378" t="s">
        <v>980</v>
      </c>
      <c r="K378" t="s">
        <v>1564</v>
      </c>
      <c r="L378" t="b">
        <f>Data_Completeness(MileageData[[#This Row],[MPG]:[Acceleration]])</f>
        <v>1</v>
      </c>
    </row>
    <row r="379" spans="1:12" x14ac:dyDescent="0.25">
      <c r="A379">
        <v>34</v>
      </c>
      <c r="B379">
        <v>4</v>
      </c>
      <c r="C379">
        <v>112</v>
      </c>
      <c r="D379">
        <v>88</v>
      </c>
      <c r="E379">
        <v>2395</v>
      </c>
      <c r="F379">
        <v>18</v>
      </c>
      <c r="G379">
        <v>82</v>
      </c>
      <c r="H379" t="s">
        <v>1637</v>
      </c>
      <c r="I379" t="s">
        <v>1565</v>
      </c>
      <c r="J379" t="s">
        <v>980</v>
      </c>
      <c r="K379" t="s">
        <v>1566</v>
      </c>
      <c r="L379" t="b">
        <f>Data_Completeness(MileageData[[#This Row],[MPG]:[Acceleration]])</f>
        <v>1</v>
      </c>
    </row>
    <row r="380" spans="1:12" x14ac:dyDescent="0.25">
      <c r="A380">
        <v>31</v>
      </c>
      <c r="B380">
        <v>4</v>
      </c>
      <c r="C380">
        <v>112</v>
      </c>
      <c r="D380">
        <v>85</v>
      </c>
      <c r="E380">
        <v>2575</v>
      </c>
      <c r="F380">
        <v>16.2</v>
      </c>
      <c r="G380">
        <v>82</v>
      </c>
      <c r="H380" t="s">
        <v>1637</v>
      </c>
      <c r="I380" t="s">
        <v>1567</v>
      </c>
      <c r="J380" t="s">
        <v>1001</v>
      </c>
      <c r="K380" t="s">
        <v>1568</v>
      </c>
      <c r="L380" t="b">
        <f>Data_Completeness(MileageData[[#This Row],[MPG]:[Acceleration]])</f>
        <v>1</v>
      </c>
    </row>
    <row r="381" spans="1:12" x14ac:dyDescent="0.25">
      <c r="A381">
        <v>29</v>
      </c>
      <c r="B381">
        <v>4</v>
      </c>
      <c r="C381">
        <v>135</v>
      </c>
      <c r="D381">
        <v>84</v>
      </c>
      <c r="E381">
        <v>2525</v>
      </c>
      <c r="F381">
        <v>16</v>
      </c>
      <c r="G381">
        <v>82</v>
      </c>
      <c r="H381" t="s">
        <v>1637</v>
      </c>
      <c r="I381" t="s">
        <v>1569</v>
      </c>
      <c r="J381" t="s">
        <v>1017</v>
      </c>
      <c r="K381" t="s">
        <v>1570</v>
      </c>
      <c r="L381" t="b">
        <f>Data_Completeness(MileageData[[#This Row],[MPG]:[Acceleration]])</f>
        <v>1</v>
      </c>
    </row>
    <row r="382" spans="1:12" x14ac:dyDescent="0.25">
      <c r="A382">
        <v>27</v>
      </c>
      <c r="B382">
        <v>4</v>
      </c>
      <c r="C382">
        <v>151</v>
      </c>
      <c r="D382">
        <v>90</v>
      </c>
      <c r="E382">
        <v>2735</v>
      </c>
      <c r="F382">
        <v>18</v>
      </c>
      <c r="G382">
        <v>82</v>
      </c>
      <c r="H382" t="s">
        <v>1637</v>
      </c>
      <c r="I382" t="s">
        <v>1475</v>
      </c>
      <c r="J382" t="s">
        <v>1001</v>
      </c>
      <c r="K382" t="s">
        <v>1476</v>
      </c>
      <c r="L382" t="b">
        <f>Data_Completeness(MileageData[[#This Row],[MPG]:[Acceleration]])</f>
        <v>1</v>
      </c>
    </row>
    <row r="383" spans="1:12" x14ac:dyDescent="0.25">
      <c r="A383">
        <v>24</v>
      </c>
      <c r="B383">
        <v>4</v>
      </c>
      <c r="C383">
        <v>140</v>
      </c>
      <c r="D383">
        <v>92</v>
      </c>
      <c r="E383">
        <v>2865</v>
      </c>
      <c r="F383">
        <v>16.399999999999999</v>
      </c>
      <c r="G383">
        <v>82</v>
      </c>
      <c r="H383" t="s">
        <v>1637</v>
      </c>
      <c r="I383" t="s">
        <v>1571</v>
      </c>
      <c r="J383" t="s">
        <v>992</v>
      </c>
      <c r="K383" t="s">
        <v>1572</v>
      </c>
      <c r="L383" t="b">
        <f>Data_Completeness(MileageData[[#This Row],[MPG]:[Acceleration]])</f>
        <v>1</v>
      </c>
    </row>
    <row r="384" spans="1:12" x14ac:dyDescent="0.25">
      <c r="A384">
        <v>23</v>
      </c>
      <c r="B384">
        <v>4</v>
      </c>
      <c r="C384">
        <v>151</v>
      </c>
      <c r="E384">
        <v>3035</v>
      </c>
      <c r="F384">
        <v>20.5</v>
      </c>
      <c r="G384">
        <v>82</v>
      </c>
      <c r="H384" t="s">
        <v>1637</v>
      </c>
      <c r="I384" t="s">
        <v>1573</v>
      </c>
      <c r="J384" t="s">
        <v>989</v>
      </c>
      <c r="K384" t="s">
        <v>1574</v>
      </c>
      <c r="L384" t="b">
        <f>Data_Completeness(MileageData[[#This Row],[MPG]:[Acceleration]])</f>
        <v>0</v>
      </c>
    </row>
    <row r="385" spans="1:12" x14ac:dyDescent="0.25">
      <c r="A385">
        <v>36</v>
      </c>
      <c r="B385">
        <v>4</v>
      </c>
      <c r="C385">
        <v>105</v>
      </c>
      <c r="D385">
        <v>74</v>
      </c>
      <c r="E385">
        <v>1980</v>
      </c>
      <c r="F385">
        <v>15.3</v>
      </c>
      <c r="G385">
        <v>82</v>
      </c>
      <c r="H385" t="s">
        <v>1638</v>
      </c>
      <c r="I385" t="s">
        <v>1575</v>
      </c>
      <c r="J385" t="s">
        <v>1039</v>
      </c>
      <c r="K385" t="s">
        <v>1576</v>
      </c>
      <c r="L385" t="b">
        <f>Data_Completeness(MileageData[[#This Row],[MPG]:[Acceleration]])</f>
        <v>1</v>
      </c>
    </row>
    <row r="386" spans="1:12" x14ac:dyDescent="0.25">
      <c r="A386">
        <v>37</v>
      </c>
      <c r="B386">
        <v>4</v>
      </c>
      <c r="C386">
        <v>91</v>
      </c>
      <c r="D386">
        <v>68</v>
      </c>
      <c r="E386">
        <v>2025</v>
      </c>
      <c r="F386">
        <v>18.2</v>
      </c>
      <c r="G386">
        <v>82</v>
      </c>
      <c r="H386" t="s">
        <v>1639</v>
      </c>
      <c r="I386" t="s">
        <v>1577</v>
      </c>
      <c r="J386" t="s">
        <v>1132</v>
      </c>
      <c r="K386" t="s">
        <v>1578</v>
      </c>
      <c r="L386" t="b">
        <f>Data_Completeness(MileageData[[#This Row],[MPG]:[Acceleration]])</f>
        <v>1</v>
      </c>
    </row>
    <row r="387" spans="1:12" x14ac:dyDescent="0.25">
      <c r="A387">
        <v>31</v>
      </c>
      <c r="B387">
        <v>4</v>
      </c>
      <c r="C387">
        <v>91</v>
      </c>
      <c r="D387">
        <v>68</v>
      </c>
      <c r="E387">
        <v>1970</v>
      </c>
      <c r="F387">
        <v>17.600000000000001</v>
      </c>
      <c r="G387">
        <v>82</v>
      </c>
      <c r="H387" t="s">
        <v>1639</v>
      </c>
      <c r="I387" t="s">
        <v>1579</v>
      </c>
      <c r="J387" t="s">
        <v>1132</v>
      </c>
      <c r="K387" t="s">
        <v>1580</v>
      </c>
      <c r="L387" t="b">
        <f>Data_Completeness(MileageData[[#This Row],[MPG]:[Acceleration]])</f>
        <v>1</v>
      </c>
    </row>
    <row r="388" spans="1:12" x14ac:dyDescent="0.25">
      <c r="A388">
        <v>38</v>
      </c>
      <c r="B388">
        <v>4</v>
      </c>
      <c r="C388">
        <v>105</v>
      </c>
      <c r="D388">
        <v>63</v>
      </c>
      <c r="E388">
        <v>2125</v>
      </c>
      <c r="F388">
        <v>14.7</v>
      </c>
      <c r="G388">
        <v>82</v>
      </c>
      <c r="H388" t="s">
        <v>1637</v>
      </c>
      <c r="I388" t="s">
        <v>1581</v>
      </c>
      <c r="J388" t="s">
        <v>986</v>
      </c>
      <c r="K388" t="s">
        <v>1582</v>
      </c>
      <c r="L388" t="b">
        <f>Data_Completeness(MileageData[[#This Row],[MPG]:[Acceleration]])</f>
        <v>1</v>
      </c>
    </row>
    <row r="389" spans="1:12" x14ac:dyDescent="0.25">
      <c r="A389">
        <v>36</v>
      </c>
      <c r="B389">
        <v>4</v>
      </c>
      <c r="C389">
        <v>98</v>
      </c>
      <c r="D389">
        <v>70</v>
      </c>
      <c r="E389">
        <v>2125</v>
      </c>
      <c r="F389">
        <v>17.3</v>
      </c>
      <c r="G389">
        <v>82</v>
      </c>
      <c r="H389" t="s">
        <v>1637</v>
      </c>
      <c r="I389" t="s">
        <v>1583</v>
      </c>
      <c r="J389" t="s">
        <v>1094</v>
      </c>
      <c r="K389" t="s">
        <v>1584</v>
      </c>
      <c r="L389" t="b">
        <f>Data_Completeness(MileageData[[#This Row],[MPG]:[Acceleration]])</f>
        <v>1</v>
      </c>
    </row>
    <row r="390" spans="1:12" x14ac:dyDescent="0.25">
      <c r="A390">
        <v>36</v>
      </c>
      <c r="B390">
        <v>4</v>
      </c>
      <c r="C390">
        <v>120</v>
      </c>
      <c r="D390">
        <v>88</v>
      </c>
      <c r="E390">
        <v>2160</v>
      </c>
      <c r="F390">
        <v>14.5</v>
      </c>
      <c r="G390">
        <v>82</v>
      </c>
      <c r="H390" t="s">
        <v>1639</v>
      </c>
      <c r="I390" t="s">
        <v>1585</v>
      </c>
      <c r="J390" t="s">
        <v>1586</v>
      </c>
      <c r="K390" t="s">
        <v>1587</v>
      </c>
      <c r="L390" t="b">
        <f>Data_Completeness(MileageData[[#This Row],[MPG]:[Acceleration]])</f>
        <v>1</v>
      </c>
    </row>
    <row r="391" spans="1:12" x14ac:dyDescent="0.25">
      <c r="A391">
        <v>36</v>
      </c>
      <c r="B391">
        <v>4</v>
      </c>
      <c r="C391">
        <v>107</v>
      </c>
      <c r="D391">
        <v>75</v>
      </c>
      <c r="E391">
        <v>2205</v>
      </c>
      <c r="F391">
        <v>14.5</v>
      </c>
      <c r="G391">
        <v>82</v>
      </c>
      <c r="H391" t="s">
        <v>1639</v>
      </c>
      <c r="I391" t="s">
        <v>1513</v>
      </c>
      <c r="J391" t="s">
        <v>1246</v>
      </c>
      <c r="K391" t="s">
        <v>1514</v>
      </c>
      <c r="L391" t="b">
        <f>Data_Completeness(MileageData[[#This Row],[MPG]:[Acceleration]])</f>
        <v>1</v>
      </c>
    </row>
    <row r="392" spans="1:12" x14ac:dyDescent="0.25">
      <c r="A392">
        <v>34</v>
      </c>
      <c r="B392">
        <v>4</v>
      </c>
      <c r="C392">
        <v>108</v>
      </c>
      <c r="D392">
        <v>70</v>
      </c>
      <c r="E392">
        <v>2245</v>
      </c>
      <c r="F392">
        <v>16.899999999999999</v>
      </c>
      <c r="G392">
        <v>82</v>
      </c>
      <c r="H392" t="s">
        <v>1639</v>
      </c>
      <c r="I392" t="s">
        <v>1271</v>
      </c>
      <c r="J392" t="s">
        <v>1027</v>
      </c>
      <c r="K392" t="s">
        <v>1272</v>
      </c>
      <c r="L392" t="b">
        <f>Data_Completeness(MileageData[[#This Row],[MPG]:[Acceleration]])</f>
        <v>1</v>
      </c>
    </row>
    <row r="393" spans="1:12" x14ac:dyDescent="0.25">
      <c r="A393">
        <v>38</v>
      </c>
      <c r="B393">
        <v>4</v>
      </c>
      <c r="C393">
        <v>91</v>
      </c>
      <c r="D393">
        <v>67</v>
      </c>
      <c r="E393">
        <v>1965</v>
      </c>
      <c r="F393">
        <v>15</v>
      </c>
      <c r="G393">
        <v>82</v>
      </c>
      <c r="H393" t="s">
        <v>1639</v>
      </c>
      <c r="I393" t="s">
        <v>1245</v>
      </c>
      <c r="J393" t="s">
        <v>1246</v>
      </c>
      <c r="K393" t="s">
        <v>1247</v>
      </c>
      <c r="L393" t="b">
        <f>Data_Completeness(MileageData[[#This Row],[MPG]:[Acceleration]])</f>
        <v>1</v>
      </c>
    </row>
    <row r="394" spans="1:12" x14ac:dyDescent="0.25">
      <c r="A394">
        <v>32</v>
      </c>
      <c r="B394">
        <v>4</v>
      </c>
      <c r="C394">
        <v>91</v>
      </c>
      <c r="D394">
        <v>67</v>
      </c>
      <c r="E394">
        <v>1965</v>
      </c>
      <c r="F394">
        <v>15.7</v>
      </c>
      <c r="G394">
        <v>82</v>
      </c>
      <c r="H394" t="s">
        <v>1639</v>
      </c>
      <c r="I394" t="s">
        <v>1588</v>
      </c>
      <c r="J394" t="s">
        <v>1246</v>
      </c>
      <c r="K394" t="s">
        <v>1589</v>
      </c>
      <c r="L394" t="b">
        <f>Data_Completeness(MileageData[[#This Row],[MPG]:[Acceleration]])</f>
        <v>1</v>
      </c>
    </row>
    <row r="395" spans="1:12" x14ac:dyDescent="0.25">
      <c r="A395">
        <v>38</v>
      </c>
      <c r="B395">
        <v>4</v>
      </c>
      <c r="C395">
        <v>91</v>
      </c>
      <c r="D395">
        <v>67</v>
      </c>
      <c r="E395">
        <v>1995</v>
      </c>
      <c r="F395">
        <v>16.2</v>
      </c>
      <c r="G395">
        <v>82</v>
      </c>
      <c r="H395" t="s">
        <v>1639</v>
      </c>
      <c r="I395" t="s">
        <v>1590</v>
      </c>
      <c r="J395" t="s">
        <v>1036</v>
      </c>
      <c r="K395" t="s">
        <v>1591</v>
      </c>
      <c r="L395" t="b">
        <f>Data_Completeness(MileageData[[#This Row],[MPG]:[Acceleration]])</f>
        <v>1</v>
      </c>
    </row>
    <row r="396" spans="1:12" x14ac:dyDescent="0.25">
      <c r="A396">
        <v>25</v>
      </c>
      <c r="B396">
        <v>6</v>
      </c>
      <c r="C396">
        <v>181</v>
      </c>
      <c r="D396">
        <v>110</v>
      </c>
      <c r="E396">
        <v>2945</v>
      </c>
      <c r="F396">
        <v>16.399999999999999</v>
      </c>
      <c r="G396">
        <v>82</v>
      </c>
      <c r="H396" t="s">
        <v>1637</v>
      </c>
      <c r="I396" t="s">
        <v>1592</v>
      </c>
      <c r="J396" t="s">
        <v>983</v>
      </c>
      <c r="K396" t="s">
        <v>1593</v>
      </c>
      <c r="L396" t="b">
        <f>Data_Completeness(MileageData[[#This Row],[MPG]:[Acceleration]])</f>
        <v>1</v>
      </c>
    </row>
    <row r="397" spans="1:12" x14ac:dyDescent="0.25">
      <c r="A397">
        <v>38</v>
      </c>
      <c r="B397">
        <v>6</v>
      </c>
      <c r="C397">
        <v>262</v>
      </c>
      <c r="D397">
        <v>85</v>
      </c>
      <c r="E397">
        <v>3015</v>
      </c>
      <c r="F397">
        <v>17</v>
      </c>
      <c r="G397">
        <v>82</v>
      </c>
      <c r="H397" t="s">
        <v>1637</v>
      </c>
      <c r="I397" t="s">
        <v>1594</v>
      </c>
      <c r="J397" t="s">
        <v>1126</v>
      </c>
      <c r="K397" t="s">
        <v>1595</v>
      </c>
      <c r="L397" t="b">
        <f>Data_Completeness(MileageData[[#This Row],[MPG]:[Acceleration]])</f>
        <v>1</v>
      </c>
    </row>
    <row r="398" spans="1:12" x14ac:dyDescent="0.25">
      <c r="A398">
        <v>26</v>
      </c>
      <c r="B398">
        <v>4</v>
      </c>
      <c r="C398">
        <v>156</v>
      </c>
      <c r="D398">
        <v>92</v>
      </c>
      <c r="E398">
        <v>2585</v>
      </c>
      <c r="F398">
        <v>14.5</v>
      </c>
      <c r="G398">
        <v>82</v>
      </c>
      <c r="H398" t="s">
        <v>1637</v>
      </c>
      <c r="I398" t="s">
        <v>1596</v>
      </c>
      <c r="J398" t="s">
        <v>1129</v>
      </c>
      <c r="K398" t="s">
        <v>1597</v>
      </c>
      <c r="L398" t="b">
        <f>Data_Completeness(MileageData[[#This Row],[MPG]:[Acceleration]])</f>
        <v>1</v>
      </c>
    </row>
    <row r="399" spans="1:12" x14ac:dyDescent="0.25">
      <c r="A399">
        <v>22</v>
      </c>
      <c r="B399">
        <v>6</v>
      </c>
      <c r="C399">
        <v>232</v>
      </c>
      <c r="D399">
        <v>112</v>
      </c>
      <c r="E399">
        <v>2835</v>
      </c>
      <c r="F399">
        <v>14.7</v>
      </c>
      <c r="G399">
        <v>82</v>
      </c>
      <c r="H399" t="s">
        <v>1637</v>
      </c>
      <c r="I399" t="s">
        <v>1598</v>
      </c>
      <c r="J399" t="s">
        <v>992</v>
      </c>
      <c r="K399" t="s">
        <v>1599</v>
      </c>
      <c r="L399" t="b">
        <f>Data_Completeness(MileageData[[#This Row],[MPG]:[Acceleration]])</f>
        <v>1</v>
      </c>
    </row>
    <row r="400" spans="1:12" x14ac:dyDescent="0.25">
      <c r="A400">
        <v>32</v>
      </c>
      <c r="B400">
        <v>4</v>
      </c>
      <c r="C400">
        <v>144</v>
      </c>
      <c r="D400">
        <v>96</v>
      </c>
      <c r="E400">
        <v>2665</v>
      </c>
      <c r="F400">
        <v>13.9</v>
      </c>
      <c r="G400">
        <v>82</v>
      </c>
      <c r="H400" t="s">
        <v>1639</v>
      </c>
      <c r="I400" t="s">
        <v>1600</v>
      </c>
      <c r="J400" t="s">
        <v>1027</v>
      </c>
      <c r="K400" t="s">
        <v>1601</v>
      </c>
      <c r="L400" t="b">
        <f>Data_Completeness(MileageData[[#This Row],[MPG]:[Acceleration]])</f>
        <v>1</v>
      </c>
    </row>
    <row r="401" spans="1:12" x14ac:dyDescent="0.25">
      <c r="A401">
        <v>36</v>
      </c>
      <c r="B401">
        <v>4</v>
      </c>
      <c r="C401">
        <v>135</v>
      </c>
      <c r="D401">
        <v>84</v>
      </c>
      <c r="E401">
        <v>2370</v>
      </c>
      <c r="F401">
        <v>13</v>
      </c>
      <c r="G401">
        <v>82</v>
      </c>
      <c r="H401" t="s">
        <v>1637</v>
      </c>
      <c r="I401" t="s">
        <v>1602</v>
      </c>
      <c r="J401" t="s">
        <v>1017</v>
      </c>
      <c r="K401" t="s">
        <v>1603</v>
      </c>
      <c r="L401" t="b">
        <f>Data_Completeness(MileageData[[#This Row],[MPG]:[Acceleration]])</f>
        <v>1</v>
      </c>
    </row>
    <row r="402" spans="1:12" x14ac:dyDescent="0.25">
      <c r="A402">
        <v>27</v>
      </c>
      <c r="B402">
        <v>4</v>
      </c>
      <c r="C402">
        <v>151</v>
      </c>
      <c r="D402">
        <v>90</v>
      </c>
      <c r="E402">
        <v>2950</v>
      </c>
      <c r="F402">
        <v>17.3</v>
      </c>
      <c r="G402">
        <v>82</v>
      </c>
      <c r="H402" t="s">
        <v>1637</v>
      </c>
      <c r="I402" t="s">
        <v>1604</v>
      </c>
      <c r="J402" t="s">
        <v>980</v>
      </c>
      <c r="K402" t="s">
        <v>1605</v>
      </c>
      <c r="L402" t="b">
        <f>Data_Completeness(MileageData[[#This Row],[MPG]:[Acceleration]])</f>
        <v>1</v>
      </c>
    </row>
    <row r="403" spans="1:12" x14ac:dyDescent="0.25">
      <c r="A403">
        <v>27</v>
      </c>
      <c r="B403">
        <v>4</v>
      </c>
      <c r="C403">
        <v>140</v>
      </c>
      <c r="D403">
        <v>86</v>
      </c>
      <c r="E403">
        <v>2790</v>
      </c>
      <c r="F403">
        <v>15.6</v>
      </c>
      <c r="G403">
        <v>82</v>
      </c>
      <c r="H403" t="s">
        <v>1637</v>
      </c>
      <c r="I403" t="s">
        <v>1606</v>
      </c>
      <c r="J403" t="s">
        <v>992</v>
      </c>
      <c r="K403" t="s">
        <v>1607</v>
      </c>
      <c r="L403" t="b">
        <f>Data_Completeness(MileageData[[#This Row],[MPG]:[Acceleration]])</f>
        <v>1</v>
      </c>
    </row>
    <row r="404" spans="1:12" x14ac:dyDescent="0.25">
      <c r="A404">
        <v>44</v>
      </c>
      <c r="B404">
        <v>4</v>
      </c>
      <c r="C404">
        <v>97</v>
      </c>
      <c r="D404">
        <v>52</v>
      </c>
      <c r="E404">
        <v>2130</v>
      </c>
      <c r="F404">
        <v>24.6</v>
      </c>
      <c r="G404">
        <v>82</v>
      </c>
      <c r="H404" t="s">
        <v>1638</v>
      </c>
      <c r="I404" t="s">
        <v>1608</v>
      </c>
      <c r="J404" t="s">
        <v>1296</v>
      </c>
      <c r="K404" t="s">
        <v>1609</v>
      </c>
      <c r="L404" t="b">
        <f>Data_Completeness(MileageData[[#This Row],[MPG]:[Acceleration]])</f>
        <v>1</v>
      </c>
    </row>
    <row r="405" spans="1:12" x14ac:dyDescent="0.25">
      <c r="A405">
        <v>32</v>
      </c>
      <c r="B405">
        <v>4</v>
      </c>
      <c r="C405">
        <v>135</v>
      </c>
      <c r="D405">
        <v>84</v>
      </c>
      <c r="E405">
        <v>2295</v>
      </c>
      <c r="F405">
        <v>11.6</v>
      </c>
      <c r="G405">
        <v>82</v>
      </c>
      <c r="H405" t="s">
        <v>1637</v>
      </c>
      <c r="I405" t="s">
        <v>1610</v>
      </c>
      <c r="J405" t="s">
        <v>1017</v>
      </c>
      <c r="K405" t="s">
        <v>1611</v>
      </c>
      <c r="L405" t="b">
        <f>Data_Completeness(MileageData[[#This Row],[MPG]:[Acceleration]])</f>
        <v>1</v>
      </c>
    </row>
    <row r="406" spans="1:12" x14ac:dyDescent="0.25">
      <c r="A406">
        <v>28</v>
      </c>
      <c r="B406">
        <v>4</v>
      </c>
      <c r="C406">
        <v>120</v>
      </c>
      <c r="D406">
        <v>79</v>
      </c>
      <c r="E406">
        <v>2625</v>
      </c>
      <c r="F406">
        <v>18.600000000000001</v>
      </c>
      <c r="G406">
        <v>82</v>
      </c>
      <c r="H406" t="s">
        <v>1637</v>
      </c>
      <c r="I406" t="s">
        <v>1612</v>
      </c>
      <c r="J406" t="s">
        <v>992</v>
      </c>
      <c r="K406" t="s">
        <v>1613</v>
      </c>
      <c r="L406" t="b">
        <f>Data_Completeness(MileageData[[#This Row],[MPG]:[Acceleration]])</f>
        <v>1</v>
      </c>
    </row>
    <row r="407" spans="1:12" x14ac:dyDescent="0.25">
      <c r="A407">
        <v>31</v>
      </c>
      <c r="B407">
        <v>4</v>
      </c>
      <c r="C407">
        <v>119</v>
      </c>
      <c r="D407">
        <v>82</v>
      </c>
      <c r="E407">
        <v>2720</v>
      </c>
      <c r="F407">
        <v>19.399999999999999</v>
      </c>
      <c r="G407">
        <v>82</v>
      </c>
      <c r="H407" t="s">
        <v>1637</v>
      </c>
      <c r="I407" t="s">
        <v>1614</v>
      </c>
      <c r="J407" t="s">
        <v>1056</v>
      </c>
      <c r="K407" t="s">
        <v>1615</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x14ac:dyDescent="0.25">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644</v>
      </c>
      <c r="B1" s="13"/>
      <c r="C1" s="13"/>
      <c r="D1" s="13"/>
    </row>
    <row r="2" spans="1:4" x14ac:dyDescent="0.25">
      <c r="A2" s="6" t="s">
        <v>645</v>
      </c>
      <c r="B2" s="6" t="s">
        <v>646</v>
      </c>
      <c r="C2" s="6" t="s">
        <v>886</v>
      </c>
      <c r="D2" s="6" t="s">
        <v>647</v>
      </c>
    </row>
    <row r="3" spans="1:4" ht="105" x14ac:dyDescent="0.25">
      <c r="A3" t="s">
        <v>648</v>
      </c>
      <c r="B3" s="18">
        <v>46189</v>
      </c>
      <c r="C3" t="s">
        <v>888</v>
      </c>
      <c r="D3" s="2" t="s">
        <v>649</v>
      </c>
    </row>
    <row r="4" spans="1:4" ht="105" x14ac:dyDescent="0.25">
      <c r="A4" t="s">
        <v>887</v>
      </c>
      <c r="B4" s="18">
        <v>46202</v>
      </c>
      <c r="C4" t="s">
        <v>888</v>
      </c>
      <c r="D4" s="2" t="s">
        <v>833</v>
      </c>
    </row>
    <row r="5" spans="1:4" ht="105" x14ac:dyDescent="0.25">
      <c r="A5" t="s">
        <v>889</v>
      </c>
      <c r="B5" s="18">
        <v>46206</v>
      </c>
      <c r="C5" t="s">
        <v>888</v>
      </c>
      <c r="D5" s="2" t="s">
        <v>890</v>
      </c>
    </row>
    <row r="6" spans="1:4" ht="150" x14ac:dyDescent="0.25">
      <c r="A6" t="s">
        <v>832</v>
      </c>
      <c r="B6" s="18">
        <v>46208</v>
      </c>
      <c r="C6" t="s">
        <v>891</v>
      </c>
      <c r="D6" s="2" t="s">
        <v>958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sheetPr>
    <tabColor rgb="FFDCE6F1"/>
  </sheetPr>
  <dimension ref="A1:A20"/>
  <sheetViews>
    <sheetView workbookViewId="0"/>
  </sheetViews>
  <sheetFormatPr defaultRowHeight="15" x14ac:dyDescent="0.25"/>
  <cols>
    <col min="1" max="1" width="110.7109375" customWidth="1"/>
  </cols>
  <sheetData>
    <row r="1" spans="1:1" x14ac:dyDescent="0.25">
      <c r="A1" s="4" t="s">
        <v>557</v>
      </c>
    </row>
    <row r="2" spans="1:1" ht="30" x14ac:dyDescent="0.25">
      <c r="A2" s="2" t="s">
        <v>878</v>
      </c>
    </row>
    <row r="3" spans="1:1" ht="30" x14ac:dyDescent="0.25">
      <c r="A3" s="2" t="s">
        <v>558</v>
      </c>
    </row>
    <row r="5" spans="1:1" x14ac:dyDescent="0.25">
      <c r="A5" s="4" t="s">
        <v>879</v>
      </c>
    </row>
    <row r="6" spans="1:1" ht="75" x14ac:dyDescent="0.25">
      <c r="A6" s="2" t="s">
        <v>1629</v>
      </c>
    </row>
    <row r="8" spans="1:1" x14ac:dyDescent="0.25">
      <c r="A8" s="4" t="s">
        <v>1640</v>
      </c>
    </row>
    <row r="9" spans="1:1" ht="135" x14ac:dyDescent="0.25">
      <c r="A9" s="2" t="s">
        <v>880</v>
      </c>
    </row>
    <row r="10" spans="1:1" ht="90" x14ac:dyDescent="0.25">
      <c r="A10" s="2" t="s">
        <v>881</v>
      </c>
    </row>
    <row r="11" spans="1:1" ht="150" x14ac:dyDescent="0.25">
      <c r="A11" s="2" t="s">
        <v>966</v>
      </c>
    </row>
    <row r="13" spans="1:1" x14ac:dyDescent="0.25">
      <c r="A13" s="4" t="s">
        <v>882</v>
      </c>
    </row>
    <row r="14" spans="1:1" ht="45" x14ac:dyDescent="0.25">
      <c r="A14" s="2" t="s">
        <v>883</v>
      </c>
    </row>
    <row r="16" spans="1:1" x14ac:dyDescent="0.25">
      <c r="A16" s="4" t="s">
        <v>884</v>
      </c>
    </row>
    <row r="17" spans="1:1" ht="60" x14ac:dyDescent="0.25">
      <c r="A17" s="2" t="s">
        <v>885</v>
      </c>
    </row>
    <row r="19" spans="1:1" x14ac:dyDescent="0.25">
      <c r="A19" s="4" t="s">
        <v>559</v>
      </c>
    </row>
    <row r="20" spans="1:1" ht="120" x14ac:dyDescent="0.25">
      <c r="A20" s="2" t="s">
        <v>1753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AV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2.42578125" hidden="1"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50" width="15.7109375" customWidth="1"/>
  </cols>
  <sheetData>
    <row r="1" spans="1:48" x14ac:dyDescent="0.25">
      <c r="A1" s="4" t="s">
        <v>875</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963</v>
      </c>
      <c r="J1" s="3" t="s">
        <v>1754</v>
      </c>
      <c r="K1" s="3" t="s">
        <v>1755</v>
      </c>
      <c r="L1" s="3" t="s">
        <v>1756</v>
      </c>
      <c r="M1" s="3" t="s">
        <v>961</v>
      </c>
      <c r="N1" s="3" t="s">
        <v>962</v>
      </c>
      <c r="P1" s="4" t="s">
        <v>650</v>
      </c>
      <c r="X1" s="4" t="s">
        <v>653</v>
      </c>
      <c r="AG1" s="35" t="s">
        <v>677</v>
      </c>
      <c r="AH1" s="36"/>
      <c r="AK1" s="4" t="s">
        <v>686</v>
      </c>
    </row>
    <row r="2" spans="1:48" ht="60" x14ac:dyDescent="0.2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Effects",_xlfn.TAKE(Spec_Role,COLUMNS(Source_Data)))),"n/a"))</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651</v>
      </c>
      <c r="R2" s="26" t="s">
        <v>652</v>
      </c>
      <c r="S2" s="26" t="s">
        <v>219</v>
      </c>
      <c r="T2" s="26" t="s">
        <v>225</v>
      </c>
      <c r="U2" s="26" t="s">
        <v>1616</v>
      </c>
      <c r="V2" s="26" t="s">
        <v>104</v>
      </c>
      <c r="W2" s="2"/>
      <c r="X2" s="2"/>
      <c r="Y2" s="2"/>
      <c r="Z2" s="2"/>
      <c r="AA2" s="2"/>
      <c r="AB2" s="30" t="s">
        <v>766</v>
      </c>
      <c r="AC2" s="30" t="str" cm="1">
        <f t="array" ref="AC2">IFERROR(INDEX(_xlfn.TOROW(Header_Names),_xlfn.XMATCH("Response (y)",_xlfn.TAKE(Spec_Role,COLUMNS(Source_Data)))),"(none)")</f>
        <v>MPG</v>
      </c>
      <c r="AD2" s="2"/>
      <c r="AE2" s="2"/>
      <c r="AF2" s="2"/>
      <c r="AG2" s="27" t="s">
        <v>678</v>
      </c>
      <c r="AH2" s="28"/>
      <c r="AI2" s="32"/>
      <c r="AJ2" s="2"/>
      <c r="AK2" s="26" t="s">
        <v>876</v>
      </c>
      <c r="AL2" s="29" t="s">
        <v>575</v>
      </c>
      <c r="AM2" s="29" t="s">
        <v>568</v>
      </c>
      <c r="AN2" s="29" t="s">
        <v>152</v>
      </c>
      <c r="AO2" s="29" t="s">
        <v>687</v>
      </c>
      <c r="AP2" s="29" t="s">
        <v>586</v>
      </c>
      <c r="AQ2" s="29" t="s">
        <v>581</v>
      </c>
      <c r="AR2" s="29" t="s">
        <v>688</v>
      </c>
      <c r="AS2" s="29" t="s">
        <v>572</v>
      </c>
      <c r="AT2" s="29" t="s">
        <v>578</v>
      </c>
      <c r="AU2" s="29" t="s">
        <v>623</v>
      </c>
      <c r="AV2" s="2"/>
    </row>
    <row r="3" spans="1:48" x14ac:dyDescent="0.25">
      <c r="A3" s="6" t="s">
        <v>950</v>
      </c>
      <c r="B3" s="6" t="s">
        <v>834</v>
      </c>
      <c r="C3" s="6" t="s">
        <v>831</v>
      </c>
      <c r="D3" s="6" t="s">
        <v>835</v>
      </c>
      <c r="E3" s="6" t="s">
        <v>836</v>
      </c>
      <c r="F3" s="6" t="s">
        <v>837</v>
      </c>
      <c r="G3" s="6" t="s">
        <v>838</v>
      </c>
      <c r="H3" s="6" t="s">
        <v>894</v>
      </c>
      <c r="I3" s="6" t="s">
        <v>959</v>
      </c>
      <c r="J3" s="6" t="s">
        <v>960</v>
      </c>
      <c r="K3" s="6" t="s">
        <v>839</v>
      </c>
      <c r="L3" s="6" t="s">
        <v>874</v>
      </c>
      <c r="M3">
        <v>2</v>
      </c>
      <c r="N3">
        <v>22</v>
      </c>
      <c r="P3" t="str" cm="1">
        <f t="array" ref="P3:P18">TRANSPOSE(Constructed_Column_Names())</f>
        <v>Horsepower</v>
      </c>
      <c r="Q3" s="14" cm="1">
        <f t="array" ref="Q3:Q18">Pearson_R(X_s(),Response_Column(),Sample_Include())</f>
        <v>-0.7784267838977752</v>
      </c>
      <c r="R3" s="14" cm="1">
        <f t="array" ref="R3:R18">Spearman_R(X_s(),Response_Column(),Sample_Include())</f>
        <v>-0.85361640244538828</v>
      </c>
      <c r="S3" s="14" cm="1">
        <f t="array" ref="S3:S18">Skewness(X_s(),Sample_Include())</f>
        <v>1.0873262824048666</v>
      </c>
      <c r="T3" s="14" cm="1">
        <f t="array" ref="T3:T18">Kurtosis(X_s(),Sample_Include())</f>
        <v>0.69694699974278684</v>
      </c>
      <c r="U3" s="14" cm="1">
        <f t="array" ref="U3:U18">GVIF(X_s(),Constructed_Column_Names(),Allow_Intercept,Sample_Include())</f>
        <v>5.5543959920421502</v>
      </c>
      <c r="V3" s="14" cm="1">
        <f t="array" ref="V3:V18">Generalized_Tolerance(X_s(),Constructed_Column_Names(),Allow_Intercept,Sample_Include())</f>
        <v>0.18003757770110593</v>
      </c>
      <c r="X3" s="35" t="s">
        <v>654</v>
      </c>
      <c r="Y3" s="36"/>
      <c r="AA3" s="35" t="s">
        <v>659</v>
      </c>
      <c r="AB3" s="36"/>
      <c r="AG3" s="8" t="s">
        <v>679</v>
      </c>
      <c r="AH3" s="11" t="e" cm="1" vm="1">
        <f t="array" ref="AH3">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pred_input,_xlfn.TAKE($AH$19:$AH$62,COLUMNS(X_s())),Group_Prediction_Interval(X_s(),Response_Column(),_xlpm.pred_input,Prediction_Group_Column(),$AH$12,Allow_Intercept,Sample_Include(),alpha,Absorbed_Degrees_Of_Freedom())))</f>
        <v>#VALUE!</v>
      </c>
      <c r="AK3" t="str" cm="1">
        <f t="array" ref="AK3:AK394">IFERROR(_xlfn._xlws.FILTER(Row_Labels(),Sample_Include()),NA())</f>
        <v>chevrolet chevelle malibu</v>
      </c>
      <c r="AL3" s="7" cm="1">
        <f t="array" ref="AL3:AL394">Dependent_Variable(y_s(),Sample_Include())</f>
        <v>18</v>
      </c>
      <c r="AM3" s="7" cm="1">
        <f t="array" ref="AM3:AM394">Predictions(X_s_Within(),y_s(),Allow_Intercept,Sample_Include())</f>
        <v>16.838573626431661</v>
      </c>
      <c r="AN3" s="7" cm="1">
        <f t="array" ref="AN3:AN394">Residuals(X_s_Within(),y_s(),Allow_Intercept,Sample_Include())</f>
        <v>1.1614263735683394</v>
      </c>
      <c r="AO3" s="7" cm="1">
        <f t="array" ref="AO3:AO394">Hat_Diagonal(X_s_Within(),Allow_Intercept,Sample_Include())</f>
        <v>4.0149898039742615E-2</v>
      </c>
      <c r="AP3" s="7" cm="1">
        <f t="array" ref="AP3:AP394">Studentized_Residuals(X_s_Within(),y_s(),Allow_Intercept,Sample_Include(),Absorbed_Degrees_Of_Freedom())</f>
        <v>0.38649046111355201</v>
      </c>
      <c r="AQ3" s="7" cm="1">
        <f t="array" ref="AQ3:AQ394">Cooks_Distance(X_s_Within(),y_s(),Allow_Intercept,Sample_Include(),Absorbed_Degrees_Of_Freedom())</f>
        <v>3.6754428083898453E-4</v>
      </c>
      <c r="AR3" s="7" cm="1">
        <f t="array" ref="AR3:AR394">_xlfn._xlws.SORT(Normal_Scores(y_s(),Sample_Include()))</f>
        <v>-3.0172230343004571</v>
      </c>
      <c r="AS3" s="7" cm="1">
        <f t="array" ref="AS3:AS394">Studentized_Residuals_Ranked(X_s_Within(),y_s(),Allow_Intercept,Sample_Include(),Absorbed_Degrees_Of_Freedom())</f>
        <v>-3.451682617569364</v>
      </c>
      <c r="AT3" s="7" cm="1">
        <f t="array" ref="AT3:AT394">SQRT(ABS(Studentized_Residuals(X_s_Within(),y_s(),Allow_Intercept,Sample_Include(),Absorbed_Degrees_Of_Freedom())))</f>
        <v>0.6216835699240828</v>
      </c>
      <c r="AU3" s="7" cm="1">
        <f t="array" ref="AU3:AU394">LOOCV_Residual(X_s_Within(),y_s(),Allow_Intercept,Sample_Include())</f>
        <v>1.2100080743820438</v>
      </c>
    </row>
    <row r="4" spans="1:48" x14ac:dyDescent="0.25">
      <c r="A4" t="str" cm="1">
        <f t="array" ref="A4:A15">TRANSPOSE(Header_Names)</f>
        <v>MPG</v>
      </c>
      <c r="B4" s="16" t="s">
        <v>873</v>
      </c>
      <c r="C4" s="16" t="b">
        <v>0</v>
      </c>
      <c r="D4" s="16" t="s">
        <v>840</v>
      </c>
      <c r="E4" s="16"/>
      <c r="F4" s="16"/>
      <c r="G4" s="16" t="s">
        <v>841</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655</v>
      </c>
      <c r="Y4" s="11" cm="1">
        <f t="array" ref="Y4">Multiple_R(X_s_Within(),y_s(),Allow_Intercept,Sample_Include())</f>
        <v>0.9229740928315785</v>
      </c>
      <c r="AA4" s="8" t="s">
        <v>52</v>
      </c>
      <c r="AB4" s="11" cm="1">
        <f t="array" ref="AB4">PRESS(X_s_Within(),y_s(),Allow_Intercept,Sample_Include())</f>
        <v>3865.0233891256084</v>
      </c>
      <c r="AG4" s="8" t="s">
        <v>1757</v>
      </c>
      <c r="AH4" s="11"/>
      <c r="AK4" t="str">
        <v>buick skylark 320</v>
      </c>
      <c r="AL4" s="7">
        <v>15</v>
      </c>
      <c r="AM4" s="7">
        <v>15.313332990800655</v>
      </c>
      <c r="AN4" s="7">
        <v>-0.3133329908006548</v>
      </c>
      <c r="AO4" s="7">
        <v>3.5578253857220431E-2</v>
      </c>
      <c r="AP4" s="7">
        <v>-0.10402109723738608</v>
      </c>
      <c r="AQ4" s="7">
        <v>2.34807289196539E-5</v>
      </c>
      <c r="AR4" s="7">
        <v>-2.6670046532742777</v>
      </c>
      <c r="AS4" s="7">
        <v>-2.7327997376671536</v>
      </c>
      <c r="AT4" s="7">
        <v>0.32252301815124151</v>
      </c>
      <c r="AU4" s="7">
        <v>-0.32489208383555762</v>
      </c>
    </row>
    <row r="5" spans="1:48" x14ac:dyDescent="0.25">
      <c r="A5" t="str">
        <v>Cylinders</v>
      </c>
      <c r="B5" s="16" t="s">
        <v>872</v>
      </c>
      <c r="C5" s="16" t="b">
        <v>0</v>
      </c>
      <c r="D5" s="16" t="s">
        <v>840</v>
      </c>
      <c r="E5" s="16"/>
      <c r="F5" s="16"/>
      <c r="G5" s="16" t="s">
        <v>841</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656</v>
      </c>
      <c r="Y5" s="11" cm="1">
        <f t="array" ref="Y5">R_Squared(X_s_Within(),y_s(),Allow_Intercept,Sample_Include())</f>
        <v>0.85188117603827529</v>
      </c>
      <c r="AA5" s="8" t="s">
        <v>598</v>
      </c>
      <c r="AB5" s="11" cm="1">
        <f t="array" ref="AB5">1-PRESS(X_s_Within(),y_s(),Allow_Intercept,Sample_Include())/SS_Total(y_s(),Allow_Intercept,Sample_Include())</f>
        <v>0.83773355519438941</v>
      </c>
      <c r="AG5" s="8" t="s">
        <v>1758</v>
      </c>
      <c r="AH5" s="11"/>
      <c r="AK5" t="str">
        <v>plymouth satellite</v>
      </c>
      <c r="AL5" s="7">
        <v>18</v>
      </c>
      <c r="AM5" s="7">
        <v>16.858150041188779</v>
      </c>
      <c r="AN5" s="7">
        <v>1.1418499588112212</v>
      </c>
      <c r="AO5" s="7">
        <v>3.544727708510207E-2</v>
      </c>
      <c r="AP5" s="7">
        <v>0.3790485664453247</v>
      </c>
      <c r="AQ5" s="7">
        <v>3.1059732014921516E-4</v>
      </c>
      <c r="AR5" s="7">
        <v>-2.6670046532742777</v>
      </c>
      <c r="AS5" s="7">
        <v>-2.6063331092365796</v>
      </c>
      <c r="AT5" s="7">
        <v>0.61566920212507359</v>
      </c>
      <c r="AU5" s="7">
        <v>1.1838129027934601</v>
      </c>
    </row>
    <row r="6" spans="1:48" x14ac:dyDescent="0.25">
      <c r="A6" t="str">
        <v>Displacement</v>
      </c>
      <c r="B6" s="16" t="s">
        <v>872</v>
      </c>
      <c r="C6" s="16" t="b">
        <v>0</v>
      </c>
      <c r="D6" s="16" t="s">
        <v>840</v>
      </c>
      <c r="E6" s="16"/>
      <c r="F6" s="16"/>
      <c r="G6" s="16" t="s">
        <v>841</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657</v>
      </c>
      <c r="Y6" s="11" cm="1">
        <f t="array" ref="Y6">Adjusted_R_Squared(X_s_Within(),y_s(),Allow_Intercept,Sample_Include(),Absorbed_Degrees_Of_Freedom())</f>
        <v>0.84556143954924168</v>
      </c>
      <c r="AA6" s="8" t="s">
        <v>660</v>
      </c>
      <c r="AB6" s="11" cm="1">
        <f t="array" ref="AB6">(Regression_Degrees_Of_Freedom(X_s_Within())+IF(Allow_Intercept,1,0))/Observations(y_s(),Sample_Include())</f>
        <v>4.336734693877551E-2</v>
      </c>
      <c r="AG6" s="8" t="s">
        <v>680</v>
      </c>
      <c r="AH6" s="11"/>
      <c r="AK6" t="str">
        <v>amc rebel sst</v>
      </c>
      <c r="AL6" s="7">
        <v>16</v>
      </c>
      <c r="AM6" s="7">
        <v>16.873339970034131</v>
      </c>
      <c r="AN6" s="7">
        <v>-0.87333997003413089</v>
      </c>
      <c r="AO6" s="7">
        <v>3.5454383105468036E-2</v>
      </c>
      <c r="AP6" s="7">
        <v>-0.28991504577291533</v>
      </c>
      <c r="AQ6" s="7">
        <v>1.8173549121273713E-4</v>
      </c>
      <c r="AR6" s="7">
        <v>-2.368567059267872</v>
      </c>
      <c r="AS6" s="7">
        <v>-2.5586120959927139</v>
      </c>
      <c r="AT6" s="7">
        <v>0.53843759691622139</v>
      </c>
      <c r="AU6" s="7">
        <v>-0.90544185234696473</v>
      </c>
    </row>
    <row r="7" spans="1:48" x14ac:dyDescent="0.25">
      <c r="A7" t="str">
        <v>Horsepower</v>
      </c>
      <c r="B7" s="16" t="s">
        <v>872</v>
      </c>
      <c r="C7" s="16" t="b">
        <v>1</v>
      </c>
      <c r="D7" s="16" t="s">
        <v>840</v>
      </c>
      <c r="E7" s="16"/>
      <c r="F7" s="16"/>
      <c r="G7" s="16" t="s">
        <v>841</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658</v>
      </c>
      <c r="Y7" s="11" cm="1">
        <f t="array" ref="Y7">SE_Regression(X_s_Within(),y_s(),Allow_Intercept,Sample_Include(),Absorbed_Degrees_Of_Freedom())</f>
        <v>3.0672642753818766</v>
      </c>
      <c r="AA7" s="8" t="s">
        <v>55</v>
      </c>
      <c r="AB7" s="11" cm="1">
        <f t="array" ref="AB7">AIC(X_s_Within(),y_s(),Allow_Intercept,Sample_Include(),Absorbed_Degrees_Of_Freedom())</f>
        <v>895.31662324868398</v>
      </c>
      <c r="AG7" s="8" t="s">
        <v>1759</v>
      </c>
      <c r="AH7" s="11"/>
      <c r="AK7" t="str">
        <v>ford torino</v>
      </c>
      <c r="AL7" s="7">
        <v>17</v>
      </c>
      <c r="AM7" s="7">
        <v>16.954691335727667</v>
      </c>
      <c r="AN7" s="7">
        <v>4.5308664272333488E-2</v>
      </c>
      <c r="AO7" s="7">
        <v>3.6442373899522838E-2</v>
      </c>
      <c r="AP7" s="7">
        <v>1.5048430823993899E-2</v>
      </c>
      <c r="AQ7" s="7">
        <v>5.0380500510358217E-7</v>
      </c>
      <c r="AR7" s="7">
        <v>-2.368567059267872</v>
      </c>
      <c r="AS7" s="7">
        <v>-2.2382603266400913</v>
      </c>
      <c r="AT7" s="7">
        <v>0.12267204581319209</v>
      </c>
      <c r="AU7" s="7">
        <v>4.7022267319597577E-2</v>
      </c>
    </row>
    <row r="8" spans="1:48" x14ac:dyDescent="0.25">
      <c r="A8" t="str">
        <v>Weight</v>
      </c>
      <c r="B8" s="16" t="s">
        <v>872</v>
      </c>
      <c r="C8" s="16" t="b">
        <v>1</v>
      </c>
      <c r="D8" s="16" t="s">
        <v>840</v>
      </c>
      <c r="E8" s="16"/>
      <c r="F8" s="16"/>
      <c r="G8" s="16" t="s">
        <v>841</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Observations(y_s(),Sample_Include())</f>
        <v>392</v>
      </c>
      <c r="AA8" s="8" t="s">
        <v>58</v>
      </c>
      <c r="AB8" s="11" cm="1">
        <f t="array" ref="AB8">BIC(X_s_Within(),y_s(),Allow_Intercept,Sample_Include(),Absorbed_Degrees_Of_Freedom())</f>
        <v>962.82807452512179</v>
      </c>
      <c r="AG8" s="8" t="s">
        <v>1760</v>
      </c>
      <c r="AH8" s="11"/>
      <c r="AK8" t="str">
        <v>ford galaxie 500</v>
      </c>
      <c r="AL8" s="7">
        <v>15</v>
      </c>
      <c r="AM8" s="7">
        <v>11.49650610573814</v>
      </c>
      <c r="AN8" s="7">
        <v>3.5034938942618599</v>
      </c>
      <c r="AO8" s="7">
        <v>4.042419204907835E-2</v>
      </c>
      <c r="AP8" s="7">
        <v>1.1660321456416034</v>
      </c>
      <c r="AQ8" s="7">
        <v>3.3692573430558702E-3</v>
      </c>
      <c r="AR8" s="7">
        <v>-2.368567059267872</v>
      </c>
      <c r="AS8" s="7">
        <v>-2.2366030601609661</v>
      </c>
      <c r="AT8" s="7">
        <v>1.0798296836268224</v>
      </c>
      <c r="AU8" s="7">
        <v>3.6510860999541257</v>
      </c>
    </row>
    <row r="9" spans="1:48" x14ac:dyDescent="0.25">
      <c r="A9" t="str">
        <v>Acceleration</v>
      </c>
      <c r="B9" s="16" t="s">
        <v>872</v>
      </c>
      <c r="C9" s="16" t="b">
        <v>0</v>
      </c>
      <c r="D9" s="16" t="s">
        <v>840</v>
      </c>
      <c r="E9" s="16"/>
      <c r="F9" s="16"/>
      <c r="G9" s="16" t="s">
        <v>841</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61</v>
      </c>
      <c r="AB9" s="11" cm="1">
        <f t="array" ref="AB9">AICc(X_s_Within(),y_s(),Allow_Intercept,Sample_Include(),Absorbed_Degrees_Of_Freedom())</f>
        <v>896.95298688504761</v>
      </c>
      <c r="AG9" s="8" t="s">
        <v>1761</v>
      </c>
      <c r="AH9" s="11"/>
      <c r="AK9" t="str">
        <v>chevrolet impala</v>
      </c>
      <c r="AL9" s="7">
        <v>14</v>
      </c>
      <c r="AM9" s="7">
        <v>11.073481577763721</v>
      </c>
      <c r="AN9" s="7">
        <v>2.9265184222362794</v>
      </c>
      <c r="AO9" s="7">
        <v>5.0603384396069082E-2</v>
      </c>
      <c r="AP9" s="7">
        <v>0.9792108710792421</v>
      </c>
      <c r="AQ9" s="7">
        <v>3.0063214519006724E-3</v>
      </c>
      <c r="AR9" s="7">
        <v>-2.368567059267872</v>
      </c>
      <c r="AS9" s="7">
        <v>-2.1379379429147773</v>
      </c>
      <c r="AT9" s="7">
        <v>0.98955084309965702</v>
      </c>
      <c r="AU9" s="7">
        <v>3.0825035334412481</v>
      </c>
    </row>
    <row r="10" spans="1:48" x14ac:dyDescent="0.25">
      <c r="A10" t="str">
        <v>Model Year</v>
      </c>
      <c r="B10" s="16" t="s">
        <v>872</v>
      </c>
      <c r="C10" s="16" t="b">
        <v>1</v>
      </c>
      <c r="D10" s="16" t="s">
        <v>842</v>
      </c>
      <c r="E10" s="16"/>
      <c r="F10" s="16"/>
      <c r="G10" s="16" t="s">
        <v>841</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602</v>
      </c>
      <c r="AB10" s="11" cm="1">
        <f t="array" ref="AB10">QQ_Correlation(X_s_Within(),y_s(),Allow_Intercept,Sample_Include(),Absorbed_Degrees_Of_Freedom())</f>
        <v>0.9911373443499184</v>
      </c>
      <c r="AG10" s="8" t="s">
        <v>1762</v>
      </c>
      <c r="AH10" s="11"/>
      <c r="AK10" t="str">
        <v>plymouth fury iii</v>
      </c>
      <c r="AL10" s="7">
        <v>14</v>
      </c>
      <c r="AM10" s="7">
        <v>11.367322741366332</v>
      </c>
      <c r="AN10" s="7">
        <v>2.6326772586336684</v>
      </c>
      <c r="AO10" s="7">
        <v>4.8040491817131645E-2</v>
      </c>
      <c r="AP10" s="7">
        <v>0.87970525767098529</v>
      </c>
      <c r="AQ10" s="7">
        <v>2.297282597575574E-3</v>
      </c>
      <c r="AR10" s="7">
        <v>-2.0720014483779297</v>
      </c>
      <c r="AS10" s="7">
        <v>-2.0636596826638138</v>
      </c>
      <c r="AT10" s="7">
        <v>0.93792604061886742</v>
      </c>
      <c r="AU10" s="7">
        <v>2.7655349161426095</v>
      </c>
    </row>
    <row r="11" spans="1:48" x14ac:dyDescent="0.25">
      <c r="A11" t="str">
        <v>Origin</v>
      </c>
      <c r="B11" s="16" t="s">
        <v>872</v>
      </c>
      <c r="C11" s="16" t="b">
        <v>1</v>
      </c>
      <c r="D11" s="16" t="s">
        <v>842</v>
      </c>
      <c r="E11" s="16"/>
      <c r="F11" s="16"/>
      <c r="G11" s="16" t="s">
        <v>841</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952</v>
      </c>
      <c r="AB11" s="33"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1.5013230616756137</v>
      </c>
      <c r="AG11" s="8" t="s">
        <v>681</v>
      </c>
      <c r="AH11" s="11"/>
      <c r="AK11" t="str">
        <v>pontiac catalina</v>
      </c>
      <c r="AL11" s="7">
        <v>14</v>
      </c>
      <c r="AM11" s="7">
        <v>10.632804435322724</v>
      </c>
      <c r="AN11" s="7">
        <v>3.3671955646772762</v>
      </c>
      <c r="AO11" s="7">
        <v>5.2897375567846273E-2</v>
      </c>
      <c r="AP11" s="7">
        <v>1.1280247387124049</v>
      </c>
      <c r="AQ11" s="7">
        <v>4.1804729026989323E-3</v>
      </c>
      <c r="AR11" s="7">
        <v>-2.0720014483779297</v>
      </c>
      <c r="AS11" s="7">
        <v>-2.0302994659393101</v>
      </c>
      <c r="AT11" s="7">
        <v>1.0620850901469265</v>
      </c>
      <c r="AU11" s="7">
        <v>3.5552594595502436</v>
      </c>
    </row>
    <row r="12" spans="1:48" x14ac:dyDescent="0.25">
      <c r="A12" t="str">
        <v>Car Name</v>
      </c>
      <c r="B12" s="16" t="s">
        <v>967</v>
      </c>
      <c r="C12" s="16" t="b">
        <v>0</v>
      </c>
      <c r="D12" s="16" t="s">
        <v>840</v>
      </c>
      <c r="E12" s="16"/>
      <c r="F12" s="16"/>
      <c r="G12" s="16" t="s">
        <v>841</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661</v>
      </c>
      <c r="Y12" s="16">
        <v>0.05</v>
      </c>
      <c r="AA12" s="8" t="s">
        <v>953</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no fixed effects</v>
      </c>
      <c r="AG12" s="8" t="s">
        <v>1763</v>
      </c>
      <c r="AH12" s="37" t="str">
        <f>INDEX(_xlfn._xlws.SORT(_xlfn.UNIQUE(_xlfn._xlws.FILTER(Prediction_Group_Column(),Sample_Include()))),1,1)</f>
        <v>(all)</v>
      </c>
      <c r="AK12" t="str">
        <v>amc ambassador dpl</v>
      </c>
      <c r="AL12" s="7">
        <v>15</v>
      </c>
      <c r="AM12" s="7">
        <v>14.112482582388791</v>
      </c>
      <c r="AN12" s="7">
        <v>0.88751741761120861</v>
      </c>
      <c r="AO12" s="7">
        <v>4.132014629964112E-2</v>
      </c>
      <c r="AP12" s="7">
        <v>0.29552136767781301</v>
      </c>
      <c r="AQ12" s="7">
        <v>2.214201314542533E-4</v>
      </c>
      <c r="AR12" s="7">
        <v>-2.0720014483779297</v>
      </c>
      <c r="AS12" s="7">
        <v>-2.0195065214468055</v>
      </c>
      <c r="AT12" s="7">
        <v>0.54361877053484187</v>
      </c>
      <c r="AU12" s="7">
        <v>0.92577038537476919</v>
      </c>
    </row>
    <row r="13" spans="1:48" x14ac:dyDescent="0.25">
      <c r="A13" t="str">
        <v>Make</v>
      </c>
      <c r="B13" s="16" t="s">
        <v>951</v>
      </c>
      <c r="C13" s="16" t="b">
        <v>0</v>
      </c>
      <c r="D13" s="16" t="s">
        <v>840</v>
      </c>
      <c r="E13" s="16"/>
      <c r="F13" s="16"/>
      <c r="G13" s="16" t="s">
        <v>841</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42" t="s">
        <v>662</v>
      </c>
      <c r="Y13" s="43"/>
      <c r="Z13" s="43"/>
      <c r="AA13" s="43"/>
      <c r="AB13" s="43"/>
      <c r="AC13" s="44"/>
      <c r="AG13" s="8" t="s">
        <v>1764</v>
      </c>
      <c r="AH13" s="11" cm="1">
        <f t="array" ref="AH13">Group_Mean_At(Response_Column(),Prediction_Group_Column(),$AH$12,Sample_Include())</f>
        <v>23.445918367346941</v>
      </c>
      <c r="AK13" t="str">
        <v>dodge challenger se</v>
      </c>
      <c r="AL13" s="7">
        <v>15</v>
      </c>
      <c r="AM13" s="7">
        <v>15.890381080998123</v>
      </c>
      <c r="AN13" s="7">
        <v>-0.89038108099812341</v>
      </c>
      <c r="AO13" s="7">
        <v>3.7522532485470127E-2</v>
      </c>
      <c r="AP13" s="7">
        <v>-0.29588942339118907</v>
      </c>
      <c r="AQ13" s="7">
        <v>2.0077587758420966E-4</v>
      </c>
      <c r="AR13" s="7">
        <v>-2.0720014483779297</v>
      </c>
      <c r="AS13" s="7">
        <v>-2.0157358299478263</v>
      </c>
      <c r="AT13" s="7">
        <v>0.54395718893235434</v>
      </c>
      <c r="AU13" s="7">
        <v>-0.92509290975654135</v>
      </c>
    </row>
    <row r="14" spans="1:48" x14ac:dyDescent="0.25">
      <c r="A14" t="str">
        <v>Model?</v>
      </c>
      <c r="B14" s="16" t="s">
        <v>951</v>
      </c>
      <c r="C14" s="16" t="b">
        <v>0</v>
      </c>
      <c r="D14" s="16" t="s">
        <v>840</v>
      </c>
      <c r="E14" s="16"/>
      <c r="F14" s="16"/>
      <c r="G14" s="16" t="s">
        <v>841</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0"/>
      <c r="Y14" s="40" t="s">
        <v>663</v>
      </c>
      <c r="Z14" s="40" t="s">
        <v>664</v>
      </c>
      <c r="AA14" s="40" t="s">
        <v>665</v>
      </c>
      <c r="AB14" s="40" t="s">
        <v>666</v>
      </c>
      <c r="AC14" s="22" t="s">
        <v>606</v>
      </c>
      <c r="AG14" s="9" t="s">
        <v>1765</v>
      </c>
      <c r="AH14" s="12" cm="1">
        <f t="array" ref="AH14">Group_Count_At(Prediction_Group_Column(),$AH$12,Sample_Include())</f>
        <v>392</v>
      </c>
      <c r="AK14" t="str">
        <v>plymouth 'cuda 340</v>
      </c>
      <c r="AL14" s="7">
        <v>14</v>
      </c>
      <c r="AM14" s="7">
        <v>15.819833158238167</v>
      </c>
      <c r="AN14" s="7">
        <v>-1.8198331582381666</v>
      </c>
      <c r="AO14" s="7">
        <v>3.5380032445534768E-2</v>
      </c>
      <c r="AP14" s="7">
        <v>-0.60409084446563865</v>
      </c>
      <c r="AQ14" s="7">
        <v>7.8733138753294416E-4</v>
      </c>
      <c r="AR14" s="7">
        <v>-2.0720014483779297</v>
      </c>
      <c r="AS14" s="7">
        <v>-1.9076726580567738</v>
      </c>
      <c r="AT14" s="7">
        <v>0.77723281226775198</v>
      </c>
      <c r="AU14" s="7">
        <v>-1.8865804352483648</v>
      </c>
    </row>
    <row r="15" spans="1:48" x14ac:dyDescent="0.25">
      <c r="A15" t="str">
        <v>Full_Data</v>
      </c>
      <c r="B15" s="16" t="s">
        <v>951</v>
      </c>
      <c r="C15" s="16" t="b">
        <v>0</v>
      </c>
      <c r="D15" s="16" t="s">
        <v>840</v>
      </c>
      <c r="E15" s="16"/>
      <c r="F15" s="16"/>
      <c r="G15" s="16" t="s">
        <v>841</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667</v>
      </c>
      <c r="Y15" s="39" cm="1">
        <f t="array" ref="Y15">Regression_Degrees_Of_Freedom(X_s_Within())</f>
        <v>16</v>
      </c>
      <c r="Z15" s="41" cm="1">
        <f t="array" ref="Z15">SS_Regression(X_s_Within(),y_s(),Allow_Intercept,Sample_Include())</f>
        <v>20290.952168750038</v>
      </c>
      <c r="AA15" s="41" cm="1">
        <f t="array" ref="AA15">MS_Regression(X_s_Within(),y_s(),Allow_Intercept,Sample_Include())</f>
        <v>1268.1845105468774</v>
      </c>
      <c r="AB15" s="41" cm="1">
        <f t="array" ref="AB15">F_Statistic(X_s_Within(),y_s(),Allow_Intercept,Sample_Include(),Absorbed_Degrees_Of_Freedom())</f>
        <v>134.79694565058435</v>
      </c>
      <c r="AC15" s="23" cm="1">
        <f t="array" ref="AC15">F_Statistic_P_Value(X_s_Within(),y_s(),Allow_Intercept,Sample_Include(),Absorbed_Degrees_Of_Freedom())</f>
        <v>1.8943998313042473E-144</v>
      </c>
      <c r="AK15" t="str">
        <v>chevrolet monte carlo</v>
      </c>
      <c r="AL15" s="7">
        <v>15</v>
      </c>
      <c r="AM15" s="7">
        <v>15.212574416275837</v>
      </c>
      <c r="AN15" s="7">
        <v>-0.21257441627583695</v>
      </c>
      <c r="AO15" s="7">
        <v>3.6838396596956549E-2</v>
      </c>
      <c r="AP15" s="7">
        <v>-7.0617155228780759E-2</v>
      </c>
      <c r="AQ15" s="7">
        <v>1.1219488900922424E-5</v>
      </c>
      <c r="AR15" s="7">
        <v>-2.0720014483779297</v>
      </c>
      <c r="AS15" s="7">
        <v>-1.8200175308828719</v>
      </c>
      <c r="AT15" s="7">
        <v>0.26573888542849872</v>
      </c>
      <c r="AU15" s="7">
        <v>-0.22070482827052992</v>
      </c>
    </row>
    <row r="16" spans="1:48" x14ac:dyDescent="0.25">
      <c r="P16" t="str">
        <v>Model Year: 82</v>
      </c>
      <c r="Q16" s="14">
        <v>0.31590831958849236</v>
      </c>
      <c r="R16" s="14">
        <v>0.30945001432271285</v>
      </c>
      <c r="S16" s="14">
        <v>3.1980848073673731</v>
      </c>
      <c r="T16" s="14">
        <v>8.2699143284056937</v>
      </c>
      <c r="U16" s="14">
        <v>1.7564955677455198</v>
      </c>
      <c r="V16" s="14">
        <v>0.5693154132370003</v>
      </c>
      <c r="X16" s="8" t="s">
        <v>668</v>
      </c>
      <c r="Y16" s="39" cm="1">
        <f t="array" ref="Y16">Residual_Degrees_Of_Freedom(X_s_Within(),y_s(),Allow_Intercept,Sample_Include(),Absorbed_Degrees_Of_Freedom())</f>
        <v>375</v>
      </c>
      <c r="Z16" s="41" cm="1">
        <f t="array" ref="Z16">SS_Residual(X_s_Within(),y_s(),Allow_Intercept,Sample_Include())</f>
        <v>3528.0413006377153</v>
      </c>
      <c r="AA16" s="41" cm="1">
        <f t="array" ref="AA16">MS_Residual(X_s_Within(),y_s(),Allow_Intercept,Sample_Include(),Absorbed_Degrees_Of_Freedom())</f>
        <v>9.4081101350339083</v>
      </c>
      <c r="AB16" s="38"/>
      <c r="AC16" s="24"/>
      <c r="AG16" s="4" t="s">
        <v>682</v>
      </c>
      <c r="AK16" t="str">
        <v>buick estate wagon (sw)</v>
      </c>
      <c r="AL16" s="7">
        <v>14</v>
      </c>
      <c r="AM16" s="7">
        <v>17.412576009964045</v>
      </c>
      <c r="AN16" s="7">
        <v>-3.4125760099640452</v>
      </c>
      <c r="AO16" s="7">
        <v>0.11212017961465819</v>
      </c>
      <c r="AP16" s="7">
        <v>-1.1807393696594954</v>
      </c>
      <c r="AQ16" s="7">
        <v>1.0355921898592959E-2</v>
      </c>
      <c r="AR16" s="7">
        <v>-1.8192221095957348</v>
      </c>
      <c r="AS16" s="7">
        <v>-1.7231986194513169</v>
      </c>
      <c r="AT16" s="7">
        <v>1.0866183182974118</v>
      </c>
      <c r="AU16" s="7">
        <v>-3.8435111730357598</v>
      </c>
    </row>
    <row r="17" spans="16:47" x14ac:dyDescent="0.25">
      <c r="P17" t="str">
        <v>Origin: Europe</v>
      </c>
      <c r="Q17" s="14">
        <v>0.24431250098438828</v>
      </c>
      <c r="R17" s="14">
        <v>0.25335011992922324</v>
      </c>
      <c r="S17" s="14">
        <v>1.7313298190542106</v>
      </c>
      <c r="T17" s="14">
        <v>1.0025921775707793</v>
      </c>
      <c r="U17" s="14">
        <v>1.8119606956111629</v>
      </c>
      <c r="V17" s="14">
        <v>0.55188835079157517</v>
      </c>
      <c r="X17" s="9" t="s">
        <v>669</v>
      </c>
      <c r="Y17" s="10" cm="1">
        <f t="array" ref="Y17">Total_Degrees_Of_Freedom(y_s(),Allow_Intercept,Sample_Include())</f>
        <v>391</v>
      </c>
      <c r="Z17" s="21" cm="1">
        <f t="array" ref="Z17">SS_Total(y_s(),Allow_Intercept,Sample_Include())</f>
        <v>23818.993469387755</v>
      </c>
      <c r="AA17" s="15"/>
      <c r="AB17" s="15"/>
      <c r="AC17" s="25"/>
      <c r="AG17" s="3" t="s">
        <v>683</v>
      </c>
      <c r="AH17" s="3" t="s">
        <v>684</v>
      </c>
      <c r="AI17" s="31" t="s">
        <v>877</v>
      </c>
      <c r="AK17" t="str">
        <v>toyota corona mark ii</v>
      </c>
      <c r="AL17" s="7">
        <v>24</v>
      </c>
      <c r="AM17" s="7">
        <v>25.198456840216746</v>
      </c>
      <c r="AN17" s="7">
        <v>-1.1984568402167461</v>
      </c>
      <c r="AO17" s="7">
        <v>5.4985468923604633E-2</v>
      </c>
      <c r="AP17" s="7">
        <v>-0.40193142131393816</v>
      </c>
      <c r="AQ17" s="7">
        <v>5.5292272908023029E-4</v>
      </c>
      <c r="AR17" s="7">
        <v>-1.8192221095957348</v>
      </c>
      <c r="AS17" s="7">
        <v>-1.6897180627740656</v>
      </c>
      <c r="AT17" s="7">
        <v>0.63398061588185661</v>
      </c>
      <c r="AU17" s="7">
        <v>-1.2681887958396509</v>
      </c>
    </row>
    <row r="18" spans="16:47" x14ac:dyDescent="0.25">
      <c r="P18" t="str">
        <v>Origin: US</v>
      </c>
      <c r="Q18" s="14">
        <v>-0.56516059345508451</v>
      </c>
      <c r="R18" s="14">
        <v>-0.57164212784882285</v>
      </c>
      <c r="S18" s="14">
        <v>-0.51838350203589245</v>
      </c>
      <c r="T18" s="14">
        <v>-1.7401832443477745</v>
      </c>
      <c r="U18" s="14">
        <v>1.8119606956111629</v>
      </c>
      <c r="V18" s="14">
        <v>0.55188835079157517</v>
      </c>
      <c r="AK18" t="str">
        <v>plymouth duster</v>
      </c>
      <c r="AL18" s="7">
        <v>22</v>
      </c>
      <c r="AM18" s="7">
        <v>20.804329496548942</v>
      </c>
      <c r="AN18" s="7">
        <v>1.1956705034510584</v>
      </c>
      <c r="AO18" s="7">
        <v>4.8771107501306768E-2</v>
      </c>
      <c r="AP18" s="7">
        <v>0.39968495672630688</v>
      </c>
      <c r="AQ18" s="7">
        <v>4.8179719659587972E-4</v>
      </c>
      <c r="AR18" s="7">
        <v>-1.8192221095957348</v>
      </c>
      <c r="AS18" s="7">
        <v>-1.68524344765387</v>
      </c>
      <c r="AT18" s="7">
        <v>0.63220641939662936</v>
      </c>
      <c r="AU18" s="7">
        <v>1.2569745440661129</v>
      </c>
    </row>
    <row r="19" spans="16:47" x14ac:dyDescent="0.25">
      <c r="Q19" s="14"/>
      <c r="R19" s="14"/>
      <c r="S19" s="14"/>
      <c r="T19" s="14"/>
      <c r="U19" s="14"/>
      <c r="V19" s="14"/>
      <c r="X19" s="4" t="s">
        <v>670</v>
      </c>
      <c r="AG19" t="str" cm="1">
        <f t="array" ref="AG19:AG34">TRANSPOSE(Constructed_Column_Names())</f>
        <v>Horsepower</v>
      </c>
      <c r="AH19" s="17" cm="1">
        <f t="array" ref="AH19">IF(ROW()-18&lt;=IFERROR(ROWS(_xlfn.ANCHORARRAY($AI$19)),0),INDEX(_xlfn.ANCHORARRAY($AI$19),ROW()-18),"")</f>
        <v>104.46938775510205</v>
      </c>
      <c r="AI19" s="7" cm="1">
        <f t="array" ref="AI19:AI34">IFERROR(TRANSPOSE(_xlfn.BYCOL(_xlfn._xlws.FILTER(X_s(),Sample_Include()),_xlfn.LAMBDA(_xlpm.c,AVERAGE(_xlpm.c)))),"")</f>
        <v>104.46938775510205</v>
      </c>
      <c r="AK19" t="str">
        <v>amc hornet</v>
      </c>
      <c r="AL19" s="7">
        <v>18</v>
      </c>
      <c r="AM19" s="7">
        <v>21.070591899933742</v>
      </c>
      <c r="AN19" s="7">
        <v>-3.070591899933742</v>
      </c>
      <c r="AO19" s="7">
        <v>4.695010427724941E-2</v>
      </c>
      <c r="AP19" s="7">
        <v>-1.0254466826344892</v>
      </c>
      <c r="AQ19" s="7">
        <v>3.0471804305155937E-3</v>
      </c>
      <c r="AR19" s="7">
        <v>-1.8192221095957348</v>
      </c>
      <c r="AS19" s="7">
        <v>-1.6746439809266753</v>
      </c>
      <c r="AT19" s="7">
        <v>1.012643413366467</v>
      </c>
      <c r="AU19" s="7">
        <v>-3.2218584921045945</v>
      </c>
    </row>
    <row r="20" spans="16:47" x14ac:dyDescent="0.25">
      <c r="Q20" s="14"/>
      <c r="R20" s="14"/>
      <c r="S20" s="14"/>
      <c r="T20" s="14"/>
      <c r="U20" s="14"/>
      <c r="V20" s="14"/>
      <c r="X20" s="3"/>
      <c r="Y20" s="3" t="s">
        <v>73</v>
      </c>
      <c r="Z20" s="3" t="s">
        <v>671</v>
      </c>
      <c r="AA20" s="3" t="s">
        <v>672</v>
      </c>
      <c r="AB20" s="3" t="s">
        <v>673</v>
      </c>
      <c r="AC20" s="3" t="s">
        <v>674</v>
      </c>
      <c r="AD20" s="3" t="s">
        <v>675</v>
      </c>
      <c r="AE20" s="3" t="s">
        <v>676</v>
      </c>
      <c r="AG20" t="str">
        <v>Weight</v>
      </c>
      <c r="AH20" s="17" cm="1">
        <f t="array" ref="AH20">IF(ROW()-18&lt;=IFERROR(ROWS(_xlfn.ANCHORARRAY($AI$19)),0),INDEX(_xlfn.ANCHORARRAY($AI$19),ROW()-18),"")</f>
        <v>2977.5841836734694</v>
      </c>
      <c r="AI20" s="7">
        <v>2977.5841836734694</v>
      </c>
      <c r="AK20" t="str">
        <v>ford maverick</v>
      </c>
      <c r="AL20" s="7">
        <v>21</v>
      </c>
      <c r="AM20" s="7">
        <v>22.212267981403066</v>
      </c>
      <c r="AN20" s="7">
        <v>-1.2122679814030661</v>
      </c>
      <c r="AO20" s="7">
        <v>5.1942024882097544E-2</v>
      </c>
      <c r="AP20" s="7">
        <v>-0.40591022394118104</v>
      </c>
      <c r="AQ20" s="7">
        <v>5.3100063365988423E-4</v>
      </c>
      <c r="AR20" s="7">
        <v>-1.8192221095957348</v>
      </c>
      <c r="AS20" s="7">
        <v>-1.6319415081566486</v>
      </c>
      <c r="AT20" s="7">
        <v>0.63711084117379535</v>
      </c>
      <c r="AU20" s="7">
        <v>-1.278685495211731</v>
      </c>
    </row>
    <row r="21" spans="16:47"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IF(Zero_Predictors_Selected(),IF(AND(Allow_Intercept,Intercept_Only_N()&gt;=1),Intercept_Only_Point(),NA()),IF(Allow_Intercept,Coefficients(X_s_Within(),y_s(),Allow_Intercept,Sample_Include()),_xlfn.VSTACK("",Coefficients(X_s_Within(),y_s(),Allow_Intercept,Sample_Include()))))</f>
        <v>38.751088282860074</v>
      </c>
      <c r="Z21" s="7" cm="1">
        <f t="array" ref="Z21:Z37">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0.96262804339133234</v>
      </c>
      <c r="AA21" s="7" cm="1">
        <f t="array" ref="AA21:AA37">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40.255515667651068</v>
      </c>
      <c r="AB21" s="19" cm="1">
        <f t="array" ref="AB21:AB37">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3.392078477050681E-138</v>
      </c>
      <c r="AC21" s="7" cm="1">
        <f t="array" ref="AC21:AC37">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36.85826298006635</v>
      </c>
      <c r="AD21" s="7" cm="1">
        <f t="array" ref="AD21:AD37">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40.643913585653799</v>
      </c>
      <c r="AE21" s="7" t="str" cm="1">
        <f t="array" ref="AE21:AE37">IF(Zero_Predictors_Selected(),IF(Allow_Intercept,"",NA()),_xlfn.VSTACK("",Beta_Weights(X_s_Within(),y_s(),Allow_Intercept,Sample_Include())))</f>
        <v/>
      </c>
      <c r="AG21" t="str">
        <v>Model Year: 71</v>
      </c>
      <c r="AH21" s="17" cm="1">
        <f t="array" ref="AH21">IF(ROW()-18&lt;=IFERROR(ROWS(_xlfn.ANCHORARRAY($AI$19)),0),INDEX(_xlfn.ANCHORARRAY($AI$19),ROW()-18),"")</f>
        <v>6.8877551020408156E-2</v>
      </c>
      <c r="AI21" s="7">
        <v>6.8877551020408156E-2</v>
      </c>
      <c r="AK21" t="str">
        <v>datsun pl510</v>
      </c>
      <c r="AL21" s="7">
        <v>27</v>
      </c>
      <c r="AM21" s="7">
        <v>26.537432790749786</v>
      </c>
      <c r="AN21" s="7">
        <v>0.46256720925021355</v>
      </c>
      <c r="AO21" s="7">
        <v>5.5009922789087756E-2</v>
      </c>
      <c r="AP21" s="7">
        <v>0.15513508303132956</v>
      </c>
      <c r="AQ21" s="7">
        <v>8.2410948129185235E-5</v>
      </c>
      <c r="AR21" s="7">
        <v>-1.8192221095957348</v>
      </c>
      <c r="AS21" s="7">
        <v>-1.6266867098316833</v>
      </c>
      <c r="AT21" s="7">
        <v>0.39387191196038535</v>
      </c>
      <c r="AU21" s="7">
        <v>0.48949425015705561</v>
      </c>
    </row>
    <row r="22" spans="16:47" x14ac:dyDescent="0.25">
      <c r="Q22" s="14"/>
      <c r="R22" s="14"/>
      <c r="S22" s="14"/>
      <c r="T22" s="14"/>
      <c r="U22" s="14"/>
      <c r="V22" s="14"/>
      <c r="X22" t="str">
        <v>Horsepower</v>
      </c>
      <c r="Y22" s="7">
        <v>-1.6236431953541224E-2</v>
      </c>
      <c r="Z22" s="7">
        <v>9.497739162989639E-3</v>
      </c>
      <c r="AA22" s="7">
        <v>-1.709504933217225</v>
      </c>
      <c r="AB22" s="19">
        <v>8.818472714576539E-2</v>
      </c>
      <c r="AC22" s="7">
        <v>-3.4911932974378744E-2</v>
      </c>
      <c r="AD22" s="7">
        <v>2.4390690672962956E-3</v>
      </c>
      <c r="AE22" s="7">
        <v>-8.0071556643277975E-2</v>
      </c>
      <c r="AG22" t="str">
        <v>Model Year: 72</v>
      </c>
      <c r="AH22" s="17" cm="1">
        <f t="array" ref="AH22">IF(ROW()-18&lt;=IFERROR(ROWS(_xlfn.ANCHORARRAY($AI$19)),0),INDEX(_xlfn.ANCHORARRAY($AI$19),ROW()-18),"")</f>
        <v>7.1428571428571425E-2</v>
      </c>
      <c r="AI22" s="7">
        <v>7.1428571428571425E-2</v>
      </c>
      <c r="AK22" t="str">
        <v>volkswagen 1131 deluxe sedan</v>
      </c>
      <c r="AL22" s="7">
        <v>26</v>
      </c>
      <c r="AM22" s="7">
        <v>28.591062427308099</v>
      </c>
      <c r="AN22" s="7">
        <v>-2.5910624273080991</v>
      </c>
      <c r="AO22" s="7">
        <v>6.8142656866106793E-2</v>
      </c>
      <c r="AP22" s="7">
        <v>-0.87508847543411206</v>
      </c>
      <c r="AQ22" s="7">
        <v>3.2940079133687945E-3</v>
      </c>
      <c r="AR22" s="7">
        <v>-1.8192221095957348</v>
      </c>
      <c r="AS22" s="7">
        <v>-1.626368466519942</v>
      </c>
      <c r="AT22" s="7">
        <v>0.93546163760686207</v>
      </c>
      <c r="AU22" s="7">
        <v>-2.7805355040656736</v>
      </c>
    </row>
    <row r="23" spans="16:47" x14ac:dyDescent="0.25">
      <c r="Q23" s="14"/>
      <c r="R23" s="14"/>
      <c r="S23" s="14"/>
      <c r="T23" s="14"/>
      <c r="U23" s="14"/>
      <c r="V23" s="14"/>
      <c r="X23" t="str">
        <v>Weight</v>
      </c>
      <c r="Y23" s="7">
        <v>-5.0633096151167433E-3</v>
      </c>
      <c r="Z23" s="7">
        <v>4.3671065291282139E-4</v>
      </c>
      <c r="AA23" s="7">
        <v>-11.594197625693159</v>
      </c>
      <c r="AB23" s="19">
        <v>8.9955160626704314E-27</v>
      </c>
      <c r="AC23" s="7">
        <v>-5.9220182092698795E-3</v>
      </c>
      <c r="AD23" s="7">
        <v>-4.2046010209636072E-3</v>
      </c>
      <c r="AE23" s="7">
        <v>-0.55102934324785413</v>
      </c>
      <c r="AG23" t="str">
        <v>Model Year: 73</v>
      </c>
      <c r="AH23" s="17" cm="1">
        <f t="array" ref="AH23">IF(ROW()-18&lt;=IFERROR(ROWS(_xlfn.ANCHORARRAY($AI$19)),0),INDEX(_xlfn.ANCHORARRAY($AI$19),ROW()-18),"")</f>
        <v>0.10204081632653061</v>
      </c>
      <c r="AI23" s="7">
        <v>0.10204081632653061</v>
      </c>
      <c r="AK23" t="str">
        <v>peugeot 504</v>
      </c>
      <c r="AL23" s="7">
        <v>25</v>
      </c>
      <c r="AM23" s="7">
        <v>23.687378569360192</v>
      </c>
      <c r="AN23" s="7">
        <v>1.3126214306398083</v>
      </c>
      <c r="AO23" s="7">
        <v>5.7444350257130856E-2</v>
      </c>
      <c r="AP23" s="7">
        <v>0.4407931061238981</v>
      </c>
      <c r="AQ23" s="7">
        <v>6.9656393771628427E-4</v>
      </c>
      <c r="AR23" s="7">
        <v>-1.8192221095957348</v>
      </c>
      <c r="AS23" s="7">
        <v>-1.5268692799723573</v>
      </c>
      <c r="AT23" s="7">
        <v>0.66392251515059952</v>
      </c>
      <c r="AU23" s="7">
        <v>1.3926195562011578</v>
      </c>
    </row>
    <row r="24" spans="16:47" x14ac:dyDescent="0.25">
      <c r="Q24" s="14"/>
      <c r="R24" s="14"/>
      <c r="S24" s="14"/>
      <c r="T24" s="14"/>
      <c r="U24" s="14"/>
      <c r="V24" s="14"/>
      <c r="X24" t="str">
        <v>Model Year: 71</v>
      </c>
      <c r="Y24" s="7">
        <v>0.91041019458277417</v>
      </c>
      <c r="Z24" s="7">
        <v>0.86700620491109681</v>
      </c>
      <c r="AA24" s="7">
        <v>1.0500619135432001</v>
      </c>
      <c r="AB24" s="19">
        <v>0.29436587877078829</v>
      </c>
      <c r="AC24" s="7">
        <v>-0.79439291561265335</v>
      </c>
      <c r="AD24" s="7">
        <v>2.6152133047782016</v>
      </c>
      <c r="AE24" s="7">
        <v>2.9577447376240313E-2</v>
      </c>
      <c r="AG24" t="str">
        <v>Model Year: 74</v>
      </c>
      <c r="AH24" s="17" cm="1">
        <f t="array" ref="AH24">IF(ROW()-18&lt;=IFERROR(ROWS(_xlfn.ANCHORARRAY($AI$19)),0),INDEX(_xlfn.ANCHORARRAY($AI$19),ROW()-18),"")</f>
        <v>6.6326530612244902E-2</v>
      </c>
      <c r="AI24" s="7">
        <v>6.6326530612244902E-2</v>
      </c>
      <c r="AK24" t="str">
        <v>audi 100 ls</v>
      </c>
      <c r="AL24" s="7">
        <v>24</v>
      </c>
      <c r="AM24" s="7">
        <v>24.863990200357819</v>
      </c>
      <c r="AN24" s="7">
        <v>-0.86399020035781859</v>
      </c>
      <c r="AO24" s="7">
        <v>5.1568524658183831E-2</v>
      </c>
      <c r="AP24" s="7">
        <v>-0.28923752793397073</v>
      </c>
      <c r="AQ24" s="7">
        <v>2.6757104145415611E-4</v>
      </c>
      <c r="AR24" s="7">
        <v>-1.8192221095957348</v>
      </c>
      <c r="AS24" s="7">
        <v>-1.5175419689962188</v>
      </c>
      <c r="AT24" s="7">
        <v>0.53780807723013113</v>
      </c>
      <c r="AU24" s="7">
        <v>-0.91096744764447557</v>
      </c>
    </row>
    <row r="25" spans="16:47" x14ac:dyDescent="0.25">
      <c r="Q25" s="14"/>
      <c r="R25" s="14"/>
      <c r="S25" s="14"/>
      <c r="T25" s="14"/>
      <c r="U25" s="14"/>
      <c r="V25" s="14"/>
      <c r="X25" t="str">
        <v>Model Year: 72</v>
      </c>
      <c r="Y25" s="7">
        <v>-0.34595173995933204</v>
      </c>
      <c r="Z25" s="7">
        <v>0.84392497453951754</v>
      </c>
      <c r="AA25" s="7">
        <v>-0.40993186645305585</v>
      </c>
      <c r="AB25" s="19">
        <v>0.68209000766572636</v>
      </c>
      <c r="AC25" s="7">
        <v>-2.005369992351302</v>
      </c>
      <c r="AD25" s="7">
        <v>1.3134665124326381</v>
      </c>
      <c r="AE25" s="7">
        <v>-1.1429848936238184E-2</v>
      </c>
      <c r="AG25" t="str">
        <v>Model Year: 75</v>
      </c>
      <c r="AH25" s="17" cm="1">
        <f t="array" ref="AH25">IF(ROW()-18&lt;=IFERROR(ROWS(_xlfn.ANCHORARRAY($AI$19)),0),INDEX(_xlfn.ANCHORARRAY($AI$19),ROW()-18),"")</f>
        <v>7.6530612244897961E-2</v>
      </c>
      <c r="AI25" s="7">
        <v>7.6530612244897961E-2</v>
      </c>
      <c r="AK25" t="str">
        <v>saab 99e</v>
      </c>
      <c r="AL25" s="7">
        <v>25</v>
      </c>
      <c r="AM25" s="7">
        <v>25.061290069421542</v>
      </c>
      <c r="AN25" s="7">
        <v>-6.1290069421541915E-2</v>
      </c>
      <c r="AO25" s="7">
        <v>4.9464537797579741E-2</v>
      </c>
      <c r="AP25" s="7">
        <v>-2.0495322425387076E-2</v>
      </c>
      <c r="AQ25" s="7">
        <v>1.285837892010095E-6</v>
      </c>
      <c r="AR25" s="7">
        <v>-1.8192221095957348</v>
      </c>
      <c r="AS25" s="7">
        <v>-1.4769363323181717</v>
      </c>
      <c r="AT25" s="7">
        <v>0.14316187490175963</v>
      </c>
      <c r="AU25" s="7">
        <v>-6.4479519027655127E-2</v>
      </c>
    </row>
    <row r="26" spans="16:47" x14ac:dyDescent="0.25">
      <c r="Q26" s="14"/>
      <c r="R26" s="14"/>
      <c r="S26" s="14"/>
      <c r="T26" s="14"/>
      <c r="U26" s="14"/>
      <c r="V26" s="14"/>
      <c r="X26" t="str">
        <v>Model Year: 73</v>
      </c>
      <c r="Y26" s="7">
        <v>-0.70625405150926601</v>
      </c>
      <c r="Z26" s="7">
        <v>0.77077168235926674</v>
      </c>
      <c r="AA26" s="7">
        <v>-0.91629475715491038</v>
      </c>
      <c r="AB26" s="19">
        <v>0.36010118595542118</v>
      </c>
      <c r="AC26" s="7">
        <v>-2.2218302421910612</v>
      </c>
      <c r="AD26" s="7">
        <v>0.80932213917252926</v>
      </c>
      <c r="AE26" s="7">
        <v>-2.7425688780183487E-2</v>
      </c>
      <c r="AG26" t="str">
        <v>Model Year: 76</v>
      </c>
      <c r="AH26" s="17" cm="1">
        <f t="array" ref="AH26">IF(ROW()-18&lt;=IFERROR(ROWS(_xlfn.ANCHORARRAY($AI$19)),0),INDEX(_xlfn.ANCHORARRAY($AI$19),ROW()-18),"")</f>
        <v>8.673469387755102E-2</v>
      </c>
      <c r="AI26" s="7">
        <v>8.673469387755102E-2</v>
      </c>
      <c r="AK26" t="str">
        <v>bmw 2002</v>
      </c>
      <c r="AL26" s="7">
        <v>26</v>
      </c>
      <c r="AM26" s="7">
        <v>25.482960949989256</v>
      </c>
      <c r="AN26" s="7">
        <v>0.51703905001074446</v>
      </c>
      <c r="AO26" s="7">
        <v>4.9413009365655451E-2</v>
      </c>
      <c r="AP26" s="7">
        <v>0.17289252435540003</v>
      </c>
      <c r="AQ26" s="7">
        <v>9.1401420889604447E-5</v>
      </c>
      <c r="AR26" s="7">
        <v>-1.8192221095957348</v>
      </c>
      <c r="AS26" s="7">
        <v>-1.4375278289347933</v>
      </c>
      <c r="AT26" s="7">
        <v>0.41580346842637089</v>
      </c>
      <c r="AU26" s="7">
        <v>0.54391555439414818</v>
      </c>
    </row>
    <row r="27" spans="16:47" x14ac:dyDescent="0.25">
      <c r="Q27" s="14"/>
      <c r="R27" s="14"/>
      <c r="S27" s="14"/>
      <c r="T27" s="14"/>
      <c r="U27" s="14"/>
      <c r="V27" s="14"/>
      <c r="X27" t="str">
        <v>Model Year: 74</v>
      </c>
      <c r="Y27" s="7">
        <v>1.2578616049411391</v>
      </c>
      <c r="Z27" s="7">
        <v>0.90223457377328486</v>
      </c>
      <c r="AA27" s="7">
        <v>1.3941624955476566</v>
      </c>
      <c r="AB27" s="19">
        <v>0.16409401980109084</v>
      </c>
      <c r="AC27" s="7">
        <v>-0.51621140489650408</v>
      </c>
      <c r="AD27" s="7">
        <v>3.0319346147787822</v>
      </c>
      <c r="AE27" s="7">
        <v>4.0156452683686186E-2</v>
      </c>
      <c r="AG27" t="str">
        <v>Model Year: 77</v>
      </c>
      <c r="AH27" s="17" cm="1">
        <f t="array" ref="AH27">IF(ROW()-18&lt;=IFERROR(ROWS(_xlfn.ANCHORARRAY($AI$19)),0),INDEX(_xlfn.ANCHORARRAY($AI$19),ROW()-18),"")</f>
        <v>7.1428571428571425E-2</v>
      </c>
      <c r="AI27" s="7">
        <v>7.1428571428571425E-2</v>
      </c>
      <c r="AK27" t="str">
        <v>amc gremlin</v>
      </c>
      <c r="AL27" s="7">
        <v>21</v>
      </c>
      <c r="AM27" s="7">
        <v>21.822223935113239</v>
      </c>
      <c r="AN27" s="7">
        <v>-0.82222393511323943</v>
      </c>
      <c r="AO27" s="7">
        <v>4.9584288806374846E-2</v>
      </c>
      <c r="AP27" s="7">
        <v>-0.27496797490025449</v>
      </c>
      <c r="AQ27" s="7">
        <v>2.3203088177442646E-4</v>
      </c>
      <c r="AR27" s="7">
        <v>-1.8192221095957348</v>
      </c>
      <c r="AS27" s="7">
        <v>-1.4339281629923626</v>
      </c>
      <c r="AT27" s="7">
        <v>0.52437388846151989</v>
      </c>
      <c r="AU27" s="7">
        <v>-0.86512031043827142</v>
      </c>
    </row>
    <row r="28" spans="16:47" x14ac:dyDescent="0.25">
      <c r="Q28" s="14"/>
      <c r="R28" s="14"/>
      <c r="S28" s="14"/>
      <c r="T28" s="14"/>
      <c r="U28" s="14"/>
      <c r="V28" s="14"/>
      <c r="X28" t="str">
        <v>Model Year: 75</v>
      </c>
      <c r="Y28" s="7">
        <v>0.63935220100332424</v>
      </c>
      <c r="Z28" s="7">
        <v>0.88468943032156888</v>
      </c>
      <c r="AA28" s="7">
        <v>0.72268547480094913</v>
      </c>
      <c r="AB28" s="19">
        <v>0.47032360057386857</v>
      </c>
      <c r="AC28" s="7">
        <v>-1.1002216149924742</v>
      </c>
      <c r="AD28" s="7">
        <v>2.3789260169991224</v>
      </c>
      <c r="AE28" s="7">
        <v>2.1804711308239143E-2</v>
      </c>
      <c r="AG28" t="str">
        <v>Model Year: 78</v>
      </c>
      <c r="AH28" s="17" cm="1">
        <f t="array" ref="AH28">IF(ROW()-18&lt;=IFERROR(ROWS(_xlfn.ANCHORARRAY($AI$19)),0),INDEX(_xlfn.ANCHORARRAY($AI$19),ROW()-18),"")</f>
        <v>9.1836734693877556E-2</v>
      </c>
      <c r="AI28" s="7">
        <v>9.1836734693877556E-2</v>
      </c>
      <c r="AK28" t="str">
        <v>ford f250</v>
      </c>
      <c r="AL28" s="7">
        <v>10</v>
      </c>
      <c r="AM28" s="7">
        <v>9.8331399279859557</v>
      </c>
      <c r="AN28" s="7">
        <v>0.16686007201404429</v>
      </c>
      <c r="AO28" s="7">
        <v>4.5553437442162031E-2</v>
      </c>
      <c r="AP28" s="7">
        <v>5.5683358456535478E-2</v>
      </c>
      <c r="AQ28" s="7">
        <v>8.705053750157693E-6</v>
      </c>
      <c r="AR28" s="7">
        <v>-1.8192221095957348</v>
      </c>
      <c r="AS28" s="7">
        <v>-1.3818722583783176</v>
      </c>
      <c r="AT28" s="7">
        <v>0.23597321554900141</v>
      </c>
      <c r="AU28" s="7">
        <v>0.17482390168274384</v>
      </c>
    </row>
    <row r="29" spans="16:47" x14ac:dyDescent="0.25">
      <c r="Q29" s="14"/>
      <c r="R29" s="14"/>
      <c r="S29" s="14"/>
      <c r="T29" s="14"/>
      <c r="U29" s="14"/>
      <c r="V29" s="14"/>
      <c r="X29" t="str">
        <v>Model Year: 76</v>
      </c>
      <c r="Y29" s="7">
        <v>1.4144247705995325</v>
      </c>
      <c r="Z29" s="7">
        <v>0.84878476923281831</v>
      </c>
      <c r="AA29" s="7">
        <v>1.6664115826182566</v>
      </c>
      <c r="AB29" s="19">
        <v>9.6466455919174049E-2</v>
      </c>
      <c r="AC29" s="7">
        <v>-0.25454934547728847</v>
      </c>
      <c r="AD29" s="7">
        <v>3.0833988866763535</v>
      </c>
      <c r="AE29" s="7">
        <v>5.1068851278666165E-2</v>
      </c>
      <c r="AG29" t="str">
        <v>Model Year: 79</v>
      </c>
      <c r="AH29" s="17" cm="1">
        <f t="array" ref="AH29">IF(ROW()-18&lt;=IFERROR(ROWS(_xlfn.ANCHORARRAY($AI$19)),0),INDEX(_xlfn.ANCHORARRAY($AI$19),ROW()-18),"")</f>
        <v>7.3979591836734693E-2</v>
      </c>
      <c r="AI29" s="7">
        <v>7.3979591836734693E-2</v>
      </c>
      <c r="AK29" t="str">
        <v>chevy c20</v>
      </c>
      <c r="AL29" s="7">
        <v>10</v>
      </c>
      <c r="AM29" s="7">
        <v>11.286817405301973</v>
      </c>
      <c r="AN29" s="7">
        <v>-1.2868174053019725</v>
      </c>
      <c r="AO29" s="7">
        <v>4.0933470674793776E-2</v>
      </c>
      <c r="AP29" s="7">
        <v>-0.4283920105670963</v>
      </c>
      <c r="AQ29" s="7">
        <v>4.6074819083103937E-4</v>
      </c>
      <c r="AR29" s="7">
        <v>-1.8192221095957348</v>
      </c>
      <c r="AS29" s="7">
        <v>-1.3375231715810592</v>
      </c>
      <c r="AT29" s="7">
        <v>0.65451662359874119</v>
      </c>
      <c r="AU29" s="7">
        <v>-1.3417394580617572</v>
      </c>
    </row>
    <row r="30" spans="16:47" x14ac:dyDescent="0.25">
      <c r="Q30" s="14"/>
      <c r="R30" s="14"/>
      <c r="S30" s="14"/>
      <c r="T30" s="14"/>
      <c r="U30" s="14"/>
      <c r="V30" s="14"/>
      <c r="X30" t="str">
        <v>Model Year: 77</v>
      </c>
      <c r="Y30" s="7">
        <v>2.8481175004680441</v>
      </c>
      <c r="Z30" s="7">
        <v>0.86455882212615043</v>
      </c>
      <c r="AA30" s="7">
        <v>3.294301587790017</v>
      </c>
      <c r="AB30" s="19">
        <v>1.0805831577804146E-3</v>
      </c>
      <c r="AC30" s="7">
        <v>1.1481267039100296</v>
      </c>
      <c r="AD30" s="7">
        <v>4.5481082970260589</v>
      </c>
      <c r="AE30" s="7">
        <v>9.4098537520964129E-2</v>
      </c>
      <c r="AG30" t="str">
        <v>Model Year: 80</v>
      </c>
      <c r="AH30" s="17" cm="1">
        <f t="array" ref="AH30">IF(ROW()-18&lt;=IFERROR(ROWS(_xlfn.ANCHORARRAY($AI$19)),0),INDEX(_xlfn.ANCHORARRAY($AI$19),ROW()-18),"")</f>
        <v>6.8877551020408156E-2</v>
      </c>
      <c r="AI30" s="7">
        <v>6.8877551020408156E-2</v>
      </c>
      <c r="AK30" t="str">
        <v>dodge d200</v>
      </c>
      <c r="AL30" s="7">
        <v>11</v>
      </c>
      <c r="AM30" s="7">
        <v>11.094073228075858</v>
      </c>
      <c r="AN30" s="7">
        <v>-9.4073228075858495E-2</v>
      </c>
      <c r="AO30" s="7">
        <v>4.4587292508687454E-2</v>
      </c>
      <c r="AP30" s="7">
        <v>-3.1377572652116069E-2</v>
      </c>
      <c r="AQ30" s="7">
        <v>2.7027747579047299E-6</v>
      </c>
      <c r="AR30" s="7">
        <v>-1.8192221095957348</v>
      </c>
      <c r="AS30" s="7">
        <v>-1.307068093232151</v>
      </c>
      <c r="AT30" s="7">
        <v>0.17713715773974717</v>
      </c>
      <c r="AU30" s="7">
        <v>-9.8463446569464735E-2</v>
      </c>
    </row>
    <row r="31" spans="16:47" x14ac:dyDescent="0.25">
      <c r="Q31" s="14"/>
      <c r="R31" s="14"/>
      <c r="S31" s="14"/>
      <c r="T31" s="14"/>
      <c r="U31" s="14"/>
      <c r="V31" s="14"/>
      <c r="X31" t="str">
        <v>Model Year: 78</v>
      </c>
      <c r="Y31" s="7">
        <v>2.6980951580993344</v>
      </c>
      <c r="Z31" s="7">
        <v>0.82369335401903576</v>
      </c>
      <c r="AA31" s="7">
        <v>3.2756063223462415</v>
      </c>
      <c r="AB31" s="19">
        <v>1.1525516881497513E-3</v>
      </c>
      <c r="AC31" s="7">
        <v>1.0784585467062864</v>
      </c>
      <c r="AD31" s="7">
        <v>4.3177317694923829</v>
      </c>
      <c r="AE31" s="7">
        <v>9.9960581933078274E-2</v>
      </c>
      <c r="AG31" t="str">
        <v>Model Year: 81</v>
      </c>
      <c r="AH31" s="17" cm="1">
        <f t="array" ref="AH31">IF(ROW()-18&lt;=IFERROR(ROWS(_xlfn.ANCHORARRAY($AI$19)),0),INDEX(_xlfn.ANCHORARRAY($AI$19),ROW()-18),"")</f>
        <v>7.1428571428571425E-2</v>
      </c>
      <c r="AI31" s="7">
        <v>7.1428571428571425E-2</v>
      </c>
      <c r="AK31" t="str">
        <v>hi 1200d</v>
      </c>
      <c r="AL31" s="7">
        <v>9</v>
      </c>
      <c r="AM31" s="7">
        <v>9.5979342059952</v>
      </c>
      <c r="AN31" s="7">
        <v>-0.59793420599519997</v>
      </c>
      <c r="AO31" s="7">
        <v>4.3597810529259505E-2</v>
      </c>
      <c r="AP31" s="7">
        <v>-0.19933424776620928</v>
      </c>
      <c r="AQ31" s="7">
        <v>1.0654646364981789E-4</v>
      </c>
      <c r="AR31" s="7">
        <v>-1.8192221095957348</v>
      </c>
      <c r="AS31" s="7">
        <v>-1.2992210520172569</v>
      </c>
      <c r="AT31" s="7">
        <v>0.44646864141416392</v>
      </c>
      <c r="AU31" s="7">
        <v>-0.62519117226831977</v>
      </c>
    </row>
    <row r="32" spans="16:47" x14ac:dyDescent="0.25">
      <c r="Q32" s="14"/>
      <c r="R32" s="14"/>
      <c r="S32" s="14"/>
      <c r="T32" s="14"/>
      <c r="U32" s="14"/>
      <c r="V32" s="14"/>
      <c r="X32" t="str">
        <v>Model Year: 79</v>
      </c>
      <c r="Y32" s="7">
        <v>5.1059820845240225</v>
      </c>
      <c r="Z32" s="7">
        <v>0.87407693909722706</v>
      </c>
      <c r="AA32" s="7">
        <v>5.8415705255851211</v>
      </c>
      <c r="AB32" s="19">
        <v>1.1226645573082098E-8</v>
      </c>
      <c r="AC32" s="7">
        <v>3.3872757178540738</v>
      </c>
      <c r="AD32" s="7">
        <v>6.8246884511939712</v>
      </c>
      <c r="AE32" s="7">
        <v>0.17144580454032013</v>
      </c>
      <c r="AG32" t="str">
        <v>Model Year: 82</v>
      </c>
      <c r="AH32" s="17" cm="1">
        <f t="array" ref="AH32">IF(ROW()-18&lt;=IFERROR(ROWS(_xlfn.ANCHORARRAY($AI$19)),0),INDEX(_xlfn.ANCHORARRAY($AI$19),ROW()-18),"")</f>
        <v>7.6530612244897961E-2</v>
      </c>
      <c r="AI32" s="7">
        <v>7.6530612244897961E-2</v>
      </c>
      <c r="AK32" t="str">
        <v>datsun pl510</v>
      </c>
      <c r="AL32" s="7">
        <v>27</v>
      </c>
      <c r="AM32" s="7">
        <v>27.44784298533256</v>
      </c>
      <c r="AN32" s="7">
        <v>-0.44784298533256006</v>
      </c>
      <c r="AO32" s="7">
        <v>5.0482475252271251E-2</v>
      </c>
      <c r="AP32" s="7">
        <v>-0.14983838636843658</v>
      </c>
      <c r="AQ32" s="7">
        <v>7.0215809939308985E-5</v>
      </c>
      <c r="AR32" s="7">
        <v>-1.8192221095957348</v>
      </c>
      <c r="AS32" s="7">
        <v>-1.2647682754399088</v>
      </c>
      <c r="AT32" s="7">
        <v>0.38708963609019109</v>
      </c>
      <c r="AU32" s="7">
        <v>-0.47165320666571647</v>
      </c>
    </row>
    <row r="33" spans="17:47" x14ac:dyDescent="0.25">
      <c r="Q33" s="14"/>
      <c r="R33" s="14"/>
      <c r="S33" s="14"/>
      <c r="T33" s="14"/>
      <c r="U33" s="14"/>
      <c r="V33" s="14"/>
      <c r="X33" t="str">
        <v>Model Year: 80</v>
      </c>
      <c r="Y33" s="7">
        <v>9.1670835618192577</v>
      </c>
      <c r="Z33" s="7">
        <v>0.92246059063757935</v>
      </c>
      <c r="AA33" s="7">
        <v>9.9376424910285017</v>
      </c>
      <c r="AB33" s="19">
        <v>8.2240275742115951E-21</v>
      </c>
      <c r="AC33" s="7">
        <v>7.3532399295087911</v>
      </c>
      <c r="AD33" s="7">
        <v>10.980927194129723</v>
      </c>
      <c r="AE33" s="7">
        <v>0.2978206233373355</v>
      </c>
      <c r="AG33" t="str">
        <v>Origin: Europe</v>
      </c>
      <c r="AH33" s="17" cm="1">
        <f t="array" ref="AH33">IF(ROW()-18&lt;=IFERROR(ROWS(_xlfn.ANCHORARRAY($AI$19)),0),INDEX(_xlfn.ANCHORARRAY($AI$19),ROW()-18),"")</f>
        <v>0.17346938775510204</v>
      </c>
      <c r="AI33" s="7">
        <v>0.17346938775510204</v>
      </c>
      <c r="AK33" t="str">
        <v>chevrolet vega 2300</v>
      </c>
      <c r="AL33" s="7">
        <v>28</v>
      </c>
      <c r="AM33" s="7">
        <v>24.676945021900842</v>
      </c>
      <c r="AN33" s="7">
        <v>3.3230549780991581</v>
      </c>
      <c r="AO33" s="7">
        <v>4.6906901296231408E-2</v>
      </c>
      <c r="AP33" s="7">
        <v>1.1097334264431693</v>
      </c>
      <c r="AQ33" s="7">
        <v>3.5652487247722739E-3</v>
      </c>
      <c r="AR33" s="7">
        <v>-1.8192221095957348</v>
      </c>
      <c r="AS33" s="7">
        <v>-1.2628813097867091</v>
      </c>
      <c r="AT33" s="7">
        <v>1.0534388574773428</v>
      </c>
      <c r="AU33" s="7">
        <v>3.4866006087113623</v>
      </c>
    </row>
    <row r="34" spans="17:47" x14ac:dyDescent="0.25">
      <c r="Q34" s="14"/>
      <c r="R34" s="14"/>
      <c r="S34" s="14"/>
      <c r="T34" s="14"/>
      <c r="U34" s="14"/>
      <c r="V34" s="14"/>
      <c r="X34" t="str">
        <v>Model Year: 81</v>
      </c>
      <c r="Y34" s="7">
        <v>6.5309047619851768</v>
      </c>
      <c r="Z34" s="7">
        <v>0.90984395584765865</v>
      </c>
      <c r="AA34" s="7">
        <v>7.1780492907716704</v>
      </c>
      <c r="AB34" s="19">
        <v>3.8191920779243274E-12</v>
      </c>
      <c r="AC34" s="7">
        <v>4.7418693468572641</v>
      </c>
      <c r="AD34" s="7">
        <v>8.3199401771130894</v>
      </c>
      <c r="AE34" s="7">
        <v>0.2157736071951083</v>
      </c>
      <c r="AG34" t="str">
        <v>Origin: US</v>
      </c>
      <c r="AH34" s="17" cm="1">
        <f t="array" ref="AH34">IF(ROW()-18&lt;=IFERROR(ROWS(_xlfn.ANCHORARRAY($AI$19)),0),INDEX(_xlfn.ANCHORARRAY($AI$19),ROW()-18),"")</f>
        <v>0.625</v>
      </c>
      <c r="AI34" s="7">
        <v>0.625</v>
      </c>
      <c r="AK34" t="str">
        <v>toyota corona</v>
      </c>
      <c r="AL34" s="7">
        <v>25</v>
      </c>
      <c r="AM34" s="7">
        <v>26.837983619376331</v>
      </c>
      <c r="AN34" s="7">
        <v>-1.837983619376331</v>
      </c>
      <c r="AO34" s="7">
        <v>5.0935386039696162E-2</v>
      </c>
      <c r="AP34" s="7">
        <v>-0.61509549983121248</v>
      </c>
      <c r="AQ34" s="7">
        <v>1.1944280641904474E-3</v>
      </c>
      <c r="AR34" s="7">
        <v>-1.8192221095957348</v>
      </c>
      <c r="AS34" s="7">
        <v>-1.260569504380137</v>
      </c>
      <c r="AT34" s="7">
        <v>0.78428024317281664</v>
      </c>
      <c r="AU34" s="7">
        <v>-1.9366264344286339</v>
      </c>
    </row>
    <row r="35" spans="17:47" x14ac:dyDescent="0.25">
      <c r="Q35" s="14"/>
      <c r="R35" s="14"/>
      <c r="S35" s="14"/>
      <c r="T35" s="14"/>
      <c r="U35" s="14"/>
      <c r="V35" s="14"/>
      <c r="X35" t="str">
        <v>Model Year: 82</v>
      </c>
      <c r="Y35" s="7">
        <v>8.2093406715777686</v>
      </c>
      <c r="Z35" s="7">
        <v>0.88405378716381344</v>
      </c>
      <c r="AA35" s="7">
        <v>9.2860194603256581</v>
      </c>
      <c r="AB35" s="19">
        <v>1.3188191200496983E-18</v>
      </c>
      <c r="AC35" s="7">
        <v>6.4710167271817092</v>
      </c>
      <c r="AD35" s="7">
        <v>9.947664615973828</v>
      </c>
      <c r="AE35" s="7">
        <v>0.27997448525841329</v>
      </c>
      <c r="AH35" s="17" t="str" cm="1">
        <f t="array" ref="AH35">IF(ROW()-18&lt;=IFERROR(ROWS(_xlfn.ANCHORARRAY($AI$19)),0),INDEX(_xlfn.ANCHORARRAY($AI$19),ROW()-18),"")</f>
        <v/>
      </c>
      <c r="AK35" t="str">
        <v>amc gremlin</v>
      </c>
      <c r="AL35" s="7">
        <v>19</v>
      </c>
      <c r="AM35" s="7">
        <v>22.641156144772239</v>
      </c>
      <c r="AN35" s="7">
        <v>-3.6411561447722391</v>
      </c>
      <c r="AO35" s="7">
        <v>4.1917364463458243E-2</v>
      </c>
      <c r="AP35" s="7">
        <v>-1.2127928346337891</v>
      </c>
      <c r="AQ35" s="7">
        <v>3.7854309026787501E-3</v>
      </c>
      <c r="AR35" s="7">
        <v>-1.8192221095957348</v>
      </c>
      <c r="AS35" s="7">
        <v>-1.2377760380844054</v>
      </c>
      <c r="AT35" s="7">
        <v>1.1012687386073343</v>
      </c>
      <c r="AU35" s="7">
        <v>-3.8004614734856697</v>
      </c>
    </row>
    <row r="36" spans="17:47" x14ac:dyDescent="0.25">
      <c r="Q36" s="14"/>
      <c r="R36" s="14"/>
      <c r="S36" s="14"/>
      <c r="T36" s="14"/>
      <c r="U36" s="14"/>
      <c r="V36" s="14"/>
      <c r="X36" t="str">
        <v>Origin: Europe</v>
      </c>
      <c r="Y36" s="7">
        <v>-0.12197684194985613</v>
      </c>
      <c r="Z36" s="7">
        <v>0.52750851256250852</v>
      </c>
      <c r="AA36" s="7">
        <v>-0.23123198781631443</v>
      </c>
      <c r="AB36" s="19">
        <v>0.8172606926747048</v>
      </c>
      <c r="AC36" s="7">
        <v>-1.1592221901112834</v>
      </c>
      <c r="AD36" s="7">
        <v>0.91526850621157108</v>
      </c>
      <c r="AE36" s="7">
        <v>-5.925153560440934E-3</v>
      </c>
      <c r="AH36" s="17" t="str" cm="1">
        <f t="array" ref="AH36">IF(ROW()-18&lt;=IFERROR(ROWS(_xlfn.ANCHORARRAY($AI$19)),0),INDEX(_xlfn.ANCHORARRAY($AI$19),ROW()-18),"")</f>
        <v/>
      </c>
      <c r="AK36" t="str">
        <v>plymouth satellite custom</v>
      </c>
      <c r="AL36" s="7">
        <v>16</v>
      </c>
      <c r="AM36" s="7">
        <v>18.484009744835557</v>
      </c>
      <c r="AN36" s="7">
        <v>-2.4840097448355571</v>
      </c>
      <c r="AO36" s="7">
        <v>4.0762584893143786E-2</v>
      </c>
      <c r="AP36" s="7">
        <v>-0.8268734431087178</v>
      </c>
      <c r="AQ36" s="7">
        <v>1.7090893677473593E-3</v>
      </c>
      <c r="AR36" s="7">
        <v>-1.3692588778592949</v>
      </c>
      <c r="AS36" s="7">
        <v>-1.2151675973963221</v>
      </c>
      <c r="AT36" s="7">
        <v>0.90932581790506628</v>
      </c>
      <c r="AU36" s="7">
        <v>-2.5895671975627073</v>
      </c>
    </row>
    <row r="37" spans="17:47" x14ac:dyDescent="0.25">
      <c r="Q37" s="14"/>
      <c r="R37" s="14"/>
      <c r="S37" s="14"/>
      <c r="T37" s="14"/>
      <c r="U37" s="14"/>
      <c r="V37" s="14"/>
      <c r="X37" t="str">
        <v>Origin: US</v>
      </c>
      <c r="Y37" s="7">
        <v>-2.0599416110989863</v>
      </c>
      <c r="Z37" s="7">
        <v>0.49646458927845077</v>
      </c>
      <c r="AA37" s="7">
        <v>-4.1492216274535387</v>
      </c>
      <c r="AB37" s="19">
        <v>4.1310663778078783E-5</v>
      </c>
      <c r="AC37" s="7">
        <v>-3.0361449774758</v>
      </c>
      <c r="AD37" s="7">
        <v>-1.0837382447221724</v>
      </c>
      <c r="AE37" s="7">
        <v>-0.12793573952028456</v>
      </c>
      <c r="AH37" s="17" t="str" cm="1">
        <f t="array" ref="AH37">IF(ROW()-18&lt;=IFERROR(ROWS(_xlfn.ANCHORARRAY($AI$19)),0),INDEX(_xlfn.ANCHORARRAY($AI$19),ROW()-18),"")</f>
        <v/>
      </c>
      <c r="AK37" t="str">
        <v>chevrolet chevelle malibu</v>
      </c>
      <c r="AL37" s="7">
        <v>17</v>
      </c>
      <c r="AM37" s="7">
        <v>19.122155962266103</v>
      </c>
      <c r="AN37" s="7">
        <v>-2.1221559622661026</v>
      </c>
      <c r="AO37" s="7">
        <v>4.0942536286414317E-2</v>
      </c>
      <c r="AP37" s="7">
        <v>-0.70648636894145489</v>
      </c>
      <c r="AQ37" s="7">
        <v>1.2533973309379685E-3</v>
      </c>
      <c r="AR37" s="7">
        <v>-1.3692588778592949</v>
      </c>
      <c r="AS37" s="7">
        <v>-1.2127928346337891</v>
      </c>
      <c r="AT37" s="7">
        <v>0.84052743497250282</v>
      </c>
      <c r="AU37" s="7">
        <v>-2.2127516260067042</v>
      </c>
    </row>
    <row r="38" spans="17:47"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v>19</v>
      </c>
      <c r="AM38" s="7">
        <v>19.453702505316752</v>
      </c>
      <c r="AN38" s="7">
        <v>-0.45370250531675183</v>
      </c>
      <c r="AO38" s="7">
        <v>4.5737615254886607E-2</v>
      </c>
      <c r="AP38" s="7">
        <v>-0.15142098901853462</v>
      </c>
      <c r="AQ38" s="7">
        <v>6.4644108034656565E-5</v>
      </c>
      <c r="AR38" s="7">
        <v>-1.3692588778592949</v>
      </c>
      <c r="AS38" s="7">
        <v>-1.2081383307454165</v>
      </c>
      <c r="AT38" s="7">
        <v>0.38912849936561394</v>
      </c>
      <c r="AU38" s="7">
        <v>-0.47544838041367127</v>
      </c>
    </row>
    <row r="39" spans="17:47"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M39" s="7">
        <v>19.32975165648589</v>
      </c>
      <c r="AN39" s="7">
        <v>-1.3297516564858896</v>
      </c>
      <c r="AO39" s="7">
        <v>4.045648501890594E-2</v>
      </c>
      <c r="AP39" s="7">
        <v>-0.44257513070662002</v>
      </c>
      <c r="AQ39" s="7">
        <v>4.8578999244009346E-4</v>
      </c>
      <c r="AR39" s="7">
        <v>-1.3692588778592949</v>
      </c>
      <c r="AS39" s="7">
        <v>-1.1982691301329909</v>
      </c>
      <c r="AT39" s="7">
        <v>0.66526320408288031</v>
      </c>
      <c r="AU39" s="7">
        <v>-1.3858169387055779</v>
      </c>
    </row>
    <row r="40" spans="17:47"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M40" s="7">
        <v>13.611075423983189</v>
      </c>
      <c r="AN40" s="7">
        <v>0.38892457601681052</v>
      </c>
      <c r="AO40" s="7">
        <v>4.490969346053824E-2</v>
      </c>
      <c r="AP40" s="7">
        <v>0.12974540077511315</v>
      </c>
      <c r="AQ40" s="7">
        <v>4.6561898072069656E-5</v>
      </c>
      <c r="AR40" s="7">
        <v>-1.3692588778592949</v>
      </c>
      <c r="AS40" s="7">
        <v>-1.1807393696594954</v>
      </c>
      <c r="AT40" s="7">
        <v>0.36020188891108434</v>
      </c>
      <c r="AU40" s="7">
        <v>0.40721235819677037</v>
      </c>
    </row>
    <row r="41" spans="17:47"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M41" s="7">
        <v>12.157567152593005</v>
      </c>
      <c r="AN41" s="7">
        <v>1.8424328474069949</v>
      </c>
      <c r="AO41" s="7">
        <v>4.8236454390409113E-2</v>
      </c>
      <c r="AP41" s="7">
        <v>0.61570961852167438</v>
      </c>
      <c r="AQ41" s="7">
        <v>1.1301842896385282E-3</v>
      </c>
      <c r="AR41" s="7">
        <v>-1.3692588778592949</v>
      </c>
      <c r="AS41" s="7">
        <v>-1.1692507528849174</v>
      </c>
      <c r="AT41" s="7">
        <v>0.78467166287669288</v>
      </c>
      <c r="AU41" s="7">
        <v>1.9358094307204665</v>
      </c>
    </row>
    <row r="42" spans="17:47"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M42" s="7">
        <v>14.084394636257104</v>
      </c>
      <c r="AN42" s="7">
        <v>-8.4394636257103528E-2</v>
      </c>
      <c r="AO42" s="7">
        <v>4.2572422246359647E-2</v>
      </c>
      <c r="AP42" s="7">
        <v>-2.8119699994223715E-2</v>
      </c>
      <c r="AQ42" s="7">
        <v>2.0682111384461643E-6</v>
      </c>
      <c r="AR42" s="7">
        <v>-1.3692588778592949</v>
      </c>
      <c r="AS42" s="7">
        <v>-1.1670319415810073</v>
      </c>
      <c r="AT42" s="7">
        <v>0.16768929600372146</v>
      </c>
      <c r="AU42" s="7">
        <v>-8.8147279458059918E-2</v>
      </c>
    </row>
    <row r="43" spans="17:47"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M43" s="7">
        <v>14.4267758897945</v>
      </c>
      <c r="AN43" s="7">
        <v>-0.42677588979450043</v>
      </c>
      <c r="AO43" s="7">
        <v>4.1929569462095764E-2</v>
      </c>
      <c r="AP43" s="7">
        <v>-0.14215101395795629</v>
      </c>
      <c r="AQ43" s="7">
        <v>5.2020433725499967E-5</v>
      </c>
      <c r="AR43" s="7">
        <v>-1.3692588778592949</v>
      </c>
      <c r="AS43" s="7">
        <v>-1.1524014899843342</v>
      </c>
      <c r="AT43" s="7">
        <v>0.37702919510026844</v>
      </c>
      <c r="AU43" s="7">
        <v>-0.4454535660336465</v>
      </c>
    </row>
    <row r="44" spans="17:47"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M44" s="7">
        <v>9.5902999718029793</v>
      </c>
      <c r="AN44" s="7">
        <v>2.4097000281970207</v>
      </c>
      <c r="AO44" s="7">
        <v>5.4827297260499556E-2</v>
      </c>
      <c r="AP44" s="7">
        <v>0.80808342930667132</v>
      </c>
      <c r="AQ44" s="7">
        <v>2.2281742354487285E-3</v>
      </c>
      <c r="AR44" s="7">
        <v>-1.3692588778592949</v>
      </c>
      <c r="AS44" s="7">
        <v>-1.1408976899843095</v>
      </c>
      <c r="AT44" s="7">
        <v>0.89893460791465318</v>
      </c>
      <c r="AU44" s="7">
        <v>2.5494811913343622</v>
      </c>
    </row>
    <row r="45" spans="17:47"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M45" s="7">
        <v>10.81089600089779</v>
      </c>
      <c r="AN45" s="7">
        <v>2.1891039991022101</v>
      </c>
      <c r="AO45" s="7">
        <v>5.0818250261889436E-2</v>
      </c>
      <c r="AP45" s="7">
        <v>0.73255545774192499</v>
      </c>
      <c r="AQ45" s="7">
        <v>1.690061169542192E-3</v>
      </c>
      <c r="AR45" s="7">
        <v>-1.3692588778592949</v>
      </c>
      <c r="AS45" s="7">
        <v>-1.1267405125615217</v>
      </c>
      <c r="AT45" s="7">
        <v>0.8558945365767473</v>
      </c>
      <c r="AU45" s="7">
        <v>2.306306457858263</v>
      </c>
    </row>
    <row r="46" spans="17:47"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M46" s="7">
        <v>8.7347698527740878</v>
      </c>
      <c r="AN46" s="7">
        <v>4.2652301472259122</v>
      </c>
      <c r="AO46" s="7">
        <v>6.0087439699154588E-2</v>
      </c>
      <c r="AP46" s="7">
        <v>1.4343249307838992</v>
      </c>
      <c r="AQ46" s="7">
        <v>7.7364623983457691E-3</v>
      </c>
      <c r="AR46" s="7">
        <v>-1.3692588778592949</v>
      </c>
      <c r="AS46" s="7">
        <v>-1.1208436092324714</v>
      </c>
      <c r="AT46" s="7">
        <v>1.1976330534783595</v>
      </c>
      <c r="AU46" s="7">
        <v>4.5379009999192963</v>
      </c>
    </row>
    <row r="47" spans="17:47"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M47" s="7">
        <v>20.818026271478537</v>
      </c>
      <c r="AN47" s="7">
        <v>-2.8180262714785371</v>
      </c>
      <c r="AO47" s="7">
        <v>3.9345147076828242E-2</v>
      </c>
      <c r="AP47" s="7">
        <v>-0.93736805879047014</v>
      </c>
      <c r="AQ47" s="7">
        <v>2.1168747955341571E-3</v>
      </c>
      <c r="AR47" s="7">
        <v>-1.3692588778592949</v>
      </c>
      <c r="AS47" s="7">
        <v>-1.1079659887017894</v>
      </c>
      <c r="AT47" s="7">
        <v>0.9681777000068067</v>
      </c>
      <c r="AU47" s="7">
        <v>-2.9334430184822149</v>
      </c>
    </row>
    <row r="48" spans="17:47"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M48" s="7">
        <v>24.240084212487776</v>
      </c>
      <c r="AN48" s="7">
        <v>-2.2400842124877762</v>
      </c>
      <c r="AO48" s="7">
        <v>4.4387571078158897E-2</v>
      </c>
      <c r="AP48" s="7">
        <v>-0.74708884873176218</v>
      </c>
      <c r="AQ48" s="7">
        <v>1.5250187306289781E-3</v>
      </c>
      <c r="AR48" s="7">
        <v>-1.3692588778592949</v>
      </c>
      <c r="AS48" s="7">
        <v>-1.0776013794312584</v>
      </c>
      <c r="AT48" s="7">
        <v>0.86434301566667515</v>
      </c>
      <c r="AU48" s="7">
        <v>-2.344134656154615</v>
      </c>
    </row>
    <row r="49" spans="17:47"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M49" s="7">
        <v>19.36013151417659</v>
      </c>
      <c r="AN49" s="7">
        <v>-0.36013151417659017</v>
      </c>
      <c r="AO49" s="7">
        <v>4.0391072118825221E-2</v>
      </c>
      <c r="AP49" s="7">
        <v>-0.119856830968657</v>
      </c>
      <c r="AQ49" s="7">
        <v>3.5568681059557331E-5</v>
      </c>
      <c r="AR49" s="7">
        <v>-1.3692588778592949</v>
      </c>
      <c r="AS49" s="7">
        <v>-1.0767196379396311</v>
      </c>
      <c r="AT49" s="7">
        <v>0.34620345314375045</v>
      </c>
      <c r="AU49" s="7">
        <v>-0.37528987456563562</v>
      </c>
    </row>
    <row r="50" spans="17:47"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M50" s="7">
        <v>20.279021972580779</v>
      </c>
      <c r="AN50" s="7">
        <v>-2.2790219725807788</v>
      </c>
      <c r="AO50" s="7">
        <v>4.2955679782943249E-2</v>
      </c>
      <c r="AP50" s="7">
        <v>-0.75950614299184738</v>
      </c>
      <c r="AQ50" s="7">
        <v>1.5230080763382213E-3</v>
      </c>
      <c r="AR50" s="7">
        <v>-1.3692588778592949</v>
      </c>
      <c r="AS50" s="7">
        <v>-1.0639613519924846</v>
      </c>
      <c r="AT50" s="7">
        <v>0.87149649625907699</v>
      </c>
      <c r="AU50" s="7">
        <v>-2.3813128863916133</v>
      </c>
    </row>
    <row r="51" spans="17:47"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M51" s="7">
        <v>24.964676372780147</v>
      </c>
      <c r="AN51" s="7">
        <v>-1.9646763727801471</v>
      </c>
      <c r="AO51" s="7">
        <v>4.6967075740257901E-2</v>
      </c>
      <c r="AP51" s="7">
        <v>-0.65612392430107436</v>
      </c>
      <c r="AQ51" s="7">
        <v>1.2479823486709657E-3</v>
      </c>
      <c r="AR51" s="7">
        <v>-1.3692588778592949</v>
      </c>
      <c r="AS51" s="7">
        <v>-1.0306011185079671</v>
      </c>
      <c r="AT51" s="7">
        <v>0.81001476795245797</v>
      </c>
      <c r="AU51" s="7">
        <v>-2.0614989501083483</v>
      </c>
    </row>
    <row r="52" spans="17:47"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M52" s="7">
        <v>27.328836446781434</v>
      </c>
      <c r="AN52" s="7">
        <v>0.67116355321856602</v>
      </c>
      <c r="AO52" s="7">
        <v>5.4491719512995432E-2</v>
      </c>
      <c r="AP52" s="7">
        <v>0.22503211391071432</v>
      </c>
      <c r="AQ52" s="7">
        <v>1.7167428775597299E-4</v>
      </c>
      <c r="AR52" s="7">
        <v>-1.3692588778592949</v>
      </c>
      <c r="AS52" s="7">
        <v>-1.0254466826344892</v>
      </c>
      <c r="AT52" s="7">
        <v>0.47437549885161051</v>
      </c>
      <c r="AU52" s="7">
        <v>0.70984418335592858</v>
      </c>
    </row>
    <row r="53" spans="17:47"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M53" s="7">
        <v>27.90166725699298</v>
      </c>
      <c r="AN53" s="7">
        <v>2.0983327430070204</v>
      </c>
      <c r="AO53" s="7">
        <v>5.0904856771056842E-2</v>
      </c>
      <c r="AP53" s="7">
        <v>0.70221206283556825</v>
      </c>
      <c r="AQ53" s="7">
        <v>1.5557403605267906E-3</v>
      </c>
      <c r="AR53" s="7">
        <v>-1.3692588778592949</v>
      </c>
      <c r="AS53" s="7">
        <v>-1.0214074988536541</v>
      </c>
      <c r="AT53" s="7">
        <v>0.83798094419596936</v>
      </c>
      <c r="AU53" s="7">
        <v>2.2108771264682945</v>
      </c>
    </row>
    <row r="54" spans="17:47"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M54" s="7">
        <v>27.849818451807788</v>
      </c>
      <c r="AN54" s="7">
        <v>2.1501815481922115</v>
      </c>
      <c r="AO54" s="7">
        <v>5.1536941571397543E-2</v>
      </c>
      <c r="AP54" s="7">
        <v>0.71980311888979953</v>
      </c>
      <c r="AQ54" s="7">
        <v>1.6560625973104767E-3</v>
      </c>
      <c r="AR54" s="7">
        <v>-1.3692588778592949</v>
      </c>
      <c r="AS54" s="7">
        <v>-1.0101337973139408</v>
      </c>
      <c r="AT54" s="7">
        <v>0.84841211618517065</v>
      </c>
      <c r="AU54" s="7">
        <v>2.2670166529781306</v>
      </c>
    </row>
    <row r="55" spans="17:47"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M55" s="7">
        <v>29.62888245286068</v>
      </c>
      <c r="AN55" s="7">
        <v>1.3711175471393204</v>
      </c>
      <c r="AO55" s="7">
        <v>5.1440861703403784E-2</v>
      </c>
      <c r="AP55" s="7">
        <v>0.45897738397457388</v>
      </c>
      <c r="AQ55" s="7">
        <v>6.7201268951934195E-4</v>
      </c>
      <c r="AR55" s="7">
        <v>-1.1080108204698569</v>
      </c>
      <c r="AS55" s="7">
        <v>-1.0076315540428575</v>
      </c>
      <c r="AT55" s="7">
        <v>0.67747869632526003</v>
      </c>
      <c r="AU55" s="7">
        <v>1.4454739739280213</v>
      </c>
    </row>
    <row r="56" spans="17:47"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M56" s="7">
        <v>30.374066263465199</v>
      </c>
      <c r="AN56" s="7">
        <v>4.625933736534801</v>
      </c>
      <c r="AO56" s="7">
        <v>5.3281992204502804E-2</v>
      </c>
      <c r="AP56" s="7">
        <v>1.5500221062846573</v>
      </c>
      <c r="AQ56" s="7">
        <v>7.9540200138242968E-3</v>
      </c>
      <c r="AR56" s="7">
        <v>-1.0962733150227</v>
      </c>
      <c r="AS56" s="7">
        <v>-1.0042751043337586</v>
      </c>
      <c r="AT56" s="7">
        <v>1.2449988378647818</v>
      </c>
      <c r="AU56" s="7">
        <v>4.8862847209451834</v>
      </c>
    </row>
    <row r="57" spans="17:47"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M57" s="7">
        <v>29.279225884156411</v>
      </c>
      <c r="AN57" s="7">
        <v>-2.2792258841564106</v>
      </c>
      <c r="AO57" s="7">
        <v>5.2154473018058457E-2</v>
      </c>
      <c r="AP57" s="7">
        <v>-0.76325101320992295</v>
      </c>
      <c r="AQ57" s="7">
        <v>1.8855578190512155E-3</v>
      </c>
      <c r="AR57" s="7">
        <v>-1.0962733150227</v>
      </c>
      <c r="AS57" s="7">
        <v>-0.97713360215342948</v>
      </c>
      <c r="AT57" s="7">
        <v>0.87364238290614249</v>
      </c>
      <c r="AU57" s="7">
        <v>-2.4046385400095205</v>
      </c>
    </row>
    <row r="58" spans="17:47"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M58" s="7">
        <v>26.566236332042742</v>
      </c>
      <c r="AN58" s="7">
        <v>-0.56623633204274171</v>
      </c>
      <c r="AO58" s="7">
        <v>5.0200126232252701E-2</v>
      </c>
      <c r="AP58" s="7">
        <v>-0.18942202796255866</v>
      </c>
      <c r="AQ58" s="7">
        <v>1.1155389639298558E-4</v>
      </c>
      <c r="AR58" s="7">
        <v>-1.0962733150227</v>
      </c>
      <c r="AS58" s="7">
        <v>-0.97305252208919468</v>
      </c>
      <c r="AT58" s="7">
        <v>0.43522641000122991</v>
      </c>
      <c r="AU58" s="7">
        <v>-0.59616383164649944</v>
      </c>
    </row>
    <row r="59" spans="17:47"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M59" s="7">
        <v>25.328456204078385</v>
      </c>
      <c r="AN59" s="7">
        <v>-1.3284562040783854</v>
      </c>
      <c r="AO59" s="7">
        <v>4.812672986947801E-2</v>
      </c>
      <c r="AP59" s="7">
        <v>-0.44392180663234571</v>
      </c>
      <c r="AQ59" s="7">
        <v>5.8609937575260836E-4</v>
      </c>
      <c r="AR59" s="7">
        <v>-1.0962733150227</v>
      </c>
      <c r="AS59" s="7">
        <v>-0.95975295748031186</v>
      </c>
      <c r="AT59" s="7">
        <v>0.66627457300451265</v>
      </c>
      <c r="AU59" s="7">
        <v>-1.3956229739450776</v>
      </c>
    </row>
    <row r="60" spans="17:47"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M60" s="7">
        <v>24.28168413378026</v>
      </c>
      <c r="AN60" s="7">
        <v>0.71831586621973997</v>
      </c>
      <c r="AO60" s="7">
        <v>5.0955596766720554E-2</v>
      </c>
      <c r="AP60" s="7">
        <v>0.24039254577346184</v>
      </c>
      <c r="AQ60" s="7">
        <v>1.8251494497609693E-4</v>
      </c>
      <c r="AR60" s="7">
        <v>-1.0962733150227</v>
      </c>
      <c r="AS60" s="7">
        <v>-0.95733088971303293</v>
      </c>
      <c r="AT60" s="7">
        <v>0.49029842522025485</v>
      </c>
      <c r="AU60" s="7">
        <v>0.75688330680052984</v>
      </c>
    </row>
    <row r="61" spans="17:47"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M61" s="7">
        <v>25.993692502986516</v>
      </c>
      <c r="AN61" s="7">
        <v>-2.9936925029865158</v>
      </c>
      <c r="AO61" s="7">
        <v>5.5489928772256662E-2</v>
      </c>
      <c r="AP61" s="7">
        <v>-1.0042751043337586</v>
      </c>
      <c r="AQ61" s="7">
        <v>3.4854916482902278E-3</v>
      </c>
      <c r="AR61" s="7">
        <v>-1.0962733150227</v>
      </c>
      <c r="AS61" s="7">
        <v>-0.9474999235105962</v>
      </c>
      <c r="AT61" s="7">
        <v>1.0021352724726131</v>
      </c>
      <c r="AU61" s="7">
        <v>-3.1695718173709837</v>
      </c>
    </row>
    <row r="62" spans="17:47"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M62" s="7">
        <v>22.691466502781925</v>
      </c>
      <c r="AN62" s="7">
        <v>-2.6914665027819247</v>
      </c>
      <c r="AO62" s="7">
        <v>4.618302958520222E-2</v>
      </c>
      <c r="AP62" s="7">
        <v>-0.8984734746582822</v>
      </c>
      <c r="AQ62" s="7">
        <v>2.2992117628888448E-3</v>
      </c>
      <c r="AR62" s="7">
        <v>-1.0962733150227</v>
      </c>
      <c r="AS62" s="7">
        <v>-0.93736805879047014</v>
      </c>
      <c r="AT62" s="7">
        <v>0.94787840710625015</v>
      </c>
      <c r="AU62" s="7">
        <v>-2.8217850869349226</v>
      </c>
    </row>
    <row r="63" spans="17:47" x14ac:dyDescent="0.25">
      <c r="AK63" t="str">
        <v>ford pinto runabout</v>
      </c>
      <c r="AL63" s="7">
        <v>21</v>
      </c>
      <c r="AM63" s="7">
        <v>23.677934580547344</v>
      </c>
      <c r="AN63" s="7">
        <v>-2.677934580547344</v>
      </c>
      <c r="AO63" s="7">
        <v>4.93615349739061E-2</v>
      </c>
      <c r="AP63" s="7">
        <v>-0.89544945314468549</v>
      </c>
      <c r="AQ63" s="7">
        <v>2.4490999147277915E-3</v>
      </c>
      <c r="AR63" s="7">
        <v>-1.0962733150227</v>
      </c>
      <c r="AS63" s="7">
        <v>-0.9317689403765218</v>
      </c>
      <c r="AT63" s="7">
        <v>0.94628190997434025</v>
      </c>
      <c r="AU63" s="7">
        <v>-2.8169852988999744</v>
      </c>
    </row>
    <row r="64" spans="17:47" x14ac:dyDescent="0.25">
      <c r="AK64" t="str">
        <v>chevrolet impala</v>
      </c>
      <c r="AL64" s="7">
        <v>13</v>
      </c>
      <c r="AM64" s="7">
        <v>12.025598364458494</v>
      </c>
      <c r="AN64" s="7">
        <v>0.97440163554150594</v>
      </c>
      <c r="AO64" s="7">
        <v>4.0564604334394488E-2</v>
      </c>
      <c r="AP64" s="7">
        <v>0.32432388942401408</v>
      </c>
      <c r="AQ64" s="7">
        <v>2.6160164199702187E-4</v>
      </c>
      <c r="AR64" s="7">
        <v>-1.0962733150227</v>
      </c>
      <c r="AS64" s="7">
        <v>-0.92704752263459622</v>
      </c>
      <c r="AT64" s="7">
        <v>0.56949441562144754</v>
      </c>
      <c r="AU64" s="7">
        <v>1.0155990074407435</v>
      </c>
    </row>
    <row r="65" spans="37:47" x14ac:dyDescent="0.25">
      <c r="AK65" t="str">
        <v>pontiac catalina</v>
      </c>
      <c r="AL65" s="7">
        <v>14</v>
      </c>
      <c r="AM65" s="7">
        <v>11.301206677645121</v>
      </c>
      <c r="AN65" s="7">
        <v>2.698793322354879</v>
      </c>
      <c r="AO65" s="7">
        <v>4.2648578571305377E-2</v>
      </c>
      <c r="AP65" s="7">
        <v>0.89925474334883049</v>
      </c>
      <c r="AQ65" s="7">
        <v>2.1190915902930527E-3</v>
      </c>
      <c r="AR65" s="7">
        <v>-1.0962733150227</v>
      </c>
      <c r="AS65" s="7">
        <v>-0.91766871471414591</v>
      </c>
      <c r="AT65" s="7">
        <v>0.94829043196102658</v>
      </c>
      <c r="AU65" s="7">
        <v>2.819020541409297</v>
      </c>
    </row>
    <row r="66" spans="37:47" x14ac:dyDescent="0.25">
      <c r="AK66" t="str">
        <v>plymouth fury iii</v>
      </c>
      <c r="AL66" s="7">
        <v>15</v>
      </c>
      <c r="AM66" s="7">
        <v>12.972944880262842</v>
      </c>
      <c r="AN66" s="7">
        <v>2.0270551197371578</v>
      </c>
      <c r="AO66" s="7">
        <v>3.9159162685000928E-2</v>
      </c>
      <c r="AP66" s="7">
        <v>0.6741998247581702</v>
      </c>
      <c r="AQ66" s="7">
        <v>1.0897083862935067E-3</v>
      </c>
      <c r="AR66" s="7">
        <v>-1.0962733150227</v>
      </c>
      <c r="AS66" s="7">
        <v>-0.9031170962155961</v>
      </c>
      <c r="AT66" s="7">
        <v>0.82109672070844986</v>
      </c>
      <c r="AU66" s="7">
        <v>2.1096679502107949</v>
      </c>
    </row>
    <row r="67" spans="37:47" x14ac:dyDescent="0.25">
      <c r="AK67" t="str">
        <v>ford galaxie 500</v>
      </c>
      <c r="AL67" s="7">
        <v>14</v>
      </c>
      <c r="AM67" s="7">
        <v>12.954615442092917</v>
      </c>
      <c r="AN67" s="7">
        <v>1.0453845579070826</v>
      </c>
      <c r="AO67" s="7">
        <v>3.9029459660414413E-2</v>
      </c>
      <c r="AP67" s="7">
        <v>0.34767210505293855</v>
      </c>
      <c r="AQ67" s="7">
        <v>2.8878407312035926E-4</v>
      </c>
      <c r="AR67" s="7">
        <v>-1.0962733150227</v>
      </c>
      <c r="AS67" s="7">
        <v>-0.8984734746582822</v>
      </c>
      <c r="AT67" s="7">
        <v>0.5896372656582507</v>
      </c>
      <c r="AU67" s="7">
        <v>1.0878424613700093</v>
      </c>
    </row>
    <row r="68" spans="37:47" x14ac:dyDescent="0.25">
      <c r="AK68" t="str">
        <v>amc ambassador sst</v>
      </c>
      <c r="AL68" s="7">
        <v>17</v>
      </c>
      <c r="AM68" s="7">
        <v>15.317257232061893</v>
      </c>
      <c r="AN68" s="7">
        <v>1.6827427679381071</v>
      </c>
      <c r="AO68" s="7">
        <v>3.9309167670658646E-2</v>
      </c>
      <c r="AP68" s="7">
        <v>0.55972501051096391</v>
      </c>
      <c r="AQ68" s="7">
        <v>7.540683395695733E-4</v>
      </c>
      <c r="AR68" s="7">
        <v>-1.0962733150227</v>
      </c>
      <c r="AS68" s="7">
        <v>-0.89544945314468549</v>
      </c>
      <c r="AT68" s="7">
        <v>0.74814771971246685</v>
      </c>
      <c r="AU68" s="7">
        <v>1.7515965712486719</v>
      </c>
    </row>
    <row r="69" spans="37:47" x14ac:dyDescent="0.25">
      <c r="AK69" t="str">
        <v>mercury marquis</v>
      </c>
      <c r="AL69" s="7">
        <v>11</v>
      </c>
      <c r="AM69" s="7">
        <v>9.5097036386293095</v>
      </c>
      <c r="AN69" s="7">
        <v>1.4902963613706905</v>
      </c>
      <c r="AO69" s="7">
        <v>5.6427203997578376E-2</v>
      </c>
      <c r="AP69" s="7">
        <v>0.50018854209738339</v>
      </c>
      <c r="AQ69" s="7">
        <v>8.8009930219651864E-4</v>
      </c>
      <c r="AR69" s="7">
        <v>-1.0962733150227</v>
      </c>
      <c r="AS69" s="7">
        <v>-0.88698134092906389</v>
      </c>
      <c r="AT69" s="7">
        <v>0.70724008801635629</v>
      </c>
      <c r="AU69" s="7">
        <v>1.5794185331376021</v>
      </c>
    </row>
    <row r="70" spans="37:47" x14ac:dyDescent="0.25">
      <c r="AK70" t="str">
        <v>buick lesabre custom</v>
      </c>
      <c r="AL70" s="7">
        <v>13</v>
      </c>
      <c r="AM70" s="7">
        <v>11.033528091747291</v>
      </c>
      <c r="AN70" s="7">
        <v>1.9664719082527089</v>
      </c>
      <c r="AO70" s="7">
        <v>4.3819711275624673E-2</v>
      </c>
      <c r="AP70" s="7">
        <v>0.6556418348632248</v>
      </c>
      <c r="AQ70" s="7">
        <v>1.158815025469532E-3</v>
      </c>
      <c r="AR70" s="7">
        <v>-1.0962733150227</v>
      </c>
      <c r="AS70" s="7">
        <v>-0.87909939485507615</v>
      </c>
      <c r="AT70" s="7">
        <v>0.80971713262300726</v>
      </c>
      <c r="AU70" s="7">
        <v>2.0565911381379207</v>
      </c>
    </row>
    <row r="71" spans="37:47" x14ac:dyDescent="0.25">
      <c r="AK71" t="str">
        <v>oldsmobile delta 88 royale</v>
      </c>
      <c r="AL71" s="7">
        <v>12</v>
      </c>
      <c r="AM71" s="7">
        <v>11.185258174274955</v>
      </c>
      <c r="AN71" s="7">
        <v>0.81474182572504539</v>
      </c>
      <c r="AO71" s="7">
        <v>4.2181857106601633E-2</v>
      </c>
      <c r="AP71" s="7">
        <v>0.27141090048237276</v>
      </c>
      <c r="AQ71" s="7">
        <v>1.9083071939234706E-4</v>
      </c>
      <c r="AR71" s="7">
        <v>-1.0962733150227</v>
      </c>
      <c r="AS71" s="7">
        <v>-0.87855079557956517</v>
      </c>
      <c r="AT71" s="7">
        <v>0.52097111290586229</v>
      </c>
      <c r="AU71" s="7">
        <v>0.85062266962688249</v>
      </c>
    </row>
    <row r="72" spans="37:47" x14ac:dyDescent="0.25">
      <c r="AK72" t="str">
        <v>chrysler newport royal</v>
      </c>
      <c r="AL72" s="7">
        <v>13</v>
      </c>
      <c r="AM72" s="7">
        <v>10.870317742582683</v>
      </c>
      <c r="AN72" s="7">
        <v>2.1296822574173166</v>
      </c>
      <c r="AO72" s="7">
        <v>4.8030921024309239E-2</v>
      </c>
      <c r="AP72" s="7">
        <v>0.71162663600437204</v>
      </c>
      <c r="AQ72" s="7">
        <v>1.5029811765241736E-3</v>
      </c>
      <c r="AR72" s="7">
        <v>-0.92571937406474636</v>
      </c>
      <c r="AS72" s="7">
        <v>-0.87508847543411206</v>
      </c>
      <c r="AT72" s="7">
        <v>0.84357965599246887</v>
      </c>
      <c r="AU72" s="7">
        <v>2.2371338570248875</v>
      </c>
    </row>
    <row r="73" spans="37:47" x14ac:dyDescent="0.25">
      <c r="AK73" t="str">
        <v>mazda rx2 coupe</v>
      </c>
      <c r="AL73" s="7">
        <v>19</v>
      </c>
      <c r="AM73" s="7">
        <v>25.03269124018523</v>
      </c>
      <c r="AN73" s="7">
        <v>-6.0326912401852297</v>
      </c>
      <c r="AO73" s="7">
        <v>4.7965750122984138E-2</v>
      </c>
      <c r="AP73" s="7">
        <v>-2.0157358299478263</v>
      </c>
      <c r="AQ73" s="7">
        <v>1.2041954383457973E-2</v>
      </c>
      <c r="AR73" s="7">
        <v>-0.92571937406474636</v>
      </c>
      <c r="AS73" s="7">
        <v>-0.86006936817939161</v>
      </c>
      <c r="AT73" s="7">
        <v>1.4197661180447385</v>
      </c>
      <c r="AU73" s="7">
        <v>-6.336632574893744</v>
      </c>
    </row>
    <row r="74" spans="37:47" x14ac:dyDescent="0.25">
      <c r="AK74" t="str">
        <v>amc matador (sw)</v>
      </c>
      <c r="AL74" s="7">
        <v>15</v>
      </c>
      <c r="AM74" s="7">
        <v>14.203329116736208</v>
      </c>
      <c r="AN74" s="7">
        <v>0.79667088326379165</v>
      </c>
      <c r="AO74" s="7">
        <v>3.8154178376464405E-2</v>
      </c>
      <c r="AP74" s="7">
        <v>0.26483477874394723</v>
      </c>
      <c r="AQ74" s="7">
        <v>1.6365819459319866E-4</v>
      </c>
      <c r="AR74" s="7">
        <v>-0.92571937406474636</v>
      </c>
      <c r="AS74" s="7">
        <v>-0.85847137129504036</v>
      </c>
      <c r="AT74" s="7">
        <v>0.51462100495796637</v>
      </c>
      <c r="AU74" s="7">
        <v>0.82827295742581797</v>
      </c>
    </row>
    <row r="75" spans="37:47" x14ac:dyDescent="0.25">
      <c r="AK75" t="str">
        <v>chevrolet chevelle concours (sw)</v>
      </c>
      <c r="AL75" s="7">
        <v>13</v>
      </c>
      <c r="AM75" s="7">
        <v>13.485015975092979</v>
      </c>
      <c r="AN75" s="7">
        <v>-0.48501597509297945</v>
      </c>
      <c r="AO75" s="7">
        <v>4.3315666055294896E-2</v>
      </c>
      <c r="AP75" s="7">
        <v>-0.16166667853581004</v>
      </c>
      <c r="AQ75" s="7">
        <v>6.9609488850078151E-5</v>
      </c>
      <c r="AR75" s="7">
        <v>-0.92571937406474636</v>
      </c>
      <c r="AS75" s="7">
        <v>-0.84358082508022647</v>
      </c>
      <c r="AT75" s="7">
        <v>0.40207795082024833</v>
      </c>
      <c r="AU75" s="7">
        <v>-0.50697597722031129</v>
      </c>
    </row>
    <row r="76" spans="37:47" x14ac:dyDescent="0.25">
      <c r="AK76" t="str">
        <v>ford gran torino (sw)</v>
      </c>
      <c r="AL76" s="7">
        <v>13</v>
      </c>
      <c r="AM76" s="7">
        <v>12.330242970994684</v>
      </c>
      <c r="AN76" s="7">
        <v>0.66975702900531608</v>
      </c>
      <c r="AO76" s="7">
        <v>4.3819711639490791E-2</v>
      </c>
      <c r="AP76" s="7">
        <v>0.22330383955665867</v>
      </c>
      <c r="AQ76" s="7">
        <v>1.3442287771775845E-4</v>
      </c>
      <c r="AR76" s="7">
        <v>-0.92571937406474636</v>
      </c>
      <c r="AS76" s="7">
        <v>-0.82893417664067315</v>
      </c>
      <c r="AT76" s="7">
        <v>0.47255035663583905</v>
      </c>
      <c r="AU76" s="7">
        <v>0.70045057104628083</v>
      </c>
    </row>
    <row r="77" spans="37:47" x14ac:dyDescent="0.25">
      <c r="AK77" t="str">
        <v>plymouth satellite custom (sw)</v>
      </c>
      <c r="AL77" s="7">
        <v>14</v>
      </c>
      <c r="AM77" s="7">
        <v>13.266616837939614</v>
      </c>
      <c r="AN77" s="7">
        <v>0.73338316206038634</v>
      </c>
      <c r="AO77" s="7">
        <v>3.8701777045903059E-2</v>
      </c>
      <c r="AP77" s="7">
        <v>0.24386567077228774</v>
      </c>
      <c r="AQ77" s="7">
        <v>1.4083972970042332E-4</v>
      </c>
      <c r="AR77" s="7">
        <v>-0.87770829679608253</v>
      </c>
      <c r="AS77" s="7">
        <v>-0.8268734431087178</v>
      </c>
      <c r="AT77" s="7">
        <v>0.49382757190368354</v>
      </c>
      <c r="AU77" s="7">
        <v>0.76290909995306022</v>
      </c>
    </row>
    <row r="78" spans="37:47" x14ac:dyDescent="0.25">
      <c r="AK78" t="str">
        <v>volvo 145e (sw)</v>
      </c>
      <c r="AL78" s="7">
        <v>18</v>
      </c>
      <c r="AM78" s="7">
        <v>21.613992221016861</v>
      </c>
      <c r="AN78" s="7">
        <v>-3.6139922210168614</v>
      </c>
      <c r="AO78" s="7">
        <v>4.8872568958417593E-2</v>
      </c>
      <c r="AP78" s="7">
        <v>-1.2081383307454165</v>
      </c>
      <c r="AQ78" s="7">
        <v>4.4117497165024064E-3</v>
      </c>
      <c r="AR78" s="7">
        <v>-0.87770829679608253</v>
      </c>
      <c r="AS78" s="7">
        <v>-0.82281965858508455</v>
      </c>
      <c r="AT78" s="7">
        <v>1.0991534609623064</v>
      </c>
      <c r="AU78" s="7">
        <v>-3.7996929781103761</v>
      </c>
    </row>
    <row r="79" spans="37:47" x14ac:dyDescent="0.25">
      <c r="AK79" t="str">
        <v>volkswagen 411 (sw)</v>
      </c>
      <c r="AL79" s="7">
        <v>22</v>
      </c>
      <c r="AM79" s="7">
        <v>24.335220428923613</v>
      </c>
      <c r="AN79" s="7">
        <v>-2.3352204289236127</v>
      </c>
      <c r="AO79" s="7">
        <v>4.996481696967215E-2</v>
      </c>
      <c r="AP79" s="7">
        <v>-0.78110036437009756</v>
      </c>
      <c r="AQ79" s="7">
        <v>1.8875104784440995E-3</v>
      </c>
      <c r="AR79" s="7">
        <v>-0.87770829679608253</v>
      </c>
      <c r="AS79" s="7">
        <v>-0.81252205315322645</v>
      </c>
      <c r="AT79" s="7">
        <v>0.88379882573473556</v>
      </c>
      <c r="AU79" s="7">
        <v>-2.4580357345029671</v>
      </c>
    </row>
    <row r="80" spans="37:47" x14ac:dyDescent="0.25">
      <c r="AK80" t="str">
        <v>peugeot 504 (sw)</v>
      </c>
      <c r="AL80" s="7">
        <v>21</v>
      </c>
      <c r="AM80" s="7">
        <v>21.786990777560018</v>
      </c>
      <c r="AN80" s="7">
        <v>-0.78699077756001756</v>
      </c>
      <c r="AO80" s="7">
        <v>5.286145261151471E-2</v>
      </c>
      <c r="AP80" s="7">
        <v>-0.26364023528520003</v>
      </c>
      <c r="AQ80" s="7">
        <v>2.2819180345161848E-4</v>
      </c>
      <c r="AR80" s="7">
        <v>-0.87770829679608253</v>
      </c>
      <c r="AS80" s="7">
        <v>-0.80833512211099245</v>
      </c>
      <c r="AT80" s="7">
        <v>0.51345908822923758</v>
      </c>
      <c r="AU80" s="7">
        <v>-0.83091410409803512</v>
      </c>
    </row>
    <row r="81" spans="37:47" x14ac:dyDescent="0.25">
      <c r="AK81" t="str">
        <v>renault 12 (sw)</v>
      </c>
      <c r="AL81" s="7">
        <v>26</v>
      </c>
      <c r="AM81" s="7">
        <v>26.079261148665992</v>
      </c>
      <c r="AN81" s="7">
        <v>-7.9261148665992209E-2</v>
      </c>
      <c r="AO81" s="7">
        <v>5.0003897923478341E-2</v>
      </c>
      <c r="AP81" s="7">
        <v>-2.6512351797492825E-2</v>
      </c>
      <c r="AQ81" s="7">
        <v>2.1763544257762724E-6</v>
      </c>
      <c r="AR81" s="7">
        <v>-0.87770829679608253</v>
      </c>
      <c r="AS81" s="7">
        <v>-0.7960497214769402</v>
      </c>
      <c r="AT81" s="7">
        <v>0.16282613978564014</v>
      </c>
      <c r="AU81" s="7">
        <v>-8.3433130402052719E-2</v>
      </c>
    </row>
    <row r="82" spans="37:47" x14ac:dyDescent="0.25">
      <c r="AK82" t="str">
        <v>ford pinto (sw)</v>
      </c>
      <c r="AL82" s="7">
        <v>22</v>
      </c>
      <c r="AM82" s="7">
        <v>22.822235255592613</v>
      </c>
      <c r="AN82" s="7">
        <v>-0.8222352555926129</v>
      </c>
      <c r="AO82" s="7">
        <v>4.6305603284802668E-2</v>
      </c>
      <c r="AP82" s="7">
        <v>-0.2744986939956594</v>
      </c>
      <c r="AQ82" s="7">
        <v>2.1520678488999738E-4</v>
      </c>
      <c r="AR82" s="7">
        <v>-0.87770829679608253</v>
      </c>
      <c r="AS82" s="7">
        <v>-0.78933938116930435</v>
      </c>
      <c r="AT82" s="7">
        <v>0.52392622953585688</v>
      </c>
      <c r="AU82" s="7">
        <v>-0.86215800200214221</v>
      </c>
    </row>
    <row r="83" spans="37:47" x14ac:dyDescent="0.25">
      <c r="AK83" t="str">
        <v>datsun 510 (sw)</v>
      </c>
      <c r="AL83" s="7">
        <v>28</v>
      </c>
      <c r="AM83" s="7">
        <v>25.326532403787837</v>
      </c>
      <c r="AN83" s="7">
        <v>2.6734675962121628</v>
      </c>
      <c r="AO83" s="7">
        <v>4.794178277891481E-2</v>
      </c>
      <c r="AP83" s="7">
        <v>0.89328897781380623</v>
      </c>
      <c r="AQ83" s="7">
        <v>2.3636637964117818E-3</v>
      </c>
      <c r="AR83" s="7">
        <v>-0.87770829679608253</v>
      </c>
      <c r="AS83" s="7">
        <v>-0.78110036437009756</v>
      </c>
      <c r="AT83" s="7">
        <v>0.94513966048082343</v>
      </c>
      <c r="AU83" s="7">
        <v>2.8080925597340181</v>
      </c>
    </row>
    <row r="84" spans="37:47" x14ac:dyDescent="0.25">
      <c r="AK84" t="str">
        <v>toyouta corona mark ii (sw)</v>
      </c>
      <c r="AL84" s="7">
        <v>23</v>
      </c>
      <c r="AM84" s="7">
        <v>24.141548747924681</v>
      </c>
      <c r="AN84" s="7">
        <v>-1.1415487479246806</v>
      </c>
      <c r="AO84" s="7">
        <v>4.7582585184613516E-2</v>
      </c>
      <c r="AP84" s="7">
        <v>-0.38135513775663438</v>
      </c>
      <c r="AQ84" s="7">
        <v>4.2739652627326973E-4</v>
      </c>
      <c r="AR84" s="7">
        <v>-0.87770829679608253</v>
      </c>
      <c r="AS84" s="7">
        <v>-0.77256397256164122</v>
      </c>
      <c r="AT84" s="7">
        <v>0.6175395839593073</v>
      </c>
      <c r="AU84" s="7">
        <v>-1.1985802970076465</v>
      </c>
    </row>
    <row r="85" spans="37:47" x14ac:dyDescent="0.25">
      <c r="AK85" t="str">
        <v>dodge colt (sw)</v>
      </c>
      <c r="AL85" s="7">
        <v>28</v>
      </c>
      <c r="AM85" s="7">
        <v>24.089278368405822</v>
      </c>
      <c r="AN85" s="7">
        <v>3.9107216315941784</v>
      </c>
      <c r="AO85" s="7">
        <v>5.0180308887671402E-2</v>
      </c>
      <c r="AP85" s="7">
        <v>1.3082330687569519</v>
      </c>
      <c r="AQ85" s="7">
        <v>5.3187978632043709E-3</v>
      </c>
      <c r="AR85" s="7">
        <v>-0.87770829679608253</v>
      </c>
      <c r="AS85" s="7">
        <v>-0.76844520954536311</v>
      </c>
      <c r="AT85" s="7">
        <v>1.1437801662718898</v>
      </c>
      <c r="AU85" s="7">
        <v>4.1173305504062085</v>
      </c>
    </row>
    <row r="86" spans="37:47" x14ac:dyDescent="0.25">
      <c r="AK86" t="str">
        <v>toyota corolla 1600 (sw)</v>
      </c>
      <c r="AL86" s="7">
        <v>27</v>
      </c>
      <c r="AM86" s="7">
        <v>26.343380339243957</v>
      </c>
      <c r="AN86" s="7">
        <v>0.65661966075604283</v>
      </c>
      <c r="AO86" s="7">
        <v>4.8924810565100008E-2</v>
      </c>
      <c r="AP86" s="7">
        <v>0.21951048018534694</v>
      </c>
      <c r="AQ86" s="7">
        <v>1.4580616877093663E-4</v>
      </c>
      <c r="AR86" s="7">
        <v>-0.87770829679608253</v>
      </c>
      <c r="AS86" s="7">
        <v>-0.76325101320992295</v>
      </c>
      <c r="AT86" s="7">
        <v>0.46851945550355423</v>
      </c>
      <c r="AU86" s="7">
        <v>0.69039721364846696</v>
      </c>
    </row>
    <row r="87" spans="37:47" x14ac:dyDescent="0.25">
      <c r="AK87" t="str">
        <v>buick century 350</v>
      </c>
      <c r="AL87" s="7">
        <v>13</v>
      </c>
      <c r="AM87" s="7">
        <v>12.383947606403462</v>
      </c>
      <c r="AN87" s="7">
        <v>0.61605239359653829</v>
      </c>
      <c r="AO87" s="7">
        <v>3.0545392578793636E-2</v>
      </c>
      <c r="AP87" s="7">
        <v>0.20398710450777527</v>
      </c>
      <c r="AQ87" s="7">
        <v>7.7121370315234676E-5</v>
      </c>
      <c r="AR87" s="7">
        <v>-0.87770829679608253</v>
      </c>
      <c r="AS87" s="7">
        <v>-0.75950614299184738</v>
      </c>
      <c r="AT87" s="7">
        <v>0.45164931585000245</v>
      </c>
      <c r="AU87" s="7">
        <v>0.63546285600237218</v>
      </c>
    </row>
    <row r="88" spans="37:47" x14ac:dyDescent="0.25">
      <c r="AK88" t="str">
        <v>amc matador</v>
      </c>
      <c r="AL88" s="7">
        <v>14</v>
      </c>
      <c r="AM88" s="7">
        <v>14.95695492051196</v>
      </c>
      <c r="AN88" s="7">
        <v>-0.95695492051195963</v>
      </c>
      <c r="AO88" s="7">
        <v>2.7011897802173251E-2</v>
      </c>
      <c r="AP88" s="7">
        <v>-0.31629077006854084</v>
      </c>
      <c r="AQ88" s="7">
        <v>1.633697648983552E-4</v>
      </c>
      <c r="AR88" s="7">
        <v>-0.87770829679608253</v>
      </c>
      <c r="AS88" s="7">
        <v>-0.75751706682775866</v>
      </c>
      <c r="AT88" s="7">
        <v>0.56239734180429835</v>
      </c>
      <c r="AU88" s="7">
        <v>-0.98352170838507613</v>
      </c>
    </row>
    <row r="89" spans="37:47" x14ac:dyDescent="0.25">
      <c r="AK89" t="str">
        <v>chevrolet malibu</v>
      </c>
      <c r="AL89" s="7">
        <v>13</v>
      </c>
      <c r="AM89" s="7">
        <v>13.438131241902768</v>
      </c>
      <c r="AN89" s="7">
        <v>-0.43813124190276831</v>
      </c>
      <c r="AO89" s="7">
        <v>2.6908924211681815E-2</v>
      </c>
      <c r="AP89" s="7">
        <v>-0.14480257381873163</v>
      </c>
      <c r="AQ89" s="7">
        <v>3.41072329342815E-5</v>
      </c>
      <c r="AR89" s="7">
        <v>-0.87770829679608253</v>
      </c>
      <c r="AS89" s="7">
        <v>-0.75457189916222744</v>
      </c>
      <c r="AT89" s="7">
        <v>0.38052933371651076</v>
      </c>
      <c r="AU89" s="7">
        <v>-0.45024690165597342</v>
      </c>
    </row>
    <row r="90" spans="37:47" x14ac:dyDescent="0.25">
      <c r="AK90" t="str">
        <v>ford gran torino</v>
      </c>
      <c r="AL90" s="7">
        <v>14</v>
      </c>
      <c r="AM90" s="7">
        <v>13.294603978314798</v>
      </c>
      <c r="AN90" s="7">
        <v>0.70539602168520155</v>
      </c>
      <c r="AO90" s="7">
        <v>2.9356198266036856E-2</v>
      </c>
      <c r="AP90" s="7">
        <v>0.2334274183109103</v>
      </c>
      <c r="AQ90" s="7">
        <v>9.6938152578108052E-5</v>
      </c>
      <c r="AR90" s="7">
        <v>-0.76138260968642557</v>
      </c>
      <c r="AS90" s="7">
        <v>-0.75452115641439021</v>
      </c>
      <c r="AT90" s="7">
        <v>0.48314326892849319</v>
      </c>
      <c r="AU90" s="7">
        <v>0.72673005321321626</v>
      </c>
    </row>
    <row r="91" spans="37:47" x14ac:dyDescent="0.25">
      <c r="AK91" t="str">
        <v>dodge coronet custom</v>
      </c>
      <c r="AL91" s="7">
        <v>15</v>
      </c>
      <c r="AM91" s="7">
        <v>14.425307410924701</v>
      </c>
      <c r="AN91" s="7">
        <v>0.57469258907529941</v>
      </c>
      <c r="AO91" s="7">
        <v>2.6400911104933582E-2</v>
      </c>
      <c r="AP91" s="7">
        <v>0.18988660114211794</v>
      </c>
      <c r="AQ91" s="7">
        <v>5.7514649367666781E-5</v>
      </c>
      <c r="AR91" s="7">
        <v>-0.75286571534072255</v>
      </c>
      <c r="AS91" s="7">
        <v>-0.74708884873176218</v>
      </c>
      <c r="AT91" s="7">
        <v>0.43575979752854432</v>
      </c>
      <c r="AU91" s="7">
        <v>0.59027642448547857</v>
      </c>
    </row>
    <row r="92" spans="37:47" x14ac:dyDescent="0.25">
      <c r="AK92" t="str">
        <v>mercury marquis brougham</v>
      </c>
      <c r="AL92" s="7">
        <v>12</v>
      </c>
      <c r="AM92" s="7">
        <v>7.696569879392543</v>
      </c>
      <c r="AN92" s="7">
        <v>4.303430120607457</v>
      </c>
      <c r="AO92" s="7">
        <v>3.6900707411663757E-2</v>
      </c>
      <c r="AP92" s="7">
        <v>1.4296443982960441</v>
      </c>
      <c r="AQ92" s="7">
        <v>4.6064966597044949E-3</v>
      </c>
      <c r="AR92" s="7">
        <v>-0.75286571534072255</v>
      </c>
      <c r="AS92" s="7">
        <v>-0.74192401686980725</v>
      </c>
      <c r="AT92" s="7">
        <v>1.1956773805237113</v>
      </c>
      <c r="AU92" s="7">
        <v>4.468314070755838</v>
      </c>
    </row>
    <row r="93" spans="37:47" x14ac:dyDescent="0.25">
      <c r="AK93" t="str">
        <v>chevrolet caprice classic</v>
      </c>
      <c r="AL93" s="7">
        <v>13</v>
      </c>
      <c r="AM93" s="7">
        <v>10.946813705339499</v>
      </c>
      <c r="AN93" s="7">
        <v>2.0531862946605006</v>
      </c>
      <c r="AO93" s="7">
        <v>3.3433098722742423E-2</v>
      </c>
      <c r="AP93" s="7">
        <v>0.68086529918536198</v>
      </c>
      <c r="AQ93" s="7">
        <v>9.4323127268055207E-4</v>
      </c>
      <c r="AR93" s="7">
        <v>-0.75286571534072255</v>
      </c>
      <c r="AS93" s="7">
        <v>-0.73626542374561854</v>
      </c>
      <c r="AT93" s="7">
        <v>0.82514562301775674</v>
      </c>
      <c r="AU93" s="7">
        <v>2.1242050518669156</v>
      </c>
    </row>
    <row r="94" spans="37:47" x14ac:dyDescent="0.25">
      <c r="AK94" t="str">
        <v>ford ltd</v>
      </c>
      <c r="AL94" s="7">
        <v>13</v>
      </c>
      <c r="AM94" s="7">
        <v>11.328316520837957</v>
      </c>
      <c r="AN94" s="7">
        <v>1.6716834791620432</v>
      </c>
      <c r="AO94" s="7">
        <v>2.9386956950390161E-2</v>
      </c>
      <c r="AP94" s="7">
        <v>0.55319696979360178</v>
      </c>
      <c r="AQ94" s="7">
        <v>5.4502843087953954E-4</v>
      </c>
      <c r="AR94" s="7">
        <v>-0.72763551415159011</v>
      </c>
      <c r="AS94" s="7">
        <v>-0.72283127398567082</v>
      </c>
      <c r="AT94" s="7">
        <v>0.74377212222131706</v>
      </c>
      <c r="AU94" s="7">
        <v>1.7222965332401785</v>
      </c>
    </row>
    <row r="95" spans="37:47" x14ac:dyDescent="0.25">
      <c r="AK95" t="str">
        <v>plymouth fury gran sedan</v>
      </c>
      <c r="AL95" s="7">
        <v>14</v>
      </c>
      <c r="AM95" s="7">
        <v>12.096184987971002</v>
      </c>
      <c r="AN95" s="7">
        <v>1.9038150120289981</v>
      </c>
      <c r="AO95" s="7">
        <v>2.8992761758663603E-2</v>
      </c>
      <c r="AP95" s="7">
        <v>0.62988652393519529</v>
      </c>
      <c r="AQ95" s="7">
        <v>6.9685566042903733E-4</v>
      </c>
      <c r="AR95" s="7">
        <v>-0.71932811724388146</v>
      </c>
      <c r="AS95" s="7">
        <v>-0.70648636894145489</v>
      </c>
      <c r="AT95" s="7">
        <v>0.79365390689846371</v>
      </c>
      <c r="AU95" s="7">
        <v>1.9606599591133218</v>
      </c>
    </row>
    <row r="96" spans="37:47" x14ac:dyDescent="0.25">
      <c r="AK96" t="str">
        <v>chrysler new yorker brougham</v>
      </c>
      <c r="AL96" s="7">
        <v>13</v>
      </c>
      <c r="AM96" s="7">
        <v>8.5192887226626812</v>
      </c>
      <c r="AN96" s="7">
        <v>4.4807112773373188</v>
      </c>
      <c r="AO96" s="7">
        <v>4.457601353687983E-2</v>
      </c>
      <c r="AP96" s="7">
        <v>1.4945061059531675</v>
      </c>
      <c r="AQ96" s="7">
        <v>6.1298740672773898E-3</v>
      </c>
      <c r="AR96" s="7">
        <v>-0.71932811724388146</v>
      </c>
      <c r="AS96" s="7">
        <v>-0.69392179736044635</v>
      </c>
      <c r="AT96" s="7">
        <v>1.2224999410851387</v>
      </c>
      <c r="AU96" s="7">
        <v>4.6897621797464435</v>
      </c>
    </row>
    <row r="97" spans="37:47" x14ac:dyDescent="0.25">
      <c r="AK97" t="str">
        <v>buick electra 225 custom</v>
      </c>
      <c r="AL97" s="7">
        <v>12</v>
      </c>
      <c r="AM97" s="7">
        <v>7.2632495262620527</v>
      </c>
      <c r="AN97" s="7">
        <v>4.7367504737379473</v>
      </c>
      <c r="AO97" s="7">
        <v>4.893022194556227E-2</v>
      </c>
      <c r="AP97" s="7">
        <v>1.5835184219573573</v>
      </c>
      <c r="AQ97" s="7">
        <v>7.5886080672865341E-3</v>
      </c>
      <c r="AR97" s="7">
        <v>-0.71932811724388146</v>
      </c>
      <c r="AS97" s="7">
        <v>-0.68678649689214288</v>
      </c>
      <c r="AT97" s="7">
        <v>1.2583792838239818</v>
      </c>
      <c r="AU97" s="7">
        <v>4.9804447402668108</v>
      </c>
    </row>
    <row r="98" spans="37:47" x14ac:dyDescent="0.25">
      <c r="AK98" t="str">
        <v>amc ambassador brougham</v>
      </c>
      <c r="AL98" s="7">
        <v>13</v>
      </c>
      <c r="AM98" s="7">
        <v>13.796610989021032</v>
      </c>
      <c r="AN98" s="7">
        <v>-0.79661098902103156</v>
      </c>
      <c r="AO98" s="7">
        <v>3.4602713165386309E-2</v>
      </c>
      <c r="AP98" s="7">
        <v>-0.26432732427601652</v>
      </c>
      <c r="AQ98" s="7">
        <v>1.473123904386963E-4</v>
      </c>
      <c r="AR98" s="7">
        <v>-0.71932811724388146</v>
      </c>
      <c r="AS98" s="7">
        <v>-0.68324182750021734</v>
      </c>
      <c r="AT98" s="7">
        <v>0.51412773147926627</v>
      </c>
      <c r="AU98" s="7">
        <v>-0.82516389872297458</v>
      </c>
    </row>
    <row r="99" spans="37:47" x14ac:dyDescent="0.25">
      <c r="AK99" t="str">
        <v>plymouth valiant</v>
      </c>
      <c r="AL99" s="7">
        <v>18</v>
      </c>
      <c r="AM99" s="7">
        <v>18.477477956350643</v>
      </c>
      <c r="AN99" s="7">
        <v>-0.4774779563506435</v>
      </c>
      <c r="AO99" s="7">
        <v>2.9715993614829274E-2</v>
      </c>
      <c r="AP99" s="7">
        <v>-0.1580347863334722</v>
      </c>
      <c r="AQ99" s="7">
        <v>4.4993300213987257E-5</v>
      </c>
      <c r="AR99" s="7">
        <v>-0.71932811724388146</v>
      </c>
      <c r="AS99" s="7">
        <v>-0.66878988326602917</v>
      </c>
      <c r="AT99" s="7">
        <v>0.39753589313855953</v>
      </c>
      <c r="AU99" s="7">
        <v>-0.49210123346205142</v>
      </c>
    </row>
    <row r="100" spans="37:47" x14ac:dyDescent="0.25">
      <c r="AK100" t="str">
        <v>chevrolet nova custom</v>
      </c>
      <c r="AL100" s="7">
        <v>16</v>
      </c>
      <c r="AM100" s="7">
        <v>17.76372050654502</v>
      </c>
      <c r="AN100" s="7">
        <v>-1.7637205065450203</v>
      </c>
      <c r="AO100" s="7">
        <v>3.273135274350103E-2</v>
      </c>
      <c r="AP100" s="7">
        <v>-0.58466219481199677</v>
      </c>
      <c r="AQ100" s="7">
        <v>6.8042137360537316E-4</v>
      </c>
      <c r="AR100" s="7">
        <v>-0.71932811724388146</v>
      </c>
      <c r="AS100" s="7">
        <v>-0.66377208981313185</v>
      </c>
      <c r="AT100" s="7">
        <v>0.76463206499073577</v>
      </c>
      <c r="AU100" s="7">
        <v>-1.823402951752368</v>
      </c>
    </row>
    <row r="101" spans="37:47" x14ac:dyDescent="0.25">
      <c r="AK101" t="str">
        <v>amc hornet</v>
      </c>
      <c r="AL101" s="7">
        <v>18</v>
      </c>
      <c r="AM101" s="7">
        <v>19.449802608378892</v>
      </c>
      <c r="AN101" s="7">
        <v>-1.4498026083788922</v>
      </c>
      <c r="AO101" s="7">
        <v>3.0762850246968242E-2</v>
      </c>
      <c r="AP101" s="7">
        <v>-0.48011210341267641</v>
      </c>
      <c r="AQ101" s="7">
        <v>4.3036099915624349E-4</v>
      </c>
      <c r="AR101" s="7">
        <v>-0.71932811724388146</v>
      </c>
      <c r="AS101" s="7">
        <v>-0.65612392430107436</v>
      </c>
      <c r="AT101" s="7">
        <v>0.6929012219737215</v>
      </c>
      <c r="AU101" s="7">
        <v>-1.4958182409210292</v>
      </c>
    </row>
    <row r="102" spans="37:47" x14ac:dyDescent="0.25">
      <c r="AK102" t="str">
        <v>ford maverick</v>
      </c>
      <c r="AL102" s="7">
        <v>18</v>
      </c>
      <c r="AM102" s="7">
        <v>19.259828261072517</v>
      </c>
      <c r="AN102" s="7">
        <v>-1.2598282610725171</v>
      </c>
      <c r="AO102" s="7">
        <v>3.555927772974711E-2</v>
      </c>
      <c r="AP102" s="7">
        <v>-0.4182369320992394</v>
      </c>
      <c r="AQ102" s="7">
        <v>3.7937895031364449E-4</v>
      </c>
      <c r="AR102" s="7">
        <v>-0.66249652488531496</v>
      </c>
      <c r="AS102" s="7">
        <v>-0.63802821850481273</v>
      </c>
      <c r="AT102" s="7">
        <v>0.64671240292671006</v>
      </c>
      <c r="AU102" s="7">
        <v>-1.3062785840346252</v>
      </c>
    </row>
    <row r="103" spans="37:47" x14ac:dyDescent="0.25">
      <c r="AK103" t="str">
        <v>plymouth duster</v>
      </c>
      <c r="AL103" s="7">
        <v>23</v>
      </c>
      <c r="AM103" s="7">
        <v>19.738580462366389</v>
      </c>
      <c r="AN103" s="7">
        <v>3.2614195376336106</v>
      </c>
      <c r="AO103" s="7">
        <v>3.2044006496218955E-2</v>
      </c>
      <c r="AP103" s="7">
        <v>1.0807560254323885</v>
      </c>
      <c r="AQ103" s="7">
        <v>2.2745610997066666E-3</v>
      </c>
      <c r="AR103" s="7">
        <v>-0.66249652488531496</v>
      </c>
      <c r="AS103" s="7">
        <v>-0.63228553332444015</v>
      </c>
      <c r="AT103" s="7">
        <v>1.0395941638122006</v>
      </c>
      <c r="AU103" s="7">
        <v>3.369388236161452</v>
      </c>
    </row>
    <row r="104" spans="37:47" x14ac:dyDescent="0.25">
      <c r="AK104" t="str">
        <v>volkswagen super beetle</v>
      </c>
      <c r="AL104" s="7">
        <v>26</v>
      </c>
      <c r="AM104" s="7">
        <v>27.302527770060408</v>
      </c>
      <c r="AN104" s="7">
        <v>-1.3025277700604079</v>
      </c>
      <c r="AO104" s="7">
        <v>4.8284679576095293E-2</v>
      </c>
      <c r="AP104" s="7">
        <v>-0.43529358270499241</v>
      </c>
      <c r="AQ104" s="7">
        <v>5.6548084865628765E-4</v>
      </c>
      <c r="AR104" s="7">
        <v>-0.66249652488531496</v>
      </c>
      <c r="AS104" s="7">
        <v>-0.62096861122347391</v>
      </c>
      <c r="AT104" s="7">
        <v>0.65976782484825103</v>
      </c>
      <c r="AU104" s="7">
        <v>-1.3686106991324332</v>
      </c>
    </row>
    <row r="105" spans="37:47" x14ac:dyDescent="0.25">
      <c r="AK105" t="str">
        <v>chevrolet impala</v>
      </c>
      <c r="AL105" s="7">
        <v>11</v>
      </c>
      <c r="AM105" s="7">
        <v>8.248069680482276</v>
      </c>
      <c r="AN105" s="7">
        <v>2.751930319517724</v>
      </c>
      <c r="AO105" s="7">
        <v>5.207065402060785E-2</v>
      </c>
      <c r="AP105" s="7">
        <v>0.92150618089199277</v>
      </c>
      <c r="AQ105" s="7">
        <v>2.7438770542934508E-3</v>
      </c>
      <c r="AR105" s="7">
        <v>-0.66249652488531496</v>
      </c>
      <c r="AS105" s="7">
        <v>-0.61593470926202398</v>
      </c>
      <c r="AT105" s="7">
        <v>0.95995113463758808</v>
      </c>
      <c r="AU105" s="7">
        <v>2.9030964503735817</v>
      </c>
    </row>
    <row r="106" spans="37:47" x14ac:dyDescent="0.25">
      <c r="AK106" t="str">
        <v>ford country</v>
      </c>
      <c r="AL106" s="7">
        <v>12</v>
      </c>
      <c r="AM106" s="7">
        <v>8.4328115122476976</v>
      </c>
      <c r="AN106" s="7">
        <v>3.5671884877523024</v>
      </c>
      <c r="AO106" s="7">
        <v>3.8934703793749144E-2</v>
      </c>
      <c r="AP106" s="7">
        <v>1.1863106075738008</v>
      </c>
      <c r="AQ106" s="7">
        <v>3.35375926789739E-3</v>
      </c>
      <c r="AR106" s="7">
        <v>-0.66249652488531496</v>
      </c>
      <c r="AS106" s="7">
        <v>-0.61509549983121248</v>
      </c>
      <c r="AT106" s="7">
        <v>1.0891788684939683</v>
      </c>
      <c r="AU106" s="7">
        <v>3.7117025261796162</v>
      </c>
    </row>
    <row r="107" spans="37:47" x14ac:dyDescent="0.25">
      <c r="AK107" t="str">
        <v>plymouth custom suburb</v>
      </c>
      <c r="AL107" s="7">
        <v>13</v>
      </c>
      <c r="AM107" s="7">
        <v>9.6600562393964911</v>
      </c>
      <c r="AN107" s="7">
        <v>3.3399437606035089</v>
      </c>
      <c r="AO107" s="7">
        <v>3.2267405941791109E-2</v>
      </c>
      <c r="AP107" s="7">
        <v>1.1069048065287981</v>
      </c>
      <c r="AQ107" s="7">
        <v>2.4031468448560667E-3</v>
      </c>
      <c r="AR107" s="7">
        <v>-0.62318453179067923</v>
      </c>
      <c r="AS107" s="7">
        <v>-0.61264897901117765</v>
      </c>
      <c r="AT107" s="7">
        <v>1.0520954360364834</v>
      </c>
      <c r="AU107" s="7">
        <v>3.4513085341038043</v>
      </c>
    </row>
    <row r="108" spans="37:47" x14ac:dyDescent="0.25">
      <c r="AK108" t="str">
        <v>oldsmobile vista cruiser</v>
      </c>
      <c r="AL108" s="7">
        <v>12</v>
      </c>
      <c r="AM108" s="7">
        <v>10.282504910204173</v>
      </c>
      <c r="AN108" s="7">
        <v>1.7174950897958272</v>
      </c>
      <c r="AO108" s="7">
        <v>3.0849747810183924E-2</v>
      </c>
      <c r="AP108" s="7">
        <v>0.56878580743136242</v>
      </c>
      <c r="AQ108" s="7">
        <v>6.0577184723648383E-4</v>
      </c>
      <c r="AR108" s="7">
        <v>-0.62318453179067923</v>
      </c>
      <c r="AS108" s="7">
        <v>-0.60409084446563865</v>
      </c>
      <c r="AT108" s="7">
        <v>0.75417889617209688</v>
      </c>
      <c r="AU108" s="7">
        <v>1.7721659628268265</v>
      </c>
    </row>
    <row r="109" spans="37:47" x14ac:dyDescent="0.25">
      <c r="AK109" t="str">
        <v>amc gremlin</v>
      </c>
      <c r="AL109" s="7">
        <v>18</v>
      </c>
      <c r="AM109" s="7">
        <v>20.239678908337108</v>
      </c>
      <c r="AN109" s="7">
        <v>-2.2396789083371083</v>
      </c>
      <c r="AO109" s="7">
        <v>3.1387057487757081E-2</v>
      </c>
      <c r="AP109" s="7">
        <v>-0.74192401686980725</v>
      </c>
      <c r="AQ109" s="7">
        <v>1.0492289704715078E-3</v>
      </c>
      <c r="AR109" s="7">
        <v>-0.60772881744947449</v>
      </c>
      <c r="AS109" s="7">
        <v>-0.59179023453714441</v>
      </c>
      <c r="AT109" s="7">
        <v>0.86135011282857987</v>
      </c>
      <c r="AU109" s="7">
        <v>-2.3122537497053934</v>
      </c>
    </row>
    <row r="110" spans="37:47" x14ac:dyDescent="0.25">
      <c r="AK110" t="str">
        <v>toyota carina</v>
      </c>
      <c r="AL110" s="7">
        <v>20</v>
      </c>
      <c r="AM110" s="7">
        <v>25.076745606588123</v>
      </c>
      <c r="AN110" s="7">
        <v>-5.0767456065881227</v>
      </c>
      <c r="AO110" s="7">
        <v>4.0511183142984845E-2</v>
      </c>
      <c r="AP110" s="7">
        <v>-1.6897180627740656</v>
      </c>
      <c r="AQ110" s="7">
        <v>7.0911158671741765E-3</v>
      </c>
      <c r="AR110" s="7">
        <v>-0.60005529056970508</v>
      </c>
      <c r="AS110" s="7">
        <v>-0.59082143000943876</v>
      </c>
      <c r="AT110" s="7">
        <v>1.2998915580824677</v>
      </c>
      <c r="AU110" s="7">
        <v>-5.2910940882228843</v>
      </c>
    </row>
    <row r="111" spans="37:47" x14ac:dyDescent="0.25">
      <c r="AK111" t="str">
        <v>chevrolet vega</v>
      </c>
      <c r="AL111" s="7">
        <v>21</v>
      </c>
      <c r="AM111" s="7">
        <v>22.658863133701555</v>
      </c>
      <c r="AN111" s="7">
        <v>-1.6588631337015549</v>
      </c>
      <c r="AO111" s="7">
        <v>3.987940076710407E-2</v>
      </c>
      <c r="AP111" s="7">
        <v>-0.55194584126169699</v>
      </c>
      <c r="AQ111" s="7">
        <v>7.443322664768201E-4</v>
      </c>
      <c r="AR111" s="7">
        <v>-0.60005529056970508</v>
      </c>
      <c r="AS111" s="7">
        <v>-0.58466219481199677</v>
      </c>
      <c r="AT111" s="7">
        <v>0.74293057634054682</v>
      </c>
      <c r="AU111" s="7">
        <v>-1.7277653817936316</v>
      </c>
    </row>
    <row r="112" spans="37:47" x14ac:dyDescent="0.25">
      <c r="AK112" t="str">
        <v>datsun 610</v>
      </c>
      <c r="AL112" s="7">
        <v>22</v>
      </c>
      <c r="AM112" s="7">
        <v>24.4729960533552</v>
      </c>
      <c r="AN112" s="7">
        <v>-2.4729960533551996</v>
      </c>
      <c r="AO112" s="7">
        <v>3.9858734662671737E-2</v>
      </c>
      <c r="AP112" s="7">
        <v>-0.82281965858508455</v>
      </c>
      <c r="AQ112" s="7">
        <v>1.6532889736620513E-3</v>
      </c>
      <c r="AR112" s="7">
        <v>-0.60005529056970508</v>
      </c>
      <c r="AS112" s="7">
        <v>-0.58163018536706346</v>
      </c>
      <c r="AT112" s="7">
        <v>0.90709407372393547</v>
      </c>
      <c r="AU112" s="7">
        <v>-2.5756585438355857</v>
      </c>
    </row>
    <row r="113" spans="37:47" x14ac:dyDescent="0.25">
      <c r="AK113" t="str">
        <v>maxda rx3</v>
      </c>
      <c r="AL113" s="7">
        <v>18</v>
      </c>
      <c r="AM113" s="7">
        <v>25.829085733024133</v>
      </c>
      <c r="AN113" s="7">
        <v>-7.829085733024133</v>
      </c>
      <c r="AO113" s="7">
        <v>4.0908895826768793E-2</v>
      </c>
      <c r="AP113" s="7">
        <v>-2.6063331092365796</v>
      </c>
      <c r="AQ113" s="7">
        <v>1.7043893646453555E-2</v>
      </c>
      <c r="AR113" s="7">
        <v>-0.60005529056970508</v>
      </c>
      <c r="AS113" s="7">
        <v>-0.58074238683041579</v>
      </c>
      <c r="AT113" s="7">
        <v>1.6144141690522229</v>
      </c>
      <c r="AU113" s="7">
        <v>-8.1630261181215609</v>
      </c>
    </row>
    <row r="114" spans="37:47" x14ac:dyDescent="0.25">
      <c r="AK114" t="str">
        <v>ford pinto</v>
      </c>
      <c r="AL114" s="7">
        <v>19</v>
      </c>
      <c r="AM114" s="7">
        <v>22.908550693281139</v>
      </c>
      <c r="AN114" s="7">
        <v>-3.9085506932811391</v>
      </c>
      <c r="AO114" s="7">
        <v>3.8026724320240957E-2</v>
      </c>
      <c r="AP114" s="7">
        <v>-1.2992210520172569</v>
      </c>
      <c r="AQ114" s="7">
        <v>3.9250309517006171E-3</v>
      </c>
      <c r="AR114" s="7">
        <v>-0.60005529056970508</v>
      </c>
      <c r="AS114" s="7">
        <v>-0.55753264896976451</v>
      </c>
      <c r="AT114" s="7">
        <v>1.1398337826267726</v>
      </c>
      <c r="AU114" s="7">
        <v>-4.0630553801187883</v>
      </c>
    </row>
    <row r="115" spans="37:47" x14ac:dyDescent="0.25">
      <c r="AK115" t="str">
        <v>mercury capri v6</v>
      </c>
      <c r="AL115" s="7">
        <v>21</v>
      </c>
      <c r="AM115" s="7">
        <v>21.731093032654325</v>
      </c>
      <c r="AN115" s="7">
        <v>-0.73109303265432501</v>
      </c>
      <c r="AO115" s="7">
        <v>3.7015208274130552E-2</v>
      </c>
      <c r="AP115" s="7">
        <v>-0.24289117425341836</v>
      </c>
      <c r="AQ115" s="7">
        <v>1.3339369925580096E-4</v>
      </c>
      <c r="AR115" s="7">
        <v>-0.60005529056970508</v>
      </c>
      <c r="AS115" s="7">
        <v>-0.55221926921070352</v>
      </c>
      <c r="AT115" s="7">
        <v>0.49283990732632271</v>
      </c>
      <c r="AU115" s="7">
        <v>-0.75919478577024446</v>
      </c>
    </row>
    <row r="116" spans="37:47" x14ac:dyDescent="0.25">
      <c r="AK116" t="str">
        <v>fiat 124 sport coupe</v>
      </c>
      <c r="AL116" s="7">
        <v>26</v>
      </c>
      <c r="AM116" s="7">
        <v>24.993182235342815</v>
      </c>
      <c r="AN116" s="7">
        <v>1.0068177646571854</v>
      </c>
      <c r="AO116" s="7">
        <v>3.9273864426025172E-2</v>
      </c>
      <c r="AP116" s="7">
        <v>0.33488821969058197</v>
      </c>
      <c r="AQ116" s="7">
        <v>2.6968379516022147E-4</v>
      </c>
      <c r="AR116" s="7">
        <v>-0.60005529056970508</v>
      </c>
      <c r="AS116" s="7">
        <v>-0.55194584126169699</v>
      </c>
      <c r="AT116" s="7">
        <v>0.57869527360311313</v>
      </c>
      <c r="AU116" s="7">
        <v>1.0479758251353011</v>
      </c>
    </row>
    <row r="117" spans="37:47" x14ac:dyDescent="0.25">
      <c r="AK117" t="str">
        <v>chevrolet monte carlo s</v>
      </c>
      <c r="AL117" s="7">
        <v>15</v>
      </c>
      <c r="AM117" s="7">
        <v>12.962180138081797</v>
      </c>
      <c r="AN117" s="7">
        <v>2.0378198619182033</v>
      </c>
      <c r="AO117" s="7">
        <v>2.788915394975712E-2</v>
      </c>
      <c r="AP117" s="7">
        <v>0.67383986412758512</v>
      </c>
      <c r="AQ117" s="7">
        <v>7.6627389377137119E-4</v>
      </c>
      <c r="AR117" s="7">
        <v>-0.60005529056970508</v>
      </c>
      <c r="AS117" s="7">
        <v>-0.55072347548179312</v>
      </c>
      <c r="AT117" s="7">
        <v>0.82087749641928009</v>
      </c>
      <c r="AU117" s="7">
        <v>2.096283433312172</v>
      </c>
    </row>
    <row r="118" spans="37:47" x14ac:dyDescent="0.25">
      <c r="AK118" t="str">
        <v>pontiac grand prix</v>
      </c>
      <c r="AL118" s="7">
        <v>16</v>
      </c>
      <c r="AM118" s="7">
        <v>10.589674737467915</v>
      </c>
      <c r="AN118" s="7">
        <v>5.4103252625320852</v>
      </c>
      <c r="AO118" s="7">
        <v>7.1718533906216742E-2</v>
      </c>
      <c r="AP118" s="7">
        <v>1.8307638951688041</v>
      </c>
      <c r="AQ118" s="7">
        <v>1.5232369994827872E-2</v>
      </c>
      <c r="AR118" s="7">
        <v>-0.60005529056970508</v>
      </c>
      <c r="AS118" s="7">
        <v>-0.53338642732774066</v>
      </c>
      <c r="AT118" s="7">
        <v>1.3530572401671719</v>
      </c>
      <c r="AU118" s="7">
        <v>5.8283241238228989</v>
      </c>
    </row>
    <row r="119" spans="37:47" x14ac:dyDescent="0.25">
      <c r="AK119" t="str">
        <v>fiat 128</v>
      </c>
      <c r="AL119" s="7">
        <v>29</v>
      </c>
      <c r="AM119" s="7">
        <v>27.67407317225447</v>
      </c>
      <c r="AN119" s="7">
        <v>1.3259268277455298</v>
      </c>
      <c r="AO119" s="7">
        <v>4.6372217608839757E-2</v>
      </c>
      <c r="AP119" s="7">
        <v>0.44266880067425035</v>
      </c>
      <c r="AQ119" s="7">
        <v>5.6051582264195177E-4</v>
      </c>
      <c r="AR119" s="7">
        <v>-0.60005529056970508</v>
      </c>
      <c r="AS119" s="7">
        <v>-0.52393736657058176</v>
      </c>
      <c r="AT119" s="7">
        <v>0.66533360104104944</v>
      </c>
      <c r="AU119" s="7">
        <v>1.3904028932765085</v>
      </c>
    </row>
    <row r="120" spans="37:47" x14ac:dyDescent="0.25">
      <c r="AK120" t="str">
        <v>opel manta</v>
      </c>
      <c r="AL120" s="7">
        <v>24</v>
      </c>
      <c r="AM120" s="7">
        <v>25.778502843463428</v>
      </c>
      <c r="AN120" s="7">
        <v>-1.7785028434634285</v>
      </c>
      <c r="AO120" s="7">
        <v>4.0000191815181163E-2</v>
      </c>
      <c r="AP120" s="7">
        <v>-0.59179023453714441</v>
      </c>
      <c r="AQ120" s="7">
        <v>8.5837605658505305E-4</v>
      </c>
      <c r="AR120" s="7">
        <v>-0.60005529056970508</v>
      </c>
      <c r="AS120" s="7">
        <v>-0.49892317917099432</v>
      </c>
      <c r="AT120" s="7">
        <v>0.769279035550264</v>
      </c>
      <c r="AU120" s="7">
        <v>-1.8526074987725742</v>
      </c>
    </row>
    <row r="121" spans="37:47" x14ac:dyDescent="0.25">
      <c r="AK121" t="str">
        <v>audi 100ls</v>
      </c>
      <c r="AL121" s="7">
        <v>20</v>
      </c>
      <c r="AM121" s="7">
        <v>23.371876655397273</v>
      </c>
      <c r="AN121" s="7">
        <v>-3.3718766553972728</v>
      </c>
      <c r="AO121" s="7">
        <v>3.805348292346615E-2</v>
      </c>
      <c r="AP121" s="7">
        <v>-1.1208436092324714</v>
      </c>
      <c r="AQ121" s="7">
        <v>2.9233755109492575E-3</v>
      </c>
      <c r="AR121" s="7">
        <v>-0.60005529056970508</v>
      </c>
      <c r="AS121" s="7">
        <v>-0.48011210341267641</v>
      </c>
      <c r="AT121" s="7">
        <v>1.0586990173002293</v>
      </c>
      <c r="AU121" s="7">
        <v>-3.5052641654598364</v>
      </c>
    </row>
    <row r="122" spans="37:47" x14ac:dyDescent="0.25">
      <c r="AK122" t="str">
        <v>volvo 144ea</v>
      </c>
      <c r="AL122" s="7">
        <v>19</v>
      </c>
      <c r="AM122" s="7">
        <v>21.582805034449517</v>
      </c>
      <c r="AN122" s="7">
        <v>-2.5828050344495175</v>
      </c>
      <c r="AO122" s="7">
        <v>3.7880044790532488E-2</v>
      </c>
      <c r="AP122" s="7">
        <v>-0.85847137129504036</v>
      </c>
      <c r="AQ122" s="7">
        <v>1.7068052633930145E-3</v>
      </c>
      <c r="AR122" s="7">
        <v>-0.60005529056970508</v>
      </c>
      <c r="AS122" s="7">
        <v>-0.47899199098150291</v>
      </c>
      <c r="AT122" s="7">
        <v>0.92653730162095493</v>
      </c>
      <c r="AU122" s="7">
        <v>-2.6844937790394372</v>
      </c>
    </row>
    <row r="123" spans="37:47" x14ac:dyDescent="0.25">
      <c r="AK123" t="str">
        <v>dodge dart custom</v>
      </c>
      <c r="AL123" s="7">
        <v>15</v>
      </c>
      <c r="AM123" s="7">
        <v>16.339238445438834</v>
      </c>
      <c r="AN123" s="7">
        <v>-1.3392384454388342</v>
      </c>
      <c r="AO123" s="7">
        <v>3.0692356983148181E-2</v>
      </c>
      <c r="AP123" s="7">
        <v>-0.44348189348087957</v>
      </c>
      <c r="AQ123" s="7">
        <v>3.663291417823262E-4</v>
      </c>
      <c r="AR123" s="7">
        <v>-0.60005529056970508</v>
      </c>
      <c r="AS123" s="7">
        <v>-0.46498176646527745</v>
      </c>
      <c r="AT123" s="7">
        <v>0.66594436215113317</v>
      </c>
      <c r="AU123" s="7">
        <v>-1.3816443675927468</v>
      </c>
    </row>
    <row r="124" spans="37:47" x14ac:dyDescent="0.25">
      <c r="AK124" t="str">
        <v>saab 99le</v>
      </c>
      <c r="AL124" s="7">
        <v>24</v>
      </c>
      <c r="AM124" s="7">
        <v>22.668446298300882</v>
      </c>
      <c r="AN124" s="7">
        <v>1.3315537016991179</v>
      </c>
      <c r="AO124" s="7">
        <v>3.8645493093118238E-2</v>
      </c>
      <c r="AP124" s="7">
        <v>0.44275727569779938</v>
      </c>
      <c r="AQ124" s="7">
        <v>4.6355127300932699E-4</v>
      </c>
      <c r="AR124" s="7">
        <v>-0.60005529056970508</v>
      </c>
      <c r="AS124" s="7">
        <v>-0.4545453066083554</v>
      </c>
      <c r="AT124" s="7">
        <v>0.66540008693852704</v>
      </c>
      <c r="AU124" s="7">
        <v>1.3850808334828915</v>
      </c>
    </row>
    <row r="125" spans="37:47" x14ac:dyDescent="0.25">
      <c r="AK125" t="str">
        <v>toyota mark ii</v>
      </c>
      <c r="AL125" s="7">
        <v>20</v>
      </c>
      <c r="AM125" s="7">
        <v>21.85127944338608</v>
      </c>
      <c r="AN125" s="7">
        <v>-1.8512794433860797</v>
      </c>
      <c r="AO125" s="7">
        <v>3.9776770121747546E-2</v>
      </c>
      <c r="AP125" s="7">
        <v>-0.61593470926202398</v>
      </c>
      <c r="AQ125" s="7">
        <v>9.2443789980417546E-4</v>
      </c>
      <c r="AR125" s="7">
        <v>-0.60005529056970508</v>
      </c>
      <c r="AS125" s="7">
        <v>-0.44392180663234571</v>
      </c>
      <c r="AT125" s="7">
        <v>0.78481507966018593</v>
      </c>
      <c r="AU125" s="7">
        <v>-1.9279677743484762</v>
      </c>
    </row>
    <row r="126" spans="37:47" x14ac:dyDescent="0.25">
      <c r="AK126" t="str">
        <v>oldsmobile omega</v>
      </c>
      <c r="AL126" s="7">
        <v>11</v>
      </c>
      <c r="AM126" s="7">
        <v>14.510368438826655</v>
      </c>
      <c r="AN126" s="7">
        <v>-3.5103684388266547</v>
      </c>
      <c r="AO126" s="7">
        <v>4.1951063219862798E-2</v>
      </c>
      <c r="AP126" s="7">
        <v>-1.1692507528849174</v>
      </c>
      <c r="AQ126" s="7">
        <v>3.5214511972825654E-3</v>
      </c>
      <c r="AR126" s="7">
        <v>-0.60005529056970508</v>
      </c>
      <c r="AS126" s="7">
        <v>-0.44348189348087957</v>
      </c>
      <c r="AT126" s="7">
        <v>1.0813189875725466</v>
      </c>
      <c r="AU126" s="7">
        <v>-3.6640805120294702</v>
      </c>
    </row>
    <row r="127" spans="37:47" x14ac:dyDescent="0.25">
      <c r="AK127" t="str">
        <v>plymouth duster</v>
      </c>
      <c r="AL127" s="7">
        <v>20</v>
      </c>
      <c r="AM127" s="7">
        <v>20.700160815023679</v>
      </c>
      <c r="AN127" s="7">
        <v>-0.70016081502367911</v>
      </c>
      <c r="AO127" s="7">
        <v>4.1681720845725925E-2</v>
      </c>
      <c r="AP127" s="7">
        <v>-0.23318022611887829</v>
      </c>
      <c r="AQ127" s="7">
        <v>1.3911385496748123E-4</v>
      </c>
      <c r="AR127" s="7">
        <v>-0.47441488350636313</v>
      </c>
      <c r="AS127" s="7">
        <v>-0.44257513070662002</v>
      </c>
      <c r="AT127" s="7">
        <v>0.4828873845099686</v>
      </c>
      <c r="AU127" s="7">
        <v>-0.73061406659338524</v>
      </c>
    </row>
    <row r="128" spans="37:47" x14ac:dyDescent="0.25">
      <c r="AK128" t="str">
        <v>amc hornet</v>
      </c>
      <c r="AL128" s="7">
        <v>19</v>
      </c>
      <c r="AM128" s="7">
        <v>21.636703887894434</v>
      </c>
      <c r="AN128" s="7">
        <v>-2.6367038878944342</v>
      </c>
      <c r="AO128" s="7">
        <v>4.2615099595863973E-2</v>
      </c>
      <c r="AP128" s="7">
        <v>-0.87855079557956517</v>
      </c>
      <c r="AQ128" s="7">
        <v>2.0209788357389603E-3</v>
      </c>
      <c r="AR128" s="7">
        <v>-0.47441488350636313</v>
      </c>
      <c r="AS128" s="7">
        <v>-0.43529358270499241</v>
      </c>
      <c r="AT128" s="7">
        <v>0.93731040513778852</v>
      </c>
      <c r="AU128" s="7">
        <v>-2.7540688042828081</v>
      </c>
    </row>
    <row r="129" spans="37:47" x14ac:dyDescent="0.25">
      <c r="AK129" t="str">
        <v>chevrolet nova</v>
      </c>
      <c r="AL129" s="7">
        <v>15</v>
      </c>
      <c r="AM129" s="7">
        <v>19.434164205318652</v>
      </c>
      <c r="AN129" s="7">
        <v>-4.4341642053186519</v>
      </c>
      <c r="AO129" s="7">
        <v>4.1929203309126278E-2</v>
      </c>
      <c r="AP129" s="7">
        <v>-1.4769363323181717</v>
      </c>
      <c r="AQ129" s="7">
        <v>5.6155672815874852E-3</v>
      </c>
      <c r="AR129" s="7">
        <v>-0.4601505487612142</v>
      </c>
      <c r="AS129" s="7">
        <v>-0.4338415062904411</v>
      </c>
      <c r="AT129" s="7">
        <v>1.2152926940939668</v>
      </c>
      <c r="AU129" s="7">
        <v>-4.6282218606746213</v>
      </c>
    </row>
    <row r="130" spans="37:47" x14ac:dyDescent="0.25">
      <c r="AK130" t="str">
        <v>datsun b210</v>
      </c>
      <c r="AL130" s="7">
        <v>31</v>
      </c>
      <c r="AM130" s="7">
        <v>29.047655197436306</v>
      </c>
      <c r="AN130" s="7">
        <v>1.9523448025636938</v>
      </c>
      <c r="AO130" s="7">
        <v>4.9596337656819603E-2</v>
      </c>
      <c r="AP130" s="7">
        <v>0.65290692305069276</v>
      </c>
      <c r="AQ130" s="7">
        <v>1.3085644958385797E-3</v>
      </c>
      <c r="AR130" s="7">
        <v>-0.45305351907680225</v>
      </c>
      <c r="AS130" s="7">
        <v>-0.4283920105670963</v>
      </c>
      <c r="AT130" s="7">
        <v>0.8080265608571866</v>
      </c>
      <c r="AU130" s="7">
        <v>2.0542269352690301</v>
      </c>
    </row>
    <row r="131" spans="37:47" x14ac:dyDescent="0.25">
      <c r="AK131" t="str">
        <v>ford pinto</v>
      </c>
      <c r="AL131" s="7">
        <v>26</v>
      </c>
      <c r="AM131" s="7">
        <v>24.23992185376779</v>
      </c>
      <c r="AN131" s="7">
        <v>1.7600781462322104</v>
      </c>
      <c r="AO131" s="7">
        <v>4.6095974662596628E-2</v>
      </c>
      <c r="AP131" s="7">
        <v>0.58752778997756971</v>
      </c>
      <c r="AQ131" s="7">
        <v>9.8121962635278667E-4</v>
      </c>
      <c r="AR131" s="7">
        <v>-0.45305351907680225</v>
      </c>
      <c r="AS131" s="7">
        <v>-0.4182369320992394</v>
      </c>
      <c r="AT131" s="7">
        <v>0.76650361380594267</v>
      </c>
      <c r="AU131" s="7">
        <v>1.8451312705276162</v>
      </c>
    </row>
    <row r="132" spans="37:47" x14ac:dyDescent="0.25">
      <c r="AK132" t="str">
        <v>toyota corolla 1200</v>
      </c>
      <c r="AL132" s="7">
        <v>32</v>
      </c>
      <c r="AM132" s="7">
        <v>29.657345357466696</v>
      </c>
      <c r="AN132" s="7">
        <v>2.3426546425333044</v>
      </c>
      <c r="AO132" s="7">
        <v>5.0280943298176672E-2</v>
      </c>
      <c r="AP132" s="7">
        <v>0.78371741325869382</v>
      </c>
      <c r="AQ132" s="7">
        <v>1.9128386377732154E-3</v>
      </c>
      <c r="AR132" s="7">
        <v>-0.45305351907680225</v>
      </c>
      <c r="AS132" s="7">
        <v>-0.40591022394118104</v>
      </c>
      <c r="AT132" s="7">
        <v>0.88527815586893022</v>
      </c>
      <c r="AU132" s="7">
        <v>2.4666817265611751</v>
      </c>
    </row>
    <row r="133" spans="37:47" x14ac:dyDescent="0.25">
      <c r="AK133" t="str">
        <v>chevrolet vega</v>
      </c>
      <c r="AL133" s="7">
        <v>25</v>
      </c>
      <c r="AM133" s="7">
        <v>23.860342838559873</v>
      </c>
      <c r="AN133" s="7">
        <v>1.1396571614401267</v>
      </c>
      <c r="AO133" s="7">
        <v>4.5195292486137739E-2</v>
      </c>
      <c r="AP133" s="7">
        <v>0.38024696094502353</v>
      </c>
      <c r="AQ133" s="7">
        <v>4.0258837650253195E-4</v>
      </c>
      <c r="AR133" s="7">
        <v>-0.43189692948271047</v>
      </c>
      <c r="AS133" s="7">
        <v>-0.40193142131393816</v>
      </c>
      <c r="AT133" s="7">
        <v>0.61664167953927951</v>
      </c>
      <c r="AU133" s="7">
        <v>1.1936023696485396</v>
      </c>
    </row>
    <row r="134" spans="37:47" x14ac:dyDescent="0.25">
      <c r="AK134" t="str">
        <v>chevrolet chevelle malibu classic</v>
      </c>
      <c r="AL134" s="7">
        <v>16</v>
      </c>
      <c r="AM134" s="7">
        <v>17.180991426591703</v>
      </c>
      <c r="AN134" s="7">
        <v>-1.180991426591703</v>
      </c>
      <c r="AO134" s="7">
        <v>4.9165845778550502E-2</v>
      </c>
      <c r="AP134" s="7">
        <v>-0.39486001875875998</v>
      </c>
      <c r="AQ134" s="7">
        <v>4.7423777402829249E-4</v>
      </c>
      <c r="AR134" s="7">
        <v>-0.42488793897993393</v>
      </c>
      <c r="AS134" s="7">
        <v>-0.39486001875875998</v>
      </c>
      <c r="AT134" s="7">
        <v>0.6283788815346677</v>
      </c>
      <c r="AU134" s="7">
        <v>-1.2420582720429392</v>
      </c>
    </row>
    <row r="135" spans="37:47" x14ac:dyDescent="0.25">
      <c r="AK135" t="str">
        <v>amc matador</v>
      </c>
      <c r="AL135" s="7">
        <v>16</v>
      </c>
      <c r="AM135" s="7">
        <v>17.773060239708684</v>
      </c>
      <c r="AN135" s="7">
        <v>-1.7730602397086841</v>
      </c>
      <c r="AO135" s="7">
        <v>4.2735154312296256E-2</v>
      </c>
      <c r="AP135" s="7">
        <v>-0.59082143000943876</v>
      </c>
      <c r="AQ135" s="7">
        <v>9.1667782099527856E-4</v>
      </c>
      <c r="AR135" s="7">
        <v>-0.42488793897993393</v>
      </c>
      <c r="AS135" s="7">
        <v>-0.38508480762603786</v>
      </c>
      <c r="AT135" s="7">
        <v>0.76864909419672045</v>
      </c>
      <c r="AU135" s="7">
        <v>-1.8522149305868523</v>
      </c>
    </row>
    <row r="136" spans="37:47" x14ac:dyDescent="0.25">
      <c r="AK136" t="str">
        <v>plymouth satellite sebring</v>
      </c>
      <c r="AL136" s="7">
        <v>18</v>
      </c>
      <c r="AM136" s="7">
        <v>17.950445282163606</v>
      </c>
      <c r="AN136" s="7">
        <v>4.9554717836393536E-2</v>
      </c>
      <c r="AO136" s="7">
        <v>4.3763467871605954E-2</v>
      </c>
      <c r="AP136" s="7">
        <v>1.6521563559615881E-2</v>
      </c>
      <c r="AQ136" s="7">
        <v>7.3485180761357239E-7</v>
      </c>
      <c r="AR136" s="7">
        <v>-0.42488793897993393</v>
      </c>
      <c r="AS136" s="7">
        <v>-0.38135513775663438</v>
      </c>
      <c r="AT136" s="7">
        <v>0.12853623442288903</v>
      </c>
      <c r="AU136" s="7">
        <v>5.1822657021996954E-2</v>
      </c>
    </row>
    <row r="137" spans="37:47" x14ac:dyDescent="0.25">
      <c r="AK137" t="str">
        <v>ford gran torino</v>
      </c>
      <c r="AL137" s="7">
        <v>16</v>
      </c>
      <c r="AM137" s="7">
        <v>14.708742687008018</v>
      </c>
      <c r="AN137" s="7">
        <v>1.2912573129919824</v>
      </c>
      <c r="AO137" s="7">
        <v>4.5049751282210906E-2</v>
      </c>
      <c r="AP137" s="7">
        <v>0.43079556603355523</v>
      </c>
      <c r="AQ137" s="7">
        <v>5.1499756946704319E-4</v>
      </c>
      <c r="AR137" s="7">
        <v>-0.42488793897993393</v>
      </c>
      <c r="AS137" s="7">
        <v>-0.36253627723479914</v>
      </c>
      <c r="AT137" s="7">
        <v>0.65635018552107927</v>
      </c>
      <c r="AU137" s="7">
        <v>1.3521723406279569</v>
      </c>
    </row>
    <row r="138" spans="37:47" x14ac:dyDescent="0.25">
      <c r="AK138" t="str">
        <v>buick century luxus (sw)</v>
      </c>
      <c r="AL138" s="7">
        <v>13</v>
      </c>
      <c r="AM138" s="7">
        <v>11.72105160223747</v>
      </c>
      <c r="AN138" s="7">
        <v>1.2789483977625302</v>
      </c>
      <c r="AO138" s="7">
        <v>5.4033117323552399E-2</v>
      </c>
      <c r="AP138" s="7">
        <v>0.42871024250542339</v>
      </c>
      <c r="AQ138" s="7">
        <v>6.1753686570022647E-4</v>
      </c>
      <c r="AR138" s="7">
        <v>-0.42488793897993393</v>
      </c>
      <c r="AS138" s="7">
        <v>-0.34222462819834187</v>
      </c>
      <c r="AT138" s="7">
        <v>0.65475968301768805</v>
      </c>
      <c r="AU138" s="7">
        <v>1.3520012393499123</v>
      </c>
    </row>
    <row r="139" spans="37:47" x14ac:dyDescent="0.25">
      <c r="AK139" t="str">
        <v>dodge coronet custom (sw)</v>
      </c>
      <c r="AL139" s="7">
        <v>14</v>
      </c>
      <c r="AM139" s="7">
        <v>12.946372529095722</v>
      </c>
      <c r="AN139" s="7">
        <v>1.0536274709042779</v>
      </c>
      <c r="AO139" s="7">
        <v>4.8948096978339982E-2</v>
      </c>
      <c r="AP139" s="7">
        <v>0.35223603151478755</v>
      </c>
      <c r="AQ139" s="7">
        <v>3.7562131648234085E-4</v>
      </c>
      <c r="AR139" s="7">
        <v>-0.42488793897993393</v>
      </c>
      <c r="AS139" s="7">
        <v>-0.32610721496463052</v>
      </c>
      <c r="AT139" s="7">
        <v>0.59349476115193089</v>
      </c>
      <c r="AU139" s="7">
        <v>1.107854857928066</v>
      </c>
    </row>
    <row r="140" spans="37:47" x14ac:dyDescent="0.25">
      <c r="AK140" t="str">
        <v>ford gran torino (sw)</v>
      </c>
      <c r="AL140" s="7">
        <v>14</v>
      </c>
      <c r="AM140" s="7">
        <v>12.192277808294996</v>
      </c>
      <c r="AN140" s="7">
        <v>1.8077221917050039</v>
      </c>
      <c r="AO140" s="7">
        <v>5.5331075663274977E-2</v>
      </c>
      <c r="AP140" s="7">
        <v>0.60637414955155566</v>
      </c>
      <c r="AQ140" s="7">
        <v>1.2668404438458728E-3</v>
      </c>
      <c r="AR140" s="7">
        <v>-0.42488793897993393</v>
      </c>
      <c r="AS140" s="7">
        <v>-0.31654278630410199</v>
      </c>
      <c r="AT140" s="7">
        <v>0.77870029507606819</v>
      </c>
      <c r="AU140" s="7">
        <v>1.9136039570416161</v>
      </c>
    </row>
    <row r="141" spans="37:47" x14ac:dyDescent="0.25">
      <c r="AK141" t="str">
        <v>amc matador (sw)</v>
      </c>
      <c r="AL141" s="7">
        <v>14</v>
      </c>
      <c r="AM141" s="7">
        <v>13.959034452119068</v>
      </c>
      <c r="AN141" s="7">
        <v>4.0965547880931652E-2</v>
      </c>
      <c r="AO141" s="7">
        <v>4.653759851025966E-2</v>
      </c>
      <c r="AP141" s="7">
        <v>1.3677785391091995E-2</v>
      </c>
      <c r="AQ141" s="7">
        <v>5.3713449731715359E-7</v>
      </c>
      <c r="AR141" s="7">
        <v>-0.42488793897993393</v>
      </c>
      <c r="AS141" s="7">
        <v>-0.31629077006854084</v>
      </c>
      <c r="AT141" s="7">
        <v>0.11695206450119637</v>
      </c>
      <c r="AU141" s="7">
        <v>4.2965037548334264E-2</v>
      </c>
    </row>
    <row r="142" spans="37:47" x14ac:dyDescent="0.25">
      <c r="AK142" t="str">
        <v>audi fox</v>
      </c>
      <c r="AL142" s="7">
        <v>29</v>
      </c>
      <c r="AM142" s="7">
        <v>27.303865157763386</v>
      </c>
      <c r="AN142" s="7">
        <v>1.6961348422366136</v>
      </c>
      <c r="AO142" s="7">
        <v>5.2132625039320549E-2</v>
      </c>
      <c r="AP142" s="7">
        <v>0.56798307093810663</v>
      </c>
      <c r="AQ142" s="7">
        <v>1.0437196977374377E-3</v>
      </c>
      <c r="AR142" s="7">
        <v>-0.42488793897993393</v>
      </c>
      <c r="AS142" s="7">
        <v>-0.3131170267789195</v>
      </c>
      <c r="AT142" s="7">
        <v>0.75364651590656651</v>
      </c>
      <c r="AU142" s="7">
        <v>1.7894221143617004</v>
      </c>
    </row>
    <row r="143" spans="37:47" x14ac:dyDescent="0.25">
      <c r="AK143" t="str">
        <v>volkswagen dasher</v>
      </c>
      <c r="AL143" s="7">
        <v>26</v>
      </c>
      <c r="AM143" s="7">
        <v>28.859855330489932</v>
      </c>
      <c r="AN143" s="7">
        <v>-2.8598553304899319</v>
      </c>
      <c r="AO143" s="7">
        <v>5.1447023247990456E-2</v>
      </c>
      <c r="AP143" s="7">
        <v>-0.95733088971303293</v>
      </c>
      <c r="AQ143" s="7">
        <v>2.9239765362483101E-3</v>
      </c>
      <c r="AR143" s="7">
        <v>-0.42488793897993393</v>
      </c>
      <c r="AS143" s="7">
        <v>-0.31053190188587199</v>
      </c>
      <c r="AT143" s="7">
        <v>0.97843287440326376</v>
      </c>
      <c r="AU143" s="7">
        <v>-3.014966375713156</v>
      </c>
    </row>
    <row r="144" spans="37:47" x14ac:dyDescent="0.25">
      <c r="AK144" t="str">
        <v>opel manta</v>
      </c>
      <c r="AL144" s="7">
        <v>26</v>
      </c>
      <c r="AM144" s="7">
        <v>26.974919238706637</v>
      </c>
      <c r="AN144" s="7">
        <v>-0.97491923870663655</v>
      </c>
      <c r="AO144" s="7">
        <v>5.0020849802743295E-2</v>
      </c>
      <c r="AP144" s="7">
        <v>-0.32610721496463052</v>
      </c>
      <c r="AQ144" s="7">
        <v>3.2938884363680192E-4</v>
      </c>
      <c r="AR144" s="7">
        <v>-0.42488793897993393</v>
      </c>
      <c r="AS144" s="7">
        <v>-0.30358004022533047</v>
      </c>
      <c r="AT144" s="7">
        <v>0.57105797863669716</v>
      </c>
      <c r="AU144" s="7">
        <v>-1.0262533009321322</v>
      </c>
    </row>
    <row r="145" spans="37:47" x14ac:dyDescent="0.25">
      <c r="AK145" t="str">
        <v>toyota corona</v>
      </c>
      <c r="AL145" s="7">
        <v>31</v>
      </c>
      <c r="AM145" s="7">
        <v>30.81525787088956</v>
      </c>
      <c r="AN145" s="7">
        <v>0.18474212911043963</v>
      </c>
      <c r="AO145" s="7">
        <v>5.1522121063569362E-2</v>
      </c>
      <c r="AP145" s="7">
        <v>6.1844508852538164E-2</v>
      </c>
      <c r="AQ145" s="7">
        <v>1.2221370089460612E-5</v>
      </c>
      <c r="AR145" s="7">
        <v>-0.42488793897993393</v>
      </c>
      <c r="AS145" s="7">
        <v>-0.29588942339118907</v>
      </c>
      <c r="AT145" s="7">
        <v>0.24868556221167759</v>
      </c>
      <c r="AU145" s="7">
        <v>0.19477747790765451</v>
      </c>
    </row>
    <row r="146" spans="37:47" x14ac:dyDescent="0.25">
      <c r="AK146" t="str">
        <v>datsun 710</v>
      </c>
      <c r="AL146" s="7">
        <v>32</v>
      </c>
      <c r="AM146" s="7">
        <v>28.876718379556358</v>
      </c>
      <c r="AN146" s="7">
        <v>3.1232816204436418</v>
      </c>
      <c r="AO146" s="7">
        <v>4.9821646072405704E-2</v>
      </c>
      <c r="AP146" s="7">
        <v>1.04461770630526</v>
      </c>
      <c r="AQ146" s="7">
        <v>3.365726204821601E-3</v>
      </c>
      <c r="AR146" s="7">
        <v>-0.34227644932452284</v>
      </c>
      <c r="AS146" s="7">
        <v>-0.28991504577291533</v>
      </c>
      <c r="AT146" s="7">
        <v>1.0220654119503605</v>
      </c>
      <c r="AU146" s="7">
        <v>3.2870477500707649</v>
      </c>
    </row>
    <row r="147" spans="37:47" x14ac:dyDescent="0.25">
      <c r="AK147" t="str">
        <v>dodge colt</v>
      </c>
      <c r="AL147" s="7">
        <v>28</v>
      </c>
      <c r="AM147" s="7">
        <v>25.971742948063557</v>
      </c>
      <c r="AN147" s="7">
        <v>2.0282570519364427</v>
      </c>
      <c r="AO147" s="7">
        <v>5.1496745076147758E-2</v>
      </c>
      <c r="AP147" s="7">
        <v>0.67897281388579944</v>
      </c>
      <c r="AQ147" s="7">
        <v>1.4723016665139849E-3</v>
      </c>
      <c r="AR147" s="7">
        <v>-0.3355040396155593</v>
      </c>
      <c r="AS147" s="7">
        <v>-0.28923752793397073</v>
      </c>
      <c r="AT147" s="7">
        <v>0.82399806667600828</v>
      </c>
      <c r="AU147" s="7">
        <v>2.1383764804257579</v>
      </c>
    </row>
    <row r="148" spans="37:47" x14ac:dyDescent="0.25">
      <c r="AK148" t="str">
        <v>fiat 128</v>
      </c>
      <c r="AL148" s="7">
        <v>24</v>
      </c>
      <c r="AM148" s="7">
        <v>27.995783980669668</v>
      </c>
      <c r="AN148" s="7">
        <v>-3.9957839806696676</v>
      </c>
      <c r="AO148" s="7">
        <v>5.1365356097886748E-2</v>
      </c>
      <c r="AP148" s="7">
        <v>-1.3375231715810592</v>
      </c>
      <c r="AQ148" s="7">
        <v>5.6980339185633885E-3</v>
      </c>
      <c r="AR148" s="7">
        <v>-0.3355040396155593</v>
      </c>
      <c r="AS148" s="7">
        <v>-0.27897206548305931</v>
      </c>
      <c r="AT148" s="7">
        <v>1.1565133685267366</v>
      </c>
      <c r="AU148" s="7">
        <v>-4.2121421627966393</v>
      </c>
    </row>
    <row r="149" spans="37:47" x14ac:dyDescent="0.25">
      <c r="AK149" t="str">
        <v>fiat 124 tc</v>
      </c>
      <c r="AL149" s="7">
        <v>26</v>
      </c>
      <c r="AM149" s="7">
        <v>27.297047253783557</v>
      </c>
      <c r="AN149" s="7">
        <v>-1.2970472537835569</v>
      </c>
      <c r="AO149" s="7">
        <v>4.9948811373861986E-2</v>
      </c>
      <c r="AP149" s="7">
        <v>-0.4338415062904411</v>
      </c>
      <c r="AQ149" s="7">
        <v>5.8209173033592408E-4</v>
      </c>
      <c r="AR149" s="7">
        <v>-0.3355040396155593</v>
      </c>
      <c r="AS149" s="7">
        <v>-0.27496797490025449</v>
      </c>
      <c r="AT149" s="7">
        <v>0.6586664605780691</v>
      </c>
      <c r="AU149" s="7">
        <v>-1.3652393358501107</v>
      </c>
    </row>
    <row r="150" spans="37:47" x14ac:dyDescent="0.25">
      <c r="AK150" t="str">
        <v>honda civic</v>
      </c>
      <c r="AL150" s="7">
        <v>24</v>
      </c>
      <c r="AM150" s="7">
        <v>25.831438356282142</v>
      </c>
      <c r="AN150" s="7">
        <v>-1.8314383562821419</v>
      </c>
      <c r="AO150" s="7">
        <v>5.0141769981706191E-2</v>
      </c>
      <c r="AP150" s="7">
        <v>-0.61264897901117765</v>
      </c>
      <c r="AQ150" s="7">
        <v>1.1655083173075383E-3</v>
      </c>
      <c r="AR150" s="7">
        <v>-0.31527742954587812</v>
      </c>
      <c r="AS150" s="7">
        <v>-0.2744986939956594</v>
      </c>
      <c r="AT150" s="7">
        <v>0.78271896553691456</v>
      </c>
      <c r="AU150" s="7">
        <v>-1.9281175847124778</v>
      </c>
    </row>
    <row r="151" spans="37:47" x14ac:dyDescent="0.25">
      <c r="AK151" t="str">
        <v>subaru</v>
      </c>
      <c r="AL151" s="7">
        <v>26</v>
      </c>
      <c r="AM151" s="7">
        <v>26.392588426377749</v>
      </c>
      <c r="AN151" s="7">
        <v>-0.39258842637774904</v>
      </c>
      <c r="AO151" s="7">
        <v>4.9910696077755404E-2</v>
      </c>
      <c r="AP151" s="7">
        <v>-0.13131189884057307</v>
      </c>
      <c r="AQ151" s="7">
        <v>5.3282971853456959E-5</v>
      </c>
      <c r="AR151" s="7">
        <v>-0.31527742954587812</v>
      </c>
      <c r="AS151" s="7">
        <v>-0.26432732427601652</v>
      </c>
      <c r="AT151" s="7">
        <v>0.36236983710095555</v>
      </c>
      <c r="AU151" s="7">
        <v>-0.41321213148809277</v>
      </c>
    </row>
    <row r="152" spans="37:47" x14ac:dyDescent="0.25">
      <c r="AK152" t="str">
        <v>fiat x1.9</v>
      </c>
      <c r="AL152" s="7">
        <v>31</v>
      </c>
      <c r="AM152" s="7">
        <v>28.672512874730611</v>
      </c>
      <c r="AN152" s="7">
        <v>2.3274871252693892</v>
      </c>
      <c r="AO152" s="7">
        <v>5.0990530009204414E-2</v>
      </c>
      <c r="AP152" s="7">
        <v>0.77893428137700682</v>
      </c>
      <c r="AQ152" s="7">
        <v>1.9176603742006981E-3</v>
      </c>
      <c r="AR152" s="7">
        <v>-0.30186483701074074</v>
      </c>
      <c r="AS152" s="7">
        <v>-0.26364023528520003</v>
      </c>
      <c r="AT152" s="7">
        <v>0.88257253604279284</v>
      </c>
      <c r="AU152" s="7">
        <v>2.4525436245562053</v>
      </c>
    </row>
    <row r="153" spans="37:47" x14ac:dyDescent="0.25">
      <c r="AK153" t="str">
        <v>plymouth valiant custom</v>
      </c>
      <c r="AL153" s="7">
        <v>19</v>
      </c>
      <c r="AM153" s="7">
        <v>19.261395253436948</v>
      </c>
      <c r="AN153" s="7">
        <v>-0.26139525343694814</v>
      </c>
      <c r="AO153" s="7">
        <v>3.574414313936964E-2</v>
      </c>
      <c r="AP153" s="7">
        <v>-8.6786137087073154E-2</v>
      </c>
      <c r="AQ153" s="7">
        <v>1.6423450272720468E-5</v>
      </c>
      <c r="AR153" s="7">
        <v>-0.29517900048864582</v>
      </c>
      <c r="AS153" s="7">
        <v>-0.25886999570707547</v>
      </c>
      <c r="AT153" s="7">
        <v>0.2945948694174309</v>
      </c>
      <c r="AU153" s="7">
        <v>-0.27108495279249223</v>
      </c>
    </row>
    <row r="154" spans="37:47" x14ac:dyDescent="0.25">
      <c r="AK154" t="str">
        <v>chevrolet nova</v>
      </c>
      <c r="AL154" s="7">
        <v>18</v>
      </c>
      <c r="AM154" s="7">
        <v>18.11168555895377</v>
      </c>
      <c r="AN154" s="7">
        <v>-0.11168555895376997</v>
      </c>
      <c r="AO154" s="7">
        <v>3.503510364992779E-2</v>
      </c>
      <c r="AP154" s="7">
        <v>-3.7067224491663844E-2</v>
      </c>
      <c r="AQ154" s="7">
        <v>2.9344256287308819E-6</v>
      </c>
      <c r="AR154" s="7">
        <v>-0.28850633275119353</v>
      </c>
      <c r="AS154" s="7">
        <v>-0.2557150343200344</v>
      </c>
      <c r="AT154" s="7">
        <v>0.19252850306295907</v>
      </c>
      <c r="AU154" s="7">
        <v>-0.11574054079709488</v>
      </c>
    </row>
    <row r="155" spans="37:47" x14ac:dyDescent="0.25">
      <c r="AK155" t="str">
        <v>mercury monarch</v>
      </c>
      <c r="AL155" s="7">
        <v>15</v>
      </c>
      <c r="AM155" s="7">
        <v>18.78419717302878</v>
      </c>
      <c r="AN155" s="7">
        <v>-3.7841971730287796</v>
      </c>
      <c r="AO155" s="7">
        <v>4.8468447253223503E-2</v>
      </c>
      <c r="AP155" s="7">
        <v>-1.2647682754399088</v>
      </c>
      <c r="AQ155" s="7">
        <v>4.7930164375910266E-3</v>
      </c>
      <c r="AR155" s="7">
        <v>-0.28850633275119353</v>
      </c>
      <c r="AS155" s="7">
        <v>-0.24814969353100894</v>
      </c>
      <c r="AT155" s="7">
        <v>1.124619169070094</v>
      </c>
      <c r="AU155" s="7">
        <v>-3.9769539560774163</v>
      </c>
    </row>
    <row r="156" spans="37:47" x14ac:dyDescent="0.25">
      <c r="AK156" t="str">
        <v>ford maverick</v>
      </c>
      <c r="AL156" s="7">
        <v>15</v>
      </c>
      <c r="AM156" s="7">
        <v>20.17154400757077</v>
      </c>
      <c r="AN156" s="7">
        <v>-5.1715440075707697</v>
      </c>
      <c r="AO156" s="7">
        <v>4.265740901741475E-2</v>
      </c>
      <c r="AP156" s="7">
        <v>-1.7231986194513169</v>
      </c>
      <c r="AQ156" s="7">
        <v>7.7830325589615043E-3</v>
      </c>
      <c r="AR156" s="7">
        <v>-0.28850633275119353</v>
      </c>
      <c r="AS156" s="7">
        <v>-0.24289117425341836</v>
      </c>
      <c r="AT156" s="7">
        <v>1.3127066006733252</v>
      </c>
      <c r="AU156" s="7">
        <v>-5.4019784101142578</v>
      </c>
    </row>
    <row r="157" spans="37:47" x14ac:dyDescent="0.25">
      <c r="AK157" t="str">
        <v>pontiac catalina</v>
      </c>
      <c r="AL157" s="7">
        <v>16</v>
      </c>
      <c r="AM157" s="7">
        <v>10.934776157297449</v>
      </c>
      <c r="AN157" s="7">
        <v>5.0652238427025509</v>
      </c>
      <c r="AO157" s="7">
        <v>4.4820942448239413E-2</v>
      </c>
      <c r="AP157" s="7">
        <v>1.6896822821993771</v>
      </c>
      <c r="AQ157" s="7">
        <v>7.8805652842904063E-3</v>
      </c>
      <c r="AR157" s="7">
        <v>-0.28850633275119353</v>
      </c>
      <c r="AS157" s="7">
        <v>-0.24068058859416844</v>
      </c>
      <c r="AT157" s="7">
        <v>1.2998777951020539</v>
      </c>
      <c r="AU157" s="7">
        <v>5.3029050445110597</v>
      </c>
    </row>
    <row r="158" spans="37:47" x14ac:dyDescent="0.25">
      <c r="AK158" t="str">
        <v>chevrolet bel air</v>
      </c>
      <c r="AL158" s="7">
        <v>15</v>
      </c>
      <c r="AM158" s="7">
        <v>12.495121548382592</v>
      </c>
      <c r="AN158" s="7">
        <v>2.5048784516174081</v>
      </c>
      <c r="AO158" s="7">
        <v>4.0295891210602973E-2</v>
      </c>
      <c r="AP158" s="7">
        <v>0.83361742346055501</v>
      </c>
      <c r="AQ158" s="7">
        <v>1.7163587022957112E-3</v>
      </c>
      <c r="AR158" s="7">
        <v>-0.28850633275119353</v>
      </c>
      <c r="AS158" s="7">
        <v>-0.23318022611887829</v>
      </c>
      <c r="AT158" s="7">
        <v>0.91302651848703442</v>
      </c>
      <c r="AU158" s="7">
        <v>2.6100528576220703</v>
      </c>
    </row>
    <row r="159" spans="37:47" x14ac:dyDescent="0.25">
      <c r="AK159" t="str">
        <v>plymouth grand fury</v>
      </c>
      <c r="AL159" s="7">
        <v>16</v>
      </c>
      <c r="AM159" s="7">
        <v>12.120267430938121</v>
      </c>
      <c r="AN159" s="7">
        <v>3.8797325690618791</v>
      </c>
      <c r="AO159" s="7">
        <v>4.0897736141287049E-2</v>
      </c>
      <c r="AP159" s="7">
        <v>1.2915705569901503</v>
      </c>
      <c r="AQ159" s="7">
        <v>4.1842892969318861E-3</v>
      </c>
      <c r="AR159" s="7">
        <v>-0.28850633275119353</v>
      </c>
      <c r="AS159" s="7">
        <v>-0.22773334599687459</v>
      </c>
      <c r="AT159" s="7">
        <v>1.1364728580085626</v>
      </c>
      <c r="AU159" s="7">
        <v>4.0451709012266592</v>
      </c>
    </row>
    <row r="160" spans="37:47" x14ac:dyDescent="0.25">
      <c r="AK160" t="str">
        <v>ford ltd</v>
      </c>
      <c r="AL160" s="7">
        <v>14</v>
      </c>
      <c r="AM160" s="7">
        <v>11.347674066041641</v>
      </c>
      <c r="AN160" s="7">
        <v>2.6523259339583589</v>
      </c>
      <c r="AO160" s="7">
        <v>4.375470825654347E-2</v>
      </c>
      <c r="AP160" s="7">
        <v>0.88428252049290279</v>
      </c>
      <c r="AQ160" s="7">
        <v>2.1046924450569644E-3</v>
      </c>
      <c r="AR160" s="7">
        <v>-0.28850633275119353</v>
      </c>
      <c r="AS160" s="7">
        <v>-0.22349400460848995</v>
      </c>
      <c r="AT160" s="7">
        <v>0.94036297273600833</v>
      </c>
      <c r="AU160" s="7">
        <v>2.7736878360180524</v>
      </c>
    </row>
    <row r="161" spans="37:47" x14ac:dyDescent="0.25">
      <c r="AK161" t="str">
        <v>buick century</v>
      </c>
      <c r="AL161" s="7">
        <v>17</v>
      </c>
      <c r="AM161" s="7">
        <v>15.762140691613761</v>
      </c>
      <c r="AN161" s="7">
        <v>1.2378593083862395</v>
      </c>
      <c r="AO161" s="7">
        <v>3.8802549304697426E-2</v>
      </c>
      <c r="AP161" s="7">
        <v>0.4116364131495851</v>
      </c>
      <c r="AQ161" s="7">
        <v>4.0237065341328126E-4</v>
      </c>
      <c r="AR161" s="7">
        <v>-0.28850633275119353</v>
      </c>
      <c r="AS161" s="7">
        <v>-0.22021492268660475</v>
      </c>
      <c r="AT161" s="7">
        <v>0.64158897524005598</v>
      </c>
      <c r="AU161" s="7">
        <v>1.2878304114215113</v>
      </c>
    </row>
    <row r="162" spans="37:47" x14ac:dyDescent="0.25">
      <c r="AK162" t="str">
        <v>chevroelt chevelle malibu</v>
      </c>
      <c r="AL162" s="7">
        <v>16</v>
      </c>
      <c r="AM162" s="7">
        <v>15.893955947532634</v>
      </c>
      <c r="AN162" s="7">
        <v>0.10604405246736626</v>
      </c>
      <c r="AO162" s="7">
        <v>4.0550061485985271E-2</v>
      </c>
      <c r="AP162" s="7">
        <v>3.5295875579668894E-2</v>
      </c>
      <c r="AQ162" s="7">
        <v>3.0971924792745049E-6</v>
      </c>
      <c r="AR162" s="7">
        <v>-0.28850633275119353</v>
      </c>
      <c r="AS162" s="7">
        <v>-0.20291519301261843</v>
      </c>
      <c r="AT162" s="7">
        <v>0.18787196592272326</v>
      </c>
      <c r="AU162" s="7">
        <v>0.11052588385341511</v>
      </c>
    </row>
    <row r="163" spans="37:47" x14ac:dyDescent="0.25">
      <c r="AK163" t="str">
        <v>amc matador</v>
      </c>
      <c r="AL163" s="7">
        <v>15</v>
      </c>
      <c r="AM163" s="7">
        <v>16.658346493489425</v>
      </c>
      <c r="AN163" s="7">
        <v>-1.6583464934894252</v>
      </c>
      <c r="AO163" s="7">
        <v>3.6213181908382158E-2</v>
      </c>
      <c r="AP163" s="7">
        <v>-0.55072347548179312</v>
      </c>
      <c r="AQ163" s="7">
        <v>6.7035362396424773E-4</v>
      </c>
      <c r="AR163" s="7">
        <v>-0.22898889026089997</v>
      </c>
      <c r="AS163" s="7">
        <v>-0.19933424776620928</v>
      </c>
      <c r="AT163" s="7">
        <v>0.74210745548188173</v>
      </c>
      <c r="AU163" s="7">
        <v>-1.7206569568704999</v>
      </c>
    </row>
    <row r="164" spans="37:47" x14ac:dyDescent="0.25">
      <c r="AK164" t="str">
        <v>plymouth fury</v>
      </c>
      <c r="AL164" s="7">
        <v>18</v>
      </c>
      <c r="AM164" s="7">
        <v>16.623410943961126</v>
      </c>
      <c r="AN164" s="7">
        <v>1.376589056038874</v>
      </c>
      <c r="AO164" s="7">
        <v>4.2873777663927769E-2</v>
      </c>
      <c r="AP164" s="7">
        <v>0.45874200542910859</v>
      </c>
      <c r="AQ164" s="7">
        <v>5.5451159645289157E-4</v>
      </c>
      <c r="AR164" s="7">
        <v>-0.22898889026089997</v>
      </c>
      <c r="AS164" s="7">
        <v>-0.19789440550577833</v>
      </c>
      <c r="AT164" s="7">
        <v>0.67730495748156794</v>
      </c>
      <c r="AU164" s="7">
        <v>1.4382523683020747</v>
      </c>
    </row>
    <row r="165" spans="37:47" x14ac:dyDescent="0.25">
      <c r="AK165" t="str">
        <v>buick skyhawk</v>
      </c>
      <c r="AL165" s="7">
        <v>21</v>
      </c>
      <c r="AM165" s="7">
        <v>20.157093437535096</v>
      </c>
      <c r="AN165" s="7">
        <v>0.84290656246490414</v>
      </c>
      <c r="AO165" s="7">
        <v>3.8262991290562078E-2</v>
      </c>
      <c r="AP165" s="7">
        <v>0.2802206101814847</v>
      </c>
      <c r="AQ165" s="7">
        <v>1.8376966255360998E-4</v>
      </c>
      <c r="AR165" s="7">
        <v>-0.22898889026089997</v>
      </c>
      <c r="AS165" s="7">
        <v>-0.19419634887019752</v>
      </c>
      <c r="AT165" s="7">
        <v>0.52935867819606464</v>
      </c>
      <c r="AU165" s="7">
        <v>0.87644184931180591</v>
      </c>
    </row>
    <row r="166" spans="37:47" x14ac:dyDescent="0.25">
      <c r="AK166" t="str">
        <v>chevrolet monza 2+2</v>
      </c>
      <c r="AL166" s="7">
        <v>20</v>
      </c>
      <c r="AM166" s="7">
        <v>19.23557108758385</v>
      </c>
      <c r="AN166" s="7">
        <v>0.7644289124161503</v>
      </c>
      <c r="AO166" s="7">
        <v>3.5845191221584291E-2</v>
      </c>
      <c r="AP166" s="7">
        <v>0.25381221692103473</v>
      </c>
      <c r="AQ166" s="7">
        <v>1.4088353926934238E-4</v>
      </c>
      <c r="AR166" s="7">
        <v>-0.22898889026089997</v>
      </c>
      <c r="AS166" s="7">
        <v>-0.19410783505686549</v>
      </c>
      <c r="AT166" s="7">
        <v>0.50379779368416722</v>
      </c>
      <c r="AU166" s="7">
        <v>0.79284872663206629</v>
      </c>
    </row>
    <row r="167" spans="37:47" x14ac:dyDescent="0.25">
      <c r="AK167" t="str">
        <v>ford mustang ii</v>
      </c>
      <c r="AL167" s="7">
        <v>13</v>
      </c>
      <c r="AM167" s="7">
        <v>19.190370980452638</v>
      </c>
      <c r="AN167" s="7">
        <v>-6.1903709804526379</v>
      </c>
      <c r="AO167" s="7">
        <v>4.3566451925430752E-2</v>
      </c>
      <c r="AP167" s="7">
        <v>-2.0636596826638138</v>
      </c>
      <c r="AQ167" s="7">
        <v>1.1411024261701269E-2</v>
      </c>
      <c r="AR167" s="7">
        <v>-0.20280722023220576</v>
      </c>
      <c r="AS167" s="7">
        <v>-0.18942202796255866</v>
      </c>
      <c r="AT167" s="7">
        <v>1.4365443545758738</v>
      </c>
      <c r="AU167" s="7">
        <v>-6.4723482283894116</v>
      </c>
    </row>
    <row r="168" spans="37:47" x14ac:dyDescent="0.25">
      <c r="AK168" t="str">
        <v>toyota corolla</v>
      </c>
      <c r="AL168" s="7">
        <v>29</v>
      </c>
      <c r="AM168" s="7">
        <v>27.180262912929354</v>
      </c>
      <c r="AN168" s="7">
        <v>1.8197370870706457</v>
      </c>
      <c r="AO168" s="7">
        <v>4.7178286413457775E-2</v>
      </c>
      <c r="AP168" s="7">
        <v>0.6077873084612555</v>
      </c>
      <c r="AQ168" s="7">
        <v>1.0759320631190616E-3</v>
      </c>
      <c r="AR168" s="7">
        <v>-0.1962841646325432</v>
      </c>
      <c r="AS168" s="7">
        <v>-0.18217601115513996</v>
      </c>
      <c r="AT168" s="7">
        <v>0.7796071500834606</v>
      </c>
      <c r="AU168" s="7">
        <v>1.90984006884239</v>
      </c>
    </row>
    <row r="169" spans="37:47" x14ac:dyDescent="0.25">
      <c r="AK169" t="str">
        <v>ford pinto</v>
      </c>
      <c r="AL169" s="7">
        <v>23</v>
      </c>
      <c r="AM169" s="7">
        <v>22.62080094632741</v>
      </c>
      <c r="AN169" s="7">
        <v>0.37919905367258977</v>
      </c>
      <c r="AO169" s="7">
        <v>3.9549118220708876E-2</v>
      </c>
      <c r="AP169" s="7">
        <v>0.12614744788801885</v>
      </c>
      <c r="AQ169" s="7">
        <v>3.8545143009552257E-5</v>
      </c>
      <c r="AR169" s="7">
        <v>-0.1962841646325432</v>
      </c>
      <c r="AS169" s="7">
        <v>-0.17875083851948473</v>
      </c>
      <c r="AT169" s="7">
        <v>0.35517241994279181</v>
      </c>
      <c r="AU169" s="7">
        <v>0.39481358273116629</v>
      </c>
    </row>
    <row r="170" spans="37:47" x14ac:dyDescent="0.25">
      <c r="AK170" t="str">
        <v>amc gremlin</v>
      </c>
      <c r="AL170" s="7">
        <v>20</v>
      </c>
      <c r="AM170" s="7">
        <v>20.952371458960101</v>
      </c>
      <c r="AN170" s="7">
        <v>-0.95237145896010134</v>
      </c>
      <c r="AO170" s="7">
        <v>3.7843962917676E-2</v>
      </c>
      <c r="AP170" s="7">
        <v>-0.31654278630410199</v>
      </c>
      <c r="AQ170" s="7">
        <v>2.3182860362914372E-4</v>
      </c>
      <c r="AR170" s="7">
        <v>-0.1962841646325432</v>
      </c>
      <c r="AS170" s="7">
        <v>-0.1637477879265988</v>
      </c>
      <c r="AT170" s="7">
        <v>0.562621352513484</v>
      </c>
      <c r="AU170" s="7">
        <v>-0.989830570359571</v>
      </c>
    </row>
    <row r="171" spans="37:47" x14ac:dyDescent="0.25">
      <c r="AK171" t="str">
        <v>pontiac astro</v>
      </c>
      <c r="AL171" s="7">
        <v>23</v>
      </c>
      <c r="AM171" s="7">
        <v>22.939958658005601</v>
      </c>
      <c r="AN171" s="7">
        <v>6.0041341994399033E-2</v>
      </c>
      <c r="AO171" s="7">
        <v>3.9967778821523768E-2</v>
      </c>
      <c r="AP171" s="7">
        <v>1.9978196923054012E-2</v>
      </c>
      <c r="AQ171" s="7">
        <v>9.7743494523160525E-7</v>
      </c>
      <c r="AR171" s="7">
        <v>-0.17676385996282307</v>
      </c>
      <c r="AS171" s="7">
        <v>-0.16166667853581004</v>
      </c>
      <c r="AT171" s="7">
        <v>0.14134424969928566</v>
      </c>
      <c r="AU171" s="7">
        <v>6.2540965469571427E-2</v>
      </c>
    </row>
    <row r="172" spans="37:47" x14ac:dyDescent="0.25">
      <c r="AK172" t="str">
        <v>toyota corona</v>
      </c>
      <c r="AL172" s="7">
        <v>24</v>
      </c>
      <c r="AM172" s="7">
        <v>24.150680436277998</v>
      </c>
      <c r="AN172" s="7">
        <v>-0.1506804362779981</v>
      </c>
      <c r="AO172" s="7">
        <v>4.7066803238434332E-2</v>
      </c>
      <c r="AP172" s="7">
        <v>-5.032391780723363E-2</v>
      </c>
      <c r="AQ172" s="7">
        <v>7.3578717392995239E-6</v>
      </c>
      <c r="AR172" s="7">
        <v>-0.17676385996282307</v>
      </c>
      <c r="AS172" s="7">
        <v>-0.1580347863334722</v>
      </c>
      <c r="AT172" s="7">
        <v>0.22432993069858875</v>
      </c>
      <c r="AU172" s="7">
        <v>-0.15812276956041443</v>
      </c>
    </row>
    <row r="173" spans="37:47" x14ac:dyDescent="0.25">
      <c r="AK173" t="str">
        <v>volkswagen dasher</v>
      </c>
      <c r="AL173" s="7">
        <v>25</v>
      </c>
      <c r="AM173" s="7">
        <v>26.859939698807597</v>
      </c>
      <c r="AN173" s="7">
        <v>-1.8599396988075974</v>
      </c>
      <c r="AO173" s="7">
        <v>4.6422402489413581E-2</v>
      </c>
      <c r="AP173" s="7">
        <v>-0.62096861122347391</v>
      </c>
      <c r="AQ173" s="7">
        <v>1.1042361165811147E-3</v>
      </c>
      <c r="AR173" s="7">
        <v>-0.16378810102408645</v>
      </c>
      <c r="AS173" s="7">
        <v>-0.15390694742658717</v>
      </c>
      <c r="AT173" s="7">
        <v>0.78801561610381421</v>
      </c>
      <c r="AU173" s="7">
        <v>-1.9504859422695788</v>
      </c>
    </row>
    <row r="174" spans="37:47" x14ac:dyDescent="0.25">
      <c r="AK174" t="str">
        <v>datsun 710</v>
      </c>
      <c r="AL174" s="7">
        <v>24</v>
      </c>
      <c r="AM174" s="7">
        <v>24.929383613897784</v>
      </c>
      <c r="AN174" s="7">
        <v>-0.92938361389778379</v>
      </c>
      <c r="AO174" s="7">
        <v>4.7916183652933104E-2</v>
      </c>
      <c r="AP174" s="7">
        <v>-0.31053190188587199</v>
      </c>
      <c r="AQ174" s="7">
        <v>2.8547663095470542E-4</v>
      </c>
      <c r="AR174" s="7">
        <v>-0.1573106846101707</v>
      </c>
      <c r="AS174" s="7">
        <v>-0.15234540833318785</v>
      </c>
      <c r="AT174" s="7">
        <v>0.55725389355828814</v>
      </c>
      <c r="AU174" s="7">
        <v>-0.97615734869186344</v>
      </c>
    </row>
    <row r="175" spans="37:47" x14ac:dyDescent="0.25">
      <c r="AK175" t="str">
        <v>ford pinto</v>
      </c>
      <c r="AL175" s="7">
        <v>18</v>
      </c>
      <c r="AM175" s="7">
        <v>20.646649081762551</v>
      </c>
      <c r="AN175" s="7">
        <v>-2.6466490817625505</v>
      </c>
      <c r="AO175" s="7">
        <v>3.6582858116322593E-2</v>
      </c>
      <c r="AP175" s="7">
        <v>-0.87909939485507615</v>
      </c>
      <c r="AQ175" s="7">
        <v>1.7261967878924593E-3</v>
      </c>
      <c r="AR175" s="7">
        <v>-0.1573106846101707</v>
      </c>
      <c r="AS175" s="7">
        <v>-0.15142098901853462</v>
      </c>
      <c r="AT175" s="7">
        <v>0.93760300493069892</v>
      </c>
      <c r="AU175" s="7">
        <v>-2.7471475923583948</v>
      </c>
    </row>
    <row r="176" spans="37:47" x14ac:dyDescent="0.25">
      <c r="AK176" t="str">
        <v>volkswagen rabbit</v>
      </c>
      <c r="AL176" s="7">
        <v>29</v>
      </c>
      <c r="AM176" s="7">
        <v>28.324282680684522</v>
      </c>
      <c r="AN176" s="7">
        <v>0.67571731931547774</v>
      </c>
      <c r="AO176" s="7">
        <v>5.0674058742774059E-2</v>
      </c>
      <c r="AP176" s="7">
        <v>0.22610292454868022</v>
      </c>
      <c r="AQ176" s="7">
        <v>1.6052171099173177E-4</v>
      </c>
      <c r="AR176" s="7">
        <v>-0.1573106846101707</v>
      </c>
      <c r="AS176" s="7">
        <v>-0.14983838636843658</v>
      </c>
      <c r="AT176" s="7">
        <v>0.47550281234571073</v>
      </c>
      <c r="AU176" s="7">
        <v>0.71178642650447477</v>
      </c>
    </row>
    <row r="177" spans="37:47" x14ac:dyDescent="0.25">
      <c r="AK177" t="str">
        <v>amc pacer</v>
      </c>
      <c r="AL177" s="7">
        <v>19</v>
      </c>
      <c r="AM177" s="7">
        <v>19.610932822805836</v>
      </c>
      <c r="AN177" s="7">
        <v>-0.61093282280583594</v>
      </c>
      <c r="AO177" s="7">
        <v>3.649184830731441E-2</v>
      </c>
      <c r="AP177" s="7">
        <v>-0.20291519301261843</v>
      </c>
      <c r="AQ177" s="7">
        <v>9.1731960876766412E-5</v>
      </c>
      <c r="AR177" s="7">
        <v>-0.1573106846101707</v>
      </c>
      <c r="AS177" s="7">
        <v>-0.14480257381873163</v>
      </c>
      <c r="AT177" s="7">
        <v>0.45046108934359519</v>
      </c>
      <c r="AU177" s="7">
        <v>-0.63407125485399651</v>
      </c>
    </row>
    <row r="178" spans="37:47" x14ac:dyDescent="0.25">
      <c r="AK178" t="str">
        <v>audi 100ls</v>
      </c>
      <c r="AL178" s="7">
        <v>23</v>
      </c>
      <c r="AM178" s="7">
        <v>24.085446503202622</v>
      </c>
      <c r="AN178" s="7">
        <v>-1.0854465032026219</v>
      </c>
      <c r="AO178" s="7">
        <v>4.7178576518786146E-2</v>
      </c>
      <c r="AP178" s="7">
        <v>-0.36253627723479914</v>
      </c>
      <c r="AQ178" s="7">
        <v>3.8281358385704688E-4</v>
      </c>
      <c r="AR178" s="7">
        <v>-0.1573106846101707</v>
      </c>
      <c r="AS178" s="7">
        <v>-0.14215101395795629</v>
      </c>
      <c r="AT178" s="7">
        <v>0.60210985478963819</v>
      </c>
      <c r="AU178" s="7">
        <v>-1.1391919581707672</v>
      </c>
    </row>
    <row r="179" spans="37:47" x14ac:dyDescent="0.25">
      <c r="AK179" t="str">
        <v>peugeot 504</v>
      </c>
      <c r="AL179" s="7">
        <v>23</v>
      </c>
      <c r="AM179" s="7">
        <v>22.867451098101704</v>
      </c>
      <c r="AN179" s="7">
        <v>0.13254890189829638</v>
      </c>
      <c r="AO179" s="7">
        <v>4.6145599109593788E-2</v>
      </c>
      <c r="AP179" s="7">
        <v>4.4247006473740601E-2</v>
      </c>
      <c r="AQ179" s="7">
        <v>5.5714349909394559E-6</v>
      </c>
      <c r="AR179" s="7">
        <v>-0.1573106846101707</v>
      </c>
      <c r="AS179" s="7">
        <v>-0.13131189884057307</v>
      </c>
      <c r="AT179" s="7">
        <v>0.21034972420647621</v>
      </c>
      <c r="AU179" s="7">
        <v>0.13896135696869913</v>
      </c>
    </row>
    <row r="180" spans="37:47" x14ac:dyDescent="0.25">
      <c r="AK180" t="str">
        <v>volvo 244dl</v>
      </c>
      <c r="AL180" s="7">
        <v>22</v>
      </c>
      <c r="AM180" s="7">
        <v>22.765846493947691</v>
      </c>
      <c r="AN180" s="7">
        <v>-0.76584649394769144</v>
      </c>
      <c r="AO180" s="7">
        <v>4.661450658576885E-2</v>
      </c>
      <c r="AP180" s="7">
        <v>-0.2557150343200344</v>
      </c>
      <c r="AQ180" s="7">
        <v>1.8806854102407716E-4</v>
      </c>
      <c r="AR180" s="7">
        <v>-0.1573106846101707</v>
      </c>
      <c r="AS180" s="7">
        <v>-0.119856830968657</v>
      </c>
      <c r="AT180" s="7">
        <v>0.50568274077729247</v>
      </c>
      <c r="AU180" s="7">
        <v>-0.80329153237382334</v>
      </c>
    </row>
    <row r="181" spans="37:47" x14ac:dyDescent="0.25">
      <c r="AK181" t="str">
        <v>saab 99le</v>
      </c>
      <c r="AL181" s="7">
        <v>25</v>
      </c>
      <c r="AM181" s="7">
        <v>23.87717398527948</v>
      </c>
      <c r="AN181" s="7">
        <v>1.1228260147205198</v>
      </c>
      <c r="AO181" s="7">
        <v>5.710316922230399E-2</v>
      </c>
      <c r="AP181" s="7">
        <v>0.37698943709717592</v>
      </c>
      <c r="AQ181" s="7">
        <v>5.0629714512212727E-4</v>
      </c>
      <c r="AR181" s="7">
        <v>-0.11213762424542992</v>
      </c>
      <c r="AS181" s="7">
        <v>-0.10402109723738608</v>
      </c>
      <c r="AT181" s="7">
        <v>0.61399465559333322</v>
      </c>
      <c r="AU181" s="7">
        <v>1.1908259504853984</v>
      </c>
    </row>
    <row r="182" spans="37:47" x14ac:dyDescent="0.25">
      <c r="AK182" t="str">
        <v>honda civic cvcc</v>
      </c>
      <c r="AL182" s="7">
        <v>33</v>
      </c>
      <c r="AM182" s="7">
        <v>29.441268831191156</v>
      </c>
      <c r="AN182" s="7">
        <v>3.5587311688088441</v>
      </c>
      <c r="AO182" s="7">
        <v>4.9364660077821906E-2</v>
      </c>
      <c r="AP182" s="7">
        <v>1.1899727275032896</v>
      </c>
      <c r="AQ182" s="7">
        <v>4.3254101044937513E-3</v>
      </c>
      <c r="AR182" s="7">
        <v>-0.1057051091748199</v>
      </c>
      <c r="AS182" s="7">
        <v>-0.10145734321849574</v>
      </c>
      <c r="AT182" s="7">
        <v>1.0908587110635775</v>
      </c>
      <c r="AU182" s="7">
        <v>3.7435292160505758</v>
      </c>
    </row>
    <row r="183" spans="37:47" x14ac:dyDescent="0.25">
      <c r="AK183" t="str">
        <v>fiat 131</v>
      </c>
      <c r="AL183" s="7">
        <v>28</v>
      </c>
      <c r="AM183" s="7">
        <v>26.17120817185755</v>
      </c>
      <c r="AN183" s="7">
        <v>1.8287918281424496</v>
      </c>
      <c r="AO183" s="7">
        <v>4.1153887070672017E-2</v>
      </c>
      <c r="AP183" s="7">
        <v>0.60888968943784472</v>
      </c>
      <c r="AQ183" s="7">
        <v>9.3603107765154691E-4</v>
      </c>
      <c r="AR183" s="7">
        <v>-0.1057051091748199</v>
      </c>
      <c r="AS183" s="7">
        <v>-9.8723664725633833E-2</v>
      </c>
      <c r="AT183" s="7">
        <v>0.78031384034748785</v>
      </c>
      <c r="AU183" s="7">
        <v>1.9072839775669417</v>
      </c>
    </row>
    <row r="184" spans="37:47" x14ac:dyDescent="0.25">
      <c r="AK184" t="str">
        <v>opel 1900</v>
      </c>
      <c r="AL184" s="7">
        <v>25</v>
      </c>
      <c r="AM184" s="7">
        <v>27.487837877713741</v>
      </c>
      <c r="AN184" s="7">
        <v>-2.4878378777137407</v>
      </c>
      <c r="AO184" s="7">
        <v>4.2581826113320717E-2</v>
      </c>
      <c r="AP184" s="7">
        <v>-0.82893417664067315</v>
      </c>
      <c r="AQ184" s="7">
        <v>1.797685789047434E-3</v>
      </c>
      <c r="AR184" s="7">
        <v>-0.1057051091748199</v>
      </c>
      <c r="AS184" s="7">
        <v>-8.6786137087073154E-2</v>
      </c>
      <c r="AT184" s="7">
        <v>0.91045822344612448</v>
      </c>
      <c r="AU184" s="7">
        <v>-2.5984861636940297</v>
      </c>
    </row>
    <row r="185" spans="37:47" x14ac:dyDescent="0.25">
      <c r="AK185" t="str">
        <v>capri ii</v>
      </c>
      <c r="AL185" s="7">
        <v>25</v>
      </c>
      <c r="AM185" s="7">
        <v>23.588987372554563</v>
      </c>
      <c r="AN185" s="7">
        <v>1.4110126274454373</v>
      </c>
      <c r="AO185" s="7">
        <v>3.6756720464821639E-2</v>
      </c>
      <c r="AP185" s="7">
        <v>0.46871808445674978</v>
      </c>
      <c r="AQ185" s="7">
        <v>4.9314571829620513E-4</v>
      </c>
      <c r="AR185" s="7">
        <v>-8.6432705492186665E-2</v>
      </c>
      <c r="AS185" s="7">
        <v>-8.5231484219193049E-2</v>
      </c>
      <c r="AT185" s="7">
        <v>0.6846298886674097</v>
      </c>
      <c r="AU185" s="7">
        <v>1.464855927285923</v>
      </c>
    </row>
    <row r="186" spans="37:47" x14ac:dyDescent="0.25">
      <c r="AK186" t="str">
        <v>dodge colt</v>
      </c>
      <c r="AL186" s="7">
        <v>26</v>
      </c>
      <c r="AM186" s="7">
        <v>25.405130135942606</v>
      </c>
      <c r="AN186" s="7">
        <v>0.59486986405739373</v>
      </c>
      <c r="AO186" s="7">
        <v>4.0625422118048454E-2</v>
      </c>
      <c r="AP186" s="7">
        <v>0.19800523327850184</v>
      </c>
      <c r="AQ186" s="7">
        <v>9.765941011693387E-5</v>
      </c>
      <c r="AR186" s="7">
        <v>-8.0016051321401133E-2</v>
      </c>
      <c r="AS186" s="7">
        <v>-7.199900072986111E-2</v>
      </c>
      <c r="AT186" s="7">
        <v>0.44497778964629442</v>
      </c>
      <c r="AU186" s="7">
        <v>0.62006006597622276</v>
      </c>
    </row>
    <row r="187" spans="37:47" x14ac:dyDescent="0.25">
      <c r="AK187" t="str">
        <v>renault 12tl</v>
      </c>
      <c r="AL187" s="7">
        <v>27</v>
      </c>
      <c r="AM187" s="7">
        <v>27.546504586878765</v>
      </c>
      <c r="AN187" s="7">
        <v>-0.5465045868787648</v>
      </c>
      <c r="AO187" s="7">
        <v>4.3460623886076202E-2</v>
      </c>
      <c r="AP187" s="7">
        <v>-0.18217601115513996</v>
      </c>
      <c r="AQ187" s="7">
        <v>8.8700600488571737E-5</v>
      </c>
      <c r="AR187" s="7">
        <v>-8.0016051321401133E-2</v>
      </c>
      <c r="AS187" s="7">
        <v>-7.0617155228780759E-2</v>
      </c>
      <c r="AT187" s="7">
        <v>0.42682081855872489</v>
      </c>
      <c r="AU187" s="7">
        <v>-0.57133516980661769</v>
      </c>
    </row>
    <row r="188" spans="37:47" x14ac:dyDescent="0.25">
      <c r="AK188" t="str">
        <v>chevrolet chevelle malibu classic</v>
      </c>
      <c r="AL188" s="7">
        <v>17.5</v>
      </c>
      <c r="AM188" s="7">
        <v>14.490620941147773</v>
      </c>
      <c r="AN188" s="7">
        <v>3.0093790588522271</v>
      </c>
      <c r="AO188" s="7">
        <v>3.5065516812038573E-2</v>
      </c>
      <c r="AP188" s="7">
        <v>0.99879597785625729</v>
      </c>
      <c r="AQ188" s="7">
        <v>2.132490305725493E-3</v>
      </c>
      <c r="AR188" s="7">
        <v>-8.0016051321401133E-2</v>
      </c>
      <c r="AS188" s="7">
        <v>-6.5682072482442247E-2</v>
      </c>
      <c r="AT188" s="7">
        <v>0.99939780761029151</v>
      </c>
      <c r="AU188" s="7">
        <v>3.1187392629080959</v>
      </c>
    </row>
    <row r="189" spans="37:47" x14ac:dyDescent="0.25">
      <c r="AK189" t="str">
        <v>dodge coronet brougham</v>
      </c>
      <c r="AL189" s="7">
        <v>16</v>
      </c>
      <c r="AM189" s="7">
        <v>14.454839361990283</v>
      </c>
      <c r="AN189" s="7">
        <v>1.5451606380097171</v>
      </c>
      <c r="AO189" s="7">
        <v>3.519179467288841E-2</v>
      </c>
      <c r="AP189" s="7">
        <v>0.51286368166818253</v>
      </c>
      <c r="AQ189" s="7">
        <v>5.6435892396387193E-4</v>
      </c>
      <c r="AR189" s="7">
        <v>-8.0016051321401133E-2</v>
      </c>
      <c r="AS189" s="7">
        <v>-6.3550945766768785E-2</v>
      </c>
      <c r="AT189" s="7">
        <v>0.71614501441271139</v>
      </c>
      <c r="AU189" s="7">
        <v>1.6015210375266666</v>
      </c>
    </row>
    <row r="190" spans="37:47" x14ac:dyDescent="0.25">
      <c r="AK190" t="str">
        <v>amc matador</v>
      </c>
      <c r="AL190" s="7">
        <v>15.5</v>
      </c>
      <c r="AM190" s="7">
        <v>16.096366912843138</v>
      </c>
      <c r="AN190" s="7">
        <v>-0.5963669128431377</v>
      </c>
      <c r="AO190" s="7">
        <v>3.4710340110544365E-2</v>
      </c>
      <c r="AP190" s="7">
        <v>-0.19789440550577833</v>
      </c>
      <c r="AQ190" s="7">
        <v>8.2836039655796013E-5</v>
      </c>
      <c r="AR190" s="7">
        <v>-8.0016051321401133E-2</v>
      </c>
      <c r="AS190" s="7">
        <v>-5.032391780723363E-2</v>
      </c>
      <c r="AT190" s="7">
        <v>0.4448532404128111</v>
      </c>
      <c r="AU190" s="7">
        <v>-0.61781135510291629</v>
      </c>
    </row>
    <row r="191" spans="37:47" x14ac:dyDescent="0.25">
      <c r="AK191" t="str">
        <v>ford gran torino</v>
      </c>
      <c r="AL191" s="7">
        <v>14.5</v>
      </c>
      <c r="AM191" s="7">
        <v>14.295783757705278</v>
      </c>
      <c r="AN191" s="7">
        <v>0.20421624229472179</v>
      </c>
      <c r="AO191" s="7">
        <v>3.5592867582380963E-2</v>
      </c>
      <c r="AP191" s="7">
        <v>6.7796750316846358E-2</v>
      </c>
      <c r="AQ191" s="7">
        <v>9.9786410096223046E-6</v>
      </c>
      <c r="AR191" s="7">
        <v>-8.0016051321401133E-2</v>
      </c>
      <c r="AS191" s="7">
        <v>-5.0151452692643997E-2</v>
      </c>
      <c r="AT191" s="7">
        <v>0.26037809108457333</v>
      </c>
      <c r="AU191" s="7">
        <v>0.21175314390591801</v>
      </c>
    </row>
    <row r="192" spans="37:47" x14ac:dyDescent="0.25">
      <c r="AK192" t="str">
        <v>plymouth valiant</v>
      </c>
      <c r="AL192" s="7">
        <v>22</v>
      </c>
      <c r="AM192" s="7">
        <v>20.11224826133407</v>
      </c>
      <c r="AN192" s="7">
        <v>1.8877517386659299</v>
      </c>
      <c r="AO192" s="7">
        <v>3.1607871987985987E-2</v>
      </c>
      <c r="AP192" s="7">
        <v>0.62541466034937299</v>
      </c>
      <c r="AQ192" s="7">
        <v>7.509848928351564E-4</v>
      </c>
      <c r="AR192" s="7">
        <v>-8.0016051321401133E-2</v>
      </c>
      <c r="AS192" s="7">
        <v>-3.7067224491663844E-2</v>
      </c>
      <c r="AT192" s="7">
        <v>0.79083162578982191</v>
      </c>
      <c r="AU192" s="7">
        <v>1.9493670839118078</v>
      </c>
    </row>
    <row r="193" spans="37:47" x14ac:dyDescent="0.25">
      <c r="AK193" t="str">
        <v>chevrolet nova</v>
      </c>
      <c r="AL193" s="7">
        <v>22</v>
      </c>
      <c r="AM193" s="7">
        <v>19.423468947752355</v>
      </c>
      <c r="AN193" s="7">
        <v>2.5765310522476454</v>
      </c>
      <c r="AO193" s="7">
        <v>3.1358116348539258E-2</v>
      </c>
      <c r="AP193" s="7">
        <v>0.8534981078051288</v>
      </c>
      <c r="AQ193" s="7">
        <v>1.3872122881645962E-3</v>
      </c>
      <c r="AR193" s="7">
        <v>-8.0016051321401133E-2</v>
      </c>
      <c r="AS193" s="7">
        <v>-3.3128045912269553E-2</v>
      </c>
      <c r="AT193" s="7">
        <v>0.92384961319747749</v>
      </c>
      <c r="AU193" s="7">
        <v>2.6599418172327756</v>
      </c>
    </row>
    <row r="194" spans="37:47" x14ac:dyDescent="0.25">
      <c r="AK194" t="str">
        <v>ford maverick</v>
      </c>
      <c r="AL194" s="7">
        <v>24</v>
      </c>
      <c r="AM194" s="7">
        <v>21.539731893392151</v>
      </c>
      <c r="AN194" s="7">
        <v>2.4602681066078489</v>
      </c>
      <c r="AO194" s="7">
        <v>3.4789421341587426E-2</v>
      </c>
      <c r="AP194" s="7">
        <v>0.81643234827063926</v>
      </c>
      <c r="AQ194" s="7">
        <v>1.4132422684014045E-3</v>
      </c>
      <c r="AR194" s="7">
        <v>-8.0016051321401133E-2</v>
      </c>
      <c r="AS194" s="7">
        <v>-3.1377572652116069E-2</v>
      </c>
      <c r="AT194" s="7">
        <v>0.90356646035067023</v>
      </c>
      <c r="AU194" s="7">
        <v>2.5489444075794121</v>
      </c>
    </row>
    <row r="195" spans="37:47" x14ac:dyDescent="0.25">
      <c r="AK195" t="str">
        <v>amc hornet</v>
      </c>
      <c r="AL195" s="7">
        <v>22.5</v>
      </c>
      <c r="AM195" s="7">
        <v>21.023982403906754</v>
      </c>
      <c r="AN195" s="7">
        <v>1.4760175960932465</v>
      </c>
      <c r="AO195" s="7">
        <v>3.2808881221181266E-2</v>
      </c>
      <c r="AP195" s="7">
        <v>0.48931010929769164</v>
      </c>
      <c r="AQ195" s="7">
        <v>4.7774766919710722E-4</v>
      </c>
      <c r="AR195" s="7">
        <v>-8.0016051321401133E-2</v>
      </c>
      <c r="AS195" s="7">
        <v>-2.8119699994223715E-2</v>
      </c>
      <c r="AT195" s="7">
        <v>0.69950704735384306</v>
      </c>
      <c r="AU195" s="7">
        <v>1.5260867965339415</v>
      </c>
    </row>
    <row r="196" spans="37:47" x14ac:dyDescent="0.25">
      <c r="AK196" t="str">
        <v>chevrolet chevette</v>
      </c>
      <c r="AL196" s="7">
        <v>29</v>
      </c>
      <c r="AM196" s="7">
        <v>26.957441914013906</v>
      </c>
      <c r="AN196" s="7">
        <v>2.0425580859860943</v>
      </c>
      <c r="AO196" s="7">
        <v>4.3907903822605801E-2</v>
      </c>
      <c r="AP196" s="7">
        <v>0.68104115262367493</v>
      </c>
      <c r="AQ196" s="7">
        <v>1.2529702681123756E-3</v>
      </c>
      <c r="AR196" s="7">
        <v>-1.5986830666930081E-2</v>
      </c>
      <c r="AS196" s="7">
        <v>-2.6512351797492825E-2</v>
      </c>
      <c r="AT196" s="7">
        <v>0.82525217517052019</v>
      </c>
      <c r="AU196" s="7">
        <v>2.1363612293758742</v>
      </c>
    </row>
    <row r="197" spans="37:47" x14ac:dyDescent="0.25">
      <c r="AK197" t="str">
        <v>chevrolet woody</v>
      </c>
      <c r="AL197" s="7">
        <v>24.5</v>
      </c>
      <c r="AM197" s="7">
        <v>26.174383518035512</v>
      </c>
      <c r="AN197" s="7">
        <v>-1.674383518035512</v>
      </c>
      <c r="AO197" s="7">
        <v>4.1334985344032231E-2</v>
      </c>
      <c r="AP197" s="7">
        <v>-0.55753264896976451</v>
      </c>
      <c r="AQ197" s="7">
        <v>7.8839270533019774E-4</v>
      </c>
      <c r="AR197" s="7">
        <v>-9.5918369045287465E-3</v>
      </c>
      <c r="AS197" s="7">
        <v>-2.0495322425387076E-2</v>
      </c>
      <c r="AT197" s="7">
        <v>0.74668108920057996</v>
      </c>
      <c r="AU197" s="7">
        <v>-1.7465783067471083</v>
      </c>
    </row>
    <row r="198" spans="37:47" x14ac:dyDescent="0.25">
      <c r="AK198" t="str">
        <v>vw rabbit</v>
      </c>
      <c r="AL198" s="7">
        <v>29</v>
      </c>
      <c r="AM198" s="7">
        <v>29.09935525028073</v>
      </c>
      <c r="AN198" s="7">
        <v>-9.9355250280730445E-2</v>
      </c>
      <c r="AO198" s="7">
        <v>4.393457692484759E-2</v>
      </c>
      <c r="AP198" s="7">
        <v>-3.3128045912269553E-2</v>
      </c>
      <c r="AQ198" s="7">
        <v>2.9666174993551399E-6</v>
      </c>
      <c r="AR198" s="7">
        <v>-3.1972353893137463E-3</v>
      </c>
      <c r="AS198" s="7">
        <v>-1.3087490477449268E-2</v>
      </c>
      <c r="AT198" s="7">
        <v>0.18201111480420518</v>
      </c>
      <c r="AU198" s="7">
        <v>-0.10392097432114804</v>
      </c>
    </row>
    <row r="199" spans="37:47" x14ac:dyDescent="0.25">
      <c r="AK199" t="str">
        <v>honda civic</v>
      </c>
      <c r="AL199" s="7">
        <v>33</v>
      </c>
      <c r="AM199" s="7">
        <v>30.216341400787364</v>
      </c>
      <c r="AN199" s="7">
        <v>2.7836585992126359</v>
      </c>
      <c r="AO199" s="7">
        <v>4.5682451098333909E-2</v>
      </c>
      <c r="AP199" s="7">
        <v>0.92900557209987766</v>
      </c>
      <c r="AQ199" s="7">
        <v>2.430212241802746E-3</v>
      </c>
      <c r="AR199" s="7">
        <v>3.1972353893138855E-3</v>
      </c>
      <c r="AS199" s="7">
        <v>-1.2115968549611986E-2</v>
      </c>
      <c r="AT199" s="7">
        <v>0.96384935135106964</v>
      </c>
      <c r="AU199" s="7">
        <v>2.9169102071070339</v>
      </c>
    </row>
    <row r="200" spans="37:47" x14ac:dyDescent="0.25">
      <c r="AK200" t="str">
        <v>dodge aspen se</v>
      </c>
      <c r="AL200" s="7">
        <v>20</v>
      </c>
      <c r="AM200" s="7">
        <v>17.995784842215272</v>
      </c>
      <c r="AN200" s="7">
        <v>2.0042151577847278</v>
      </c>
      <c r="AO200" s="7">
        <v>3.6041566214087523E-2</v>
      </c>
      <c r="AP200" s="7">
        <v>0.66552441488229708</v>
      </c>
      <c r="AQ200" s="7">
        <v>9.7414680643075503E-4</v>
      </c>
      <c r="AR200" s="7">
        <v>3.1972353893138855E-3</v>
      </c>
      <c r="AS200" s="7">
        <v>-1.1623375752352078E-2</v>
      </c>
      <c r="AT200" s="7">
        <v>0.81579679754354095</v>
      </c>
      <c r="AU200" s="7">
        <v>2.0791510168267773</v>
      </c>
    </row>
    <row r="201" spans="37:47" x14ac:dyDescent="0.25">
      <c r="AK201" t="str">
        <v>ford granada ghia</v>
      </c>
      <c r="AL201" s="7">
        <v>18</v>
      </c>
      <c r="AM201" s="7">
        <v>18.742861185557167</v>
      </c>
      <c r="AN201" s="7">
        <v>-0.7428611855571674</v>
      </c>
      <c r="AO201" s="7">
        <v>4.7455102359536781E-2</v>
      </c>
      <c r="AP201" s="7">
        <v>-0.24814969353100894</v>
      </c>
      <c r="AQ201" s="7">
        <v>1.804579520529167E-4</v>
      </c>
      <c r="AR201" s="7">
        <v>3.1972353893138855E-3</v>
      </c>
      <c r="AS201" s="7">
        <v>-9.0731992161399936E-3</v>
      </c>
      <c r="AT201" s="7">
        <v>0.49814625716852368</v>
      </c>
      <c r="AU201" s="7">
        <v>-0.77986999604669482</v>
      </c>
    </row>
    <row r="202" spans="37:47" x14ac:dyDescent="0.25">
      <c r="AK202" t="str">
        <v>pontiac ventura sj</v>
      </c>
      <c r="AL202" s="7">
        <v>18.5</v>
      </c>
      <c r="AM202" s="7">
        <v>17.863800380370556</v>
      </c>
      <c r="AN202" s="7">
        <v>0.63619961962944416</v>
      </c>
      <c r="AO202" s="7">
        <v>3.2675410542189164E-2</v>
      </c>
      <c r="AP202" s="7">
        <v>0.21089005247032522</v>
      </c>
      <c r="AQ202" s="7">
        <v>8.8371472904510444E-5</v>
      </c>
      <c r="AR202" s="7">
        <v>3.1972353893138855E-3</v>
      </c>
      <c r="AS202" s="7">
        <v>2.4603534850325339E-3</v>
      </c>
      <c r="AT202" s="7">
        <v>0.45922766953911348</v>
      </c>
      <c r="AU202" s="7">
        <v>0.65768990736195021</v>
      </c>
    </row>
    <row r="203" spans="37:47" x14ac:dyDescent="0.25">
      <c r="AK203" t="str">
        <v>amc pacer d/l</v>
      </c>
      <c r="AL203" s="7">
        <v>17.5</v>
      </c>
      <c r="AM203" s="7">
        <v>20.395962805706446</v>
      </c>
      <c r="AN203" s="7">
        <v>-2.8959628057064464</v>
      </c>
      <c r="AO203" s="7">
        <v>3.2246727730245492E-2</v>
      </c>
      <c r="AP203" s="7">
        <v>-0.95975295748031186</v>
      </c>
      <c r="AQ203" s="7">
        <v>1.8054730036373983E-3</v>
      </c>
      <c r="AR203" s="7">
        <v>3.1972353893138855E-3</v>
      </c>
      <c r="AS203" s="7">
        <v>9.7946834914373372E-3</v>
      </c>
      <c r="AT203" s="7">
        <v>0.9796698206438289</v>
      </c>
      <c r="AU203" s="7">
        <v>-2.9924598435242666</v>
      </c>
    </row>
    <row r="204" spans="37:47" x14ac:dyDescent="0.25">
      <c r="AK204" t="str">
        <v>volkswagen rabbit</v>
      </c>
      <c r="AL204" s="7">
        <v>29.5</v>
      </c>
      <c r="AM204" s="7">
        <v>29.65020949522027</v>
      </c>
      <c r="AN204" s="7">
        <v>-0.15020949522027038</v>
      </c>
      <c r="AO204" s="7">
        <v>4.6489794191789918E-2</v>
      </c>
      <c r="AP204" s="7">
        <v>-5.0151452692643997E-2</v>
      </c>
      <c r="AQ204" s="7">
        <v>7.2135723349850473E-6</v>
      </c>
      <c r="AR204" s="7">
        <v>3.1972353893138855E-3</v>
      </c>
      <c r="AS204" s="7">
        <v>1.3677785391091995E-2</v>
      </c>
      <c r="AT204" s="7">
        <v>0.22394520020005787</v>
      </c>
      <c r="AU204" s="7">
        <v>-0.15753318035327213</v>
      </c>
    </row>
    <row r="205" spans="37:47" x14ac:dyDescent="0.25">
      <c r="AK205" t="str">
        <v>datsun b-210</v>
      </c>
      <c r="AL205" s="7">
        <v>32</v>
      </c>
      <c r="AM205" s="7">
        <v>28.952976682629398</v>
      </c>
      <c r="AN205" s="7">
        <v>3.0470233173706021</v>
      </c>
      <c r="AO205" s="7">
        <v>4.4040272230168237E-2</v>
      </c>
      <c r="AP205" s="7">
        <v>1.0160259092109321</v>
      </c>
      <c r="AQ205" s="7">
        <v>2.7975061003270257E-3</v>
      </c>
      <c r="AR205" s="7">
        <v>3.1972353893138855E-3</v>
      </c>
      <c r="AS205" s="7">
        <v>1.5048430823993899E-2</v>
      </c>
      <c r="AT205" s="7">
        <v>1.007981105582308</v>
      </c>
      <c r="AU205" s="7">
        <v>3.1873971558185135</v>
      </c>
    </row>
    <row r="206" spans="37:47" x14ac:dyDescent="0.25">
      <c r="AK206" t="str">
        <v>toyota corolla</v>
      </c>
      <c r="AL206" s="7">
        <v>28</v>
      </c>
      <c r="AM206" s="7">
        <v>28.03634843636743</v>
      </c>
      <c r="AN206" s="7">
        <v>-3.6348436367429571E-2</v>
      </c>
      <c r="AO206" s="7">
        <v>4.3350610044236071E-2</v>
      </c>
      <c r="AP206" s="7">
        <v>-1.2115968549611986E-2</v>
      </c>
      <c r="AQ206" s="7">
        <v>3.9129992780615229E-7</v>
      </c>
      <c r="AR206" s="7">
        <v>3.1972353893138855E-3</v>
      </c>
      <c r="AS206" s="7">
        <v>1.6521563559615881E-2</v>
      </c>
      <c r="AT206" s="7">
        <v>0.11007256038455718</v>
      </c>
      <c r="AU206" s="7">
        <v>-3.7995567392888153E-2</v>
      </c>
    </row>
    <row r="207" spans="37:47" x14ac:dyDescent="0.25">
      <c r="AK207" t="str">
        <v>ford pinto</v>
      </c>
      <c r="AL207" s="7">
        <v>26.5</v>
      </c>
      <c r="AM207" s="7">
        <v>23.949159178931204</v>
      </c>
      <c r="AN207" s="7">
        <v>2.5508408210687961</v>
      </c>
      <c r="AO207" s="7">
        <v>3.6411444622850564E-2</v>
      </c>
      <c r="AP207" s="7">
        <v>0.84720077695598384</v>
      </c>
      <c r="AQ207" s="7">
        <v>1.595401683831486E-3</v>
      </c>
      <c r="AR207" s="7">
        <v>3.1972353893138855E-3</v>
      </c>
      <c r="AS207" s="7">
        <v>1.9978196923054012E-2</v>
      </c>
      <c r="AT207" s="7">
        <v>0.92043510197948442</v>
      </c>
      <c r="AU207" s="7">
        <v>2.6472303005616276</v>
      </c>
    </row>
    <row r="208" spans="37:47" x14ac:dyDescent="0.25">
      <c r="AK208" t="str">
        <v>volvo 245</v>
      </c>
      <c r="AL208" s="7">
        <v>20</v>
      </c>
      <c r="AM208" s="7">
        <v>22.437994864630799</v>
      </c>
      <c r="AN208" s="7">
        <v>-2.4379948646307987</v>
      </c>
      <c r="AO208" s="7">
        <v>4.3042025864849058E-2</v>
      </c>
      <c r="AP208" s="7">
        <v>-0.81252205315322645</v>
      </c>
      <c r="AQ208" s="7">
        <v>1.7467117093002043E-3</v>
      </c>
      <c r="AR208" s="7">
        <v>6.0784779324276172E-2</v>
      </c>
      <c r="AS208" s="7">
        <v>2.781136326470084E-2</v>
      </c>
      <c r="AT208" s="7">
        <v>0.90140005167141324</v>
      </c>
      <c r="AU208" s="7">
        <v>-2.547650921488096</v>
      </c>
    </row>
    <row r="209" spans="37:47" x14ac:dyDescent="0.25">
      <c r="AK209" t="str">
        <v>plymouth volare premier v8</v>
      </c>
      <c r="AL209" s="7">
        <v>13</v>
      </c>
      <c r="AM209" s="7">
        <v>15.720666765769471</v>
      </c>
      <c r="AN209" s="7">
        <v>-2.7206667657694705</v>
      </c>
      <c r="AO209" s="7">
        <v>3.5371291299942126E-2</v>
      </c>
      <c r="AP209" s="7">
        <v>-0.9031170962155961</v>
      </c>
      <c r="AQ209" s="7">
        <v>1.7592596334059286E-3</v>
      </c>
      <c r="AR209" s="7">
        <v>6.7192354710227428E-2</v>
      </c>
      <c r="AS209" s="7">
        <v>3.0723966658172362E-2</v>
      </c>
      <c r="AT209" s="7">
        <v>0.95032473198144019</v>
      </c>
      <c r="AU209" s="7">
        <v>-2.8204289808416183</v>
      </c>
    </row>
    <row r="210" spans="37:47" x14ac:dyDescent="0.25">
      <c r="AK210" t="str">
        <v>peugeot 504</v>
      </c>
      <c r="AL210" s="7">
        <v>19</v>
      </c>
      <c r="AM210" s="7">
        <v>22.057707758166373</v>
      </c>
      <c r="AN210" s="7">
        <v>-3.057707758166373</v>
      </c>
      <c r="AO210" s="7">
        <v>4.7441901732412563E-2</v>
      </c>
      <c r="AP210" s="7">
        <v>-1.0214074988536541</v>
      </c>
      <c r="AQ210" s="7">
        <v>3.0564674748133577E-3</v>
      </c>
      <c r="AR210" s="7">
        <v>7.3602690030832113E-2</v>
      </c>
      <c r="AS210" s="7">
        <v>3.3677120231556792E-2</v>
      </c>
      <c r="AT210" s="7">
        <v>1.0106470693835974</v>
      </c>
      <c r="AU210" s="7">
        <v>-3.2099960765935545</v>
      </c>
    </row>
    <row r="211" spans="37:47" x14ac:dyDescent="0.25">
      <c r="AK211" t="str">
        <v>toyota mark ii</v>
      </c>
      <c r="AL211" s="7">
        <v>19</v>
      </c>
      <c r="AM211" s="7">
        <v>23.576481230185095</v>
      </c>
      <c r="AN211" s="7">
        <v>-4.5764812301850952</v>
      </c>
      <c r="AO211" s="7">
        <v>4.5101384794468423E-2</v>
      </c>
      <c r="AP211" s="7">
        <v>-1.5268692799723573</v>
      </c>
      <c r="AQ211" s="7">
        <v>6.4772014803550016E-3</v>
      </c>
      <c r="AR211" s="7">
        <v>8.0016051321400994E-2</v>
      </c>
      <c r="AS211" s="7">
        <v>3.5295875579668894E-2</v>
      </c>
      <c r="AT211" s="7">
        <v>1.2356655210745169</v>
      </c>
      <c r="AU211" s="7">
        <v>-4.7926357388214011</v>
      </c>
    </row>
    <row r="212" spans="37:47" x14ac:dyDescent="0.25">
      <c r="AK212" t="str">
        <v>mercedes-benz 280s</v>
      </c>
      <c r="AL212" s="7">
        <v>16.5</v>
      </c>
      <c r="AM212" s="7">
        <v>18.753321647338844</v>
      </c>
      <c r="AN212" s="7">
        <v>-2.2533216473388435</v>
      </c>
      <c r="AO212" s="7">
        <v>5.2143200958480455E-2</v>
      </c>
      <c r="AP212" s="7">
        <v>-0.75457189916222744</v>
      </c>
      <c r="AQ212" s="7">
        <v>1.8424991340947824E-3</v>
      </c>
      <c r="AR212" s="7">
        <v>8.6432705492186818E-2</v>
      </c>
      <c r="AS212" s="7">
        <v>4.357517290963854E-2</v>
      </c>
      <c r="AT212" s="7">
        <v>0.86866098056849972</v>
      </c>
      <c r="AU212" s="7">
        <v>-2.377280671107092</v>
      </c>
    </row>
    <row r="213" spans="37:47" x14ac:dyDescent="0.25">
      <c r="AK213" t="str">
        <v>cadillac seville</v>
      </c>
      <c r="AL213" s="7">
        <v>16.5</v>
      </c>
      <c r="AM213" s="7">
        <v>13.005717576511863</v>
      </c>
      <c r="AN213" s="7">
        <v>3.4942824234881371</v>
      </c>
      <c r="AO213" s="7">
        <v>4.5377289279871169E-2</v>
      </c>
      <c r="AP213" s="7">
        <v>1.1659795306247449</v>
      </c>
      <c r="AQ213" s="7">
        <v>3.8013662770483487E-3</v>
      </c>
      <c r="AR213" s="7">
        <v>8.6432705492186818E-2</v>
      </c>
      <c r="AS213" s="7">
        <v>4.4247006473740601E-2</v>
      </c>
      <c r="AT213" s="7">
        <v>1.0798053207058878</v>
      </c>
      <c r="AU213" s="7">
        <v>3.6603805715581514</v>
      </c>
    </row>
    <row r="214" spans="37:47" x14ac:dyDescent="0.25">
      <c r="AK214" t="str">
        <v>chevy c10</v>
      </c>
      <c r="AL214" s="7">
        <v>13</v>
      </c>
      <c r="AM214" s="7">
        <v>15.219568319798745</v>
      </c>
      <c r="AN214" s="7">
        <v>-2.2195683197987446</v>
      </c>
      <c r="AO214" s="7">
        <v>3.4025124972775156E-2</v>
      </c>
      <c r="AP214" s="7">
        <v>-0.73626542374561854</v>
      </c>
      <c r="AQ214" s="7">
        <v>1.1231914493353005E-3</v>
      </c>
      <c r="AR214" s="7">
        <v>9.9276964964338646E-2</v>
      </c>
      <c r="AS214" s="7">
        <v>5.5683358456535478E-2</v>
      </c>
      <c r="AT214" s="7">
        <v>0.85805910271124008</v>
      </c>
      <c r="AU214" s="7">
        <v>-2.2977495348791437</v>
      </c>
    </row>
    <row r="215" spans="37:47" x14ac:dyDescent="0.25">
      <c r="AK215" t="str">
        <v>ford f108</v>
      </c>
      <c r="AL215" s="7">
        <v>13</v>
      </c>
      <c r="AM215" s="7">
        <v>16.399827077898465</v>
      </c>
      <c r="AN215" s="7">
        <v>-3.3998270778984647</v>
      </c>
      <c r="AO215" s="7">
        <v>3.2249410702291689E-2</v>
      </c>
      <c r="AP215" s="7">
        <v>-1.1267405125615217</v>
      </c>
      <c r="AQ215" s="7">
        <v>2.4886122643385461E-3</v>
      </c>
      <c r="AR215" s="7">
        <v>9.9276964964338646E-2</v>
      </c>
      <c r="AS215" s="7">
        <v>6.1844508852538164E-2</v>
      </c>
      <c r="AT215" s="7">
        <v>1.0614803401672221</v>
      </c>
      <c r="AU215" s="7">
        <v>-3.5131232318501628</v>
      </c>
    </row>
    <row r="216" spans="37:47" x14ac:dyDescent="0.25">
      <c r="AK216" t="str">
        <v>dodge d100</v>
      </c>
      <c r="AL216" s="7">
        <v>13</v>
      </c>
      <c r="AM216" s="7">
        <v>16.657379044566071</v>
      </c>
      <c r="AN216" s="7">
        <v>-3.6573790445660705</v>
      </c>
      <c r="AO216" s="7">
        <v>3.7135465112778508E-2</v>
      </c>
      <c r="AP216" s="7">
        <v>-1.2151675973963221</v>
      </c>
      <c r="AQ216" s="7">
        <v>3.3500178156531464E-3</v>
      </c>
      <c r="AR216" s="7">
        <v>9.9276964964338646E-2</v>
      </c>
      <c r="AS216" s="7">
        <v>6.7796750316846358E-2</v>
      </c>
      <c r="AT216" s="7">
        <v>1.1023464053537446</v>
      </c>
      <c r="AU216" s="7">
        <v>-3.7984357217959559</v>
      </c>
    </row>
    <row r="217" spans="37:47" x14ac:dyDescent="0.25">
      <c r="AK217" t="str">
        <v>honda accord cvcc</v>
      </c>
      <c r="AL217" s="7">
        <v>31.5</v>
      </c>
      <c r="AM217" s="7">
        <v>30.140660247573571</v>
      </c>
      <c r="AN217" s="7">
        <v>1.359339752426429</v>
      </c>
      <c r="AO217" s="7">
        <v>4.7573961811810575E-2</v>
      </c>
      <c r="AP217" s="7">
        <v>0.45411013125419586</v>
      </c>
      <c r="AQ217" s="7">
        <v>6.0591474413001676E-4</v>
      </c>
      <c r="AR217" s="7">
        <v>9.9276964964338646E-2</v>
      </c>
      <c r="AS217" s="7">
        <v>7.2633416429777817E-2</v>
      </c>
      <c r="AT217" s="7">
        <v>0.67387694073487625</v>
      </c>
      <c r="AU217" s="7">
        <v>1.4272391744059372</v>
      </c>
    </row>
    <row r="218" spans="37:47" x14ac:dyDescent="0.25">
      <c r="AK218" t="str">
        <v>buick opel isuzu deluxe</v>
      </c>
      <c r="AL218" s="7">
        <v>30</v>
      </c>
      <c r="AM218" s="7">
        <v>27.328917395369253</v>
      </c>
      <c r="AN218" s="7">
        <v>2.6710826046307474</v>
      </c>
      <c r="AO218" s="7">
        <v>4.7111530230497453E-2</v>
      </c>
      <c r="AP218" s="7">
        <v>0.89210317838710018</v>
      </c>
      <c r="AQ218" s="7">
        <v>2.3145490611005772E-3</v>
      </c>
      <c r="AR218" s="7">
        <v>9.9276964964338646E-2</v>
      </c>
      <c r="AS218" s="7">
        <v>7.8125519301108906E-2</v>
      </c>
      <c r="AT218" s="7">
        <v>0.9445121377658946</v>
      </c>
      <c r="AU218" s="7">
        <v>2.8031429588783507</v>
      </c>
    </row>
    <row r="219" spans="37:47" x14ac:dyDescent="0.25">
      <c r="AK219" t="str">
        <v>renault 5 gtl</v>
      </c>
      <c r="AL219" s="7">
        <v>36</v>
      </c>
      <c r="AM219" s="7">
        <v>31.294975840484813</v>
      </c>
      <c r="AN219" s="7">
        <v>4.7050241595151867</v>
      </c>
      <c r="AO219" s="7">
        <v>5.1189340081255051E-2</v>
      </c>
      <c r="AP219" s="7">
        <v>1.5747836013923129</v>
      </c>
      <c r="AQ219" s="7">
        <v>7.8703278063428847E-3</v>
      </c>
      <c r="AR219" s="7">
        <v>9.9276964964338646E-2</v>
      </c>
      <c r="AS219" s="7">
        <v>8.1721707715661354E-2</v>
      </c>
      <c r="AT219" s="7">
        <v>1.2549038215705268</v>
      </c>
      <c r="AU219" s="7">
        <v>4.9588651964746262</v>
      </c>
    </row>
    <row r="220" spans="37:47" x14ac:dyDescent="0.25">
      <c r="AK220" t="str">
        <v>plymouth arrow gs</v>
      </c>
      <c r="AL220" s="7">
        <v>25.5</v>
      </c>
      <c r="AM220" s="7">
        <v>26.334954589920663</v>
      </c>
      <c r="AN220" s="7">
        <v>-0.83495458992066318</v>
      </c>
      <c r="AO220" s="7">
        <v>4.7857645864700191E-2</v>
      </c>
      <c r="AP220" s="7">
        <v>-0.27897206548305931</v>
      </c>
      <c r="AQ220" s="7">
        <v>2.3010283096977808E-4</v>
      </c>
      <c r="AR220" s="7">
        <v>9.9276964964338646E-2</v>
      </c>
      <c r="AS220" s="7">
        <v>8.7513237424759235E-2</v>
      </c>
      <c r="AT220" s="7">
        <v>0.52817806228871278</v>
      </c>
      <c r="AU220" s="7">
        <v>-0.87692201307328443</v>
      </c>
    </row>
    <row r="221" spans="37:47" x14ac:dyDescent="0.25">
      <c r="AK221" t="str">
        <v>datsun f-10 hatchback</v>
      </c>
      <c r="AL221" s="7">
        <v>33.5</v>
      </c>
      <c r="AM221" s="7">
        <v>30.614518345178162</v>
      </c>
      <c r="AN221" s="7">
        <v>2.885481654821838</v>
      </c>
      <c r="AO221" s="7">
        <v>4.7431289784227601E-2</v>
      </c>
      <c r="AP221" s="7">
        <v>0.96387111404314918</v>
      </c>
      <c r="AQ221" s="7">
        <v>2.7211822643756441E-3</v>
      </c>
      <c r="AR221" s="7">
        <v>9.9276964964338646E-2</v>
      </c>
      <c r="AS221" s="7">
        <v>0.12614744788801885</v>
      </c>
      <c r="AT221" s="7">
        <v>0.98176937925520436</v>
      </c>
      <c r="AU221" s="7">
        <v>3.0291585518993474</v>
      </c>
    </row>
    <row r="222" spans="37:47" x14ac:dyDescent="0.25">
      <c r="AK222" t="str">
        <v>chevrolet caprice classic</v>
      </c>
      <c r="AL222" s="7">
        <v>17.5</v>
      </c>
      <c r="AM222" s="7">
        <v>17.539340232312689</v>
      </c>
      <c r="AN222" s="7">
        <v>-3.9340232312689238E-2</v>
      </c>
      <c r="AO222" s="7">
        <v>3.9585539885507684E-2</v>
      </c>
      <c r="AP222" s="7">
        <v>-1.3087490477449268E-2</v>
      </c>
      <c r="AQ222" s="7">
        <v>4.1528067158141236E-7</v>
      </c>
      <c r="AR222" s="7">
        <v>9.9276964964338646E-2</v>
      </c>
      <c r="AS222" s="7">
        <v>0.12974540077511315</v>
      </c>
      <c r="AT222" s="7">
        <v>0.11440057026715063</v>
      </c>
      <c r="AU222" s="7">
        <v>-4.0961724283076116E-2</v>
      </c>
    </row>
    <row r="223" spans="37:47" x14ac:dyDescent="0.25">
      <c r="AK223" t="str">
        <v>oldsmobile cutlass supreme</v>
      </c>
      <c r="AL223" s="7">
        <v>17</v>
      </c>
      <c r="AM223" s="7">
        <v>17.196219619965625</v>
      </c>
      <c r="AN223" s="7">
        <v>-0.19621961996562476</v>
      </c>
      <c r="AO223" s="7">
        <v>5.1387654780163682E-2</v>
      </c>
      <c r="AP223" s="7">
        <v>-6.5682072482442247E-2</v>
      </c>
      <c r="AQ223" s="7">
        <v>1.374721736872366E-5</v>
      </c>
      <c r="AR223" s="7">
        <v>9.9276964964338646E-2</v>
      </c>
      <c r="AS223" s="7">
        <v>0.12999171896584169</v>
      </c>
      <c r="AT223" s="7">
        <v>0.25628513901988592</v>
      </c>
      <c r="AU223" s="7">
        <v>-0.20684911065557746</v>
      </c>
    </row>
    <row r="224" spans="37:47" x14ac:dyDescent="0.25">
      <c r="AK224" t="str">
        <v>dodge monaco brougham</v>
      </c>
      <c r="AL224" s="7">
        <v>15.5</v>
      </c>
      <c r="AM224" s="7">
        <v>16.222879732382339</v>
      </c>
      <c r="AN224" s="7">
        <v>-0.7228797323823386</v>
      </c>
      <c r="AO224" s="7">
        <v>4.1156840419458537E-2</v>
      </c>
      <c r="AP224" s="7">
        <v>-0.24068058859416844</v>
      </c>
      <c r="AQ224" s="7">
        <v>1.4626070451054007E-4</v>
      </c>
      <c r="AR224" s="7">
        <v>9.9276964964338646E-2</v>
      </c>
      <c r="AS224" s="7">
        <v>0.13985011155836161</v>
      </c>
      <c r="AT224" s="7">
        <v>0.49059207962845103</v>
      </c>
      <c r="AU224" s="7">
        <v>-0.75390821236976013</v>
      </c>
    </row>
    <row r="225" spans="37:47" x14ac:dyDescent="0.25">
      <c r="AK225" t="str">
        <v>mercury cougar brougham</v>
      </c>
      <c r="AL225" s="7">
        <v>15</v>
      </c>
      <c r="AM225" s="7">
        <v>15.681613221342358</v>
      </c>
      <c r="AN225" s="7">
        <v>-0.68161322134235824</v>
      </c>
      <c r="AO225" s="7">
        <v>4.7817128542920702E-2</v>
      </c>
      <c r="AP225" s="7">
        <v>-0.22773334599687459</v>
      </c>
      <c r="AQ225" s="7">
        <v>1.5320306744409423E-4</v>
      </c>
      <c r="AR225" s="7">
        <v>0.17027239685422862</v>
      </c>
      <c r="AS225" s="7">
        <v>0.15513508303132956</v>
      </c>
      <c r="AT225" s="7">
        <v>0.47721415108614978</v>
      </c>
      <c r="AU225" s="7">
        <v>-0.71584276694593196</v>
      </c>
    </row>
    <row r="226" spans="37:47" x14ac:dyDescent="0.25">
      <c r="AK226" t="str">
        <v>chevrolet concours</v>
      </c>
      <c r="AL226" s="7">
        <v>17.5</v>
      </c>
      <c r="AM226" s="7">
        <v>19.930406812128666</v>
      </c>
      <c r="AN226" s="7">
        <v>-2.4304068121286662</v>
      </c>
      <c r="AO226" s="7">
        <v>3.9112251127676453E-2</v>
      </c>
      <c r="AP226" s="7">
        <v>-0.80833512211099245</v>
      </c>
      <c r="AQ226" s="7">
        <v>1.5644948348165081E-3</v>
      </c>
      <c r="AR226" s="7">
        <v>0.17676385996282321</v>
      </c>
      <c r="AS226" s="7">
        <v>0.17184976624815418</v>
      </c>
      <c r="AT226" s="7">
        <v>0.89907459207286711</v>
      </c>
      <c r="AU226" s="7">
        <v>-2.5293347896056928</v>
      </c>
    </row>
    <row r="227" spans="37:47" x14ac:dyDescent="0.25">
      <c r="AK227" t="str">
        <v>buick skylark</v>
      </c>
      <c r="AL227" s="7">
        <v>20.5</v>
      </c>
      <c r="AM227" s="7">
        <v>20.492603385332458</v>
      </c>
      <c r="AN227" s="7">
        <v>7.3966146675417122E-3</v>
      </c>
      <c r="AO227" s="7">
        <v>3.9342493844486986E-2</v>
      </c>
      <c r="AP227" s="7">
        <v>2.4603534850325339E-3</v>
      </c>
      <c r="AQ227" s="7">
        <v>1.4582748947170539E-8</v>
      </c>
      <c r="AR227" s="7">
        <v>0.18326278037660315</v>
      </c>
      <c r="AS227" s="7">
        <v>0.17289252435540003</v>
      </c>
      <c r="AT227" s="7">
        <v>4.9601950415608997E-2</v>
      </c>
      <c r="AU227" s="7">
        <v>7.6995335175618082E-3</v>
      </c>
    </row>
    <row r="228" spans="37:47" x14ac:dyDescent="0.25">
      <c r="AK228" t="str">
        <v>plymouth volare custom</v>
      </c>
      <c r="AL228" s="7">
        <v>19</v>
      </c>
      <c r="AM228" s="7">
        <v>19.535807074001234</v>
      </c>
      <c r="AN228" s="7">
        <v>-0.53580707400123373</v>
      </c>
      <c r="AO228" s="7">
        <v>4.4967132968366005E-2</v>
      </c>
      <c r="AP228" s="7">
        <v>-0.17875083851948473</v>
      </c>
      <c r="AQ228" s="7">
        <v>8.8496100589804255E-5</v>
      </c>
      <c r="AR228" s="7">
        <v>0.18326278037660315</v>
      </c>
      <c r="AS228" s="7">
        <v>0.18042945365691565</v>
      </c>
      <c r="AT228" s="7">
        <v>0.42278935478496232</v>
      </c>
      <c r="AU228" s="7">
        <v>-0.56103521930778322</v>
      </c>
    </row>
    <row r="229" spans="37:47" x14ac:dyDescent="0.25">
      <c r="AK229" t="str">
        <v>ford granada</v>
      </c>
      <c r="AL229" s="7">
        <v>18.5</v>
      </c>
      <c r="AM229" s="7">
        <v>20.099927447495574</v>
      </c>
      <c r="AN229" s="7">
        <v>-1.599927447495574</v>
      </c>
      <c r="AO229" s="7">
        <v>4.3655720287064367E-2</v>
      </c>
      <c r="AP229" s="7">
        <v>-0.53338642732774066</v>
      </c>
      <c r="AQ229" s="7">
        <v>7.6394464843268105E-4</v>
      </c>
      <c r="AR229" s="7">
        <v>0.19628416463254303</v>
      </c>
      <c r="AS229" s="7">
        <v>0.18470642599231274</v>
      </c>
      <c r="AT229" s="7">
        <v>0.73033309340857655</v>
      </c>
      <c r="AU229" s="7">
        <v>-1.672961799882174</v>
      </c>
    </row>
    <row r="230" spans="37:47" x14ac:dyDescent="0.25">
      <c r="AK230" t="str">
        <v>pontiac grand prix lj</v>
      </c>
      <c r="AL230" s="7">
        <v>16</v>
      </c>
      <c r="AM230" s="7">
        <v>15.249539844799058</v>
      </c>
      <c r="AN230" s="7">
        <v>0.75046015520094222</v>
      </c>
      <c r="AO230" s="7">
        <v>5.057933115994296E-2</v>
      </c>
      <c r="AP230" s="7">
        <v>0.25110022474118066</v>
      </c>
      <c r="AQ230" s="7">
        <v>1.9758759791664929E-4</v>
      </c>
      <c r="AR230" s="7">
        <v>0.19628416463254303</v>
      </c>
      <c r="AS230" s="7">
        <v>0.18658521528183183</v>
      </c>
      <c r="AT230" s="7">
        <v>0.50109901690302749</v>
      </c>
      <c r="AU230" s="7">
        <v>0.7904400860767099</v>
      </c>
    </row>
    <row r="231" spans="37:47" x14ac:dyDescent="0.25">
      <c r="AK231" t="str">
        <v>chevrolet monte carlo landau</v>
      </c>
      <c r="AL231" s="7">
        <v>15.5</v>
      </c>
      <c r="AM231" s="7">
        <v>15.690386193165891</v>
      </c>
      <c r="AN231" s="7">
        <v>-0.19038619316589056</v>
      </c>
      <c r="AO231" s="7">
        <v>4.6052506658354996E-2</v>
      </c>
      <c r="AP231" s="7">
        <v>-6.3550945766768785E-2</v>
      </c>
      <c r="AQ231" s="7">
        <v>1.1468956821846464E-5</v>
      </c>
      <c r="AR231" s="7">
        <v>0.19628416463254303</v>
      </c>
      <c r="AS231" s="7">
        <v>0.18988660114211794</v>
      </c>
      <c r="AT231" s="7">
        <v>0.25209312915422505</v>
      </c>
      <c r="AU231" s="7">
        <v>-0.19957722463211716</v>
      </c>
    </row>
    <row r="232" spans="37:47" x14ac:dyDescent="0.25">
      <c r="AK232" t="str">
        <v>chrysler cordoba</v>
      </c>
      <c r="AL232" s="7">
        <v>15.5</v>
      </c>
      <c r="AM232" s="7">
        <v>14.555528015676385</v>
      </c>
      <c r="AN232" s="7">
        <v>0.94447198432361468</v>
      </c>
      <c r="AO232" s="7">
        <v>5.5585416560546497E-2</v>
      </c>
      <c r="AP232" s="7">
        <v>0.31685206458484116</v>
      </c>
      <c r="AQ232" s="7">
        <v>3.4758605236243426E-4</v>
      </c>
      <c r="AR232" s="7">
        <v>0.19628416463254303</v>
      </c>
      <c r="AS232" s="7">
        <v>0.19800523327850184</v>
      </c>
      <c r="AT232" s="7">
        <v>0.56289614014029365</v>
      </c>
      <c r="AU232" s="7">
        <v>1.0000607793284515</v>
      </c>
    </row>
    <row r="233" spans="37:47" x14ac:dyDescent="0.25">
      <c r="AK233" t="str">
        <v>ford thunderbird</v>
      </c>
      <c r="AL233" s="7">
        <v>16</v>
      </c>
      <c r="AM233" s="7">
        <v>15.17058862962041</v>
      </c>
      <c r="AN233" s="7">
        <v>0.82941137037959045</v>
      </c>
      <c r="AO233" s="7">
        <v>4.3566983395152824E-2</v>
      </c>
      <c r="AP233" s="7">
        <v>0.27649769074526315</v>
      </c>
      <c r="AQ233" s="7">
        <v>2.0485049891335791E-4</v>
      </c>
      <c r="AR233" s="7">
        <v>0.19628416463254303</v>
      </c>
      <c r="AS233" s="7">
        <v>0.19993267130990572</v>
      </c>
      <c r="AT233" s="7">
        <v>0.52583047719323306</v>
      </c>
      <c r="AU233" s="7">
        <v>0.86719232395786683</v>
      </c>
    </row>
    <row r="234" spans="37:47" x14ac:dyDescent="0.25">
      <c r="AK234" t="str">
        <v>volkswagen rabbit custom</v>
      </c>
      <c r="AL234" s="7">
        <v>29</v>
      </c>
      <c r="AM234" s="7">
        <v>30.387966595675568</v>
      </c>
      <c r="AN234" s="7">
        <v>-1.387966595675568</v>
      </c>
      <c r="AO234" s="7">
        <v>5.2926272357712363E-2</v>
      </c>
      <c r="AP234" s="7">
        <v>-0.46498176646527745</v>
      </c>
      <c r="AQ234" s="7">
        <v>7.1073948431203671E-4</v>
      </c>
      <c r="AR234" s="7">
        <v>0.19628416463254303</v>
      </c>
      <c r="AS234" s="7">
        <v>0.20398710450777527</v>
      </c>
      <c r="AT234" s="7">
        <v>0.68189571524191106</v>
      </c>
      <c r="AU234" s="7">
        <v>-1.4655317270080654</v>
      </c>
    </row>
    <row r="235" spans="37:47" x14ac:dyDescent="0.25">
      <c r="AK235" t="str">
        <v>pontiac sunbird coupe</v>
      </c>
      <c r="AL235" s="7">
        <v>24.5</v>
      </c>
      <c r="AM235" s="7">
        <v>24.236989814897633</v>
      </c>
      <c r="AN235" s="7">
        <v>0.26301018510236673</v>
      </c>
      <c r="AO235" s="7">
        <v>3.9946930254294279E-2</v>
      </c>
      <c r="AP235" s="7">
        <v>8.7513237424759235E-2</v>
      </c>
      <c r="AQ235" s="7">
        <v>1.8745056327978849E-5</v>
      </c>
      <c r="AR235" s="7">
        <v>0.19628416463254303</v>
      </c>
      <c r="AS235" s="7">
        <v>0.21089005247032522</v>
      </c>
      <c r="AT235" s="7">
        <v>0.29582636364049641</v>
      </c>
      <c r="AU235" s="7">
        <v>0.27395379837911632</v>
      </c>
    </row>
    <row r="236" spans="37:47" x14ac:dyDescent="0.25">
      <c r="AK236" t="str">
        <v>toyota corolla liftback</v>
      </c>
      <c r="AL236" s="7">
        <v>26</v>
      </c>
      <c r="AM236" s="7">
        <v>28.913077108573098</v>
      </c>
      <c r="AN236" s="7">
        <v>-2.9130771085730984</v>
      </c>
      <c r="AO236" s="7">
        <v>4.7359583478988977E-2</v>
      </c>
      <c r="AP236" s="7">
        <v>-0.97305252208919468</v>
      </c>
      <c r="AQ236" s="7">
        <v>2.7688696773164527E-3</v>
      </c>
      <c r="AR236" s="7">
        <v>0.19628416463254303</v>
      </c>
      <c r="AS236" s="7">
        <v>0.21951048018534694</v>
      </c>
      <c r="AT236" s="7">
        <v>0.9864342462066058</v>
      </c>
      <c r="AU236" s="7">
        <v>-3.0578978784161723</v>
      </c>
    </row>
    <row r="237" spans="37:47" x14ac:dyDescent="0.25">
      <c r="AK237" t="str">
        <v>ford mustang ii 2+2</v>
      </c>
      <c r="AL237" s="7">
        <v>25.5</v>
      </c>
      <c r="AM237" s="7">
        <v>24.144803738717336</v>
      </c>
      <c r="AN237" s="7">
        <v>1.3551962612826642</v>
      </c>
      <c r="AO237" s="7">
        <v>3.9787848643024322E-2</v>
      </c>
      <c r="AP237" s="7">
        <v>0.45088667377233937</v>
      </c>
      <c r="AQ237" s="7">
        <v>4.9552907027581336E-4</v>
      </c>
      <c r="AR237" s="7">
        <v>0.19628416463254303</v>
      </c>
      <c r="AS237" s="7">
        <v>0.22330383955665867</v>
      </c>
      <c r="AT237" s="7">
        <v>0.67148095562892873</v>
      </c>
      <c r="AU237" s="7">
        <v>1.4113508763323765</v>
      </c>
    </row>
    <row r="238" spans="37:47" x14ac:dyDescent="0.25">
      <c r="AK238" t="str">
        <v>chevrolet chevette</v>
      </c>
      <c r="AL238" s="7">
        <v>30.5</v>
      </c>
      <c r="AM238" s="7">
        <v>28.131520938551596</v>
      </c>
      <c r="AN238" s="7">
        <v>2.3684790614484044</v>
      </c>
      <c r="AO238" s="7">
        <v>4.8191117508989904E-2</v>
      </c>
      <c r="AP238" s="7">
        <v>0.7914864360088929</v>
      </c>
      <c r="AQ238" s="7">
        <v>1.8657578421682358E-3</v>
      </c>
      <c r="AR238" s="7">
        <v>0.19628416463254303</v>
      </c>
      <c r="AS238" s="7">
        <v>0.22503211391071432</v>
      </c>
      <c r="AT238" s="7">
        <v>0.88965523435142724</v>
      </c>
      <c r="AU238" s="7">
        <v>2.4883977288064179</v>
      </c>
    </row>
    <row r="239" spans="37:47" x14ac:dyDescent="0.25">
      <c r="AK239" t="str">
        <v>dodge colt m/m</v>
      </c>
      <c r="AL239" s="7">
        <v>33.5</v>
      </c>
      <c r="AM239" s="7">
        <v>27.685272868717973</v>
      </c>
      <c r="AN239" s="7">
        <v>5.8147271312820266</v>
      </c>
      <c r="AO239" s="7">
        <v>4.9737029725843013E-2</v>
      </c>
      <c r="AP239" s="7">
        <v>1.9447162353916565</v>
      </c>
      <c r="AQ239" s="7">
        <v>1.1643930329232586E-2</v>
      </c>
      <c r="AR239" s="7">
        <v>0.26194045846440461</v>
      </c>
      <c r="AS239" s="7">
        <v>0.22610292454868022</v>
      </c>
      <c r="AT239" s="7">
        <v>1.3945308298462449</v>
      </c>
      <c r="AU239" s="7">
        <v>6.1190715761600609</v>
      </c>
    </row>
    <row r="240" spans="37:47" x14ac:dyDescent="0.25">
      <c r="AK240" t="str">
        <v>subaru dl</v>
      </c>
      <c r="AL240" s="7">
        <v>30</v>
      </c>
      <c r="AM240" s="7">
        <v>30.460695256434121</v>
      </c>
      <c r="AN240" s="7">
        <v>-0.46069525643412135</v>
      </c>
      <c r="AO240" s="7">
        <v>4.7623568685319598E-2</v>
      </c>
      <c r="AP240" s="7">
        <v>-0.15390694742658717</v>
      </c>
      <c r="AQ240" s="7">
        <v>6.9675617228154668E-5</v>
      </c>
      <c r="AR240" s="7">
        <v>0.26856388625555183</v>
      </c>
      <c r="AS240" s="7">
        <v>0.2334274183109103</v>
      </c>
      <c r="AT240" s="7">
        <v>0.3923097595352264</v>
      </c>
      <c r="AU240" s="7">
        <v>-0.4837323155909769</v>
      </c>
    </row>
    <row r="241" spans="37:47" x14ac:dyDescent="0.25">
      <c r="AK241" t="str">
        <v>volkswagen dasher</v>
      </c>
      <c r="AL241" s="7">
        <v>30.5</v>
      </c>
      <c r="AM241" s="7">
        <v>29.122139191896384</v>
      </c>
      <c r="AN241" s="7">
        <v>1.3778608081036161</v>
      </c>
      <c r="AO241" s="7">
        <v>4.9776381999582162E-2</v>
      </c>
      <c r="AP241" s="7">
        <v>0.46083052696320198</v>
      </c>
      <c r="AQ241" s="7">
        <v>6.5438157939957074E-4</v>
      </c>
      <c r="AR241" s="7">
        <v>0.26856388625555183</v>
      </c>
      <c r="AS241" s="7">
        <v>0.24039254577346184</v>
      </c>
      <c r="AT241" s="7">
        <v>0.67884499479866678</v>
      </c>
      <c r="AU241" s="7">
        <v>1.4500384772618966</v>
      </c>
    </row>
    <row r="242" spans="37:47" x14ac:dyDescent="0.25">
      <c r="AK242" t="str">
        <v>datsun 810</v>
      </c>
      <c r="AL242" s="7">
        <v>22</v>
      </c>
      <c r="AM242" s="7">
        <v>25.771055317280982</v>
      </c>
      <c r="AN242" s="7">
        <v>-3.7710553172809824</v>
      </c>
      <c r="AO242" s="7">
        <v>4.876062171298863E-2</v>
      </c>
      <c r="AP242" s="7">
        <v>-1.260569504380137</v>
      </c>
      <c r="AQ242" s="7">
        <v>4.791418281541465E-3</v>
      </c>
      <c r="AR242" s="7">
        <v>0.2818464860769076</v>
      </c>
      <c r="AS242" s="7">
        <v>0.24386567077228774</v>
      </c>
      <c r="AT242" s="7">
        <v>1.1227508647870805</v>
      </c>
      <c r="AU242" s="7">
        <v>-3.9643599743230626</v>
      </c>
    </row>
    <row r="243" spans="37:47" x14ac:dyDescent="0.25">
      <c r="AK243" t="str">
        <v>bmw 320i</v>
      </c>
      <c r="AL243" s="7">
        <v>21.5</v>
      </c>
      <c r="AM243" s="7">
        <v>26.526616427185193</v>
      </c>
      <c r="AN243" s="7">
        <v>-5.0266164271851927</v>
      </c>
      <c r="AO243" s="7">
        <v>5.4364418410564282E-2</v>
      </c>
      <c r="AP243" s="7">
        <v>-1.68524344765387</v>
      </c>
      <c r="AQ243" s="7">
        <v>9.6043353193524268E-3</v>
      </c>
      <c r="AR243" s="7">
        <v>0.2818464860769076</v>
      </c>
      <c r="AS243" s="7">
        <v>0.25110022474118066</v>
      </c>
      <c r="AT243" s="7">
        <v>1.2981692677204579</v>
      </c>
      <c r="AU243" s="7">
        <v>-5.3155956956869108</v>
      </c>
    </row>
    <row r="244" spans="37:47" x14ac:dyDescent="0.25">
      <c r="AK244" t="str">
        <v>mazda rx-4</v>
      </c>
      <c r="AL244" s="7">
        <v>21.5</v>
      </c>
      <c r="AM244" s="7">
        <v>26.040996115321043</v>
      </c>
      <c r="AN244" s="7">
        <v>-4.5409961153210432</v>
      </c>
      <c r="AO244" s="7">
        <v>4.8259727863398397E-2</v>
      </c>
      <c r="AP244" s="7">
        <v>-1.5175419689962188</v>
      </c>
      <c r="AQ244" s="7">
        <v>6.8690855003637292E-3</v>
      </c>
      <c r="AR244" s="7">
        <v>0.29517900048864598</v>
      </c>
      <c r="AS244" s="7">
        <v>0.25381221692103473</v>
      </c>
      <c r="AT244" s="7">
        <v>1.2318855340477941</v>
      </c>
      <c r="AU244" s="7">
        <v>-4.7712556127595303</v>
      </c>
    </row>
    <row r="245" spans="37:47" x14ac:dyDescent="0.25">
      <c r="AK245" t="str">
        <v>volkswagen rabbit custom diesel</v>
      </c>
      <c r="AL245" s="7">
        <v>43.1</v>
      </c>
      <c r="AM245" s="7">
        <v>30.497188279232841</v>
      </c>
      <c r="AN245" s="7">
        <v>12.602811720767161</v>
      </c>
      <c r="AO245" s="7">
        <v>4.3282429427152436E-2</v>
      </c>
      <c r="AP245" s="7">
        <v>4.2007262122566926</v>
      </c>
      <c r="AQ245" s="7">
        <v>4.6959959279888761E-2</v>
      </c>
      <c r="AR245" s="7">
        <v>0.30186483701074074</v>
      </c>
      <c r="AS245" s="7">
        <v>0.25939653083974346</v>
      </c>
      <c r="AT245" s="7">
        <v>2.0495673231823082</v>
      </c>
      <c r="AU245" s="7">
        <v>13.172969859036932</v>
      </c>
    </row>
    <row r="246" spans="37:47" x14ac:dyDescent="0.25">
      <c r="AK246" t="str">
        <v>ford fiesta</v>
      </c>
      <c r="AL246" s="7">
        <v>36.1</v>
      </c>
      <c r="AM246" s="7">
        <v>29.203680013716564</v>
      </c>
      <c r="AN246" s="7">
        <v>6.8963199862834372</v>
      </c>
      <c r="AO246" s="7">
        <v>4.3604262924426471E-2</v>
      </c>
      <c r="AP246" s="7">
        <v>2.2990445774735213</v>
      </c>
      <c r="AQ246" s="7">
        <v>1.4175460654412718E-2</v>
      </c>
      <c r="AR246" s="7">
        <v>0.30186483701074074</v>
      </c>
      <c r="AS246" s="7">
        <v>0.26483477874394723</v>
      </c>
      <c r="AT246" s="7">
        <v>1.5162600626124534</v>
      </c>
      <c r="AU246" s="7">
        <v>7.2107389430349329</v>
      </c>
    </row>
    <row r="247" spans="37:47" x14ac:dyDescent="0.25">
      <c r="AK247" t="str">
        <v>mazda glc deluxe</v>
      </c>
      <c r="AL247" s="7">
        <v>32.799999999999997</v>
      </c>
      <c r="AM247" s="7">
        <v>30.554219393368534</v>
      </c>
      <c r="AN247" s="7">
        <v>2.2457806066314632</v>
      </c>
      <c r="AO247" s="7">
        <v>4.2998995586674138E-2</v>
      </c>
      <c r="AP247" s="7">
        <v>0.74844507336636135</v>
      </c>
      <c r="AQ247" s="7">
        <v>1.4805288140072991E-3</v>
      </c>
      <c r="AR247" s="7">
        <v>0.30186483701074074</v>
      </c>
      <c r="AS247" s="7">
        <v>0.26714134253452815</v>
      </c>
      <c r="AT247" s="7">
        <v>0.86512720068574966</v>
      </c>
      <c r="AU247" s="7">
        <v>2.3466857362476885</v>
      </c>
    </row>
    <row r="248" spans="37:47" x14ac:dyDescent="0.25">
      <c r="AK248" t="str">
        <v>datsun b210 gx</v>
      </c>
      <c r="AL248" s="7">
        <v>39.4</v>
      </c>
      <c r="AM248" s="7">
        <v>29.831582300919862</v>
      </c>
      <c r="AN248" s="7">
        <v>9.5684176990801362</v>
      </c>
      <c r="AO248" s="7">
        <v>3.8875196033690343E-2</v>
      </c>
      <c r="AP248" s="7">
        <v>3.1819916573400091</v>
      </c>
      <c r="AQ248" s="7">
        <v>2.409028614825447E-2</v>
      </c>
      <c r="AR248" s="7">
        <v>0.30186483701074074</v>
      </c>
      <c r="AS248" s="7">
        <v>0.27141090048237276</v>
      </c>
      <c r="AT248" s="7">
        <v>1.7838137955907867</v>
      </c>
      <c r="AU248" s="7">
        <v>9.9554372747366315</v>
      </c>
    </row>
    <row r="249" spans="37:47" x14ac:dyDescent="0.25">
      <c r="AK249" t="str">
        <v>honda civic cvcc</v>
      </c>
      <c r="AL249" s="7">
        <v>36.1</v>
      </c>
      <c r="AM249" s="7">
        <v>31.3610402165368</v>
      </c>
      <c r="AN249" s="7">
        <v>4.7389597834632013</v>
      </c>
      <c r="AO249" s="7">
        <v>3.977370933084589E-2</v>
      </c>
      <c r="AP249" s="7">
        <v>1.5766853430851646</v>
      </c>
      <c r="AQ249" s="7">
        <v>6.0570846398093712E-3</v>
      </c>
      <c r="AR249" s="7">
        <v>0.30186483701074074</v>
      </c>
      <c r="AS249" s="7">
        <v>0.2749672873635931</v>
      </c>
      <c r="AT249" s="7">
        <v>1.2556613170298607</v>
      </c>
      <c r="AU249" s="7">
        <v>4.9352531059743807</v>
      </c>
    </row>
    <row r="250" spans="37:47" x14ac:dyDescent="0.25">
      <c r="AK250" t="str">
        <v>oldsmobile cutlass salon brougham</v>
      </c>
      <c r="AL250" s="7">
        <v>19.899999999999999</v>
      </c>
      <c r="AM250" s="7">
        <v>20.56519746010305</v>
      </c>
      <c r="AN250" s="7">
        <v>-0.6651974601030517</v>
      </c>
      <c r="AO250" s="7">
        <v>3.0148411795750178E-2</v>
      </c>
      <c r="AP250" s="7">
        <v>-0.22021492268660475</v>
      </c>
      <c r="AQ250" s="7">
        <v>8.8675516438309517E-5</v>
      </c>
      <c r="AR250" s="7">
        <v>0.30186483701074074</v>
      </c>
      <c r="AS250" s="7">
        <v>0.27649769074526315</v>
      </c>
      <c r="AT250" s="7">
        <v>0.46927062840817635</v>
      </c>
      <c r="AU250" s="7">
        <v>-0.68587551764978061</v>
      </c>
    </row>
    <row r="251" spans="37:47" x14ac:dyDescent="0.25">
      <c r="AK251" t="str">
        <v>dodge diplomat</v>
      </c>
      <c r="AL251" s="7">
        <v>19.399999999999999</v>
      </c>
      <c r="AM251" s="7">
        <v>18.204679943903614</v>
      </c>
      <c r="AN251" s="7">
        <v>1.195320056096385</v>
      </c>
      <c r="AO251" s="7">
        <v>3.1784700220696488E-2</v>
      </c>
      <c r="AP251" s="7">
        <v>0.39604728421942698</v>
      </c>
      <c r="AQ251" s="7">
        <v>3.0289446441747052E-4</v>
      </c>
      <c r="AR251" s="7">
        <v>0.30186483701074074</v>
      </c>
      <c r="AS251" s="7">
        <v>0.2802206101814847</v>
      </c>
      <c r="AT251" s="7">
        <v>0.62932287755922789</v>
      </c>
      <c r="AU251" s="7">
        <v>1.2345601813654961</v>
      </c>
    </row>
    <row r="252" spans="37:47" x14ac:dyDescent="0.25">
      <c r="AK252" t="str">
        <v>mercury monarch ghia</v>
      </c>
      <c r="AL252" s="7">
        <v>20.2</v>
      </c>
      <c r="AM252" s="7">
        <v>19.056362462351419</v>
      </c>
      <c r="AN252" s="7">
        <v>1.1436375376485799</v>
      </c>
      <c r="AO252" s="7">
        <v>3.2108495315757317E-2</v>
      </c>
      <c r="AP252" s="7">
        <v>0.37898661019969393</v>
      </c>
      <c r="AQ252" s="7">
        <v>2.8027998610575947E-4</v>
      </c>
      <c r="AR252" s="7">
        <v>0.30186483701074074</v>
      </c>
      <c r="AS252" s="7">
        <v>0.28753308488155438</v>
      </c>
      <c r="AT252" s="7">
        <v>0.615618883888152</v>
      </c>
      <c r="AU252" s="7">
        <v>1.1815761705870858</v>
      </c>
    </row>
    <row r="253" spans="37:47" x14ac:dyDescent="0.25">
      <c r="AK253" t="str">
        <v>pontiac phoenix lj</v>
      </c>
      <c r="AL253" s="7">
        <v>19.2</v>
      </c>
      <c r="AM253" s="7">
        <v>19.785616985300909</v>
      </c>
      <c r="AN253" s="7">
        <v>-0.58561698530090922</v>
      </c>
      <c r="AO253" s="7">
        <v>3.340884753772768E-2</v>
      </c>
      <c r="AP253" s="7">
        <v>-0.19419634887019752</v>
      </c>
      <c r="AQ253" s="7">
        <v>7.66746634500931E-5</v>
      </c>
      <c r="AR253" s="7">
        <v>0.30186483701074074</v>
      </c>
      <c r="AS253" s="7">
        <v>0.29319660015181503</v>
      </c>
      <c r="AT253" s="7">
        <v>0.44067714811435083</v>
      </c>
      <c r="AU253" s="7">
        <v>-0.60585800295101178</v>
      </c>
    </row>
    <row r="254" spans="37:47" x14ac:dyDescent="0.25">
      <c r="AK254" t="str">
        <v>chevrolet malibu</v>
      </c>
      <c r="AL254" s="7">
        <v>20.5</v>
      </c>
      <c r="AM254" s="7">
        <v>21.872038958580685</v>
      </c>
      <c r="AN254" s="7">
        <v>-1.3720389585806849</v>
      </c>
      <c r="AO254" s="7">
        <v>3.1552376124896538E-2</v>
      </c>
      <c r="AP254" s="7">
        <v>-0.4545453066083554</v>
      </c>
      <c r="AQ254" s="7">
        <v>3.9596916404452566E-4</v>
      </c>
      <c r="AR254" s="7">
        <v>0.30186483701074074</v>
      </c>
      <c r="AS254" s="7">
        <v>0.29552136767781301</v>
      </c>
      <c r="AT254" s="7">
        <v>0.6741997527501441</v>
      </c>
      <c r="AU254" s="7">
        <v>-1.4167404873075831</v>
      </c>
    </row>
    <row r="255" spans="37:47" x14ac:dyDescent="0.25">
      <c r="AK255" t="str">
        <v>ford fairmont (auto)</v>
      </c>
      <c r="AL255" s="7">
        <v>20.2</v>
      </c>
      <c r="AM255" s="7">
        <v>22.996432104988273</v>
      </c>
      <c r="AN255" s="7">
        <v>-2.7964321049882734</v>
      </c>
      <c r="AO255" s="7">
        <v>3.2831438900877988E-2</v>
      </c>
      <c r="AP255" s="7">
        <v>-0.92704752263459622</v>
      </c>
      <c r="AQ255" s="7">
        <v>1.7161009038441971E-3</v>
      </c>
      <c r="AR255" s="7">
        <v>0.30186483701074074</v>
      </c>
      <c r="AS255" s="7">
        <v>0.30206292858297307</v>
      </c>
      <c r="AT255" s="7">
        <v>0.96283307101210236</v>
      </c>
      <c r="AU255" s="7">
        <v>-2.8913596010713132</v>
      </c>
    </row>
    <row r="256" spans="37:47" x14ac:dyDescent="0.25">
      <c r="AK256" t="str">
        <v>ford fairmont (man)</v>
      </c>
      <c r="AL256" s="7">
        <v>25.1</v>
      </c>
      <c r="AM256" s="7">
        <v>24.188233664831259</v>
      </c>
      <c r="AN256" s="7">
        <v>0.91176633516874261</v>
      </c>
      <c r="AO256" s="7">
        <v>3.1566385285221446E-2</v>
      </c>
      <c r="AP256" s="7">
        <v>0.30206292858297307</v>
      </c>
      <c r="AQ256" s="7">
        <v>1.7494475780529764E-4</v>
      </c>
      <c r="AR256" s="7">
        <v>0.30186483701074074</v>
      </c>
      <c r="AS256" s="7">
        <v>0.31685206458484116</v>
      </c>
      <c r="AT256" s="7">
        <v>0.54960251871964072</v>
      </c>
      <c r="AU256" s="7">
        <v>0.94148563341357638</v>
      </c>
    </row>
    <row r="257" spans="37:47" x14ac:dyDescent="0.25">
      <c r="AK257" t="str">
        <v>plymouth volare</v>
      </c>
      <c r="AL257" s="7">
        <v>20.5</v>
      </c>
      <c r="AM257" s="7">
        <v>20.398446654655874</v>
      </c>
      <c r="AN257" s="7">
        <v>0.10155334534412574</v>
      </c>
      <c r="AO257" s="7">
        <v>3.346812475978498E-2</v>
      </c>
      <c r="AP257" s="7">
        <v>3.3677120231556792E-2</v>
      </c>
      <c r="AQ257" s="7">
        <v>2.31012867798152E-6</v>
      </c>
      <c r="AR257" s="7">
        <v>0.30186483701074074</v>
      </c>
      <c r="AS257" s="7">
        <v>0.32432388942401408</v>
      </c>
      <c r="AT257" s="7">
        <v>0.18351326990590297</v>
      </c>
      <c r="AU257" s="7">
        <v>0.10506983571430212</v>
      </c>
    </row>
    <row r="258" spans="37:47" x14ac:dyDescent="0.25">
      <c r="AK258" t="str">
        <v>amc concord</v>
      </c>
      <c r="AL258" s="7">
        <v>19.399999999999999</v>
      </c>
      <c r="AM258" s="7">
        <v>21.674739089516965</v>
      </c>
      <c r="AN258" s="7">
        <v>-2.2747390895169666</v>
      </c>
      <c r="AO258" s="7">
        <v>3.3909202683638458E-2</v>
      </c>
      <c r="AP258" s="7">
        <v>-0.75452115641439021</v>
      </c>
      <c r="AQ258" s="7">
        <v>1.1754212964191057E-3</v>
      </c>
      <c r="AR258" s="7">
        <v>0.30186483701074074</v>
      </c>
      <c r="AS258" s="7">
        <v>0.33488821969058197</v>
      </c>
      <c r="AT258" s="7">
        <v>0.86863177262542624</v>
      </c>
      <c r="AU258" s="7">
        <v>-2.3545810557722016</v>
      </c>
    </row>
    <row r="259" spans="37:47" x14ac:dyDescent="0.25">
      <c r="AK259" t="str">
        <v>buick century special</v>
      </c>
      <c r="AL259" s="7">
        <v>20.6</v>
      </c>
      <c r="AM259" s="7">
        <v>20.570429975644004</v>
      </c>
      <c r="AN259" s="7">
        <v>2.9570024355997759E-2</v>
      </c>
      <c r="AO259" s="7">
        <v>3.1231166756803205E-2</v>
      </c>
      <c r="AP259" s="7">
        <v>9.7946834914373372E-3</v>
      </c>
      <c r="AQ259" s="7">
        <v>1.8192816649843895E-7</v>
      </c>
      <c r="AR259" s="7">
        <v>0.39705550482904034</v>
      </c>
      <c r="AS259" s="7">
        <v>0.34571317856571621</v>
      </c>
      <c r="AT259" s="7">
        <v>9.8968093299999157E-2</v>
      </c>
      <c r="AU259" s="7">
        <v>3.052330271299571E-2</v>
      </c>
    </row>
    <row r="260" spans="37:47" x14ac:dyDescent="0.25">
      <c r="AK260" t="str">
        <v>mercury zephyr</v>
      </c>
      <c r="AL260" s="7">
        <v>20.8</v>
      </c>
      <c r="AM260" s="7">
        <v>22.464784595401014</v>
      </c>
      <c r="AN260" s="7">
        <v>-1.664784595401013</v>
      </c>
      <c r="AO260" s="7">
        <v>3.397005111054123E-2</v>
      </c>
      <c r="AP260" s="7">
        <v>-0.55221926921070352</v>
      </c>
      <c r="AQ260" s="7">
        <v>6.3078274113854678E-4</v>
      </c>
      <c r="AR260" s="7">
        <v>0.40398399337523622</v>
      </c>
      <c r="AS260" s="7">
        <v>0.34767210505293855</v>
      </c>
      <c r="AT260" s="7">
        <v>0.74311457340756248</v>
      </c>
      <c r="AU260" s="7">
        <v>-1.7233260700818205</v>
      </c>
    </row>
    <row r="261" spans="37:47" x14ac:dyDescent="0.25">
      <c r="AK261" t="str">
        <v>dodge aspen</v>
      </c>
      <c r="AL261" s="7">
        <v>18.600000000000001</v>
      </c>
      <c r="AM261" s="7">
        <v>19.274053508248279</v>
      </c>
      <c r="AN261" s="7">
        <v>-0.67405350824827792</v>
      </c>
      <c r="AO261" s="7">
        <v>3.3160023066221296E-2</v>
      </c>
      <c r="AP261" s="7">
        <v>-0.22349400460848995</v>
      </c>
      <c r="AQ261" s="7">
        <v>1.0077273787285113E-4</v>
      </c>
      <c r="AR261" s="7">
        <v>0.41093192943060336</v>
      </c>
      <c r="AS261" s="7">
        <v>0.35223603151478755</v>
      </c>
      <c r="AT261" s="7">
        <v>0.47275152523126773</v>
      </c>
      <c r="AU261" s="7">
        <v>-0.69717173920131104</v>
      </c>
    </row>
    <row r="262" spans="37:47" x14ac:dyDescent="0.25">
      <c r="AK262" t="str">
        <v>amc concord d/l</v>
      </c>
      <c r="AL262" s="7">
        <v>18.100000000000001</v>
      </c>
      <c r="AM262" s="7">
        <v>20.174984207887384</v>
      </c>
      <c r="AN262" s="7">
        <v>-2.0749842078873826</v>
      </c>
      <c r="AO262" s="7">
        <v>2.9749884328060014E-2</v>
      </c>
      <c r="AP262" s="7">
        <v>-0.68678649689214288</v>
      </c>
      <c r="AQ262" s="7">
        <v>8.5073862793208152E-4</v>
      </c>
      <c r="AR262" s="7">
        <v>0.41093192943060336</v>
      </c>
      <c r="AS262" s="7">
        <v>0.3734161112853604</v>
      </c>
      <c r="AT262" s="7">
        <v>0.82872582733503775</v>
      </c>
      <c r="AU262" s="7">
        <v>-2.1386075346668387</v>
      </c>
    </row>
    <row r="263" spans="37:47" x14ac:dyDescent="0.25">
      <c r="AK263" t="str">
        <v>chevrolet monte carlo landau</v>
      </c>
      <c r="AL263" s="7">
        <v>19.2</v>
      </c>
      <c r="AM263" s="7">
        <v>19.693123764822097</v>
      </c>
      <c r="AN263" s="7">
        <v>-0.49312376482209785</v>
      </c>
      <c r="AO263" s="7">
        <v>3.6040940985145986E-2</v>
      </c>
      <c r="AP263" s="7">
        <v>-0.1637477879265988</v>
      </c>
      <c r="AQ263" s="7">
        <v>5.8971136076672969E-5</v>
      </c>
      <c r="AR263" s="7">
        <v>0.42488793897993393</v>
      </c>
      <c r="AS263" s="7">
        <v>0.37698943709717592</v>
      </c>
      <c r="AT263" s="7">
        <v>0.40465761814971285</v>
      </c>
      <c r="AU263" s="7">
        <v>-0.51156090106779017</v>
      </c>
    </row>
    <row r="264" spans="37:47" x14ac:dyDescent="0.25">
      <c r="AK264" t="str">
        <v>buick regal sport coupe (turbo)</v>
      </c>
      <c r="AL264" s="7">
        <v>17.7</v>
      </c>
      <c r="AM264" s="7">
        <v>19.267128933448944</v>
      </c>
      <c r="AN264" s="7">
        <v>-1.5671289334489451</v>
      </c>
      <c r="AO264" s="7">
        <v>4.9070502455294401E-2</v>
      </c>
      <c r="AP264" s="7">
        <v>-0.52393736657058176</v>
      </c>
      <c r="AQ264" s="7">
        <v>8.3326283140426507E-4</v>
      </c>
      <c r="AR264" s="7">
        <v>0.43189692948271047</v>
      </c>
      <c r="AS264" s="7">
        <v>0.37898661019969393</v>
      </c>
      <c r="AT264" s="7">
        <v>0.72383517914687023</v>
      </c>
      <c r="AU264" s="7">
        <v>-1.6479969729567365</v>
      </c>
    </row>
    <row r="265" spans="37:47" x14ac:dyDescent="0.25">
      <c r="AK265" t="str">
        <v>ford futura</v>
      </c>
      <c r="AL265" s="7">
        <v>18.100000000000001</v>
      </c>
      <c r="AM265" s="7">
        <v>20.904470471869033</v>
      </c>
      <c r="AN265" s="7">
        <v>-2.8044704718690312</v>
      </c>
      <c r="AO265" s="7">
        <v>3.7096220197083127E-2</v>
      </c>
      <c r="AP265" s="7">
        <v>-0.9317689403765218</v>
      </c>
      <c r="AQ265" s="7">
        <v>1.9674980339091886E-3</v>
      </c>
      <c r="AR265" s="7">
        <v>0.43189692948271047</v>
      </c>
      <c r="AS265" s="7">
        <v>0.3790485664453247</v>
      </c>
      <c r="AT265" s="7">
        <v>0.9652817932482316</v>
      </c>
      <c r="AU265" s="7">
        <v>-2.9125137222361288</v>
      </c>
    </row>
    <row r="266" spans="37:47" x14ac:dyDescent="0.25">
      <c r="AK266" t="str">
        <v>dodge magnum xe</v>
      </c>
      <c r="AL266" s="7">
        <v>17.5</v>
      </c>
      <c r="AM266" s="7">
        <v>16.457838126688337</v>
      </c>
      <c r="AN266" s="7">
        <v>1.0421618733116631</v>
      </c>
      <c r="AO266" s="7">
        <v>3.4091253908339864E-2</v>
      </c>
      <c r="AP266" s="7">
        <v>0.34571317856571621</v>
      </c>
      <c r="AQ266" s="7">
        <v>2.4813602777608177E-4</v>
      </c>
      <c r="AR266" s="7">
        <v>0.43189692948271047</v>
      </c>
      <c r="AS266" s="7">
        <v>0.38024696094502353</v>
      </c>
      <c r="AT266" s="7">
        <v>0.58797379071325639</v>
      </c>
      <c r="AU266" s="7">
        <v>1.0789444422452377</v>
      </c>
    </row>
    <row r="267" spans="37:47" x14ac:dyDescent="0.25">
      <c r="AK267" t="str">
        <v>chevrolet chevette</v>
      </c>
      <c r="AL267" s="7">
        <v>30</v>
      </c>
      <c r="AM267" s="7">
        <v>27.373732236443036</v>
      </c>
      <c r="AN267" s="7">
        <v>2.6262677635569638</v>
      </c>
      <c r="AO267" s="7">
        <v>3.7268324735451754E-2</v>
      </c>
      <c r="AP267" s="7">
        <v>0.87264012009621761</v>
      </c>
      <c r="AQ267" s="7">
        <v>1.73402773982469E-3</v>
      </c>
      <c r="AR267" s="7">
        <v>0.43189692948271047</v>
      </c>
      <c r="AS267" s="7">
        <v>0.38649046111355201</v>
      </c>
      <c r="AT267" s="7">
        <v>0.93415208617024326</v>
      </c>
      <c r="AU267" s="7">
        <v>2.7279332663852509</v>
      </c>
    </row>
    <row r="268" spans="37:47" x14ac:dyDescent="0.25">
      <c r="AK268" t="str">
        <v>toyota corona</v>
      </c>
      <c r="AL268" s="7">
        <v>27.5</v>
      </c>
      <c r="AM268" s="7">
        <v>26.944649790674134</v>
      </c>
      <c r="AN268" s="7">
        <v>0.55535020932586576</v>
      </c>
      <c r="AO268" s="7">
        <v>3.9123709977541374E-2</v>
      </c>
      <c r="AP268" s="7">
        <v>0.18470642599231274</v>
      </c>
      <c r="AQ268" s="7">
        <v>8.1712338986331064E-5</v>
      </c>
      <c r="AR268" s="7">
        <v>0.43189692948271047</v>
      </c>
      <c r="AS268" s="7">
        <v>0.39604728421942698</v>
      </c>
      <c r="AT268" s="7">
        <v>0.42977485500237533</v>
      </c>
      <c r="AU268" s="7">
        <v>0.57796223623426646</v>
      </c>
    </row>
    <row r="269" spans="37:47" x14ac:dyDescent="0.25">
      <c r="AK269" t="str">
        <v>datsun 510</v>
      </c>
      <c r="AL269" s="7">
        <v>27.2</v>
      </c>
      <c r="AM269" s="7">
        <v>28.228637426697397</v>
      </c>
      <c r="AN269" s="7">
        <v>-1.0286374266973972</v>
      </c>
      <c r="AO269" s="7">
        <v>3.9715916765860677E-2</v>
      </c>
      <c r="AP269" s="7">
        <v>-0.34222462819834187</v>
      </c>
      <c r="AQ269" s="7">
        <v>2.8493018540551589E-4</v>
      </c>
      <c r="AR269" s="7">
        <v>0.43189692948271047</v>
      </c>
      <c r="AS269" s="7">
        <v>0.39947920216775701</v>
      </c>
      <c r="AT269" s="7">
        <v>0.58499968222071874</v>
      </c>
      <c r="AU269" s="7">
        <v>-1.0711803357534062</v>
      </c>
    </row>
    <row r="270" spans="37:47" x14ac:dyDescent="0.25">
      <c r="AK270" t="str">
        <v>dodge omni</v>
      </c>
      <c r="AL270" s="7">
        <v>30.9</v>
      </c>
      <c r="AM270" s="7">
        <v>26.880328991634492</v>
      </c>
      <c r="AN270" s="7">
        <v>4.0196710083655063</v>
      </c>
      <c r="AO270" s="7">
        <v>3.6193310154119702E-2</v>
      </c>
      <c r="AP270" s="7">
        <v>1.3348865121336095</v>
      </c>
      <c r="AQ270" s="7">
        <v>3.9362088773436318E-3</v>
      </c>
      <c r="AR270" s="7">
        <v>0.43189692948271047</v>
      </c>
      <c r="AS270" s="7">
        <v>0.39968495672630688</v>
      </c>
      <c r="AT270" s="7">
        <v>1.1553728887824959</v>
      </c>
      <c r="AU270" s="7">
        <v>4.1706195347204753</v>
      </c>
    </row>
    <row r="271" spans="37:47" x14ac:dyDescent="0.25">
      <c r="AK271" t="str">
        <v>toyota celica gt liftback</v>
      </c>
      <c r="AL271" s="7">
        <v>21.1</v>
      </c>
      <c r="AM271" s="7">
        <v>27.172498723354387</v>
      </c>
      <c r="AN271" s="7">
        <v>-6.0724987233543857</v>
      </c>
      <c r="AO271" s="7">
        <v>3.8958920979371689E-2</v>
      </c>
      <c r="AP271" s="7">
        <v>-2.0195065214468055</v>
      </c>
      <c r="AQ271" s="7">
        <v>9.7253797156011245E-3</v>
      </c>
      <c r="AR271" s="7">
        <v>0.43189692948271047</v>
      </c>
      <c r="AS271" s="7">
        <v>0.4116364131495851</v>
      </c>
      <c r="AT271" s="7">
        <v>1.4210934246019173</v>
      </c>
      <c r="AU271" s="7">
        <v>-6.3186671786628619</v>
      </c>
    </row>
    <row r="272" spans="37:47" x14ac:dyDescent="0.25">
      <c r="AK272" t="str">
        <v>plymouth sapporo</v>
      </c>
      <c r="AL272" s="7">
        <v>23.2</v>
      </c>
      <c r="AM272" s="7">
        <v>23.785631581243138</v>
      </c>
      <c r="AN272" s="7">
        <v>-0.5856315812431383</v>
      </c>
      <c r="AO272" s="7">
        <v>3.2478881764690756E-2</v>
      </c>
      <c r="AP272" s="7">
        <v>-0.19410783505686549</v>
      </c>
      <c r="AQ272" s="7">
        <v>7.4400837671903121E-5</v>
      </c>
      <c r="AR272" s="7">
        <v>0.43189692948271047</v>
      </c>
      <c r="AS272" s="7">
        <v>0.42871024250542339</v>
      </c>
      <c r="AT272" s="7">
        <v>0.44057670734716048</v>
      </c>
      <c r="AU272" s="7">
        <v>-0.60529074787668646</v>
      </c>
    </row>
    <row r="273" spans="37:47" x14ac:dyDescent="0.25">
      <c r="AK273" t="str">
        <v>oldsmobile starfire sx</v>
      </c>
      <c r="AL273" s="7">
        <v>23.8</v>
      </c>
      <c r="AM273" s="7">
        <v>23.553396162651115</v>
      </c>
      <c r="AN273" s="7">
        <v>0.24660383734888569</v>
      </c>
      <c r="AO273" s="7">
        <v>3.2118027257318493E-2</v>
      </c>
      <c r="AP273" s="7">
        <v>8.1721707715661354E-2</v>
      </c>
      <c r="AQ273" s="7">
        <v>1.3036241783376027E-5</v>
      </c>
      <c r="AR273" s="7">
        <v>0.49599497085825733</v>
      </c>
      <c r="AS273" s="7">
        <v>0.43079556603355523</v>
      </c>
      <c r="AT273" s="7">
        <v>0.28587008887895454</v>
      </c>
      <c r="AU273" s="7">
        <v>0.25478709625109125</v>
      </c>
    </row>
    <row r="274" spans="37:47" x14ac:dyDescent="0.25">
      <c r="AK274" t="str">
        <v>datsun 200-sx</v>
      </c>
      <c r="AL274" s="7">
        <v>23.9</v>
      </c>
      <c r="AM274" s="7">
        <v>27.696989917110137</v>
      </c>
      <c r="AN274" s="7">
        <v>-3.7969899171101389</v>
      </c>
      <c r="AO274" s="7">
        <v>3.9159228669035963E-2</v>
      </c>
      <c r="AP274" s="7">
        <v>-1.2628813097867091</v>
      </c>
      <c r="AQ274" s="7">
        <v>3.8234802921392566E-3</v>
      </c>
      <c r="AR274" s="7">
        <v>0.49599497085825733</v>
      </c>
      <c r="AS274" s="7">
        <v>0.43174338069117302</v>
      </c>
      <c r="AT274" s="7">
        <v>1.1237799205301318</v>
      </c>
      <c r="AU274" s="7">
        <v>-3.951736885447231</v>
      </c>
    </row>
    <row r="275" spans="37:47" x14ac:dyDescent="0.25">
      <c r="AK275" t="str">
        <v>audi 5000</v>
      </c>
      <c r="AL275" s="7">
        <v>20.3</v>
      </c>
      <c r="AM275" s="7">
        <v>25.325687897014422</v>
      </c>
      <c r="AN275" s="7">
        <v>-5.0256878970144214</v>
      </c>
      <c r="AO275" s="7">
        <v>4.2709716114289586E-2</v>
      </c>
      <c r="AP275" s="7">
        <v>-1.6746439809266753</v>
      </c>
      <c r="AQ275" s="7">
        <v>7.3600217544443651E-3</v>
      </c>
      <c r="AR275" s="7">
        <v>0.49599497085825733</v>
      </c>
      <c r="AS275" s="7">
        <v>0.43433707282313838</v>
      </c>
      <c r="AT275" s="7">
        <v>1.2940803610775782</v>
      </c>
      <c r="AU275" s="7">
        <v>-5.24991006553915</v>
      </c>
    </row>
    <row r="276" spans="37:47" x14ac:dyDescent="0.25">
      <c r="AK276" t="str">
        <v>volvo 264gl</v>
      </c>
      <c r="AL276" s="7">
        <v>17</v>
      </c>
      <c r="AM276" s="7">
        <v>23.398860413350324</v>
      </c>
      <c r="AN276" s="7">
        <v>-6.3988604133503237</v>
      </c>
      <c r="AO276" s="7">
        <v>4.7833954880443882E-2</v>
      </c>
      <c r="AP276" s="7">
        <v>-2.1379379429147773</v>
      </c>
      <c r="AQ276" s="7">
        <v>1.3507185613380037E-2</v>
      </c>
      <c r="AR276" s="7">
        <v>0.51780857233137045</v>
      </c>
      <c r="AS276" s="7">
        <v>0.4407931061238981</v>
      </c>
      <c r="AT276" s="7">
        <v>1.4621689173672026</v>
      </c>
      <c r="AU276" s="7">
        <v>-6.7203198918386846</v>
      </c>
    </row>
    <row r="277" spans="37:47" x14ac:dyDescent="0.25">
      <c r="AK277" t="str">
        <v>saab 99gle</v>
      </c>
      <c r="AL277" s="7">
        <v>21.6</v>
      </c>
      <c r="AM277" s="7">
        <v>25.308066550101014</v>
      </c>
      <c r="AN277" s="7">
        <v>-3.7080665501010124</v>
      </c>
      <c r="AO277" s="7">
        <v>4.6087575958202398E-2</v>
      </c>
      <c r="AP277" s="7">
        <v>-1.2377760380844054</v>
      </c>
      <c r="AQ277" s="7">
        <v>4.3542221406322424E-3</v>
      </c>
      <c r="AR277" s="7">
        <v>0.5251343538696831</v>
      </c>
      <c r="AS277" s="7">
        <v>0.44266880067425035</v>
      </c>
      <c r="AT277" s="7">
        <v>1.1125538360386904</v>
      </c>
      <c r="AU277" s="7">
        <v>-3.8872190534951416</v>
      </c>
    </row>
    <row r="278" spans="37:47" x14ac:dyDescent="0.25">
      <c r="AK278" t="str">
        <v>peugeot 604sl</v>
      </c>
      <c r="AL278" s="7">
        <v>16.2</v>
      </c>
      <c r="AM278" s="7">
        <v>21.901875361640474</v>
      </c>
      <c r="AN278" s="7">
        <v>-5.7018753616404751</v>
      </c>
      <c r="AO278" s="7">
        <v>5.0433605497255063E-2</v>
      </c>
      <c r="AP278" s="7">
        <v>-1.9076726580567738</v>
      </c>
      <c r="AQ278" s="7">
        <v>1.1369816866149523E-2</v>
      </c>
      <c r="AR278" s="7">
        <v>0.53248842708754573</v>
      </c>
      <c r="AS278" s="7">
        <v>0.44275727569779938</v>
      </c>
      <c r="AT278" s="7">
        <v>1.3811852366923032</v>
      </c>
      <c r="AU278" s="7">
        <v>-6.0047147778711674</v>
      </c>
    </row>
    <row r="279" spans="37:47" x14ac:dyDescent="0.25">
      <c r="AK279" t="str">
        <v>volkswagen scirocco</v>
      </c>
      <c r="AL279" s="7">
        <v>31.5</v>
      </c>
      <c r="AM279" s="7">
        <v>30.098433796225809</v>
      </c>
      <c r="AN279" s="7">
        <v>1.4015662037741912</v>
      </c>
      <c r="AO279" s="7">
        <v>4.1544941705203203E-2</v>
      </c>
      <c r="AP279" s="7">
        <v>0.46674163527249862</v>
      </c>
      <c r="AQ279" s="7">
        <v>5.5545715540963815E-4</v>
      </c>
      <c r="AR279" s="7">
        <v>0.5398714122010615</v>
      </c>
      <c r="AS279" s="7">
        <v>0.45088667377233937</v>
      </c>
      <c r="AT279" s="7">
        <v>0.68318492026134381</v>
      </c>
      <c r="AU279" s="7">
        <v>1.4623181250331556</v>
      </c>
    </row>
    <row r="280" spans="37:47" x14ac:dyDescent="0.25">
      <c r="AK280" t="str">
        <v>honda accord lx</v>
      </c>
      <c r="AL280" s="7">
        <v>29.5</v>
      </c>
      <c r="AM280" s="7">
        <v>29.534940039844358</v>
      </c>
      <c r="AN280" s="7">
        <v>-3.4940039844357784E-2</v>
      </c>
      <c r="AO280" s="7">
        <v>3.9538758919076281E-2</v>
      </c>
      <c r="AP280" s="7">
        <v>-1.1623375752352078E-2</v>
      </c>
      <c r="AQ280" s="7">
        <v>3.2715896315122653E-7</v>
      </c>
      <c r="AR280" s="7">
        <v>0.5398714122010615</v>
      </c>
      <c r="AS280" s="7">
        <v>0.45411013125419586</v>
      </c>
      <c r="AT280" s="7">
        <v>0.10781176073301131</v>
      </c>
      <c r="AU280" s="7">
        <v>-3.6378396493163552E-2</v>
      </c>
    </row>
    <row r="281" spans="37:47" x14ac:dyDescent="0.25">
      <c r="AK281" t="str">
        <v>pontiac lemans v6</v>
      </c>
      <c r="AL281" s="7">
        <v>21.5</v>
      </c>
      <c r="AM281" s="7">
        <v>23.49949938057404</v>
      </c>
      <c r="AN281" s="7">
        <v>-1.99949938057404</v>
      </c>
      <c r="AO281" s="7">
        <v>3.5500114423946343E-2</v>
      </c>
      <c r="AP281" s="7">
        <v>-0.66377208981313185</v>
      </c>
      <c r="AQ281" s="7">
        <v>9.5393026049185375E-4</v>
      </c>
      <c r="AR281" s="7">
        <v>0.5398714122010615</v>
      </c>
      <c r="AS281" s="7">
        <v>0.45874200542910859</v>
      </c>
      <c r="AT281" s="7">
        <v>0.81472209360807923</v>
      </c>
      <c r="AU281" s="7">
        <v>-2.0730944715248216</v>
      </c>
    </row>
    <row r="282" spans="37:47" x14ac:dyDescent="0.25">
      <c r="AK282" t="str">
        <v>mercury zephyr 6</v>
      </c>
      <c r="AL282" s="7">
        <v>19.8</v>
      </c>
      <c r="AM282" s="7">
        <v>25.27773629103504</v>
      </c>
      <c r="AN282" s="7">
        <v>-5.4777362910350398</v>
      </c>
      <c r="AO282" s="7">
        <v>3.7172012207959099E-2</v>
      </c>
      <c r="AP282" s="7">
        <v>-1.8200175308828719</v>
      </c>
      <c r="AQ282" s="7">
        <v>7.5226280013666914E-3</v>
      </c>
      <c r="AR282" s="7">
        <v>0.5398714122010615</v>
      </c>
      <c r="AS282" s="7">
        <v>0.45897738397457388</v>
      </c>
      <c r="AT282" s="7">
        <v>1.3490802536850326</v>
      </c>
      <c r="AU282" s="7">
        <v>-5.689215893688961</v>
      </c>
    </row>
    <row r="283" spans="37:47" x14ac:dyDescent="0.25">
      <c r="AK283" t="str">
        <v>ford fairmont 4</v>
      </c>
      <c r="AL283" s="7">
        <v>22.3</v>
      </c>
      <c r="AM283" s="7">
        <v>25.735357956686098</v>
      </c>
      <c r="AN283" s="7">
        <v>-3.4353579566860972</v>
      </c>
      <c r="AO283" s="7">
        <v>3.6285933243070362E-2</v>
      </c>
      <c r="AP283" s="7">
        <v>-1.1408976899843095</v>
      </c>
      <c r="AQ283" s="7">
        <v>2.8829331984404493E-3</v>
      </c>
      <c r="AR283" s="7">
        <v>0.5398714122010615</v>
      </c>
      <c r="AS283" s="7">
        <v>0.46083052696320198</v>
      </c>
      <c r="AT283" s="7">
        <v>1.068128124329806</v>
      </c>
      <c r="AU283" s="7">
        <v>-3.5647066647545076</v>
      </c>
    </row>
    <row r="284" spans="37:47" x14ac:dyDescent="0.25">
      <c r="AK284" t="str">
        <v>amc concord dl 6</v>
      </c>
      <c r="AL284" s="7">
        <v>20.2</v>
      </c>
      <c r="AM284" s="7">
        <v>23.80414398711023</v>
      </c>
      <c r="AN284" s="7">
        <v>-3.6041439871102305</v>
      </c>
      <c r="AO284" s="7">
        <v>3.8402931379088068E-2</v>
      </c>
      <c r="AP284" s="7">
        <v>-1.1982691301329909</v>
      </c>
      <c r="AQ284" s="7">
        <v>3.3731143674384807E-3</v>
      </c>
      <c r="AR284" s="7">
        <v>0.5398714122010615</v>
      </c>
      <c r="AS284" s="7">
        <v>0.4654442793344194</v>
      </c>
      <c r="AT284" s="7">
        <v>1.0946547995295095</v>
      </c>
      <c r="AU284" s="7">
        <v>-3.7480812959207177</v>
      </c>
    </row>
    <row r="285" spans="37:47" x14ac:dyDescent="0.25">
      <c r="AK285" t="str">
        <v>dodge aspen 6</v>
      </c>
      <c r="AL285" s="7">
        <v>20.6</v>
      </c>
      <c r="AM285" s="7">
        <v>22.998400934603321</v>
      </c>
      <c r="AN285" s="7">
        <v>-2.3984009346033197</v>
      </c>
      <c r="AO285" s="7">
        <v>3.5147809350873277E-2</v>
      </c>
      <c r="AP285" s="7">
        <v>-0.7960497214769402</v>
      </c>
      <c r="AQ285" s="7">
        <v>1.3579036099850713E-3</v>
      </c>
      <c r="AR285" s="7">
        <v>0.5398714122010615</v>
      </c>
      <c r="AS285" s="7">
        <v>0.46674163527249862</v>
      </c>
      <c r="AT285" s="7">
        <v>0.8922161853928342</v>
      </c>
      <c r="AU285" s="7">
        <v>-2.4857703157514104</v>
      </c>
    </row>
    <row r="286" spans="37:47" x14ac:dyDescent="0.25">
      <c r="AK286" t="str">
        <v>chevrolet caprice classic</v>
      </c>
      <c r="AL286" s="7">
        <v>17</v>
      </c>
      <c r="AM286" s="7">
        <v>20.243283680276456</v>
      </c>
      <c r="AN286" s="7">
        <v>-3.2432836802764555</v>
      </c>
      <c r="AO286" s="7">
        <v>3.7166475367221063E-2</v>
      </c>
      <c r="AP286" s="7">
        <v>-1.0776013794312584</v>
      </c>
      <c r="AQ286" s="7">
        <v>2.6367413490506341E-3</v>
      </c>
      <c r="AR286" s="7">
        <v>0.5398714122010615</v>
      </c>
      <c r="AS286" s="7">
        <v>0.46857065274584953</v>
      </c>
      <c r="AT286" s="7">
        <v>1.0380758062064921</v>
      </c>
      <c r="AU286" s="7">
        <v>-3.3684781400953314</v>
      </c>
    </row>
    <row r="287" spans="37:47" x14ac:dyDescent="0.25">
      <c r="AK287" t="str">
        <v>ford ltd landau</v>
      </c>
      <c r="AL287" s="7">
        <v>17.600000000000001</v>
      </c>
      <c r="AM287" s="7">
        <v>20.841800717968425</v>
      </c>
      <c r="AN287" s="7">
        <v>-3.2418007179684238</v>
      </c>
      <c r="AO287" s="7">
        <v>3.6470607710320291E-2</v>
      </c>
      <c r="AP287" s="7">
        <v>-1.0767196379396311</v>
      </c>
      <c r="AQ287" s="7">
        <v>2.5812756200590935E-3</v>
      </c>
      <c r="AR287" s="7">
        <v>0.5398714122010615</v>
      </c>
      <c r="AS287" s="7">
        <v>0.46871808445674978</v>
      </c>
      <c r="AT287" s="7">
        <v>1.0376510193411035</v>
      </c>
      <c r="AU287" s="7">
        <v>-3.3645063076537625</v>
      </c>
    </row>
    <row r="288" spans="37:47" x14ac:dyDescent="0.25">
      <c r="AK288" t="str">
        <v>mercury grand marquis</v>
      </c>
      <c r="AL288" s="7">
        <v>16.5</v>
      </c>
      <c r="AM288" s="7">
        <v>19.531111618909698</v>
      </c>
      <c r="AN288" s="7">
        <v>-3.0311116189096978</v>
      </c>
      <c r="AO288" s="7">
        <v>3.8170821658972939E-2</v>
      </c>
      <c r="AP288" s="7">
        <v>-1.0076315540428575</v>
      </c>
      <c r="AQ288" s="7">
        <v>2.3702172657121263E-3</v>
      </c>
      <c r="AR288" s="7">
        <v>0.5398714122010615</v>
      </c>
      <c r="AS288" s="7">
        <v>0.47398446164132163</v>
      </c>
      <c r="AT288" s="7">
        <v>1.0038085245916462</v>
      </c>
      <c r="AU288" s="7">
        <v>-3.1514032711481996</v>
      </c>
    </row>
    <row r="289" spans="37:47" x14ac:dyDescent="0.25">
      <c r="AK289" t="str">
        <v>dodge st. regis</v>
      </c>
      <c r="AL289" s="7">
        <v>18.2</v>
      </c>
      <c r="AM289" s="7">
        <v>20.212734616659919</v>
      </c>
      <c r="AN289" s="7">
        <v>-2.0127346166599196</v>
      </c>
      <c r="AO289" s="7">
        <v>3.7299384768416474E-2</v>
      </c>
      <c r="AP289" s="7">
        <v>-0.66878988326602917</v>
      </c>
      <c r="AQ289" s="7">
        <v>1.0193912173724509E-3</v>
      </c>
      <c r="AR289" s="7">
        <v>0.61543829749621981</v>
      </c>
      <c r="AS289" s="7">
        <v>0.48931010929769164</v>
      </c>
      <c r="AT289" s="7">
        <v>0.81779574666662891</v>
      </c>
      <c r="AU289" s="7">
        <v>-2.0907170773706674</v>
      </c>
    </row>
    <row r="290" spans="37:47" x14ac:dyDescent="0.25">
      <c r="AK290" t="str">
        <v>buick estate wagon (sw)</v>
      </c>
      <c r="AL290" s="7">
        <v>16.899999999999999</v>
      </c>
      <c r="AM290" s="7">
        <v>17.204451881577224</v>
      </c>
      <c r="AN290" s="7">
        <v>-0.30445188157722569</v>
      </c>
      <c r="AO290" s="7">
        <v>4.2876541042037614E-2</v>
      </c>
      <c r="AP290" s="7">
        <v>-0.10145734321849574</v>
      </c>
      <c r="AQ290" s="7">
        <v>2.7125005284353174E-5</v>
      </c>
      <c r="AR290" s="7">
        <v>0.62318453179067923</v>
      </c>
      <c r="AS290" s="7">
        <v>0.50018854209738339</v>
      </c>
      <c r="AT290" s="7">
        <v>0.3185236933392801</v>
      </c>
      <c r="AU290" s="7">
        <v>-0.31809050204316169</v>
      </c>
    </row>
    <row r="291" spans="37:47" x14ac:dyDescent="0.25">
      <c r="AK291" t="str">
        <v>ford country squire (sw)</v>
      </c>
      <c r="AL291" s="7">
        <v>15.5</v>
      </c>
      <c r="AM291" s="7">
        <v>18.96489823919898</v>
      </c>
      <c r="AN291" s="7">
        <v>-3.4648982391989804</v>
      </c>
      <c r="AO291" s="7">
        <v>3.9116018286594861E-2</v>
      </c>
      <c r="AP291" s="7">
        <v>-1.1524014899843342</v>
      </c>
      <c r="AQ291" s="7">
        <v>3.1801117960045147E-3</v>
      </c>
      <c r="AR291" s="7">
        <v>0.63096834177070094</v>
      </c>
      <c r="AS291" s="7">
        <v>0.51286368166818253</v>
      </c>
      <c r="AT291" s="7">
        <v>1.0734996460103441</v>
      </c>
      <c r="AU291" s="7">
        <v>-3.6059485901935107</v>
      </c>
    </row>
    <row r="292" spans="37:47" x14ac:dyDescent="0.25">
      <c r="AK292" t="str">
        <v>chevrolet malibu classic (sw)</v>
      </c>
      <c r="AL292" s="7">
        <v>19.2</v>
      </c>
      <c r="AM292" s="7">
        <v>21.5143435995966</v>
      </c>
      <c r="AN292" s="7">
        <v>-2.3143435995966009</v>
      </c>
      <c r="AO292" s="7">
        <v>3.5888049414081885E-2</v>
      </c>
      <c r="AP292" s="7">
        <v>-0.76844520954536311</v>
      </c>
      <c r="AQ292" s="7">
        <v>1.2930022535661641E-3</v>
      </c>
      <c r="AR292" s="7">
        <v>0.63879057001741368</v>
      </c>
      <c r="AS292" s="7">
        <v>0.52607820754973145</v>
      </c>
      <c r="AT292" s="7">
        <v>0.87661006698837485</v>
      </c>
      <c r="AU292" s="7">
        <v>-2.4004925965185979</v>
      </c>
    </row>
    <row r="293" spans="37:47" x14ac:dyDescent="0.25">
      <c r="AK293" t="str">
        <v>chrysler lebaron town @ country (sw)</v>
      </c>
      <c r="AL293" s="7">
        <v>18.5</v>
      </c>
      <c r="AM293" s="7">
        <v>19.412224079693964</v>
      </c>
      <c r="AN293" s="7">
        <v>-0.91222407969396357</v>
      </c>
      <c r="AO293" s="7">
        <v>4.0258569851032752E-2</v>
      </c>
      <c r="AP293" s="7">
        <v>-0.30358004022533047</v>
      </c>
      <c r="AQ293" s="7">
        <v>2.2740583656844949E-4</v>
      </c>
      <c r="AR293" s="7">
        <v>0.63879057001741368</v>
      </c>
      <c r="AS293" s="7">
        <v>0.55319696979360178</v>
      </c>
      <c r="AT293" s="7">
        <v>0.55098097991249251</v>
      </c>
      <c r="AU293" s="7">
        <v>-0.95048942458634067</v>
      </c>
    </row>
    <row r="294" spans="37:47" x14ac:dyDescent="0.25">
      <c r="AK294" t="str">
        <v>vw rabbit custom</v>
      </c>
      <c r="AL294" s="7">
        <v>31.9</v>
      </c>
      <c r="AM294" s="7">
        <v>32.835435847633079</v>
      </c>
      <c r="AN294" s="7">
        <v>-0.93543584763308019</v>
      </c>
      <c r="AO294" s="7">
        <v>5.1336358751507799E-2</v>
      </c>
      <c r="AP294" s="7">
        <v>-0.3131170267789195</v>
      </c>
      <c r="AQ294" s="7">
        <v>3.12088131316136E-4</v>
      </c>
      <c r="AR294" s="7">
        <v>0.63879057001741368</v>
      </c>
      <c r="AS294" s="7">
        <v>0.55656803120621701</v>
      </c>
      <c r="AT294" s="7">
        <v>0.55956860774968387</v>
      </c>
      <c r="AU294" s="7">
        <v>-0.98605639233943487</v>
      </c>
    </row>
    <row r="295" spans="37:47" x14ac:dyDescent="0.25">
      <c r="AK295" t="str">
        <v>maxda glc deluxe</v>
      </c>
      <c r="AL295" s="7">
        <v>34.1</v>
      </c>
      <c r="AM295" s="7">
        <v>32.801665800548349</v>
      </c>
      <c r="AN295" s="7">
        <v>1.2983341994516522</v>
      </c>
      <c r="AO295" s="7">
        <v>5.0233601015170104E-2</v>
      </c>
      <c r="AP295" s="7">
        <v>0.43433707282313838</v>
      </c>
      <c r="AQ295" s="7">
        <v>5.8692470421661575E-4</v>
      </c>
      <c r="AR295" s="7">
        <v>0.63879057001741368</v>
      </c>
      <c r="AS295" s="7">
        <v>0.55972501051096391</v>
      </c>
      <c r="AT295" s="7">
        <v>0.65904254249869054</v>
      </c>
      <c r="AU295" s="7">
        <v>1.3670037188506494</v>
      </c>
    </row>
    <row r="296" spans="37:47" x14ac:dyDescent="0.25">
      <c r="AK296" t="str">
        <v>dodge colt hatchback custom</v>
      </c>
      <c r="AL296" s="7">
        <v>35.700000000000003</v>
      </c>
      <c r="AM296" s="7">
        <v>30.80197628705325</v>
      </c>
      <c r="AN296" s="7">
        <v>4.8980237129467525</v>
      </c>
      <c r="AO296" s="7">
        <v>5.1390096085500124E-2</v>
      </c>
      <c r="AP296" s="7">
        <v>1.6395545081768079</v>
      </c>
      <c r="AQ296" s="7">
        <v>8.5663255114177064E-3</v>
      </c>
      <c r="AR296" s="7">
        <v>0.63879057001741368</v>
      </c>
      <c r="AS296" s="7">
        <v>0.56798307093810663</v>
      </c>
      <c r="AT296" s="7">
        <v>1.2804509003381612</v>
      </c>
      <c r="AU296" s="7">
        <v>5.1633697821778402</v>
      </c>
    </row>
    <row r="297" spans="37:47" x14ac:dyDescent="0.25">
      <c r="AK297" t="str">
        <v>amc spirit dl</v>
      </c>
      <c r="AL297" s="7">
        <v>27.4</v>
      </c>
      <c r="AM297" s="7">
        <v>26.979177527640108</v>
      </c>
      <c r="AN297" s="7">
        <v>0.42082247235989101</v>
      </c>
      <c r="AO297" s="7">
        <v>3.7568519575838552E-2</v>
      </c>
      <c r="AP297" s="7">
        <v>0.13985011155836161</v>
      </c>
      <c r="AQ297" s="7">
        <v>4.4908750776935722E-5</v>
      </c>
      <c r="AR297" s="7">
        <v>0.63879057001741368</v>
      </c>
      <c r="AS297" s="7">
        <v>0.56878580743136242</v>
      </c>
      <c r="AT297" s="7">
        <v>0.3739653881823311</v>
      </c>
      <c r="AU297" s="7">
        <v>0.43724928051441825</v>
      </c>
    </row>
    <row r="298" spans="37:47" x14ac:dyDescent="0.25">
      <c r="AK298" t="str">
        <v>mercedes benz 300d</v>
      </c>
      <c r="AL298" s="7">
        <v>25.4</v>
      </c>
      <c r="AM298" s="7">
        <v>24.611405323649461</v>
      </c>
      <c r="AN298" s="7">
        <v>0.78859467635053804</v>
      </c>
      <c r="AO298" s="7">
        <v>7.376096318342551E-2</v>
      </c>
      <c r="AP298" s="7">
        <v>0.26714134253452815</v>
      </c>
      <c r="AQ298" s="7">
        <v>3.3430031485072394E-4</v>
      </c>
      <c r="AR298" s="7">
        <v>0.63879057001741368</v>
      </c>
      <c r="AS298" s="7">
        <v>0.58752778997756971</v>
      </c>
      <c r="AT298" s="7">
        <v>0.51685717808165166</v>
      </c>
      <c r="AU298" s="7">
        <v>0.851394343150218</v>
      </c>
    </row>
    <row r="299" spans="37:47" x14ac:dyDescent="0.25">
      <c r="AK299" t="str">
        <v>cadillac eldorado</v>
      </c>
      <c r="AL299" s="7">
        <v>23</v>
      </c>
      <c r="AM299" s="7">
        <v>20.02066726313716</v>
      </c>
      <c r="AN299" s="7">
        <v>2.9793327368628404</v>
      </c>
      <c r="AO299" s="7">
        <v>3.823657901527007E-2</v>
      </c>
      <c r="AP299" s="7">
        <v>0.99045257304542067</v>
      </c>
      <c r="AQ299" s="7">
        <v>2.2941891516981274E-3</v>
      </c>
      <c r="AR299" s="7">
        <v>0.63879057001741368</v>
      </c>
      <c r="AS299" s="7">
        <v>0.60637414955155566</v>
      </c>
      <c r="AT299" s="7">
        <v>0.99521483763327234</v>
      </c>
      <c r="AU299" s="7">
        <v>3.0977812961657061</v>
      </c>
    </row>
    <row r="300" spans="37:47" x14ac:dyDescent="0.25">
      <c r="AK300" t="str">
        <v>peugeot 504</v>
      </c>
      <c r="AL300" s="7">
        <v>27.2</v>
      </c>
      <c r="AM300" s="7">
        <v>26.430349184510405</v>
      </c>
      <c r="AN300" s="7">
        <v>0.76965081548959446</v>
      </c>
      <c r="AO300" s="7">
        <v>6.4256653349343162E-2</v>
      </c>
      <c r="AP300" s="7">
        <v>0.25939653083974346</v>
      </c>
      <c r="AQ300" s="7">
        <v>2.7179456028937041E-4</v>
      </c>
      <c r="AR300" s="7">
        <v>0.70286023091909866</v>
      </c>
      <c r="AS300" s="7">
        <v>0.6077873084612555</v>
      </c>
      <c r="AT300" s="7">
        <v>0.50930985739502765</v>
      </c>
      <c r="AU300" s="7">
        <v>0.82250204422445117</v>
      </c>
    </row>
    <row r="301" spans="37:47" x14ac:dyDescent="0.25">
      <c r="AK301" t="str">
        <v>oldsmobile cutlass salon brougham</v>
      </c>
      <c r="AL301" s="7">
        <v>23.9</v>
      </c>
      <c r="AM301" s="7">
        <v>23.019330996767135</v>
      </c>
      <c r="AN301" s="7">
        <v>0.8806690032328639</v>
      </c>
      <c r="AO301" s="7">
        <v>4.1029673787680812E-2</v>
      </c>
      <c r="AP301" s="7">
        <v>0.29319660015181503</v>
      </c>
      <c r="AQ301" s="7">
        <v>2.1635245811846756E-4</v>
      </c>
      <c r="AR301" s="7">
        <v>0.70286023091909866</v>
      </c>
      <c r="AS301" s="7">
        <v>0.60888968943784472</v>
      </c>
      <c r="AT301" s="7">
        <v>0.54147631541168539</v>
      </c>
      <c r="AU301" s="7">
        <v>0.91834854443439884</v>
      </c>
    </row>
    <row r="302" spans="37:47" x14ac:dyDescent="0.25">
      <c r="AK302" t="str">
        <v>plymouth horizon</v>
      </c>
      <c r="AL302" s="7">
        <v>34.200000000000003</v>
      </c>
      <c r="AM302" s="7">
        <v>29.52129736628039</v>
      </c>
      <c r="AN302" s="7">
        <v>4.6787026337196131</v>
      </c>
      <c r="AO302" s="7">
        <v>4.2138891843300122E-2</v>
      </c>
      <c r="AP302" s="7">
        <v>1.5585580298512536</v>
      </c>
      <c r="AQ302" s="7">
        <v>6.2860466992159317E-3</v>
      </c>
      <c r="AR302" s="7">
        <v>0.71932811724388146</v>
      </c>
      <c r="AS302" s="7">
        <v>0.61570961852167438</v>
      </c>
      <c r="AT302" s="7">
        <v>1.2484222161797882</v>
      </c>
      <c r="AU302" s="7">
        <v>4.8845313729495397</v>
      </c>
    </row>
    <row r="303" spans="37:47" x14ac:dyDescent="0.25">
      <c r="AK303" t="str">
        <v>plymouth horizon tc3</v>
      </c>
      <c r="AL303" s="7">
        <v>34.5</v>
      </c>
      <c r="AM303" s="7">
        <v>29.774462847036226</v>
      </c>
      <c r="AN303" s="7">
        <v>4.7255371529637742</v>
      </c>
      <c r="AO303" s="7">
        <v>4.2926586189464336E-2</v>
      </c>
      <c r="AP303" s="7">
        <v>1.5748070831006031</v>
      </c>
      <c r="AQ303" s="7">
        <v>6.5431503106133538E-3</v>
      </c>
      <c r="AR303" s="7">
        <v>0.71932811724388146</v>
      </c>
      <c r="AS303" s="7">
        <v>0.62541466034937299</v>
      </c>
      <c r="AT303" s="7">
        <v>1.254913177514924</v>
      </c>
      <c r="AU303" s="7">
        <v>4.9374865969260453</v>
      </c>
    </row>
    <row r="304" spans="37:47" x14ac:dyDescent="0.25">
      <c r="AK304" t="str">
        <v>datsun 210</v>
      </c>
      <c r="AL304" s="7">
        <v>31.8</v>
      </c>
      <c r="AM304" s="7">
        <v>32.573816867868096</v>
      </c>
      <c r="AN304" s="7">
        <v>-0.77381686786809567</v>
      </c>
      <c r="AO304" s="7">
        <v>5.0247251768750244E-2</v>
      </c>
      <c r="AP304" s="7">
        <v>-0.25886999570707547</v>
      </c>
      <c r="AQ304" s="7">
        <v>2.0855291577570649E-4</v>
      </c>
      <c r="AR304" s="7">
        <v>0.73599343368381387</v>
      </c>
      <c r="AS304" s="7">
        <v>0.62988652393519529</v>
      </c>
      <c r="AT304" s="7">
        <v>0.5087926844079772</v>
      </c>
      <c r="AU304" s="7">
        <v>-0.81475612395878372</v>
      </c>
    </row>
    <row r="305" spans="37:47" x14ac:dyDescent="0.25">
      <c r="AK305" t="str">
        <v>fiat strada custom</v>
      </c>
      <c r="AL305" s="7">
        <v>37.299999999999997</v>
      </c>
      <c r="AM305" s="7">
        <v>31.829930240441236</v>
      </c>
      <c r="AN305" s="7">
        <v>5.4700697595587613</v>
      </c>
      <c r="AO305" s="7">
        <v>4.8806752355090292E-2</v>
      </c>
      <c r="AP305" s="7">
        <v>1.8285518903811393</v>
      </c>
      <c r="AQ305" s="7">
        <v>1.009198993344795E-2</v>
      </c>
      <c r="AR305" s="7">
        <v>0.74440308519999565</v>
      </c>
      <c r="AS305" s="7">
        <v>0.65290692305069276</v>
      </c>
      <c r="AT305" s="7">
        <v>1.3522395832030429</v>
      </c>
      <c r="AU305" s="7">
        <v>5.7507449438926157</v>
      </c>
    </row>
    <row r="306" spans="37:47" x14ac:dyDescent="0.25">
      <c r="AK306" t="str">
        <v>buick skylark limited</v>
      </c>
      <c r="AL306" s="7">
        <v>28.4</v>
      </c>
      <c r="AM306" s="7">
        <v>26.816813208104694</v>
      </c>
      <c r="AN306" s="7">
        <v>1.5831867918953044</v>
      </c>
      <c r="AO306" s="7">
        <v>3.7365772034929169E-2</v>
      </c>
      <c r="AP306" s="7">
        <v>0.52607820754973145</v>
      </c>
      <c r="AQ306" s="7">
        <v>6.3192329082867879E-4</v>
      </c>
      <c r="AR306" s="7">
        <v>0.74440308519999565</v>
      </c>
      <c r="AS306" s="7">
        <v>0.6556418348632248</v>
      </c>
      <c r="AT306" s="7">
        <v>0.72531248958619998</v>
      </c>
      <c r="AU306" s="7">
        <v>1.6446400365817351</v>
      </c>
    </row>
    <row r="307" spans="37:47" x14ac:dyDescent="0.25">
      <c r="AK307" t="str">
        <v>chevrolet citation</v>
      </c>
      <c r="AL307" s="7">
        <v>28.8</v>
      </c>
      <c r="AM307" s="7">
        <v>26.790650630399924</v>
      </c>
      <c r="AN307" s="7">
        <v>2.009349369600077</v>
      </c>
      <c r="AO307" s="7">
        <v>4.7508372778672189E-2</v>
      </c>
      <c r="AP307" s="7">
        <v>0.67123358040088366</v>
      </c>
      <c r="AQ307" s="7">
        <v>1.3219268319857665E-3</v>
      </c>
      <c r="AR307" s="7">
        <v>0.74440308519999565</v>
      </c>
      <c r="AS307" s="7">
        <v>0.66552441488229708</v>
      </c>
      <c r="AT307" s="7">
        <v>0.81928845982406195</v>
      </c>
      <c r="AU307" s="7">
        <v>2.109571687744789</v>
      </c>
    </row>
    <row r="308" spans="37:47" x14ac:dyDescent="0.25">
      <c r="AK308" t="str">
        <v>oldsmobile omega brougham</v>
      </c>
      <c r="AL308" s="7">
        <v>26.8</v>
      </c>
      <c r="AM308" s="7">
        <v>26.259003120812665</v>
      </c>
      <c r="AN308" s="7">
        <v>0.54099687918733608</v>
      </c>
      <c r="AO308" s="7">
        <v>4.4408542497802156E-2</v>
      </c>
      <c r="AP308" s="7">
        <v>0.18042945365691565</v>
      </c>
      <c r="AQ308" s="7">
        <v>8.8993893524178441E-5</v>
      </c>
      <c r="AR308" s="7">
        <v>0.74440308519999565</v>
      </c>
      <c r="AS308" s="7">
        <v>0.67123358040088366</v>
      </c>
      <c r="AT308" s="7">
        <v>0.42476988318019399</v>
      </c>
      <c r="AU308" s="7">
        <v>0.56613825389506667</v>
      </c>
    </row>
    <row r="309" spans="37:47" x14ac:dyDescent="0.25">
      <c r="AK309" t="str">
        <v>pontiac phoenix</v>
      </c>
      <c r="AL309" s="7">
        <v>33.5</v>
      </c>
      <c r="AM309" s="7">
        <v>27.394030504228002</v>
      </c>
      <c r="AN309" s="7">
        <v>6.1059694957719977</v>
      </c>
      <c r="AO309" s="7">
        <v>3.880551738458058E-2</v>
      </c>
      <c r="AP309" s="7">
        <v>2.0304757137130016</v>
      </c>
      <c r="AQ309" s="7">
        <v>9.7910413829515944E-3</v>
      </c>
      <c r="AR309" s="7">
        <v>0.74440308519999565</v>
      </c>
      <c r="AS309" s="7">
        <v>0.67383986412758512</v>
      </c>
      <c r="AT309" s="7">
        <v>1.4249476178839002</v>
      </c>
      <c r="AU309" s="7">
        <v>6.3524807998872364</v>
      </c>
    </row>
    <row r="310" spans="37:47" x14ac:dyDescent="0.25">
      <c r="AK310" t="str">
        <v>vw rabbit</v>
      </c>
      <c r="AL310" s="7">
        <v>41.5</v>
      </c>
      <c r="AM310" s="7">
        <v>35.706490359450044</v>
      </c>
      <c r="AN310" s="7">
        <v>5.7935096405499564</v>
      </c>
      <c r="AO310" s="7">
        <v>4.9995549357879324E-2</v>
      </c>
      <c r="AP310" s="7">
        <v>1.937883735039764</v>
      </c>
      <c r="AQ310" s="7">
        <v>1.1625515480960857E-2</v>
      </c>
      <c r="AR310" s="7">
        <v>0.74440308519999565</v>
      </c>
      <c r="AS310" s="7">
        <v>0.6741998247581702</v>
      </c>
      <c r="AT310" s="7">
        <v>1.3920789255784902</v>
      </c>
      <c r="AU310" s="7">
        <v>6.0984026302550962</v>
      </c>
    </row>
    <row r="311" spans="37:47" x14ac:dyDescent="0.25">
      <c r="AK311" t="str">
        <v>toyota corolla tercel</v>
      </c>
      <c r="AL311" s="7">
        <v>38.1</v>
      </c>
      <c r="AM311" s="7">
        <v>36.979392604917109</v>
      </c>
      <c r="AN311" s="7">
        <v>1.1206073950828923</v>
      </c>
      <c r="AO311" s="7">
        <v>4.2765216076787169E-2</v>
      </c>
      <c r="AP311" s="7">
        <v>0.3734161112853604</v>
      </c>
      <c r="AQ311" s="7">
        <v>3.6644549050544065E-4</v>
      </c>
      <c r="AR311" s="7">
        <v>0.74440308519999565</v>
      </c>
      <c r="AS311" s="7">
        <v>0.67897281388579944</v>
      </c>
      <c r="AT311" s="7">
        <v>0.61107782751901607</v>
      </c>
      <c r="AU311" s="7">
        <v>1.1706714109260627</v>
      </c>
    </row>
    <row r="312" spans="37:47" x14ac:dyDescent="0.25">
      <c r="AK312" t="str">
        <v>chevrolet chevette</v>
      </c>
      <c r="AL312" s="7">
        <v>32.1</v>
      </c>
      <c r="AM312" s="7">
        <v>33.987463612784964</v>
      </c>
      <c r="AN312" s="7">
        <v>-1.8874636127849627</v>
      </c>
      <c r="AO312" s="7">
        <v>5.2829218384543734E-2</v>
      </c>
      <c r="AP312" s="7">
        <v>-0.63228553332444015</v>
      </c>
      <c r="AQ312" s="7">
        <v>1.3116666064299904E-3</v>
      </c>
      <c r="AR312" s="7">
        <v>0.80482899480686976</v>
      </c>
      <c r="AS312" s="7">
        <v>0.68086529918536198</v>
      </c>
      <c r="AT312" s="7">
        <v>0.79516384055390754</v>
      </c>
      <c r="AU312" s="7">
        <v>-1.9927384262907486</v>
      </c>
    </row>
    <row r="313" spans="37:47" x14ac:dyDescent="0.25">
      <c r="AK313" t="str">
        <v>datsun 310</v>
      </c>
      <c r="AL313" s="7">
        <v>37.200000000000003</v>
      </c>
      <c r="AM313" s="7">
        <v>36.639981654778452</v>
      </c>
      <c r="AN313" s="7">
        <v>0.56001834522155036</v>
      </c>
      <c r="AO313" s="7">
        <v>4.2480429377182466E-2</v>
      </c>
      <c r="AP313" s="7">
        <v>0.18658521528183183</v>
      </c>
      <c r="AQ313" s="7">
        <v>9.0854569129831202E-5</v>
      </c>
      <c r="AR313" s="7">
        <v>0.80482899480686976</v>
      </c>
      <c r="AS313" s="7">
        <v>0.68104115262367493</v>
      </c>
      <c r="AT313" s="7">
        <v>0.43195510794737901</v>
      </c>
      <c r="AU313" s="7">
        <v>0.5848636021687651</v>
      </c>
    </row>
    <row r="314" spans="37:47" x14ac:dyDescent="0.25">
      <c r="AK314" t="str">
        <v>chevrolet citation</v>
      </c>
      <c r="AL314" s="7">
        <v>28</v>
      </c>
      <c r="AM314" s="7">
        <v>30.837408208478998</v>
      </c>
      <c r="AN314" s="7">
        <v>-2.8374082084789976</v>
      </c>
      <c r="AO314" s="7">
        <v>4.6802528507141401E-2</v>
      </c>
      <c r="AP314" s="7">
        <v>-0.9474999235105962</v>
      </c>
      <c r="AQ314" s="7">
        <v>2.5929603784530155E-3</v>
      </c>
      <c r="AR314" s="7">
        <v>0.82263729107406613</v>
      </c>
      <c r="AS314" s="7">
        <v>0.69192234930796725</v>
      </c>
      <c r="AT314" s="7">
        <v>0.97339607740662082</v>
      </c>
      <c r="AU314" s="7">
        <v>-2.976726537089073</v>
      </c>
    </row>
    <row r="315" spans="37:47" x14ac:dyDescent="0.25">
      <c r="AK315" t="str">
        <v>ford fairmont</v>
      </c>
      <c r="AL315" s="7">
        <v>26.4</v>
      </c>
      <c r="AM315" s="7">
        <v>29.89772562628367</v>
      </c>
      <c r="AN315" s="7">
        <v>-3.4977256262836711</v>
      </c>
      <c r="AO315" s="7">
        <v>4.5219370689363984E-2</v>
      </c>
      <c r="AP315" s="7">
        <v>-1.1670319415810073</v>
      </c>
      <c r="AQ315" s="7">
        <v>3.7943507873432376E-3</v>
      </c>
      <c r="AR315" s="7">
        <v>0.83163987967842667</v>
      </c>
      <c r="AS315" s="7">
        <v>0.70221206283556825</v>
      </c>
      <c r="AT315" s="7">
        <v>1.0802925259303646</v>
      </c>
      <c r="AU315" s="7">
        <v>-3.6633814291028028</v>
      </c>
    </row>
    <row r="316" spans="37:47" x14ac:dyDescent="0.25">
      <c r="AK316" t="str">
        <v>amc concord</v>
      </c>
      <c r="AL316" s="7">
        <v>24.3</v>
      </c>
      <c r="AM316" s="7">
        <v>29.19183258356605</v>
      </c>
      <c r="AN316" s="7">
        <v>-4.8918325835660497</v>
      </c>
      <c r="AO316" s="7">
        <v>4.4937923213259942E-2</v>
      </c>
      <c r="AP316" s="7">
        <v>-1.6319415081566486</v>
      </c>
      <c r="AQ316" s="7">
        <v>7.3712586997697633E-3</v>
      </c>
      <c r="AR316" s="7">
        <v>0.84071038002398013</v>
      </c>
      <c r="AS316" s="7">
        <v>0.71162663600437204</v>
      </c>
      <c r="AT316" s="7">
        <v>1.2774746604753648</v>
      </c>
      <c r="AU316" s="7">
        <v>-5.1220048439410162</v>
      </c>
    </row>
    <row r="317" spans="37:47" x14ac:dyDescent="0.25">
      <c r="AK317" t="str">
        <v>dodge aspen</v>
      </c>
      <c r="AL317" s="7">
        <v>19.100000000000001</v>
      </c>
      <c r="AM317" s="7">
        <v>27.277901549051926</v>
      </c>
      <c r="AN317" s="7">
        <v>-8.1779015490519242</v>
      </c>
      <c r="AO317" s="7">
        <v>4.8156061843653876E-2</v>
      </c>
      <c r="AP317" s="7">
        <v>-2.7327997376671536</v>
      </c>
      <c r="AQ317" s="7">
        <v>2.2225518853665093E-2</v>
      </c>
      <c r="AR317" s="7">
        <v>0.84071038002398013</v>
      </c>
      <c r="AS317" s="7">
        <v>0.71980311888979953</v>
      </c>
      <c r="AT317" s="7">
        <v>1.6531181862368927</v>
      </c>
      <c r="AU317" s="7">
        <v>-8.591641151691249</v>
      </c>
    </row>
    <row r="318" spans="37:47" x14ac:dyDescent="0.25">
      <c r="AK318" t="str">
        <v>audi 4000</v>
      </c>
      <c r="AL318" s="7">
        <v>34.299999999999997</v>
      </c>
      <c r="AM318" s="7">
        <v>35.451231872477827</v>
      </c>
      <c r="AN318" s="7">
        <v>-1.1512318724778297</v>
      </c>
      <c r="AO318" s="7">
        <v>5.002878398459612E-2</v>
      </c>
      <c r="AP318" s="7">
        <v>-0.38508480762603786</v>
      </c>
      <c r="AQ318" s="7">
        <v>4.5938133914691137E-4</v>
      </c>
      <c r="AR318" s="7">
        <v>0.84071038002398013</v>
      </c>
      <c r="AS318" s="7">
        <v>0.73255545774192499</v>
      </c>
      <c r="AT318" s="7">
        <v>0.62055201846907071</v>
      </c>
      <c r="AU318" s="7">
        <v>-1.2118597417157555</v>
      </c>
    </row>
    <row r="319" spans="37:47" x14ac:dyDescent="0.25">
      <c r="AK319" t="str">
        <v>toyota corona liftback</v>
      </c>
      <c r="AL319" s="7">
        <v>29.8</v>
      </c>
      <c r="AM319" s="7">
        <v>32.730260602279131</v>
      </c>
      <c r="AN319" s="7">
        <v>-2.9302606022791302</v>
      </c>
      <c r="AO319" s="7">
        <v>4.4122580147146255E-2</v>
      </c>
      <c r="AP319" s="7">
        <v>-0.97713360215342948</v>
      </c>
      <c r="AQ319" s="7">
        <v>2.592493482164753E-3</v>
      </c>
      <c r="AR319" s="7">
        <v>0.84071038002398013</v>
      </c>
      <c r="AS319" s="7">
        <v>0.74258970300151861</v>
      </c>
      <c r="AT319" s="7">
        <v>0.98850068394181168</v>
      </c>
      <c r="AU319" s="7">
        <v>-3.0655192197449437</v>
      </c>
    </row>
    <row r="320" spans="37:47" x14ac:dyDescent="0.25">
      <c r="AK320" t="str">
        <v>mazda 626</v>
      </c>
      <c r="AL320" s="7">
        <v>31.3</v>
      </c>
      <c r="AM320" s="7">
        <v>33.829506406536979</v>
      </c>
      <c r="AN320" s="7">
        <v>-2.5295064065369779</v>
      </c>
      <c r="AO320" s="7">
        <v>4.4312786169455297E-2</v>
      </c>
      <c r="AP320" s="7">
        <v>-0.84358082508022647</v>
      </c>
      <c r="AQ320" s="7">
        <v>1.9409652460273955E-3</v>
      </c>
      <c r="AR320" s="7">
        <v>0.84071038002398013</v>
      </c>
      <c r="AS320" s="7">
        <v>0.74844507336636135</v>
      </c>
      <c r="AT320" s="7">
        <v>0.91846656176489438</v>
      </c>
      <c r="AU320" s="7">
        <v>-2.6467931870703998</v>
      </c>
    </row>
    <row r="321" spans="37:47" x14ac:dyDescent="0.25">
      <c r="AK321" t="str">
        <v>datsun 510 hatchback</v>
      </c>
      <c r="AL321" s="7">
        <v>37</v>
      </c>
      <c r="AM321" s="7">
        <v>34.100324501759388</v>
      </c>
      <c r="AN321" s="7">
        <v>2.8996754982406117</v>
      </c>
      <c r="AO321" s="7">
        <v>4.3635560442854847E-2</v>
      </c>
      <c r="AP321" s="7">
        <v>0.96668836786536427</v>
      </c>
      <c r="AQ321" s="7">
        <v>2.5080789491045362E-3</v>
      </c>
      <c r="AR321" s="7">
        <v>0.84071038002398013</v>
      </c>
      <c r="AS321" s="7">
        <v>0.77893428137700682</v>
      </c>
      <c r="AT321" s="7">
        <v>0.98320311628135326</v>
      </c>
      <c r="AU321" s="7">
        <v>3.0319775373322515</v>
      </c>
    </row>
    <row r="322" spans="37:47" x14ac:dyDescent="0.25">
      <c r="AK322" t="str">
        <v>toyota corolla</v>
      </c>
      <c r="AL322" s="7">
        <v>32.200000000000003</v>
      </c>
      <c r="AM322" s="7">
        <v>35.23204316992431</v>
      </c>
      <c r="AN322" s="7">
        <v>-3.0320431699243073</v>
      </c>
      <c r="AO322" s="7">
        <v>4.2341728892895142E-2</v>
      </c>
      <c r="AP322" s="7">
        <v>-1.0101337973139408</v>
      </c>
      <c r="AQ322" s="7">
        <v>2.6537921553327799E-3</v>
      </c>
      <c r="AR322" s="7">
        <v>0.84071038002398013</v>
      </c>
      <c r="AS322" s="7">
        <v>0.78371741325869382</v>
      </c>
      <c r="AT322" s="7">
        <v>1.0050541265593316</v>
      </c>
      <c r="AU322" s="7">
        <v>-3.1661013760358392</v>
      </c>
    </row>
    <row r="323" spans="37:47" x14ac:dyDescent="0.25">
      <c r="AK323" t="str">
        <v>mazda glc</v>
      </c>
      <c r="AL323" s="7">
        <v>46.6</v>
      </c>
      <c r="AM323" s="7">
        <v>36.179220479802822</v>
      </c>
      <c r="AN323" s="7">
        <v>10.420779520197179</v>
      </c>
      <c r="AO323" s="7">
        <v>4.2543065339562161E-2</v>
      </c>
      <c r="AP323" s="7">
        <v>3.4720773077781244</v>
      </c>
      <c r="AQ323" s="7">
        <v>3.1509345424163913E-2</v>
      </c>
      <c r="AR323" s="7">
        <v>0.90626440989817525</v>
      </c>
      <c r="AS323" s="7">
        <v>0.7914864360088929</v>
      </c>
      <c r="AT323" s="7">
        <v>1.8633510962183495</v>
      </c>
      <c r="AU323" s="7">
        <v>10.883810167287482</v>
      </c>
    </row>
    <row r="324" spans="37:47" x14ac:dyDescent="0.25">
      <c r="AK324" t="str">
        <v>dodge colt</v>
      </c>
      <c r="AL324" s="7">
        <v>27.9</v>
      </c>
      <c r="AM324" s="7">
        <v>29.976137956131645</v>
      </c>
      <c r="AN324" s="7">
        <v>-2.076137956131646</v>
      </c>
      <c r="AO324" s="7">
        <v>4.8543440672513642E-2</v>
      </c>
      <c r="AP324" s="7">
        <v>-0.69392179736044635</v>
      </c>
      <c r="AQ324" s="7">
        <v>1.4451526667439193E-3</v>
      </c>
      <c r="AR324" s="7">
        <v>0.91594855621391613</v>
      </c>
      <c r="AS324" s="7">
        <v>0.80808342930667132</v>
      </c>
      <c r="AT324" s="7">
        <v>0.83301968605816656</v>
      </c>
      <c r="AU324" s="7">
        <v>-2.1820627918095523</v>
      </c>
    </row>
    <row r="325" spans="37:47" x14ac:dyDescent="0.25">
      <c r="AK325" t="str">
        <v>datsun 210</v>
      </c>
      <c r="AL325" s="7">
        <v>40.799999999999997</v>
      </c>
      <c r="AM325" s="7">
        <v>36.179220479802822</v>
      </c>
      <c r="AN325" s="7">
        <v>4.6207795201971749</v>
      </c>
      <c r="AO325" s="7">
        <v>4.2543065339562161E-2</v>
      </c>
      <c r="AP325" s="7">
        <v>1.539587675300794</v>
      </c>
      <c r="AQ325" s="7">
        <v>6.1954015492519943E-3</v>
      </c>
      <c r="AR325" s="7">
        <v>0.91594855621391613</v>
      </c>
      <c r="AS325" s="7">
        <v>0.81643234827063926</v>
      </c>
      <c r="AT325" s="7">
        <v>1.2408012231218963</v>
      </c>
      <c r="AU325" s="7">
        <v>4.8260964571069032</v>
      </c>
    </row>
    <row r="326" spans="37:47" x14ac:dyDescent="0.25">
      <c r="AK326" t="str">
        <v>vw rabbit c (diesel)</v>
      </c>
      <c r="AL326" s="7">
        <v>44.3</v>
      </c>
      <c r="AM326" s="7">
        <v>36.459845721441084</v>
      </c>
      <c r="AN326" s="7">
        <v>7.8401542785589129</v>
      </c>
      <c r="AO326" s="7">
        <v>4.9109161636258357E-2</v>
      </c>
      <c r="AP326" s="7">
        <v>2.6212478115325442</v>
      </c>
      <c r="AQ326" s="7">
        <v>2.0873683660506931E-2</v>
      </c>
      <c r="AR326" s="7">
        <v>0.93557937876868658</v>
      </c>
      <c r="AS326" s="7">
        <v>0.82794023224202973</v>
      </c>
      <c r="AT326" s="7">
        <v>1.6190268100104286</v>
      </c>
      <c r="AU326" s="7">
        <v>8.2450623796628069</v>
      </c>
    </row>
    <row r="327" spans="37:47" x14ac:dyDescent="0.25">
      <c r="AK327" t="str">
        <v>vw dasher (diesel)</v>
      </c>
      <c r="AL327" s="7">
        <v>43.4</v>
      </c>
      <c r="AM327" s="7">
        <v>35.1940183176619</v>
      </c>
      <c r="AN327" s="7">
        <v>8.2059816823380984</v>
      </c>
      <c r="AO327" s="7">
        <v>5.1764620516722759E-2</v>
      </c>
      <c r="AP327" s="7">
        <v>2.7473960479992194</v>
      </c>
      <c r="AQ327" s="7">
        <v>2.4238765461914558E-2</v>
      </c>
      <c r="AR327" s="7">
        <v>0.94553119002021024</v>
      </c>
      <c r="AS327" s="7">
        <v>0.83361742346055501</v>
      </c>
      <c r="AT327" s="7">
        <v>1.6575270881645403</v>
      </c>
      <c r="AU327" s="7">
        <v>8.6539501266128589</v>
      </c>
    </row>
    <row r="328" spans="37:47" x14ac:dyDescent="0.25">
      <c r="AK328" t="str">
        <v>audi 5000s (diesel)</v>
      </c>
      <c r="AL328" s="7">
        <v>36.4</v>
      </c>
      <c r="AM328" s="7">
        <v>31.771590697247824</v>
      </c>
      <c r="AN328" s="7">
        <v>4.6284093027521749</v>
      </c>
      <c r="AO328" s="7">
        <v>5.6567924201591298E-2</v>
      </c>
      <c r="AP328" s="7">
        <v>1.5535500258921526</v>
      </c>
      <c r="AQ328" s="7">
        <v>8.512579252521876E-3</v>
      </c>
      <c r="AR328" s="7">
        <v>0.95557753794043188</v>
      </c>
      <c r="AS328" s="7">
        <v>0.84720077695598384</v>
      </c>
      <c r="AT328" s="7">
        <v>1.2464148690914083</v>
      </c>
      <c r="AU328" s="7">
        <v>4.905927433975827</v>
      </c>
    </row>
    <row r="329" spans="37:47" x14ac:dyDescent="0.25">
      <c r="AK329" t="str">
        <v>mercedes-benz 240d</v>
      </c>
      <c r="AL329" s="7">
        <v>30</v>
      </c>
      <c r="AM329" s="7">
        <v>30.2525978127128</v>
      </c>
      <c r="AN329" s="7">
        <v>-0.25259781271279991</v>
      </c>
      <c r="AO329" s="7">
        <v>6.6408958190973158E-2</v>
      </c>
      <c r="AP329" s="7">
        <v>-8.5231484219193049E-2</v>
      </c>
      <c r="AQ329" s="7">
        <v>3.0396331523534392E-5</v>
      </c>
      <c r="AR329" s="7">
        <v>0.96572126957388438</v>
      </c>
      <c r="AS329" s="7">
        <v>0.8534981078051288</v>
      </c>
      <c r="AT329" s="7">
        <v>0.29194431698389517</v>
      </c>
      <c r="AU329" s="7">
        <v>-0.27056580601216901</v>
      </c>
    </row>
    <row r="330" spans="37:47" x14ac:dyDescent="0.25">
      <c r="AK330" t="str">
        <v>honda civic 1500 gl</v>
      </c>
      <c r="AL330" s="7">
        <v>44.6</v>
      </c>
      <c r="AM330" s="7">
        <v>37.463208115826092</v>
      </c>
      <c r="AN330" s="7">
        <v>7.1367918841739098</v>
      </c>
      <c r="AO330" s="7">
        <v>4.3492507562084851E-2</v>
      </c>
      <c r="AP330" s="7">
        <v>2.3790723412149868</v>
      </c>
      <c r="AQ330" s="7">
        <v>1.5138834664552051E-2</v>
      </c>
      <c r="AR330" s="7">
        <v>0.96572126957388438</v>
      </c>
      <c r="AS330" s="7">
        <v>0.86418422319002008</v>
      </c>
      <c r="AT330" s="7">
        <v>1.5424241768122628</v>
      </c>
      <c r="AU330" s="7">
        <v>7.461302645924798</v>
      </c>
    </row>
    <row r="331" spans="37:47" x14ac:dyDescent="0.25">
      <c r="AK331" t="str">
        <v>subaru dl</v>
      </c>
      <c r="AL331" s="7">
        <v>33.799999999999997</v>
      </c>
      <c r="AM331" s="7">
        <v>35.969531779366662</v>
      </c>
      <c r="AN331" s="7">
        <v>-2.1695317793666646</v>
      </c>
      <c r="AO331" s="7">
        <v>4.2462545848669514E-2</v>
      </c>
      <c r="AP331" s="7">
        <v>-0.72283127398567082</v>
      </c>
      <c r="AQ331" s="7">
        <v>1.362935193344648E-3</v>
      </c>
      <c r="AR331" s="7">
        <v>0.96572126957388438</v>
      </c>
      <c r="AS331" s="7">
        <v>0.87264012009621761</v>
      </c>
      <c r="AT331" s="7">
        <v>0.85019484471835682</v>
      </c>
      <c r="AU331" s="7">
        <v>-2.2657409064896892</v>
      </c>
    </row>
    <row r="332" spans="37:47" x14ac:dyDescent="0.25">
      <c r="AK332" t="str">
        <v>vokswagen rabbit</v>
      </c>
      <c r="AL332" s="7">
        <v>29.8</v>
      </c>
      <c r="AM332" s="7">
        <v>37.447729981719526</v>
      </c>
      <c r="AN332" s="7">
        <v>-7.6477299817195252</v>
      </c>
      <c r="AO332" s="7">
        <v>5.037136542363066E-2</v>
      </c>
      <c r="AP332" s="7">
        <v>-2.5586120959927139</v>
      </c>
      <c r="AQ332" s="7">
        <v>2.0426309022841115E-2</v>
      </c>
      <c r="AR332" s="7">
        <v>0.96572126957388438</v>
      </c>
      <c r="AS332" s="7">
        <v>0.87970525767098529</v>
      </c>
      <c r="AT332" s="7">
        <v>1.5995662211964574</v>
      </c>
      <c r="AU332" s="7">
        <v>-8.0533902446309327</v>
      </c>
    </row>
    <row r="333" spans="37:47" x14ac:dyDescent="0.25">
      <c r="AK333" t="str">
        <v>datsun 280-zx</v>
      </c>
      <c r="AL333" s="7">
        <v>32.700000000000003</v>
      </c>
      <c r="AM333" s="7">
        <v>31.040731846822165</v>
      </c>
      <c r="AN333" s="7">
        <v>1.6592681531778375</v>
      </c>
      <c r="AO333" s="7">
        <v>5.5299275867682678E-2</v>
      </c>
      <c r="AP333" s="7">
        <v>0.55656803120621701</v>
      </c>
      <c r="AQ333" s="7">
        <v>1.0666275308936534E-3</v>
      </c>
      <c r="AR333" s="7">
        <v>0.96572126957388438</v>
      </c>
      <c r="AS333" s="7">
        <v>0.88224971223868354</v>
      </c>
      <c r="AT333" s="7">
        <v>0.74603487264753043</v>
      </c>
      <c r="AU333" s="7">
        <v>1.7563955555362059</v>
      </c>
    </row>
    <row r="334" spans="37:47" x14ac:dyDescent="0.25">
      <c r="AK334" t="str">
        <v>mazda rx-7 gs</v>
      </c>
      <c r="AL334" s="7">
        <v>23.7</v>
      </c>
      <c r="AM334" s="7">
        <v>34.041319380742692</v>
      </c>
      <c r="AN334" s="7">
        <v>-10.341319380742693</v>
      </c>
      <c r="AO334" s="7">
        <v>4.5913395389664366E-2</v>
      </c>
      <c r="AP334" s="7">
        <v>-3.451682617569364</v>
      </c>
      <c r="AQ334" s="7">
        <v>3.3725966329777535E-2</v>
      </c>
      <c r="AR334" s="7">
        <v>0.96572126957388438</v>
      </c>
      <c r="AS334" s="7">
        <v>0.88428252049290279</v>
      </c>
      <c r="AT334" s="7">
        <v>1.8578704523107537</v>
      </c>
      <c r="AU334" s="7">
        <v>-10.838973454580943</v>
      </c>
    </row>
    <row r="335" spans="37:47" x14ac:dyDescent="0.25">
      <c r="AK335" t="str">
        <v>triumph tr7 coupe</v>
      </c>
      <c r="AL335" s="7">
        <v>35</v>
      </c>
      <c r="AM335" s="7">
        <v>33.709114953025988</v>
      </c>
      <c r="AN335" s="7">
        <v>1.2908850469740116</v>
      </c>
      <c r="AO335" s="7">
        <v>4.9786115999968433E-2</v>
      </c>
      <c r="AP335" s="7">
        <v>0.43174338069117302</v>
      </c>
      <c r="AQ335" s="7">
        <v>5.7449906899618758E-4</v>
      </c>
      <c r="AR335" s="7">
        <v>1.0288047620058449</v>
      </c>
      <c r="AS335" s="7">
        <v>0.89210317838710018</v>
      </c>
      <c r="AT335" s="7">
        <v>0.65707182308418388</v>
      </c>
      <c r="AU335" s="7">
        <v>1.3585205064989019</v>
      </c>
    </row>
    <row r="336" spans="37:47" x14ac:dyDescent="0.25">
      <c r="AK336" t="str">
        <v>honda accord</v>
      </c>
      <c r="AL336" s="7">
        <v>32.4</v>
      </c>
      <c r="AM336" s="7">
        <v>35.154169725407016</v>
      </c>
      <c r="AN336" s="7">
        <v>-2.7541697254070172</v>
      </c>
      <c r="AO336" s="7">
        <v>4.2569726514608816E-2</v>
      </c>
      <c r="AP336" s="7">
        <v>-0.91766871471414591</v>
      </c>
      <c r="AQ336" s="7">
        <v>2.2025036410607212E-3</v>
      </c>
      <c r="AR336" s="7">
        <v>1.0397213301736039</v>
      </c>
      <c r="AS336" s="7">
        <v>0.89328897781380623</v>
      </c>
      <c r="AT336" s="7">
        <v>0.95795026734906541</v>
      </c>
      <c r="AU336" s="7">
        <v>-2.876626947862059</v>
      </c>
    </row>
    <row r="337" spans="37:47" x14ac:dyDescent="0.25">
      <c r="AK337" t="str">
        <v>plymouth reliant</v>
      </c>
      <c r="AL337" s="7">
        <v>27.2</v>
      </c>
      <c r="AM337" s="7">
        <v>29.250550208008114</v>
      </c>
      <c r="AN337" s="7">
        <v>-2.050550208008115</v>
      </c>
      <c r="AO337" s="7">
        <v>4.2608580271655559E-2</v>
      </c>
      <c r="AP337" s="7">
        <v>-0.68324182750021734</v>
      </c>
      <c r="AQ337" s="7">
        <v>1.2221021344029587E-3</v>
      </c>
      <c r="AR337" s="7">
        <v>1.050763231139634</v>
      </c>
      <c r="AS337" s="7">
        <v>0.89925474334883049</v>
      </c>
      <c r="AT337" s="7">
        <v>0.82658443458621778</v>
      </c>
      <c r="AU337" s="7">
        <v>-2.1418096775819753</v>
      </c>
    </row>
    <row r="338" spans="37:47" x14ac:dyDescent="0.25">
      <c r="AK338" t="str">
        <v>buick skylark</v>
      </c>
      <c r="AL338" s="7">
        <v>26.6</v>
      </c>
      <c r="AM338" s="7">
        <v>28.516370313816182</v>
      </c>
      <c r="AN338" s="7">
        <v>-1.9163703138161807</v>
      </c>
      <c r="AO338" s="7">
        <v>4.1092528424654287E-2</v>
      </c>
      <c r="AP338" s="7">
        <v>-0.63802821850481273</v>
      </c>
      <c r="AQ338" s="7">
        <v>1.0261645662393696E-3</v>
      </c>
      <c r="AR338" s="7">
        <v>1.0619347543176552</v>
      </c>
      <c r="AS338" s="7">
        <v>0.92150618089199277</v>
      </c>
      <c r="AT338" s="7">
        <v>0.79876668590071576</v>
      </c>
      <c r="AU338" s="7">
        <v>-1.9984934632617499</v>
      </c>
    </row>
    <row r="339" spans="37:47" x14ac:dyDescent="0.25">
      <c r="AK339" t="str">
        <v>dodge aries wagon (sw)</v>
      </c>
      <c r="AL339" s="7">
        <v>25.8</v>
      </c>
      <c r="AM339" s="7">
        <v>28.462428502414603</v>
      </c>
      <c r="AN339" s="7">
        <v>-2.6624285024146026</v>
      </c>
      <c r="AO339" s="7">
        <v>4.2310893601892552E-2</v>
      </c>
      <c r="AP339" s="7">
        <v>-0.88698134092906389</v>
      </c>
      <c r="AQ339" s="7">
        <v>2.0445968935016087E-3</v>
      </c>
      <c r="AR339" s="7">
        <v>1.0619347543176552</v>
      </c>
      <c r="AS339" s="7">
        <v>0.9235433462638315</v>
      </c>
      <c r="AT339" s="7">
        <v>0.94179686818817987</v>
      </c>
      <c r="AU339" s="7">
        <v>-2.7800551187514939</v>
      </c>
    </row>
    <row r="340" spans="37:47" x14ac:dyDescent="0.25">
      <c r="AK340" t="str">
        <v>chevrolet citation</v>
      </c>
      <c r="AL340" s="7">
        <v>23.5</v>
      </c>
      <c r="AM340" s="7">
        <v>27.638525217663606</v>
      </c>
      <c r="AN340" s="7">
        <v>-4.1385252176636058</v>
      </c>
      <c r="AO340" s="7">
        <v>4.6648569894361711E-2</v>
      </c>
      <c r="AP340" s="7">
        <v>-1.3818722583783176</v>
      </c>
      <c r="AQ340" s="7">
        <v>5.4963222423871387E-3</v>
      </c>
      <c r="AR340" s="7">
        <v>1.0846849303794233</v>
      </c>
      <c r="AS340" s="7">
        <v>0.92900557209987766</v>
      </c>
      <c r="AT340" s="7">
        <v>1.1755306284305473</v>
      </c>
      <c r="AU340" s="7">
        <v>-4.3410279640583607</v>
      </c>
    </row>
    <row r="341" spans="37:47" x14ac:dyDescent="0.25">
      <c r="AK341" t="str">
        <v>plymouth reliant</v>
      </c>
      <c r="AL341" s="7">
        <v>30</v>
      </c>
      <c r="AM341" s="7">
        <v>29.78219771759537</v>
      </c>
      <c r="AN341" s="7">
        <v>0.21780228240463018</v>
      </c>
      <c r="AO341" s="7">
        <v>4.4238536928883715E-2</v>
      </c>
      <c r="AP341" s="7">
        <v>7.2633416429777817E-2</v>
      </c>
      <c r="AQ341" s="7">
        <v>1.4363995595847449E-5</v>
      </c>
      <c r="AR341" s="7">
        <v>1.0962733150227</v>
      </c>
      <c r="AS341" s="7">
        <v>0.93448737390407655</v>
      </c>
      <c r="AT341" s="7">
        <v>0.26950587457377961</v>
      </c>
      <c r="AU341" s="7">
        <v>0.22788351573076968</v>
      </c>
    </row>
    <row r="342" spans="37:47" x14ac:dyDescent="0.25">
      <c r="AK342" t="str">
        <v>toyota starlet</v>
      </c>
      <c r="AL342" s="7">
        <v>39.1</v>
      </c>
      <c r="AM342" s="7">
        <v>35.454171617009976</v>
      </c>
      <c r="AN342" s="7">
        <v>3.6458283829900253</v>
      </c>
      <c r="AO342" s="7">
        <v>4.1951287323382581E-2</v>
      </c>
      <c r="AP342" s="7">
        <v>1.2143705581244542</v>
      </c>
      <c r="AQ342" s="7">
        <v>3.7984921914540185E-3</v>
      </c>
      <c r="AR342" s="7">
        <v>1.1080108204698569</v>
      </c>
      <c r="AS342" s="7">
        <v>0.96387111404314918</v>
      </c>
      <c r="AT342" s="7">
        <v>1.1019848266307728</v>
      </c>
      <c r="AU342" s="7">
        <v>3.8054728687064672</v>
      </c>
    </row>
    <row r="343" spans="37:47" x14ac:dyDescent="0.25">
      <c r="AK343" t="str">
        <v>plymouth champ</v>
      </c>
      <c r="AL343" s="7">
        <v>39</v>
      </c>
      <c r="AM343" s="7">
        <v>32.689214260375735</v>
      </c>
      <c r="AN343" s="7">
        <v>6.310785739624265</v>
      </c>
      <c r="AO343" s="7">
        <v>5.022858407809927E-2</v>
      </c>
      <c r="AP343" s="7">
        <v>2.1111674999819705</v>
      </c>
      <c r="AQ343" s="7">
        <v>1.3865269089159291E-2</v>
      </c>
      <c r="AR343" s="7">
        <v>1.1199029946137795</v>
      </c>
      <c r="AS343" s="7">
        <v>0.96668836786536427</v>
      </c>
      <c r="AT343" s="7">
        <v>1.4529857191252675</v>
      </c>
      <c r="AU343" s="7">
        <v>6.6445311301547934</v>
      </c>
    </row>
    <row r="344" spans="37:47" x14ac:dyDescent="0.25">
      <c r="AK344" t="str">
        <v>honda civic 1300</v>
      </c>
      <c r="AL344" s="7">
        <v>35.1</v>
      </c>
      <c r="AM344" s="7">
        <v>35.396382205027308</v>
      </c>
      <c r="AN344" s="7">
        <v>-0.29638220502730661</v>
      </c>
      <c r="AO344" s="7">
        <v>4.2013652542506719E-2</v>
      </c>
      <c r="AP344" s="7">
        <v>-9.8723664725633833E-2</v>
      </c>
      <c r="AQ344" s="7">
        <v>2.5143442298404685E-5</v>
      </c>
      <c r="AR344" s="7">
        <v>1.1199029946137795</v>
      </c>
      <c r="AS344" s="7">
        <v>0.9792108710792421</v>
      </c>
      <c r="AT344" s="7">
        <v>0.31420322201663342</v>
      </c>
      <c r="AU344" s="7">
        <v>-0.30938040590443527</v>
      </c>
    </row>
    <row r="345" spans="37:47" x14ac:dyDescent="0.25">
      <c r="AK345" t="str">
        <v>subaru</v>
      </c>
      <c r="AL345" s="7">
        <v>32.299999999999997</v>
      </c>
      <c r="AM345" s="7">
        <v>33.738417748741917</v>
      </c>
      <c r="AN345" s="7">
        <v>-1.4384177487419194</v>
      </c>
      <c r="AO345" s="7">
        <v>4.145794906136302E-2</v>
      </c>
      <c r="AP345" s="7">
        <v>-0.47899199098150291</v>
      </c>
      <c r="AQ345" s="7">
        <v>5.8371953236483322E-4</v>
      </c>
      <c r="AR345" s="7">
        <v>1.1199029946137795</v>
      </c>
      <c r="AS345" s="7">
        <v>0.99045257304542067</v>
      </c>
      <c r="AT345" s="7">
        <v>0.69209247285424436</v>
      </c>
      <c r="AU345" s="7">
        <v>-1.5006308250466132</v>
      </c>
    </row>
    <row r="346" spans="37:47" x14ac:dyDescent="0.25">
      <c r="AK346" t="str">
        <v>datsun 210 mpg</v>
      </c>
      <c r="AL346" s="7">
        <v>37</v>
      </c>
      <c r="AM346" s="7">
        <v>34.226588478009504</v>
      </c>
      <c r="AN346" s="7">
        <v>2.7734115219904965</v>
      </c>
      <c r="AO346" s="7">
        <v>4.1456844028665445E-2</v>
      </c>
      <c r="AP346" s="7">
        <v>0.9235433462638315</v>
      </c>
      <c r="AQ346" s="7">
        <v>2.1699524290074955E-3</v>
      </c>
      <c r="AR346" s="7">
        <v>1.156567811385141</v>
      </c>
      <c r="AS346" s="7">
        <v>0.99590616832095791</v>
      </c>
      <c r="AT346" s="7">
        <v>0.96101162649773986</v>
      </c>
      <c r="AU346" s="7">
        <v>2.8933611436410236</v>
      </c>
    </row>
    <row r="347" spans="37:47" x14ac:dyDescent="0.25">
      <c r="AK347" t="str">
        <v>toyota tercel</v>
      </c>
      <c r="AL347" s="7">
        <v>37.700000000000003</v>
      </c>
      <c r="AM347" s="7">
        <v>33.895549552736369</v>
      </c>
      <c r="AN347" s="7">
        <v>3.8044504472636334</v>
      </c>
      <c r="AO347" s="7">
        <v>4.1763111862033346E-2</v>
      </c>
      <c r="AP347" s="7">
        <v>1.26708074925088</v>
      </c>
      <c r="AQ347" s="7">
        <v>4.1160404126380449E-3</v>
      </c>
      <c r="AR347" s="7">
        <v>1.156567811385141</v>
      </c>
      <c r="AS347" s="7">
        <v>0.99879597785625729</v>
      </c>
      <c r="AT347" s="7">
        <v>1.1256468137257263</v>
      </c>
      <c r="AU347" s="7">
        <v>3.9702608972363729</v>
      </c>
    </row>
    <row r="348" spans="37:47" x14ac:dyDescent="0.25">
      <c r="AK348" t="str">
        <v>mazda glc 4</v>
      </c>
      <c r="AL348" s="7">
        <v>34.1</v>
      </c>
      <c r="AM348" s="7">
        <v>34.127246085997712</v>
      </c>
      <c r="AN348" s="7">
        <v>-2.7246085997710168E-2</v>
      </c>
      <c r="AO348" s="7">
        <v>4.1515795674472153E-2</v>
      </c>
      <c r="AP348" s="7">
        <v>-9.0731992161399936E-3</v>
      </c>
      <c r="AQ348" s="7">
        <v>2.0974923110860871E-7</v>
      </c>
      <c r="AR348" s="7">
        <v>1.156567811385141</v>
      </c>
      <c r="AS348" s="7">
        <v>1.0160259092109321</v>
      </c>
      <c r="AT348" s="7">
        <v>9.5253342283302553E-2</v>
      </c>
      <c r="AU348" s="7">
        <v>-2.8426223274991645E-2</v>
      </c>
    </row>
    <row r="349" spans="37:47" x14ac:dyDescent="0.25">
      <c r="AK349" t="str">
        <v>plymouth horizon 4</v>
      </c>
      <c r="AL349" s="7">
        <v>34.700000000000003</v>
      </c>
      <c r="AM349" s="7">
        <v>30.983925423189582</v>
      </c>
      <c r="AN349" s="7">
        <v>3.7160745768104206</v>
      </c>
      <c r="AO349" s="7">
        <v>4.4551350782135554E-2</v>
      </c>
      <c r="AP349" s="7">
        <v>1.2394515341278651</v>
      </c>
      <c r="AQ349" s="7">
        <v>4.2137008791074829E-3</v>
      </c>
      <c r="AR349" s="7">
        <v>1.1948571240757904</v>
      </c>
      <c r="AS349" s="7">
        <v>1.04461770630526</v>
      </c>
      <c r="AT349" s="7">
        <v>1.1133065768816175</v>
      </c>
      <c r="AU349" s="7">
        <v>3.8893503903662641</v>
      </c>
    </row>
    <row r="350" spans="37:47" x14ac:dyDescent="0.25">
      <c r="AK350" t="str">
        <v>ford escort 4w</v>
      </c>
      <c r="AL350" s="7">
        <v>34.4</v>
      </c>
      <c r="AM350" s="7">
        <v>31.812215193852346</v>
      </c>
      <c r="AN350" s="7">
        <v>2.5877848061476527</v>
      </c>
      <c r="AO350" s="7">
        <v>4.6893881316315424E-2</v>
      </c>
      <c r="AP350" s="7">
        <v>0.86418422319002008</v>
      </c>
      <c r="AQ350" s="7">
        <v>2.1614175219013573E-3</v>
      </c>
      <c r="AR350" s="7">
        <v>1.2080167583463306</v>
      </c>
      <c r="AS350" s="7">
        <v>1.0807560254323885</v>
      </c>
      <c r="AT350" s="7">
        <v>0.92961509410616827</v>
      </c>
      <c r="AU350" s="7">
        <v>2.7151066973755134</v>
      </c>
    </row>
    <row r="351" spans="37:47" x14ac:dyDescent="0.25">
      <c r="AK351" t="str">
        <v>ford escort 2h</v>
      </c>
      <c r="AL351" s="7">
        <v>29.9</v>
      </c>
      <c r="AM351" s="7">
        <v>30.116006472788236</v>
      </c>
      <c r="AN351" s="7">
        <v>-0.21600647278823715</v>
      </c>
      <c r="AO351" s="7">
        <v>4.3294655821143453E-2</v>
      </c>
      <c r="AP351" s="7">
        <v>-7.199900072986111E-2</v>
      </c>
      <c r="AQ351" s="7">
        <v>1.3799396962001494E-5</v>
      </c>
      <c r="AR351" s="7">
        <v>1.221388985601022</v>
      </c>
      <c r="AS351" s="7">
        <v>1.1069048065287981</v>
      </c>
      <c r="AT351" s="7">
        <v>0.26832629526354868</v>
      </c>
      <c r="AU351" s="7">
        <v>-0.22578160987867821</v>
      </c>
    </row>
    <row r="352" spans="37:47" x14ac:dyDescent="0.25">
      <c r="AK352" t="str">
        <v>volkswagen jetta</v>
      </c>
      <c r="AL352" s="7">
        <v>33</v>
      </c>
      <c r="AM352" s="7">
        <v>32.869872181227677</v>
      </c>
      <c r="AN352" s="7">
        <v>0.13012781877232271</v>
      </c>
      <c r="AO352" s="7">
        <v>5.2106229203956106E-2</v>
      </c>
      <c r="AP352" s="7">
        <v>4.357517290963854E-2</v>
      </c>
      <c r="AQ352" s="7">
        <v>6.1398716568037402E-6</v>
      </c>
      <c r="AR352" s="7">
        <v>1.221388985601022</v>
      </c>
      <c r="AS352" s="7">
        <v>1.1097334264431693</v>
      </c>
      <c r="AT352" s="7">
        <v>0.20874667161331828</v>
      </c>
      <c r="AU352" s="7">
        <v>0.13728101479455973</v>
      </c>
    </row>
    <row r="353" spans="37:47" x14ac:dyDescent="0.25">
      <c r="AK353" t="str">
        <v>honda prelude</v>
      </c>
      <c r="AL353" s="7">
        <v>33.700000000000003</v>
      </c>
      <c r="AM353" s="7">
        <v>32.874346398921652</v>
      </c>
      <c r="AN353" s="7">
        <v>0.82565360107835062</v>
      </c>
      <c r="AO353" s="7">
        <v>4.1634199205982172E-2</v>
      </c>
      <c r="AP353" s="7">
        <v>0.2749672873635931</v>
      </c>
      <c r="AQ353" s="7">
        <v>1.9321108768246162E-4</v>
      </c>
      <c r="AR353" s="7">
        <v>1.2488096764960821</v>
      </c>
      <c r="AS353" s="7">
        <v>1.1280247387124049</v>
      </c>
      <c r="AT353" s="7">
        <v>0.52437323288245097</v>
      </c>
      <c r="AU353" s="7">
        <v>0.86152239613964365</v>
      </c>
    </row>
    <row r="354" spans="37:47" x14ac:dyDescent="0.25">
      <c r="AK354" t="str">
        <v>toyota corolla</v>
      </c>
      <c r="AL354" s="7">
        <v>32.4</v>
      </c>
      <c r="AM354" s="7">
        <v>32.165483052805314</v>
      </c>
      <c r="AN354" s="7">
        <v>0.23451694719468463</v>
      </c>
      <c r="AO354" s="7">
        <v>4.2232188432905597E-2</v>
      </c>
      <c r="AP354" s="7">
        <v>7.8125519301108906E-2</v>
      </c>
      <c r="AQ354" s="7">
        <v>1.5831434276901405E-5</v>
      </c>
      <c r="AR354" s="7">
        <v>1.2488096764960821</v>
      </c>
      <c r="AS354" s="7">
        <v>1.1659795306247449</v>
      </c>
      <c r="AT354" s="7">
        <v>0.27950942613999424</v>
      </c>
      <c r="AU354" s="7">
        <v>0.24485782917570523</v>
      </c>
    </row>
    <row r="355" spans="37:47" x14ac:dyDescent="0.25">
      <c r="AK355" t="str">
        <v>datsun 200sx</v>
      </c>
      <c r="AL355" s="7">
        <v>32.9</v>
      </c>
      <c r="AM355" s="7">
        <v>30.417795205960847</v>
      </c>
      <c r="AN355" s="7">
        <v>2.4822047940391521</v>
      </c>
      <c r="AO355" s="7">
        <v>4.4622841874438268E-2</v>
      </c>
      <c r="AP355" s="7">
        <v>0.82794023224202973</v>
      </c>
      <c r="AQ355" s="7">
        <v>1.8833516818890722E-3</v>
      </c>
      <c r="AR355" s="7">
        <v>1.2772029316939737</v>
      </c>
      <c r="AS355" s="7">
        <v>1.1660321456416034</v>
      </c>
      <c r="AT355" s="7">
        <v>0.90991221128306099</v>
      </c>
      <c r="AU355" s="7">
        <v>2.5981412397478789</v>
      </c>
    </row>
    <row r="356" spans="37:47" x14ac:dyDescent="0.25">
      <c r="AK356" t="str">
        <v>mazda 626</v>
      </c>
      <c r="AL356" s="7">
        <v>31.6</v>
      </c>
      <c r="AM356" s="7">
        <v>30.738676244450581</v>
      </c>
      <c r="AN356" s="7">
        <v>0.86132375554942087</v>
      </c>
      <c r="AO356" s="7">
        <v>4.6205507722798973E-2</v>
      </c>
      <c r="AP356" s="7">
        <v>0.28753308488155438</v>
      </c>
      <c r="AQ356" s="7">
        <v>2.3559477951898205E-4</v>
      </c>
      <c r="AR356" s="7">
        <v>1.2917937758243685</v>
      </c>
      <c r="AS356" s="7">
        <v>1.1863106075738008</v>
      </c>
      <c r="AT356" s="7">
        <v>0.536221115661771</v>
      </c>
      <c r="AU356" s="7">
        <v>0.90304962182471338</v>
      </c>
    </row>
    <row r="357" spans="37:47" x14ac:dyDescent="0.25">
      <c r="AK357" t="str">
        <v>peugeot 505s turbo diesel</v>
      </c>
      <c r="AL357" s="7">
        <v>28.1</v>
      </c>
      <c r="AM357" s="7">
        <v>27.506611589785013</v>
      </c>
      <c r="AN357" s="7">
        <v>0.59338841021498823</v>
      </c>
      <c r="AO357" s="7">
        <v>6.371473386729605E-2</v>
      </c>
      <c r="AP357" s="7">
        <v>0.19993267130990572</v>
      </c>
      <c r="AQ357" s="7">
        <v>1.6001116978650996E-4</v>
      </c>
      <c r="AR357" s="7">
        <v>1.306664940712895</v>
      </c>
      <c r="AS357" s="7">
        <v>1.1899727275032896</v>
      </c>
      <c r="AT357" s="7">
        <v>0.44713831339967469</v>
      </c>
      <c r="AU357" s="7">
        <v>0.63376882204497342</v>
      </c>
    </row>
    <row r="358" spans="37:47" x14ac:dyDescent="0.25">
      <c r="AK358" t="str">
        <v>volvo diesel</v>
      </c>
      <c r="AL358" s="7">
        <v>30.7</v>
      </c>
      <c r="AM358" s="7">
        <v>27.925988990657356</v>
      </c>
      <c r="AN358" s="7">
        <v>2.7740110093426438</v>
      </c>
      <c r="AO358" s="7">
        <v>6.3372096018761231E-2</v>
      </c>
      <c r="AP358" s="7">
        <v>0.93448737390407655</v>
      </c>
      <c r="AQ358" s="7">
        <v>3.4755931599012753E-3</v>
      </c>
      <c r="AR358" s="7">
        <v>1.3218308296149113</v>
      </c>
      <c r="AS358" s="7">
        <v>1.2143705581244542</v>
      </c>
      <c r="AT358" s="7">
        <v>0.96668887130455605</v>
      </c>
      <c r="AU358" s="7">
        <v>2.9617001560079603</v>
      </c>
    </row>
    <row r="359" spans="37:47" x14ac:dyDescent="0.25">
      <c r="AK359" t="str">
        <v>toyota cressida</v>
      </c>
      <c r="AL359" s="7">
        <v>25.4</v>
      </c>
      <c r="AM359" s="7">
        <v>28.714969054395912</v>
      </c>
      <c r="AN359" s="7">
        <v>-3.3149690543959132</v>
      </c>
      <c r="AO359" s="7">
        <v>4.8511143620971447E-2</v>
      </c>
      <c r="AP359" s="7">
        <v>-1.1079659887017894</v>
      </c>
      <c r="AQ359" s="7">
        <v>3.6816435904011803E-3</v>
      </c>
      <c r="AR359" s="7">
        <v>1.3373069939616973</v>
      </c>
      <c r="AS359" s="7">
        <v>1.2394515341278651</v>
      </c>
      <c r="AT359" s="7">
        <v>1.0525996336222949</v>
      </c>
      <c r="AU359" s="7">
        <v>-3.4839809548703582</v>
      </c>
    </row>
    <row r="360" spans="37:47" x14ac:dyDescent="0.25">
      <c r="AK360" t="str">
        <v>datsun 810 maxima</v>
      </c>
      <c r="AL360" s="7">
        <v>24.2</v>
      </c>
      <c r="AM360" s="7">
        <v>28.498124038128246</v>
      </c>
      <c r="AN360" s="7">
        <v>-4.2981240381282468</v>
      </c>
      <c r="AO360" s="7">
        <v>4.9782609569163784E-2</v>
      </c>
      <c r="AP360" s="7">
        <v>-1.4375278289347933</v>
      </c>
      <c r="AQ360" s="7">
        <v>6.3685165871422179E-3</v>
      </c>
      <c r="AR360" s="7">
        <v>1.3531102606891987</v>
      </c>
      <c r="AS360" s="7">
        <v>1.26708074925088</v>
      </c>
      <c r="AT360" s="7">
        <v>1.1989694862400766</v>
      </c>
      <c r="AU360" s="7">
        <v>-4.5233060154576235</v>
      </c>
    </row>
    <row r="361" spans="37:47" x14ac:dyDescent="0.25">
      <c r="AK361" t="str">
        <v>buick century</v>
      </c>
      <c r="AL361" s="7">
        <v>22.4</v>
      </c>
      <c r="AM361" s="7">
        <v>24.144841583233053</v>
      </c>
      <c r="AN361" s="7">
        <v>-1.7448415832330539</v>
      </c>
      <c r="AO361" s="7">
        <v>4.0505338903003972E-2</v>
      </c>
      <c r="AP361" s="7">
        <v>-0.58074238683041579</v>
      </c>
      <c r="AQ361" s="7">
        <v>8.3750582565428268E-4</v>
      </c>
      <c r="AR361" s="7">
        <v>1.3531102606891987</v>
      </c>
      <c r="AS361" s="7">
        <v>1.2915705569901503</v>
      </c>
      <c r="AT361" s="7">
        <v>0.76206455555314723</v>
      </c>
      <c r="AU361" s="7">
        <v>-1.8185005649100394</v>
      </c>
    </row>
    <row r="362" spans="37:47" x14ac:dyDescent="0.25">
      <c r="AK362" t="str">
        <v>oldsmobile cutlass ls</v>
      </c>
      <c r="AL362" s="7">
        <v>26.6</v>
      </c>
      <c r="AM362" s="7">
        <v>22.656397762314569</v>
      </c>
      <c r="AN362" s="7">
        <v>3.9436022376854325</v>
      </c>
      <c r="AO362" s="7">
        <v>4.5514063559417423E-2</v>
      </c>
      <c r="AP362" s="7">
        <v>1.3160037932020494</v>
      </c>
      <c r="AQ362" s="7">
        <v>4.8578202243035511E-3</v>
      </c>
      <c r="AR362" s="7">
        <v>1.3857726818373162</v>
      </c>
      <c r="AS362" s="7">
        <v>1.3082330687569519</v>
      </c>
      <c r="AT362" s="7">
        <v>1.1471720852609906</v>
      </c>
      <c r="AU362" s="7">
        <v>4.1316504383413974</v>
      </c>
    </row>
    <row r="363" spans="37:47" x14ac:dyDescent="0.25">
      <c r="AK363" t="str">
        <v>ford granada gl</v>
      </c>
      <c r="AL363" s="7">
        <v>20.2</v>
      </c>
      <c r="AM363" s="7">
        <v>26.299517999577404</v>
      </c>
      <c r="AN363" s="7">
        <v>-6.0995179995774045</v>
      </c>
      <c r="AO363" s="7">
        <v>4.0669083135311486E-2</v>
      </c>
      <c r="AP363" s="7">
        <v>-2.0302994659393101</v>
      </c>
      <c r="AQ363" s="7">
        <v>1.0279387077060626E-2</v>
      </c>
      <c r="AR363" s="7">
        <v>1.402673289992322</v>
      </c>
      <c r="AS363" s="7">
        <v>1.3160037932020494</v>
      </c>
      <c r="AT363" s="7">
        <v>1.4248857729443825</v>
      </c>
      <c r="AU363" s="7">
        <v>-6.358095931602012</v>
      </c>
    </row>
    <row r="364" spans="37:47" x14ac:dyDescent="0.25">
      <c r="AK364" t="str">
        <v>chrysler lebaron salon</v>
      </c>
      <c r="AL364" s="7">
        <v>17.600000000000001</v>
      </c>
      <c r="AM364" s="7">
        <v>24.297586901315743</v>
      </c>
      <c r="AN364" s="7">
        <v>-6.6975869013157414</v>
      </c>
      <c r="AO364" s="7">
        <v>4.8271382998579748E-2</v>
      </c>
      <c r="AP364" s="7">
        <v>-2.2382603266400913</v>
      </c>
      <c r="AQ364" s="7">
        <v>1.4946822807055393E-2</v>
      </c>
      <c r="AR364" s="7">
        <v>1.4199843237682621</v>
      </c>
      <c r="AS364" s="7">
        <v>1.3348865121336095</v>
      </c>
      <c r="AT364" s="7">
        <v>1.4960816577446872</v>
      </c>
      <c r="AU364" s="7">
        <v>-7.0372864508557127</v>
      </c>
    </row>
    <row r="365" spans="37:47" x14ac:dyDescent="0.25">
      <c r="AK365" t="str">
        <v>chevrolet cavalier</v>
      </c>
      <c r="AL365" s="7">
        <v>28</v>
      </c>
      <c r="AM365" s="7">
        <v>30.28175978404812</v>
      </c>
      <c r="AN365" s="7">
        <v>-2.2817597840481199</v>
      </c>
      <c r="AO365" s="7">
        <v>3.5610204688537747E-2</v>
      </c>
      <c r="AP365" s="7">
        <v>-0.75751706682775866</v>
      </c>
      <c r="AQ365" s="7">
        <v>1.2464009927449339E-3</v>
      </c>
      <c r="AR365" s="7">
        <v>1.4199843237682621</v>
      </c>
      <c r="AS365" s="7">
        <v>1.4296443982960441</v>
      </c>
      <c r="AT365" s="7">
        <v>0.87035456385760324</v>
      </c>
      <c r="AU365" s="7">
        <v>-2.366014027876763</v>
      </c>
    </row>
    <row r="366" spans="37:47" x14ac:dyDescent="0.25">
      <c r="AK366" t="str">
        <v>chevrolet cavalier wagon</v>
      </c>
      <c r="AL366" s="7">
        <v>27</v>
      </c>
      <c r="AM366" s="7">
        <v>30.104543947519034</v>
      </c>
      <c r="AN366" s="7">
        <v>-3.1045439475190335</v>
      </c>
      <c r="AO366" s="7">
        <v>3.5478279036810861E-2</v>
      </c>
      <c r="AP366" s="7">
        <v>-1.0306011185079671</v>
      </c>
      <c r="AQ366" s="7">
        <v>2.2981735940034403E-3</v>
      </c>
      <c r="AR366" s="7">
        <v>1.4199843237682621</v>
      </c>
      <c r="AS366" s="7">
        <v>1.4343249307838992</v>
      </c>
      <c r="AT366" s="7">
        <v>1.0151852631455833</v>
      </c>
      <c r="AU366" s="7">
        <v>-3.218739277762225</v>
      </c>
    </row>
    <row r="367" spans="37:47" x14ac:dyDescent="0.25">
      <c r="AK367" t="str">
        <v>chevrolet cavalier 2-door</v>
      </c>
      <c r="AL367" s="7">
        <v>34</v>
      </c>
      <c r="AM367" s="7">
        <v>31.345054803222631</v>
      </c>
      <c r="AN367" s="7">
        <v>2.6549451967773692</v>
      </c>
      <c r="AO367" s="7">
        <v>3.7444725577322431E-2</v>
      </c>
      <c r="AP367" s="7">
        <v>0.88224971223868354</v>
      </c>
      <c r="AQ367" s="7">
        <v>1.7811442916589161E-3</v>
      </c>
      <c r="AR367" s="7">
        <v>1.4199843237682621</v>
      </c>
      <c r="AS367" s="7">
        <v>1.482908951694333</v>
      </c>
      <c r="AT367" s="7">
        <v>0.9392814872223787</v>
      </c>
      <c r="AU367" s="7">
        <v>2.7582262206913315</v>
      </c>
    </row>
    <row r="368" spans="37:47" x14ac:dyDescent="0.25">
      <c r="AK368" t="str">
        <v>pontiac j2000 se hatchback</v>
      </c>
      <c r="AL368" s="7">
        <v>31</v>
      </c>
      <c r="AM368" s="7">
        <v>30.482368368362238</v>
      </c>
      <c r="AN368" s="7">
        <v>0.51763163163776227</v>
      </c>
      <c r="AO368" s="7">
        <v>3.563524260105199E-2</v>
      </c>
      <c r="AP368" s="7">
        <v>0.17184976624815418</v>
      </c>
      <c r="AQ368" s="7">
        <v>6.4192953679571388E-5</v>
      </c>
      <c r="AR368" s="7">
        <v>1.4199843237682621</v>
      </c>
      <c r="AS368" s="7">
        <v>1.4945061059531675</v>
      </c>
      <c r="AT368" s="7">
        <v>0.41454766462754822</v>
      </c>
      <c r="AU368" s="7">
        <v>0.53675917505934245</v>
      </c>
    </row>
    <row r="369" spans="37:47" x14ac:dyDescent="0.25">
      <c r="AK369" t="str">
        <v>dodge aries se</v>
      </c>
      <c r="AL369" s="7">
        <v>29</v>
      </c>
      <c r="AM369" s="7">
        <v>30.751770281071622</v>
      </c>
      <c r="AN369" s="7">
        <v>-1.7517702810716216</v>
      </c>
      <c r="AO369" s="7">
        <v>3.5820172682296966E-2</v>
      </c>
      <c r="AP369" s="7">
        <v>-0.58163018536706346</v>
      </c>
      <c r="AQ369" s="7">
        <v>7.3928958454274989E-4</v>
      </c>
      <c r="AR369" s="7">
        <v>1.4199843237682621</v>
      </c>
      <c r="AS369" s="7">
        <v>1.539587675300794</v>
      </c>
      <c r="AT369" s="7">
        <v>0.76264682872681211</v>
      </c>
      <c r="AU369" s="7">
        <v>-1.8168501678208238</v>
      </c>
    </row>
    <row r="370" spans="37:47" x14ac:dyDescent="0.25">
      <c r="AK370" t="str">
        <v>pontiac phoenix</v>
      </c>
      <c r="AL370" s="7">
        <v>27</v>
      </c>
      <c r="AM370" s="7">
        <v>29.591056670175853</v>
      </c>
      <c r="AN370" s="7">
        <v>-2.5910566701758526</v>
      </c>
      <c r="AO370" s="7">
        <v>3.5317344801761894E-2</v>
      </c>
      <c r="AP370" s="7">
        <v>-0.86006936817939161</v>
      </c>
      <c r="AQ370" s="7">
        <v>1.593021416841849E-3</v>
      </c>
      <c r="AR370" s="7">
        <v>1.5341205443525465</v>
      </c>
      <c r="AS370" s="7">
        <v>1.5500221062846573</v>
      </c>
      <c r="AT370" s="7">
        <v>0.92739924961118636</v>
      </c>
      <c r="AU370" s="7">
        <v>-2.6859160950119931</v>
      </c>
    </row>
    <row r="371" spans="37:47" x14ac:dyDescent="0.25">
      <c r="AK371" t="str">
        <v>ford fairmont futura</v>
      </c>
      <c r="AL371" s="7">
        <v>24</v>
      </c>
      <c r="AM371" s="7">
        <v>28.900353556303592</v>
      </c>
      <c r="AN371" s="7">
        <v>-4.9003535563035925</v>
      </c>
      <c r="AO371" s="7">
        <v>3.5405901429528638E-2</v>
      </c>
      <c r="AP371" s="7">
        <v>-1.6266867098316833</v>
      </c>
      <c r="AQ371" s="7">
        <v>5.7133387015121419E-3</v>
      </c>
      <c r="AR371" s="7">
        <v>1.5341205443525465</v>
      </c>
      <c r="AS371" s="7">
        <v>1.5535500258921526</v>
      </c>
      <c r="AT371" s="7">
        <v>1.2754162888373675</v>
      </c>
      <c r="AU371" s="7">
        <v>-5.0802234469046796</v>
      </c>
    </row>
    <row r="372" spans="37:47" x14ac:dyDescent="0.25">
      <c r="AK372" t="str">
        <v>volkswagen rabbit l</v>
      </c>
      <c r="AL372" s="7">
        <v>36</v>
      </c>
      <c r="AM372" s="7">
        <v>35.611603109994782</v>
      </c>
      <c r="AN372" s="7">
        <v>0.38839689000521815</v>
      </c>
      <c r="AO372" s="7">
        <v>5.1105954864069499E-2</v>
      </c>
      <c r="AP372" s="7">
        <v>0.12999171896584169</v>
      </c>
      <c r="AQ372" s="7">
        <v>5.3534806589597148E-5</v>
      </c>
      <c r="AR372" s="7">
        <v>1.5769982907616837</v>
      </c>
      <c r="AS372" s="7">
        <v>1.5585580298512536</v>
      </c>
      <c r="AT372" s="7">
        <v>0.36054364363533259</v>
      </c>
      <c r="AU372" s="7">
        <v>0.40931534136625308</v>
      </c>
    </row>
    <row r="373" spans="37:47" x14ac:dyDescent="0.25">
      <c r="AK373" t="str">
        <v>mazda glc custom l</v>
      </c>
      <c r="AL373" s="7">
        <v>37</v>
      </c>
      <c r="AM373" s="7">
        <v>35.603149610985632</v>
      </c>
      <c r="AN373" s="7">
        <v>1.396850389014368</v>
      </c>
      <c r="AO373" s="7">
        <v>4.2669270414959395E-2</v>
      </c>
      <c r="AP373" s="7">
        <v>0.4654442793344194</v>
      </c>
      <c r="AQ373" s="7">
        <v>5.6798869237322999E-4</v>
      </c>
      <c r="AR373" s="7">
        <v>1.5995705882374911</v>
      </c>
      <c r="AS373" s="7">
        <v>1.5747836013923129</v>
      </c>
      <c r="AT373" s="7">
        <v>0.68223476848839903</v>
      </c>
      <c r="AU373" s="7">
        <v>1.4591095280309649</v>
      </c>
    </row>
    <row r="374" spans="37:47" x14ac:dyDescent="0.25">
      <c r="AK374" t="str">
        <v>mazda glc custom</v>
      </c>
      <c r="AL374" s="7">
        <v>31</v>
      </c>
      <c r="AM374" s="7">
        <v>35.881631639817051</v>
      </c>
      <c r="AN374" s="7">
        <v>-4.8816316398170514</v>
      </c>
      <c r="AO374" s="7">
        <v>4.2387674968809748E-2</v>
      </c>
      <c r="AP374" s="7">
        <v>-1.626368466519942</v>
      </c>
      <c r="AQ374" s="7">
        <v>6.8871388294999445E-3</v>
      </c>
      <c r="AR374" s="7">
        <v>1.5995705882374911</v>
      </c>
      <c r="AS374" s="7">
        <v>1.5748070831006031</v>
      </c>
      <c r="AT374" s="7">
        <v>1.2752915221704966</v>
      </c>
      <c r="AU374" s="7">
        <v>-5.0977117902675833</v>
      </c>
    </row>
    <row r="375" spans="37:47" x14ac:dyDescent="0.25">
      <c r="AK375" t="str">
        <v>plymouth horizon miser</v>
      </c>
      <c r="AL375" s="7">
        <v>38</v>
      </c>
      <c r="AM375" s="7">
        <v>33.118059198142682</v>
      </c>
      <c r="AN375" s="7">
        <v>4.8819408018573185</v>
      </c>
      <c r="AO375" s="7">
        <v>3.8409800761363619E-2</v>
      </c>
      <c r="AP375" s="7">
        <v>1.6231038143843988</v>
      </c>
      <c r="AQ375" s="7">
        <v>6.1900720136637581E-3</v>
      </c>
      <c r="AR375" s="7">
        <v>1.5995705882374911</v>
      </c>
      <c r="AS375" s="7">
        <v>1.5766853430851646</v>
      </c>
      <c r="AT375" s="7">
        <v>1.2740109161166551</v>
      </c>
      <c r="AU375" s="7">
        <v>5.0769452576812029</v>
      </c>
    </row>
    <row r="376" spans="37:47" x14ac:dyDescent="0.25">
      <c r="AK376" t="str">
        <v>mercury lynx l</v>
      </c>
      <c r="AL376" s="7">
        <v>36</v>
      </c>
      <c r="AM376" s="7">
        <v>33.004404174467894</v>
      </c>
      <c r="AN376" s="7">
        <v>2.9955958255321065</v>
      </c>
      <c r="AO376" s="7">
        <v>3.8327502244710633E-2</v>
      </c>
      <c r="AP376" s="7">
        <v>0.99590616832095791</v>
      </c>
      <c r="AQ376" s="7">
        <v>2.3252585222383769E-3</v>
      </c>
      <c r="AR376" s="7">
        <v>1.6726929638404258</v>
      </c>
      <c r="AS376" s="7">
        <v>1.5835184219573573</v>
      </c>
      <c r="AT376" s="7">
        <v>0.99795098492909862</v>
      </c>
      <c r="AU376" s="7">
        <v>3.1149854368554237</v>
      </c>
    </row>
    <row r="377" spans="37:47" x14ac:dyDescent="0.25">
      <c r="AK377" t="str">
        <v>nissan stanza xe</v>
      </c>
      <c r="AL377" s="7">
        <v>36</v>
      </c>
      <c r="AM377" s="7">
        <v>34.594874173874054</v>
      </c>
      <c r="AN377" s="7">
        <v>1.4051258261259463</v>
      </c>
      <c r="AO377" s="7">
        <v>4.4176133885526568E-2</v>
      </c>
      <c r="AP377" s="7">
        <v>0.46857065274584953</v>
      </c>
      <c r="AQ377" s="7">
        <v>5.9691306285993831E-4</v>
      </c>
      <c r="AR377" s="7">
        <v>1.6991776601112989</v>
      </c>
      <c r="AS377" s="7">
        <v>1.6231038143843988</v>
      </c>
      <c r="AT377" s="7">
        <v>0.68452220763525962</v>
      </c>
      <c r="AU377" s="7">
        <v>1.4700677352177169</v>
      </c>
    </row>
    <row r="378" spans="37:47" x14ac:dyDescent="0.25">
      <c r="AK378" t="str">
        <v>honda accord</v>
      </c>
      <c r="AL378" s="7">
        <v>36</v>
      </c>
      <c r="AM378" s="7">
        <v>34.578098856589833</v>
      </c>
      <c r="AN378" s="7">
        <v>1.4219011434101674</v>
      </c>
      <c r="AO378" s="7">
        <v>4.3448835492164536E-2</v>
      </c>
      <c r="AP378" s="7">
        <v>0.47398446164132163</v>
      </c>
      <c r="AQ378" s="7">
        <v>6.0027357340988079E-4</v>
      </c>
      <c r="AR378" s="7">
        <v>1.7269108614600868</v>
      </c>
      <c r="AS378" s="7">
        <v>1.6395545081768079</v>
      </c>
      <c r="AT378" s="7">
        <v>0.68846529443489135</v>
      </c>
      <c r="AU378" s="7">
        <v>1.4864872849135713</v>
      </c>
    </row>
    <row r="379" spans="37:47" x14ac:dyDescent="0.25">
      <c r="AK379" t="str">
        <v>toyota corolla</v>
      </c>
      <c r="AL379" s="7">
        <v>34</v>
      </c>
      <c r="AM379" s="7">
        <v>34.456748631752866</v>
      </c>
      <c r="AN379" s="7">
        <v>-0.45674863175286617</v>
      </c>
      <c r="AO379" s="7">
        <v>4.4582088373450866E-2</v>
      </c>
      <c r="AP379" s="7">
        <v>-0.15234540833318785</v>
      </c>
      <c r="AQ379" s="7">
        <v>6.3705487945309389E-5</v>
      </c>
      <c r="AR379" s="7">
        <v>1.7560396847773088</v>
      </c>
      <c r="AS379" s="7">
        <v>1.6896822821993771</v>
      </c>
      <c r="AT379" s="7">
        <v>0.39031449926077283</v>
      </c>
      <c r="AU379" s="7">
        <v>-0.47806161701037769</v>
      </c>
    </row>
    <row r="380" spans="37:47" x14ac:dyDescent="0.25">
      <c r="AK380" t="str">
        <v>honda civic</v>
      </c>
      <c r="AL380" s="7">
        <v>38</v>
      </c>
      <c r="AM380" s="7">
        <v>35.923184619846182</v>
      </c>
      <c r="AN380" s="7">
        <v>2.0768153801538176</v>
      </c>
      <c r="AO380" s="7">
        <v>4.2412049592578729E-2</v>
      </c>
      <c r="AP380" s="7">
        <v>0.69192234930796725</v>
      </c>
      <c r="AQ380" s="7">
        <v>1.2473156859063596E-3</v>
      </c>
      <c r="AR380" s="7">
        <v>1.7560396847773088</v>
      </c>
      <c r="AS380" s="7">
        <v>1.8285518903811393</v>
      </c>
      <c r="AT380" s="7">
        <v>0.83181869978257117</v>
      </c>
      <c r="AU380" s="7">
        <v>2.1687985727788273</v>
      </c>
    </row>
    <row r="381" spans="37:47" x14ac:dyDescent="0.25">
      <c r="AK381" t="str">
        <v>honda civic (auto)</v>
      </c>
      <c r="AL381" s="7">
        <v>32</v>
      </c>
      <c r="AM381" s="7">
        <v>35.923184619846182</v>
      </c>
      <c r="AN381" s="7">
        <v>-3.9231846198461824</v>
      </c>
      <c r="AO381" s="7">
        <v>4.2412049592578729E-2</v>
      </c>
      <c r="AP381" s="7">
        <v>-1.307068093232151</v>
      </c>
      <c r="AQ381" s="7">
        <v>4.4510051121384358E-3</v>
      </c>
      <c r="AR381" s="7">
        <v>1.7560396847773088</v>
      </c>
      <c r="AS381" s="7">
        <v>1.8307638951688041</v>
      </c>
      <c r="AT381" s="7">
        <v>1.1432707873606107</v>
      </c>
      <c r="AU381" s="7">
        <v>-4.0969444301977695</v>
      </c>
    </row>
    <row r="382" spans="37:47" x14ac:dyDescent="0.25">
      <c r="AK382" t="str">
        <v>datsun 310 gx</v>
      </c>
      <c r="AL382" s="7">
        <v>38</v>
      </c>
      <c r="AM382" s="7">
        <v>35.771285331392683</v>
      </c>
      <c r="AN382" s="7">
        <v>2.2287146686073172</v>
      </c>
      <c r="AO382" s="7">
        <v>4.2566311963328538E-2</v>
      </c>
      <c r="AP382" s="7">
        <v>0.74258970300151861</v>
      </c>
      <c r="AQ382" s="7">
        <v>1.442136083935238E-3</v>
      </c>
      <c r="AR382" s="7">
        <v>1.7560396847773088</v>
      </c>
      <c r="AS382" s="7">
        <v>1.937883735039764</v>
      </c>
      <c r="AT382" s="7">
        <v>0.86173644636949098</v>
      </c>
      <c r="AU382" s="7">
        <v>2.3278005531407135</v>
      </c>
    </row>
    <row r="383" spans="37:47" x14ac:dyDescent="0.25">
      <c r="AK383" t="str">
        <v>buick century limited</v>
      </c>
      <c r="AL383" s="7">
        <v>25</v>
      </c>
      <c r="AM383" s="7">
        <v>28.203033011930515</v>
      </c>
      <c r="AN383" s="7">
        <v>-3.2030330119305148</v>
      </c>
      <c r="AO383" s="7">
        <v>3.6684093867170968E-2</v>
      </c>
      <c r="AP383" s="7">
        <v>-1.0639613519924846</v>
      </c>
      <c r="AQ383" s="7">
        <v>2.5357816141103389E-3</v>
      </c>
      <c r="AR383" s="7">
        <v>1.8906321205380332</v>
      </c>
      <c r="AS383" s="7">
        <v>1.9447162353916565</v>
      </c>
      <c r="AT383" s="7">
        <v>1.0314850226699779</v>
      </c>
      <c r="AU383" s="7">
        <v>-3.3250079143703637</v>
      </c>
    </row>
    <row r="384" spans="37:47" x14ac:dyDescent="0.25">
      <c r="AK384" t="str">
        <v>oldsmobile cutlass ciera (diesel)</v>
      </c>
      <c r="AL384" s="7">
        <v>38</v>
      </c>
      <c r="AM384" s="7">
        <v>28.254512137710869</v>
      </c>
      <c r="AN384" s="7">
        <v>9.7454878622891314</v>
      </c>
      <c r="AO384" s="7">
        <v>3.8019752769928257E-2</v>
      </c>
      <c r="AP384" s="7">
        <v>3.2394353065249786</v>
      </c>
      <c r="AQ384" s="7">
        <v>2.4396798261845723E-2</v>
      </c>
      <c r="AR384" s="7">
        <v>1.9302858560575813</v>
      </c>
      <c r="AS384" s="7">
        <v>2.0304757137130016</v>
      </c>
      <c r="AT384" s="7">
        <v>1.7998431338661096</v>
      </c>
      <c r="AU384" s="7">
        <v>10.130652776239755</v>
      </c>
    </row>
    <row r="385" spans="37:47" x14ac:dyDescent="0.25">
      <c r="AK385" t="str">
        <v>chrysler lebaron medallion</v>
      </c>
      <c r="AL385" s="7">
        <v>26</v>
      </c>
      <c r="AM385" s="7">
        <v>30.318080248536283</v>
      </c>
      <c r="AN385" s="7">
        <v>-4.3180802485362832</v>
      </c>
      <c r="AO385" s="7">
        <v>3.6117187184438668E-2</v>
      </c>
      <c r="AP385" s="7">
        <v>-1.4339281629923626</v>
      </c>
      <c r="AQ385" s="7">
        <v>4.5320589621589431E-3</v>
      </c>
      <c r="AR385" s="7">
        <v>1.9732297912673347</v>
      </c>
      <c r="AS385" s="7">
        <v>2.1111674999819705</v>
      </c>
      <c r="AT385" s="7">
        <v>1.1974673953775787</v>
      </c>
      <c r="AU385" s="7">
        <v>-4.4798809472729406</v>
      </c>
    </row>
    <row r="386" spans="37:47" x14ac:dyDescent="0.25">
      <c r="AK386" t="str">
        <v>ford granada l</v>
      </c>
      <c r="AL386" s="7">
        <v>22</v>
      </c>
      <c r="AM386" s="7">
        <v>28.727524205686279</v>
      </c>
      <c r="AN386" s="7">
        <v>-6.7275242056862794</v>
      </c>
      <c r="AO386" s="7">
        <v>3.8320594343835251E-2</v>
      </c>
      <c r="AP386" s="7">
        <v>-2.2366030601609661</v>
      </c>
      <c r="AQ386" s="7">
        <v>1.1725485358042654E-2</v>
      </c>
      <c r="AR386" s="7">
        <v>2.0201546663717482</v>
      </c>
      <c r="AS386" s="7">
        <v>2.2990445774735213</v>
      </c>
      <c r="AT386" s="7">
        <v>1.4955276861900504</v>
      </c>
      <c r="AU386" s="7">
        <v>-6.9955997457344044</v>
      </c>
    </row>
    <row r="387" spans="37:47" x14ac:dyDescent="0.25">
      <c r="AK387" t="str">
        <v>toyota celica gt</v>
      </c>
      <c r="AL387" s="7">
        <v>32</v>
      </c>
      <c r="AM387" s="7">
        <v>31.908011362611767</v>
      </c>
      <c r="AN387" s="7">
        <v>9.1988637388233485E-2</v>
      </c>
      <c r="AO387" s="7">
        <v>4.7178806629519218E-2</v>
      </c>
      <c r="AP387" s="7">
        <v>3.0723966658172362E-2</v>
      </c>
      <c r="AQ387" s="7">
        <v>2.7494206600981862E-6</v>
      </c>
      <c r="AR387" s="7">
        <v>2.0720014483779305</v>
      </c>
      <c r="AS387" s="7">
        <v>2.3790723412149868</v>
      </c>
      <c r="AT387" s="7">
        <v>0.1752825338080562</v>
      </c>
      <c r="AU387" s="7">
        <v>9.6543441758296406E-2</v>
      </c>
    </row>
    <row r="388" spans="37:47" x14ac:dyDescent="0.25">
      <c r="AK388" t="str">
        <v>dodge charger 2.2</v>
      </c>
      <c r="AL388" s="7">
        <v>36</v>
      </c>
      <c r="AM388" s="7">
        <v>31.536583271414713</v>
      </c>
      <c r="AN388" s="7">
        <v>4.4634167285852868</v>
      </c>
      <c r="AO388" s="7">
        <v>3.7050510776076906E-2</v>
      </c>
      <c r="AP388" s="7">
        <v>1.482908951694333</v>
      </c>
      <c r="AQ388" s="7">
        <v>4.9770355711066501E-3</v>
      </c>
      <c r="AR388" s="7">
        <v>2.1301011271220536</v>
      </c>
      <c r="AS388" s="7">
        <v>2.6212478115325442</v>
      </c>
      <c r="AT388" s="7">
        <v>1.2177474909415058</v>
      </c>
      <c r="AU388" s="7">
        <v>4.6351514576143771</v>
      </c>
    </row>
    <row r="389" spans="37:47" x14ac:dyDescent="0.25">
      <c r="AK389" t="str">
        <v>chevrolet camaro</v>
      </c>
      <c r="AL389" s="7">
        <v>27</v>
      </c>
      <c r="AM389" s="7">
        <v>28.502445102925755</v>
      </c>
      <c r="AN389" s="7">
        <v>-1.5024451029257548</v>
      </c>
      <c r="AO389" s="7">
        <v>3.611000998796679E-2</v>
      </c>
      <c r="AP389" s="7">
        <v>-0.49892317917099432</v>
      </c>
      <c r="AQ389" s="7">
        <v>5.4855298049970834E-4</v>
      </c>
      <c r="AR389" s="7">
        <v>2.1964293827614645</v>
      </c>
      <c r="AS389" s="7">
        <v>2.7473960479992194</v>
      </c>
      <c r="AT389" s="7">
        <v>0.70634494347379195</v>
      </c>
      <c r="AU389" s="7">
        <v>-1.5587308909671302</v>
      </c>
    </row>
    <row r="390" spans="37:47" x14ac:dyDescent="0.25">
      <c r="AK390" t="str">
        <v>ford mustang gl</v>
      </c>
      <c r="AL390" s="7">
        <v>27</v>
      </c>
      <c r="AM390" s="7">
        <v>29.377520369158603</v>
      </c>
      <c r="AN390" s="7">
        <v>-2.3775203691586029</v>
      </c>
      <c r="AO390" s="7">
        <v>3.5685808262497551E-2</v>
      </c>
      <c r="AP390" s="7">
        <v>-0.78933938116930435</v>
      </c>
      <c r="AQ390" s="7">
        <v>1.356299494152636E-3</v>
      </c>
      <c r="AR390" s="7">
        <v>2.2741131596554611</v>
      </c>
      <c r="AS390" s="7">
        <v>2.9429591190884881</v>
      </c>
      <c r="AT390" s="7">
        <v>0.88844773688118783</v>
      </c>
      <c r="AU390" s="7">
        <v>-2.4655038674426057</v>
      </c>
    </row>
    <row r="391" spans="37:47" x14ac:dyDescent="0.25">
      <c r="AK391" t="str">
        <v>vw pickup</v>
      </c>
      <c r="AL391" s="7">
        <v>44</v>
      </c>
      <c r="AM391" s="7">
        <v>35.209308170705178</v>
      </c>
      <c r="AN391" s="7">
        <v>8.790691829294822</v>
      </c>
      <c r="AO391" s="7">
        <v>5.1635563700410413E-2</v>
      </c>
      <c r="AP391" s="7">
        <v>2.9429591190884881</v>
      </c>
      <c r="AQ391" s="7">
        <v>2.7739153271081101E-2</v>
      </c>
      <c r="AR391" s="7">
        <v>2.3685670592678738</v>
      </c>
      <c r="AS391" s="7">
        <v>3.1819916573400091</v>
      </c>
      <c r="AT391" s="7">
        <v>1.7155054995797852</v>
      </c>
      <c r="AU391" s="7">
        <v>9.2693183050970411</v>
      </c>
    </row>
    <row r="392" spans="37:47" x14ac:dyDescent="0.25">
      <c r="AK392" t="str">
        <v>dodge rampage</v>
      </c>
      <c r="AL392" s="7">
        <v>32</v>
      </c>
      <c r="AM392" s="7">
        <v>31.916331492548473</v>
      </c>
      <c r="AN392" s="7">
        <v>8.3668507451527319E-2</v>
      </c>
      <c r="AO392" s="7">
        <v>3.7995518466340882E-2</v>
      </c>
      <c r="AP392" s="7">
        <v>2.781136326470084E-2</v>
      </c>
      <c r="AQ392" s="7">
        <v>1.7970117380838996E-6</v>
      </c>
      <c r="AR392" s="7">
        <v>2.4905347542813567</v>
      </c>
      <c r="AS392" s="7">
        <v>3.2394353065249786</v>
      </c>
      <c r="AT392" s="7">
        <v>0.16676739269024038</v>
      </c>
      <c r="AU392" s="7">
        <v>8.6973095300076186E-2</v>
      </c>
    </row>
    <row r="393" spans="37:47" x14ac:dyDescent="0.25">
      <c r="AK393" t="str">
        <v>ford ranger</v>
      </c>
      <c r="AL393" s="7">
        <v>28</v>
      </c>
      <c r="AM393" s="7">
        <v>30.326621479327649</v>
      </c>
      <c r="AN393" s="7">
        <v>-2.326621479327649</v>
      </c>
      <c r="AO393" s="7">
        <v>3.599303784431826E-2</v>
      </c>
      <c r="AP393" s="7">
        <v>-0.77256397256164122</v>
      </c>
      <c r="AQ393" s="7">
        <v>1.3108660454863893E-3</v>
      </c>
      <c r="AR393" s="7">
        <v>2.6670046532742755</v>
      </c>
      <c r="AS393" s="7">
        <v>3.4720773077781244</v>
      </c>
      <c r="AT393" s="7">
        <v>0.87895618352773497</v>
      </c>
      <c r="AU393" s="7">
        <v>-2.4134903280417519</v>
      </c>
    </row>
    <row r="394" spans="37:47" x14ac:dyDescent="0.25">
      <c r="AK394" t="str">
        <v>chevy s-10</v>
      </c>
      <c r="AL394" s="7">
        <v>31</v>
      </c>
      <c r="AM394" s="7">
        <v>29.796897770030938</v>
      </c>
      <c r="AN394" s="7">
        <v>1.2031022299690619</v>
      </c>
      <c r="AO394" s="7">
        <v>3.5917225983654891E-2</v>
      </c>
      <c r="AP394" s="7">
        <v>0.39947920216775701</v>
      </c>
      <c r="AQ394" s="7">
        <v>3.4972597563339862E-4</v>
      </c>
      <c r="AR394" s="7">
        <v>3.0172230343004469</v>
      </c>
      <c r="AS394" s="7">
        <v>4.2007262122566926</v>
      </c>
      <c r="AT394" s="7">
        <v>0.63204367109224102</v>
      </c>
      <c r="AU394" s="7">
        <v>1.247924205674755</v>
      </c>
    </row>
  </sheetData>
  <conditionalFormatting sqref="C4:G16000">
    <cfRule type="expression" dxfId="33" priority="1">
      <formula>$B4&lt;&gt;"Predictor (x)"</formula>
    </cfRule>
  </conditionalFormatting>
  <conditionalFormatting sqref="K4:L16000">
    <cfRule type="expression" dxfId="32" priority="2">
      <formula>$B4&lt;&gt;"Predictor (x)"</formula>
    </cfRule>
  </conditionalFormatting>
  <conditionalFormatting sqref="H4:I16000">
    <cfRule type="expression" dxfId="31" priority="3">
      <formula>$H4&lt;&gt;TRUE</formula>
    </cfRule>
  </conditionalFormatting>
  <conditionalFormatting sqref="J4:J16000">
    <cfRule type="expression" dxfId="30" priority="4">
      <formula>$H4&lt;&gt;TRUE</formula>
    </cfRule>
  </conditionalFormatting>
  <conditionalFormatting sqref="H4:H16000">
    <cfRule type="expression" dxfId="29" priority="5">
      <formula>AND($H4=TRUE,SUMPRODUCT(N(_xlfn.TAKE(Spec_Sequence,COLUMNS(Source_Data))=TRUE))&gt;1)</formula>
    </cfRule>
  </conditionalFormatting>
  <conditionalFormatting sqref="K4:K16000">
    <cfRule type="expression" dxfId="28" priority="6">
      <formula>AND($B4="Predictor (x)",$C4=TRUE,$D4="Categorical",N($K4)&lt;=1)</formula>
    </cfRule>
  </conditionalFormatting>
  <conditionalFormatting sqref="E4:E16000">
    <cfRule type="expression" dxfId="27" priority="7">
      <formula>AND($E4&lt;&gt;"",ISNA(Dummy_Levels(INDEX(Source_Data,0,ROW()-3),$E4,Sample_Include())))</formula>
    </cfRule>
  </conditionalFormatting>
  <conditionalFormatting sqref="E1">
    <cfRule type="expression" dxfId="26" priority="8">
      <formula>$E$1&lt;&gt;""</formula>
    </cfRule>
  </conditionalFormatting>
  <conditionalFormatting sqref="B1">
    <cfRule type="expression" dxfId="25" priority="9">
      <formula>$B$1&lt;&gt;""</formula>
    </cfRule>
  </conditionalFormatting>
  <conditionalFormatting sqref="I2">
    <cfRule type="expression" dxfId="24" priority="10" stopIfTrue="1">
      <formula>OR(ISNUMBER(SEARCH("off-grid",$I$2)),ISNUMBER(SEARCH("calendar",$I$2)))</formula>
    </cfRule>
    <cfRule type="expression" dxfId="23" priority="11">
      <formula>OR(ISNUMBER(SEARCH("evenly spaced",$I$2)),ISNUMBER(SEARCH("no natural",$I$2)))</formula>
    </cfRule>
  </conditionalFormatting>
  <conditionalFormatting sqref="C2">
    <cfRule type="expression" dxfId="22" priority="12" stopIfTrue="1">
      <formula>AND($C$2=FALSE,SUMPRODUCT(N(_xlfn.TAKE(Spec_Role,COLUMNS(Source_Data))="Predictor (x)"),N(_xlfn.TAKE(Spec_Include,COLUMNS(Source_Data))=TRUE),N(_xlfn.TAKE(Spec_Type,COLUMNS(Source_Data))="Categorical"))&gt;0)</formula>
    </cfRule>
    <cfRule type="expression" dxfId="21" priority="13">
      <formula>SUMPRODUCT(N(_xlfn.TAKE(Spec_Role,COLUMNS(Source_Data))="Predictor (x)"),N(_xlfn.TAKE(Spec_Include,COLUMNS(Source_Data))=TRUE),N(_xlfn.TAKE(Spec_Type,COLUMNS(Source_Data))="Categorical"))&gt;0</formula>
    </cfRule>
    <cfRule type="expression" dxfId="20" priority="14">
      <formula>AND($C$2=TRUE,SUMPRODUCT(N(_xlfn.TAKE(Spec_Role,COLUMNS(Source_Data))="Fixed Effects"))&gt;0)</formula>
    </cfRule>
  </conditionalFormatting>
  <conditionalFormatting sqref="U3:U1048576">
    <cfRule type="expression" dxfId="19" priority="15">
      <formula>AND(ISNUMBER(U3),U3&gt;5,U3&lt;=10)</formula>
    </cfRule>
  </conditionalFormatting>
  <conditionalFormatting sqref="U3:U1048576">
    <cfRule type="expression" dxfId="18" priority="16">
      <formula>AND(ISNUMBER(U3),U3&gt;10)</formula>
    </cfRule>
  </conditionalFormatting>
  <conditionalFormatting sqref="AB5">
    <cfRule type="expression" dxfId="17" priority="17">
      <formula>AND(ISNUMBER(AB5),AB5&lt;0)</formula>
    </cfRule>
  </conditionalFormatting>
  <conditionalFormatting sqref="AB10">
    <cfRule type="expression" dxfId="16" priority="18">
      <formula>AND(ISNUMBER(AB10),AB10&lt;0.98,AB10&gt;=0.95)</formula>
    </cfRule>
    <cfRule type="expression" dxfId="15" priority="19">
      <formula>AND(ISNUMBER(AB10),AB10&lt;0.95)</formula>
    </cfRule>
  </conditionalFormatting>
  <conditionalFormatting sqref="AB21:AB1048576">
    <cfRule type="expression" dxfId="14" priority="20">
      <formula>AND(ISNUMBER(AB21),AB21&gt;$Y$12)</formula>
    </cfRule>
  </conditionalFormatting>
  <conditionalFormatting sqref="AC15">
    <cfRule type="expression" dxfId="13" priority="21">
      <formula>AND(ISNUMBER(AC15),AC15&gt;$Y$12)</formula>
    </cfRule>
  </conditionalFormatting>
  <conditionalFormatting sqref="AH12">
    <cfRule type="expression" dxfId="12" priority="22">
      <formula>ISNA(MATCH($AH$12,Prediction_Group_Column(),0))</formula>
    </cfRule>
  </conditionalFormatting>
  <conditionalFormatting sqref="AO3:AO1048576">
    <cfRule type="expression" dxfId="11" priority="23">
      <formula>AND(ISNUMBER(AO3),AO3&gt;2*$AB$6)</formula>
    </cfRule>
  </conditionalFormatting>
  <conditionalFormatting sqref="AO3:AO1048576">
    <cfRule type="expression" dxfId="10" priority="24">
      <formula>AND(ISNUMBER(AO3),AO3&gt;3*$AB$6)</formula>
    </cfRule>
  </conditionalFormatting>
  <conditionalFormatting sqref="AP3:AP1048576">
    <cfRule type="expression" dxfId="9" priority="25">
      <formula>AND(ISNUMBER(AP3),ABS(AP3)&gt;2,ABS(AP3)&lt;3)</formula>
    </cfRule>
  </conditionalFormatting>
  <conditionalFormatting sqref="AP3:AP1048576">
    <cfRule type="expression" dxfId="8" priority="26">
      <formula>AND(ISNUMBER(AP3),ABS(AP3)&gt;=3)</formula>
    </cfRule>
  </conditionalFormatting>
  <conditionalFormatting sqref="AS3:AS1048576">
    <cfRule type="expression" dxfId="7" priority="27">
      <formula>AND(ISNUMBER(AS3),ABS(AS3)&gt;2,ABS(AS3)&lt;3)</formula>
    </cfRule>
  </conditionalFormatting>
  <conditionalFormatting sqref="AS3:AS1048576">
    <cfRule type="expression" dxfId="6" priority="28">
      <formula>AND(ISNUMBER(AS3),ABS(AS3)&gt;=3)</formula>
    </cfRule>
  </conditionalFormatting>
  <conditionalFormatting sqref="AQ3:AQ1048576">
    <cfRule type="expression" dxfId="5" priority="29">
      <formula>AND(ISNUMBER(AQ3),AQ3&gt;4/$Y$8,AQ3&lt;=0.9)</formula>
    </cfRule>
  </conditionalFormatting>
  <conditionalFormatting sqref="AQ3:AQ1048576">
    <cfRule type="expression" dxfId="4" priority="30">
      <formula>AND(ISNUMBER(AQ3),AQ3&gt;0.9)</formula>
    </cfRule>
  </conditionalFormatting>
  <conditionalFormatting sqref="AT3:AT1048576">
    <cfRule type="expression" dxfId="3" priority="31">
      <formula>AND(ISNUMBER(AT3),AT3&gt;1.414,AT3&lt;=1.732)</formula>
    </cfRule>
  </conditionalFormatting>
  <conditionalFormatting sqref="AT3:AT1048576">
    <cfRule type="expression" dxfId="2" priority="32">
      <formula>AND(ISNUMBER(AT3),AT3&gt;1.732)</formula>
    </cfRule>
  </conditionalFormatting>
  <conditionalFormatting sqref="AU3:AU1048576">
    <cfRule type="expression" dxfId="1" priority="33">
      <formula>AND(ISNUMBER(AU3),ABS(AU3)&gt;2*$Y$7,ABS(AU3)&lt;=3*$Y$7)</formula>
    </cfRule>
  </conditionalFormatting>
  <conditionalFormatting sqref="AU3:AU1048576">
    <cfRule type="expression" dxfId="0" priority="34">
      <formula>AND(ISNUMBER(AU3),ABS(AU3)&gt;3*$Y$7)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s>
  <pageMargins left="0.7" right="0.7" top="0.75" bottom="0.75" header="0.3" footer="0.3"/>
  <drawing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560</v>
      </c>
      <c r="B1" s="13"/>
      <c r="C1" s="13"/>
      <c r="D1" s="13"/>
    </row>
    <row r="2" spans="1:4" ht="105" x14ac:dyDescent="0.25">
      <c r="A2" s="2" t="s">
        <v>561</v>
      </c>
    </row>
    <row r="4" spans="1:4" x14ac:dyDescent="0.25">
      <c r="A4" s="6" t="s">
        <v>562</v>
      </c>
      <c r="B4" s="5"/>
      <c r="C4" s="5"/>
      <c r="D4" s="5"/>
    </row>
    <row r="5" spans="1:4" x14ac:dyDescent="0.25">
      <c r="A5" s="6" t="s">
        <v>563</v>
      </c>
      <c r="B5" s="6" t="s">
        <v>564</v>
      </c>
      <c r="C5" s="6" t="s">
        <v>565</v>
      </c>
      <c r="D5" s="6" t="s">
        <v>566</v>
      </c>
    </row>
    <row r="6" spans="1:4" ht="45" x14ac:dyDescent="0.25">
      <c r="A6" s="2" t="s">
        <v>567</v>
      </c>
      <c r="B6" s="2" t="s">
        <v>568</v>
      </c>
      <c r="C6" s="2" t="s">
        <v>152</v>
      </c>
      <c r="D6" s="2" t="s">
        <v>569</v>
      </c>
    </row>
    <row r="7" spans="1:4" ht="60" x14ac:dyDescent="0.25">
      <c r="A7" s="2" t="s">
        <v>570</v>
      </c>
      <c r="B7" s="2" t="s">
        <v>571</v>
      </c>
      <c r="C7" s="2" t="s">
        <v>572</v>
      </c>
      <c r="D7" s="2" t="s">
        <v>573</v>
      </c>
    </row>
    <row r="8" spans="1:4" ht="45" x14ac:dyDescent="0.25">
      <c r="A8" s="2" t="s">
        <v>574</v>
      </c>
      <c r="B8" s="2" t="s">
        <v>568</v>
      </c>
      <c r="C8" s="2" t="s">
        <v>575</v>
      </c>
      <c r="D8" s="2" t="s">
        <v>576</v>
      </c>
    </row>
    <row r="10" spans="1:4" x14ac:dyDescent="0.25">
      <c r="A10" s="6" t="s">
        <v>577</v>
      </c>
      <c r="B10" s="5"/>
      <c r="C10" s="5"/>
      <c r="D10" s="5"/>
    </row>
    <row r="11" spans="1:4" x14ac:dyDescent="0.25">
      <c r="A11" s="6" t="s">
        <v>563</v>
      </c>
      <c r="B11" s="6" t="s">
        <v>564</v>
      </c>
      <c r="C11" s="6" t="s">
        <v>565</v>
      </c>
      <c r="D11" s="6" t="s">
        <v>566</v>
      </c>
    </row>
    <row r="12" spans="1:4" ht="60" x14ac:dyDescent="0.25">
      <c r="A12" s="2" t="s">
        <v>578</v>
      </c>
      <c r="B12" s="2" t="s">
        <v>568</v>
      </c>
      <c r="C12" s="2" t="s">
        <v>579</v>
      </c>
      <c r="D12" s="2" t="s">
        <v>580</v>
      </c>
    </row>
    <row r="13" spans="1:4" ht="180" x14ac:dyDescent="0.25">
      <c r="A13" s="2" t="s">
        <v>581</v>
      </c>
      <c r="B13" s="2" t="s">
        <v>582</v>
      </c>
      <c r="C13" s="2" t="s">
        <v>581</v>
      </c>
      <c r="D13" s="2" t="s">
        <v>583</v>
      </c>
    </row>
    <row r="14" spans="1:4" ht="60" x14ac:dyDescent="0.25">
      <c r="A14" s="2" t="s">
        <v>584</v>
      </c>
      <c r="B14" s="2" t="s">
        <v>585</v>
      </c>
      <c r="C14" s="2" t="s">
        <v>586</v>
      </c>
      <c r="D14" s="2" t="s">
        <v>587</v>
      </c>
    </row>
    <row r="15" spans="1:4" ht="75" x14ac:dyDescent="0.25">
      <c r="A15" s="2" t="s">
        <v>588</v>
      </c>
      <c r="B15" s="2" t="s">
        <v>582</v>
      </c>
      <c r="C15" s="2" t="s">
        <v>589</v>
      </c>
      <c r="D15" s="2" t="s">
        <v>590</v>
      </c>
    </row>
    <row r="17" spans="1:4" x14ac:dyDescent="0.25">
      <c r="A17" s="6" t="s">
        <v>591</v>
      </c>
      <c r="B17" s="5"/>
      <c r="C17" s="5"/>
      <c r="D17" s="5"/>
    </row>
    <row r="18" spans="1:4" x14ac:dyDescent="0.25">
      <c r="A18" s="6" t="s">
        <v>592</v>
      </c>
      <c r="B18" s="6" t="s">
        <v>593</v>
      </c>
      <c r="C18" s="6" t="s">
        <v>594</v>
      </c>
      <c r="D18" s="6" t="s">
        <v>595</v>
      </c>
    </row>
    <row r="19" spans="1:4" ht="30" x14ac:dyDescent="0.25">
      <c r="A19" s="2" t="s">
        <v>1630</v>
      </c>
      <c r="B19" s="2" t="s">
        <v>1631</v>
      </c>
      <c r="C19" s="2" t="s">
        <v>1632</v>
      </c>
      <c r="D19" s="2" t="s">
        <v>1633</v>
      </c>
    </row>
    <row r="20" spans="1:4" ht="30" x14ac:dyDescent="0.25">
      <c r="A20" s="2" t="s">
        <v>104</v>
      </c>
      <c r="B20" s="2" t="s">
        <v>1634</v>
      </c>
      <c r="C20" s="2" t="s">
        <v>596</v>
      </c>
      <c r="D20" s="2" t="s">
        <v>597</v>
      </c>
    </row>
    <row r="21" spans="1:4" x14ac:dyDescent="0.25">
      <c r="A21" s="2" t="s">
        <v>598</v>
      </c>
      <c r="B21" s="2" t="s">
        <v>599</v>
      </c>
      <c r="C21" s="2" t="s">
        <v>600</v>
      </c>
      <c r="D21" s="2" t="s">
        <v>601</v>
      </c>
    </row>
    <row r="22" spans="1:4" ht="30" x14ac:dyDescent="0.25">
      <c r="A22" s="2" t="s">
        <v>602</v>
      </c>
      <c r="B22" s="2" t="s">
        <v>603</v>
      </c>
      <c r="C22" s="2" t="s">
        <v>604</v>
      </c>
      <c r="D22" s="2" t="s">
        <v>605</v>
      </c>
    </row>
    <row r="23" spans="1:4" x14ac:dyDescent="0.25">
      <c r="A23" s="2" t="s">
        <v>606</v>
      </c>
      <c r="B23" s="2" t="s">
        <v>607</v>
      </c>
      <c r="C23" s="2" t="s">
        <v>600</v>
      </c>
      <c r="D23" s="2" t="s">
        <v>608</v>
      </c>
    </row>
    <row r="24" spans="1:4" x14ac:dyDescent="0.25">
      <c r="A24" s="2" t="s">
        <v>609</v>
      </c>
      <c r="B24" s="2" t="s">
        <v>610</v>
      </c>
      <c r="C24" s="2" t="s">
        <v>600</v>
      </c>
      <c r="D24" s="2" t="s">
        <v>611</v>
      </c>
    </row>
    <row r="25" spans="1:4" x14ac:dyDescent="0.25">
      <c r="A25" s="2" t="s">
        <v>585</v>
      </c>
      <c r="B25" s="2" t="s">
        <v>612</v>
      </c>
      <c r="C25" s="2" t="s">
        <v>600</v>
      </c>
      <c r="D25" s="2" t="s">
        <v>613</v>
      </c>
    </row>
    <row r="26" spans="1:4" ht="30" x14ac:dyDescent="0.25">
      <c r="A26" s="2" t="s">
        <v>586</v>
      </c>
      <c r="B26" s="2" t="s">
        <v>614</v>
      </c>
      <c r="C26" s="2" t="s">
        <v>615</v>
      </c>
      <c r="D26" s="2" t="s">
        <v>616</v>
      </c>
    </row>
    <row r="27" spans="1:4" x14ac:dyDescent="0.25">
      <c r="A27" s="2" t="s">
        <v>581</v>
      </c>
      <c r="B27" s="2" t="s">
        <v>617</v>
      </c>
      <c r="C27" s="2" t="s">
        <v>618</v>
      </c>
      <c r="D27" s="2" t="s">
        <v>619</v>
      </c>
    </row>
    <row r="28" spans="1:4" ht="30" x14ac:dyDescent="0.25">
      <c r="A28" s="2" t="s">
        <v>578</v>
      </c>
      <c r="B28" s="2" t="s">
        <v>620</v>
      </c>
      <c r="C28" s="2" t="s">
        <v>621</v>
      </c>
      <c r="D28" s="2" t="s">
        <v>622</v>
      </c>
    </row>
    <row r="29" spans="1:4" x14ac:dyDescent="0.25">
      <c r="A29" s="2" t="s">
        <v>623</v>
      </c>
      <c r="B29" s="2" t="s">
        <v>624</v>
      </c>
      <c r="C29" s="2" t="s">
        <v>625</v>
      </c>
      <c r="D29" s="2" t="s">
        <v>626</v>
      </c>
    </row>
    <row r="31" spans="1:4" x14ac:dyDescent="0.25">
      <c r="A31" s="6" t="s">
        <v>627</v>
      </c>
      <c r="B31" s="5"/>
      <c r="C31" s="5"/>
    </row>
    <row r="32" spans="1:4" x14ac:dyDescent="0.25">
      <c r="A32" s="6" t="s">
        <v>628</v>
      </c>
      <c r="B32" s="6" t="s">
        <v>629</v>
      </c>
      <c r="C32" s="6" t="s">
        <v>630</v>
      </c>
    </row>
    <row r="33" spans="1:3" ht="120" x14ac:dyDescent="0.25">
      <c r="A33" s="2" t="s">
        <v>631</v>
      </c>
      <c r="B33" s="2" t="s">
        <v>632</v>
      </c>
      <c r="C33" s="2" t="s">
        <v>633</v>
      </c>
    </row>
    <row r="34" spans="1:3" ht="105" x14ac:dyDescent="0.25">
      <c r="A34" s="2" t="s">
        <v>634</v>
      </c>
      <c r="B34" s="2" t="s">
        <v>635</v>
      </c>
      <c r="C34" s="2" t="s">
        <v>636</v>
      </c>
    </row>
    <row r="35" spans="1:3" ht="120" x14ac:dyDescent="0.25">
      <c r="A35" s="2" t="s">
        <v>637</v>
      </c>
      <c r="B35" s="2" t="s">
        <v>638</v>
      </c>
      <c r="C35" s="2" t="s">
        <v>639</v>
      </c>
    </row>
    <row r="36" spans="1:3" ht="255" x14ac:dyDescent="0.25">
      <c r="A36" s="2" t="s">
        <v>640</v>
      </c>
      <c r="B36" s="2" t="s">
        <v>641</v>
      </c>
      <c r="C36" s="2" t="s">
        <v>642</v>
      </c>
    </row>
    <row r="37" spans="1:3" ht="150" x14ac:dyDescent="0.25">
      <c r="A37" s="2" t="s">
        <v>1635</v>
      </c>
      <c r="B37" s="2" t="s">
        <v>1636</v>
      </c>
      <c r="C37" s="2" t="s">
        <v>643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5"/>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845</v>
      </c>
      <c r="C1" s="2" t="s">
        <v>1</v>
      </c>
      <c r="D1" s="2" t="s">
        <v>2</v>
      </c>
      <c r="E1" s="2" t="s">
        <v>3</v>
      </c>
      <c r="F1" s="2" t="s">
        <v>4</v>
      </c>
      <c r="G1" s="2" t="s">
        <v>5</v>
      </c>
    </row>
    <row r="2" spans="1:7" ht="90" x14ac:dyDescent="0.25">
      <c r="A2" s="2" t="s">
        <v>6</v>
      </c>
      <c r="B2" s="2" t="s">
        <v>846</v>
      </c>
      <c r="C2" s="1" t="s">
        <v>7</v>
      </c>
      <c r="D2" s="2" t="s">
        <v>8</v>
      </c>
      <c r="E2" s="2" t="s">
        <v>9</v>
      </c>
      <c r="F2" s="2" t="s">
        <v>10</v>
      </c>
      <c r="G2" s="2" t="s">
        <v>11</v>
      </c>
    </row>
    <row r="3" spans="1:7" ht="105" x14ac:dyDescent="0.25">
      <c r="A3" s="2" t="s">
        <v>767</v>
      </c>
      <c r="B3" s="2" t="s">
        <v>846</v>
      </c>
      <c r="C3" s="1" t="s">
        <v>12</v>
      </c>
      <c r="D3" s="2" t="s">
        <v>13</v>
      </c>
      <c r="E3" s="2" t="s">
        <v>14</v>
      </c>
      <c r="F3" s="2" t="s">
        <v>15</v>
      </c>
      <c r="G3" s="2" t="s">
        <v>16</v>
      </c>
    </row>
    <row r="4" spans="1:7" ht="105" x14ac:dyDescent="0.25">
      <c r="A4" s="2" t="s">
        <v>768</v>
      </c>
      <c r="B4" s="2" t="s">
        <v>846</v>
      </c>
      <c r="C4" s="1" t="s">
        <v>17</v>
      </c>
      <c r="D4" s="2" t="s">
        <v>18</v>
      </c>
      <c r="E4" s="2" t="s">
        <v>19</v>
      </c>
      <c r="F4" s="2" t="s">
        <v>20</v>
      </c>
      <c r="G4" s="2" t="s">
        <v>21</v>
      </c>
    </row>
    <row r="5" spans="1:7" ht="120" x14ac:dyDescent="0.25">
      <c r="A5" s="2" t="s">
        <v>769</v>
      </c>
      <c r="B5" s="2" t="s">
        <v>846</v>
      </c>
      <c r="C5" s="1" t="s">
        <v>22</v>
      </c>
      <c r="D5" s="2" t="s">
        <v>23</v>
      </c>
      <c r="E5" s="2" t="s">
        <v>24</v>
      </c>
      <c r="F5" s="2" t="s">
        <v>25</v>
      </c>
      <c r="G5" s="2" t="s">
        <v>770</v>
      </c>
    </row>
    <row r="6" spans="1:7" ht="240" x14ac:dyDescent="0.25">
      <c r="A6" s="2" t="s">
        <v>771</v>
      </c>
      <c r="B6" s="2" t="s">
        <v>846</v>
      </c>
      <c r="C6" s="1" t="s">
        <v>1641</v>
      </c>
      <c r="D6" s="2" t="s">
        <v>1642</v>
      </c>
      <c r="E6" s="2" t="s">
        <v>1643</v>
      </c>
      <c r="F6" s="2" t="s">
        <v>1644</v>
      </c>
      <c r="G6" s="2" t="s">
        <v>1645</v>
      </c>
    </row>
    <row r="7" spans="1:7" ht="120" x14ac:dyDescent="0.25">
      <c r="A7" s="2" t="s">
        <v>26</v>
      </c>
      <c r="B7" s="2" t="s">
        <v>846</v>
      </c>
      <c r="C7" s="1" t="s">
        <v>772</v>
      </c>
      <c r="D7" s="2" t="s">
        <v>23</v>
      </c>
      <c r="E7" s="2" t="s">
        <v>27</v>
      </c>
      <c r="F7" s="2" t="s">
        <v>28</v>
      </c>
      <c r="G7" s="2" t="s">
        <v>773</v>
      </c>
    </row>
    <row r="8" spans="1:7" ht="210" x14ac:dyDescent="0.25">
      <c r="A8" s="2" t="s">
        <v>774</v>
      </c>
      <c r="B8" s="2" t="s">
        <v>846</v>
      </c>
      <c r="C8" s="1" t="s">
        <v>1646</v>
      </c>
      <c r="D8" s="2" t="s">
        <v>1647</v>
      </c>
      <c r="E8" s="2" t="s">
        <v>29</v>
      </c>
      <c r="F8" s="2" t="s">
        <v>30</v>
      </c>
      <c r="G8" s="2" t="s">
        <v>1648</v>
      </c>
    </row>
    <row r="9" spans="1:7" ht="120" x14ac:dyDescent="0.25">
      <c r="A9" s="2" t="s">
        <v>31</v>
      </c>
      <c r="B9" s="2" t="s">
        <v>846</v>
      </c>
      <c r="C9" s="1" t="s">
        <v>32</v>
      </c>
      <c r="D9" s="2" t="s">
        <v>18</v>
      </c>
      <c r="E9" s="2" t="s">
        <v>33</v>
      </c>
      <c r="F9" s="2" t="s">
        <v>34</v>
      </c>
      <c r="G9" s="2" t="s">
        <v>35</v>
      </c>
    </row>
    <row r="10" spans="1:7" ht="120" x14ac:dyDescent="0.25">
      <c r="A10" s="2" t="s">
        <v>36</v>
      </c>
      <c r="B10" s="2" t="s">
        <v>846</v>
      </c>
      <c r="C10" s="1" t="s">
        <v>775</v>
      </c>
      <c r="D10" s="2" t="s">
        <v>23</v>
      </c>
      <c r="E10" s="2" t="s">
        <v>37</v>
      </c>
      <c r="F10" s="2" t="s">
        <v>38</v>
      </c>
      <c r="G10" s="2" t="s">
        <v>776</v>
      </c>
    </row>
    <row r="11" spans="1:7" ht="120" x14ac:dyDescent="0.25">
      <c r="A11" s="2" t="s">
        <v>39</v>
      </c>
      <c r="B11" s="2" t="s">
        <v>846</v>
      </c>
      <c r="C11" s="1" t="s">
        <v>777</v>
      </c>
      <c r="D11" s="2" t="s">
        <v>23</v>
      </c>
      <c r="E11" s="2" t="s">
        <v>40</v>
      </c>
      <c r="F11" s="2" t="s">
        <v>41</v>
      </c>
      <c r="G11" s="2" t="s">
        <v>778</v>
      </c>
    </row>
    <row r="12" spans="1:7" ht="120" x14ac:dyDescent="0.25">
      <c r="A12" s="2" t="s">
        <v>42</v>
      </c>
      <c r="B12" s="2" t="s">
        <v>846</v>
      </c>
      <c r="C12" s="1" t="s">
        <v>779</v>
      </c>
      <c r="D12" s="2" t="s">
        <v>23</v>
      </c>
      <c r="E12" s="2" t="s">
        <v>43</v>
      </c>
      <c r="F12" s="2" t="s">
        <v>44</v>
      </c>
      <c r="G12" s="2" t="s">
        <v>45</v>
      </c>
    </row>
    <row r="13" spans="1:7" ht="210" x14ac:dyDescent="0.25">
      <c r="A13" s="2" t="s">
        <v>46</v>
      </c>
      <c r="B13" s="2" t="s">
        <v>846</v>
      </c>
      <c r="C13" s="1" t="s">
        <v>1649</v>
      </c>
      <c r="D13" s="2" t="s">
        <v>1647</v>
      </c>
      <c r="E13" s="2" t="s">
        <v>47</v>
      </c>
      <c r="F13" s="2" t="s">
        <v>48</v>
      </c>
      <c r="G13" s="2" t="s">
        <v>1650</v>
      </c>
    </row>
    <row r="14" spans="1:7" ht="210" x14ac:dyDescent="0.25">
      <c r="A14" s="2" t="s">
        <v>49</v>
      </c>
      <c r="B14" s="2" t="s">
        <v>846</v>
      </c>
      <c r="C14" s="1" t="s">
        <v>1651</v>
      </c>
      <c r="D14" s="2" t="s">
        <v>1647</v>
      </c>
      <c r="E14" s="2" t="s">
        <v>50</v>
      </c>
      <c r="F14" s="2" t="s">
        <v>51</v>
      </c>
      <c r="G14" s="2" t="s">
        <v>1652</v>
      </c>
    </row>
    <row r="15" spans="1:7" ht="120" x14ac:dyDescent="0.25">
      <c r="A15" s="2" t="s">
        <v>52</v>
      </c>
      <c r="B15" s="2" t="s">
        <v>846</v>
      </c>
      <c r="C15" s="1" t="s">
        <v>814</v>
      </c>
      <c r="D15" s="2" t="s">
        <v>23</v>
      </c>
      <c r="E15" s="2" t="s">
        <v>53</v>
      </c>
      <c r="F15" s="2" t="s">
        <v>54</v>
      </c>
      <c r="G15" s="2" t="s">
        <v>819</v>
      </c>
    </row>
    <row r="16" spans="1:7" ht="240" x14ac:dyDescent="0.25">
      <c r="A16" s="2" t="s">
        <v>55</v>
      </c>
      <c r="B16" s="2" t="s">
        <v>846</v>
      </c>
      <c r="C16" s="1" t="s">
        <v>1653</v>
      </c>
      <c r="D16" s="2" t="s">
        <v>1654</v>
      </c>
      <c r="E16" s="2" t="s">
        <v>56</v>
      </c>
      <c r="F16" s="2" t="s">
        <v>57</v>
      </c>
      <c r="G16" s="2" t="s">
        <v>1655</v>
      </c>
    </row>
    <row r="17" spans="1:7" ht="240" x14ac:dyDescent="0.25">
      <c r="A17" s="2" t="s">
        <v>58</v>
      </c>
      <c r="B17" s="2" t="s">
        <v>846</v>
      </c>
      <c r="C17" s="1" t="s">
        <v>1656</v>
      </c>
      <c r="D17" s="2" t="s">
        <v>1654</v>
      </c>
      <c r="E17" s="2" t="s">
        <v>59</v>
      </c>
      <c r="F17" s="2" t="s">
        <v>60</v>
      </c>
      <c r="G17" s="2" t="s">
        <v>1657</v>
      </c>
    </row>
    <row r="18" spans="1:7" ht="240" x14ac:dyDescent="0.25">
      <c r="A18" s="2" t="s">
        <v>61</v>
      </c>
      <c r="B18" s="2" t="s">
        <v>846</v>
      </c>
      <c r="C18" s="1" t="s">
        <v>1658</v>
      </c>
      <c r="D18" s="2" t="s">
        <v>1659</v>
      </c>
      <c r="E18" s="2" t="s">
        <v>62</v>
      </c>
      <c r="F18" s="2" t="s">
        <v>63</v>
      </c>
      <c r="G18" s="2" t="s">
        <v>1660</v>
      </c>
    </row>
    <row r="19" spans="1:7" ht="135" x14ac:dyDescent="0.25">
      <c r="A19" s="2" t="s">
        <v>64</v>
      </c>
      <c r="B19" s="2" t="s">
        <v>846</v>
      </c>
      <c r="C19" s="1" t="s">
        <v>65</v>
      </c>
      <c r="D19" s="2" t="s">
        <v>23</v>
      </c>
      <c r="E19" s="2" t="s">
        <v>66</v>
      </c>
      <c r="F19" s="2" t="s">
        <v>67</v>
      </c>
      <c r="G19" s="2" t="s">
        <v>68</v>
      </c>
    </row>
    <row r="20" spans="1:7" ht="375" x14ac:dyDescent="0.25">
      <c r="A20" s="2" t="s">
        <v>895</v>
      </c>
      <c r="B20" s="2" t="s">
        <v>846</v>
      </c>
      <c r="C20" s="1" t="s">
        <v>896</v>
      </c>
      <c r="D20" s="2" t="s">
        <v>897</v>
      </c>
      <c r="E20" s="2" t="s">
        <v>898</v>
      </c>
      <c r="F20" s="2" t="s">
        <v>899</v>
      </c>
      <c r="G20" s="2" t="s">
        <v>900</v>
      </c>
    </row>
    <row r="21" spans="1:7" ht="409.5" x14ac:dyDescent="0.25">
      <c r="A21" s="2" t="s">
        <v>901</v>
      </c>
      <c r="B21" s="2" t="s">
        <v>846</v>
      </c>
      <c r="C21" s="1" t="s">
        <v>902</v>
      </c>
      <c r="D21" s="2" t="s">
        <v>903</v>
      </c>
      <c r="E21" s="2" t="s">
        <v>904</v>
      </c>
      <c r="F21" s="2" t="s">
        <v>905</v>
      </c>
      <c r="G21" s="2" t="s">
        <v>906</v>
      </c>
    </row>
    <row r="22" spans="1:7" ht="210" x14ac:dyDescent="0.25">
      <c r="A22" s="2" t="s">
        <v>69</v>
      </c>
      <c r="B22" s="2" t="s">
        <v>846</v>
      </c>
      <c r="C22" s="1" t="s">
        <v>1661</v>
      </c>
      <c r="D22" s="2" t="s">
        <v>1662</v>
      </c>
      <c r="E22" s="2" t="s">
        <v>70</v>
      </c>
      <c r="F22" s="2" t="s">
        <v>71</v>
      </c>
      <c r="G22" s="2" t="s">
        <v>72</v>
      </c>
    </row>
    <row r="23" spans="1:7" ht="165" x14ac:dyDescent="0.25">
      <c r="A23" s="2" t="s">
        <v>73</v>
      </c>
      <c r="B23" s="2" t="s">
        <v>846</v>
      </c>
      <c r="C23" s="1" t="s">
        <v>74</v>
      </c>
      <c r="D23" s="2" t="s">
        <v>23</v>
      </c>
      <c r="E23" s="2" t="s">
        <v>75</v>
      </c>
      <c r="F23" s="2" t="s">
        <v>76</v>
      </c>
      <c r="G23" s="2" t="s">
        <v>77</v>
      </c>
    </row>
    <row r="24" spans="1:7" ht="300" x14ac:dyDescent="0.25">
      <c r="A24" s="2" t="s">
        <v>78</v>
      </c>
      <c r="B24" s="2" t="s">
        <v>846</v>
      </c>
      <c r="C24" s="1" t="s">
        <v>1663</v>
      </c>
      <c r="D24" s="2" t="s">
        <v>1664</v>
      </c>
      <c r="E24" s="2" t="s">
        <v>79</v>
      </c>
      <c r="F24" s="2" t="s">
        <v>1665</v>
      </c>
      <c r="G24" s="2" t="s">
        <v>1666</v>
      </c>
    </row>
    <row r="25" spans="1:7" ht="225" x14ac:dyDescent="0.25">
      <c r="A25" s="2" t="s">
        <v>780</v>
      </c>
      <c r="B25" s="2" t="s">
        <v>846</v>
      </c>
      <c r="C25" s="1" t="s">
        <v>1667</v>
      </c>
      <c r="D25" s="2" t="s">
        <v>1668</v>
      </c>
      <c r="E25" s="2" t="s">
        <v>80</v>
      </c>
      <c r="F25" s="2" t="s">
        <v>81</v>
      </c>
      <c r="G25" s="2" t="s">
        <v>1669</v>
      </c>
    </row>
    <row r="26" spans="1:7" ht="225" x14ac:dyDescent="0.25">
      <c r="A26" s="2" t="s">
        <v>82</v>
      </c>
      <c r="B26" s="2" t="s">
        <v>846</v>
      </c>
      <c r="C26" s="1" t="s">
        <v>1670</v>
      </c>
      <c r="D26" s="2" t="s">
        <v>1671</v>
      </c>
      <c r="E26" s="2" t="s">
        <v>83</v>
      </c>
      <c r="F26" s="2" t="s">
        <v>84</v>
      </c>
      <c r="G26" s="2" t="s">
        <v>1672</v>
      </c>
    </row>
    <row r="27" spans="1:7" ht="270" x14ac:dyDescent="0.25">
      <c r="A27" s="2" t="s">
        <v>781</v>
      </c>
      <c r="B27" s="2" t="s">
        <v>846</v>
      </c>
      <c r="C27" s="1" t="s">
        <v>1673</v>
      </c>
      <c r="D27" s="2" t="s">
        <v>1674</v>
      </c>
      <c r="E27" s="2" t="s">
        <v>85</v>
      </c>
      <c r="F27" s="2" t="s">
        <v>86</v>
      </c>
      <c r="G27" s="2" t="s">
        <v>1675</v>
      </c>
    </row>
    <row r="28" spans="1:7" ht="270" x14ac:dyDescent="0.25">
      <c r="A28" s="2" t="s">
        <v>782</v>
      </c>
      <c r="B28" s="2" t="s">
        <v>846</v>
      </c>
      <c r="C28" s="1" t="s">
        <v>1676</v>
      </c>
      <c r="D28" s="2" t="s">
        <v>1674</v>
      </c>
      <c r="E28" s="2" t="s">
        <v>87</v>
      </c>
      <c r="F28" s="2" t="s">
        <v>88</v>
      </c>
      <c r="G28" s="2" t="s">
        <v>1677</v>
      </c>
    </row>
    <row r="29" spans="1:7" ht="225" x14ac:dyDescent="0.25">
      <c r="A29" s="2" t="s">
        <v>783</v>
      </c>
      <c r="B29" s="2" t="s">
        <v>846</v>
      </c>
      <c r="C29" s="1" t="s">
        <v>1678</v>
      </c>
      <c r="D29" s="2" t="s">
        <v>1671</v>
      </c>
      <c r="E29" s="2" t="s">
        <v>89</v>
      </c>
      <c r="F29" s="2" t="s">
        <v>90</v>
      </c>
      <c r="G29" s="2" t="s">
        <v>1679</v>
      </c>
    </row>
    <row r="30" spans="1:7" ht="225" x14ac:dyDescent="0.25">
      <c r="A30" s="2" t="s">
        <v>91</v>
      </c>
      <c r="B30" s="2" t="s">
        <v>846</v>
      </c>
      <c r="C30" s="1" t="s">
        <v>1680</v>
      </c>
      <c r="D30" s="2" t="s">
        <v>1671</v>
      </c>
      <c r="E30" s="2" t="s">
        <v>92</v>
      </c>
      <c r="F30" s="2" t="s">
        <v>93</v>
      </c>
      <c r="G30" s="2" t="s">
        <v>1681</v>
      </c>
    </row>
    <row r="31" spans="1:7" ht="180" x14ac:dyDescent="0.25">
      <c r="A31" s="2" t="s">
        <v>94</v>
      </c>
      <c r="B31" s="2" t="s">
        <v>846</v>
      </c>
      <c r="C31" s="1" t="s">
        <v>95</v>
      </c>
      <c r="D31" s="2" t="s">
        <v>23</v>
      </c>
      <c r="E31" s="2" t="s">
        <v>96</v>
      </c>
      <c r="F31" s="2" t="s">
        <v>97</v>
      </c>
      <c r="G31" s="2" t="s">
        <v>98</v>
      </c>
    </row>
    <row r="32" spans="1:7" ht="300" x14ac:dyDescent="0.25">
      <c r="A32" s="2" t="s">
        <v>99</v>
      </c>
      <c r="B32" s="2" t="s">
        <v>846</v>
      </c>
      <c r="C32" s="1" t="s">
        <v>784</v>
      </c>
      <c r="D32" s="2" t="s">
        <v>100</v>
      </c>
      <c r="E32" s="2" t="s">
        <v>101</v>
      </c>
      <c r="F32" s="2" t="s">
        <v>102</v>
      </c>
      <c r="G32" s="2" t="s">
        <v>103</v>
      </c>
    </row>
    <row r="33" spans="1:7" ht="120" x14ac:dyDescent="0.25">
      <c r="A33" s="2" t="s">
        <v>104</v>
      </c>
      <c r="B33" s="2" t="s">
        <v>846</v>
      </c>
      <c r="C33" s="1" t="s">
        <v>105</v>
      </c>
      <c r="D33" s="2" t="s">
        <v>106</v>
      </c>
      <c r="E33" s="2" t="s">
        <v>107</v>
      </c>
      <c r="F33" s="2" t="s">
        <v>108</v>
      </c>
      <c r="G33" s="2" t="s">
        <v>109</v>
      </c>
    </row>
    <row r="34" spans="1:7" ht="345" x14ac:dyDescent="0.25">
      <c r="A34" s="2" t="s">
        <v>1616</v>
      </c>
      <c r="B34" s="2" t="s">
        <v>846</v>
      </c>
      <c r="C34" s="1" t="s">
        <v>1617</v>
      </c>
      <c r="D34" s="2" t="s">
        <v>1618</v>
      </c>
      <c r="E34" s="2" t="s">
        <v>1619</v>
      </c>
      <c r="F34" s="2" t="s">
        <v>1620</v>
      </c>
      <c r="G34" s="2" t="s">
        <v>1621</v>
      </c>
    </row>
    <row r="35" spans="1:7" ht="255" x14ac:dyDescent="0.25">
      <c r="A35" s="2" t="s">
        <v>1622</v>
      </c>
      <c r="B35" s="2" t="s">
        <v>846</v>
      </c>
      <c r="C35" s="1" t="s">
        <v>1623</v>
      </c>
      <c r="D35" s="2" t="s">
        <v>1624</v>
      </c>
      <c r="E35" s="2" t="s">
        <v>1625</v>
      </c>
      <c r="F35" s="2" t="s">
        <v>1626</v>
      </c>
      <c r="G35" s="2" t="s">
        <v>1627</v>
      </c>
    </row>
    <row r="36" spans="1:7" ht="409.5" x14ac:dyDescent="0.25">
      <c r="A36" s="2" t="s">
        <v>110</v>
      </c>
      <c r="B36" s="2" t="s">
        <v>846</v>
      </c>
      <c r="C36" s="1" t="s">
        <v>1682</v>
      </c>
      <c r="D36" s="2" t="s">
        <v>1683</v>
      </c>
      <c r="E36" s="2" t="s">
        <v>111</v>
      </c>
      <c r="F36" s="2" t="s">
        <v>112</v>
      </c>
      <c r="G36" s="2" t="s">
        <v>1684</v>
      </c>
    </row>
    <row r="37" spans="1:7" ht="409.5" x14ac:dyDescent="0.25">
      <c r="A37" s="2" t="s">
        <v>1685</v>
      </c>
      <c r="B37" s="2" t="s">
        <v>846</v>
      </c>
      <c r="C37" s="1" t="s">
        <v>1766</v>
      </c>
      <c r="D37" s="2" t="s">
        <v>1686</v>
      </c>
      <c r="E37" s="2" t="s">
        <v>1687</v>
      </c>
      <c r="F37" s="2" t="s">
        <v>1688</v>
      </c>
      <c r="G37" s="2" t="s">
        <v>1689</v>
      </c>
    </row>
    <row r="38" spans="1:7" ht="60" x14ac:dyDescent="0.25">
      <c r="A38" s="2" t="s">
        <v>785</v>
      </c>
      <c r="B38" s="2" t="s">
        <v>846</v>
      </c>
      <c r="C38" s="1" t="s">
        <v>113</v>
      </c>
      <c r="D38" s="2" t="s">
        <v>8</v>
      </c>
      <c r="E38" s="2" t="s">
        <v>114</v>
      </c>
      <c r="F38" s="2" t="s">
        <v>115</v>
      </c>
      <c r="G38" s="2" t="s">
        <v>116</v>
      </c>
    </row>
    <row r="39" spans="1:7" ht="90" x14ac:dyDescent="0.25">
      <c r="A39" s="2" t="s">
        <v>117</v>
      </c>
      <c r="B39" s="2" t="s">
        <v>846</v>
      </c>
      <c r="C39" s="1" t="s">
        <v>118</v>
      </c>
      <c r="D39" s="2" t="s">
        <v>8</v>
      </c>
      <c r="E39" s="2" t="s">
        <v>119</v>
      </c>
      <c r="F39" s="2" t="s">
        <v>120</v>
      </c>
      <c r="G39" s="2" t="s">
        <v>121</v>
      </c>
    </row>
    <row r="40" spans="1:7" ht="60" x14ac:dyDescent="0.25">
      <c r="A40" s="2" t="s">
        <v>122</v>
      </c>
      <c r="B40" s="2" t="s">
        <v>846</v>
      </c>
      <c r="C40" s="1" t="s">
        <v>123</v>
      </c>
      <c r="D40" s="2" t="s">
        <v>8</v>
      </c>
      <c r="E40" s="2" t="s">
        <v>124</v>
      </c>
      <c r="F40" s="2" t="s">
        <v>125</v>
      </c>
      <c r="G40" s="2" t="s">
        <v>126</v>
      </c>
    </row>
    <row r="41" spans="1:7" ht="90" x14ac:dyDescent="0.25">
      <c r="A41" s="2" t="s">
        <v>786</v>
      </c>
      <c r="B41" s="2" t="s">
        <v>846</v>
      </c>
      <c r="C41" s="1" t="s">
        <v>127</v>
      </c>
      <c r="D41" s="2" t="s">
        <v>8</v>
      </c>
      <c r="E41" s="2" t="s">
        <v>128</v>
      </c>
      <c r="F41" s="2" t="s">
        <v>129</v>
      </c>
      <c r="G41" s="2" t="s">
        <v>130</v>
      </c>
    </row>
    <row r="42" spans="1:7" ht="120" x14ac:dyDescent="0.25">
      <c r="A42" s="2" t="s">
        <v>131</v>
      </c>
      <c r="B42" s="2" t="s">
        <v>846</v>
      </c>
      <c r="C42" s="1" t="s">
        <v>132</v>
      </c>
      <c r="D42" s="2" t="s">
        <v>8</v>
      </c>
      <c r="E42" s="2" t="s">
        <v>133</v>
      </c>
      <c r="F42" s="2" t="s">
        <v>134</v>
      </c>
      <c r="G42" s="2" t="s">
        <v>135</v>
      </c>
    </row>
    <row r="43" spans="1:7" ht="165" x14ac:dyDescent="0.25">
      <c r="A43" s="2" t="s">
        <v>136</v>
      </c>
      <c r="B43" s="2" t="s">
        <v>846</v>
      </c>
      <c r="C43" s="1" t="s">
        <v>137</v>
      </c>
      <c r="D43" s="2" t="s">
        <v>138</v>
      </c>
      <c r="E43" s="2" t="s">
        <v>139</v>
      </c>
      <c r="F43" s="2" t="s">
        <v>140</v>
      </c>
      <c r="G43" s="2" t="s">
        <v>141</v>
      </c>
    </row>
    <row r="44" spans="1:7" ht="105" x14ac:dyDescent="0.25">
      <c r="A44" s="2" t="s">
        <v>142</v>
      </c>
      <c r="B44" s="2" t="s">
        <v>846</v>
      </c>
      <c r="C44" s="1" t="s">
        <v>143</v>
      </c>
      <c r="D44" s="2" t="s">
        <v>144</v>
      </c>
      <c r="E44" s="2" t="s">
        <v>145</v>
      </c>
      <c r="F44" s="2" t="s">
        <v>146</v>
      </c>
      <c r="G44" s="2" t="s">
        <v>787</v>
      </c>
    </row>
    <row r="45" spans="1:7" ht="135" x14ac:dyDescent="0.25">
      <c r="A45" s="2" t="s">
        <v>147</v>
      </c>
      <c r="B45" s="2" t="s">
        <v>846</v>
      </c>
      <c r="C45" s="1" t="s">
        <v>148</v>
      </c>
      <c r="D45" s="2" t="s">
        <v>23</v>
      </c>
      <c r="E45" s="2" t="s">
        <v>149</v>
      </c>
      <c r="F45" s="2" t="s">
        <v>150</v>
      </c>
      <c r="G45" s="2" t="s">
        <v>151</v>
      </c>
    </row>
    <row r="46" spans="1:7" ht="120" x14ac:dyDescent="0.25">
      <c r="A46" s="2" t="s">
        <v>152</v>
      </c>
      <c r="B46" s="2" t="s">
        <v>846</v>
      </c>
      <c r="C46" s="1" t="s">
        <v>153</v>
      </c>
      <c r="D46" s="2" t="s">
        <v>23</v>
      </c>
      <c r="E46" s="2" t="s">
        <v>154</v>
      </c>
      <c r="F46" s="2" t="s">
        <v>155</v>
      </c>
      <c r="G46" s="2" t="s">
        <v>156</v>
      </c>
    </row>
    <row r="47" spans="1:7" ht="195" x14ac:dyDescent="0.25">
      <c r="A47" s="2" t="s">
        <v>157</v>
      </c>
      <c r="B47" s="2" t="s">
        <v>846</v>
      </c>
      <c r="C47" s="1" t="s">
        <v>1690</v>
      </c>
      <c r="D47" s="2" t="s">
        <v>1691</v>
      </c>
      <c r="E47" s="2" t="s">
        <v>158</v>
      </c>
      <c r="F47" s="2" t="s">
        <v>159</v>
      </c>
      <c r="G47" s="2" t="s">
        <v>160</v>
      </c>
    </row>
    <row r="48" spans="1:7" ht="105" x14ac:dyDescent="0.25">
      <c r="A48" s="2" t="s">
        <v>788</v>
      </c>
      <c r="B48" s="2" t="s">
        <v>846</v>
      </c>
      <c r="C48" s="1" t="s">
        <v>161</v>
      </c>
      <c r="D48" s="2" t="s">
        <v>162</v>
      </c>
      <c r="E48" s="2" t="s">
        <v>163</v>
      </c>
      <c r="F48" s="2" t="s">
        <v>164</v>
      </c>
      <c r="G48" s="2" t="s">
        <v>789</v>
      </c>
    </row>
    <row r="49" spans="1:7" ht="210" x14ac:dyDescent="0.25">
      <c r="A49" s="2" t="s">
        <v>790</v>
      </c>
      <c r="B49" s="2" t="s">
        <v>846</v>
      </c>
      <c r="C49" s="1" t="s">
        <v>165</v>
      </c>
      <c r="D49" s="2" t="s">
        <v>166</v>
      </c>
      <c r="E49" s="2" t="s">
        <v>167</v>
      </c>
      <c r="F49" s="2" t="s">
        <v>168</v>
      </c>
      <c r="G49" s="2" t="s">
        <v>169</v>
      </c>
    </row>
    <row r="50" spans="1:7" ht="195" x14ac:dyDescent="0.25">
      <c r="A50" s="2" t="s">
        <v>791</v>
      </c>
      <c r="B50" s="2" t="s">
        <v>846</v>
      </c>
      <c r="C50" s="1" t="s">
        <v>792</v>
      </c>
      <c r="D50" s="2" t="s">
        <v>170</v>
      </c>
      <c r="E50" s="2" t="s">
        <v>171</v>
      </c>
      <c r="F50" s="2" t="s">
        <v>172</v>
      </c>
      <c r="G50" s="2" t="s">
        <v>793</v>
      </c>
    </row>
    <row r="51" spans="1:7" ht="150" x14ac:dyDescent="0.25">
      <c r="A51" s="2" t="s">
        <v>794</v>
      </c>
      <c r="B51" s="2" t="s">
        <v>846</v>
      </c>
      <c r="C51" s="1" t="s">
        <v>795</v>
      </c>
      <c r="D51" s="2" t="s">
        <v>23</v>
      </c>
      <c r="E51" s="2" t="s">
        <v>173</v>
      </c>
      <c r="F51" s="2" t="s">
        <v>174</v>
      </c>
      <c r="G51" s="2" t="s">
        <v>815</v>
      </c>
    </row>
    <row r="52" spans="1:7" ht="135" x14ac:dyDescent="0.25">
      <c r="A52" s="2" t="s">
        <v>816</v>
      </c>
      <c r="B52" s="2" t="s">
        <v>846</v>
      </c>
      <c r="C52" s="1" t="s">
        <v>964</v>
      </c>
      <c r="D52" s="2" t="s">
        <v>23</v>
      </c>
      <c r="E52" s="2" t="s">
        <v>817</v>
      </c>
      <c r="F52" s="2" t="s">
        <v>818</v>
      </c>
      <c r="G52" s="2" t="s">
        <v>965</v>
      </c>
    </row>
    <row r="53" spans="1:7" ht="150" x14ac:dyDescent="0.25">
      <c r="A53" s="2" t="s">
        <v>796</v>
      </c>
      <c r="B53" s="2" t="s">
        <v>846</v>
      </c>
      <c r="C53" s="1" t="s">
        <v>175</v>
      </c>
      <c r="D53" s="2" t="s">
        <v>138</v>
      </c>
      <c r="E53" s="2" t="s">
        <v>176</v>
      </c>
      <c r="F53" s="2" t="s">
        <v>177</v>
      </c>
      <c r="G53" s="2" t="s">
        <v>797</v>
      </c>
    </row>
    <row r="54" spans="1:7" ht="195" x14ac:dyDescent="0.25">
      <c r="A54" s="2" t="s">
        <v>178</v>
      </c>
      <c r="B54" s="2" t="s">
        <v>846</v>
      </c>
      <c r="C54" s="1" t="s">
        <v>1692</v>
      </c>
      <c r="D54" s="2" t="s">
        <v>1691</v>
      </c>
      <c r="E54" s="2" t="s">
        <v>179</v>
      </c>
      <c r="F54" s="2" t="s">
        <v>180</v>
      </c>
      <c r="G54" s="2" t="s">
        <v>1693</v>
      </c>
    </row>
    <row r="55" spans="1:7" ht="210" x14ac:dyDescent="0.25">
      <c r="A55" s="2" t="s">
        <v>181</v>
      </c>
      <c r="B55" s="2" t="s">
        <v>846</v>
      </c>
      <c r="C55" s="1" t="s">
        <v>1694</v>
      </c>
      <c r="D55" s="2" t="s">
        <v>1695</v>
      </c>
      <c r="E55" s="2" t="s">
        <v>182</v>
      </c>
      <c r="F55" s="2" t="s">
        <v>183</v>
      </c>
      <c r="G55" s="2" t="s">
        <v>184</v>
      </c>
    </row>
    <row r="56" spans="1:7" ht="210" x14ac:dyDescent="0.25">
      <c r="A56" s="2" t="s">
        <v>185</v>
      </c>
      <c r="B56" s="2" t="s">
        <v>846</v>
      </c>
      <c r="C56" s="1" t="s">
        <v>1696</v>
      </c>
      <c r="D56" s="2" t="s">
        <v>1695</v>
      </c>
      <c r="E56" s="2" t="s">
        <v>186</v>
      </c>
      <c r="F56" s="2" t="s">
        <v>187</v>
      </c>
      <c r="G56" s="2" t="s">
        <v>188</v>
      </c>
    </row>
    <row r="57" spans="1:7" ht="210" x14ac:dyDescent="0.25">
      <c r="A57" s="2" t="s">
        <v>189</v>
      </c>
      <c r="B57" s="2" t="s">
        <v>846</v>
      </c>
      <c r="C57" s="1" t="s">
        <v>1697</v>
      </c>
      <c r="D57" s="2" t="s">
        <v>1698</v>
      </c>
      <c r="E57" s="2" t="s">
        <v>190</v>
      </c>
      <c r="F57" s="2" t="s">
        <v>191</v>
      </c>
      <c r="G57" s="2" t="s">
        <v>192</v>
      </c>
    </row>
    <row r="58" spans="1:7" ht="135" x14ac:dyDescent="0.25">
      <c r="A58" s="2" t="s">
        <v>798</v>
      </c>
      <c r="B58" s="2" t="s">
        <v>846</v>
      </c>
      <c r="C58" s="1" t="s">
        <v>193</v>
      </c>
      <c r="D58" s="2" t="s">
        <v>194</v>
      </c>
      <c r="E58" s="2" t="s">
        <v>195</v>
      </c>
      <c r="F58" s="2" t="s">
        <v>196</v>
      </c>
      <c r="G58" s="2" t="s">
        <v>799</v>
      </c>
    </row>
    <row r="59" spans="1:7" ht="150" x14ac:dyDescent="0.25">
      <c r="A59" s="2" t="s">
        <v>197</v>
      </c>
      <c r="B59" s="2" t="s">
        <v>846</v>
      </c>
      <c r="C59" s="1" t="s">
        <v>198</v>
      </c>
      <c r="D59" s="2" t="s">
        <v>800</v>
      </c>
      <c r="E59" s="2" t="s">
        <v>199</v>
      </c>
      <c r="F59" s="2" t="s">
        <v>200</v>
      </c>
      <c r="G59" s="2" t="s">
        <v>801</v>
      </c>
    </row>
    <row r="60" spans="1:7" ht="210" x14ac:dyDescent="0.25">
      <c r="A60" s="2" t="s">
        <v>201</v>
      </c>
      <c r="B60" s="2" t="s">
        <v>846</v>
      </c>
      <c r="C60" s="1" t="s">
        <v>202</v>
      </c>
      <c r="D60" s="2" t="s">
        <v>203</v>
      </c>
      <c r="E60" s="2" t="s">
        <v>204</v>
      </c>
      <c r="F60" s="2" t="s">
        <v>205</v>
      </c>
      <c r="G60" s="2" t="s">
        <v>206</v>
      </c>
    </row>
    <row r="61" spans="1:7" ht="150" x14ac:dyDescent="0.25">
      <c r="A61" s="2" t="s">
        <v>207</v>
      </c>
      <c r="B61" s="2" t="s">
        <v>846</v>
      </c>
      <c r="C61" s="1" t="s">
        <v>208</v>
      </c>
      <c r="D61" s="2" t="s">
        <v>209</v>
      </c>
      <c r="E61" s="2" t="s">
        <v>210</v>
      </c>
      <c r="F61" s="2" t="s">
        <v>211</v>
      </c>
      <c r="G61" s="2" t="s">
        <v>212</v>
      </c>
    </row>
    <row r="62" spans="1:7" ht="315" x14ac:dyDescent="0.25">
      <c r="A62" s="2" t="s">
        <v>213</v>
      </c>
      <c r="B62" s="2" t="s">
        <v>846</v>
      </c>
      <c r="C62" s="1" t="s">
        <v>214</v>
      </c>
      <c r="D62" s="2" t="s">
        <v>215</v>
      </c>
      <c r="E62" s="2" t="s">
        <v>216</v>
      </c>
      <c r="F62" s="2" t="s">
        <v>217</v>
      </c>
      <c r="G62" s="2" t="s">
        <v>218</v>
      </c>
    </row>
    <row r="63" spans="1:7" ht="135" x14ac:dyDescent="0.25">
      <c r="A63" s="2" t="s">
        <v>219</v>
      </c>
      <c r="B63" s="2" t="s">
        <v>846</v>
      </c>
      <c r="C63" s="1" t="s">
        <v>220</v>
      </c>
      <c r="D63" s="2" t="s">
        <v>221</v>
      </c>
      <c r="E63" s="2" t="s">
        <v>222</v>
      </c>
      <c r="F63" s="2" t="s">
        <v>223</v>
      </c>
      <c r="G63" s="2" t="s">
        <v>224</v>
      </c>
    </row>
    <row r="64" spans="1:7" ht="150" x14ac:dyDescent="0.25">
      <c r="A64" s="2" t="s">
        <v>225</v>
      </c>
      <c r="B64" s="2" t="s">
        <v>846</v>
      </c>
      <c r="C64" s="1" t="s">
        <v>226</v>
      </c>
      <c r="D64" s="2" t="s">
        <v>221</v>
      </c>
      <c r="E64" s="2" t="s">
        <v>227</v>
      </c>
      <c r="F64" s="2" t="s">
        <v>228</v>
      </c>
      <c r="G64" s="2" t="s">
        <v>229</v>
      </c>
    </row>
    <row r="65" spans="1:7" ht="270" x14ac:dyDescent="0.25">
      <c r="A65" s="2" t="s">
        <v>802</v>
      </c>
      <c r="B65" s="2" t="s">
        <v>846</v>
      </c>
      <c r="C65" s="1" t="s">
        <v>1699</v>
      </c>
      <c r="D65" s="2" t="s">
        <v>1700</v>
      </c>
      <c r="E65" s="2" t="s">
        <v>230</v>
      </c>
      <c r="F65" s="2" t="s">
        <v>231</v>
      </c>
      <c r="G65" s="2" t="s">
        <v>1701</v>
      </c>
    </row>
    <row r="66" spans="1:7" ht="225" x14ac:dyDescent="0.25">
      <c r="A66" s="2" t="s">
        <v>803</v>
      </c>
      <c r="B66" s="2" t="s">
        <v>846</v>
      </c>
      <c r="C66" s="1" t="s">
        <v>1702</v>
      </c>
      <c r="D66" s="2" t="s">
        <v>1703</v>
      </c>
      <c r="E66" s="2" t="s">
        <v>232</v>
      </c>
      <c r="F66" s="2" t="s">
        <v>233</v>
      </c>
      <c r="G66" s="2" t="s">
        <v>1704</v>
      </c>
    </row>
    <row r="67" spans="1:7" ht="150" x14ac:dyDescent="0.25">
      <c r="A67" s="2" t="s">
        <v>234</v>
      </c>
      <c r="B67" s="2" t="s">
        <v>846</v>
      </c>
      <c r="C67" s="1" t="s">
        <v>235</v>
      </c>
      <c r="D67" s="2" t="s">
        <v>236</v>
      </c>
      <c r="E67" s="2" t="s">
        <v>237</v>
      </c>
      <c r="F67" s="2" t="s">
        <v>238</v>
      </c>
      <c r="G67" s="2" t="s">
        <v>239</v>
      </c>
    </row>
    <row r="68" spans="1:7" ht="120" x14ac:dyDescent="0.25">
      <c r="A68" s="2" t="s">
        <v>240</v>
      </c>
      <c r="B68" s="2" t="s">
        <v>846</v>
      </c>
      <c r="C68" s="1" t="s">
        <v>241</v>
      </c>
      <c r="D68" s="2" t="s">
        <v>242</v>
      </c>
      <c r="E68" s="2" t="s">
        <v>243</v>
      </c>
      <c r="F68" s="2" t="s">
        <v>244</v>
      </c>
      <c r="G68" s="2" t="s">
        <v>245</v>
      </c>
    </row>
    <row r="69" spans="1:7" ht="330" x14ac:dyDescent="0.25">
      <c r="A69" s="2" t="s">
        <v>804</v>
      </c>
      <c r="B69" s="2" t="s">
        <v>846</v>
      </c>
      <c r="C69" s="1" t="s">
        <v>246</v>
      </c>
      <c r="D69" s="2" t="s">
        <v>247</v>
      </c>
      <c r="E69" s="2" t="s">
        <v>248</v>
      </c>
      <c r="F69" s="2" t="s">
        <v>249</v>
      </c>
      <c r="G69" s="2" t="s">
        <v>805</v>
      </c>
    </row>
    <row r="70" spans="1:7" ht="120" x14ac:dyDescent="0.25">
      <c r="A70" s="2" t="s">
        <v>250</v>
      </c>
      <c r="B70" s="2" t="s">
        <v>846</v>
      </c>
      <c r="C70" s="1" t="s">
        <v>251</v>
      </c>
      <c r="D70" s="2" t="s">
        <v>252</v>
      </c>
      <c r="E70" s="2" t="s">
        <v>253</v>
      </c>
      <c r="F70" s="2" t="s">
        <v>254</v>
      </c>
      <c r="G70" s="2" t="s">
        <v>255</v>
      </c>
    </row>
    <row r="71" spans="1:7" ht="150" x14ac:dyDescent="0.25">
      <c r="A71" s="2" t="s">
        <v>256</v>
      </c>
      <c r="B71" s="2" t="s">
        <v>846</v>
      </c>
      <c r="C71" s="1" t="s">
        <v>257</v>
      </c>
      <c r="D71" s="2" t="s">
        <v>252</v>
      </c>
      <c r="E71" s="2" t="s">
        <v>258</v>
      </c>
      <c r="F71" s="2" t="s">
        <v>259</v>
      </c>
      <c r="G71" s="2" t="s">
        <v>260</v>
      </c>
    </row>
    <row r="72" spans="1:7" ht="150" x14ac:dyDescent="0.25">
      <c r="A72" s="2" t="s">
        <v>806</v>
      </c>
      <c r="B72" s="2" t="s">
        <v>846</v>
      </c>
      <c r="C72" s="1" t="s">
        <v>261</v>
      </c>
      <c r="D72" s="2" t="s">
        <v>252</v>
      </c>
      <c r="E72" s="2" t="s">
        <v>262</v>
      </c>
      <c r="F72" s="2" t="s">
        <v>263</v>
      </c>
      <c r="G72" s="2" t="s">
        <v>807</v>
      </c>
    </row>
    <row r="73" spans="1:7" ht="330" x14ac:dyDescent="0.25">
      <c r="A73" s="2" t="s">
        <v>808</v>
      </c>
      <c r="B73" s="2" t="s">
        <v>846</v>
      </c>
      <c r="C73" s="1" t="s">
        <v>264</v>
      </c>
      <c r="D73" s="2" t="s">
        <v>265</v>
      </c>
      <c r="E73" s="2" t="s">
        <v>266</v>
      </c>
      <c r="F73" s="2" t="s">
        <v>267</v>
      </c>
      <c r="G73" s="2" t="s">
        <v>809</v>
      </c>
    </row>
    <row r="74" spans="1:7" ht="165" x14ac:dyDescent="0.25">
      <c r="A74" s="2" t="s">
        <v>268</v>
      </c>
      <c r="B74" s="2" t="s">
        <v>846</v>
      </c>
      <c r="C74" s="1" t="s">
        <v>843</v>
      </c>
      <c r="D74" s="2" t="s">
        <v>265</v>
      </c>
      <c r="E74" s="2" t="s">
        <v>744</v>
      </c>
      <c r="F74" s="2" t="s">
        <v>745</v>
      </c>
      <c r="G74" s="2" t="s">
        <v>844</v>
      </c>
    </row>
    <row r="75" spans="1:7" ht="105" x14ac:dyDescent="0.25">
      <c r="A75" s="2" t="s">
        <v>746</v>
      </c>
      <c r="B75" s="2" t="s">
        <v>846</v>
      </c>
      <c r="C75" s="1" t="s">
        <v>747</v>
      </c>
      <c r="D75" s="2" t="s">
        <v>265</v>
      </c>
      <c r="E75" s="2" t="s">
        <v>748</v>
      </c>
      <c r="F75" s="2" t="s">
        <v>749</v>
      </c>
      <c r="G75" s="2" t="s">
        <v>750</v>
      </c>
    </row>
    <row r="76" spans="1:7" ht="105" x14ac:dyDescent="0.25">
      <c r="A76" s="2" t="s">
        <v>269</v>
      </c>
      <c r="B76" s="2" t="s">
        <v>846</v>
      </c>
      <c r="C76" s="1" t="s">
        <v>751</v>
      </c>
      <c r="D76" s="2" t="s">
        <v>265</v>
      </c>
      <c r="E76" s="2" t="s">
        <v>752</v>
      </c>
      <c r="F76" s="2" t="s">
        <v>270</v>
      </c>
      <c r="G76" s="2" t="s">
        <v>753</v>
      </c>
    </row>
    <row r="77" spans="1:7" ht="90" x14ac:dyDescent="0.25">
      <c r="A77" s="2" t="s">
        <v>689</v>
      </c>
      <c r="B77" s="2" t="s">
        <v>846</v>
      </c>
      <c r="C77" s="1" t="s">
        <v>754</v>
      </c>
      <c r="D77" s="2" t="s">
        <v>265</v>
      </c>
      <c r="E77" s="2" t="s">
        <v>755</v>
      </c>
      <c r="F77" s="2" t="s">
        <v>690</v>
      </c>
      <c r="G77" s="2" t="s">
        <v>756</v>
      </c>
    </row>
    <row r="78" spans="1:7" ht="105" x14ac:dyDescent="0.25">
      <c r="A78" s="2" t="s">
        <v>691</v>
      </c>
      <c r="B78" s="2" t="s">
        <v>846</v>
      </c>
      <c r="C78" s="1" t="s">
        <v>757</v>
      </c>
      <c r="D78" s="2" t="s">
        <v>265</v>
      </c>
      <c r="E78" s="2" t="s">
        <v>758</v>
      </c>
      <c r="F78" s="2" t="s">
        <v>692</v>
      </c>
      <c r="G78" s="2" t="s">
        <v>759</v>
      </c>
    </row>
    <row r="79" spans="1:7" ht="120" x14ac:dyDescent="0.25">
      <c r="A79" s="2" t="s">
        <v>693</v>
      </c>
      <c r="B79" s="2" t="s">
        <v>846</v>
      </c>
      <c r="C79" s="1" t="s">
        <v>694</v>
      </c>
      <c r="D79" s="2" t="s">
        <v>695</v>
      </c>
      <c r="E79" s="2" t="s">
        <v>696</v>
      </c>
      <c r="F79" s="2" t="s">
        <v>697</v>
      </c>
      <c r="G79" s="2" t="s">
        <v>698</v>
      </c>
    </row>
    <row r="80" spans="1:7" ht="120" x14ac:dyDescent="0.25">
      <c r="A80" s="2" t="s">
        <v>699</v>
      </c>
      <c r="B80" s="2" t="s">
        <v>846</v>
      </c>
      <c r="C80" s="1" t="s">
        <v>700</v>
      </c>
      <c r="D80" s="2" t="s">
        <v>701</v>
      </c>
      <c r="E80" s="2" t="s">
        <v>702</v>
      </c>
      <c r="F80" s="2" t="s">
        <v>703</v>
      </c>
      <c r="G80" s="2" t="s">
        <v>704</v>
      </c>
    </row>
    <row r="81" spans="1:7" ht="105" x14ac:dyDescent="0.25">
      <c r="A81" s="2" t="s">
        <v>705</v>
      </c>
      <c r="B81" s="2" t="s">
        <v>846</v>
      </c>
      <c r="C81" s="1" t="s">
        <v>706</v>
      </c>
      <c r="D81" s="2" t="s">
        <v>707</v>
      </c>
      <c r="E81" s="2" t="s">
        <v>708</v>
      </c>
      <c r="F81" s="2" t="s">
        <v>709</v>
      </c>
      <c r="G81" s="2" t="s">
        <v>710</v>
      </c>
    </row>
    <row r="82" spans="1:7" ht="135" x14ac:dyDescent="0.25">
      <c r="A82" s="2" t="s">
        <v>711</v>
      </c>
      <c r="B82" s="2" t="s">
        <v>846</v>
      </c>
      <c r="C82" s="1" t="s">
        <v>712</v>
      </c>
      <c r="D82" s="2" t="s">
        <v>713</v>
      </c>
      <c r="E82" s="2" t="s">
        <v>714</v>
      </c>
      <c r="F82" s="2" t="s">
        <v>715</v>
      </c>
      <c r="G82" s="2" t="s">
        <v>716</v>
      </c>
    </row>
    <row r="83" spans="1:7" ht="135" x14ac:dyDescent="0.25">
      <c r="A83" s="2" t="s">
        <v>717</v>
      </c>
      <c r="B83" s="2" t="s">
        <v>846</v>
      </c>
      <c r="C83" s="1" t="s">
        <v>718</v>
      </c>
      <c r="D83" s="2" t="s">
        <v>719</v>
      </c>
      <c r="E83" s="2" t="s">
        <v>720</v>
      </c>
      <c r="F83" s="2" t="s">
        <v>721</v>
      </c>
      <c r="G83" s="2" t="s">
        <v>722</v>
      </c>
    </row>
    <row r="84" spans="1:7" ht="195" x14ac:dyDescent="0.25">
      <c r="A84" s="2" t="s">
        <v>723</v>
      </c>
      <c r="B84" s="2" t="s">
        <v>846</v>
      </c>
      <c r="C84" s="1" t="s">
        <v>724</v>
      </c>
      <c r="D84" s="2" t="s">
        <v>725</v>
      </c>
      <c r="E84" s="2" t="s">
        <v>726</v>
      </c>
      <c r="F84" s="2" t="s">
        <v>727</v>
      </c>
      <c r="G84" s="2" t="s">
        <v>728</v>
      </c>
    </row>
    <row r="85" spans="1:7" ht="255" x14ac:dyDescent="0.25">
      <c r="A85" s="2" t="s">
        <v>729</v>
      </c>
      <c r="B85" s="2" t="s">
        <v>846</v>
      </c>
      <c r="C85" s="1" t="s">
        <v>730</v>
      </c>
      <c r="D85" s="2" t="s">
        <v>731</v>
      </c>
      <c r="E85" s="2" t="s">
        <v>732</v>
      </c>
      <c r="F85" s="2" t="s">
        <v>733</v>
      </c>
      <c r="G85" s="2" t="s">
        <v>734</v>
      </c>
    </row>
    <row r="86" spans="1:7" ht="180" x14ac:dyDescent="0.25">
      <c r="A86" s="2" t="s">
        <v>735</v>
      </c>
      <c r="B86" s="2" t="s">
        <v>846</v>
      </c>
      <c r="C86" s="1" t="s">
        <v>892</v>
      </c>
      <c r="D86" s="2" t="s">
        <v>736</v>
      </c>
      <c r="E86" s="2" t="s">
        <v>737</v>
      </c>
      <c r="F86" s="2" t="s">
        <v>738</v>
      </c>
      <c r="G86" s="2" t="s">
        <v>893</v>
      </c>
    </row>
    <row r="87" spans="1:7" ht="240" x14ac:dyDescent="0.25">
      <c r="A87" s="2" t="s">
        <v>810</v>
      </c>
      <c r="B87" s="2" t="s">
        <v>846</v>
      </c>
      <c r="C87" s="1" t="s">
        <v>271</v>
      </c>
      <c r="D87" s="2" t="s">
        <v>272</v>
      </c>
      <c r="E87" s="2" t="s">
        <v>273</v>
      </c>
      <c r="F87" s="2" t="s">
        <v>274</v>
      </c>
      <c r="G87" s="2" t="s">
        <v>811</v>
      </c>
    </row>
    <row r="88" spans="1:7" ht="180" x14ac:dyDescent="0.25">
      <c r="A88" s="2" t="s">
        <v>275</v>
      </c>
      <c r="B88" s="2" t="s">
        <v>846</v>
      </c>
      <c r="C88" s="1" t="s">
        <v>812</v>
      </c>
      <c r="D88" s="2" t="s">
        <v>276</v>
      </c>
      <c r="E88" s="2" t="s">
        <v>277</v>
      </c>
      <c r="F88" s="2" t="s">
        <v>278</v>
      </c>
      <c r="G88" s="2" t="s">
        <v>813</v>
      </c>
    </row>
    <row r="89" spans="1:7" ht="150" x14ac:dyDescent="0.25">
      <c r="A89" s="2" t="s">
        <v>279</v>
      </c>
      <c r="B89" s="2" t="s">
        <v>846</v>
      </c>
      <c r="C89" s="1" t="s">
        <v>280</v>
      </c>
      <c r="D89" s="2" t="s">
        <v>281</v>
      </c>
      <c r="E89" s="2" t="s">
        <v>282</v>
      </c>
      <c r="F89" s="2" t="s">
        <v>283</v>
      </c>
      <c r="G89" s="2" t="s">
        <v>284</v>
      </c>
    </row>
    <row r="90" spans="1:7" ht="135" x14ac:dyDescent="0.25">
      <c r="A90" s="2" t="s">
        <v>285</v>
      </c>
      <c r="B90" s="2" t="s">
        <v>846</v>
      </c>
      <c r="C90" s="1" t="s">
        <v>286</v>
      </c>
      <c r="D90" s="2" t="s">
        <v>287</v>
      </c>
      <c r="E90" s="2" t="s">
        <v>288</v>
      </c>
      <c r="F90" s="2" t="s">
        <v>289</v>
      </c>
      <c r="G90" s="2" t="s">
        <v>290</v>
      </c>
    </row>
    <row r="91" spans="1:7" ht="120" x14ac:dyDescent="0.25">
      <c r="A91" s="2" t="s">
        <v>291</v>
      </c>
      <c r="B91" s="2" t="s">
        <v>846</v>
      </c>
      <c r="C91" s="1" t="s">
        <v>292</v>
      </c>
      <c r="D91" s="2" t="s">
        <v>293</v>
      </c>
      <c r="E91" s="2" t="s">
        <v>294</v>
      </c>
      <c r="F91" s="2" t="s">
        <v>295</v>
      </c>
      <c r="G91" s="2" t="s">
        <v>296</v>
      </c>
    </row>
    <row r="92" spans="1:7" ht="135" x14ac:dyDescent="0.25">
      <c r="A92" s="2" t="s">
        <v>297</v>
      </c>
      <c r="B92" s="2" t="s">
        <v>846</v>
      </c>
      <c r="C92" s="1" t="s">
        <v>298</v>
      </c>
      <c r="D92" s="2" t="s">
        <v>299</v>
      </c>
      <c r="E92" s="2" t="s">
        <v>300</v>
      </c>
      <c r="F92" s="2" t="s">
        <v>301</v>
      </c>
      <c r="G92" s="2" t="s">
        <v>302</v>
      </c>
    </row>
    <row r="93" spans="1:7" ht="120" x14ac:dyDescent="0.25">
      <c r="A93" s="2" t="s">
        <v>303</v>
      </c>
      <c r="B93" s="2" t="s">
        <v>846</v>
      </c>
      <c r="C93" s="1" t="s">
        <v>304</v>
      </c>
      <c r="D93" s="2" t="s">
        <v>305</v>
      </c>
      <c r="E93" s="2" t="s">
        <v>306</v>
      </c>
      <c r="F93" s="2" t="s">
        <v>307</v>
      </c>
      <c r="G93" s="2" t="s">
        <v>308</v>
      </c>
    </row>
    <row r="94" spans="1:7" ht="180" x14ac:dyDescent="0.25">
      <c r="A94" s="2" t="s">
        <v>309</v>
      </c>
      <c r="B94" s="2" t="s">
        <v>846</v>
      </c>
      <c r="C94" s="1" t="s">
        <v>310</v>
      </c>
      <c r="D94" s="2" t="s">
        <v>311</v>
      </c>
      <c r="E94" s="2" t="s">
        <v>312</v>
      </c>
      <c r="F94" s="2" t="s">
        <v>313</v>
      </c>
      <c r="G94" s="2" t="s">
        <v>314</v>
      </c>
    </row>
    <row r="95" spans="1:7" ht="135" x14ac:dyDescent="0.25">
      <c r="A95" s="2" t="s">
        <v>315</v>
      </c>
      <c r="B95" s="2" t="s">
        <v>846</v>
      </c>
      <c r="C95" s="1" t="s">
        <v>316</v>
      </c>
      <c r="D95" s="2" t="s">
        <v>317</v>
      </c>
      <c r="E95" s="2" t="s">
        <v>318</v>
      </c>
      <c r="F95" s="2" t="s">
        <v>319</v>
      </c>
      <c r="G95" s="2" t="s">
        <v>320</v>
      </c>
    </row>
    <row r="96" spans="1:7" ht="180" x14ac:dyDescent="0.25">
      <c r="A96" s="2" t="s">
        <v>321</v>
      </c>
      <c r="B96" s="2" t="s">
        <v>846</v>
      </c>
      <c r="C96" s="1" t="s">
        <v>322</v>
      </c>
      <c r="D96" s="2" t="s">
        <v>323</v>
      </c>
      <c r="E96" s="2" t="s">
        <v>324</v>
      </c>
      <c r="F96" s="2" t="s">
        <v>325</v>
      </c>
      <c r="G96" s="2" t="s">
        <v>326</v>
      </c>
    </row>
    <row r="97" spans="1:7" ht="150" x14ac:dyDescent="0.25">
      <c r="A97" s="2" t="s">
        <v>327</v>
      </c>
      <c r="B97" s="2" t="s">
        <v>846</v>
      </c>
      <c r="C97" s="1" t="s">
        <v>328</v>
      </c>
      <c r="D97" s="2" t="s">
        <v>329</v>
      </c>
      <c r="E97" s="2" t="s">
        <v>330</v>
      </c>
      <c r="F97" s="2" t="s">
        <v>331</v>
      </c>
      <c r="G97" s="2" t="s">
        <v>332</v>
      </c>
    </row>
    <row r="98" spans="1:7" ht="135" x14ac:dyDescent="0.25">
      <c r="A98" s="2" t="s">
        <v>333</v>
      </c>
      <c r="B98" s="2" t="s">
        <v>846</v>
      </c>
      <c r="C98" s="1" t="s">
        <v>334</v>
      </c>
      <c r="D98" s="2" t="s">
        <v>335</v>
      </c>
      <c r="E98" s="2" t="s">
        <v>336</v>
      </c>
      <c r="F98" s="2" t="s">
        <v>337</v>
      </c>
      <c r="G98" s="2" t="s">
        <v>338</v>
      </c>
    </row>
    <row r="99" spans="1:7" ht="240" x14ac:dyDescent="0.25">
      <c r="A99" s="2" t="s">
        <v>760</v>
      </c>
      <c r="B99" s="2" t="s">
        <v>846</v>
      </c>
      <c r="C99" s="1" t="s">
        <v>739</v>
      </c>
      <c r="D99" s="2" t="s">
        <v>740</v>
      </c>
      <c r="E99" s="2" t="s">
        <v>741</v>
      </c>
      <c r="F99" s="2" t="s">
        <v>761</v>
      </c>
      <c r="G99" s="2" t="s">
        <v>762</v>
      </c>
    </row>
    <row r="100" spans="1:7" ht="225" x14ac:dyDescent="0.25">
      <c r="A100" s="2" t="s">
        <v>763</v>
      </c>
      <c r="B100" s="2" t="s">
        <v>846</v>
      </c>
      <c r="C100" s="1" t="s">
        <v>742</v>
      </c>
      <c r="D100" s="2" t="s">
        <v>740</v>
      </c>
      <c r="E100" s="2" t="s">
        <v>743</v>
      </c>
      <c r="F100" s="2" t="s">
        <v>764</v>
      </c>
      <c r="G100" s="2" t="s">
        <v>765</v>
      </c>
    </row>
    <row r="101" spans="1:7" ht="409.5" x14ac:dyDescent="0.25">
      <c r="A101" s="2" t="s">
        <v>820</v>
      </c>
      <c r="B101" s="2" t="s">
        <v>846</v>
      </c>
      <c r="C101" s="1" t="s">
        <v>821</v>
      </c>
      <c r="D101" s="2" t="s">
        <v>822</v>
      </c>
      <c r="E101" s="2" t="s">
        <v>823</v>
      </c>
      <c r="F101" s="2" t="s">
        <v>824</v>
      </c>
      <c r="G101" s="2" t="s">
        <v>825</v>
      </c>
    </row>
    <row r="102" spans="1:7" ht="390" x14ac:dyDescent="0.25">
      <c r="A102" s="2" t="s">
        <v>826</v>
      </c>
      <c r="B102" s="2" t="s">
        <v>846</v>
      </c>
      <c r="C102" s="1" t="s">
        <v>827</v>
      </c>
      <c r="D102" s="2" t="s">
        <v>822</v>
      </c>
      <c r="E102" s="2" t="s">
        <v>828</v>
      </c>
      <c r="F102" s="2" t="s">
        <v>829</v>
      </c>
      <c r="G102" s="2" t="s">
        <v>830</v>
      </c>
    </row>
    <row r="103" spans="1:7" ht="375" x14ac:dyDescent="0.25">
      <c r="A103" s="2" t="s">
        <v>907</v>
      </c>
      <c r="B103" s="2" t="s">
        <v>846</v>
      </c>
      <c r="C103" s="1" t="s">
        <v>954</v>
      </c>
      <c r="D103" s="2"/>
      <c r="E103" s="2" t="s">
        <v>955</v>
      </c>
      <c r="F103" s="2" t="s">
        <v>908</v>
      </c>
      <c r="G103" s="2" t="s">
        <v>956</v>
      </c>
    </row>
    <row r="104" spans="1:7" ht="409.5" x14ac:dyDescent="0.25">
      <c r="A104" s="2" t="s">
        <v>909</v>
      </c>
      <c r="B104" s="2" t="s">
        <v>846</v>
      </c>
      <c r="C104" s="1" t="s">
        <v>910</v>
      </c>
      <c r="D104" s="2" t="s">
        <v>911</v>
      </c>
      <c r="E104" s="2" t="s">
        <v>912</v>
      </c>
      <c r="F104" s="2" t="s">
        <v>913</v>
      </c>
      <c r="G104" s="2" t="s">
        <v>914</v>
      </c>
    </row>
    <row r="105" spans="1:7" ht="409.5" x14ac:dyDescent="0.25">
      <c r="A105" s="2" t="s">
        <v>915</v>
      </c>
      <c r="B105" s="2" t="s">
        <v>846</v>
      </c>
      <c r="C105" s="1" t="s">
        <v>916</v>
      </c>
      <c r="D105" s="2" t="s">
        <v>917</v>
      </c>
      <c r="E105" s="2" t="s">
        <v>918</v>
      </c>
      <c r="F105" s="2" t="s">
        <v>919</v>
      </c>
      <c r="G105" s="2" t="s">
        <v>920</v>
      </c>
    </row>
    <row r="106" spans="1:7" ht="285" x14ac:dyDescent="0.25">
      <c r="A106" s="2" t="s">
        <v>1705</v>
      </c>
      <c r="B106" s="2" t="s">
        <v>846</v>
      </c>
      <c r="C106" s="1" t="s">
        <v>1767</v>
      </c>
      <c r="D106" s="2" t="s">
        <v>1706</v>
      </c>
      <c r="E106" s="2" t="s">
        <v>1707</v>
      </c>
      <c r="F106" s="2" t="s">
        <v>1708</v>
      </c>
      <c r="G106" s="2" t="s">
        <v>1709</v>
      </c>
    </row>
    <row r="107" spans="1:7" ht="330" x14ac:dyDescent="0.25">
      <c r="A107" s="2" t="s">
        <v>1710</v>
      </c>
      <c r="B107" s="2" t="s">
        <v>846</v>
      </c>
      <c r="C107" s="1" t="s">
        <v>1711</v>
      </c>
      <c r="D107" s="2" t="s">
        <v>1712</v>
      </c>
      <c r="E107" s="2" t="s">
        <v>1713</v>
      </c>
      <c r="F107" s="2" t="s">
        <v>1714</v>
      </c>
      <c r="G107" s="2" t="s">
        <v>1715</v>
      </c>
    </row>
    <row r="108" spans="1:7" ht="285" x14ac:dyDescent="0.25">
      <c r="A108" s="2" t="s">
        <v>1716</v>
      </c>
      <c r="B108" s="2" t="s">
        <v>846</v>
      </c>
      <c r="C108" s="1" t="s">
        <v>1717</v>
      </c>
      <c r="D108" s="2" t="s">
        <v>1718</v>
      </c>
      <c r="E108" s="2" t="s">
        <v>1719</v>
      </c>
      <c r="F108" s="2" t="s">
        <v>1720</v>
      </c>
      <c r="G108" s="2" t="s">
        <v>1721</v>
      </c>
    </row>
    <row r="109" spans="1:7" ht="180" x14ac:dyDescent="0.25">
      <c r="A109" s="2" t="s">
        <v>1722</v>
      </c>
      <c r="B109" s="2" t="s">
        <v>846</v>
      </c>
      <c r="C109" s="1" t="s">
        <v>1723</v>
      </c>
      <c r="D109" s="2" t="s">
        <v>1724</v>
      </c>
      <c r="E109" s="2" t="s">
        <v>1725</v>
      </c>
      <c r="F109" s="2" t="s">
        <v>1726</v>
      </c>
      <c r="G109" s="2" t="s">
        <v>1727</v>
      </c>
    </row>
    <row r="110" spans="1:7" ht="135" x14ac:dyDescent="0.25">
      <c r="A110" s="2" t="s">
        <v>1728</v>
      </c>
      <c r="B110" s="2" t="s">
        <v>846</v>
      </c>
      <c r="C110" s="1" t="s">
        <v>1729</v>
      </c>
      <c r="D110" s="2" t="s">
        <v>1730</v>
      </c>
      <c r="E110" s="2" t="s">
        <v>1731</v>
      </c>
      <c r="F110" s="2" t="s">
        <v>1732</v>
      </c>
      <c r="G110" s="2" t="s">
        <v>1733</v>
      </c>
    </row>
    <row r="111" spans="1:7" ht="165" x14ac:dyDescent="0.25">
      <c r="A111" s="2" t="s">
        <v>847</v>
      </c>
      <c r="B111" s="2" t="s">
        <v>667</v>
      </c>
      <c r="C111" s="1" t="s">
        <v>867</v>
      </c>
      <c r="D111" s="2"/>
      <c r="E111" s="2" t="s">
        <v>848</v>
      </c>
      <c r="F111" s="2" t="s">
        <v>849</v>
      </c>
      <c r="G111" s="2" t="s">
        <v>850</v>
      </c>
    </row>
    <row r="112" spans="1:7" ht="105" x14ac:dyDescent="0.25">
      <c r="A112" s="2" t="s">
        <v>851</v>
      </c>
      <c r="B112" s="2" t="s">
        <v>667</v>
      </c>
      <c r="C112" s="1" t="s">
        <v>868</v>
      </c>
      <c r="D112" s="2"/>
      <c r="E112" s="2" t="s">
        <v>852</v>
      </c>
      <c r="F112" s="2" t="s">
        <v>853</v>
      </c>
      <c r="G112" s="2" t="s">
        <v>854</v>
      </c>
    </row>
    <row r="113" spans="1:7" ht="135" x14ac:dyDescent="0.25">
      <c r="A113" s="2" t="s">
        <v>855</v>
      </c>
      <c r="B113" s="2" t="s">
        <v>667</v>
      </c>
      <c r="C113" s="1" t="s">
        <v>869</v>
      </c>
      <c r="D113" s="2"/>
      <c r="E113" s="2" t="s">
        <v>856</v>
      </c>
      <c r="F113" s="2" t="s">
        <v>857</v>
      </c>
      <c r="G113" s="2" t="s">
        <v>858</v>
      </c>
    </row>
    <row r="114" spans="1:7" ht="210" x14ac:dyDescent="0.25">
      <c r="A114" s="2" t="s">
        <v>859</v>
      </c>
      <c r="B114" s="2" t="s">
        <v>667</v>
      </c>
      <c r="C114" s="1" t="s">
        <v>870</v>
      </c>
      <c r="D114" s="2"/>
      <c r="E114" s="2" t="s">
        <v>860</v>
      </c>
      <c r="F114" s="2" t="s">
        <v>861</v>
      </c>
      <c r="G114" s="2" t="s">
        <v>865</v>
      </c>
    </row>
    <row r="115" spans="1:7" ht="135" x14ac:dyDescent="0.25">
      <c r="A115" s="2" t="s">
        <v>862</v>
      </c>
      <c r="B115" s="2" t="s">
        <v>667</v>
      </c>
      <c r="C115" s="1" t="s">
        <v>871</v>
      </c>
      <c r="D115" s="2"/>
      <c r="E115" s="2" t="s">
        <v>863</v>
      </c>
      <c r="F115" s="2" t="s">
        <v>864</v>
      </c>
      <c r="G115" s="2" t="s">
        <v>866</v>
      </c>
    </row>
    <row r="116" spans="1:7" ht="255" x14ac:dyDescent="0.25">
      <c r="A116" s="2" t="s">
        <v>921</v>
      </c>
      <c r="B116" s="2" t="s">
        <v>667</v>
      </c>
      <c r="C116" s="1" t="s">
        <v>922</v>
      </c>
      <c r="D116" s="2"/>
      <c r="E116" s="2" t="s">
        <v>923</v>
      </c>
      <c r="F116" s="2" t="s">
        <v>924</v>
      </c>
      <c r="G116" s="2" t="s">
        <v>925</v>
      </c>
    </row>
    <row r="117" spans="1:7" ht="360" x14ac:dyDescent="0.25">
      <c r="A117" s="2" t="s">
        <v>926</v>
      </c>
      <c r="B117" s="2" t="s">
        <v>667</v>
      </c>
      <c r="C117" s="1" t="s">
        <v>927</v>
      </c>
      <c r="D117" s="2"/>
      <c r="E117" s="2" t="s">
        <v>928</v>
      </c>
      <c r="F117" s="2" t="s">
        <v>929</v>
      </c>
      <c r="G117" s="2" t="s">
        <v>930</v>
      </c>
    </row>
    <row r="118" spans="1:7" ht="390" x14ac:dyDescent="0.25">
      <c r="A118" s="2" t="s">
        <v>1734</v>
      </c>
      <c r="B118" s="2" t="s">
        <v>667</v>
      </c>
      <c r="C118" s="1" t="s">
        <v>1735</v>
      </c>
      <c r="D118" s="2"/>
      <c r="E118" s="2" t="s">
        <v>1736</v>
      </c>
      <c r="F118" s="2" t="s">
        <v>1737</v>
      </c>
      <c r="G118" s="2" t="s">
        <v>1738</v>
      </c>
    </row>
    <row r="119" spans="1:7" ht="315" x14ac:dyDescent="0.25">
      <c r="A119" s="2" t="s">
        <v>1739</v>
      </c>
      <c r="B119" s="2" t="s">
        <v>667</v>
      </c>
      <c r="C119" s="1" t="s">
        <v>1740</v>
      </c>
      <c r="D119" s="2"/>
      <c r="E119" s="2" t="s">
        <v>1741</v>
      </c>
      <c r="F119" s="2" t="s">
        <v>1742</v>
      </c>
      <c r="G119" s="2" t="s">
        <v>1743</v>
      </c>
    </row>
    <row r="120" spans="1:7" ht="390" x14ac:dyDescent="0.25">
      <c r="A120" s="2" t="s">
        <v>1744</v>
      </c>
      <c r="B120" s="2" t="s">
        <v>667</v>
      </c>
      <c r="C120" s="1" t="s">
        <v>1745</v>
      </c>
      <c r="D120" s="2"/>
      <c r="E120" s="2" t="s">
        <v>1746</v>
      </c>
      <c r="F120" s="2" t="s">
        <v>1747</v>
      </c>
      <c r="G120" s="2" t="s">
        <v>1748</v>
      </c>
    </row>
    <row r="121" spans="1:7" ht="345" x14ac:dyDescent="0.25">
      <c r="A121" s="2" t="s">
        <v>1749</v>
      </c>
      <c r="B121" s="2" t="s">
        <v>667</v>
      </c>
      <c r="C121" s="1" t="s">
        <v>1768</v>
      </c>
      <c r="D121" s="2"/>
      <c r="E121" s="2" t="s">
        <v>1750</v>
      </c>
      <c r="F121" s="2" t="s">
        <v>1751</v>
      </c>
      <c r="G121" s="2" t="s">
        <v>1752</v>
      </c>
    </row>
    <row r="122" spans="1:7" ht="409.5" x14ac:dyDescent="0.25">
      <c r="A122" s="2" t="s">
        <v>931</v>
      </c>
      <c r="B122" s="2" t="s">
        <v>667</v>
      </c>
      <c r="C122" s="1" t="s">
        <v>932</v>
      </c>
      <c r="D122" s="2"/>
      <c r="E122" s="2" t="s">
        <v>933</v>
      </c>
      <c r="F122" s="2" t="s">
        <v>934</v>
      </c>
      <c r="G122" s="2" t="s">
        <v>935</v>
      </c>
    </row>
    <row r="123" spans="1:7" ht="409.5" x14ac:dyDescent="0.25">
      <c r="A123" s="2" t="s">
        <v>936</v>
      </c>
      <c r="B123" s="2" t="s">
        <v>667</v>
      </c>
      <c r="C123" s="1" t="s">
        <v>937</v>
      </c>
      <c r="D123" s="2"/>
      <c r="E123" s="2" t="s">
        <v>938</v>
      </c>
      <c r="F123" s="2" t="s">
        <v>939</v>
      </c>
      <c r="G123" s="2" t="s">
        <v>940</v>
      </c>
    </row>
    <row r="124" spans="1:7" ht="315" x14ac:dyDescent="0.25">
      <c r="A124" s="2" t="s">
        <v>941</v>
      </c>
      <c r="B124" s="2" t="s">
        <v>667</v>
      </c>
      <c r="C124" s="1" t="s">
        <v>942</v>
      </c>
      <c r="D124" s="2"/>
      <c r="E124" s="2" t="s">
        <v>943</v>
      </c>
      <c r="F124" s="2" t="s">
        <v>944</v>
      </c>
      <c r="G124" s="2" t="s">
        <v>957</v>
      </c>
    </row>
    <row r="125" spans="1:7" ht="255" x14ac:dyDescent="0.25">
      <c r="A125" s="2" t="s">
        <v>945</v>
      </c>
      <c r="B125" s="2" t="s">
        <v>667</v>
      </c>
      <c r="C125" s="1" t="s">
        <v>946</v>
      </c>
      <c r="D125" s="2"/>
      <c r="E125" s="2" t="s">
        <v>947</v>
      </c>
      <c r="F125" s="2" t="s">
        <v>948</v>
      </c>
      <c r="G125" s="2" t="s">
        <v>949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13</vt:i4>
      </vt:variant>
    </vt:vector>
  </HeadingPairs>
  <TitlesOfParts>
    <vt:vector size="20" baseType="lpstr">
      <vt:lpstr>Mileage Data</vt:lpstr>
      <vt:lpstr>Life Expectancy Data</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2026-07-26T16:21:05Z</dcterms:modified>
</cp:coreProperties>
</file>