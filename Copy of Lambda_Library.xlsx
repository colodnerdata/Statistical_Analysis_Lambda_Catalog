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local_python\Statistical_Analysis_Lambda_Catalog\"/>
    </mc:Choice>
  </mc:AlternateContent>
  <xr:revisionPtr revIDLastSave="0" documentId="8_{5B0D6779-916E-4521-B8D3-3135DE214276}" xr6:coauthVersionLast="47" xr6:coauthVersionMax="47" xr10:uidLastSave="{00000000-0000-0000-0000-000000000000}"/>
  <bookViews>
    <workbookView xWindow="-28920" yWindow="-120" windowWidth="29040" windowHeight="15720" firstSheet="1" activeTab="7" xr2:uid="{92D0E1A5-8335-431C-B56C-E9E74C0E0410}"/>
  </bookViews>
  <sheets>
    <sheet name="Mileage Data" sheetId="12" r:id="rId1"/>
    <sheet name="Life Expectancy Data" sheetId="2" r:id="rId2"/>
    <sheet name="Production Lots" sheetId="13" r:id="rId3"/>
    <sheet name="Version History" sheetId="6" r:id="rId4"/>
    <sheet name="Regression" sheetId="7" r:id="rId5"/>
    <sheet name="LAMBDA_functions" sheetId="1" r:id="rId6"/>
    <sheet name="Regression Instructions" sheetId="26" r:id="rId7"/>
    <sheet name="Diagnostic Guide" sheetId="27" r:id="rId8"/>
  </sheets>
  <definedNames>
    <definedName name="Absorbed_Degrees_Of_Freedom" localSheetId="4">_xlfn.LAMBDA(_xlfn.LET(_xlpm.n_c,COLUMNS(Regression!Source_Data),_xlpm.fe_active,SUMPRODUCT(N(_xlfn.TAKE(Regression!Spec_Role,_xlpm.n_c)="Fixed Effects"))&gt;0,IF(NOT(_xlpm.fe_active),0,_xlfn.LET(_xlpm.lv,Dummy_Levels(Regression!Fixed_Effects_Column(),"",Regression!Sample_Include()),IF(ISNA(INDEX(_xlpm.lv,1,1)),0,COLUMNS(_xlpm.lv))))))</definedName>
    <definedName name="Adjusted_R_Squared" comment="R² penalised for model complexity: 1 − (1 − R²)·df_total/df_residual. Can be negative when the model fits worse than the mean.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1-(1-R_Squared(_xlpm.X_s,_xlpm.Y,_xlpm.allow_arg,_xlpm.filt_arg))*Total_Degrees_Of_Freedom(_xlpm.Y,_xlpm.allow_arg,_xlpm.filt_arg)/Residual_Degrees_Of_Freedom(_xlpm.X_s,_xlpm.Y,_xlpm.allow_arg,_xlpm.filt_arg,_xlpm.absorbed_arg)))</definedName>
    <definedName name="Adjusted_R2" comment="R² penalised for model complexity: 1 − (1 − R²)·df_total/df_residual. Can be negative when the model fits worse than the mean.">_xlfn.LAMBDA(_xlpm.X_s,_xlpm.Y,_xlop.Allow_Intercept,_xlop.Include,_xlfn.LET(_xlpm.allow_arg,IF(_xlfn.ISOMITTED(_xlpm.Allow_Intercept),TRUE,_xlpm.Allow_Intercept),_xlpm.filt_arg,IF(_xlfn.ISOMITTED(_xlpm.Include),TRUE,_xlpm.Include),1-(1-R_Squared(_xlpm.X_s,_xlpm.Y,_xlpm.allow_arg,_xlpm.filt_arg))*DF_Total(_xlpm.Y,_xlpm.allow_arg,_xlpm.filt_arg)/DF_Residual(_xlpm.X_s,_xlpm.Y,_xlpm.allow_arg,_xlpm.filt_arg)))</definedName>
    <definedName name="AIC" comment="Akaike Information Criterion = n·ln(SSR/n) + 2p. Lower = better.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+2*_xlpm.p))</definedName>
    <definedName name="AICc" comment="AIC with a small-sample correction (+2p(p+1)/(n−p−1)). Preferred when n/p &lt; 40; converges to AIC as n → ∞.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aic,_xlpm.n*LN(_xlpm.ssr/_xlpm.n)+2*_xlpm.p,_xlpm.aic+2*_xlpm.p*(_xlpm.p+1)/(_xlpm.n-_xlpm.p-1)))</definedName>
    <definedName name="Allow_Intercept" localSheetId="4">Regression!$C$2</definedName>
    <definedName name="alpha" localSheetId="4">Regression!$Y$12</definedName>
    <definedName name="Base_Period_Delta" comment="The base period Δ in effect: spec column J (Period In Use) on the Sequence-flagged row of the Regression sheet. #N/A when no axis is flagged or the cell is not numeric. Default for Lag_By / Difference_By.">_xlfn.LAMBDA(_xlfn.LET(_xlpm.n_c,COLUMNS(Regression!Source_Data),_xlpm.position,_xlfn.XMATCH(TRUE,_xlfn.TAKE(Regression!Spec_Sequence,_xlpm.n_c),0),_xlpm.value,INDEX(_xlfn.TAKE(Regression!Spec_Sequence_Period,_xlpm.n_c),_xlpm.position),IF(ISNUMBER(_xlpm.value),_xlpm.value,NA())))</definedName>
    <definedName name="Base_Period_Delta_Candidate" localSheetId="4">_xlfn.LAMBDA(_xlfn.LET(_xlpm.d,Regression!Sequence_Deltas(),IF(COUNT(_xlpm.d)=0,NA(),IFERROR(_xlfn.MODE.SNGL(_xlpm.d),MIN(_xlpm.d)))))</definedName>
    <definedName name="Beta_Weights" comment="Standardised coefficients in SD units for comparing predictors measured on different scales. k rows; no intercept row.">_xlfn.LAMBDA(_xlpm.X_s,_xlpm.Y,_xlop.Allow_Intercept,_xlop.Include,_xlfn.LET(_xlpm.allow_arg,IF(_xlfn.ISOMITTED(_xlpm.Allow_Intercept),TRUE,_xlpm.Allow_Intercept),_xlpm.filt_arg,IF(_xlfn.ISOMITTED(_xlpm.Include),TRUE,_xlpm.Include),_xlpm.coefs,Coefficients(_xlpm.X_s,_xlpm.Y,_xlpm.allow_arg,_xlpm.filt_arg),_xlpm.pred_coefs,IF(_xlpm.allow_arg,_xlfn.DROP(_xlpm.coefs,1),_xlpm.coefs),_xlpm.sd_y,STDEV(_xlfn._xlws.FILTER(_xlpm.Y,_xlpm.filt_arg)),_xlpm.k,COLUMNS(_xlpm.X_s),_xlpm.sd_x,_xlfn.MAKEARRAY(_xlpm.k,1,_xlfn.LAMBDA(_xlpm.j,_xlpm._,STDEV(_xlfn._xlws.FILTER(_xlfn.CHOOSECOLS(_xlpm.X_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s,_xlpm.Y,_xlpm.group,_xlpm.seq,_xlop.delta,_xlop.Allow_Intercept,_xlop.Include,_xlfn.LET(_xlpm.allow_arg,IF(_xlfn.ISOMITTED(_xlpm.Allow_Intercept),TRUE,_xlpm.Allow_Intercept),_xlpm.filt_arg,IF(_xlfn.ISOMITTED(_xlpm.Include),TRUE,_xlpm.Include),_xlpm.step,IF(_xlfn.ISOMITTED(_xlpm.delta),Base_Period_Delta(),_xlpm.delta),_xlpm.e,Residuals(_xlpm.X_s,_xlpm.Y,_xlpm.allow_arg,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n,Observations(_xlpm.Y,_xlpm.filt_arg),_xlpm.ssr,SS_Residual(_xlpm.X_s,_xlpm.Y,_xlpm.allow_arg,_xlpm.filt_arg),_xlpm.p,Regression_Degrees_Of_Freedom(_xlpm.X_s)+IF(_xlpm.allow_arg,1,0)+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I_Lower" comment="Low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I_Upper" comment="Upper confidence-interval bounds per coefficient. Default Alpha = 0.05 gives 95% CIs. Same order as Coefficients.">_xlfn.LAMBDA(_xlpm.X_s,_xlpm.Y,_xlop.Allow_Intercept,_xlop.Include,_xlop.Alpha,_xlfn.LET(_xlpm.allow_arg,IF(_xlfn.ISOMITTED(_xlpm.Allow_Intercept),TRUE,_xlpm.Allow_Intercept),_xlpm.filt_arg,IF(_xlfn.ISOMITTED(_xlpm.Include),TRUE,_xlpm.Include),_xlpm.alpha_arg,IF(_xlfn.ISOMITTED(_xlpm.Alpha),0.05,_xlpm.Alpha),Coefficients(_xlpm.X_s,_xlpm.Y,_xlpm.allow_arg,_xlpm.filt_arg)+_xlfn.T.INV.2T(_xlpm.alpha_arg,DF_Residual(_xlpm.X_s,_xlpm.Y,_xlpm.allow_arg,_xlpm.filt_arg))*SE_Coefficients(_xlpm.X_s,_xlpm.Y,_xlpm.allow_arg,_xlpm.filt_arg)))</definedName>
    <definedName name="Coefficients" comment="Fitted OLS coefficients as a column vector: intercept first (when included), then each predictor in X_s column order.">_xlfn.LAMBDA(_xlpm.X_s,_xlpm.Y,_xlop.Allow_Intercept,_xlop.Include,_xlfn.LET(_xlpm.allow_arg,IF(_xlfn.ISOMITTED(_xlpm.Allow_Intercept),TRUE,_xlpm.Allow_Intercept),_xlpm.filt_arg,IF(_xlfn.ISOMITTED(_xlpm.Include),TRUE,_xlpm.Include),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 comment="Named wrapper for CHOOSECOLS: picks non-contiguous predictor columns by index. Returns an array suitable for X_s.">_xlfn.LAMBDA(_xlpm.table,_xlpm.col_nums,_xlfn.CHOOSECOLS(_xlpm.table,_xlpm.col_nums))</definedName>
    <definedName name="Column_Select" comment="Named wrapper for CHOOSECOLS: picks non-contiguous predictor columns by index. Returns an array suitable for X_s.">_xlfn.LAMBDA(_xlpm.table,_xlpm.col_nums,_xlfn.CHOOSECOLS(_xlpm.table,_xlpm.col_nums))</definedName>
    <definedName name="Complete_Cases_Filter" comment="Boolean vector TRUE where every included column is numeric. Pass as the Include argument to exclude incomplete rows.">_xlfn.LAMBDA(_xlpm.X_s,_xlop.Y,_xlfn.LET(_xlpm.combined,IF(_xlfn.ISOMITTED(_xlpm.Y),_xlpm.X_s,_xlfn.HSTACK(_xlpm.X_s,_xlpm.Y)),MMULT((ISNUMBER(_xlpm.combined))*1,_xlfn.SEQUENCE(COLUMNS(_xlpm.combined),1,1,0))=COLUMNS(_xlpm.combined)))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fidence_Interval_Upper" comment="Upper CI bounds per coefficient. Default Alpha = 0.05 gives 95% CIs. Optional DF_Absorbed (default 0) corrects both df and SE under Fixed Effects.">_xlfn.LAMBDA(_xlpm.X_s,_xlpm.Y,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Coefficients(_xlpm.X_s,_xlpm.Y,_xlpm.allow_arg,_xlpm.filt_arg)+_xlfn.T.INV.2T(_xlpm.alpha_arg,Residual_Degrees_Of_Freedom(_xlpm.X_s,_xlpm.Y,_xlpm.allow_arg,_xlpm.filt_arg,_xlpm.absorbed_arg))*SE_Coefficients(_xlpm.X_s,_xlpm.Y,_xlpm.allow_arg,_xlpm.filt_arg,_xlpm.absorbed_arg)))</definedName>
    <definedName name="Constructed_Column_Names" localSheetId="4">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hdrs,_xlfn.TOROW(Regression!Header_Names),_xlpm.built,_xlfn.REDUCE("",_xlfn.SEQUENCE(_xlpm.n_c),_xlfn.LAMBDA(_xlpm.acc,_xlpm.j,IF(OR(INDEX(_xlpm.rl,_xlpm.j)&lt;&gt;"Predictor (x)",INDEX(_xlpm.inc,_xlpm.j)&lt;&gt;TRUE),_xlpm.acc,_xlfn.LET(_xlpm.h,INDEX(_xlpm.hdrs,1,_xlpm.j),IF(INDEX(_xlpm.typ,_xlpm.j)&lt;&gt;"Categorical",_xlfn.HSTACK(_xlpm.acc,IF(INDEX(_xlpm.trn,_xlpm.j)="Log","Ln("&amp;_xlpm.h&amp;")",_xlpm.h)),_xlfn.LET(_xlpm.col,INDEX(Regression!Source_Data,0,_xlpm.j),_xlpm.d,INDEX(_xlpm.refs,_xlpm.j),_xlpm.r,IF(LEN(_xlpm.d&amp;"")=0,"",_xlpm.d),_xlpm.lv,Dummy_Levels(_xlpm.col,_xlpm.r,Regression!Sample_Include()),IF(ISNA(INDEX(_xlpm.lv,1,1)),_xlpm.acc,_xlfn.HSTACK(_xlpm.acc,_xlpm.h&amp;": "&amp;_xlpm.lv)))))))),_xlfn.DROP(_xlpm.built,,1)))</definedName>
    <definedName name="Constructed_Column_Transforms" localSheetId="4">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built,_xlfn.REDUCE("",_xlfn.SEQUENCE(_xlpm.n_c),_xlfn.LAMBDA(_xlpm.acc,_xlpm.j,IF(OR(INDEX(_xlpm.rl,_xlpm.j)&lt;&gt;"Predictor (x)",INDEX(_xlpm.inc,_xlpm.j)&lt;&gt;TRUE),_xlpm.acc,_xlfn.LET(_xlpm.t,IF(INDEX(_xlpm.trn,_xlpm.j)="Log","Log","None"),IF(INDEX(_xlpm.typ,_xlpm.j)&lt;&gt;"Categorical",_xlfn.HSTACK(_xlpm.acc,_xlpm.t),_xlfn.LET(_xlpm.col,INDEX(Regression!Source_Data,0,_xlpm.j),_xlpm.d,INDEX(_xlpm.refs,_xlpm.j),_xlpm.r,IF(LEN(_xlpm.d&amp;"")=0,"",_xlpm.d),_xlpm.lv,Dummy_Levels(_xlpm.col,_xlpm.r,Regression!Sample_Include()),IF(ISNA(INDEX(_xlpm.lv,1,1)),_xlpm.acc,_xlfn.HSTACK(_xlpm.acc,_xlfn.EXPAND("None",1,COLUMNS(_xlpm.lv),"None"))))))))),_xlfn.DROP(_xlpm.built,,1)))</definedName>
    <definedName name="Cooks_Distance" comment="Influence measure Dᵢ = rᵢ²·hᵢ / ((1−hᵢ)·p). Values &gt; 4/n or &gt; 1 flag influential row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r,Studentized_Residuals(_xlpm.X_s,_xlpm.Y,_xlpm.allow_arg,_xlpm.filt_arg,_xlpm.absorbed_arg),_xlpm.h,Hat_Diagonal(_xlpm.X_s,_xlpm.allow_arg,_xlpm.filt_arg),_xlpm.p,COLUMNS(Design_Matrix(_xlpm.X_s,_xlpm.allow_arg,_xlpm.filt_arg)),_xlpm.r^2*_xlpm.h/((1-_xlpm.h)*_xlpm.p)))</definedName>
    <definedName name="Correlation_Matrix" comment="k×k symmetric Pearson correlation matrix among all X_s columns. Use to screen for multicollinearity before fitting.">_xlfn.LAMBDA(_xlpm.X_s,_xlop.Include,_xlfn.LET(_xlpm.filt_arg,IF(_xlfn.ISOMITTED(_xlpm.Include),TRUE,_xlpm.Include),_xlpm.xf,_xlfn._xlws.FILTER(_xlpm.X_s,_xlpm.filt_arg),_xlpm.k,COLUMNS(_xlpm.X_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 comment="Filtered Y column in the order the model uses it. Companion to Predictions and Residuals for scatter plots.">_xlfn.LAMBDA(_xlpm.Y,_xlop.Include,_xlfn._xlws.FILTER(_xlpm.Y,IF(_xlfn.ISOMITTED(_xlpm.Include),TRUE,_xlpm.Include)))</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criptive_Stat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Filtered predictor matrix with a leading column of 1s when intercept is included. The X matrix used internally by the regression.">_xlfn.LAMBDA(_xlpm.X_s,_xlop.Allow_Intercept,_xlop.Include,_xlfn.LET(_xlpm.allow_arg,IF(_xlfn.ISOMITTED(_xlpm.Allow_Intercept),TRUE,_xlpm.Allow_Intercept),_xlpm.filt_arg,IF(_xlfn.ISOMITTED(_xlpm.Include),TRUE,_xlpm.Include),_xlpm.x_filt,_xlfn._xlws.FILTER(_xlpm.X_s,_xlpm.filt_arg),IF(_xlpm.allow_arg,_xlfn.HSTACK(_xlfn.SEQUENCE(ROWS(_xlpm.x_filt),,1,0),_xlpm.x_filt),_xlpm.x_filt)))</definedName>
    <definedName name="DF_Regression" comment="Degrees of freedom for regression = number of predictors k (= COLUMNS(X_s)). Used as the numerator df in the F-test.">_xlfn.LAMBDA(_xlpm.X_s,COLUMNS(_xlpm.X_s))</definedName>
    <definedName name="DF_Residual" comment="Residual degrees of freedom = DF_Total − DF_Regression. Denominator df in the F-test and the penalty term in Adjusted R².">_xlfn.LAMBDA(_xlpm.X_s,_xlpm.Y,_xlop.Allow_Intercept,_xlop.Include,_xlfn.LET(_xlpm.allow_arg,IF(_xlfn.ISOMITTED(_xlpm.Allow_Intercept),TRUE,_xlpm.Allow_Intercept),_xlpm.filt_arg,IF(_xlfn.ISOMITTED(_xlpm.Include),TRUE,_xlpm.Include),DF_Total(_xlpm.Y,_xlpm.allow_arg,_xlpm.filt_arg)-DF_Regression(_xlpm.X_s)))</definedName>
    <definedName name="DF_Total" comment="Total degrees of freedom = n − 1 with intercept or n without. Partitions into DF_Regression + DF_Residual.">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s,_xlpm.Y,_xlop.Allow_Intercept,_xlop.Include,_xlfn.LET(_xlpm.allow_arg,IF(_xlfn.ISOMITTED(_xlpm.Allow_Intercept),TRUE,_xlpm.Allow_Intercept),_xlpm.filt_arg,IF(_xlfn.ISOMITTED(_xlpm.Include),TRUE,_xlpm.Include),_xlpm.e,Residuals(_xlpm.X_s,_xlpm.Y,_xlpm.allow_arg,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s,_xlpm.Y,_xlpm.seq,_xlop.Allow_Intercept,_xlop.Include,_xlfn.LET(_xlpm.allow_arg,IF(_xlfn.ISOMITTED(_xlpm.Allow_Intercept),TRUE,_xlpm.Allow_Intercept),_xlpm.filt_arg,IF(_xlfn.ISOMITTED(_xlpm.Include),TRUE,_xlpm.Include),_xlpm.e,Residuals(_xlpm.X_s,_xlpm.Y,_xlpm.allow_arg,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 comment="Overall F-statistic = MS_Regression / MS_Residual. Tests whether the model explains significantly more variance than random noise.">_xlfn.LAMBDA(_xlpm.X_s,_xlpm.Y,_xlop.Allow_Intercept,_xlop.Include,_xlfn.LET(_xlpm.allow_arg,IF(_xlfn.ISOMITTED(_xlpm.Allow_Intercept),TRUE,_xlpm.Allow_Intercept),_xlpm.filt_arg,IF(_xlfn.ISOMITTED(_xlpm.Include),TRUE,_xlpm.Include),SS_Regression(_xlpm.X_s,_xlpm.Y,_xlpm.allow_arg,_xlpm.filt_arg)/DF_Regression(_xlpm.X_s)/(SS_Residual(_xlpm.X_s,_xlpm.Y,_xlpm.allow_arg,_xlpm.filt_arg)/DF_Residual(_xlpm.X_s,_xlpm.Y,_xlpm.allow_arg,_xlpm.filt_arg))))</definedName>
    <definedName name="F_Statistic" comment="Overall F = MS_Regression / MS_Residual. Optional DF_Absorbed (default 0) corrects only the denominator df under Fixed Effects — the numerator df is unaffected.">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gression(_xlpm.X_s,_xlpm.Y,_xlpm.allow_arg,_xlpm.filt_arg)/Regression_Degrees_Of_Freedom(_xlpm.X_s)/(SS_Residual(_xlpm.X_s,_xlpm.Y,_xlpm.allow_arg,_xlpm.filt_arg)/Residual_Degrees_Of_Freedom(_xlpm.X_s,_xlpm.Y,_xlpm.allow_arg,_xlpm.filt_arg,_xlpm.absorbed_arg))))</definedName>
    <definedName name="F_Statistic_P_Value" comment="Right-tail p-value for the overall F-test. Optional DF_Absorbed (default 0) corrects both F_Statistic and its denominator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F.DIST.RT(F_Statistic(_xlpm.X_s,_xlpm.Y,_xlpm.allow_arg,_xlpm.filt_arg,_xlpm.absorbed_arg),Regression_Degrees_Of_Freedom(_xlpm.X_s),Residual_Degrees_Of_Freedom(_xlpm.X_s,_xlpm.Y,_xlpm.allow_arg,_xlpm.filt_arg,_xlpm.absorbed_arg))))</definedName>
    <definedName name="FD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Fixed_Effects_Column" localSheetId="4">_xlfn.LAMBDA(_xlfn.LET(_xlpm.n_c,COLUMNS(Regression!Source_Data),INDEX(Regression!Source_Data,0,_xlfn.XMATCH("Fixed Effects",_xlfn.TAKE(Regression!Spec_Role,_xlpm.n_c),0))))</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Generalized_Tolerance" comment="1/GVIF per source variable. Fraction of unique variance not shared with other predictors, generalized across a categorical predictor's dummy columns.">_xlfn.LAMBDA(_xlpm.X_s,_xlpm.Column_Names,_xlop.Allow_Intercept,_xlop.Include,1/GVIF(_xlpm.X_s,_xlpm.Column_Names,_xlpm.Allow_Intercept,_xlpm.Include))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AndersonDarling">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oF_KS">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min"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X_s,_xlpm.Y,_xlpm.X_new,_xlpm.group,_xlpm.selected_group,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within,_xlfn.LET(_xlpm.n_x,COLUMNS(_xlpm.X_s),_xlpm.seed,_xlfn.SEQUENCE(ROWS(_xlpm.X_s),1,0,0),_xlpm.built,_xlfn.REDUCE(_xlpm.seed,_xlfn.SEQUENCE(_xlpm.n_x),_xlfn.LAMBDA(_xlpm.acc,_xlpm.j,_xlfn.HSTACK(_xlpm.acc,Demean_By(INDEX(_xlpm.X_s,0,_xlpm.j),_xlpm.group,_xlpm.filt_arg)))),_xlfn.DROP(_xlpm.built,,1)),_xlpm.y_within,Demean_By(_xlpm.Y,_xlpm.group,_xlpm.filt_arg),_xlpm.beta_full,Coefficients(_xlpm.x_within,_xlpm.y_within,_xlpm.allow_arg,_xlpm.filt_arg),_xlpm.beta,IF(_xlpm.allow_arg,_xlfn.DROP(_xlpm.beta_full,1),_xlpm.beta_full),_xlpm.s,SE_Regression(_xlpm.x_within,_xlpm.y_within,_xlpm.allow_arg,_xlpm.filt_arg,_xlpm.absorbed_arg),_xlpm.df,Residual_Degrees_Of_Freedom(_xlpm.x_within,_xlpm.y_within,_xlpm.allow_arg,_xlpm.filt_arg,_xlpm.absorbed_arg),_xlpm.t_crit,_xlfn.T.INV.2T(_xlpm.alpha_arg,_xlpm.df),_xlpm.X_design,Design_Matrix(_xlpm.x_within,FALSE,_xlpm.filt_arg),_xlpm.XtX_inv,Gram_Inverse(_xlpm.X_design),_xlpm.xbar_i,TRANSPOSE(_xlfn.BYCOL(_xlpm.X_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_xlfn.LAMBDA(_xlpm.X_s,_xlpm.Column_Names,_xlop.Allow_Intercept,_xlop.Include,_xlfn.LET(_xlpm.filt_arg,IF(_xlfn.ISOMITTED(_xlpm.Include),TRUE,_xlpm.Include),_xlpm.k,COLUMNS(_xlpm.X_s),_xlpm.grp,IFERROR(LEFT(_xlpm.Column_Names,FIND(": ",_xlpm.Column_Names)-1),_xlpm.Column_Names),IF(COUNTA(_xlfn.UNIQUE(_xlpm.grp,TRUE))&lt;=1,_xlfn.MAKEARRAY(_xlpm.k,1,_xlfn.LAMBDA(_xlpm.j,_xlpm._,1)),_xlfn.LET(_xlpm.R,Correlation_Matrix(_xlpm.X_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s,_xlop.Allow_Intercept,_xlop.Include,_xlfn.LET(_xlpm.allow_arg,IF(_xlfn.ISOMITTED(_xlpm.Allow_Intercept),TRUE,_xlpm.Allow_Intercept),_xlpm.filt_arg,IF(_xlfn.ISOMITTED(_xlpm.Include),TRUE,_xlpm.Include),_xlpm.X_design,Design_Matrix(_xlpm.X_s,_xlpm.allow_arg,_xlpm.filt_arg),_xlpm.p,COLUMNS(_xlpm.X_design),_xlpm.XtX_inv,Gram_Inverse(_xlpm.X_design),_xlpm.Z,MMULT(_xlpm.X_design,_xlpm.XtX_inv),MMULT(_xlpm.Z*_xlpm.X_design,_xlfn.SEQUENCE(_xlpm.p,1,1,0))))</definedName>
    <definedName name="Header_Names" localSheetId="4">_xlfn.TAKE(Regression!Source_Table,1)</definedName>
    <definedName name="Intercept_Only_DF" localSheetId="4">_xlfn.LAMBDA(Regression!Intercept_Only_N()-1)</definedName>
    <definedName name="Intercept_Only_N" localSheetId="4">_xlfn.LAMBDA(SUMPRODUCT(N(Regression!Sample_Include())))</definedName>
    <definedName name="Intercept_Only_Point" localSheetId="4">_xlfn.LAMBDA(AVERAGE(_xlfn._xlws.FILTER(Regression!Response_Column(),Regression!Sample_Include())))</definedName>
    <definedName name="Intercept_Only_S" localSheetId="4">_xlfn.LAMBDA(_xlfn.STDEV.S(_xlfn._xlws.FILTER(Regression!Response_Column(),Regression!Sample_Include())))</definedName>
    <definedName name="Intercept_Only_SE" localSheetId="4">_xlfn.LAMBDA(Regression!Intercept_Only_S()/SQRT(Regression!Intercept_Only_N()))</definedName>
    <definedName name="Is_Balanced_Panel" comment="TRUE iff the included sample is a complete (group × time) grid: row count = groups×times AND every (group,time) pair distinct. Diagnostic only — flags when a two-way demeaning shortcut (v2.7+)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X_s column. 0 = normal-distributed tails; positive = heavier tails with more frequent extremes.">_xlfn.LAMBDA(_xlpm.X_s,_xlop.Include,_xlfn.LET(_xlpm.filt_arg,IF(_xlfn.ISOMITTED(_xlpm.Include),TRUE,_xlpm.Include),_xlpm.xf,_xlfn._xlws.FILTER(_xlpm.X_s,_xlpm.filt_arg),_xlfn.MAKEARRAY(COLUMNS(_xlpm.X_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_prediction" comment="Single leave-one-out prediction for row n by refitting on n−1 rows. For all rows at once use LOOCV_prediction.">_xlfn.LAMBDA(_xlpm.X_s,_xlpm.Y,_xlpm.n,_xlop.Allow_Intercept,_xlop.Include,_xlfn.LET(_xlpm.allow_arg,IF(_xlfn.ISOMITTED(_xlpm.Allow_Intercept),TRUE,_xlpm.Allow_Intercept),_xlpm.filt_arg,IF(_xlfn.ISOMITTED(_xlpm.Include),TRUE,_xlpm.Include),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 comment="All n leave-one-out predictions at once using the hat-matrix shortcut ŷ₋ᵢ = ŷᵢ − hᵢeᵢ/(1−hᵢ). No n separate refits needed.">_xlfn.LAMBDA(_xlpm.X_s,_xlpm.Y,_xlop.Allow_Intercept,_xlop.Include,_xlfn.LET(_xlpm.allow_arg,IF(_xlfn.ISOMITTED(_xlpm.Allow_Intercept),TRUE,_xlpm.Allow_Intercept),_xlpm.filt_arg,IF(_xlfn.ISOMITTED(_xlpm.Include),TRUE,_xlpm.Include),_xlpm.yhat,Predictions(_xlpm.X_s,_xlpm.Y,_xlpm.allow_arg,_xlpm.filt_arg),_xlpm.e,_xlfn._xlws.FILTER(_xlpm.Y,_xlpm.filt_arg)-_xlpm.yhat,_xlpm.h,Hat_Diagonal(_xlpm.X_s,_xlpm.allow_arg,_xlpm.filt_arg),_xlpm.yhat-_xlpm.h*_xlpm.e/(1-_xlpm.h)))</definedName>
    <definedName name="LOOCV_Residual" comment="Leave-one-out residuals e_i/(1-h_i). SUMSQ of this spilled vector equals PRESS. #N/A (not #DIV/0!) where h_i = 1.">_xlfn.LAMBDA(_xlpm.X_s,_xlpm.Y,_xlop.Allow_Intercept,_xlop.Include,_xlfn.LET(_xlpm.allow_arg,IF(_xlfn.ISOMITTED(_xlpm.Allow_Intercept),TRUE,_xlpm.Allow_Intercept),_xlpm.filt_arg,IF(_xlfn.ISOMITTED(_xlpm.Include),TRUE,_xlpm.Include),_xlpm.e,Residuals(_xlpm.X_s,_xlpm.Y,_xlpm.allow_arg,_xlpm.filt_arg),_xlpm.h,Hat_Diagonal(_xlpm.X_s,_xlpm.allow_arg,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S_Regression" comment="Mean square for regression = SS_Regression / df_Regression. Numerator of the overall F-statistic.">_xlfn.LAMBDA(_xlpm.X_s,_xlpm.Y,_xlop.Allow_Intercept,_xlop.Include,_xlfn.LET(_xlpm.allow_arg,IF(_xlfn.ISOMITTED(_xlpm.Allow_Intercept),TRUE,_xlpm.Allow_Intercept),_xlpm.filt_arg,IF(_xlfn.ISOMITTED(_xlpm.Include),TRUE,_xlpm.Include),SS_Regression(_xlpm.X_s,_xlpm.Y,_xlpm.allow_arg,_xlpm.filt_arg)/Regression_Degrees_Of_Freedom(_xlpm.X_s)))</definedName>
    <definedName name="MS_Residual" comment="Mean square residual = SS_Residual / df_Residual = SE_Regression². Denominator of the F-statistic.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S_Residual(_xlpm.X_s,_xlpm.Y,_xlpm.allow_arg,_xlpm.filt_arg)/Residual_Degrees_Of_Freedom(_xlpm.X_s,_xlpm.Y,_xlpm.allow_arg,_xlpm.filt_arg,_xlpm.absorbed_arg)))</definedName>
    <definedName name="Multiple_R" comment="Correlation between observed and fitted Y values = √R². Ranges [0, 1]. Square to recover R_Squared.">_xlfn.LAMBDA(_xlpm.X_s,_xlpm.Y,_xlop.Allow_Intercept,_xlop.Include,_xlfn.LET(_xlpm.allow_arg,IF(_xlfn.ISOMITTED(_xlpm.Allow_Intercept),TRUE,_xlpm.Allow_Intercept),_xlpm.filt_arg,IF(_xlfn.ISOMITTED(_xlpm.Include),TRUE,_xlpm.Include),SQRT(R_Squared(_xlpm.X_s,_xlpm.Y,_xlpm.allow_arg,_xlpm.filt_arg))))</definedName>
    <definedName name="n_histogram_bins">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 comment="Sequence 1..n for the filtered dataset. Use as an observation index axis on diagnostic scatter plots.">_xlfn.LAMBDA(_xlpm.Y,_xlop.Include,_xlfn.SEQUENCE(ROWS(_xlfn._xlws.FILTER(_xlpm.Y,IF(_xlfn.ISOMITTED(_xlpm.Include),TRUE,_xlpm.Include)))))</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_F" comment="Right-tail p-value for the overall F-test. Values &lt; 0.05 indicate the model as a whole is statistically significant.">_xlfn.LAMBDA(_xlpm.X_s,_xlpm.Y,_xlop.Allow_Intercept,_xlop.Include,_xlfn.LET(_xlpm.allow_arg,IF(_xlfn.ISOMITTED(_xlpm.Allow_Intercept),TRUE,_xlpm.Allow_Intercept),_xlpm.filt_arg,IF(_xlfn.ISOMITTED(_xlpm.Include),TRUE,_xlpm.Include),_xlfn.F.DIST.RT(F_Stat(_xlpm.X_s,_xlpm.Y,_xlpm.allow_arg,_xlpm.filt_arg),DF_Regression(_xlpm.X_s),DF_Residual(_xlpm.X_s,_xlpm.Y,_xlpm.allow_arg,_xlpm.filt_arg))))</definedName>
    <definedName name="P_Values" comment="Two-tailed p-values per coefficient testing H₀: true effect = 0. Optional DF_Absorbed (default 0) corrects both the t-stat's SE and the test's df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T.DIST.2T(ABS(T_Statistics(_xlpm.X_s,_xlpm.Y,_xlpm.allow_arg,_xlpm.filt_arg,_xlpm.absorbed_arg)),Residual_Degrees_Of_Freedom(_xlpm.X_s,_xlpm.Y,_xlpm.allow_arg,_xlpm.filt_arg,_xlpm.absorbed_arg))))</definedName>
    <definedName name="Partial_Correlation" comment="Sign-preserving partial correlation between Y and each predictor after removing all other predictor effects. Range [−1,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SQRT(_xlpm.t^2+_xlpm.df)))</definedName>
    <definedName name="Partial_R_Squared" comment="Unique proportion of residual variance explained by each predictor after controlling for all others. Range [0, 1].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t,T_Statistics(_xlpm.X_s,_xlpm.Y,_xlpm.allow_arg,_xlpm.filt_arg,_xlpm.absorbed_arg),_xlpm.df,Residual_Degrees_Of_Freedom(_xlpm.X_s,_xlpm.Y,_xlpm.allow_arg,_xlpm.filt_arg,_xlpm.absorbed_arg),_xlpm.t^2/(_xlpm.t^2+_xlpm.df)))</definedName>
    <definedName name="Partial_R2" comment="Unique proportion of residual variance explained by each predictor after controlling for all others. Range [0, 1].">_xlfn.LAMBDA(_xlpm.X_s,_xlpm.Y,_xlop.Allow_Intercept,_xlop.Include,_xlfn.LET(_xlpm.allow_arg,IF(_xlfn.ISOMITTED(_xlpm.Allow_Intercept),TRUE,_xlpm.Allow_Intercept),_xlpm.filt_arg,IF(_xlfn.ISOMITTED(_xlpm.Include),TRUE,_xlpm.Include),_xlpm.t,T_Stats(_xlpm.X_s,_xlpm.Y,_xlpm.allow_arg,_xlpm.filt_arg),_xlpm.df,DF_Residual(_xlpm.X_s,_xlpm.Y,_xlpm.allow_arg,_xlpm.filt_arg),_xlpm.t^2/(_xlpm.t^2+_xlpm.df)))</definedName>
    <definedName name="Pearson_R" comment="Linear (Pearson) correlations between each X_s column and Y. Returns a k×1 vector. Compare with Spearman_R to detect nonlinearity.">_xlfn.LAMBDA(_xlpm.X_s,_xlpm.Y,_xlop.Include,_xlfn.LET(_xlpm.filt_arg,IF(_xlfn.ISOMITTED(_xlpm.Include),TRUE,_xlpm.Include),_xlpm.xf,_xlfn._xlws.FILTER(_xlpm.X_s,_xlpm.filt_arg),_xlpm.yf,_xlfn._xlws.FILTER(_xlpm.Y,_xlpm.filt_arg),_xlfn.MAKEARRAY(COLUMNS(_xlpm.X_s),1,_xlfn.LAMBDA(_xlpm.r,_xlpm.c,CORREL(_xlfn.CHOOSECOLS(_xlpm.xf,_xlpm.r),_xlpm.yf)))))</definedName>
    <definedName name="Prediction_Group_Column" localSheetId="4">_xlfn.LAMBDA(_xlfn.LET(_xlpm.n_c,COLUMNS(Regression!Source_Data),_xlpm.fe_active,SUMPRODUCT(N(_xlfn.TAKE(Regression!Spec_Role,_xlpm.n_c)="Fixed Effects"))&gt;0,IF(_xlpm.fe_active,Regression!Fixed_Effects_Column(),_xlfn.EXPAND("(all)",ROWS(Regression!Source_Data),1,"(all)"))))</definedName>
    <definedName name="Prediction_Interval" comment="6-element vector: point estimate, SE_prediction, t-critical, lower/upper PI bound, confidence level. Optional DF_Absorbed (default 0) corrects df/SE under Fixed Effects.">_xlfn.LAMBDA(_xlpm.X_s,_xlpm.Y,_xlpm.X_new,_xlop.Allow_Intercept,_xlop.Include,_xlop.alpha,_xlop.DF_Absorbed,_xlfn.LET(_xlpm.allow_arg,IF(_xlfn.ISOMITTED(_xlpm.Allow_Intercept),TRUE,_xlpm.Allow_Intercept),_xlpm.filt_arg,IF(_xlfn.ISOMITTED(_xlpm.Include),TRUE,_xlpm.Include),_xlpm.alpha_arg,IF(_xlfn.ISOMITTED(_xlpm.alpha),0.05,_xlpm.alpha),_xlpm.absorbed_arg,IF(_xlfn.ISOMITTED(_xlpm.DF_Absorbed),0,_xlpm.DF_Absorbed),_xlpm.X_design,Design_Matrix(_xlpm.X_s,_xlpm.allow_arg,_xlpm.filt_arg),_xlpm.beta,Coefficients(_xlpm.X_s,_xlpm.Y,_xlpm.allow_arg,_xlpm.filt_arg),_xlpm.s,SE_Regression(_xlpm.X_s,_xlpm.Y,_xlpm.allow_arg,_xlpm.filt_arg,_xlpm.absorbed_arg),_xlpm.df,Residual_Degrees_Of_Freedom(_xlpm.X_s,_xlpm.Y,_xlpm.allow_arg,_xlpm.filt_arg,_xlpm.absorbed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s,_xlpm.Y,_xlop.Allow_Intercept,_xlop.Include,_xlfn.LET(_xlpm.allow_arg,IF(_xlfn.ISOMITTED(_xlpm.Allow_Intercept),TRUE,_xlpm.Allow_Intercept),_xlpm.filt_arg,IF(_xlfn.ISOMITTED(_xlpm.Include),TRUE,_xlpm.Include),MMULT(Design_Matrix(_xlpm.X_s,_xlpm.allow_arg,_xlpm.filt_arg),Coefficients(_xlpm.X_s,_xlpm.Y,_xlpm.allow_arg,_xlpm.filt_arg))))</definedName>
    <definedName name="PRESS" comment="Leave-one-out cross-validation sum of squares = Σ(eᵢ/(1−hᵢ))². Lower values mean better out-of-sample predictions.">_xlfn.LAMBDA(_xlpm.X_s,_xlpm.Y,_xlop.Allow_Intercept,_xlop.Include,_xlfn.LET(_xlpm.allow_arg,IF(_xlfn.ISOMITTED(_xlpm.Allow_Intercept),TRUE,_xlpm.Allow_Intercept),_xlpm.filt_arg,IF(_xlfn.ISOMITTED(_xlpm.Include),TRUE,_xlpm.Include),SUMSQ(LOOCV_Residual(_xlpm.X_s,_xlpm.Y,_xlpm.allow_arg,_xlpm.filt_arg))))</definedName>
    <definedName name="QQ_Correlation" comment="Filliben Q-Q correlation between ranked scaled residuals and normal quantiles.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sr,Scaled_Residuals_Ranked(_xlpm.X_s,_xlpm.Y,_xlpm.allow_arg,_xlpm.filt_arg,_xlpm.absorbed_arg),_xlpm.n,ROWS(_xlpm.sr),_xlpm.ns,_xlfn.NORM.S.INV((_xlfn.SEQUENCE(_xlpm.n)-0.5)/_xlpm.n),CORREL(_xlpm.sr,_xlpm.ns)))</definedName>
    <definedName name="R_Squared" comment="Proportion of Y’s variance explained by the model (SS_Regression / SS_Total). Ranges [0, 1]; higher is better.">_xlfn.LAMBDA(_xlpm.X_s,_xlpm.Y,_xlop.Allow_Intercept,_xlop.Include,_xlfn.LET(_xlpm.allow_arg,IF(_xlfn.ISOMITTED(_xlpm.Allow_Intercept),TRUE,_xlpm.Allow_Intercept),_xlpm.filt_arg,IF(_xlfn.ISOMITTED(_xlpm.Include),TRUE,_xlpm.Include),INDEX(LINEST(_xlfn._xlws.FILTER(_xlpm.Y,_xlpm.filt_arg),_xlfn._xlws.FILTER(_xlpm.X_s,_xlpm.filt_arg),_xlpm.allow_arg,TRUE),3,1)))</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ChartActY" comment="Actual vs. Predicted chart: Y values (Actual Y)" localSheetId="4">OFFSET(Regression!$AL$2,1,0,MAX(IFERROR(Regression!$Y$8,1),1),1)</definedName>
    <definedName name="RegChartCookDist" comment="Cook's Distance chart: bar values" localSheetId="4">OFFSET(Regression!$AQ$2,1,0,MAX(IFERROR(Regression!$Y$8,1),1),1)</definedName>
    <definedName name="RegChartFitY" comment="Predicted Y: X values for the Residuals vs. Fitted, Actual vs. Predicted, and Scale-Location charts" localSheetId="4">OFFSET(Regression!$AM$2,1,0,MAX(IFERROR(Regression!$Y$8,1),1),1)</definedName>
    <definedName name="RegChartLeverage" comment="Studentized Residuals vs. Leverage chart: X values (Hat Diagonal)" localSheetId="4">OFFSET(Regression!$AO$2,1,0,MAX(IFERROR(Regression!$Y$8,1),1),1)</definedName>
    <definedName name="RegChartPRESSResid" comment="PRESS Residuals chart: bar values" localSheetId="4">OFFSET(Regression!$AU$2,1,0,MAX(IFERROR(Regression!$Y$8,1),1),1)</definedName>
    <definedName name="RegChartQQX" comment="Normal Q-Q chart: X values (theoretical quantiles, Normal Scores Ranked)" localSheetId="4">OFFSET(Regression!$AR$2,1,0,MAX(IFERROR(Regression!$Y$8,1),1),1)</definedName>
    <definedName name="RegChartQQY" comment="Normal Q-Q chart: Y values (Studentized Residuals Ranked)" localSheetId="4">OFFSET(Regression!$AS$2,1,0,MAX(IFERROR(Regression!$Y$8,1),1),1)</definedName>
    <definedName name="RegChartResid" comment="Residuals vs. Fitted chart: Y values (Residuals)" localSheetId="4">OFFSET(Regression!$AN$2,1,0,MAX(IFERROR(Regression!$Y$8,1),1),1)</definedName>
    <definedName name="RegChartScaleLoc" comment="Scale-Location chart: Y values (sqrt of abs Studentized Residual)" localSheetId="4">OFFSET(Regression!$AT$2,1,0,MAX(IFERROR(Regression!$Y$8,1),1),1)</definedName>
    <definedName name="RegChartStudResid" comment="Studentized Residuals vs. Leverage chart: Y values" localSheetId="4">OFFSET(Regression!$AP$2,1,0,MAX(IFERROR(Regression!$Y$8,1),1),1)</definedName>
    <definedName name="Regression_Degrees_Of_Freedom" comment="Degrees of freedom for regression = number of predictors k (= COLUMNS(X_s)). Used as the numerator df in the F-test.">_xlfn.LAMBDA(_xlpm.X_s,COLUMNS(_xlpm.X_s))</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s,_xlpm.Y,_xlop.Allow_Intercept,_xlop.Include,_xlop.DF_Absorbed,_xlfn.LET(_xlpm.allow_arg,IF(_xlfn.ISOMITTED(_xlpm.Allow_Intercept),TRUE,_xlpm.Allow_Intercept),_xlpm.filt_arg,IF(_xlfn.ISOMITTED(_xlpm.Include),TRUE,_xlpm.Include),_xlpm.absorbed_arg,IF(_xlfn.ISOMITTED(_xlpm.DF_Absorbed),0,_xlpm.DF_Absorbed),Total_Degrees_Of_Freedom(_xlpm.Y,_xlpm.allow_arg,_xlpm.filt_arg)-Regression_Degrees_Of_Freedom(_xlpm.X_s)-_xlpm.absorbed_arg))</definedName>
    <definedName name="Residuals" comment="Raw residuals = Y − ŷ for each filtered row. Starting point for all diagnostic plots.">_xlfn.LAMBDA(_xlpm.X_s,_xlpm.Y,_xlop.Allow_Intercept,_xlop.Include,_xlfn.LET(_xlpm.allow_arg,IF(_xlfn.ISOMITTED(_xlpm.Allow_Intercept),TRUE,_xlpm.Allow_Intercept),_xlpm.filt_arg,IF(_xlfn.ISOMITTED(_xlpm.Include),TRUE,_xlpm.Include),_xlfn._xlws.FILTER(_xlpm.Y,_xlpm.filt_arg)-Predictions(_xlpm.X_s,_xlpm.Y,_xlpm.allow_arg,_xlpm.filt_arg)))</definedName>
    <definedName name="Response_Column" localSheetId="4">_xlfn.LAMBDA(_xlfn.LET(_xlpm.n_c,COLUMNS(Regression!Source_Data),_xlpm.rl,_xlfn.TAKE(Regression!Spec_Role,_xlpm.n_c),_xlpm.trn,_xlfn.TAKE(Regression!Spec_Transform,_xlpm.n_c),_xlpm.p,_xlfn.XMATCH("Response (y)",_xlpm.rl),_xlpm.col,INDEX(Regression!Source_Data,0,_xlpm.p),IF(INDEX(_xlpm.trn,_xlpm.p)="Log",Ln_Positive(_xlpm.col,Regression!Sample_Include()),_xlpm.col)))</definedName>
    <definedName name="Row_Labels" localSheetId="4">_xlfn.LAMBDA(_xlfn.LET(_xlpm.n_c,COLUMNS(Regression!Source_Data),_xlpm.rl,_xlfn.TAKE(Regression!Spec_Role,_xlpm.n_c),_xlpm.ids,IFERROR(TRANSPOSE(_xlfn._xlws.FILTER(TRANSPOSE(Regression!Source_Data),_xlpm.rl="Identifier (Row Label)")),NA()),IF(SUM(--(_xlpm.rl="Identifier (Row Label)"))=0,"Obs. "&amp;_xlfn.SEQUENCE(ROWS(Regression!Source_Data)),_xlfn.BYROW(_xlpm.ids,_xlfn.LAMBDA(_xlpm.r,_xlfn.TEXTJOIN("|",FALSE,_xlpm.r))))))</definedName>
    <definedName name="Sample_Include" localSheetId="4">_xlfn.LAMBDA(_xlfn.LET(_xlpm.n_c,COLUMNS(Regression!Source_Data),_xlpm.rl,_xlfn.TAKE(Regression!Spec_Role,_xlpm.n_c),_xlpm.inc,_xlfn.TAKE(Regression!Spec_Include,_xlpm.n_c),_xlpm.typ,_xlfn.TAKE(Regression!Spec_Type,_xlpm.n_c),_xlpm.seed,_xlfn.SEQUENCE(ROWS(Regression!Source_Data),1,1,0),_xlpm.prod,_xlfn.REDUCE(_xlpm.seed,_xlfn.SEQUENCE(_xlpm.n_c),_xlfn.LAMBDA(_xlpm.acc,_xlpm.j,_xlfn.LET(_xlpm.col,INDEX(Regression!Source_Data,0,_xlpm.j),IF(INDEX(_xlpm.rl,_xlpm.j)="Filter",_xlpm.acc*--(IFERROR((_xlpm.col+0)=1,FALSE)),IF(OR(INDEX(_xlpm.rl,_xlpm.j)="Response (y)",AND(INDEX(_xlpm.rl,_xlpm.j)="Predictor (x)",INDEX(_xlpm.inc,_xlpm.j)=TRUE,INDEX(_xlpm.typ,_xlpm.j)="Continuous")),_xlpm.acc*N(ISNUMBER(_xlpm.col)),_xlpm.acc))))),_xlpm.prod=1))</definedName>
    <definedName name="Scaled_Residuals" comment="Residuals divided by SE_Regression. Not leverage-adjusted. Optional DF_Absorbed (default 0) corrects SE_Regression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Residuals(_xlpm.X_s,_xlpm.Y,_xlpm.allow_arg,_xlpm.filt_arg)/SE_Regression(_xlpm.X_s,_xlpm.Y,_xlpm.allow_arg,_xlpm.filt_arg,_xlpm.absorbed_arg)))</definedName>
    <definedName name="Scaled_Residuals_Ranked" comment="Scaled residuals sorted ascending. Paired with Normal_Scores for a standar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caled_Residuals(_xlpm.X_s,_xlpm.Y,_xlpm.allow_arg,_xlpm.filt_arg,_xlpm.absorbed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ls,LINEST(_xlfn._xlws.FILTER(_xlpm.Y,_xlpm.filt_arg),_xlfn._xlws.FILTER(_xlpm.X_s,_xlpm.filt_arg),_xlpm.allow_arg,TRUE),_xlpm.ses,INDEX(_xlpm.ls,2),_xlpm.k,COLUMNS(_xlpm.X_s),_xlpm.naive_df,Residual_Degrees_Of_Freedom(_xlpm.X_s,_xlpm.Y,_xlpm.allow_arg,_xlpm.filt_arg),_xlpm.true_df,_xlpm.naive_df-_xlpm.absorbed_arg,_xlpm.scale,SQRT(_xlpm.naive_df/_xlpm.true_df),TRANSPOSE(IF(_xlpm.allow_arg,_xlfn.HSTACK(INDEX(_xlpm.ses,1,_xlpm.k+1),_xlfn.CHOOSECOLS(_xlpm.ses,_xlfn.SEQUENCE(1,_xlpm.k,_xlpm.k,-1))),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SQRT(SS_Residual(_xlpm.X_s,_xlpm.Y,_xlpm.allow_arg,_xlpm.filt_arg)/Residual_Degrees_Of_Freedom(_xlpm.X_s,_xlpm.Y,_xlpm.allow_arg,_xlpm.filt_arg,_xlpm.absorbed_arg))))</definedName>
    <definedName name="Sequence_Column" localSheetId="4">_xlfn.LAMBDA(_xlfn.LET(_xlpm.n_c,COLUMNS(Regression!Source_Data),INDEX(Regression!Source_Data,0,_xlfn.XMATCH(TRUE,_xlfn.TAKE(Regression!Spec_Sequence,_xlpm.n_c),0))))</definedName>
    <definedName name="Sequence_Delta_Spectrum" localSheetId="4">_xlfn.LAMBDA(_xlfn.LET(_xlpm.d,Regression!Sequence_Deltas(),_xlpm.u,_xlfn._xlws.SORT(_xlfn.UNIQUE(_xlpm.d)),IF(COUNT(_xlpm.d)=0,NA(),_xlfn.HSTACK(_xlpm.u,_xlfn.BYROW(_xlpm.u,_xlfn.LAMBDA(_xlpm.v,SUM(--(_xlpm.d=_xlpm.v))))))))</definedName>
    <definedName name="Sequence_Deltas" localSheetId="4">_xlfn.LAMBDA(_xlfn.LET(_xlpm.n_c,COLUMNS(Regression!Source_Data),_xlpm.s_pos,_xlfn.XMATCH(TRUE,_xlfn.TAKE(Regression!Spec_Sequence,_xlpm.n_c),0),_xlpm.t_raw,INDEX(Regression!Source_Data,0,_xlpm.s_pos),_xlpm.t_v,IF(_xlpm.t_raw="","",_xlpm.t_raw),_xlpm.rl,_xlfn.TAKE(Regression!Spec_Role,_xlpm.n_c),_xlpm.id_mask,(_xlpm.rl="Identifier (Row Label)")*(_xlfn.SEQUENCE(_xlpm.n_c)&lt;&gt;_xlpm.s_pos),_xlpm.g_v,IF(SUM(_xlpm.id_mask)=0,_xlfn.EXPAND("(all)",ROWS(_xlpm.t_v),1,"(all)"),_xlfn.BYROW(_xlfn.CHOOSECOLS(Regression!Source_Data,_xlfn.TOROW(_xlfn._xlws.FILTER(_xlfn.SEQUENCE(_xlpm.n_c),_xlpm.id_mask))),_xlfn.LAMBDA(_xlpm.r,_xlfn.TEXTJOIN(CHAR(31),FALSE,IF(_xlpm.r="","",_xlpm.r))))),_xlpm.ok,ISNUMBER(_xlpm.t_v)*(SUBSTITUTE(_xlpm.g_v,CHAR(31),"")&lt;&gt;""),_xlpm.g_f,_xlfn._xlws.FILTER(_xlpm.g_v,_xlpm.ok,NA()),_xlpm.t_f,_xlfn._xlws.FILTER(_xlpm.t_v,_xlpm.ok,NA()),_xlpm.g_s,_xlfn.SORTBY(_xlpm.g_f,_xlpm.g_f,1,_xlpm.t_f,1),_xlpm.t_s,_xlfn.SORTBY(_xlpm.t_f,_xlpm.g_f,1,_xlpm.t_f,1),_xlpm.d,_xlfn.DROP(_xlpm.t_s,1)-_xlfn.DROP(_xlpm.t_s,-1),_xlpm.same,_xlfn.DROP(_xlpm.g_s,1)=_xlfn.DROP(_xlpm.g_s,-1),IFERROR(_xlfn._xlws.FILTER(_xlpm.d,_xlpm.same*(_xlpm.d&gt;0),NA()),NA())))</definedName>
    <definedName name="Serial_Correlation_Group" localSheetId="4">_xlfn.LAMBDA(_xlfn.LET(_xlpm.roles,_xlfn.TAKE(Regression!Spec_Role,COLUMNS(Regression!Source_Data)),_xlpm.key,_xlfn.IFS(SUMPRODUCT(N(_xlpm.roles="Fixed Effects"))&gt;0,"Fixed Effects",SUMPRODUCT(N(_xlpm.roles="Cluster"))&gt;0,"Cluster",TRUE,"none"),_xlfn.SWITCH(_xlpm.key,"Fixed Effects",Regression!Fixed_Effects_Column(),"Cluster","n/a — Cluster grouping RESERVED — v2.6+","none")))</definedName>
    <definedName name="Skewness" comment="Sample skewness per X_s column after filtering. 0 = symmetric; &gt; 1 = long right tail; &lt; −1 = long left tail.">_xlfn.LAMBDA(_xlpm.X_s,_xlop.Include,_xlfn.LET(_xlpm.filt_arg,IF(_xlfn.ISOMITTED(_xlpm.Include),TRUE,_xlpm.Include),_xlpm.xf,_xlfn._xlws.FILTER(_xlpm.X_s,_xlpm.filt_arg),_xlfn.MAKEARRAY(COLUMNS(_xlpm.X_s),1,_xlfn.LAMBDA(_xlpm.r,_xlpm.c,SKEW(_xlfn.CHOOSECOLS(_xlpm.xf,_xlpm.r))))))</definedName>
    <definedName name="Source_Data" localSheetId="4">_xlfn.DROP(Regression!Source_Table,1)</definedName>
    <definedName name="Source_Table" localSheetId="4">#REF!</definedName>
    <definedName name="Spearman_R" comment="Rank (Spearman) correlations between each X_s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pec_Base_Period_Delta" localSheetId="4">Regression!$I$4:$I$15989</definedName>
    <definedName name="Spec_Include" localSheetId="4">#REF!</definedName>
    <definedName name="Spec_Order" localSheetId="4">#REF!</definedName>
    <definedName name="Spec_Period_In_Use" localSheetId="4">#REF!</definedName>
    <definedName name="Spec_Reference" localSheetId="4">#REF!</definedName>
    <definedName name="Spec_Role" localSheetId="4">#REF!</definedName>
    <definedName name="Spec_Sequence" localSheetId="4">#REF!</definedName>
    <definedName name="Spec_Sequence_Period" localSheetId="4">#REF!</definedName>
    <definedName name="Spec_Transform" localSheetId="4">#REF!</definedName>
    <definedName name="Spec_Type" localSheetId="4">#REF!</definedName>
    <definedName name="SS_Regression" comment="Explained variation in Y = SS_Total × R². Grows as model fit improves.">_xlfn.LAMBDA(_xlpm.X_s,_xlpm.Y,_xlop.Allow_Intercept,_xlop.Include,_xlfn.LET(_xlpm.allow_arg,IF(_xlfn.ISOMITTED(_xlpm.Allow_Intercept),TRUE,_xlpm.Allow_Intercept),_xlpm.filt_arg,IF(_xlfn.ISOMITTED(_xlpm.Include),TRUE,_xlpm.Include),SS_Total(_xlpm.Y,_xlpm.allow_arg,_xlpm.filt_arg)*R_Squared(_xlpm.X_s,_xlpm.Y,_xlpm.allow_arg,_xlpm.filt_arg)))</definedName>
    <definedName name="SS_Residual" comment="Unexplained variation in Y = SS_Total × (1 − R²). Shrinks as model fit improves.">_xlfn.LAMBDA(_xlpm.X_s,_xlpm.Y,_xlop.Allow_Intercept,_xlop.Include,_xlfn.LET(_xlpm.allow_arg,IF(_xlfn.ISOMITTED(_xlpm.Allow_Intercept),TRUE,_xlpm.Allow_Intercept),_xlpm.filt_arg,IF(_xlfn.ISOMITTED(_xlpm.Include),TRUE,_xlpm.Include),SS_Total(_xlpm.Y,_xlpm.allow_arg,_xlpm.filt_arg)*(1-R_Squared(_xlpm.X_s,_xlpm.Y,_xlpm.allow_arg,_xlpm.filt_arg))))</definedName>
    <definedName name="SS_Total" comment="Total variation in Y before fitting (DEVSQ(Y) with intercept, SUMSQ(Y) without). Denominator of the R² formula.">_xlfn.LAMBDA(_xlpm.Y,_xlop.Allow_Intercept,_xlop.Include,_xlfn.LET(_xlpm.allow_arg,IF(_xlfn.ISOMITTED(_xlpm.Allow_Intercept),TRUE,_xlpm.Allow_Intercept),_xlpm.filt_arg,IF(_xlfn.ISOMITTED(_xlpm.Include),TRUE,_xlpm.Include),_xlpm.y_filt,_xlfn._xlws.FILTER(_xlpm.Y,_xlpm.filt_arg),IF(_xlpm.allow_arg,DEVSQ(_xlpm.y_filt),SUMSQ(_xlpm.y_filt))))</definedName>
    <definedName name="Studentized_Residuals" comment="Internally studentized residuals rᵢ = eᵢ / (s√(1−hᵢ)). Values beyond ±2 flag outliers; ±3 are probable outliers. #N/A when s = 0 or hᵢ = 1. Optional DF_Absorbed (default 0) corrects 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pm.e,Residuals(_xlpm.X_s,_xlpm.Y,_xlpm.allow_arg,_xlpm.filt_arg),_xlpm.se,SE_Regression(_xlpm.X_s,_xlpm.Y,_xlpm.allow_arg,_xlpm.filt_arg,_xlpm.absorbed_arg),_xlpm.h,Hat_Diagonal(_xlpm.X_s,_xlpm.allow_arg,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_xlfn._xlws.SORT(Studentized_Residuals(_xlpm.X_s,_xlpm.Y,_xlpm.allow_arg,_xlpm.filt_arg,_xlpm.absorbed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s,_xlpm.Y,_xlop.Allow_Intercept,_xlop.Include,_xlop.DF_Absorbed,_xlfn.LET(_xlpm.allow_arg,IF(_xlfn.ISOMITTED(_xlpm.Allow_Intercept),TRUE,_xlpm.Allow_Intercept),_xlpm.filt_arg,IF(_xlfn.ISOMITTED(_xlpm.Include),TRUE,_xlpm.Include),_xlpm.absorbed_arg,IF(_xlfn.ISOMITTED(_xlpm.DF_Absorbed),0,_xlpm.DF_Absorbed),Coefficients(_xlpm.X_s,_xlpm.Y,_xlpm.allow_arg,_xlpm.filt_arg)/SE_Coefficients(_xlpm.X_s,_xlpm.Y,_xlpm.allow_arg,_xlpm.filt_arg,_xlpm.absorbed_arg)))</definedName>
    <definedName name="T_Stats" comment="t-statistics = Coefficients / SE_Coefficients. Measures each coefficient in standard-error units. Same order as Coefficients.">_xlfn.LAMBDA(_xlpm.X_s,_xlpm.Y,_xlop.Allow_Intercept,_xlop.Include,_xlfn.LET(_xlpm.allow_arg,IF(_xlfn.ISOMITTED(_xlpm.Allow_Intercept),TRUE,_xlpm.Allow_Intercept),_xlpm.filt_arg,IF(_xlfn.ISOMITTED(_xlpm.Include),TRUE,_xlpm.Include),Coefficients(_xlpm.X_s,_xlpm.Y,_xlpm.allow_arg,_xlpm.filt_arg)/SE_Coefficients(_xlpm.X_s,_xlpm.Y,_xlpm.allow_arg,_xlpm.filt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_xlfn.LAMBDA(_xlpm.X_s,_xlop.Allow_Intercept,_xlop.Include,1/VIF(_xlpm.X_s,_xlpm.Allow_Intercept,_xlpm.Include))</definedName>
    <definedName name="Total_Degrees_Of_Freedom" comment="Total degrees of freedom = n − 1 with intercept or n without. Partitions into Regression_Degrees_Of_Freedom + Residual_Degrees_Of_Freedom.">_xlfn.LAMBDA(_xlpm.Y,_xlop.Allow_Intercept,_xlop.Include,_xlfn.LET(_xlpm.allow_arg,IF(_xlfn.ISOMITTED(_xlpm.Allow_Intercept),TRUE,_xlpm.Allow_Intercept),_xlpm.filt_arg,IF(_xlfn.ISOMITTED(_xlpm.Include),TRUE,_xlpm.Include),_xlpm.n,Observations(_xlpm.Y,_xlpm.filt_arg),IF(_xlpm.allow_arg,_xlpm.n-1,_xlpm.n)))</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FD_Beta_Expected" comment="Freedman-Diaconis Method histogram chart: Beta overlay line (expected counts = bin probability × n)">OFFSET(#REF!,1,0,MAX(IFERROR(Number_Of_Histogram_Bins([0]!UV_Data,#REF!,[0]!UV_Include),1),1),1)*#REF!</definedName>
    <definedName name="UV_FD_BetaPERT_Expected" comment="Freedman-Diaconis Method histogram chart: BetaPERT overlay line (expected counts = bin probability × n)">OFFSET(#REF!,1,0,MAX(IFERROR(Number_Of_Histogram_Bins([0]!UV_Data,#REF!,[0]!UV_Include),1),1),1)*#REF!</definedName>
    <definedName name="UV_FD_Counts" comment="Freedman-Diaconis Method histogram chart: bar values (bin counts)">OFFSET(#REF!,1,0,MAX(IFERROR(Number_Of_Histogram_Bins([0]!UV_Data,#REF!,[0]!UV_Include),1),1),1)</definedName>
    <definedName name="UV_FD_Edges">OFFSET(#REF!,1,0,MAX(IFERROR(num_histogram_bins([0]!UV_Data,#REF!,[0]!UV_Include),1),1),1)</definedName>
    <definedName name="UV_FD_Exponential_Expected" comment="Freedman-Diaconis Method histogram chart: Exponential overlay line (expected counts = bin probability × n)">OFFSET(#REF!,1,0,MAX(IFERROR(Number_Of_Histogram_Bins([0]!UV_Data,#REF!,[0]!UV_Include),1),1),1)*#REF!</definedName>
    <definedName name="UV_FD_Gamma_Expected" comment="Freedman-Diaconis Method histogram chart: Gamma overlay line (expected counts = bin probability × n)">OFFSET(#REF!,1,0,MAX(IFERROR(Number_Of_Histogram_Bins([0]!UV_Data,#REF!,[0]!UV_Include),1),1),1)*#REF!</definedName>
    <definedName name="UV_FD_Lognormal_Expected" comment="Freedman-Diaconis Method histogram chart: Lognormal overlay line (expected counts = bin probability × n)">OFFSET(#REF!,1,0,MAX(IFERROR(Number_Of_Histogram_Bins([0]!UV_Data,#REF!,[0]!UV_Include),1),1),1)*#REF!</definedName>
    <definedName name="UV_FD_Normal_Expected" comment="Freedman-Diaconis Method histogram chart: Normal overlay line (expected counts = bin probability × n)">OFFSET(#REF!,1,0,MAX(IFERROR(Number_Of_Histogram_Bins([0]!UV_Data,#REF!,[0]!UV_Include),1),1),1)*#REF!</definedName>
    <definedName name="UV_FD_Triangular_Expected" comment="Freedman-Diaconis Method histogram chart: Triangular overlay line (expected counts = bin probability × n)">OFFSET(#REF!,1,0,MAX(IFERROR(Number_Of_Histogram_Bins([0]!UV_Data,#REF!,[0]!UV_Include),1),1),1)*#REF!</definedName>
    <definedName name="UV_FD_Upper_Edges" comment="Freedman-Diaconis Method histogram chart: category (X) axis bin edges">OFFSET(#REF!,1,0,MAX(IFERROR(Number_Of_Histogram_Bins([0]!UV_Data,#REF!,[0]!UV_Include),1),1),1)</definedName>
    <definedName name="UV_FD_Weibull_Expected" comment="Freedman-Diaconis Method histogram chart: Weibull overlay line (expected counts = bin probability × n)">OFFSET(#REF!,1,0,MAX(IFERROR(Number_Of_Histogram_Bins([0]!UV_Data,#REF!,[0]!UV_Include),1),1),1)*#REF!</definedName>
    <definedName name="UV_QQ_Beta" comment="Beta Q-Q plot: theoretical quantiles (X axis)">OFFSET(#REF!,1,0,MAX(IFERROR(#REF!,1),1),1)</definedName>
    <definedName name="UV_QQ_BetaPERT" comment="BetaPERT Q-Q plot: theoretical quantiles (X axis)">OFFSET(#REF!,1,0,MAX(IFERROR(#REF!,1),1),1)</definedName>
    <definedName name="UV_QQ_Exponential" comment="Exponential Q-Q plot: theoretical quantiles (X axis)">OFFSET(#REF!,1,0,MAX(IFERROR(#REF!,1),1),1)</definedName>
    <definedName name="UV_QQ_Gamma" comment="Gamma Q-Q plot: theoretical quantiles (X axis)">OFFSET(#REF!,1,0,MAX(IFERROR(#REF!,1),1),1)</definedName>
    <definedName name="UV_QQ_Lognormal" comment="Lognormal Q-Q plot: theoretical quantiles (X axis)">OFFSET(#REF!,1,0,MAX(IFERROR(#REF!,1),1),1)</definedName>
    <definedName name="UV_QQ_Normal" comment="Normal Q-Q plot: theoretical quantiles (X axis)">OFFSET(#REF!,1,0,MAX(IFERROR(#REF!,1),1),1)</definedName>
    <definedName name="UV_QQ_Sample" comment="Q-Q plots: sorted sample values (Y axis, shared by all eight charts)">OFFSET(#REF!,1,0,MAX(IFERROR(#REF!,1),1),1)</definedName>
    <definedName name="UV_QQ_Triangular" comment="Triangular Q-Q plot: theoretical quantiles (X axis)">OFFSET(#REF!,1,0,MAX(IFERROR(#REF!,1),1),1)</definedName>
    <definedName name="UV_QQ_Weibull" comment="Weibull Q-Q plot: theoretical quantiles (X axis)">OFFSET(#REF!,1,0,MAX(IFERROR(#REF!,1),1),1)</definedName>
    <definedName name="UV_Scott_Beta_Expected" comment="Scott Method histogram chart: Beta overlay line (expected counts = bin probability × n)">OFFSET(#REF!,1,0,MAX(IFERROR(Number_Of_Histogram_Bins([0]!UV_Data,#REF!,[0]!UV_Include),1),1),1)*#REF!</definedName>
    <definedName name="UV_Scott_BetaPERT_Expected" comment="Scott Method histogram chart: BetaPERT overlay line (expected counts = bin probability × n)">OFFSET(#REF!,1,0,MAX(IFERROR(Number_Of_Histogram_Bins([0]!UV_Data,#REF!,[0]!UV_Include),1),1),1)*#REF!</definedName>
    <definedName name="UV_Scott_Counts" comment="Scott Method histogram chart: bar values (bin counts)">OFFSET(#REF!,1,0,MAX(IFERROR(Number_Of_Histogram_Bins([0]!UV_Data,#REF!,[0]!UV_Include),1),1),1)</definedName>
    <definedName name="UV_Scott_Edges">OFFSET(#REF!,1,0,MAX(IFERROR(num_histogram_bins([0]!UV_Data,#REF!,[0]!UV_Include),1),1),1)</definedName>
    <definedName name="UV_Scott_Exponential_Expected" comment="Scott Method histogram chart: Exponential overlay line (expected counts = bin probability × n)">OFFSET(#REF!,1,0,MAX(IFERROR(Number_Of_Histogram_Bins([0]!UV_Data,#REF!,[0]!UV_Include),1),1),1)*#REF!</definedName>
    <definedName name="UV_Scott_Gamma_Expected" comment="Scott Method histogram chart: Gamma overlay line (expected counts = bin probability × n)">OFFSET(#REF!,1,0,MAX(IFERROR(Number_Of_Histogram_Bins([0]!UV_Data,#REF!,[0]!UV_Include),1),1),1)*#REF!</definedName>
    <definedName name="UV_Scott_Lognormal_Expected" comment="Scott Method histogram chart: Lognormal overlay line (expected counts = bin probability × n)">OFFSET(#REF!,1,0,MAX(IFERROR(Number_Of_Histogram_Bins([0]!UV_Data,#REF!,[0]!UV_Include),1),1),1)*#REF!</definedName>
    <definedName name="UV_Scott_Normal_Expected" comment="Scott Method histogram chart: Normal overlay line (expected counts = bin probability × n)">OFFSET(#REF!,1,0,MAX(IFERROR(Number_Of_Histogram_Bins([0]!UV_Data,#REF!,[0]!UV_Include),1),1),1)*#REF!</definedName>
    <definedName name="UV_Scott_Triangular_Expected" comment="Scott Method histogram chart: Triangular overlay line (expected counts = bin probability × n)">OFFSET(#REF!,1,0,MAX(IFERROR(Number_Of_Histogram_Bins([0]!UV_Data,#REF!,[0]!UV_Include),1),1),1)*#REF!</definedName>
    <definedName name="UV_Scott_Upper_Edges" comment="Scott Method histogram chart: category (X) axis bin edges">OFFSET(#REF!,1,0,MAX(IFERROR(Number_Of_Histogram_Bins([0]!UV_Data,#REF!,[0]!UV_Include),1),1),1)</definedName>
    <definedName name="UV_Scott_Weibull_Expected" comment="Scott Method histogram chart: Weibull overlay line (expected counts = bin probability × n)">OFFSET(#REF!,1,0,MAX(IFERROR(Number_Of_Histogram_Bins([0]!UV_Data,#REF!,[0]!UV_Include),1),1),1)*#REF!</definedName>
    <definedName name="UV_Sturges_Beta_Expected" comment="Sturges Method histogram chart: Beta overlay line (expected counts = bin probability × n)">OFFSET(#REF!,1,0,MAX(IFERROR(Number_Of_Histogram_Bins([0]!UV_Data,#REF!,[0]!UV_Include),1),1),1)*#REF!</definedName>
    <definedName name="UV_Sturges_BetaPERT_Expected" comment="Sturges Method histogram chart: BetaPERT overlay line (expected counts = bin probability × n)">OFFSET(#REF!,1,0,MAX(IFERROR(Number_Of_Histogram_Bins([0]!UV_Data,#REF!,[0]!UV_Include),1),1),1)*#REF!</definedName>
    <definedName name="UV_Sturges_Counts" comment="Sturges Method histogram chart: bar values (bin counts)">OFFSET(#REF!,1,0,MAX(IFERROR(Number_Of_Histogram_Bins([0]!UV_Data,#REF!,[0]!UV_Include),1),1),1)</definedName>
    <definedName name="UV_Sturges_Edges">OFFSET(#REF!,1,0,MAX(IFERROR(num_histogram_bins([0]!UV_Data,#REF!,[0]!UV_Include),1),1),1)</definedName>
    <definedName name="UV_Sturges_Exponential_Expected" comment="Sturges Method histogram chart: Exponential overlay line (expected counts = bin probability × n)">OFFSET(#REF!,1,0,MAX(IFERROR(Number_Of_Histogram_Bins([0]!UV_Data,#REF!,[0]!UV_Include),1),1),1)*#REF!</definedName>
    <definedName name="UV_Sturges_Gamma_Expected" comment="Sturges Method histogram chart: Gamma overlay line (expected counts = bin probability × n)">OFFSET(#REF!,1,0,MAX(IFERROR(Number_Of_Histogram_Bins([0]!UV_Data,#REF!,[0]!UV_Include),1),1),1)*#REF!</definedName>
    <definedName name="UV_Sturges_Lognormal_Expected" comment="Sturges Method histogram chart: Lognormal overlay line (expected counts = bin probability × n)">OFFSET(#REF!,1,0,MAX(IFERROR(Number_Of_Histogram_Bins([0]!UV_Data,#REF!,[0]!UV_Include),1),1),1)*#REF!</definedName>
    <definedName name="UV_Sturges_Normal_Expected" comment="Sturges Method histogram chart: Normal overlay line (expected counts = bin probability × n)">OFFSET(#REF!,1,0,MAX(IFERROR(Number_Of_Histogram_Bins([0]!UV_Data,#REF!,[0]!UV_Include),1),1),1)*#REF!</definedName>
    <definedName name="UV_Sturges_Triangular_Expected" comment="Sturges Method histogram chart: Triangular overlay line (expected counts = bin probability × n)">OFFSET(#REF!,1,0,MAX(IFERROR(Number_Of_Histogram_Bins([0]!UV_Data,#REF!,[0]!UV_Include),1),1),1)*#REF!</definedName>
    <definedName name="UV_Sturges_Upper_Edges" comment="Sturges Method histogram chart: category (X) axis bin edges">OFFSET(#REF!,1,0,MAX(IFERROR(Number_Of_Histogram_Bins([0]!UV_Data,#REF!,[0]!UV_Include),1),1),1)</definedName>
    <definedName name="UV_Sturges_Weibull_Expected" comment="Sturges Method histogram chart: Weibull overlay line (expected counts = bin probability × n)">OFFSET(#REF!,1,0,MAX(IFERROR(Number_Of_Histogram_Bins([0]!UV_Data,#REF!,[0]!UV_Include),1),1),1)*#REF!</definedName>
    <definedName name="VIF" comment="Variance Inflation Factor per predictor = 1/(1−R²ⱼ). VIF = 1: no collinearity. VIF &gt; 5: review. VIF &gt; 10: problem.">_xlfn.LAMBDA(_xlpm.X_s,_xlop.Allow_Intercept,_xlop.Include,_xlfn.LET(_xlpm.filt_arg,IF(_xlfn.ISOMITTED(_xlpm.Include),TRUE,_xlpm.Include),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4">_xlfn.LAMBDA(_xlfn.LET(_xlpm.n_c,COLUMNS(Regression!Source_Data),_xlpm.rl,_xlfn.TAKE(Regression!Spec_Role,_xlpm.n_c),_xlpm.inc,_xlfn.TAKE(Regression!Spec_Include,_xlpm.n_c),_xlpm.typ,_xlfn.TAKE(Regression!Spec_Type,_xlpm.n_c),_xlpm.refs,_xlfn.TAKE(Regression!Spec_Reference,_xlpm.n_c),_xlpm.trn,_xlfn.TAKE(Regression!Spec_Transform,_xlpm.n_c),_xlpm.seed,_xlfn.SEQUENCE(ROWS(Regression!Source_Data),1,0,0),_xlpm.built,_xlfn.REDUCE(_xlpm.seed,_xlfn.SEQUENCE(_xlpm.n_c),_xlfn.LAMBDA(_xlpm.acc,_xlpm.j,IF(OR(INDEX(_xlpm.rl,_xlpm.j)&lt;&gt;"Predictor (x)",INDEX(_xlpm.inc,_xlpm.j)&lt;&gt;TRUE),_xlpm.acc,_xlfn.LET(_xlpm.col,INDEX(Regression!Source_Data,0,_xlpm.j),IF(INDEX(_xlpm.typ,_xlpm.j)&lt;&gt;"Categorical",_xlfn.HSTACK(_xlpm.acc,IF(INDEX(_xlpm.trn,_xlpm.j)="Log",Ln_Positive(_xlpm.col,Regression!Sample_Include()),_xlpm.col)),_xlfn.LET(_xlpm.d,INDEX(_xlpm.refs,_xlpm.j),_xlpm.r,IF(LEN(_xlpm.d&amp;"")=0,"",_xlpm.d),_xlpm.lv,Dummy_Levels(_xlpm.col,_xlpm.r,Regression!Sample_Include()),IF(ISNA(INDEX(_xlpm.lv,1,1)),_xlpm.acc,_xlfn.HSTACK(_xlpm.acc,--(_xlpm.col=_xlpm.lv))))))))),_xlfn.DROP(_xlpm.built,,1)))</definedName>
    <definedName name="X_s_Within" localSheetId="4">_xlfn.LAMBDA(_xlfn.LET(_xlpm.n_c,COLUMNS(Regression!Source_Data),_xlpm.fe_active,SUMPRODUCT(N(_xlfn.TAKE(Regression!Spec_Role,_xlpm.n_c)="Fixed Effects"))&gt;0,IF(NOT(_xlpm.fe_active),Regression!X_s(),_xlfn.LET(_xlpm.fe,Regression!Fixed_Effects_Column(),_xlpm.inc,Regression!Sample_Include(),_xlpm.xs,Regression!X_s(),_xlpm.n_x,COLUMNS(_xlpm.xs),_xlpm.seed,_xlfn.SEQUENCE(ROWS(_xlpm.xs),1,0,0),_xlpm.built,_xlfn.REDUCE(_xlpm.seed,_xlfn.SEQUENCE(_xlpm.n_x),_xlfn.LAMBDA(_xlpm.acc,_xlpm.j,_xlfn.HSTACK(_xlpm.acc,Demean_By(INDEX(_xlpm.xs,0,_xlpm.j),_xlpm.fe,_xlpm.inc)))),_xlfn.DROP(_xlpm.built,,1)))))</definedName>
    <definedName name="Y_Ranked" comment="Filtered Y values sorted from low to high. Paired with Normal_Scores to build a Y-variable Q-Q plot.">_xlfn.LAMBDA(_xlpm.Y,_xlop.Include,_xlfn._xlws.SORT(_xlfn._xlws.FILTER(_xlpm.Y,IF(_xlfn.ISOMITTED(_xlpm.Include),TRUE,_xlpm.Include))))</definedName>
    <definedName name="y_s" localSheetId="4">_xlfn.LAMBDA(_xlfn.LET(_xlpm.n_c,COLUMNS(Regression!Source_Data),_xlpm.fe_active,SUMPRODUCT(N(_xlfn.TAKE(Regression!Spec_Role,_xlpm.n_c)="Fixed Effects"))&gt;0,IF(NOT(_xlpm.fe_active),Regression!Response_Column(),Demean_By(Regression!Response_Column(),Regression!Fixed_Effects_Column(),Regression!Sample_Include()))))</definedName>
    <definedName name="Zero_Predictors_Selected" localSheetId="4">_xlfn.LAMBDA(IFERROR(COLUMNS(Regression!X_s()),0)=0)</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L10" i="7" l="1"/>
  <c r="K10" i="7"/>
  <c r="J10" i="7"/>
  <c r="L9" i="7"/>
  <c r="K9" i="7"/>
  <c r="J9" i="7"/>
  <c r="L8" i="7"/>
  <c r="K8" i="7"/>
  <c r="J8" i="7"/>
  <c r="L7" i="7"/>
  <c r="K7" i="7"/>
  <c r="J7" i="7"/>
  <c r="L6" i="7"/>
  <c r="K6" i="7"/>
  <c r="J6" i="7"/>
  <c r="L5" i="7"/>
  <c r="K5" i="7"/>
  <c r="J5" i="7"/>
  <c r="L4" i="7"/>
  <c r="L11" i="7"/>
  <c r="L12" i="7"/>
  <c r="L13" i="7"/>
  <c r="L14" i="7"/>
  <c r="L15" i="7"/>
  <c r="K4" i="7"/>
  <c r="K11" i="7"/>
  <c r="K12" i="7"/>
  <c r="K13" i="7"/>
  <c r="K14" i="7"/>
  <c r="K15" i="7"/>
  <c r="J4" i="7"/>
  <c r="J11" i="7"/>
  <c r="J12" i="7"/>
  <c r="J13" i="7"/>
  <c r="J14" i="7"/>
  <c r="J15" i="7"/>
  <c r="A4" i="7" a="1"/>
  <c r="A4" i="7" s="1"/>
  <c r="K2"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L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<sst xmlns="http://schemas.openxmlformats.org/spreadsheetml/2006/main" count="8665" uniqueCount="1783">
  <si>
    <t>Function Name</t>
  </si>
  <si>
    <t>Definition</t>
  </si>
  <si>
    <t>Arguments</t>
  </si>
  <si>
    <t>Yields</t>
  </si>
  <si>
    <t>Plain-Language Summary</t>
  </si>
  <si>
    <t>Description</t>
  </si>
  <si>
    <t>Observations</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</si>
  <si>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</si>
  <si>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</si>
  <si>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</si>
  <si>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</si>
  <si>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</si>
  <si>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=LAMBDA(X_s,
  COLUMNS(X_s))</t>
  </si>
  <si>
    <t>X_s: column range of predictors (single or multi-column)</t>
  </si>
  <si>
    <t>df_regression (k, number of predictors) as a scalar integer</t>
  </si>
  <si>
    <t>How many predictor slots the model is trying to fit.</t>
  </si>
  <si>
    <t>df_regression is the number of degrees of freedom attributable to the regression model — equal to k, the number of predictor columns. The intercept term (if any) is not counted here; it is accounted for implicitly in df_total.
Returns COLUMNS(X_s). Include and Allow_Intercept do not affect this value.</t>
  </si>
  <si>
    <t>=LAMBDA(Y, [Allow_Intercept], [Include],
  LET(
    allow_arg, IF(ISOMITTED(Allow_Intercept), TRUE, Allow_Intercept),
    filt_arg,  IF(ISOMITTED(Include),          TRUE, Include),
    n,         Observations(Y, filt_arg),
    IF(allow_arg, n - 1, n)
  ))</t>
  </si>
  <si>
    <t>Y: single-column outcome range
[Allow_Intercept]: TRUE/FALSE — fit intercept? Default TRUE
[Include]: boolean array — TRUE includes the row, FALSE excludes it</t>
  </si>
  <si>
    <t>df_total (n-1 with intercept, n without) as a scalar integer</t>
  </si>
  <si>
    <t>The total amount of independent information in the outcome column.</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</si>
  <si>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</si>
  <si>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=LAMBDA(X_s, Y, [Allow_Intercept], [Include],
  LET(
    allow_arg, IF(ISOMITTED(Allow_Intercept), TRUE, Allow_Intercept),
    filt_arg,  IF(ISOMITTED(Include),          TRUE, Include),
    INDEX(LINEST(FILTER(Y, filt_arg), FILTER(X_s, filt_arg), allow_arg, TRUE), 3, 1)
  ))</t>
  </si>
  <si>
    <t>X_s: column range of predictors (single or multi-column)
Y: single-column outcome range
[Allow_Intercept]: TRUE/FALSE — fit intercept? Default TRUE
[Include]: boolean array — TRUE includes the row, FALSE excludes it</t>
  </si>
  <si>
    <t>R² (coefficient of determination) as a scalar in [0, 1]</t>
  </si>
  <si>
    <t>How much of the outcome's movement the model explains.</t>
  </si>
  <si>
    <t>Multiple_R</t>
  </si>
  <si>
    <t>Multiple R (correlation coefficient) as a scalar in [0, 1]</t>
  </si>
  <si>
    <t>How closely the model's predictions track the real outcome values.</t>
  </si>
  <si>
    <t>Adjusted R² as a scalar, typically in [0, 1] but can be negative</t>
  </si>
  <si>
    <t>R-squared adjusted so extra predictors do not get free credit.</t>
  </si>
  <si>
    <t>SS_Total</t>
  </si>
  <si>
    <t>=LAMBDA(Y, [Allow_Intercept], [Include],
  LET(
    allow_arg, IF(ISOMITTED(Allow_Intercept), TRUE, Allow_Intercept),
    filt_arg,  IF(ISOMITTED(Include),          TRUE, Include),
    y_filt, FILTER(Y, filt_arg),
    IF(allow_arg, DEVSQ(y_filt), SUMSQ(y_filt))
  ))</t>
  </si>
  <si>
    <t>SS_total (total sum of squares) as a scalar</t>
  </si>
  <si>
    <t>All of the variation in Y before the model explains any of it.</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</si>
  <si>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</si>
  <si>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</si>
  <si>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</si>
  <si>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</si>
  <si>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</si>
  <si>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</si>
  <si>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</si>
  <si>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</si>
  <si>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</si>
  <si>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</si>
  <si>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</si>
  <si>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</si>
  <si>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</si>
  <si>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</si>
  <si>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SE_Regression</t>
  </si>
  <si>
    <t>SE_regression (standard error of the regression) as a scalar</t>
  </si>
  <si>
    <t>The typical size of the model's prediction mistakes, in Y units.</t>
  </si>
  <si>
    <t>PRESS</t>
  </si>
  <si>
    <t>PRESS (Prediction Residual Error Sum of Squares) as a scalar</t>
  </si>
  <si>
    <t>How well the model predicts rows it did not get to train on.</t>
  </si>
  <si>
    <t>AIC</t>
  </si>
  <si>
    <t>Akaike Information Criterion (AIC) scalar</t>
  </si>
  <si>
    <t>A score for comparing models that rewards fit but penalizes extra complexity.</t>
  </si>
  <si>
    <t>BIC</t>
  </si>
  <si>
    <t>Bayesian Information Criterion (BIC) scalar</t>
  </si>
  <si>
    <t>A model-comparison score that penalizes extra complexity more strongly than AIC.</t>
  </si>
  <si>
    <t>AICc</t>
  </si>
  <si>
    <t>Corrected Akaike Information Criterion (AICc) scalar</t>
  </si>
  <si>
    <t>AIC with an extra small-sample penalty.</t>
  </si>
  <si>
    <t>Durbin_Watson</t>
  </si>
  <si>
    <t>=LAMBDA(X_s, Y, [Allow_Intercept], [Include],
  LET(
    allow_arg, IF(ISOMITTED(Allow_Intercept), TRUE, Allow_Intercept),
    filt_arg,  IF(ISOMITTED(Include),          TRUE, Include),
    e,         Residuals(X_s, Y, allow_arg, filt_arg),
    SUM((DROP(e, 1) - DROP(e, -1))^2) / SUM(e^2)
  ))</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</si>
  <si>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</si>
  <si>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</si>
  <si>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</si>
  <si>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</si>
  <si>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</si>
  <si>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</si>
  <si>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</si>
  <si>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</si>
  <si>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[Include],
  LET(
    allow_arg, IF(ISOMITTED(Allow_Intercept), TRUE, Allow_Intercept),
    filt_arg,  IF(ISOMITTED(Include),          TRUE, Include),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</si>
  <si>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</si>
  <si>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The fitted intercept and predictor weights used to make predictions.</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</si>
  <si>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</si>
  <si>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</si>
  <si>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vertical array of standard errors of the OLS coefficients — same order as Coefficients</t>
  </si>
  <si>
    <t>vertical array of t-statistics for each coefficient (coefficient / standard error)</t>
  </si>
  <si>
    <t>Each coefficient measured in standard-error units.</t>
  </si>
  <si>
    <t>P_Values</t>
  </si>
  <si>
    <t>vertical array of two-tailed p-values for each coefficient</t>
  </si>
  <si>
    <t>How surprising each coefficient would be if its true effect were zero.</t>
  </si>
  <si>
    <t>vertical array of lower confidence interval bounds for each coefficient</t>
  </si>
  <si>
    <t>The low end of the likely range for each coefficient.</t>
  </si>
  <si>
    <t>vertical array of upper confidence interval bounds for each coefficient</t>
  </si>
  <si>
    <t>The high end of the likely range for each coefficient.</t>
  </si>
  <si>
    <t>vertical array of partial R² values — same order as Coefficients (intercept first when included)</t>
  </si>
  <si>
    <t>How much unique explanatory value each predictor adds after controlling for the rest.</t>
  </si>
  <si>
    <t>Partial_Correlation</t>
  </si>
  <si>
    <t>vertical array of partial correlation coefficients — same order as Coefficients (intercept first when included)</t>
  </si>
  <si>
    <t>The predictor-outcome relationship left over after accounting for the other predictors.</t>
  </si>
  <si>
    <t>Beta_Weights</t>
  </si>
  <si>
    <t>=LAMBDA(X_s, Y, [Allow_Intercept], [Include],
  LET(
    allow_arg,  IF(ISOMITTED(Allow_Intercept), TRUE, Allow_Intercept),
    filt_arg,   IF(ISOMITTED(Include),          TRUE, Include),
    coefs,      Coefficients(X_s, Y, allow_arg, filt_arg),
    pred_coefs, IF(allow_arg, DROP(coefs, 1), coefs),
    sd_y,       STDEV(FILTER(Y, filt_arg)),
    k,          COLUMNS(X_s),
    sd_x,       MAKEARRAY(k, 1, LAMBDA(j, _, STDEV(FILTER(CHOOSECOLS(X_s, j), filt_arg)))),
    pred_coefs * sd_x / sd_y
  ))</t>
  </si>
  <si>
    <t>k×1 column vector of standardized coefficients (Beta weights), one per predictor — intercept row excluded</t>
  </si>
  <si>
    <t>Coefficients rescaled so predictors on different units can be compared fairly.</t>
  </si>
  <si>
    <t>Standardized (Beta) coefficient for predictor j = b_j × std(X_j) / std(Y). Expresses each coefficient in standard-deviation units, making predictors with different scales directly comparable in magnitude. Always returns k values (one per predictor); the intercept has no meaningful standardized counterpart and is excluded.
Computed as Coefficients × column-wise STDEV(X) / STDEV(Y), using filtered rows. Mirrors the output of VIF and Tolerance in returning k rows without an intercept entry.</t>
  </si>
  <si>
    <t>VIF</t>
  </si>
  <si>
    <t>X_s: column range of predictors (single or multi-column)
[Allow_Intercept]: TRUE/FALSE — included for interface consistency; VIF always fits intercept in auxiliary regressions
[Include]: boolean array — TRUE includes the row, FALSE excludes it</t>
  </si>
  <si>
    <t>k×1 column vector of VIF values, one per predictor (does not include an intercept row)</t>
  </si>
  <si>
    <t>How much overlap with other predictors is inflating each coefficient's instability.</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</si>
  <si>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</si>
  <si>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</si>
  <si>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[Include],
  1 / VIF(X_s, Allow_Intercept, Include)
)</t>
  </si>
  <si>
    <t>X_s: column range of predictors (single or multi-column)
[Allow_Intercept]: TRUE/FALSE — passed through to VIF; included for interface consistency
[Include]: boolean array — TRUE includes the row, FALSE excludes it</t>
  </si>
  <si>
    <t>k×1 column vector of Tolerance values (= 1/VIF), one per predictor</t>
  </si>
  <si>
    <t>How much unique information a predictor still has after overlap with the others.</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</si>
  <si>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</si>
  <si>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</si>
  <si>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6-element vertical array: [Point Estimate, SE Prediction, t Critical, Lower bound, Upper bound, Confidence Level]</t>
  </si>
  <si>
    <t>A predicted outcome plus the range a new real-world observation is likely to fall in.</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</si>
  <si>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</si>
  <si>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</si>
  <si>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</si>
  <si>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</si>
  <si>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</si>
  <si>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</si>
  <si>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</si>
  <si>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</si>
  <si>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</si>
  <si>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</si>
  <si>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</si>
  <si>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</si>
  <si>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</si>
  <si>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</si>
  <si>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</si>
  <si>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</si>
  <si>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</si>
  <si>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</si>
  <si>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</si>
  <si>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</si>
  <si>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</si>
  <si>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</si>
  <si>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</si>
  <si>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</si>
  <si>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=LAMBDA(X_s, [Allow_Intercept], [Include],
  LET(
    allow_arg, IF(ISOMITTED(Allow_Intercept), TRUE, Allow_Intercept),
    filt_arg,  IF(ISOMITTED(Include), TRUE, Include),
    x_filt,    FILTER(X_s, filt_arg),
    IF(
      allow_arg,
      HSTACK(SEQUENCE(ROWS(x_filt), , 1, 0), x_filt),
      x_filt
    )
  ))</t>
  </si>
  <si>
    <t>X_s: column range of predictors (single or multi-column)
[Allow_Intercept]: TRUE/FALSE — fit intercept? Default TRUE
[Include]: boolean array — TRUE includes the row, FALSE excludes it</t>
  </si>
  <si>
    <t>filtered numeric design matrix as spilled array</t>
  </si>
  <si>
    <t>The cleaned predictor matrix the regression actually fits.</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</si>
  <si>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</si>
  <si>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</si>
  <si>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</si>
  <si>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</si>
  <si>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</si>
  <si>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</si>
  <si>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Predictions</t>
  </si>
  <si>
    <t>=LAMBDA(X_s, Y, [Allow_Intercept], [Include],
  LET(
    allow_arg, IF(ISOMITTED(Allow_Intercept), TRUE, Allow_Intercept),
    filt_arg,  IF(ISOMITTED(Include), TRUE, Include),
    MMULT(
      Design_Matrix(X_s, allow_arg, filt_arg),
      Coefficients(X_s, Y, allow_arg, filt_arg)
    )
  ))</t>
  </si>
  <si>
    <t>fitted Y values as a spilled vector</t>
  </si>
  <si>
    <t>The model's fitted Y values for each row.</t>
  </si>
  <si>
    <t>Computes X_design * beta using MMULT.</t>
  </si>
  <si>
    <t>Residuals</t>
  </si>
  <si>
    <t>=LAMBDA(X_s, Y, [Allow_Intercept], [Include],
  LET(
    allow_arg, IF(ISOMITTED(Allow_Intercept), TRUE, Allow_Intercept),
    filt_arg,  IF(ISOMITTED(Include), TRUE, Include),
    FILTER(Y, filt_arg) - Predictions(X_s, Y, allow_arg, filt_arg)
  ))</t>
  </si>
  <si>
    <t>raw residuals as a spilled vector</t>
  </si>
  <si>
    <t>How far each actual Y value is above or below its fitted value.</t>
  </si>
  <si>
    <t>Residuals are Y - fitted Y.</t>
  </si>
  <si>
    <t>Scaled_Residuals</t>
  </si>
  <si>
    <t>residual divided by SE_Regression as a spilled vector</t>
  </si>
  <si>
    <t>Residuals converted to a common error scale.</t>
  </si>
  <si>
    <t>Residual divided by SE_Regression. This is not Excel Analysis ToolPak 'Standard Residuals' and is not leverage-adjusted/studentized.</t>
  </si>
  <si>
    <t>=LAMBDA(array,
  SEQUENCE(ROWS(array))
)</t>
  </si>
  <si>
    <t>array: any contiguous array (including one that has already been filtered)</t>
  </si>
  <si>
    <t>1..n column vector of relative row numbers</t>
  </si>
  <si>
    <t>Relative row numbers for the current spilled array.</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</si>
  <si>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</si>
  <si>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</si>
  <si>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</si>
  <si>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</si>
  <si>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</si>
  <si>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X_s: column range of predictors (single or multi-column)
Y: single-column outcome range
n: relative row index of the observation to predict (1-based within the filtered dataset; negative values count from the end)
[Allow_Intercept]: TRUE/FALSE — fit intercept? Default TRUE
[Include]: boolean array — TRUE includes the row, FALSE excludes it</t>
  </si>
  <si>
    <t>scalar LOO prediction for observation n — the fitted value from a model trained on all rows except n, evaluated at row n of X_s</t>
  </si>
  <si>
    <t>One leave-one-out prediction for the requested row.</t>
  </si>
  <si>
    <t>n-element spill vector of LOO predictions for every filtered observation</t>
  </si>
  <si>
    <t>Each row's prediction from a model refit without that row.</t>
  </si>
  <si>
    <t>=LAMBDA(X_s, [Allow_Intercept], [Include],
  LET(
    allow_arg, IF(ISOMITTED(Allow_Intercept), TRUE, Allow_Intercept),
    filt_arg,  IF(ISOMITTED(Include), TRUE, Include),
    X_design,  Design_Matrix(X_s, allow_arg, filt_arg),
    p,         COLUMNS(X_design),
    XtX_inv,   Gram_Inverse(X_design),
    Z,         MMULT(X_design, XtX_inv),
    MMULT(Z * X_design, SEQUENCE(p, 1, 1, 0))
  ))</t>
  </si>
  <si>
    <t>n-element hat-matrix diagonal (leverage values) as spilled vector</t>
  </si>
  <si>
    <t>Each row's leverage, meaning how unusual its predictor values are.</t>
  </si>
  <si>
    <t>Studentized_Residuals</t>
  </si>
  <si>
    <t>n-element vector of internally studentized residuals</t>
  </si>
  <si>
    <t>Residuals adjusted for both model error and leverage.</t>
  </si>
  <si>
    <t>Studentized_Residuals_Ranked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</si>
  <si>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</si>
  <si>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</si>
  <si>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</si>
  <si>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</si>
  <si>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</si>
  <si>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</si>
  <si>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</si>
  <si>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</si>
  <si>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sorted scaled residuals as spilled vector</t>
  </si>
  <si>
    <t>Scaled residuals sorted from smallest to largest.</t>
  </si>
  <si>
    <t>Sorted Scaled_Residuals, intended for plotting against Normal_Scores.</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</si>
  <si>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</si>
  <si>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</si>
  <si>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</si>
  <si>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</si>
  <si>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</si>
  <si>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=LAMBDA(X_s, [Y],
  LET(
    combined, IF(ISOMITTED(Y), X_s, HSTACK(X_s, Y)),
    MMULT((ISNUMBER(combined)) * 1, SEQUENCE(COLUMNS(combined), 1, 1, 0)) = COLUMNS(combined)
  )
)</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</si>
  <si>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</si>
  <si>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</si>
  <si>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</si>
  <si>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</si>
  <si>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</si>
  <si>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</si>
  <si>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</si>
  <si>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</si>
  <si>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</si>
  <si>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=LAMBDA(X_s, Y, [Include],
  LET(
    filt_arg, IF(ISOMITTED(Include), TRUE, Include),
    xf, FILTER(X_s, filt_arg),
    yf, FILTER(Y,   filt_arg),
    MAKEARRAY(COLUMNS(X_s), 1, LAMBDA(r, c, CORREL(CHOOSECOLS(xf, r), yf)))
  ))</t>
  </si>
  <si>
    <t>X_s: predictor column range (single or multi-column); returns one correlation per column
Y: single-column outcome range
[Include]: boolean array — TRUE includes the row, FALSE excludes it</t>
  </si>
  <si>
    <t>k×1 column vector of Pearson correlations between each predictor and Y</t>
  </si>
  <si>
    <t>The straight-line relationship between each predictor and the outcome.</t>
  </si>
  <si>
    <t>Pearson_R computes the linear (Pearson product-moment) correlation between each column of X_s and Y after applying the optional Include argument.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</si>
  <si>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</si>
  <si>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</si>
  <si>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</si>
  <si>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</si>
  <si>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</si>
  <si>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</si>
  <si>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</si>
  <si>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=LAMBDA(X_s, [Include],
  LET(
    filt_arg, IF(ISOMITTED(Include), TRUE, Include),
    xf, FILTER(X_s, filt_arg),
    MAKEARRAY(COLUMNS(X_s), 1, LAMBDA(r, c, SKEW(CHOOSECOLS(xf, r))))
  ))</t>
  </si>
  <si>
    <t>X_s: column range to summarize (single or multi-column); returns one value per column
[Include]: boolean array — TRUE includes the row, FALSE excludes it</t>
  </si>
  <si>
    <t>k×1 column vector of sample skewness values (one per column of X_s)</t>
  </si>
  <si>
    <t>Whether a variable has a longer tail on one side than the other.</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</si>
  <si>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</si>
  <si>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</si>
  <si>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[Include],
  LET(
    filt_arg, IF(ISOMITTED(Include), TRUE, Include),
    xf, FILTER(X_s, filt_arg),
    MAKEARRAY(COLUMNS(X_s), 1, LAMBDA(r, c, KURT(CHOOSECOLS(xf, r))))
  ))</t>
  </si>
  <si>
    <t>k×1 column vector of excess kurtosis values (one per column of X_s)</t>
  </si>
  <si>
    <t>Whether a variable has unusually heavy tails or outliers.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</si>
  <si>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</si>
  <si>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F-statistic for the overall regression model as a scalar</t>
  </si>
  <si>
    <t>Whether the model, taken as a whole, explains more than random noise would.</t>
  </si>
  <si>
    <t>p-value for the overall F-test (right-tail probability of the F distribution)</t>
  </si>
  <si>
    <t>How surprising the overall F-statistic would be if the model had no real signal.</t>
  </si>
  <si>
    <t>Correlation_Matrix</t>
  </si>
  <si>
    <t>=LAMBDA(X_s, [Include],
  LET(
    filt_arg, IF(ISOMITTED(Include), TRUE, Include),
    xf, FILTER(X_s, filt_arg),
    k,  COLUMNS(X_s),
    MAKEARRAY(k, k, LAMBDA(r, c, CORREL(CHOOSECOLS(xf, r), CHOOSECOLS(xf, c))))
  ))</t>
  </si>
  <si>
    <t>X_s: column range of variables (single or multi-column); returns a k×k symmetric matrix
[Include]: boolean array — TRUE includes the row, FALSE excludes it</t>
  </si>
  <si>
    <t>k×k symmetric matrix of pairwise Pearson correlations (diagonal = 1)</t>
  </si>
  <si>
    <t>The pairwise correlations among all predictor columns.</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</si>
  <si>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</si>
  <si>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</si>
  <si>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</si>
  <si>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</si>
  <si>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</si>
  <si>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</si>
  <si>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</si>
  <si>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</si>
  <si>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</si>
  <si>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</si>
  <si>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</si>
  <si>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</si>
  <si>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</si>
  <si>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</si>
  <si>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</si>
  <si>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</si>
  <si>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</si>
  <si>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</si>
  <si>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</si>
  <si>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</si>
  <si>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</si>
  <si>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</si>
  <si>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</si>
  <si>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</si>
  <si>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</si>
  <si>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</si>
  <si>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</si>
  <si>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</si>
  <si>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</si>
  <si>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Bin_Edges</t>
  </si>
  <si>
    <t>Bin_Counts</t>
  </si>
  <si>
    <t>How many data values fall into each histogram bin.</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</si>
  <si>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</si>
  <si>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</si>
  <si>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</si>
  <si>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</si>
  <si>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Grid_Search_Optimum</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</si>
  <si>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</si>
  <si>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</si>
  <si>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</si>
  <si>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</si>
  <si>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</si>
  <si>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</si>
  <si>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</si>
  <si>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</si>
  <si>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</si>
  <si>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</si>
  <si>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</si>
  <si>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</si>
  <si>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</si>
  <si>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</si>
  <si>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</si>
  <si>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</si>
  <si>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</si>
  <si>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</si>
  <si>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</si>
  <si>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</si>
  <si>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</si>
  <si>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</si>
  <si>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</si>
  <si>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</si>
  <si>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</si>
  <si>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</si>
  <si>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</si>
  <si>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</si>
  <si>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</si>
  <si>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</si>
  <si>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</si>
  <si>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</si>
  <si>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</si>
  <si>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</si>
  <si>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</si>
  <si>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</si>
  <si>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</si>
  <si>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</si>
  <si>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</si>
  <si>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</si>
  <si>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</si>
  <si>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</si>
  <si>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</si>
  <si>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</si>
  <si>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</si>
  <si>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</si>
  <si>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</si>
  <si>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</si>
  <si>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</si>
  <si>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</si>
  <si>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</si>
  <si>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</si>
  <si>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</si>
  <si>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</si>
  <si>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</si>
  <si>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</si>
  <si>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</si>
  <si>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</si>
  <si>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</si>
  <si>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</si>
  <si>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</si>
  <si>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</si>
  <si>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</si>
  <si>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</si>
  <si>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</si>
  <si>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</si>
  <si>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</si>
  <si>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</si>
  <si>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</si>
  <si>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</si>
  <si>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</si>
  <si>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</si>
  <si>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</si>
  <si>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</si>
  <si>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</si>
  <si>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</si>
  <si>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</si>
  <si>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</si>
  <si>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</si>
  <si>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</si>
  <si>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</si>
  <si>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</si>
  <si>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</si>
  <si>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</si>
  <si>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</si>
  <si>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</si>
  <si>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</si>
  <si>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</si>
  <si>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</si>
  <si>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</si>
  <si>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</si>
  <si>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</si>
  <si>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</si>
  <si>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</si>
  <si>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</si>
  <si>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</si>
  <si>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</si>
  <si>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</si>
  <si>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</si>
  <si>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</si>
  <si>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</si>
  <si>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</si>
  <si>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</si>
  <si>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</si>
  <si>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</si>
  <si>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</si>
  <si>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</si>
  <si>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</si>
  <si>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</si>
  <si>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</si>
  <si>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</si>
  <si>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</si>
  <si>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</si>
  <si>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</si>
  <si>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</si>
  <si>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</si>
  <si>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</si>
  <si>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</si>
  <si>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</si>
  <si>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</si>
  <si>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</si>
  <si>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</si>
  <si>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</si>
  <si>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</si>
  <si>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</si>
  <si>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</si>
  <si>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</si>
  <si>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</si>
  <si>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</si>
  <si>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</si>
  <si>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</si>
  <si>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</si>
  <si>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</si>
  <si>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</si>
  <si>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</si>
  <si>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</si>
  <si>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</si>
  <si>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</si>
  <si>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</si>
  <si>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</si>
  <si>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</si>
  <si>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</si>
  <si>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</si>
  <si>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</si>
  <si>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</si>
  <si>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</si>
  <si>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</si>
  <si>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</si>
  <si>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</si>
  <si>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</si>
  <si>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</si>
  <si>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</si>
  <si>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</si>
  <si>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</si>
  <si>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</si>
  <si>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</si>
  <si>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</si>
  <si>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</si>
  <si>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</si>
  <si>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</si>
  <si>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</si>
  <si>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</si>
  <si>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</si>
  <si>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</si>
  <si>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</si>
  <si>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</si>
  <si>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</si>
  <si>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</si>
  <si>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</si>
  <si>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</si>
  <si>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</si>
  <si>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</si>
  <si>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</si>
  <si>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</si>
  <si>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</si>
  <si>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</si>
  <si>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</si>
  <si>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</si>
  <si>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</si>
  <si>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</si>
  <si>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</si>
  <si>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</si>
  <si>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</si>
  <si>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</si>
  <si>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</si>
  <si>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</si>
  <si>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</si>
  <si>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</si>
  <si>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</si>
  <si>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</si>
  <si>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</si>
  <si>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</si>
  <si>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</si>
  <si>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</si>
  <si>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</si>
  <si>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</si>
  <si>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</si>
  <si>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</si>
  <si>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</si>
  <si>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</si>
  <si>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</si>
  <si>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</si>
  <si>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</si>
  <si>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</si>
  <si>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</si>
  <si>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</si>
  <si>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</si>
  <si>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</si>
  <si>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</si>
  <si>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</si>
  <si>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</si>
  <si>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</si>
  <si>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</si>
  <si>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</si>
  <si>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</si>
  <si>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</si>
  <si>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</si>
  <si>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</si>
  <si>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</si>
  <si>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</si>
  <si>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</si>
  <si>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</si>
  <si>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</si>
  <si>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</si>
  <si>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</si>
  <si>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</si>
  <si>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</si>
  <si>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</si>
  <si>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</si>
  <si>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</si>
  <si>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</si>
  <si>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</si>
  <si>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</si>
  <si>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</si>
  <si>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</si>
  <si>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</si>
  <si>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</si>
  <si>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</si>
  <si>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</si>
  <si>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</si>
  <si>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</si>
  <si>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</si>
  <si>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</si>
  <si>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</si>
  <si>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</si>
  <si>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</si>
  <si>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</si>
  <si>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</si>
  <si>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</si>
  <si>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</si>
  <si>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</si>
  <si>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</si>
  <si>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</si>
  <si>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</si>
  <si>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</si>
  <si>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</si>
  <si>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</si>
  <si>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</si>
  <si>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</si>
  <si>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</si>
  <si>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</si>
  <si>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</si>
  <si>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</si>
  <si>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</si>
  <si>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</si>
  <si>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</si>
  <si>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</si>
  <si>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</si>
  <si>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</si>
  <si>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</si>
  <si>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</si>
  <si>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</si>
  <si>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</si>
  <si>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</si>
  <si>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</si>
  <si>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</si>
  <si>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</si>
  <si>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</si>
  <si>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</si>
  <si>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</si>
  <si>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</si>
  <si>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How to use the Regression sheet for Multilinear Regression (MLR)</t>
  </si>
  <si>
    <t>Ensure your data is organized as a structured Excel table. Select the range including column headers and press Ctrl+T, or go to Home → Format as Table.</t>
  </si>
  <si>
    <t>Optional — point prediction:</t>
  </si>
  <si>
    <t>REGRESSION DIAGNOSTIC GUIDE</t>
  </si>
  <si>
    <t>Use the charts and flagged cells on the Regression sheet to assess model assumptions. Work through Tier 1 first; investigate Tier 2 only when a Tier 1 plot raises a concern.</t>
  </si>
  <si>
    <t>TIER 1 — Review for every model</t>
  </si>
  <si>
    <t>Plot</t>
  </si>
  <si>
    <t>X-axis</t>
  </si>
  <si>
    <t>Y-axis</t>
  </si>
  <si>
    <t>What to look for</t>
  </si>
  <si>
    <t>Residuals vs. Fitted</t>
  </si>
  <si>
    <t>Predicted Y</t>
  </si>
  <si>
    <t>Random scatter around zero. A curve or funnel shape signals nonlinearity or heteroscedasticity (non-constant error variance).</t>
  </si>
  <si>
    <t>Normal Q-Q</t>
  </si>
  <si>
    <t>Normal Scores (theoretical)</t>
  </si>
  <si>
    <t>Studentized Residuals Ranked</t>
  </si>
  <si>
    <t>Points close to a straight diagonal line. Heavy tails or an S-curve indicate non-normal errors. Check QQ Correlation (Cell P10): below 0.98 = mild concern, below 0.95 = stronger concern.</t>
  </si>
  <si>
    <t>Actual vs. Predicted</t>
  </si>
  <si>
    <t>Y</t>
  </si>
  <si>
    <t>Points close to a 45° line. A bow or fan shape confirms the same problems seen in Residuals vs. Fitted but from a different angle.</t>
  </si>
  <si>
    <t>TIER 2 — Investigate when Tier 1 raises a concern</t>
  </si>
  <si>
    <t>Scale-Location</t>
  </si>
  <si>
    <t>Scale-Location
(√|Studentized Residuals|)</t>
  </si>
  <si>
    <t>Flat horizontal spread of points = homoscedasticity. An upward trend confirms heteroscedasticity flagged in Tier 1. Yellow cells: value &gt; √2 ≈ 1.41; red cells: value &gt; √3 ≈ 1.73.</t>
  </si>
  <si>
    <t>Cook's Distance</t>
  </si>
  <si>
    <t>Observation (bar position)</t>
  </si>
  <si>
    <t>Spikes above 4/n (yellow) or above 0.9 (red) mark observations with outsized influence on the fitted coefficients. Bars are ordered by observation number. Inspect those rows for data entry errors or genuine outliers before removing them. Remove outliers only when you have a definitive, non-statistical reason to believe the data point is invalid, comes from a different population, or disproportionately distorts the analysis. Never filter out data solely because it is an extreme statistical value, as doing so can introduce bias and erase genuine insights.</t>
  </si>
  <si>
    <t>Studentized Residuals vs. Leverage</t>
  </si>
  <si>
    <t>Hat Diagonal (leverage)</t>
  </si>
  <si>
    <t>Studentized Residuals</t>
  </si>
  <si>
    <t>High leverage alone is not a problem. Combined high leverage and large residual (top-right or bottom-right of the plot) = influential outlier. Hat &gt; 2p/n is flagged red; Hat &gt; 3p/n is additionally bold.</t>
  </si>
  <si>
    <t>PRESS Residuals</t>
  </si>
  <si>
    <t>PRESS Residual
(e / (1 − h))</t>
  </si>
  <si>
    <t>PRESS residuals inflate the ordinary residual by leverage. Bars are ordered by observation number. Large values (|PRESS| &gt; 2 × SE yellow, &gt; 3 × SE red) flag observations whose removal would substantially shift the fitted model.</t>
  </si>
  <si>
    <t>DIAGNOSTIC THRESHOLD REFERENCE</t>
  </si>
  <si>
    <t>Diagnostic</t>
  </si>
  <si>
    <t>Location on sheet</t>
  </si>
  <si>
    <t>Yellow threshold</t>
  </si>
  <si>
    <t>Red threshold</t>
  </si>
  <si>
    <t>Tolerance &lt; 0.2</t>
  </si>
  <si>
    <t>Tolerance &lt; 0.1</t>
  </si>
  <si>
    <t>PRESS R²</t>
  </si>
  <si>
    <t>Cell P5, Diagnostics</t>
  </si>
  <si>
    <t>—</t>
  </si>
  <si>
    <t>PRESS R² &lt; 0  (worse than predicting Y-mean)</t>
  </si>
  <si>
    <t>QQ Correlation</t>
  </si>
  <si>
    <t>Cell P10, Diagnostics</t>
  </si>
  <si>
    <t>&lt; 0.98  (mild non-normality)</t>
  </si>
  <si>
    <t>&lt; 0.95  (clear non-normality)</t>
  </si>
  <si>
    <t>Significance F</t>
  </si>
  <si>
    <t>Cell Q15, ANOVA Table</t>
  </si>
  <si>
    <t>P-value &gt; alpha  (model not significant)</t>
  </si>
  <si>
    <t>Coefficient P-values</t>
  </si>
  <si>
    <t>Col P, Coefficients</t>
  </si>
  <si>
    <t>P-value &gt; alpha  (term not significant)</t>
  </si>
  <si>
    <t>Col AB, Residual Output</t>
  </si>
  <si>
    <t>h &gt; 2p/n  (high leverage)</t>
  </si>
  <si>
    <t>Col AC, Residual Output</t>
  </si>
  <si>
    <t>|r*| &gt; 2  (moderate outlier)</t>
  </si>
  <si>
    <t>|r*| ≥ 3  (strong outlier)</t>
  </si>
  <si>
    <t>Col AD, Residual Output</t>
  </si>
  <si>
    <t>D &gt; 4/n  (review)</t>
  </si>
  <si>
    <t>D &gt; 0.9  (high influence)</t>
  </si>
  <si>
    <t>Col AG, Residual Output</t>
  </si>
  <si>
    <t>&gt; √2 ≈ 1.41  (|r*| &gt; 2 equivalent)</t>
  </si>
  <si>
    <t>&gt; √3 ≈ 1.73  (|r*| &gt; 3 equivalent)</t>
  </si>
  <si>
    <t>PRESS Residual</t>
  </si>
  <si>
    <t>Col AH, Residual Output</t>
  </si>
  <si>
    <t>|PRESS| &gt; 2 × SE</t>
  </si>
  <si>
    <t>|PRESS| &gt; 3 × SE</t>
  </si>
  <si>
    <t>COMMON PATTERNS AND NEXT STEPS</t>
  </si>
  <si>
    <t>Pattern</t>
  </si>
  <si>
    <t>Symptom</t>
  </si>
  <si>
    <t>Next step</t>
  </si>
  <si>
    <t>Heteroscedasticity
(funnel residuals)</t>
  </si>
  <si>
    <t>Residuals vs. Fitted shows fan shape; Scale-Location trends upward.</t>
  </si>
  <si>
    <t>Consider: log-transforming Y, adding polynomial terms, or fitting a Weighted Least Squares (WLS) model. WLS is planned for a future version of this library.</t>
  </si>
  <si>
    <t>Nonlinearity
(curved residuals)</t>
  </si>
  <si>
    <t>Residuals vs. Fitted shows a curve; Actual vs. Predicted bows.</t>
  </si>
  <si>
    <t>Add squared or interaction terms to the model. Toggle individual predictors on/off to isolate which variable is driving the curve.</t>
  </si>
  <si>
    <t>Non-normal errors
(Q-Q deviation)</t>
  </si>
  <si>
    <t>Q-Q plot shows heavy tails or S-curve; QQ Correlation &lt; 0.98.</t>
  </si>
  <si>
    <t>With n &gt; 100 moderate departures rarely invalidate inference. For small n, consider robust standard errors or a bootstrap Confidence Interval approach.</t>
  </si>
  <si>
    <t>Influential observations
(high Cook's D or PRESS)</t>
  </si>
  <si>
    <t>Cook's D &gt; 4/n or |PRESS| &gt; 2 × SE for one or more rows.</t>
  </si>
  <si>
    <t>Inspect those rows. Verify data entry. Refit without the observation(s) and compare coefficients — if they shift substantially, see which ones and research the reasons why those data points are different. If there's a significant difference, choose one model, but report the prediction results of the other regression as a sensitivity analysis.</t>
  </si>
  <si>
    <t>Remove or combine correlated predictors. Use the Correlation_Matrix function to identify the pairs. Partial R² shows each predictor's unique contribution after controlling for the others.</t>
  </si>
  <si>
    <t>VERSION HISTORY</t>
  </si>
  <si>
    <t>Version</t>
  </si>
  <si>
    <t>Release Date</t>
  </si>
  <si>
    <t>Summary of Changes</t>
  </si>
  <si>
    <t>1.0.0</t>
  </si>
  <si>
    <t>Initial release — complete OLS/MLR engine with full model-fit and ANOVA statistics, coefficient inference (SE, t, p, CIs, partial R²/correlation), multicollinearity diagnostics (VIF, Tolerance, correlation matrix), residual and influence diagnostics (residuals, studentized residuals, hat diagonal, Cook's distance, Q-Q machinery, Durbin-Watson), cross-validation (PRESS, LOOCV), information criteria (AIC, AICc, BIC), distributional exploration (skewness, kurtosis, Pearson/Spearman), and prediction with confidence intervals. Ships with Regression sheet, Diagnostic Guide, Regression Instructions, pre-built diagnostic charts, and this Version History.</t>
  </si>
  <si>
    <t>Regression</t>
  </si>
  <si>
    <t>Bin_Midpoints</t>
  </si>
  <si>
    <t>The centre of each histogram bin — use as the X-axis value for distribution overlay curves.</t>
  </si>
  <si>
    <t>Bin_Lower_Edges</t>
  </si>
  <si>
    <t>The lower boundary of each histogram bin — data minimum for bin 1, then each previous upper edge.</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</si>
  <si>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</si>
  <si>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</si>
  <si>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</si>
  <si>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</si>
  <si>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</si>
  <si>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</si>
  <si>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</si>
  <si>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</si>
  <si>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</si>
  <si>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</si>
  <si>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</si>
  <si>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</si>
  <si>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</si>
  <si>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</si>
  <si>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</si>
  <si>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</si>
  <si>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</si>
  <si>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</si>
  <si>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</si>
  <si>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</si>
  <si>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</si>
  <si>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</si>
  <si>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</si>
  <si>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</si>
  <si>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</si>
  <si>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</si>
  <si>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</si>
  <si>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</si>
  <si>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</si>
  <si>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</si>
  <si>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</si>
  <si>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</si>
  <si>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</si>
  <si>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</si>
  <si>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</si>
  <si>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</si>
  <si>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</si>
  <si>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</si>
  <si>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</si>
  <si>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</si>
  <si>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</si>
  <si>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</si>
  <si>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</si>
  <si>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</si>
  <si>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</si>
  <si>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</si>
  <si>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</si>
  <si>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</si>
  <si>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</si>
  <si>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</si>
  <si>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</si>
  <si>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k+1 × 1 column vector of bin boundaries — the minimum of the data followed by k evenly-spaced upper edges</t>
  </si>
  <si>
    <t>The complete list of k+1 bin boundary values from min to max.</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</si>
  <si>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</si>
  <si>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</si>
  <si>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</si>
  <si>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</si>
  <si>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</si>
  <si>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=LAMBDA(data, [method], [filter],
  LET(
    filt_arg, IF(ISOMITTED(filter), ISNUMBER(data), filter),
    x, FILTER(data, filt_arg),
    upper, Upper_Bin_Edges(data, method, filter),
    TAKE(FREQUENCY(x, upper), ROWS(upper))
  ))</t>
  </si>
  <si>
    <t>k × 1 column vector of bin frequencies</t>
  </si>
  <si>
    <t>Bin_Counts returns the number of observations in each bin, using Excel's FREQUENCY function applied to the upper edges from Upper_Bin_Edges.</t>
  </si>
  <si>
    <t>=LAMBDA(data, [method], [filter],
  LET(
    e, Bin_Edges(data, method, filter),
    (DROP(e, 1) + DROP(e, -1)) / 2
  ))</t>
  </si>
  <si>
    <t>k × 1 column vector of bin midpoints</t>
  </si>
  <si>
    <t>Bin_Midpoints returns the midpoint of each bin, computed as the average of consecutive boundaries from Bin_Edges: (upper_edge + lower_edge) / 2. Bin_Edges is called once via LET to avoid recomputation.</t>
  </si>
  <si>
    <t>=LAMBDA(data, [method], [filter],
  DROP(Bin_Edges(data, method, filter), -1)
)</t>
  </si>
  <si>
    <t>k × 1 column vector of lower bin edges (the k+1 boundary vector with the last element dropped)</t>
  </si>
  <si>
    <t>Bin_Lower_Edges returns the k lower bin edges derived from Bin_Edges by dropping the last boundary (the data maximum). The first lower edge is the data minimum.</t>
  </si>
  <si>
    <t>GoF_Anderson_Darling</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</si>
  <si>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</si>
  <si>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</si>
  <si>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</si>
  <si>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</si>
  <si>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</si>
  <si>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Regression_Degrees_Of_Freedom</t>
  </si>
  <si>
    <t>Total_Degrees_Of_Freedom</t>
  </si>
  <si>
    <t>R_Squared</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</si>
  <si>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Adjusted_R_Squared are derived.</t>
  </si>
  <si>
    <t>Residual_Degrees_Of_Freedom</t>
  </si>
  <si>
    <t>=LAMBDA(X_s, Y, [Allow_Intercept], [Include],
  LET(
    allow_arg, IF(ISOMITTED(Allow_Intercept), TRUE, Allow_Intercept),
    filt_arg,  IF(ISOMITTED(Include),          TRUE, Include),
    SQRT(R_Squared(X_s, Y, allow_arg, filt_arg))
  ))</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</si>
  <si>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</si>
  <si>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</si>
  <si>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=LAMBDA(X_s, Y, [Allow_Intercept], [Include],
  LET(
    allow_arg, IF(ISOMITTED(Allow_Intercept), TRUE, Allow_Intercept),
    filt_arg,  IF(ISOMITTED(Include),          TRUE, Include),
    SS_Total(Y, allow_arg, filt_arg) * (1 - R_Squared(X_s, Y, allow_arg, filt_arg))
  ))</t>
  </si>
  <si>
    <t>SS_residual (also called SS_error) is the variation in Y left unexplained by the regression model — the sum of squared differences between observed and fitted values. It equals SS_total × (1 - R²) and shrinks as the model improves.
Computed as SS_Total(...) * (1 - R_Squared(...)).</t>
  </si>
  <si>
    <t>=LAMBDA(X_s, Y, [Allow_Intercept], [Include],
  LET(
    allow_arg, IF(ISOMITTED(Allow_Intercept), TRUE, Allow_Intercept),
    filt_arg,  IF(ISOMITTED(Include),          TRUE, Include),
    SS_Total(Y, allow_arg, filt_arg) * R_Squared(X_s, Y, allow_arg, filt_arg)
  ))</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</si>
  <si>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</si>
  <si>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=LAMBDA(X_s, Y, [Allow_Intercept], [Include],
  LET(
    allow_arg, IF(ISOMITTED(Allow_Intercept), TRUE, Allow_Intercept),
    filt_arg,  IF(ISOMITTED(Include),          TRUE, Include),
    SS_Regression(X_s, Y, allow_arg, filt_arg) / Regression_Degrees_Of_Freedom(X_s)
  ))</t>
  </si>
  <si>
    <t>T_Statistics</t>
  </si>
  <si>
    <t>Confidence_Interval_Lower</t>
  </si>
  <si>
    <t>Confidence_Interval_Upper</t>
  </si>
  <si>
    <t>Partial_R_Squared</t>
  </si>
  <si>
    <t>=LAMBDA(X_s, [Allow_Intercept], [Include],
  LET(
    filt_arg, IF(ISOMITTED(Include), TRUE, Include),
    k,        COLUMNS(X_s),
    IF(k = 1,
      1,
      LET(
        col_idx, SEQUENCE(1, k),
        R2_vec,  MAKEARRAY(k, 1, LAMBDA(j, _,
          R_Squared(
            CHOOSECOLS(X_s, FILTER(col_idx, col_idx &lt;&gt; j)),
            CHOOSECOLS(X_s, j),
            TRUE,
            filt_arg
          )
        )),
        1 / (1 - R2_vec)
      )
    )
  ))</t>
  </si>
  <si>
    <t>Observation_Number</t>
  </si>
  <si>
    <t>Dependent_Variable</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</si>
  <si>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</si>
  <si>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This_Row</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</si>
  <si>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</si>
  <si>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</si>
  <si>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Leave_One_Out_Prediction</t>
  </si>
  <si>
    <t>=LAMBDA(X_s, Y, n, [Allow_Intercept], [Include],
  LET(
    allow_arg, IF(ISOMITTED(Allow_Intercept), TRUE, Allow_Intercept),
    filt_arg,  IF(ISOMITTED(Include),          TRUE, Include),
    X_filt,    FILTER(X_s, filt_arg),
    Y_filt,    FILTER(Y, filt_arg),
    X_loo,     Exclude_Row_N(X_filt, n),
    Y_loo,     Exclude_Row_N(Y_filt, n),
    x_n,       Design_Matrix(CHOOSEROWS(X_filt, n), allow_arg),
    beta_loo,  Coefficients(X_loo, Y_loo, allow_arg),
    MMULT(x_n, beta_loo)
  )
)</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</si>
  <si>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</si>
  <si>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</si>
  <si>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[Include],
  LET(
    allow_arg, IF(ISOMITTED(Allow_Intercept), TRUE, Allow_Intercept),
    filt_arg,  IF(ISOMITTED(Include),          TRUE, Include),
    yhat,      Predictions(X_s, Y, allow_arg, filt_arg),
    e,         FILTER(Y, filt_arg) - yhat,
    h,         Hat_Diagonal(X_s, allow_arg, filt_arg),
    yhat - h * e / (1 - h)
  )
)</t>
  </si>
  <si>
    <t>Hat_Diagonal</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</si>
  <si>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</si>
  <si>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Column_Select</t>
  </si>
  <si>
    <t>Wraps CHOOSECOLS to give column selection a named, self-documenting form. The output is a calculated array with the same row count as the source table, valid as X_s in any library function.
Primary use: define a named range — e.g. X_Predictors = Column_Select(LifeData, {3,7,9}) — then pass that name as X_s. Non-contiguous column sets are fully supported. Combine with Complete_Cases_Filter to drop rows that have missing or non-numeric values in the chosen columns.</t>
  </si>
  <si>
    <t>X_s: column range of predictors (single or multi-column), or a Column_Select result
[Y]: single-column outcome range; when supplied, rows where Y is also non-numeric are excluded</t>
  </si>
  <si>
    <t>Produces a ready-made Include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</si>
  <si>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F_Statistic</t>
  </si>
  <si>
    <t>F_Statistic_P_Value</t>
  </si>
  <si>
    <t>Descriptive_Statistics</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</si>
  <si>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</si>
  <si>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Freedman_Diaconis_Bins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</si>
  <si>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</si>
  <si>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</si>
  <si>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</si>
  <si>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Grid_Argument_Minimum</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</si>
  <si>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</si>
  <si>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</si>
  <si>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</si>
  <si>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=LAMBDA(X_s, Y, [Allow_Intercept], [Include],
  LET(
    allow_arg, IF(ISOMITTED(Allow_Intercept), TRUE, Allow_Intercept),
    filt_arg,  IF(ISOMITTED(Include),          TRUE, Include),
    SUMSQ(LOOCV_Residual(X_s, Y, allow_arg, filt_arg))
  ))</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</si>
  <si>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</si>
  <si>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</si>
  <si>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n-element spill vector of leave-one-out residuals for every filtered observation</t>
  </si>
  <si>
    <t>Each row's prediction error when that row is left out of the fit.</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</si>
  <si>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</si>
  <si>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</si>
  <si>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</si>
  <si>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</si>
  <si>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</si>
  <si>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</si>
  <si>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</si>
  <si>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</si>
  <si>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</si>
  <si>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</si>
  <si>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</si>
  <si>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</si>
  <si>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Include</t>
  </si>
  <si>
    <t>2.0.0</t>
  </si>
  <si>
    <t>Univariate Analysis release. Adds a live Univariate sheet with descriptive statistics, missing-count handling, Sturges/Scott/Freedman-Diaconis histogram binning, dynamic histogram charts, lower/upper edge and midpoint helpers, eight CDF and NLL distribution families (Normal, Lognormal, Exponential, Weibull, Gamma, Triangular, Beta, BetaPERT), goodness-of-fit ranking with AIC, BIC, Anderson-Darling, and Kolmogorov-Smirnov, and two-stage native Data Table grid-search fitting for Weibull, Gamma, and Beta. Also establishes the shared sheet-style palette and the xlwings COM chart-writing pattern used by generated worksheets.</t>
  </si>
  <si>
    <t>Role</t>
  </si>
  <si>
    <t>Type</t>
  </si>
  <si>
    <t>Reference Level</t>
  </si>
  <si>
    <t>Order</t>
  </si>
  <si>
    <t>Transform</t>
  </si>
  <si>
    <t>Levels</t>
  </si>
  <si>
    <t>Continuous</t>
  </si>
  <si>
    <t>None</t>
  </si>
  <si>
    <t>Categorical</t>
  </si>
  <si>
    <t>=LAMBDA(data, [method], [filter],
  LET(
    filt_arg, IF(ISOMITTED(filter), ISNUMBER(data), filter),
    x, FILTER(data, filt_arg),
    min_x, MIN(x),
    max_x, MAX(x),
    k, Number_Of_Histogram_Bins(data, IF(ISOMITTED(method), "FD", method), filt_arg),
    width, (max_x - min_x) / k,
    VSTACK(SEQUENCE(k, 1, min_x, width), max_x)
  ))</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</si>
  <si>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</si>
  <si>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Scope</t>
  </si>
  <si>
    <t>Workbook</t>
  </si>
  <si>
    <t>Sample_Include</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</si>
  <si>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</si>
  <si>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</si>
  <si>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</si>
  <si>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</si>
  <si>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Row_Labels</t>
  </si>
  <si>
    <t>Full-height text column of observation labels: joined Identifier columns, or 'Obs. n' when none are declared.</t>
  </si>
  <si>
    <t>A readable label per row — the Identifier columns joined, or Obs. 1, Obs. 2, … when there are none.</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</si>
  <si>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X_s and Sample_Include.</t>
  </si>
  <si>
    <t>X_s</t>
  </si>
  <si>
    <t>Constructed_Column_Names</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</si>
  <si>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</si>
  <si>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=LAMBDA(LET(n_c,COLUMNS(Source_Data),rl,TAKE(Spec_Role,n_c),ids,IFERROR(TRANSPOSE(FILTER(TRANSPOSE(Source_Data),rl="Identifier (Row Label)")),NA()),IF(SUM(--(rl="Identifier (Row Label)"))=0,"Obs. "&amp;SEQUENCE(ROWS(Source_Data)),BYROW(ids,LAMBDA(r,TEXTJOIN("|",FALSE,r))))))</t>
  </si>
  <si>
    <t>Predictor (x)</t>
  </si>
  <si>
    <t>Response (y)</t>
  </si>
  <si>
    <t>Reference In Use</t>
  </si>
  <si>
    <t>To analyze your own dataset, copy the Regression sheet into your workbook (right-click the tab → Move or Copy). This carries over all workbook-scoped LAMBDA functions as well as the sheet-scoped names the Regression sheet uses.</t>
  </si>
  <si>
    <t>Point the sheet at your data (one edit):</t>
  </si>
  <si>
    <t>The Variable column fills itself from your table's headers — one specification row per column. For each row, choose a Role:
Response (y) — the dependent variable; declare exactly one.
Predictor (x) — a candidate model input; the Include toggle turns it on or off for the current model run.
Identifier (Row Label) — labeling columns such as names, IDs, or dates; they appear as row labels in the RESIDUAL OUTPUT section (multiple Identifier columns are joined with "|").
Filter — a TRUE/FALSE or 1/0 column; only rows where every Filter column is truthy enter the regression. Declare several Filter columns to stratify — they are ANDed together.
Omit — never used for anything; helper columns and notes.</t>
  </si>
  <si>
    <t>For each included Predictor, set its Type. Continuous predictors enter the design matrix as-is. Categorical predictors are dummy-coded automatically: each level except the reference level becomes a 0/1 column with a level-qualified name (e.g. "Status: Developing"). The reference level defaults to the first level in sort order; type a level into Reference Level to override it (the cell turns red if that level does not exist in the analysis sample). The Levels and Reference In Use columns display what the model will do: the distinct level count in the analysis sample, and the reference actually in effect. A categorical with one level (or an invalid reference) is flagged red and contributes no columns — the rest of the model still computes.</t>
  </si>
  <si>
    <t>Intercept:</t>
  </si>
  <si>
    <t>The Intercept toggle sits at the top of the Include column (C2). Leave it TRUE for models with Categorical predictors: reference-level dummy coding relies on the intercept to carry the baseline, and the toggle flags red if it is FALSE while a Categorical predictor is included.</t>
  </si>
  <si>
    <t>Which rows are used:</t>
  </si>
  <si>
    <t>The analysis sample is derived automatically — a row is included when the Response is numeric, every included Continuous predictor is numeric, and every Filter column is truthy. There is nothing to configure beyond the Roles. Note that Categorical predictors impose no completeness requirement: rows with a blank category still enter the sample (all of that variable's dummies are blank there) unless a Filter excludes them.</t>
  </si>
  <si>
    <t>Breaking?</t>
  </si>
  <si>
    <t>1.1.0</t>
  </si>
  <si>
    <t>No</t>
  </si>
  <si>
    <t>1.2.0</t>
  </si>
  <si>
    <t>Workbook hardening and regression usability update. Adds Name Manager notes to catalog functions, a predicted-variable readout and row identifiers on the Regression sheet, LOOCV_Residual as an observation-level diagnostic, stronger intercept-only and undersized-sample guards, explicit error handling instead of silent first-predictor fallbacks, a chart data series for the identity line, and safer production-build retry/RPC handling. Includes categorical helper groundwork and documentation while leaving the full specification-driven regression sheet for the v2.0 milestone.</t>
  </si>
  <si>
    <t>Yes</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</si>
  <si>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</si>
  <si>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</si>
  <si>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Sequence</t>
  </si>
  <si>
    <t>Durbin_Watson_By</t>
  </si>
  <si>
    <t>=LAMBDA(X_s, Y, seq, [Allow_Intercept], [Include],
  LET(
    allow_arg, IF(ISOMITTED(Allow_Intercept), TRUE, Allow_Intercept),
    filt_arg,  IF(ISOMITTED(Include),          TRUE, Include),
    e,         Residuals(X_s, Y, allow_arg, filt_arg),
    ord,       FILTER(seq, filt_arg),
    es,        SORTBY(e, ord, 1),
    SUM((DROP(es, 1) - DROP(es, -1))^2) / SUM(es^2)
  ))</t>
  </si>
  <si>
    <t>X_s: column range of predictors (single or multi-column)
Y: single-column outcome range
seq: single-column ordering axis (the declared Sequence column, e.g. Year) — residuals are sorted by this before differencing, so the result does not depend on physical row order
[Allow_Intercept]: TRUE/FALSE — fit intercept? Default TRUE
[Include]: boolean array — TRUE includes the row, FALSE excludes it</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</si>
  <si>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</si>
  <si>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</si>
  <si>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</si>
  <si>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</si>
  <si>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=LAMBDA(X_s, Y, group, seq, [delta], [Allow_Intercept], [Include],
  LET(
    allow_arg, IF(ISOMITTED(Allow_Intercept), TRUE, Allow_Intercept),
    filt_arg,  IF(ISOMITTED(Include),          TRUE, Include),
    step,      IF(ISOMITTED(delta), Base_Period_Delta(), delta),
    e,         Residuals(X_s, Y, allow_arg, filt_arg),
    g_f,       FILTER(group, filt_arg),
    t_f,       FILTER(seq, filt_arg),
    d,         Difference_By(e, g_f, t_f, step),
    n_terms,   SUMPRODUCT(N(ISNUMBER(d))),
    IF(n_terms = 0, NA(),
      SUMPRODUCT(IFERROR(d, 0)^2) / SUMPRODUCT(e^2))
  ))</t>
  </si>
  <si>
    <t>X_s: column range of predictors (single or multi-column)
Y: single-column outcome range
group: single-column panel-unit identifiers (the Fixed Effects variable, e.g. Country) — residual differences never cross a group boundary
seq: single-column numeric time index (the declared Sequence column, e.g. Year) — the within-group lookup key, not the row order
[delta]: base period Δ: differences pair û(i,t) with û(i,t−delta) by exact time value; when omitted, the spec's Base Period Δ (Base_Period_Delta()) is used — never a silent 1
[Allow_Intercept]: TRUE/FALSE — fit intercept? Default TRUE
[Include]: boolean array — TRUE includes the row, FALSE excludes it</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</si>
  <si>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</si>
  <si>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</si>
  <si>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</si>
  <si>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Base_Period_Delta</t>
  </si>
  <si>
    <t>The gap between consecutive time periods (Δ) currently set in the model spec — what Lag_By and Difference_By use when you don't pass one.</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</si>
  <si>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</si>
  <si>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</si>
  <si>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</si>
  <si>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</si>
  <si>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</si>
  <si>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</si>
  <si>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</si>
  <si>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</si>
  <si>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</si>
  <si>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</si>
  <si>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</si>
  <si>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</si>
  <si>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</si>
  <si>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</si>
  <si>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</si>
  <si>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</si>
  <si>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</si>
  <si>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</si>
  <si>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</si>
  <si>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</si>
  <si>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</si>
  <si>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</si>
  <si>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Serial_Correlation_Group</t>
  </si>
  <si>
    <t>=LAMBDA(LET(
    roles, TAKE(Spec_Role, COLUMNS(Source_Data)),
    key, IFS(
        SUMPRODUCT(N(roles = "Fixed Effects")) &gt; 0, "Fixed Effects",
        SUMPRODUCT(N(roles = "Cluster")) &gt; 0, "Cluster",
        TRUE, "none"
    ),
    SWITCH(key,
        "Fixed Effects", Fixed_Effects_Column(),
        "Cluster", "n/a — Cluster grouping RESERVED — v2.6+",
        "none"
    )
))</t>
  </si>
  <si>
    <t>The grouping-key column for serial-correlation diagnostics: the Fixed Effects data column when a Role="Fixed Effects" row is declared; the token "n/a — Cluster grouping RESERVED — v2.6+" when only a Cluster role is declared; the sentinel "none" when no grouping role exists (ordinary DW path).</t>
  </si>
  <si>
    <t>Which column groups the residuals for the serial-correlation checks — the Fixed Effects variable today, with a reserved slot for the future Cluster role.</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</si>
  <si>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v2.6+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v2.6+"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</si>
  <si>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</si>
  <si>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</si>
  <si>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</si>
  <si>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</si>
  <si>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</si>
  <si>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</si>
  <si>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</si>
  <si>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</si>
  <si>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</si>
  <si>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</si>
  <si>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</si>
  <si>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</si>
  <si>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</si>
  <si>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</si>
  <si>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Variable</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</si>
  <si>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</si>
  <si>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</si>
  <si>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</si>
  <si>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</si>
  <si>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Specification-Driven Regression release (MAJOR — existing workbook inputs change meaning). The Regression sheet's control block is replaced by a declarative variable-specification block (Role, Include, Type, Reference Level, plus reserved Order/Transform columns); X_s is promoted from a column filter to a model-matrix constructor with sheet-scoped twins (Source_Data, Sample_Include, Response_Column, Row_Labels, X_s, Constructed_Column_Names) that dissolve the v1 hard-wired ranges. Categorical predictors are reference-dropped via the rebuilt Dummy_Levels/Dummy_Code, now NA()-error-signaling with degenerate or invalid-reference cases flagged red rather than erroring. Ships the canonical rename pass and a Model Construction QC analyzer that asserts the default-spec audit values, the X_s/Constructed_Column_Names twin widths, and the full-height row-mask contract.</t>
  </si>
  <si>
    <t>Sequence Period</t>
  </si>
  <si>
    <t>Period In Use</t>
  </si>
  <si>
    <t>=LAMBDA(X_s, Y, [Allow_Intercept], [Include],
  LET(
    allow_arg, IF(ISOMITTED(Allow_Intercept), TRUE, Allow_Intercept),
    filt_arg,  IF(ISOMITTED(Include),          TRUE, Include),
    e,         Residuals(X_s, Y, allow_arg, filt_arg),
    h,         Hat_Diagonal(X_s, allow_arg, filt_arg),
    IFERROR(e / (1 - h), NA())
  )
)</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</si>
  <si>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</si>
  <si>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If your table has more columns than the shipped dataset, fill in Role, Include, and Type for the extra specification rows — the dropdowns are available all the way down. A row with a blank Role is ignored. The Order and Transform columns are placeholders for a future version and are not read by any formula; they are hidden on the sheet. The Sequence column marks at most one variable as the ordering axis for future lag/difference/serial-correlation features — it is independent of Role and Type (a Predictor can also be the sequence axis). Leave it blank for non-panel data; marking two or more rows shows a red error in the status cell above the column. The Sequence Period column (I) is the typed override input: type a number on the flagged row to declare a Δ that differs from the candidate. The Period In Use column (J) is the live companion — it shows the typed override if column I is non-blank, otherwise the computed candidate (the most common gap between consecutive periods within a group). Lag_By and Difference_By fall back to Base_Period_Delta() when their [delta] argument is omitted — never a silent 1.</t>
  </si>
  <si>
    <t>MPG</t>
  </si>
  <si>
    <t>Cylinders</t>
  </si>
  <si>
    <t>Displacement</t>
  </si>
  <si>
    <t>Horsepower</t>
  </si>
  <si>
    <t>Weight</t>
  </si>
  <si>
    <t>Acceleration</t>
  </si>
  <si>
    <t>Model Year</t>
  </si>
  <si>
    <t>Origin</t>
  </si>
  <si>
    <t>Car Name</t>
  </si>
  <si>
    <t>Make</t>
  </si>
  <si>
    <t>Model?</t>
  </si>
  <si>
    <t>chevrolet chevelle malibu</t>
  </si>
  <si>
    <t>chevrolet</t>
  </si>
  <si>
    <t>chevelle malibu</t>
  </si>
  <si>
    <t>buick skylark 320</t>
  </si>
  <si>
    <t>buick</t>
  </si>
  <si>
    <t>skylark 320</t>
  </si>
  <si>
    <t>plymouth satellite</t>
  </si>
  <si>
    <t>plymouth</t>
  </si>
  <si>
    <t>satellite</t>
  </si>
  <si>
    <t>amc rebel sst</t>
  </si>
  <si>
    <t>amc</t>
  </si>
  <si>
    <t>rebel sst</t>
  </si>
  <si>
    <t>ford torino</t>
  </si>
  <si>
    <t>ford</t>
  </si>
  <si>
    <t>torino</t>
  </si>
  <si>
    <t>ford galaxie 500</t>
  </si>
  <si>
    <t>galaxie 500</t>
  </si>
  <si>
    <t>chevrolet impala</t>
  </si>
  <si>
    <t>impala</t>
  </si>
  <si>
    <t>plymouth fury iii</t>
  </si>
  <si>
    <t>fury iii</t>
  </si>
  <si>
    <t>pontiac catalina</t>
  </si>
  <si>
    <t>pontiac</t>
  </si>
  <si>
    <t>catalina</t>
  </si>
  <si>
    <t>amc ambassador dpl</t>
  </si>
  <si>
    <t>ambassador dpl</t>
  </si>
  <si>
    <t>citroen ds-21 pallas</t>
  </si>
  <si>
    <t>citroen</t>
  </si>
  <si>
    <t>ds-21 pallas</t>
  </si>
  <si>
    <t>chevrolet chevelle concours (sw)</t>
  </si>
  <si>
    <t>chevelle concours (sw)</t>
  </si>
  <si>
    <t>ford torino (sw)</t>
  </si>
  <si>
    <t>torino (sw)</t>
  </si>
  <si>
    <t>plymouth satellite (sw)</t>
  </si>
  <si>
    <t>satellite (sw)</t>
  </si>
  <si>
    <t>amc rebel sst (sw)</t>
  </si>
  <si>
    <t>rebel sst (sw)</t>
  </si>
  <si>
    <t>dodge challenger se</t>
  </si>
  <si>
    <t>dodge</t>
  </si>
  <si>
    <t>challenger se</t>
  </si>
  <si>
    <t>plymouth 'cuda 340</t>
  </si>
  <si>
    <t>ford mustang boss 302</t>
  </si>
  <si>
    <t>mustang boss 302</t>
  </si>
  <si>
    <t>chevrolet monte carlo</t>
  </si>
  <si>
    <t>monte carlo</t>
  </si>
  <si>
    <t>buick estate wagon (sw)</t>
  </si>
  <si>
    <t>estate wagon (sw)</t>
  </si>
  <si>
    <t>toyota corona mark ii</t>
  </si>
  <si>
    <t>toyota</t>
  </si>
  <si>
    <t>corona mark ii</t>
  </si>
  <si>
    <t>plymouth duster</t>
  </si>
  <si>
    <t>duster</t>
  </si>
  <si>
    <t>amc hornet</t>
  </si>
  <si>
    <t>hornet</t>
  </si>
  <si>
    <t>ford maverick</t>
  </si>
  <si>
    <t>maverick</t>
  </si>
  <si>
    <t>datsun pl510</t>
  </si>
  <si>
    <t>datsun</t>
  </si>
  <si>
    <t>pl510</t>
  </si>
  <si>
    <t>volkswagen 1131 deluxe sedan</t>
  </si>
  <si>
    <t>volkswagen</t>
  </si>
  <si>
    <t>1131 deluxe sedan</t>
  </si>
  <si>
    <t>peugeot 504</t>
  </si>
  <si>
    <t>peugeot</t>
  </si>
  <si>
    <t>audi 100 ls</t>
  </si>
  <si>
    <t>audi</t>
  </si>
  <si>
    <t>100 ls</t>
  </si>
  <si>
    <t>saab 99e</t>
  </si>
  <si>
    <t>saab</t>
  </si>
  <si>
    <t>99e</t>
  </si>
  <si>
    <t>bmw 2002</t>
  </si>
  <si>
    <t>bmw</t>
  </si>
  <si>
    <t>amc gremlin</t>
  </si>
  <si>
    <t>gremlin</t>
  </si>
  <si>
    <t>ford f250</t>
  </si>
  <si>
    <t>f250</t>
  </si>
  <si>
    <t>chevy c20</t>
  </si>
  <si>
    <t>chevy</t>
  </si>
  <si>
    <t>c20</t>
  </si>
  <si>
    <t>dodge d200</t>
  </si>
  <si>
    <t>d200</t>
  </si>
  <si>
    <t>hi 1200d</t>
  </si>
  <si>
    <t>hi</t>
  </si>
  <si>
    <t>1200d</t>
  </si>
  <si>
    <t>chevrolet vega 2300</t>
  </si>
  <si>
    <t>vega 2300</t>
  </si>
  <si>
    <t>toyota corona</t>
  </si>
  <si>
    <t>corona</t>
  </si>
  <si>
    <t>ford pinto</t>
  </si>
  <si>
    <t>pinto</t>
  </si>
  <si>
    <t>volkswagen super beetle 117</t>
  </si>
  <si>
    <t>super beetle 117</t>
  </si>
  <si>
    <t>plymouth satellite custom</t>
  </si>
  <si>
    <t>satellite custom</t>
  </si>
  <si>
    <t>ford torino 500</t>
  </si>
  <si>
    <t>torino 500</t>
  </si>
  <si>
    <t>amc matador</t>
  </si>
  <si>
    <t>matador</t>
  </si>
  <si>
    <t>pontiac catalina brougham</t>
  </si>
  <si>
    <t>catalina brougham</t>
  </si>
  <si>
    <t>dodge monaco (sw)</t>
  </si>
  <si>
    <t>monaco (sw)</t>
  </si>
  <si>
    <t>ford country squire (sw)</t>
  </si>
  <si>
    <t>country squire (sw)</t>
  </si>
  <si>
    <t>pontiac safari (sw)</t>
  </si>
  <si>
    <t>safari (sw)</t>
  </si>
  <si>
    <t>amc hornet sportabout (sw)</t>
  </si>
  <si>
    <t>hornet sportabout (sw)</t>
  </si>
  <si>
    <t>chevrolet vega (sw)</t>
  </si>
  <si>
    <t>vega (sw)</t>
  </si>
  <si>
    <t>pontiac firebird</t>
  </si>
  <si>
    <t>firebird</t>
  </si>
  <si>
    <t>ford mustang</t>
  </si>
  <si>
    <t>mustang</t>
  </si>
  <si>
    <t>mercury capri 2000</t>
  </si>
  <si>
    <t>mercury</t>
  </si>
  <si>
    <t>capri 2000</t>
  </si>
  <si>
    <t>opel 1900</t>
  </si>
  <si>
    <t>opel</t>
  </si>
  <si>
    <t>peugeot 304</t>
  </si>
  <si>
    <t>fiat 124b</t>
  </si>
  <si>
    <t>fiat</t>
  </si>
  <si>
    <t>124b</t>
  </si>
  <si>
    <t>toyota corolla 1200</t>
  </si>
  <si>
    <t>corolla 1200</t>
  </si>
  <si>
    <t>datsun 1200</t>
  </si>
  <si>
    <t>volkswagen model 111</t>
  </si>
  <si>
    <t>model 111</t>
  </si>
  <si>
    <t>plymouth cricket</t>
  </si>
  <si>
    <t>cricket</t>
  </si>
  <si>
    <t>toyota corona hardtop</t>
  </si>
  <si>
    <t>corona hardtop</t>
  </si>
  <si>
    <t>dodge colt hardtop</t>
  </si>
  <si>
    <t>colt hardtop</t>
  </si>
  <si>
    <t>volkswagen type 3</t>
  </si>
  <si>
    <t>type 3</t>
  </si>
  <si>
    <t>chevrolet vega</t>
  </si>
  <si>
    <t>vega</t>
  </si>
  <si>
    <t>ford pinto runabout</t>
  </si>
  <si>
    <t>pinto runabout</t>
  </si>
  <si>
    <t>amc ambassador sst</t>
  </si>
  <si>
    <t>ambassador sst</t>
  </si>
  <si>
    <t>mercury marquis</t>
  </si>
  <si>
    <t>marquis</t>
  </si>
  <si>
    <t>buick lesabre custom</t>
  </si>
  <si>
    <t>lesabre custom</t>
  </si>
  <si>
    <t>oldsmobile delta 88 royale</t>
  </si>
  <si>
    <t>oldsmobile</t>
  </si>
  <si>
    <t>delta 88 royale</t>
  </si>
  <si>
    <t>chrysler newport royal</t>
  </si>
  <si>
    <t>chrysler</t>
  </si>
  <si>
    <t>newport royal</t>
  </si>
  <si>
    <t>mazda rx2 coupe</t>
  </si>
  <si>
    <t>mazda</t>
  </si>
  <si>
    <t>rx2 coupe</t>
  </si>
  <si>
    <t>amc matador (sw)</t>
  </si>
  <si>
    <t>matador (sw)</t>
  </si>
  <si>
    <t>ford gran torino (sw)</t>
  </si>
  <si>
    <t>gran torino (sw)</t>
  </si>
  <si>
    <t>plymouth satellite custom (sw)</t>
  </si>
  <si>
    <t>satellite custom (sw)</t>
  </si>
  <si>
    <t>volvo 145e (sw)</t>
  </si>
  <si>
    <t>volvo</t>
  </si>
  <si>
    <t>145e (sw)</t>
  </si>
  <si>
    <t>volkswagen 411 (sw)</t>
  </si>
  <si>
    <t>411 (sw)</t>
  </si>
  <si>
    <t>peugeot 504 (sw)</t>
  </si>
  <si>
    <t>504 (sw)</t>
  </si>
  <si>
    <t>renault 12 (sw)</t>
  </si>
  <si>
    <t>renault</t>
  </si>
  <si>
    <t>12 (sw)</t>
  </si>
  <si>
    <t>ford pinto (sw)</t>
  </si>
  <si>
    <t>pinto (sw)</t>
  </si>
  <si>
    <t>datsun 510 (sw)</t>
  </si>
  <si>
    <t>510 (sw)</t>
  </si>
  <si>
    <t>toyouta corona mark ii (sw)</t>
  </si>
  <si>
    <t>toyouta</t>
  </si>
  <si>
    <t>corona mark ii (sw)</t>
  </si>
  <si>
    <t>dodge colt (sw)</t>
  </si>
  <si>
    <t>colt (sw)</t>
  </si>
  <si>
    <t>toyota corolla 1600 (sw)</t>
  </si>
  <si>
    <t>corolla 1600 (sw)</t>
  </si>
  <si>
    <t>buick century 350</t>
  </si>
  <si>
    <t>century 350</t>
  </si>
  <si>
    <t>chevrolet malibu</t>
  </si>
  <si>
    <t>malibu</t>
  </si>
  <si>
    <t>ford gran torino</t>
  </si>
  <si>
    <t>gran torino</t>
  </si>
  <si>
    <t>dodge coronet custom</t>
  </si>
  <si>
    <t>coronet custom</t>
  </si>
  <si>
    <t>mercury marquis brougham</t>
  </si>
  <si>
    <t>marquis brougham</t>
  </si>
  <si>
    <t>chevrolet caprice classic</t>
  </si>
  <si>
    <t>caprice classic</t>
  </si>
  <si>
    <t>ford ltd</t>
  </si>
  <si>
    <t>ltd</t>
  </si>
  <si>
    <t>plymouth fury gran sedan</t>
  </si>
  <si>
    <t>fury gran sedan</t>
  </si>
  <si>
    <t>chrysler new yorker brougham</t>
  </si>
  <si>
    <t>new yorker brougham</t>
  </si>
  <si>
    <t>buick electra 225 custom</t>
  </si>
  <si>
    <t>electra 225 custom</t>
  </si>
  <si>
    <t>amc ambassador brougham</t>
  </si>
  <si>
    <t>ambassador brougham</t>
  </si>
  <si>
    <t>plymouth valiant</t>
  </si>
  <si>
    <t>valiant</t>
  </si>
  <si>
    <t>chevrolet nova custom</t>
  </si>
  <si>
    <t>nova custom</t>
  </si>
  <si>
    <t>volkswagen super beetle</t>
  </si>
  <si>
    <t>super beetle</t>
  </si>
  <si>
    <t>ford country</t>
  </si>
  <si>
    <t>country</t>
  </si>
  <si>
    <t>plymouth custom suburb</t>
  </si>
  <si>
    <t>custom suburb</t>
  </si>
  <si>
    <t>oldsmobile vista cruiser</t>
  </si>
  <si>
    <t>vista cruiser</t>
  </si>
  <si>
    <t>toyota carina</t>
  </si>
  <si>
    <t>carina</t>
  </si>
  <si>
    <t>datsun 610</t>
  </si>
  <si>
    <t>maxda rx3</t>
  </si>
  <si>
    <t>maxda</t>
  </si>
  <si>
    <t>rx3</t>
  </si>
  <si>
    <t>mercury capri v6</t>
  </si>
  <si>
    <t>capri v6</t>
  </si>
  <si>
    <t>fiat 124 sport coupe</t>
  </si>
  <si>
    <t>124 sport coupe</t>
  </si>
  <si>
    <t>chevrolet monte carlo s</t>
  </si>
  <si>
    <t>monte carlo s</t>
  </si>
  <si>
    <t>pontiac grand prix</t>
  </si>
  <si>
    <t>grand prix</t>
  </si>
  <si>
    <t>fiat 128</t>
  </si>
  <si>
    <t>opel manta</t>
  </si>
  <si>
    <t>manta</t>
  </si>
  <si>
    <t>audi 100ls</t>
  </si>
  <si>
    <t>100ls</t>
  </si>
  <si>
    <t>volvo 144ea</t>
  </si>
  <si>
    <t>144ea</t>
  </si>
  <si>
    <t>dodge dart custom</t>
  </si>
  <si>
    <t>dart custom</t>
  </si>
  <si>
    <t>saab 99le</t>
  </si>
  <si>
    <t>99le</t>
  </si>
  <si>
    <t>toyota mark ii</t>
  </si>
  <si>
    <t>mark ii</t>
  </si>
  <si>
    <t>oldsmobile omega</t>
  </si>
  <si>
    <t>omega</t>
  </si>
  <si>
    <t>chevrolet nova</t>
  </si>
  <si>
    <t>nova</t>
  </si>
  <si>
    <t>datsun b210</t>
  </si>
  <si>
    <t>b210</t>
  </si>
  <si>
    <t>chevrolet chevelle malibu classic</t>
  </si>
  <si>
    <t>chevelle malibu classic</t>
  </si>
  <si>
    <t>plymouth satellite sebring</t>
  </si>
  <si>
    <t>satellite sebring</t>
  </si>
  <si>
    <t>buick century luxus (sw)</t>
  </si>
  <si>
    <t>century luxus (sw)</t>
  </si>
  <si>
    <t>dodge coronet custom (sw)</t>
  </si>
  <si>
    <t>coronet custom (sw)</t>
  </si>
  <si>
    <t>audi fox</t>
  </si>
  <si>
    <t>fox</t>
  </si>
  <si>
    <t>volkswagen dasher</t>
  </si>
  <si>
    <t>dasher</t>
  </si>
  <si>
    <t>datsun 710</t>
  </si>
  <si>
    <t>dodge colt</t>
  </si>
  <si>
    <t>colt</t>
  </si>
  <si>
    <t>fiat 124 tc</t>
  </si>
  <si>
    <t>124 tc</t>
  </si>
  <si>
    <t>honda civic</t>
  </si>
  <si>
    <t>honda</t>
  </si>
  <si>
    <t>civic</t>
  </si>
  <si>
    <t>subaru</t>
  </si>
  <si>
    <t>fiat x1.9</t>
  </si>
  <si>
    <t>x1.9</t>
  </si>
  <si>
    <t>plymouth valiant custom</t>
  </si>
  <si>
    <t>valiant custom</t>
  </si>
  <si>
    <t>mercury monarch</t>
  </si>
  <si>
    <t>monarch</t>
  </si>
  <si>
    <t>chevrolet bel air</t>
  </si>
  <si>
    <t>bel air</t>
  </si>
  <si>
    <t>plymouth grand fury</t>
  </si>
  <si>
    <t>grand fury</t>
  </si>
  <si>
    <t>buick century</t>
  </si>
  <si>
    <t>century</t>
  </si>
  <si>
    <t>chevroelt chevelle malibu</t>
  </si>
  <si>
    <t>chevroelt</t>
  </si>
  <si>
    <t>plymouth fury</t>
  </si>
  <si>
    <t>fury</t>
  </si>
  <si>
    <t>buick skyhawk</t>
  </si>
  <si>
    <t>skyhawk</t>
  </si>
  <si>
    <t>chevrolet monza 2+2</t>
  </si>
  <si>
    <t>monza 2+2</t>
  </si>
  <si>
    <t>ford mustang ii</t>
  </si>
  <si>
    <t>mustang ii</t>
  </si>
  <si>
    <t>toyota corolla</t>
  </si>
  <si>
    <t>corolla</t>
  </si>
  <si>
    <t>pontiac astro</t>
  </si>
  <si>
    <t>astro</t>
  </si>
  <si>
    <t>volkswagen rabbit</t>
  </si>
  <si>
    <t>rabbit</t>
  </si>
  <si>
    <t>amc pacer</t>
  </si>
  <si>
    <t>pacer</t>
  </si>
  <si>
    <t>volvo 244dl</t>
  </si>
  <si>
    <t>244dl</t>
  </si>
  <si>
    <t>honda civic cvcc</t>
  </si>
  <si>
    <t>civic cvcc</t>
  </si>
  <si>
    <t>fiat 131</t>
  </si>
  <si>
    <t>capri ii</t>
  </si>
  <si>
    <t>capri</t>
  </si>
  <si>
    <t>ii</t>
  </si>
  <si>
    <t>renault 12tl</t>
  </si>
  <si>
    <t>12tl</t>
  </si>
  <si>
    <t>dodge coronet brougham</t>
  </si>
  <si>
    <t>coronet brougham</t>
  </si>
  <si>
    <t>chevrolet chevette</t>
  </si>
  <si>
    <t>chevette</t>
  </si>
  <si>
    <t>chevrolet woody</t>
  </si>
  <si>
    <t>woody</t>
  </si>
  <si>
    <t>vw rabbit</t>
  </si>
  <si>
    <t>vw</t>
  </si>
  <si>
    <t>dodge aspen se</t>
  </si>
  <si>
    <t>aspen se</t>
  </si>
  <si>
    <t>ford granada ghia</t>
  </si>
  <si>
    <t>granada ghia</t>
  </si>
  <si>
    <t>pontiac ventura sj</t>
  </si>
  <si>
    <t>ventura sj</t>
  </si>
  <si>
    <t>amc pacer d/l</t>
  </si>
  <si>
    <t>pacer d/l</t>
  </si>
  <si>
    <t>datsun b-210</t>
  </si>
  <si>
    <t>b-210</t>
  </si>
  <si>
    <t>volvo 245</t>
  </si>
  <si>
    <t>plymouth volare premier v8</t>
  </si>
  <si>
    <t>volare premier v8</t>
  </si>
  <si>
    <t>mercedes-benz 280s</t>
  </si>
  <si>
    <t>mercedes-benz</t>
  </si>
  <si>
    <t>280s</t>
  </si>
  <si>
    <t>cadillac seville</t>
  </si>
  <si>
    <t>cadillac</t>
  </si>
  <si>
    <t>seville</t>
  </si>
  <si>
    <t>chevy c10</t>
  </si>
  <si>
    <t>c10</t>
  </si>
  <si>
    <t>ford f108</t>
  </si>
  <si>
    <t>f108</t>
  </si>
  <si>
    <t>dodge d100</t>
  </si>
  <si>
    <t>d100</t>
  </si>
  <si>
    <t>honda accord cvcc</t>
  </si>
  <si>
    <t>accord cvcc</t>
  </si>
  <si>
    <t>buick opel isuzu deluxe</t>
  </si>
  <si>
    <t>opel isuzu deluxe</t>
  </si>
  <si>
    <t>renault 5 gtl</t>
  </si>
  <si>
    <t>5 gtl</t>
  </si>
  <si>
    <t>plymouth arrow gs</t>
  </si>
  <si>
    <t>arrow gs</t>
  </si>
  <si>
    <t>datsun f-10 hatchback</t>
  </si>
  <si>
    <t>f-10 hatchback</t>
  </si>
  <si>
    <t>oldsmobile cutlass supreme</t>
  </si>
  <si>
    <t>cutlass supreme</t>
  </si>
  <si>
    <t>dodge monaco brougham</t>
  </si>
  <si>
    <t>monaco brougham</t>
  </si>
  <si>
    <t>mercury cougar brougham</t>
  </si>
  <si>
    <t>cougar brougham</t>
  </si>
  <si>
    <t>chevrolet concours</t>
  </si>
  <si>
    <t>concours</t>
  </si>
  <si>
    <t>buick skylark</t>
  </si>
  <si>
    <t>skylark</t>
  </si>
  <si>
    <t>plymouth volare custom</t>
  </si>
  <si>
    <t>volare custom</t>
  </si>
  <si>
    <t>ford granada</t>
  </si>
  <si>
    <t>granada</t>
  </si>
  <si>
    <t>pontiac grand prix lj</t>
  </si>
  <si>
    <t>grand prix lj</t>
  </si>
  <si>
    <t>chevrolet monte carlo landau</t>
  </si>
  <si>
    <t>monte carlo landau</t>
  </si>
  <si>
    <t>chrysler cordoba</t>
  </si>
  <si>
    <t>cordoba</t>
  </si>
  <si>
    <t>ford thunderbird</t>
  </si>
  <si>
    <t>thunderbird</t>
  </si>
  <si>
    <t>volkswagen rabbit custom</t>
  </si>
  <si>
    <t>rabbit custom</t>
  </si>
  <si>
    <t>pontiac sunbird coupe</t>
  </si>
  <si>
    <t>sunbird coupe</t>
  </si>
  <si>
    <t>toyota corolla liftback</t>
  </si>
  <si>
    <t>corolla liftback</t>
  </si>
  <si>
    <t>ford mustang ii 2+2</t>
  </si>
  <si>
    <t>mustang ii 2+2</t>
  </si>
  <si>
    <t>dodge colt m/m</t>
  </si>
  <si>
    <t>colt m/m</t>
  </si>
  <si>
    <t>subaru dl</t>
  </si>
  <si>
    <t>dl</t>
  </si>
  <si>
    <t>datsun 810</t>
  </si>
  <si>
    <t>bmw 320i</t>
  </si>
  <si>
    <t>320i</t>
  </si>
  <si>
    <t>mazda rx-4</t>
  </si>
  <si>
    <t>rx-4</t>
  </si>
  <si>
    <t>volkswagen rabbit custom diesel</t>
  </si>
  <si>
    <t>rabbit custom diesel</t>
  </si>
  <si>
    <t>ford fiesta</t>
  </si>
  <si>
    <t>fiesta</t>
  </si>
  <si>
    <t>mazda glc deluxe</t>
  </si>
  <si>
    <t>glc deluxe</t>
  </si>
  <si>
    <t>datsun b210 gx</t>
  </si>
  <si>
    <t>b210 gx</t>
  </si>
  <si>
    <t>oldsmobile cutlass salon brougham</t>
  </si>
  <si>
    <t>cutlass salon brougham</t>
  </si>
  <si>
    <t>dodge diplomat</t>
  </si>
  <si>
    <t>diplomat</t>
  </si>
  <si>
    <t>mercury monarch ghia</t>
  </si>
  <si>
    <t>monarch ghia</t>
  </si>
  <si>
    <t>pontiac phoenix lj</t>
  </si>
  <si>
    <t>phoenix lj</t>
  </si>
  <si>
    <t>ford fairmont (auto)</t>
  </si>
  <si>
    <t>fairmont (auto)</t>
  </si>
  <si>
    <t>ford fairmont (man)</t>
  </si>
  <si>
    <t>fairmont (man)</t>
  </si>
  <si>
    <t>plymouth volare</t>
  </si>
  <si>
    <t>volare</t>
  </si>
  <si>
    <t>amc concord</t>
  </si>
  <si>
    <t>concord</t>
  </si>
  <si>
    <t>buick century special</t>
  </si>
  <si>
    <t>century special</t>
  </si>
  <si>
    <t>mercury zephyr</t>
  </si>
  <si>
    <t>zephyr</t>
  </si>
  <si>
    <t>dodge aspen</t>
  </si>
  <si>
    <t>aspen</t>
  </si>
  <si>
    <t>amc concord d/l</t>
  </si>
  <si>
    <t>concord d/l</t>
  </si>
  <si>
    <t>buick regal sport coupe (turbo)</t>
  </si>
  <si>
    <t>regal sport coupe (turbo)</t>
  </si>
  <si>
    <t>ford futura</t>
  </si>
  <si>
    <t>futura</t>
  </si>
  <si>
    <t>dodge magnum xe</t>
  </si>
  <si>
    <t>magnum xe</t>
  </si>
  <si>
    <t>datsun 510</t>
  </si>
  <si>
    <t>dodge omni</t>
  </si>
  <si>
    <t>omni</t>
  </si>
  <si>
    <t>toyota celica gt liftback</t>
  </si>
  <si>
    <t>celica gt liftback</t>
  </si>
  <si>
    <t>plymouth sapporo</t>
  </si>
  <si>
    <t>sapporo</t>
  </si>
  <si>
    <t>oldsmobile starfire sx</t>
  </si>
  <si>
    <t>starfire sx</t>
  </si>
  <si>
    <t>datsun 200-sx</t>
  </si>
  <si>
    <t>200-sx</t>
  </si>
  <si>
    <t>audi 5000</t>
  </si>
  <si>
    <t>volvo 264gl</t>
  </si>
  <si>
    <t>264gl</t>
  </si>
  <si>
    <t>saab 99gle</t>
  </si>
  <si>
    <t>99gle</t>
  </si>
  <si>
    <t>peugeot 604sl</t>
  </si>
  <si>
    <t>604sl</t>
  </si>
  <si>
    <t>volkswagen scirocco</t>
  </si>
  <si>
    <t>scirocco</t>
  </si>
  <si>
    <t>honda accord lx</t>
  </si>
  <si>
    <t>accord lx</t>
  </si>
  <si>
    <t>pontiac lemans v6</t>
  </si>
  <si>
    <t>lemans v6</t>
  </si>
  <si>
    <t>mercury zephyr 6</t>
  </si>
  <si>
    <t>zephyr 6</t>
  </si>
  <si>
    <t>ford fairmont 4</t>
  </si>
  <si>
    <t>fairmont 4</t>
  </si>
  <si>
    <t>amc concord dl 6</t>
  </si>
  <si>
    <t>concord dl 6</t>
  </si>
  <si>
    <t>dodge aspen 6</t>
  </si>
  <si>
    <t>aspen 6</t>
  </si>
  <si>
    <t>ford ltd landau</t>
  </si>
  <si>
    <t>ltd landau</t>
  </si>
  <si>
    <t>mercury grand marquis</t>
  </si>
  <si>
    <t>grand marquis</t>
  </si>
  <si>
    <t>dodge st. regis</t>
  </si>
  <si>
    <t>st. regis</t>
  </si>
  <si>
    <t>chevrolet malibu classic (sw)</t>
  </si>
  <si>
    <t>malibu classic (sw)</t>
  </si>
  <si>
    <t>chrysler lebaron town @ country (sw)</t>
  </si>
  <si>
    <t>lebaron town @ country (sw)</t>
  </si>
  <si>
    <t>vw rabbit custom</t>
  </si>
  <si>
    <t>maxda glc deluxe</t>
  </si>
  <si>
    <t>dodge colt hatchback custom</t>
  </si>
  <si>
    <t>colt hatchback custom</t>
  </si>
  <si>
    <t>amc spirit dl</t>
  </si>
  <si>
    <t>spirit dl</t>
  </si>
  <si>
    <t>mercedes benz 300d</t>
  </si>
  <si>
    <t>mercedes</t>
  </si>
  <si>
    <t>benz 300d</t>
  </si>
  <si>
    <t>cadillac eldorado</t>
  </si>
  <si>
    <t>eldorado</t>
  </si>
  <si>
    <t>plymouth horizon</t>
  </si>
  <si>
    <t>horizon</t>
  </si>
  <si>
    <t>plymouth horizon tc3</t>
  </si>
  <si>
    <t>horizon tc3</t>
  </si>
  <si>
    <t>datsun 210</t>
  </si>
  <si>
    <t>fiat strada custom</t>
  </si>
  <si>
    <t>strada custom</t>
  </si>
  <si>
    <t>buick skylark limited</t>
  </si>
  <si>
    <t>skylark limited</t>
  </si>
  <si>
    <t>chevrolet citation</t>
  </si>
  <si>
    <t>citation</t>
  </si>
  <si>
    <t>oldsmobile omega brougham</t>
  </si>
  <si>
    <t>omega brougham</t>
  </si>
  <si>
    <t>pontiac phoenix</t>
  </si>
  <si>
    <t>phoenix</t>
  </si>
  <si>
    <t>toyota corolla tercel</t>
  </si>
  <si>
    <t>corolla tercel</t>
  </si>
  <si>
    <t>datsun 310</t>
  </si>
  <si>
    <t>ford fairmont</t>
  </si>
  <si>
    <t>fairmont</t>
  </si>
  <si>
    <t>audi 4000</t>
  </si>
  <si>
    <t>toyota corona liftback</t>
  </si>
  <si>
    <t>corona liftback</t>
  </si>
  <si>
    <t>mazda 626</t>
  </si>
  <si>
    <t>datsun 510 hatchback</t>
  </si>
  <si>
    <t>510 hatchback</t>
  </si>
  <si>
    <t>mazda glc</t>
  </si>
  <si>
    <t>glc</t>
  </si>
  <si>
    <t>vw rabbit c (diesel)</t>
  </si>
  <si>
    <t>rabbit c (diesel)</t>
  </si>
  <si>
    <t>vw dasher (diesel)</t>
  </si>
  <si>
    <t>dasher (diesel)</t>
  </si>
  <si>
    <t>audi 5000s (diesel)</t>
  </si>
  <si>
    <t>5000s (diesel)</t>
  </si>
  <si>
    <t>mercedes-benz 240d</t>
  </si>
  <si>
    <t>240d</t>
  </si>
  <si>
    <t>honda civic 1500 gl</t>
  </si>
  <si>
    <t>civic 1500 gl</t>
  </si>
  <si>
    <t>renault lecar deluxe</t>
  </si>
  <si>
    <t>lecar deluxe</t>
  </si>
  <si>
    <t>vokswagen rabbit</t>
  </si>
  <si>
    <t>vokswagen</t>
  </si>
  <si>
    <t>datsun 280-zx</t>
  </si>
  <si>
    <t>280-zx</t>
  </si>
  <si>
    <t>mazda rx-7 gs</t>
  </si>
  <si>
    <t>rx-7 gs</t>
  </si>
  <si>
    <t>triumph tr7 coupe</t>
  </si>
  <si>
    <t>triumph</t>
  </si>
  <si>
    <t>tr7 coupe</t>
  </si>
  <si>
    <t>ford mustang cobra</t>
  </si>
  <si>
    <t>mustang cobra</t>
  </si>
  <si>
    <t>honda accord</t>
  </si>
  <si>
    <t>accord</t>
  </si>
  <si>
    <t>plymouth reliant</t>
  </si>
  <si>
    <t>reliant</t>
  </si>
  <si>
    <t>dodge aries wagon (sw)</t>
  </si>
  <si>
    <t>aries wagon (sw)</t>
  </si>
  <si>
    <t>toyota starlet</t>
  </si>
  <si>
    <t>starlet</t>
  </si>
  <si>
    <t>plymouth champ</t>
  </si>
  <si>
    <t>champ</t>
  </si>
  <si>
    <t>honda civic 1300</t>
  </si>
  <si>
    <t>civic 1300</t>
  </si>
  <si>
    <t>datsun 210 mpg</t>
  </si>
  <si>
    <t>210 mpg</t>
  </si>
  <si>
    <t>toyota tercel</t>
  </si>
  <si>
    <t>tercel</t>
  </si>
  <si>
    <t>mazda glc 4</t>
  </si>
  <si>
    <t>glc 4</t>
  </si>
  <si>
    <t>plymouth horizon 4</t>
  </si>
  <si>
    <t>horizon 4</t>
  </si>
  <si>
    <t>ford escort 4w</t>
  </si>
  <si>
    <t>escort 4w</t>
  </si>
  <si>
    <t>ford escort 2h</t>
  </si>
  <si>
    <t>escort 2h</t>
  </si>
  <si>
    <t>volkswagen jetta</t>
  </si>
  <si>
    <t>jetta</t>
  </si>
  <si>
    <t>renault 18i</t>
  </si>
  <si>
    <t>18i</t>
  </si>
  <si>
    <t>honda prelude</t>
  </si>
  <si>
    <t>prelude</t>
  </si>
  <si>
    <t>datsun 200sx</t>
  </si>
  <si>
    <t>200sx</t>
  </si>
  <si>
    <t>peugeot 505s turbo diesel</t>
  </si>
  <si>
    <t>505s turbo diesel</t>
  </si>
  <si>
    <t>saab 900s</t>
  </si>
  <si>
    <t>900s</t>
  </si>
  <si>
    <t>volvo diesel</t>
  </si>
  <si>
    <t>diesel</t>
  </si>
  <si>
    <t>toyota cressida</t>
  </si>
  <si>
    <t>cressida</t>
  </si>
  <si>
    <t>datsun 810 maxima</t>
  </si>
  <si>
    <t>810 maxima</t>
  </si>
  <si>
    <t>oldsmobile cutlass ls</t>
  </si>
  <si>
    <t>cutlass ls</t>
  </si>
  <si>
    <t>ford granada gl</t>
  </si>
  <si>
    <t>granada gl</t>
  </si>
  <si>
    <t>chrysler lebaron salon</t>
  </si>
  <si>
    <t>lebaron salon</t>
  </si>
  <si>
    <t>chevrolet cavalier</t>
  </si>
  <si>
    <t>cavalier</t>
  </si>
  <si>
    <t>chevrolet cavalier wagon</t>
  </si>
  <si>
    <t>cavalier wagon</t>
  </si>
  <si>
    <t>chevrolet cavalier 2-door</t>
  </si>
  <si>
    <t>cavalier 2-door</t>
  </si>
  <si>
    <t>pontiac j2000 se hatchback</t>
  </si>
  <si>
    <t>j2000 se hatchback</t>
  </si>
  <si>
    <t>dodge aries se</t>
  </si>
  <si>
    <t>aries se</t>
  </si>
  <si>
    <t>ford fairmont futura</t>
  </si>
  <si>
    <t>fairmont futura</t>
  </si>
  <si>
    <t>amc concord dl</t>
  </si>
  <si>
    <t>concord dl</t>
  </si>
  <si>
    <t>volkswagen rabbit l</t>
  </si>
  <si>
    <t>rabbit l</t>
  </si>
  <si>
    <t>mazda glc custom l</t>
  </si>
  <si>
    <t>glc custom l</t>
  </si>
  <si>
    <t>mazda glc custom</t>
  </si>
  <si>
    <t>glc custom</t>
  </si>
  <si>
    <t>plymouth horizon miser</t>
  </si>
  <si>
    <t>horizon miser</t>
  </si>
  <si>
    <t>mercury lynx l</t>
  </si>
  <si>
    <t>lynx l</t>
  </si>
  <si>
    <t>nissan stanza xe</t>
  </si>
  <si>
    <t>nissan</t>
  </si>
  <si>
    <t>stanza xe</t>
  </si>
  <si>
    <t>honda civic (auto)</t>
  </si>
  <si>
    <t>civic (auto)</t>
  </si>
  <si>
    <t>datsun 310 gx</t>
  </si>
  <si>
    <t>310 gx</t>
  </si>
  <si>
    <t>buick century limited</t>
  </si>
  <si>
    <t>century limited</t>
  </si>
  <si>
    <t>oldsmobile cutlass ciera (diesel)</t>
  </si>
  <si>
    <t>cutlass ciera (diesel)</t>
  </si>
  <si>
    <t>chrysler lebaron medallion</t>
  </si>
  <si>
    <t>lebaron medallion</t>
  </si>
  <si>
    <t>ford granada l</t>
  </si>
  <si>
    <t>granada l</t>
  </si>
  <si>
    <t>toyota celica gt</t>
  </si>
  <si>
    <t>celica gt</t>
  </si>
  <si>
    <t>dodge charger 2.2</t>
  </si>
  <si>
    <t>charger 2.2</t>
  </si>
  <si>
    <t>chevrolet camaro</t>
  </si>
  <si>
    <t>camaro</t>
  </si>
  <si>
    <t>ford mustang gl</t>
  </si>
  <si>
    <t>mustang gl</t>
  </si>
  <si>
    <t>vw pickup</t>
  </si>
  <si>
    <t>pickup</t>
  </si>
  <si>
    <t>dodge rampage</t>
  </si>
  <si>
    <t>rampage</t>
  </si>
  <si>
    <t>ford ranger</t>
  </si>
  <si>
    <t>ranger</t>
  </si>
  <si>
    <t>chevy s-10</t>
  </si>
  <si>
    <t>s-10</t>
  </si>
  <si>
    <t>GVIF</t>
  </si>
  <si>
    <t>=LAMBDA(X_s, Column_Names, [Allow_Intercept], [Include],
  LET(
    filt_arg, IF(ISOMITTED(Include), TRUE, Include),
    k,        COLUMNS(X_s),
    grp,      IFERROR(LEFT(Column_Names, FIND(": ", Column_Names) - 1), Column_Names),
    IF(COUNTA(UNIQUE(grp, TRUE)) &lt;= 1,
      MAKEARRAY(k, 1, LAMBDA(j, _, 1)),
      LET(
        R,    Correlation_Matrix(X_s, filt_arg),
        detR, MDETERM(R),
        MAKEARRAY(k, 1, LAMBDA(j, _,
          LET(
            g,   INDEX(grp, 1, j),
            own, grp = g,
            R11, FILTER(FILTER(R, TRANSPOSE(own)), own),
            R22, FILTER(FILTER(R, TRANSPOSE(NOT(own))), NOT(own)),
            MDETERM(R11) * MDETERM(R22) / detR
          )
        ))
      )
    )
  ))</t>
  </si>
  <si>
    <t>X_s: column range of predictors (single or multi-column); a categorical predictor contributes a contiguous block of dummy columns
Column_Names: 1×k row vector of column labels aligned with X_s, following the "Header: level" convention (e.g. Constructed_Column_Names()); columns sharing the text before the first ": " are treated as one variable's group
[Allow_Intercept]: TRUE/FALSE — included for interface consistency; the correlation-matrix formula is intercept-invariant
[Include]: boolean array — TRUE includes the row, FALSE excludes it</t>
  </si>
  <si>
    <t>k×1 column vector of GVIF values, one per column of X_s — every dummy column sharing a source variable's group carries the same value</t>
  </si>
  <si>
    <t>How much overlap with the other predictors is inflating a variable's instability — one shared number per variable, even when it spans several dummy columns.</t>
  </si>
  <si>
    <t>Generalized Variance Inflation Factor (Fox &amp; Monette, 1992): GVIF_g = det(R11) * det(R22) / det(R), where R is the k×k correlation matrix of X_s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X_s (det(R) = 0) produces #DIV/0! for every column, not only the collinear ones — the same all-or-nothing failure mode VIF's own 1/(1−R²ⱼ) already has at R²ⱼ = 1, surfaced once instead of per column.</t>
  </si>
  <si>
    <t>Generalized_Tolerance</t>
  </si>
  <si>
    <t>=LAMBDA(X_s, Column_Names, [Allow_Intercept], [Include],
  1 / GVIF(X_s, Column_Names, Allow_Intercept, Include)
)</t>
  </si>
  <si>
    <t>X_s: column range of predictors (single or multi-column); a categorical predictor contributes a contiguous block of dummy columns
Column_Names: 1×k row vector of column labels aligned with X_s, following the "Header: level" convention (e.g. Constructed_Column_Names())
[Allow_Intercept]: TRUE/FALSE — passed through to GVIF; included for interface consistency
[Include]: boolean array — TRUE includes the row, FALSE excludes it</t>
  </si>
  <si>
    <t>k×1 column vector of Generalized Tolerance values (= 1/GVIF), one per column of X_s</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</si>
  <si>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</si>
  <si>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</si>
  <si>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cuda 340</t>
  </si>
  <si>
    <t>Open the Name Manager (Formulas → Name Manager) and update Source_Table (the "Refers To" field) to your table, including its header row — for example =MyTable[#All]. Everything else derives from this one name: the header row, the data body, and the variable list in the MODEL SPECIFICATION block all update automatically. Source_Table points at MileageData by default; a second sample table, LifeExpectancyData (on the Life Expectancy Data sheet), ships with the workbook if you want to practice this retarget before pointing at your own data.</t>
  </si>
  <si>
    <t>GVIF (Generalized Variance Inflation Factor)</t>
  </si>
  <si>
    <t>Col U, Predictor Summary</t>
  </si>
  <si>
    <t>GVIF &gt; 5  (possible collinearity)</t>
  </si>
  <si>
    <t>GVIF &gt; 10  (strong collinearity)</t>
  </si>
  <si>
    <t>Col V, Predictor Summary</t>
  </si>
  <si>
    <t>Multicollinearity
(high GVIF)</t>
  </si>
  <si>
    <t>GVIF &gt; 10 for one or more predictors. A categorical predictor's dummy columns all show the same shared GVIF value — that's the whole variable's collinearity, not a per-level artifact.</t>
  </si>
  <si>
    <t>US</t>
  </si>
  <si>
    <t>Europe</t>
  </si>
  <si>
    <t>Asia</t>
  </si>
  <si>
    <t>Define your model in the MODEL SPECIFICATION block (columns A–L):</t>
  </si>
  <si>
    <t>=LAMBDA(X_s, Y, [Allow_Intercept], [Include], [DF_Absorbed],
  LET(
    allow_arg, IF(ISOMITTED(Allow_Intercept), TRUE, Allow_Intercept),
    filt_arg,  IF(ISOMITTED(Include),          TRUE, Include),
    absorbed_arg, IF(ISOMITTED(DF_Absorbed),   0,    DF_Absorbed),
    Total_Degrees_Of_Freedom(Y, allow_arg, filt_arg) - Regression_Degrees_Of_Freedom(X_s) -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</si>
  <si>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(Absorbed_Degrees_Of_Freedom(), Σ(Gᵢ−1)); subtracted from the residual df. Defaults to 0, so every no-FE caller is unaffected</t>
  </si>
  <si>
    <t>df_residual (n-k-1 with intercept, n-k without, minus DF_Absorbed) as a scalar integer</t>
  </si>
  <si>
    <t>How much data is left to estimate random error after fitting the model, minus any degrees of freedom a Fixed Effects variable has already absorbed.</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</si>
  <si>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Total_Degrees_Of_Freedom(...) - Regression_Degrees_Of_Freedom(...), inheriting the Allow_Intercept correction from Total_Degrees_Of_Freedom.
Under v2.1 Fixed Effects, an optional trailing DF_Absorbed further subtracts the group degrees of freedom already spent demeaning the data (X_s_Within()/y_s() fit on n-K-1 df as an ordinary OLS would count them, but G−1 of those degrees of freedom were spent estimating group means, not model parameters) — omitted or 0, this is the single source of truth every df-dependent statistic downstream (MS_Residual, SE, t, p, CI, AIC/BIC, Prediction_Interval) threads through.</t>
  </si>
  <si>
    <t>=LAMBDA(X_s, Y, [Allow_Intercept], [Include], [DF_Absorbed],
  LET(
    allow_arg, IF(ISOMITTED(Allow_Intercept), TRUE, Allow_Intercept),
    filt_arg,  IF(ISOMITTED(Include),          TRUE, Include),
    absorbed_arg, IF(ISOMITTED(DF_Absorbed),   0,    DF_Absorbed),
    1 - (1 - R_Squared(X_s, Y, allow_arg, filt_arg))
      * Total_Degrees_Of_Freedom(Y,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</si>
  <si>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Residual_Degrees_Of_Freedom(). Defaults to 0 — every no-FE caller is unaffected</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</si>
  <si>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Allow_Intercept correction from both df functions. An optional trailing DF_Absorbed (v2.1 Fixed Effects) threads to Residual_Degrees_Of_Freedom() so the penalty term correctly reflects absorbed group degrees of freedom.</t>
  </si>
  <si>
    <t>=LAMBDA(X_s, Y, [Allow_Intercept], [Include], [DF_Absorbed],
  LET(
    allow_arg, IF(ISOMITTED(Allow_Intercept), TRUE, Allow_Intercept),
    filt_arg,  IF(ISOMITTED(Include),          TRUE, Include),
    absorbed_arg, IF(ISOMITTED(DF_Absorbed),   0,    DF_Absorbed),
    SS_Residual(X_s, Y, allow_arg, filt_arg) / Residual_Degrees_Of_Freedom(X_s, Y, allow_arg, filt_arg, absorbed_arg)
  ))</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</si>
  <si>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</si>
  <si>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=LAMBDA(X_s, Y, [Allow_Intercept], [Include], [DF_Absorbed],
  LET(
    allow_arg, IF(ISOMITTED(Allow_Intercept), TRUE, Allow_Intercept),
    filt_arg,  IF(ISOMITTED(Include),          TRUE, Include),
    absorbed_arg, IF(ISOMITTED(DF_Absorbed),   0,    DF_Absorbed),
    SQRT(SS_Residual(X_s, Y, allow_arg, filt_arg) / Residual_Degrees_Of_Freedom(X_s, Y, allow_arg, filt_arg, absorbed_arg))
  ))</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</si>
  <si>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</si>
  <si>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+ 2 * p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</si>
  <si>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since each absorbed group intercept IS an estimated parameter. Defaults to 0 — every no-FE caller is unaffected</t>
  </si>
  <si>
    <t>AIC = n·ln(SSR/n) + 2p, where p = number of regression parameters (predictors + intercept when Allow_Intercept is TRUE).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</si>
  <si>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n * LN(ssr / n) + p * LN(n)
  ))</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</si>
  <si>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</si>
  <si>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=LAMBDA(X_s, Y, [Allow_Intercept], [Include], [DF_Absorbed],
  LET(
    allow_arg, IF(ISOMITTED(Allow_Intercept), TRUE, Allow_Intercept),
    filt_arg,  IF(ISOMITTED(Include), TRUE, Include),
    absorbed_arg, IF(ISOMITTED(DF_Absorbed), 0, DF_Absorbed),
    n,   Observations(Y, filt_arg),
    ssr, SS_Residual(X_s, Y, allow_arg, filt_arg),
    p,   Regression_Degrees_Of_Freedom(X_s) + IF(allow_arg, 1, 0) + absorbed_arg,
    aic, n * LN(ssr / n) + 2 * p,
    aic + 2 * p * (p + 1) / (n - p - 1)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</si>
  <si>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added directly to the parameter count p (which also appears in the small-sample correction term). Defaults to 0 — every no-FE caller is unaffected</t>
  </si>
  <si>
    <t>AICc = AIC + 2p(p+1)/(n−p−1). The small-sample correction reduces upward bias in AIC when n/p &lt; 40. Converges to AIC as n → ∞.
Under v2.1 Fixed Effects, an optional trailing DF_Absorbed adds directly into p, propagating into both the AIC term and the small-sample correction term.</t>
  </si>
  <si>
    <t>=LAMBDA(X_s, Y, [Allow_Intercept], [Include], [DF_Absorbed],
  LET(
    allow_arg, IF(ISOMITTED(Allow_Intercept), TRUE, Allow_Intercept),
    filt_arg,  IF(ISOMITTED(Include), TRUE, Include),
    absorbed_arg, IF(ISOMITTED(DF_Absorbed), 0, DF_Absorbed),
    sr,        Scaled_Residuals_Ranked(X_s, Y, allow_arg, filt_arg, absorbed_arg),
    n,         ROWS(sr),
    ns,        NORM.S.INV((SEQUENCE(n) - 0.5) / n),
    CORREL(sr, ns)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</si>
  <si>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Scaled_Residuals_Ranked(). Defaults to 0 — every no-FE caller is unaffected</t>
  </si>
  <si>
    <t>=LAMBDA(X_s, Y, [Allow_Intercept], [Include], [DF_Absorbed],
  LET(
    allow_arg, IF(ISOMITTED(Allow_Intercept), TRUE, Allow_Intercept),
    filt_arg,  IF(ISOMITTED(Include),          TRUE, Include),
    absorbed_arg, IF(ISOMITTED(DF_Absorbed),   0,    DF_Absorbed),
    ls,        LINEST(FILTER(Y, filt_arg), FILTER(X_s, filt_arg), allow_arg, TRUE),
    ses,       INDEX(ls, 2),
    k,         COLUMNS(X_s),
    naive_df,  Residual_Degrees_Of_Freedom(X_s, Y, allow_arg, filt_arg),
    true_df,   naive_df - absorbed_arg,
    scale,     SQRT(naive_df / true_df),
    TRANSPOSE(IF(allow_arg,
      HSTACK(INDEX(ses, 1, k + 1), CHOOSECOLS(ses, SEQUENCE(1, k, k, -1))),
      CHOOSECOLS(ses, SEQUENCE(1, k, k, -1))
    )) * scale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</si>
  <si>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LINEST cannot be told a different df, so this RESCALES its output by SQRT(naive_df / (naive_df − DF_Absorbed)) — exact, since SS_Residual and (X'X)⁻¹ are identical between the two dfs, only the variance scaling differs. Defaults to 0, giving scale = 1 — every no-FE caller is unaffected</t>
  </si>
  <si>
    <t>How uncertain each fitted coefficient is — rescaled under Fixed Effects since Excel's LINEST can't be told about the absorbed groups directly.</t>
  </si>
  <si>
    <t>Returns a vertical spill array of the standard errors of the fitted OLS coefficients, in the same order as Coefficients (intercept first when included).
Uses LINEST with stats=TRUE and extracts row 2 (the standard error row), then applies the same reversal as Coefficients.
Under v2.1 Fixed Effects, LINEST is an Excel built-in that always computes its own SE using its own internal residual df (n−k−intercept) — it cannot be told about degrees of freedom absorbed by an FE group it never sees, since it only sees the already-demeaned X_s_Within()/y_s(). The fix is an exact rescaling, not an approximation: SS_Residual and (X'X)⁻¹ are identical whichever df is used (OLS coefficients and their sum-of-squares don't depend on df, only the variance-to-SE conversion does), so the correct SE is LINEST's SE times SQRT(naive_df / true_df), where naive_df is exactly what LINEST assumed and true_df subtracts DF_Absorbed. With DF_Absorbed omitted or 0, the scale factor is SQRT(naive_df/naive_df) = 1 exactly, so every no-FE caller is bit-identical to before.</t>
  </si>
  <si>
    <t>=LAMBDA(X_s, Y, [Allow_Intercept], [Include], [DF_Absorbed],
  LET(
    allow_arg, IF(ISOMITTED(Allow_Intercept), TRUE, Allow_Intercept),
    filt_arg,  IF(ISOMITTED(Include),          TRUE, Include),
    absorbed_arg, IF(ISOMITTED(DF_Absorbed),   0,    DF_Absorbed),
    Coefficients(X_s, Y, allow_arg, filt_arg) / SE_Coefficients(X_s,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</si>
  <si>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SE_Coefficients() — Coefficients() itself is unaffected by df. Defaults to 0 — every no-FE caller is unaffected</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</si>
  <si>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</si>
  <si>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=LAMBDA(X_s, Y, [Allow_Intercept], [Include], [DF_Absorbed],
  LET(
    allow_arg, IF(ISOMITTED(Allow_Intercept), TRUE, Allow_Intercept),
    filt_arg,  IF(ISOMITTED(Include),          TRUE, Include),
    absorbed_arg, IF(ISOMITTED(DF_Absorbed),   0,    DF_Absorbed),
    T.DIST.2T(ABS(T_Statistics(X_s, Y, allow_arg, filt_arg, absorbed_arg)),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</si>
  <si>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T_Statistics() and Residual_Degrees_Of_Freedom(). Defaults to 0 — every no-FE caller is unaffected</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</si>
  <si>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</si>
  <si>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</si>
  <si>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X_s: column range of predictors (single or multi-column)
Y: single-column outcome range
[Allow_Intercept]: TRUE/FALSE — fit intercept? Default TRUE
[Include]: boolean array — TRUE includes the row, FALSE excludes it
[Alpha]: significance level (0–1); default 0.05 yields 95% CIs.
[DF_Absorbed]: degrees of freedom absorbed by declared Fixed Effects groups, threaded to both Residual_Degrees_Of_Freedom() and SE_Coefficients(). Defaults to 0 — every no-FE caller is unaffected</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</si>
  <si>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</si>
  <si>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=LAMBDA(X_s, Y, [Allow_Intercept], [Include], [Alpha], [DF_Absorbed],
  LET(
    allow_arg,   IF(ISOMITTED(Allow_Intercept), TRUE, Allow_Intercept),
    filt_arg,    IF(ISOMITTED(Include),          TRUE, Include),
    alpha_arg,   IF(ISOMITTED(Alpha),           0.05, Alpha),
    absorbed_arg, IF(ISOMITTED(DF_Absorbed),    0,    DF_Absorbed),
    Coefficients(X_s, Y, allow_arg, filt_arg)
      + T.INV.2T(alpha_arg, Residual_Degrees_Of_Freedom(X_s, Y, allow_arg, filt_arg, absorbed_arg))
        * SE_Coefficients(X_s, Y, allow_arg, filt_arg, absorbed_arg)
  ))</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</si>
  <si>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</si>
  <si>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t^2 / (t^2 + df)
  ))</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</si>
  <si>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</si>
  <si>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=LAMBDA(X_s, Y, [Allow_Intercept], [Include], [DF_Absorbed],
  LET(
    allow_arg, IF(ISOMITTED(Allow_Intercept), TRUE, Allow_Intercept),
    filt_arg,  IF(ISOMITTED(Include),          TRUE, Include),
    absorbed_arg, IF(ISOMITTED(DF_Absorbed),   0,    DF_Absorbed),
    t,         T_Statistics(X_s, Y, allow_arg, filt_arg, absorbed_arg),
    df,        Residual_Degrees_Of_Freedom(X_s, Y, allow_arg, filt_arg, absorbed_arg),
    t / SQRT(t^2 + df)
  ))</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</si>
  <si>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</si>
  <si>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=LAMBDA(X_s, Y, X_new, [Allow_Intercept], [Include], [alpha], [DF_Absorbed],
  LET(
    allow_arg,     IF(ISOMITTED(Allow_Intercept), TRUE, Allow_Intercept),
    filt_arg,      IF(ISOMITTED(Include),          TRUE, Include),
    alpha_arg,     IF(ISOMITTED(alpha),           0.05, alpha),
    absorbed_arg,  IF(ISOMITTED(DF_Absorbed),     0,    DF_Absorbed),
    X_design,      Design_Matrix(X_s, allow_arg, filt_arg),
    beta,          Coefficients(X_s, Y, allow_arg, filt_arg),
    s,             SE_Regression(X_s, Y, allow_arg, filt_arg, absorbed_arg),
    df,            Residual_Degrees_Of_Freedom(X_s, Y, allow_arg, filt_arg, absorbed_arg),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</si>
  <si>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[Include]: boolean array — TRUE includes the row, FALSE excludes it
[alpha]: significance level (0–1); default 0.05 yields 95% prediction intervals
[DF_Absorbed]: degrees of freedom absorbed by declared Fixed Effects groups, threaded to both SE_Regression() and Residual_Degrees_Of_Freedom(). Defaults to 0 — every no-FE caller is unaffected</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</si>
  <si>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X_s — it is not a well-defined FE prediction on its own under Fixed Effects; Group_Prediction_Interval is the group-mean-relative sibling that adds the ȳᵢ/x̄ᵢ recovery machinery.</t>
  </si>
  <si>
    <t>Group_Prediction_Interval</t>
  </si>
  <si>
    <t>X_s: column range of predictors, raw (not pre-demeaned) — single or multi-column
Y: single-column outcome range, raw (not pre-demeaned)
X_new: column vector of raw predictor values for the new observation, k rows matching COLUMNS(X_s) — no intercept placeholder (group-mean recovery never uses one)
group: single-column grouping key (Prediction_Group_Column(): the Fixed Effects column, or a constant single group when none is declared)
selected_group: the one group value to predict for (a dropdown-selected panel unit, or the constant "(all)" sentinel when no Fixed Effects row is declared)
[Allow_Intercept]: TRUE/FALSE — fit intercept in the within regression? Default TRUE. Does not change the point estimate (an intercept fit on group-demeaned data is always exactly 0), only how Coefficients()'s output is sliced
[Include]: boolean array — TRUE includes the row, FALSE excludes it
[alpha]: significance level (0–1); default 0.05 yields 95% intervals
[DF_Absorbed]: degrees of freedom absorbed by declared Fixed Effects groups, threaded to SE_Regression() and Residual_Degrees_Of_Freedom(). Defaults to 0</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</si>
  <si>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</si>
  <si>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</si>
  <si>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X_s/Y internally via Demean_By(·, group, include) rather than accepting pre-demeaned X_s_Within()/y_s(): those return the RAW X_s()/Response_Column()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Allow_Intercept.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</si>
  <si>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=LAMBDA(X_s, Y, [Allow_Intercept], [Include], [DF_Absorbed],
  LET(
    allow_arg, IF(ISOMITTED(Allow_Intercept), TRUE, Allow_Intercept),
    filt_arg,  IF(ISOMITTED(Include), TRUE, Include),
    absorbed_arg, IF(ISOMITTED(DF_Absorbed), 0, DF_Absorbed),
    Residuals(X_s, Y, allow_arg, filt_arg)
      / SE_Regression(X_s,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</si>
  <si>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SE_Regression(). Defaults to 0 — every no-FE caller is unaffected</t>
  </si>
  <si>
    <t>=LAMBDA(X_s, Y, [Allow_Intercept], [Include], [DF_Absorbed],
  LET(
    allow_arg, IF(ISOMITTED(Allow_Intercept), TRUE, Allow_Intercept),
    filt_arg,  IF(ISOMITTED(Include), TRUE, Include),
    absorbed_arg, IF(ISOMITTED(DF_Absorbed), 0, DF_Absorbed),
    e,         Residuals(X_s, Y, allow_arg, filt_arg),
    se,        SE_Regression(X_s, Y, allow_arg, filt_arg, absorbed_arg),
    h,         Hat_Diagonal(X_s, allow_arg, filt_arg),
    IFERROR(e / (se * SQRT(1 - h)), NA())
  ))</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</si>
  <si>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</si>
  <si>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=LAMBDA(X_s, Y, [Allow_Intercept], [Include], [DF_Absorbed],
  LET(
    allow_arg, IF(ISOMITTED(Allow_Intercept), TRUE, Allow_Intercept),
    filt_arg,  IF(ISOMITTED(Include), TRUE, Include),
    absorbed_arg, IF(ISOMITTED(DF_Absorbed), 0, DF_Absorbed),
    SORT(Studentized_Residuals(X_s,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</si>
  <si>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Studentized_Residuals(). Defaults to 0 — every no-FE caller is unaffected</t>
  </si>
  <si>
    <t>=LAMBDA(X_s, Y, [Allow_Intercept], [Include], [DF_Absorbed],
  LET(
    allow_arg, IF(ISOMITTED(Allow_Intercept), TRUE, Allow_Intercept),
    filt_arg,  IF(ISOMITTED(Include), TRUE, Include),
    absorbed_arg, IF(ISOMITTED(DF_Absorbed), 0, DF_Absorbed),
    r,         Studentized_Residuals(X_s, Y, allow_arg, filt_arg, absorbed_arg),
    h,         Hat_Diagonal(X_s, allow_arg, filt_arg),
    p,         COLUMNS(Design_Matrix(X_s, allow_arg, filt_arg)),
    r ^ 2 * h / ((1 - h) * p)
  ))</t>
  </si>
  <si>
    <t>=LAMBDA(X_s, Y, [Allow_Intercept], [Include], [DF_Absorbed],
  LET(
    allow_arg, IF(ISOMITTED(Allow_Intercept), TRUE, Allow_Intercept),
    filt_arg,  IF(ISOMITTED(Include), TRUE, Include),
    absorbed_arg, IF(ISOMITTED(DF_Absorbed), 0, DF_Absorbed),
    SORT(Scaled_Residuals(X_s,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</si>
  <si>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Scaled_Residuals(). Defaults to 0 — every no-FE caller is unaffected</t>
  </si>
  <si>
    <t>=LAMBDA(X_s, Y, [Allow_Intercept], [Include], [DF_Absorbed],
  LET(
    allow_arg, IF(ISOMITTED(Allow_Intercept), TRUE, Allow_Intercept),
    filt_arg,  IF(ISOMITTED(Include),          TRUE, Include),
    absorbed_arg, IF(ISOMITTED(DF_Absorbed),   0,    DF_Absorbed),
    SS_Regression(X_s, Y, allow_arg, filt_arg) / Regression_Degrees_Of_Freedom(X_s) /
    (SS_Residual(X_s, Y, allow_arg, filt_arg) / Residual_Degrees_Of_Freedom(X_s, Y, allow_arg, filt_arg, absorbed_arg))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</si>
  <si>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the denominator's Residual_Degrees_Of_Freedom() (numerator df is unaffected — absorbed groups aren't estimated slope coefficients). Defaults to 0 — every no-FE caller is unaffected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</si>
  <si>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</si>
  <si>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=LAMBDA(X_s, Y, [Allow_Intercept], [Include], [DF_Absorbed],
  LET(
    allow_arg, IF(ISOMITTED(Allow_Intercept), TRUE, Allow_Intercept),
    filt_arg,  IF(ISOMITTED(Include),          TRUE, Include),
    absorbed_arg, IF(ISOMITTED(DF_Absorbed),   0,    DF_Absorbed),
    F.DIST.RT(
      F_Statistic(X_s, Y, allow_arg, filt_arg, absorbed_arg),
      Regression_Degrees_Of_Freedom(X_s),
      Residual_Degrees_Of_Freedom(X_s, Y, allow_arg, filt_arg, absorbed_arg)
    )
  ))</t>
  </si>
  <si>
    <t>X_s: column range of predictors (single or multi-column)
Y: single-column outcome range
[Allow_Intercept]: TRUE/FALSE — fit intercept? Default TRUE
[Include]: boolean array — TRUE includes the row, FALSE excludes it
[DF_Absorbed]: degrees of freedom absorbed by declared Fixed Effects groups, threaded to both F_Statistic() and the denominator df of F.DIST.RT. Defaults to 0 — every no-FE caller is unaffected</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</si>
  <si>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</si>
  <si>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Group_Mean</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</si>
  <si>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</si>
  <si>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</si>
  <si>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</si>
  <si>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X_s()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</si>
  <si>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</si>
  <si>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</si>
  <si>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</si>
  <si>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</si>
  <si>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</si>
  <si>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</si>
  <si>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</si>
  <si>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</si>
  <si>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</si>
  <si>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</si>
  <si>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</si>
  <si>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v2.7+ concern, ships now as a standalone diagnostic ahead of that milestone.</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</si>
  <si>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</si>
  <si>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</si>
  <si>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</si>
  <si>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</si>
  <si>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</si>
  <si>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</si>
  <si>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</si>
  <si>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</si>
  <si>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</si>
  <si>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</si>
  <si>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</si>
  <si>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</si>
  <si>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</si>
  <si>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</si>
  <si>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</si>
  <si>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</si>
  <si>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 (v2.7+).</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</si>
  <si>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</si>
  <si>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</si>
  <si>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</si>
  <si>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</si>
  <si>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y_s()/X_s_Within()'s own fe_active branch: those return the RAW (uncentered) Response_Column()/X_s() when inactive, preserving the v2.0 model's own separately-fit intercept exactly. Group_Prediction_Interval needs a properly group-demeaned (here, grand-mean-centered) matrix for its variance term regardless of FE status, so it always re-demeans by this column rather than reusing X_s_Within() directly.</t>
  </si>
  <si>
    <t>y_s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</si>
  <si>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</si>
  <si>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</si>
  <si>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</si>
  <si>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y_s is the fit-time Response for the Regression sheet — the v2.1 Fixed Effects counterpart to X_s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y_s()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y_s()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</si>
  <si>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X_s_Within</t>
  </si>
  <si>
    <t>The fit-time design matrix: X_s() unchanged when no Fixed Effects row is declared, or each of its columns one-way within-transformed (group-demeaned) when one is; full height, same width as X_s().</t>
  </si>
  <si>
    <t>The design matrix the model actually fits: unchanged with no Fixed Effects, or with each predictor column's group average subtracted out when a Fixed Effects variable is declared.</t>
  </si>
  <si>
    <t>Enter a value for each design-matrix column in the orange cells under PREDICTION INPUTS (column AH) — one row per constructed column, including one per dummy (use 1 for the scenario's level, 0 for its siblings; no Intercept row — the model's own baseline is handled automatically). The Training Mean column beside the inputs shows each column's mean over the analysis sample, which is also the prefilled default — so the untouched prediction is at the data's center. Results appear in the PREDICTION OUTPUTS box above as both a mean-response confidence interval (CI) and a wider new-observation prediction interval (PI); the confidence level is controlled by the Alpha cell (Y12) in REGRESSION OUTPUTS. If a Fixed Effects variable is declared, the FE Group cell above the inputs selects which group's own average the prediction is anchored to.</t>
  </si>
  <si>
    <t>=LAMBDA(X_s, Y, X_new, group, selected_group, [Allow_Intercept], [Include], [alpha], [DF_Absorbed],
  LET(
    allow_arg,    IF(ISOMITTED(Allow_Intercept), TRUE, Allow_Intercept),
    filt_arg,     IF(ISOMITTED(Include),          TRUE, Include),
    alpha_arg,    IF(ISOMITTED(alpha),            0.05, alpha),
    absorbed_arg, IF(ISOMITTED(DF_Absorbed),      0,    DF_Absorbed),
    x_within,     LET(
                      n_x,   COLUMNS(X_s),
                      seed,  SEQUENCE(ROWS(X_s), 1, 0, 0),
                      built, REDUCE(seed, SEQUENCE(n_x), LAMBDA(acc, j,
                          HSTACK(acc, Demean_By(INDEX(X_s, 0, j), group, filt_arg))
                      )),
                      DROP(built, , 1)
                  ),
    y_within,     Demean_By(Y, group, filt_arg),
    beta_full,    Coefficients(x_within, y_within, allow_arg, filt_arg),
    beta,         IF(allow_arg, DROP(beta_full, 1), beta_full),
    s,            SE_Regression(x_within, y_within, allow_arg, filt_arg, absorbed_arg),
    df,           Residual_Degrees_Of_Freedom(x_within, y_within, allow_arg, filt_arg, absorbed_arg),
    t_crit,       T.INV.2T(alpha_arg, df),
    X_design,     Design_Matrix(x_within, FALSE, filt_arg),
    XtX_inv,      Gram_Inverse(X_design),
    xbar_i,       TRANSPOSE(BYCOL(X_s,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</si>
  <si>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</si>
  <si>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=LAMBDA(LET(
    n_c,       COLUMNS(Source_Data),
    fe_active, SUMPRODUCT(N(TAKE(Spec_Role, n_c) = "Fixed Effects")) &gt; 0,
    IF(NOT(fe_active),
       X_s(),
       LET(
           fe,    Fixed_Effects_Column(),
           inc,   Sample_Include(),
           xs,    X_s(),
           n_x,   COLUMNS(xs),
           seed,  SEQUENCE(ROWS(xs), 1, 0, 0),
           built, REDUCE(seed, SEQUENCE(n_x), LAMBDA(acc, j,
               HSTACK(acc, Demean_By(INDEX(xs, 0, j), fe, inc))
           )),
           DROP(built, , 1)
       )
    )
))</t>
  </si>
  <si>
    <t>X_s_Within is the fit-time design matrix for the Regression sheet — the predictor-side counterpart to y_s. With no declared Fixed Effects row it is X_s() unchanged; with one declared, a REDUCE+HSTACK builds a new matrix column-by-column, demeaning each constructed column of X_s()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X_s() itself uses for column-by-column assembly.)
Shipped as a NEW function alongside y_s, for the identical reason: X_s() has raw-predictor consumers that must not see demeaned values — the Predictor Summary zone (Pearson_R, Spearman_R, Skewness, Kurtosis, GVIF, Generalized_Tolerance) characterizes each predictor's own distribution, and Constructed_Column_Names() labels columns positionally against X_s(), not X_s_Within(). Only the fit/inference/prediction/residual chain (Coefficients, Predictions, Residuals, Hat_Diagonal, Cooks_Distance, and everything built from them) is repointed to X_s_Within() — repointing which columns those formulas READ, not a change to what X_s() itself returns.
The no-FE branch returns X_s() itself, unchanged, so every existing no-FE model is unaffected by construction — including its error behavior: a zero-predictor spec that makes X_s() itself error propagates through X_s_Within() identically, never masked.</t>
  </si>
  <si>
    <t>Lot_ID</t>
  </si>
  <si>
    <t>Facility</t>
  </si>
  <si>
    <t>Fiscal_Year</t>
  </si>
  <si>
    <t>Lot_Quantity</t>
  </si>
  <si>
    <t>Cumulative_Units</t>
  </si>
  <si>
    <t>Experience_Stock</t>
  </si>
  <si>
    <t>Unit_Cost_BY</t>
  </si>
  <si>
    <t>log Cum Units</t>
  </si>
  <si>
    <t>log experience</t>
  </si>
  <si>
    <t>log Unit Cost</t>
  </si>
  <si>
    <t>LOT-001</t>
  </si>
  <si>
    <t>Site A</t>
  </si>
  <si>
    <t>LOT-002</t>
  </si>
  <si>
    <t>LOT-003</t>
  </si>
  <si>
    <t>LOT-004</t>
  </si>
  <si>
    <t>LOT-005</t>
  </si>
  <si>
    <t>LOT-006</t>
  </si>
  <si>
    <t>LOT-007</t>
  </si>
  <si>
    <t>LOT-008</t>
  </si>
  <si>
    <t>LOT-009</t>
  </si>
  <si>
    <t>LOT-010</t>
  </si>
  <si>
    <t>LOT-011</t>
  </si>
  <si>
    <t>LOT-012</t>
  </si>
  <si>
    <t>LOT-013</t>
  </si>
  <si>
    <t>LOT-014</t>
  </si>
  <si>
    <t>LOT-015</t>
  </si>
  <si>
    <t>LOT-016</t>
  </si>
  <si>
    <t>LOT-017</t>
  </si>
  <si>
    <t>LOT-018</t>
  </si>
  <si>
    <t>LOT-019</t>
  </si>
  <si>
    <t>Site B</t>
  </si>
  <si>
    <t>LOT-020</t>
  </si>
  <si>
    <t>LOT-021</t>
  </si>
  <si>
    <t>LOT-022</t>
  </si>
  <si>
    <t>LOT-023</t>
  </si>
  <si>
    <t>LOT-024</t>
  </si>
  <si>
    <t>LOT-025</t>
  </si>
  <si>
    <t>LOT-026</t>
  </si>
  <si>
    <t>LOT-027</t>
  </si>
  <si>
    <t>LOT-028</t>
  </si>
  <si>
    <t>LOT-029</t>
  </si>
  <si>
    <t>LOT-030</t>
  </si>
  <si>
    <t>LOT-031</t>
  </si>
  <si>
    <t>LOT-032</t>
  </si>
  <si>
    <t>LOT-033</t>
  </si>
  <si>
    <t>LOT-034</t>
  </si>
  <si>
    <t>LOT-035</t>
  </si>
  <si>
    <t>LOT-036</t>
  </si>
  <si>
    <t>LOT-037</t>
  </si>
  <si>
    <t>LOT-038</t>
  </si>
  <si>
    <t>LOT-039</t>
  </si>
  <si>
    <t>Site C</t>
  </si>
  <si>
    <t>LOT-040</t>
  </si>
  <si>
    <t>LOT-041</t>
  </si>
  <si>
    <t>LOT-042</t>
  </si>
  <si>
    <t>LOT-043</t>
  </si>
  <si>
    <t>LOT-044</t>
  </si>
  <si>
    <t>LOT-045</t>
  </si>
  <si>
    <t>LOT-046</t>
  </si>
  <si>
    <t>LOT-047</t>
  </si>
  <si>
    <t>LOT-048</t>
  </si>
  <si>
    <t>LOT-049</t>
  </si>
  <si>
    <t>LOT-050</t>
  </si>
  <si>
    <t>LOT-051</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</si>
  <si>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</si>
  <si>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</si>
  <si>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</si>
  <si>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</si>
  <si>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</si>
  <si>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Ln_Positive returns the natural log of x, restricted to strictly positive numeric input. It is the primitive behind the Regression sheet's Transform = Log spec option (column G): the model spec block's Response_Column(), X_s(),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</si>
  <si>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</si>
  <si>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</si>
  <si>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</si>
  <si>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y_s()) automatically fits in log space the instant Log is declared, with no call-site changes. This differs from the v2.1 FE precedent (y_s()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</si>
  <si>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</si>
  <si>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</si>
  <si>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</si>
  <si>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</si>
  <si>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</si>
  <si>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Horizontal header row of level-qualified names for X_s(); always the same width as COLUMNS(X_s()). A Continuous predictor's name is relabelled 'Ln(name)' when that row's Transform is Log.</t>
  </si>
  <si>
    <t>The column headings for the design matrix — like 'Status: Developing', 'Year: 2001', or 'Ln(Weight)' for a logged predictor — one per X_s column.</t>
  </si>
  <si>
    <t>Sheet-scoped header strip for the Model Construction sheet: the structural twin of X_s.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COLUMNS(X_s()); QC asserts the two never diverge. The degenerate skip tests ISNA(INDEX(lv,1,1)), a scalar: lv is a 1x(L-1) row, and an array ISNA condition in front of a wider HSTACK branch broadcasts to #N/A, so the guard must be scalarized.</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</si>
  <si>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</si>
  <si>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</si>
  <si>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Horizontal row of per-column Transform flags ('Log' or 'None') aligned to X_s(); always the same width as COLUMNS(X_s()). Every dummy column contributed by a Categorical Predictor reads 'None', regardless of that row's own Transform cell.</t>
  </si>
  <si>
    <t>Which constructed columns are natural-logged ('Log') versus untouched ('None') — one flag per X_s() column, with every dummy column from a Categorical Predictor always 'None'.</t>
  </si>
  <si>
    <t>Sheet-scoped Transform-flag strip for the Model Construction sheet: the third structural twin of X_s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X_s()'s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X_s() itself uses. The retained-levels EXPAND is inlined, never LET-bound, for the same eager-empty-array reason X_s()'s own dummy branch inlines its broadcast.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</si>
</sst>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CAEDFB"/>
        <bgColor indexed="64"/>
      </patternFill>
    </fill>
    <fill>
      <patternFill patternType="solid">
        <fgColor rgb="FFDCE6F1"/>
        <bgColor indexed="64"/>
      </patternFill>
    </fill>
    <fill>
      <patternFill patternType="solid">
        <fgColor rgb="FFFBE2D5"/>
        <bgColor indexed="64"/>
      </patternFill>
    </fill>
  </fills>
  <borders count="1">
    <border>
      <left/>
      <right/>
      <top/>
      <bottom/>
      <diagonal/>
    </border>
  </borders>
  <cellStyleXfs count="1">
    <xf numFmtId="0" fontId="0" fillId="0" borderId="0"/>
  </cellStyleXfs>
  <cellXfs count="10">
    <xf numFmtId="0" fontId="0" fillId="0" borderId="0" xfId="0"/>
    <xf numFmtId="49" fontId="0" fillId="0" borderId="0" xfId="0" applyNumberFormat="1" applyAlignment="1">
      <alignment wrapText="1"/>
    </xf>
    <xf numFmtId="0" fontId="0" fillId="0" borderId="0" xfId="0" applyAlignment="1">
      <alignment wrapText="1"/>
    </xf>
    <xf numFmtId="0" fontId="1" fillId="2" borderId="0" xfId="0" applyFont="1" applyFill="1"/>
    <xf numFmtId="0" fontId="0" fillId="3" borderId="0" xfId="0" applyFill="1"/>
    <xf numFmtId="0" fontId="1" fillId="3" borderId="0" xfId="0" applyFont="1" applyFill="1"/>
    <xf numFmtId="0" fontId="0" fillId="2" borderId="0" xfId="0" applyFill="1"/>
    <xf numFmtId="0" fontId="0" fillId="4" borderId="0" xfId="0" applyFill="1"/>
    <xf numFmtId="14" fontId="0" fillId="0" borderId="0" xfId="0" applyNumberFormat="1"/>
    <xf numFmtId="0" fontId="0" fillId="0" borderId="0" xfId="0" quotePrefix="1"/>
  </cellXfs>
  <cellStyles count="1">
    <cellStyle name="Normal" xfId="0" builtinId="0"/>
  </cellStyles>
  <dxfs count="49">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fill>
        <patternFill patternType="solid">
          <fgColor indexed="64"/>
          <bgColor rgb="FFDCE6F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b/>
        <i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FFFFFF"/>
      </font>
    </dxf>
    <dxf>
      <font>
        <color rgb="FF9C0006"/>
      </font>
      <fill>
        <patternFill>
          <bgColor rgb="FFFFC7CE"/>
        </patternFill>
      </fill>
    </dxf>
    <dxf>
      <font>
        <color rgb="FFFFFFFF"/>
      </font>
    </dxf>
    <dxf>
      <font>
        <color rgb="FF9C6500"/>
      </font>
      <fill>
        <patternFill>
          <bgColor rgb="FFFFEB9C"/>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
      <font>
        <color rgb="FFFBE2D5"/>
      </font>
    </dxf>
    <dxf>
      <font>
        <color rgb="FF9C0006"/>
      </font>
      <fill>
        <patternFill>
          <bgColor rgb="FFFFC7CE"/>
        </patternFill>
      </fill>
    </dxf>
    <dxf>
      <font>
        <color rgb="FFFBE2D5"/>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BA4121-005E-4990-AD91-1BBB4EFA2466}" name="MileageData" displayName="MileageData" ref="A1:L407" totalsRowShown="0">
  <autoFilter ref="A1:L407" xr:uid="{37BA4121-005E-4990-AD91-1BBB4EFA2466}"/>
  <tableColumns count="12">
    <tableColumn id="1" xr3:uid="{DB1F05EE-0B42-48C1-A0D2-5E5CD8B2D2E2}" name="MPG"/>
    <tableColumn id="2" xr3:uid="{85EDF7E5-538A-4D9D-8E82-D486C2C4F7B1}" name="Cylinders"/>
    <tableColumn id="3" xr3:uid="{B3239ABA-3654-405D-9C8C-C021451E07F5}" name="Displacement"/>
    <tableColumn id="4" xr3:uid="{7A5E04D1-0735-4B20-9D4A-FE55B70A5CA0}" name="Horsepower"/>
    <tableColumn id="5" xr3:uid="{218AA580-7329-46EC-9057-A95B99767C52}" name="Weight"/>
    <tableColumn id="6" xr3:uid="{5F0C3546-7C55-4839-B8D6-5D5B02369ADD}" name="Acceleration"/>
    <tableColumn id="7" xr3:uid="{EC1EF661-C0AA-4B22-AD9C-BAAF898B7983}" name="Model Year"/>
    <tableColumn id="8" xr3:uid="{425541D1-17B7-4118-9D5F-4A68B858F9FF}" name="Origin"/>
    <tableColumn id="9" xr3:uid="{1470436C-0F78-4D39-8855-4B590784003B}" name="Car Name"/>
    <tableColumn id="10" xr3:uid="{B9041DE5-9E94-4BF5-B807-2B7AA351CFA3}" name="Make"/>
    <tableColumn id="11" xr3:uid="{79302D79-4CA3-4F7F-8840-4B959EA2C0A2}" name="Model?"/>
    <tableColumn id="12" xr3:uid="{A11212CB-0324-4C98-B06E-780D239FB4B5}" name="Full_Data">
      <calculatedColumnFormula>Data_Completeness(MileageData[[#This Row],[MPG]:[Acceleration]])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E812BF-642A-4EF5-9249-E270DA88D4C3}" name="LifeExpectancyData" displayName="LifeExpectancyData" ref="A1:W2939" totalsRowShown="0">
  <autoFilter ref="A1:W2939" xr:uid="{EBE812BF-642A-4EF5-9249-E270DA88D4C3}"/>
  <tableColumns count="23">
    <tableColumn id="1" xr3:uid="{D6F1D933-50E7-413B-A600-C7A138296D89}" name="Country"/>
    <tableColumn id="2" xr3:uid="{56AAFE3D-CF4D-4C3C-8BEE-E50470E3120B}" name="Year"/>
    <tableColumn id="3" xr3:uid="{9D9D28F4-E53E-4908-BEBD-3A84860E5119}" name="Status"/>
    <tableColumn id="4" xr3:uid="{0F5A0B7D-466B-4FDC-8E40-46726D392007}" name="Life expectancy"/>
    <tableColumn id="5" xr3:uid="{15645E8E-AD93-4791-BB58-32D71DB54E0E}" name="Adult Mortality"/>
    <tableColumn id="6" xr3:uid="{2BCB0BC6-809E-44F9-8490-AF6DE66D4526}" name="infant deaths"/>
    <tableColumn id="7" xr3:uid="{297CE798-A278-4A2D-A430-6E2F856FD8E0}" name="Alcohol"/>
    <tableColumn id="8" xr3:uid="{05CA60E1-6E23-458A-B298-D052E0130A86}" name="percentage expenditure"/>
    <tableColumn id="9" xr3:uid="{F6FA7CBC-26E7-4098-84D4-4060359F1D23}" name="Hepatitis B"/>
    <tableColumn id="10" xr3:uid="{66DC004B-6DE3-44D9-B2A7-1AF0BF61FCC8}" name="Measles"/>
    <tableColumn id="11" xr3:uid="{C5E5E610-6892-4A5B-A753-EF39F8047476}" name="BMI"/>
    <tableColumn id="12" xr3:uid="{F35E317D-682F-4361-B752-9E63E5461E87}" name="under-five deaths"/>
    <tableColumn id="13" xr3:uid="{DCCD62AE-42C4-464A-AEE8-D8EB9DD1A5AC}" name="Polio"/>
    <tableColumn id="14" xr3:uid="{E1B8A1B9-FCC3-4F76-9328-536F44A572A6}" name="Total expenditure"/>
    <tableColumn id="15" xr3:uid="{142D20D4-E8D0-4B1F-B39C-995EEFBDD861}" name="Diphtheria"/>
    <tableColumn id="16" xr3:uid="{94ECDFCC-9333-4DFA-AA29-54D16294B2AC}" name="HIV/AIDS"/>
    <tableColumn id="17" xr3:uid="{679804E6-E0EB-4723-A1AD-5DEF162B499D}" name="GDP"/>
    <tableColumn id="18" xr3:uid="{9A9E7E4D-38AE-4F82-B298-E27B09A8E3EC}" name="Population"/>
    <tableColumn id="19" xr3:uid="{43AD7E47-3DCD-4F1D-8268-CDC40A49AB4B}" name="thinness 1-19 years"/>
    <tableColumn id="20" xr3:uid="{EC5729CC-5D23-4354-829D-CDF0EB1F7A0E}" name="thinness 5-9 years"/>
    <tableColumn id="21" xr3:uid="{0C919AC1-E221-4C76-88AF-16D7FE04682D}" name="Income composition of resources"/>
    <tableColumn id="22" xr3:uid="{4FD8AAC6-94A8-43D1-8E56-EFCB18970A80}" name="Schooling"/>
    <tableColumn id="23" xr3:uid="{390678A3-DCD3-44FB-923F-F552CD8AC61D}"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D7E517-F5EE-453F-99E9-8191D1EFDDC9}" name="ProductionLotsData" displayName="ProductionLotsData" ref="A1:K52" totalsRowShown="0">
  <autoFilter ref="A1:K52" xr:uid="{DED7E517-F5EE-453F-99E9-8191D1EFDDC9}"/>
  <tableColumns count="11">
    <tableColumn id="1" xr3:uid="{652E9177-1290-45B9-81C6-1E5B1FAA414B}" name="Lot_ID"/>
    <tableColumn id="2" xr3:uid="{E3FAF983-5F7E-4E01-ABAF-3373C01DAA95}" name="Facility"/>
    <tableColumn id="3" xr3:uid="{280401B4-B2E6-4B76-A157-D20579E23668}" name="Fiscal_Year"/>
    <tableColumn id="4" xr3:uid="{CE494E05-0844-4168-89F0-DA5DC6117FA5}" name="Lot_Quantity"/>
    <tableColumn id="5" xr3:uid="{D64CA8B2-61A6-48F3-8C70-2AEB7B57B681}" name="Cumulative_Units"/>
    <tableColumn id="6" xr3:uid="{52111B23-7A84-4DF9-888D-C8DD227F7353}" name="Experience_Stock"/>
    <tableColumn id="7" xr3:uid="{5BA41B84-7E80-4F4B-B455-662FE8C8FB11}" name="Unit_Cost_BY"/>
    <tableColumn id="8" xr3:uid="{43E00E90-718E-4987-90C3-7F1C4342CE21}" name="log Cum Units"/>
    <tableColumn id="9" xr3:uid="{D1591B77-8EC0-4DCB-9F5C-986AE064534B}" name="log experience"/>
    <tableColumn id="10" xr3:uid="{2B8E835C-7E95-4090-83A6-FDA39F0D5F7C}" name="log Unit Cost"/>
    <tableColumn id="11" xr3:uid="{FE13B046-478A-479E-9578-56985CE23BD6}" name="Full_Data">
      <calculatedColumnFormula>Data_Completeness(ProductionLotsData[[#This Row],[Fiscal_Year]:[log Unit 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92F741-BE59-4680-80DF-1F97E386E80C}" name="SpecTable" displayName="SpecTable" ref="B3:L15" totalsRowShown="0" headerRowDxfId="3">
  <autoFilter ref="B3:L15" xr:uid="{1C92F741-BE59-4680-80DF-1F97E386E80C}"/>
  <tableColumns count="11">
    <tableColumn id="1" xr3:uid="{123DEF83-BEC5-48D9-861A-60D07E701BAA}" name="Role"/>
    <tableColumn id="2" xr3:uid="{14A1D779-3179-440D-9721-AA222D7B0A7E}" name="Include"/>
    <tableColumn id="3" xr3:uid="{63475B1D-97A2-4F1E-8441-0E1865F61EE8}" name="Type"/>
    <tableColumn id="4" xr3:uid="{57CBAD95-FDA4-443C-A10B-8104AB3FA932}" name="Reference Level"/>
    <tableColumn id="5" xr3:uid="{F3913AB7-723F-4E0C-9226-042FBAE03C17}" name="Order"/>
    <tableColumn id="6" xr3:uid="{55D32419-DA8A-4281-AEF6-94CDCA63947A}" name="Transform"/>
    <tableColumn id="7" xr3:uid="{CAE38BA1-08F7-4D4C-A458-FC770618CC98}" name="Sequence"/>
    <tableColumn id="8" xr3:uid="{C225B648-7072-4FC9-AFFA-F0BE0E079F38}" name="Sequence Period"/>
    <tableColumn id="9" xr3:uid="{E0CB1C96-FEFD-423A-86DD-C75F3CFC3FEF}" name="Period In Use" dataDxfId="2">
      <calculatedColumnFormula>IF(SpecTable[[#This Row],[Sequence]]&lt;&gt;TRUE,"",IF(N(SpecTable[[#This Row],[Sequence Period]])&lt;&gt;0,SpecTable[[#This Row],[Sequence Period]],IFERROR(Base_Period_Delta_Candidate(),"")))</calculatedColumnFormula>
    </tableColumn>
    <tableColumn id="10" xr3:uid="{E897D6F0-927E-4CFB-BF8F-6AEC9C98810A}" name="Levels" dataDxfId="1">
      <calculatedColumnFormula>IF(OR(SpecTable[[#This Row],[Role]]&lt;&gt;"Predictor (x)",SpecTable[[#This Row],[Type]]&lt;&gt;"Categorical"),"",_xlfn.LET(_xlpm.col,INDEX(Source_Data,0,ROW()-3),_xlpm.x,IF(_xlpm.col="","",_xlpm.col),IFERROR(ROWS(_xlfn.UNIQUE(_xlfn._xlws.FILTER(_xlpm.x,(_xlpm.x&lt;&gt;"")*Sample_Include()))),0)))</calculatedColumnFormula>
    </tableColumn>
    <tableColumn id="11" xr3:uid="{1C9CD940-DE59-4734-860C-0AAAC13A1EFC}" name="Reference In Use" dataDxfId="0">
      <calculatedColumnFormula>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calculatedColumnFormula>
    </tableColumn>
  </tableColumns>
  <tableStyleInfo name="TableStyleLight9"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E29B4-9F65-4492-8CFB-D21A00C0921F}" name="LAMBDAFunctionsCatalog" displayName="LAMBDAFunctionsCatalog" ref="A1:G127" totalsRowShown="0" headerRowDxfId="5" dataDxfId="4">
  <autoFilter ref="A1:G127" xr:uid="{D9AE29B4-9F65-4492-8CFB-D21A00C0921F}"/>
  <tableColumns count="7">
    <tableColumn id="1" xr3:uid="{163B046D-F303-4D64-A1AA-2E149C3B8CF3}" name="Function Name" dataDxfId="12"/>
    <tableColumn id="2" xr3:uid="{11D27264-BF30-4C1D-B041-3C2E1AE70128}" name="Scope" dataDxfId="11"/>
    <tableColumn id="3" xr3:uid="{9516E54C-4CD7-49BD-B51F-FD624F09B0CF}" name="Definition" dataDxfId="10"/>
    <tableColumn id="4" xr3:uid="{8AAA59A7-1536-429D-95DC-EC379BB746E3}" name="Arguments" dataDxfId="9"/>
    <tableColumn id="5" xr3:uid="{62948849-ED2F-4749-8FE1-6EE248068849}" name="Yields" dataDxfId="8"/>
    <tableColumn id="6" xr3:uid="{666668A6-CEAC-49E3-BCEA-B445FED054F0}" name="Plain-Language Summary" dataDxfId="7"/>
    <tableColumn id="7" xr3:uid="{62CE4F17-3FD0-4809-9069-80A9CCCBD459}" name="Description"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7478-7ECD-450A-B887-6179C5316F24}">
  <sheetPr>
    <tabColor rgb="FFD9D9D9"/>
  </sheetPr>
  <dimension ref="A1:L407"/>
  <sheetViews>
    <sheetView workbookViewId="0">
      <pane ySplit="1" topLeftCell="A390" activePane="bottomLeft" state="frozenSplit"/>
      <selection pane="bottomLeft" activeCell="N391" sqref="N391"/>
    </sheetView>
  </sheetViews>
  <sheetFormatPr defaultRowHeight="15" x14ac:dyDescent="0.25"/>
  <cols>
    <col min="1" max="1" width="7.42578125" bestFit="1" customWidth="1"/>
    <col min="2" max="2" width="12" bestFit="1" customWidth="1"/>
    <col min="3" max="3" width="16" bestFit="1" customWidth="1"/>
    <col min="4" max="4" width="14.28515625" bestFit="1" customWidth="1"/>
    <col min="5" max="5" width="9.7109375" bestFit="1" customWidth="1"/>
    <col min="6" max="6" width="14.5703125" bestFit="1" customWidth="1"/>
    <col min="7" max="7" width="13.28515625" bestFit="1" customWidth="1"/>
    <col min="8" max="8" width="8.7109375" bestFit="1" customWidth="1"/>
    <col min="9" max="9" width="34.28515625" bestFit="1" customWidth="1"/>
    <col min="10" max="10" width="14.5703125" bestFit="1" customWidth="1"/>
    <col min="11" max="11" width="26.5703125" bestFit="1" customWidth="1"/>
    <col min="12" max="12" width="12.7109375" customWidth="1"/>
  </cols>
  <sheetData>
    <row r="1" spans="1:12" x14ac:dyDescent="0.25">
      <c r="A1" t="s">
        <v>907</v>
      </c>
      <c r="B1" t="s">
        <v>908</v>
      </c>
      <c r="C1" t="s">
        <v>909</v>
      </c>
      <c r="D1" t="s">
        <v>910</v>
      </c>
      <c r="E1" t="s">
        <v>911</v>
      </c>
      <c r="F1" t="s">
        <v>912</v>
      </c>
      <c r="G1" t="s">
        <v>913</v>
      </c>
      <c r="H1" t="s">
        <v>914</v>
      </c>
      <c r="I1" t="s">
        <v>915</v>
      </c>
      <c r="J1" t="s">
        <v>916</v>
      </c>
      <c r="K1" t="s">
        <v>917</v>
      </c>
      <c r="L1" t="s">
        <v>361</v>
      </c>
    </row>
    <row r="2" spans="1:12" x14ac:dyDescent="0.25">
      <c r="A2">
        <v>18</v>
      </c>
      <c r="B2">
        <v>8</v>
      </c>
      <c r="C2">
        <v>307</v>
      </c>
      <c r="D2">
        <v>130</v>
      </c>
      <c r="E2">
        <v>3504</v>
      </c>
      <c r="F2">
        <v>12</v>
      </c>
      <c r="G2">
        <v>70</v>
      </c>
      <c r="H2" t="s">
        <v>1576</v>
      </c>
      <c r="I2" t="s">
        <v>918</v>
      </c>
      <c r="J2" t="s">
        <v>919</v>
      </c>
      <c r="K2" t="s">
        <v>920</v>
      </c>
      <c r="L2" t="b">
        <f>Data_Completeness(MileageData[[#This Row],[MPG]:[Acceleration]])</f>
        <v>1</v>
      </c>
    </row>
    <row r="3" spans="1:12" x14ac:dyDescent="0.25">
      <c r="A3">
        <v>15</v>
      </c>
      <c r="B3">
        <v>8</v>
      </c>
      <c r="C3">
        <v>350</v>
      </c>
      <c r="D3">
        <v>165</v>
      </c>
      <c r="E3">
        <v>3693</v>
      </c>
      <c r="F3">
        <v>11.5</v>
      </c>
      <c r="G3">
        <v>70</v>
      </c>
      <c r="H3" t="s">
        <v>1576</v>
      </c>
      <c r="I3" t="s">
        <v>921</v>
      </c>
      <c r="J3" t="s">
        <v>922</v>
      </c>
      <c r="K3" t="s">
        <v>923</v>
      </c>
      <c r="L3" t="b">
        <f>Data_Completeness(MileageData[[#This Row],[MPG]:[Acceleration]])</f>
        <v>1</v>
      </c>
    </row>
    <row r="4" spans="1:12" x14ac:dyDescent="0.25">
      <c r="A4">
        <v>18</v>
      </c>
      <c r="B4">
        <v>8</v>
      </c>
      <c r="C4">
        <v>318</v>
      </c>
      <c r="D4">
        <v>150</v>
      </c>
      <c r="E4">
        <v>3436</v>
      </c>
      <c r="F4">
        <v>11</v>
      </c>
      <c r="G4">
        <v>70</v>
      </c>
      <c r="H4" t="s">
        <v>1576</v>
      </c>
      <c r="I4" t="s">
        <v>924</v>
      </c>
      <c r="J4" t="s">
        <v>925</v>
      </c>
      <c r="K4" t="s">
        <v>926</v>
      </c>
      <c r="L4" t="b">
        <f>Data_Completeness(MileageData[[#This Row],[MPG]:[Acceleration]])</f>
        <v>1</v>
      </c>
    </row>
    <row r="5" spans="1:12" x14ac:dyDescent="0.25">
      <c r="A5">
        <v>16</v>
      </c>
      <c r="B5">
        <v>8</v>
      </c>
      <c r="C5">
        <v>304</v>
      </c>
      <c r="D5">
        <v>150</v>
      </c>
      <c r="E5">
        <v>3433</v>
      </c>
      <c r="F5">
        <v>12</v>
      </c>
      <c r="G5">
        <v>70</v>
      </c>
      <c r="H5" t="s">
        <v>1576</v>
      </c>
      <c r="I5" t="s">
        <v>927</v>
      </c>
      <c r="J5" t="s">
        <v>928</v>
      </c>
      <c r="K5" t="s">
        <v>929</v>
      </c>
      <c r="L5" t="b">
        <f>Data_Completeness(MileageData[[#This Row],[MPG]:[Acceleration]])</f>
        <v>1</v>
      </c>
    </row>
    <row r="6" spans="1:12" x14ac:dyDescent="0.25">
      <c r="A6">
        <v>17</v>
      </c>
      <c r="B6">
        <v>8</v>
      </c>
      <c r="C6">
        <v>302</v>
      </c>
      <c r="D6">
        <v>140</v>
      </c>
      <c r="E6">
        <v>3449</v>
      </c>
      <c r="F6">
        <v>10.5</v>
      </c>
      <c r="G6">
        <v>70</v>
      </c>
      <c r="H6" t="s">
        <v>1576</v>
      </c>
      <c r="I6" t="s">
        <v>930</v>
      </c>
      <c r="J6" t="s">
        <v>931</v>
      </c>
      <c r="K6" t="s">
        <v>932</v>
      </c>
      <c r="L6" t="b">
        <f>Data_Completeness(MileageData[[#This Row],[MPG]:[Acceleration]])</f>
        <v>1</v>
      </c>
    </row>
    <row r="7" spans="1:12" x14ac:dyDescent="0.25">
      <c r="A7">
        <v>15</v>
      </c>
      <c r="B7">
        <v>8</v>
      </c>
      <c r="C7">
        <v>429</v>
      </c>
      <c r="D7">
        <v>198</v>
      </c>
      <c r="E7">
        <v>4341</v>
      </c>
      <c r="F7">
        <v>10</v>
      </c>
      <c r="G7">
        <v>70</v>
      </c>
      <c r="H7" t="s">
        <v>1576</v>
      </c>
      <c r="I7" t="s">
        <v>933</v>
      </c>
      <c r="J7" t="s">
        <v>931</v>
      </c>
      <c r="K7" t="s">
        <v>934</v>
      </c>
      <c r="L7" t="b">
        <f>Data_Completeness(MileageData[[#This Row],[MPG]:[Acceleration]])</f>
        <v>1</v>
      </c>
    </row>
    <row r="8" spans="1:12" x14ac:dyDescent="0.25">
      <c r="A8">
        <v>14</v>
      </c>
      <c r="B8">
        <v>8</v>
      </c>
      <c r="C8">
        <v>454</v>
      </c>
      <c r="D8">
        <v>220</v>
      </c>
      <c r="E8">
        <v>4354</v>
      </c>
      <c r="F8">
        <v>9</v>
      </c>
      <c r="G8">
        <v>70</v>
      </c>
      <c r="H8" t="s">
        <v>1576</v>
      </c>
      <c r="I8" t="s">
        <v>935</v>
      </c>
      <c r="J8" t="s">
        <v>919</v>
      </c>
      <c r="K8" t="s">
        <v>936</v>
      </c>
      <c r="L8" t="b">
        <f>Data_Completeness(MileageData[[#This Row],[MPG]:[Acceleration]])</f>
        <v>1</v>
      </c>
    </row>
    <row r="9" spans="1:12" x14ac:dyDescent="0.25">
      <c r="A9">
        <v>14</v>
      </c>
      <c r="B9">
        <v>8</v>
      </c>
      <c r="C9">
        <v>440</v>
      </c>
      <c r="D9">
        <v>215</v>
      </c>
      <c r="E9">
        <v>4312</v>
      </c>
      <c r="F9">
        <v>8.5</v>
      </c>
      <c r="G9">
        <v>70</v>
      </c>
      <c r="H9" t="s">
        <v>1576</v>
      </c>
      <c r="I9" t="s">
        <v>937</v>
      </c>
      <c r="J9" t="s">
        <v>925</v>
      </c>
      <c r="K9" t="s">
        <v>938</v>
      </c>
      <c r="L9" t="b">
        <f>Data_Completeness(MileageData[[#This Row],[MPG]:[Acceleration]])</f>
        <v>1</v>
      </c>
    </row>
    <row r="10" spans="1:12" x14ac:dyDescent="0.25">
      <c r="A10">
        <v>14</v>
      </c>
      <c r="B10">
        <v>8</v>
      </c>
      <c r="C10">
        <v>455</v>
      </c>
      <c r="D10">
        <v>225</v>
      </c>
      <c r="E10">
        <v>4425</v>
      </c>
      <c r="F10">
        <v>10</v>
      </c>
      <c r="G10">
        <v>70</v>
      </c>
      <c r="H10" t="s">
        <v>1576</v>
      </c>
      <c r="I10" t="s">
        <v>939</v>
      </c>
      <c r="J10" t="s">
        <v>940</v>
      </c>
      <c r="K10" t="s">
        <v>941</v>
      </c>
      <c r="L10" t="b">
        <f>Data_Completeness(MileageData[[#This Row],[MPG]:[Acceleration]])</f>
        <v>1</v>
      </c>
    </row>
    <row r="11" spans="1:12" x14ac:dyDescent="0.25">
      <c r="A11">
        <v>15</v>
      </c>
      <c r="B11">
        <v>8</v>
      </c>
      <c r="C11">
        <v>390</v>
      </c>
      <c r="D11">
        <v>190</v>
      </c>
      <c r="E11">
        <v>3850</v>
      </c>
      <c r="F11">
        <v>8.5</v>
      </c>
      <c r="G11">
        <v>70</v>
      </c>
      <c r="H11" t="s">
        <v>1576</v>
      </c>
      <c r="I11" t="s">
        <v>942</v>
      </c>
      <c r="J11" t="s">
        <v>928</v>
      </c>
      <c r="K11" t="s">
        <v>943</v>
      </c>
      <c r="L11" t="b">
        <f>Data_Completeness(MileageData[[#This Row],[MPG]:[Acceleration]])</f>
        <v>1</v>
      </c>
    </row>
    <row r="12" spans="1:12" x14ac:dyDescent="0.25">
      <c r="B12">
        <v>4</v>
      </c>
      <c r="C12">
        <v>133</v>
      </c>
      <c r="D12">
        <v>115</v>
      </c>
      <c r="E12">
        <v>3090</v>
      </c>
      <c r="F12">
        <v>17.5</v>
      </c>
      <c r="G12">
        <v>70</v>
      </c>
      <c r="H12" t="s">
        <v>1577</v>
      </c>
      <c r="I12" t="s">
        <v>944</v>
      </c>
      <c r="J12" t="s">
        <v>945</v>
      </c>
      <c r="K12" t="s">
        <v>946</v>
      </c>
      <c r="L12" t="b">
        <f>Data_Completeness(MileageData[[#This Row],[MPG]:[Acceleration]])</f>
        <v>0</v>
      </c>
    </row>
    <row r="13" spans="1:12" x14ac:dyDescent="0.25">
      <c r="B13">
        <v>8</v>
      </c>
      <c r="C13">
        <v>350</v>
      </c>
      <c r="D13">
        <v>165</v>
      </c>
      <c r="E13">
        <v>4142</v>
      </c>
      <c r="F13">
        <v>11.5</v>
      </c>
      <c r="G13">
        <v>70</v>
      </c>
      <c r="H13" t="s">
        <v>1576</v>
      </c>
      <c r="I13" t="s">
        <v>947</v>
      </c>
      <c r="J13" t="s">
        <v>919</v>
      </c>
      <c r="K13" t="s">
        <v>948</v>
      </c>
      <c r="L13" t="b">
        <f>Data_Completeness(MileageData[[#This Row],[MPG]:[Acceleration]])</f>
        <v>0</v>
      </c>
    </row>
    <row r="14" spans="1:12" x14ac:dyDescent="0.25">
      <c r="B14">
        <v>8</v>
      </c>
      <c r="C14">
        <v>351</v>
      </c>
      <c r="D14">
        <v>153</v>
      </c>
      <c r="E14">
        <v>4034</v>
      </c>
      <c r="F14">
        <v>11</v>
      </c>
      <c r="G14">
        <v>70</v>
      </c>
      <c r="H14" t="s">
        <v>1576</v>
      </c>
      <c r="I14" t="s">
        <v>949</v>
      </c>
      <c r="J14" t="s">
        <v>931</v>
      </c>
      <c r="K14" t="s">
        <v>950</v>
      </c>
      <c r="L14" t="b">
        <f>Data_Completeness(MileageData[[#This Row],[MPG]:[Acceleration]])</f>
        <v>0</v>
      </c>
    </row>
    <row r="15" spans="1:12" x14ac:dyDescent="0.25">
      <c r="B15">
        <v>8</v>
      </c>
      <c r="C15">
        <v>383</v>
      </c>
      <c r="D15">
        <v>175</v>
      </c>
      <c r="E15">
        <v>4166</v>
      </c>
      <c r="F15">
        <v>10.5</v>
      </c>
      <c r="G15">
        <v>70</v>
      </c>
      <c r="H15" t="s">
        <v>1576</v>
      </c>
      <c r="I15" t="s">
        <v>951</v>
      </c>
      <c r="J15" t="s">
        <v>925</v>
      </c>
      <c r="K15" t="s">
        <v>952</v>
      </c>
      <c r="L15" t="b">
        <f>Data_Completeness(MileageData[[#This Row],[MPG]:[Acceleration]])</f>
        <v>0</v>
      </c>
    </row>
    <row r="16" spans="1:12" x14ac:dyDescent="0.25">
      <c r="B16">
        <v>8</v>
      </c>
      <c r="C16">
        <v>360</v>
      </c>
      <c r="D16">
        <v>175</v>
      </c>
      <c r="E16">
        <v>3850</v>
      </c>
      <c r="F16">
        <v>11</v>
      </c>
      <c r="G16">
        <v>70</v>
      </c>
      <c r="H16" t="s">
        <v>1576</v>
      </c>
      <c r="I16" t="s">
        <v>953</v>
      </c>
      <c r="J16" t="s">
        <v>928</v>
      </c>
      <c r="K16" t="s">
        <v>954</v>
      </c>
      <c r="L16" t="b">
        <f>Data_Completeness(MileageData[[#This Row],[MPG]:[Acceleration]])</f>
        <v>0</v>
      </c>
    </row>
    <row r="17" spans="1:12" x14ac:dyDescent="0.25">
      <c r="A17">
        <v>15</v>
      </c>
      <c r="B17">
        <v>8</v>
      </c>
      <c r="C17">
        <v>383</v>
      </c>
      <c r="D17">
        <v>170</v>
      </c>
      <c r="E17">
        <v>3563</v>
      </c>
      <c r="F17">
        <v>10</v>
      </c>
      <c r="G17">
        <v>70</v>
      </c>
      <c r="H17" t="s">
        <v>1576</v>
      </c>
      <c r="I17" t="s">
        <v>955</v>
      </c>
      <c r="J17" t="s">
        <v>956</v>
      </c>
      <c r="K17" t="s">
        <v>957</v>
      </c>
      <c r="L17" t="b">
        <f>Data_Completeness(MileageData[[#This Row],[MPG]:[Acceleration]])</f>
        <v>1</v>
      </c>
    </row>
    <row r="18" spans="1:12" x14ac:dyDescent="0.25">
      <c r="A18">
        <v>14</v>
      </c>
      <c r="B18">
        <v>8</v>
      </c>
      <c r="C18">
        <v>340</v>
      </c>
      <c r="D18">
        <v>160</v>
      </c>
      <c r="E18">
        <v>3609</v>
      </c>
      <c r="F18">
        <v>8</v>
      </c>
      <c r="G18">
        <v>70</v>
      </c>
      <c r="H18" t="s">
        <v>1576</v>
      </c>
      <c r="I18" t="s">
        <v>958</v>
      </c>
      <c r="J18" t="s">
        <v>925</v>
      </c>
      <c r="K18" s="9" t="s">
        <v>1567</v>
      </c>
      <c r="L18" t="b">
        <f>Data_Completeness(MileageData[[#This Row],[MPG]:[Acceleration]])</f>
        <v>1</v>
      </c>
    </row>
    <row r="19" spans="1:12" x14ac:dyDescent="0.25">
      <c r="B19">
        <v>8</v>
      </c>
      <c r="C19">
        <v>302</v>
      </c>
      <c r="D19">
        <v>140</v>
      </c>
      <c r="E19">
        <v>3353</v>
      </c>
      <c r="F19">
        <v>8</v>
      </c>
      <c r="G19">
        <v>70</v>
      </c>
      <c r="H19" t="s">
        <v>1576</v>
      </c>
      <c r="I19" t="s">
        <v>959</v>
      </c>
      <c r="J19" t="s">
        <v>931</v>
      </c>
      <c r="K19" t="s">
        <v>960</v>
      </c>
      <c r="L19" t="b">
        <f>Data_Completeness(MileageData[[#This Row],[MPG]:[Acceleration]])</f>
        <v>0</v>
      </c>
    </row>
    <row r="20" spans="1:12" x14ac:dyDescent="0.25">
      <c r="A20">
        <v>15</v>
      </c>
      <c r="B20">
        <v>8</v>
      </c>
      <c r="C20">
        <v>400</v>
      </c>
      <c r="D20">
        <v>150</v>
      </c>
      <c r="E20">
        <v>3761</v>
      </c>
      <c r="F20">
        <v>9.5</v>
      </c>
      <c r="G20">
        <v>70</v>
      </c>
      <c r="H20" t="s">
        <v>1576</v>
      </c>
      <c r="I20" t="s">
        <v>961</v>
      </c>
      <c r="J20" t="s">
        <v>919</v>
      </c>
      <c r="K20" t="s">
        <v>962</v>
      </c>
      <c r="L20" t="b">
        <f>Data_Completeness(MileageData[[#This Row],[MPG]:[Acceleration]])</f>
        <v>1</v>
      </c>
    </row>
    <row r="21" spans="1:12" x14ac:dyDescent="0.25">
      <c r="A21">
        <v>14</v>
      </c>
      <c r="B21">
        <v>8</v>
      </c>
      <c r="C21">
        <v>455</v>
      </c>
      <c r="D21">
        <v>225</v>
      </c>
      <c r="E21">
        <v>3086</v>
      </c>
      <c r="F21">
        <v>10</v>
      </c>
      <c r="G21">
        <v>70</v>
      </c>
      <c r="H21" t="s">
        <v>1576</v>
      </c>
      <c r="I21" t="s">
        <v>963</v>
      </c>
      <c r="J21" t="s">
        <v>922</v>
      </c>
      <c r="K21" t="s">
        <v>964</v>
      </c>
      <c r="L21" t="b">
        <f>Data_Completeness(MileageData[[#This Row],[MPG]:[Acceleration]])</f>
        <v>1</v>
      </c>
    </row>
    <row r="22" spans="1:12" x14ac:dyDescent="0.25">
      <c r="A22">
        <v>24</v>
      </c>
      <c r="B22">
        <v>4</v>
      </c>
      <c r="C22">
        <v>113</v>
      </c>
      <c r="D22">
        <v>95</v>
      </c>
      <c r="E22">
        <v>2372</v>
      </c>
      <c r="F22">
        <v>15</v>
      </c>
      <c r="G22">
        <v>70</v>
      </c>
      <c r="H22" t="s">
        <v>1578</v>
      </c>
      <c r="I22" t="s">
        <v>965</v>
      </c>
      <c r="J22" t="s">
        <v>966</v>
      </c>
      <c r="K22" t="s">
        <v>967</v>
      </c>
      <c r="L22" t="b">
        <f>Data_Completeness(MileageData[[#This Row],[MPG]:[Acceleration]])</f>
        <v>1</v>
      </c>
    </row>
    <row r="23" spans="1:12" x14ac:dyDescent="0.25">
      <c r="A23">
        <v>22</v>
      </c>
      <c r="B23">
        <v>6</v>
      </c>
      <c r="C23">
        <v>198</v>
      </c>
      <c r="D23">
        <v>95</v>
      </c>
      <c r="E23">
        <v>2833</v>
      </c>
      <c r="F23">
        <v>15.5</v>
      </c>
      <c r="G23">
        <v>70</v>
      </c>
      <c r="H23" t="s">
        <v>1576</v>
      </c>
      <c r="I23" t="s">
        <v>968</v>
      </c>
      <c r="J23" t="s">
        <v>925</v>
      </c>
      <c r="K23" t="s">
        <v>969</v>
      </c>
      <c r="L23" t="b">
        <f>Data_Completeness(MileageData[[#This Row],[MPG]:[Acceleration]])</f>
        <v>1</v>
      </c>
    </row>
    <row r="24" spans="1:12" x14ac:dyDescent="0.25">
      <c r="A24">
        <v>18</v>
      </c>
      <c r="B24">
        <v>6</v>
      </c>
      <c r="C24">
        <v>199</v>
      </c>
      <c r="D24">
        <v>97</v>
      </c>
      <c r="E24">
        <v>2774</v>
      </c>
      <c r="F24">
        <v>15.5</v>
      </c>
      <c r="G24">
        <v>70</v>
      </c>
      <c r="H24" t="s">
        <v>1576</v>
      </c>
      <c r="I24" t="s">
        <v>970</v>
      </c>
      <c r="J24" t="s">
        <v>928</v>
      </c>
      <c r="K24" t="s">
        <v>971</v>
      </c>
      <c r="L24" t="b">
        <f>Data_Completeness(MileageData[[#This Row],[MPG]:[Acceleration]])</f>
        <v>1</v>
      </c>
    </row>
    <row r="25" spans="1:12" x14ac:dyDescent="0.25">
      <c r="A25">
        <v>21</v>
      </c>
      <c r="B25">
        <v>6</v>
      </c>
      <c r="C25">
        <v>200</v>
      </c>
      <c r="D25">
        <v>85</v>
      </c>
      <c r="E25">
        <v>2587</v>
      </c>
      <c r="F25">
        <v>16</v>
      </c>
      <c r="G25">
        <v>70</v>
      </c>
      <c r="H25" t="s">
        <v>1576</v>
      </c>
      <c r="I25" t="s">
        <v>972</v>
      </c>
      <c r="J25" t="s">
        <v>931</v>
      </c>
      <c r="K25" t="s">
        <v>973</v>
      </c>
      <c r="L25" t="b">
        <f>Data_Completeness(MileageData[[#This Row],[MPG]:[Acceleration]])</f>
        <v>1</v>
      </c>
    </row>
    <row r="26" spans="1:12" x14ac:dyDescent="0.25">
      <c r="A26">
        <v>27</v>
      </c>
      <c r="B26">
        <v>4</v>
      </c>
      <c r="C26">
        <v>97</v>
      </c>
      <c r="D26">
        <v>88</v>
      </c>
      <c r="E26">
        <v>2130</v>
      </c>
      <c r="F26">
        <v>14.5</v>
      </c>
      <c r="G26">
        <v>70</v>
      </c>
      <c r="H26" t="s">
        <v>1578</v>
      </c>
      <c r="I26" t="s">
        <v>974</v>
      </c>
      <c r="J26" t="s">
        <v>975</v>
      </c>
      <c r="K26" t="s">
        <v>976</v>
      </c>
      <c r="L26" t="b">
        <f>Data_Completeness(MileageData[[#This Row],[MPG]:[Acceleration]])</f>
        <v>1</v>
      </c>
    </row>
    <row r="27" spans="1:12" x14ac:dyDescent="0.25">
      <c r="A27">
        <v>26</v>
      </c>
      <c r="B27">
        <v>4</v>
      </c>
      <c r="C27">
        <v>97</v>
      </c>
      <c r="D27">
        <v>46</v>
      </c>
      <c r="E27">
        <v>1835</v>
      </c>
      <c r="F27">
        <v>20.5</v>
      </c>
      <c r="G27">
        <v>70</v>
      </c>
      <c r="H27" t="s">
        <v>1577</v>
      </c>
      <c r="I27" t="s">
        <v>977</v>
      </c>
      <c r="J27" t="s">
        <v>978</v>
      </c>
      <c r="K27" t="s">
        <v>979</v>
      </c>
      <c r="L27" t="b">
        <f>Data_Completeness(MileageData[[#This Row],[MPG]:[Acceleration]])</f>
        <v>1</v>
      </c>
    </row>
    <row r="28" spans="1:12" x14ac:dyDescent="0.25">
      <c r="A28">
        <v>25</v>
      </c>
      <c r="B28">
        <v>4</v>
      </c>
      <c r="C28">
        <v>110</v>
      </c>
      <c r="D28">
        <v>87</v>
      </c>
      <c r="E28">
        <v>2672</v>
      </c>
      <c r="F28">
        <v>17.5</v>
      </c>
      <c r="G28">
        <v>70</v>
      </c>
      <c r="H28" t="s">
        <v>1577</v>
      </c>
      <c r="I28" t="s">
        <v>980</v>
      </c>
      <c r="J28" t="s">
        <v>981</v>
      </c>
      <c r="K28">
        <v>504</v>
      </c>
      <c r="L28" t="b">
        <f>Data_Completeness(MileageData[[#This Row],[MPG]:[Acceleration]])</f>
        <v>1</v>
      </c>
    </row>
    <row r="29" spans="1:12" x14ac:dyDescent="0.25">
      <c r="A29">
        <v>24</v>
      </c>
      <c r="B29">
        <v>4</v>
      </c>
      <c r="C29">
        <v>107</v>
      </c>
      <c r="D29">
        <v>90</v>
      </c>
      <c r="E29">
        <v>2430</v>
      </c>
      <c r="F29">
        <v>14.5</v>
      </c>
      <c r="G29">
        <v>70</v>
      </c>
      <c r="H29" t="s">
        <v>1577</v>
      </c>
      <c r="I29" t="s">
        <v>982</v>
      </c>
      <c r="J29" t="s">
        <v>983</v>
      </c>
      <c r="K29" t="s">
        <v>984</v>
      </c>
      <c r="L29" t="b">
        <f>Data_Completeness(MileageData[[#This Row],[MPG]:[Acceleration]])</f>
        <v>1</v>
      </c>
    </row>
    <row r="30" spans="1:12" x14ac:dyDescent="0.25">
      <c r="A30">
        <v>25</v>
      </c>
      <c r="B30">
        <v>4</v>
      </c>
      <c r="C30">
        <v>104</v>
      </c>
      <c r="D30">
        <v>95</v>
      </c>
      <c r="E30">
        <v>2375</v>
      </c>
      <c r="F30">
        <v>17.5</v>
      </c>
      <c r="G30">
        <v>70</v>
      </c>
      <c r="H30" t="s">
        <v>1577</v>
      </c>
      <c r="I30" t="s">
        <v>985</v>
      </c>
      <c r="J30" t="s">
        <v>986</v>
      </c>
      <c r="K30" t="s">
        <v>987</v>
      </c>
      <c r="L30" t="b">
        <f>Data_Completeness(MileageData[[#This Row],[MPG]:[Acceleration]])</f>
        <v>1</v>
      </c>
    </row>
    <row r="31" spans="1:12" x14ac:dyDescent="0.25">
      <c r="A31">
        <v>26</v>
      </c>
      <c r="B31">
        <v>4</v>
      </c>
      <c r="C31">
        <v>121</v>
      </c>
      <c r="D31">
        <v>113</v>
      </c>
      <c r="E31">
        <v>2234</v>
      </c>
      <c r="F31">
        <v>12.5</v>
      </c>
      <c r="G31">
        <v>70</v>
      </c>
      <c r="H31" t="s">
        <v>1577</v>
      </c>
      <c r="I31" t="s">
        <v>988</v>
      </c>
      <c r="J31" t="s">
        <v>989</v>
      </c>
      <c r="K31">
        <v>2002</v>
      </c>
      <c r="L31" t="b">
        <f>Data_Completeness(MileageData[[#This Row],[MPG]:[Acceleration]])</f>
        <v>1</v>
      </c>
    </row>
    <row r="32" spans="1:12" x14ac:dyDescent="0.25">
      <c r="A32">
        <v>21</v>
      </c>
      <c r="B32">
        <v>6</v>
      </c>
      <c r="C32">
        <v>199</v>
      </c>
      <c r="D32">
        <v>90</v>
      </c>
      <c r="E32">
        <v>2648</v>
      </c>
      <c r="F32">
        <v>15</v>
      </c>
      <c r="G32">
        <v>70</v>
      </c>
      <c r="H32" t="s">
        <v>1576</v>
      </c>
      <c r="I32" t="s">
        <v>990</v>
      </c>
      <c r="J32" t="s">
        <v>928</v>
      </c>
      <c r="K32" t="s">
        <v>991</v>
      </c>
      <c r="L32" t="b">
        <f>Data_Completeness(MileageData[[#This Row],[MPG]:[Acceleration]])</f>
        <v>1</v>
      </c>
    </row>
    <row r="33" spans="1:12" x14ac:dyDescent="0.25">
      <c r="A33">
        <v>10</v>
      </c>
      <c r="B33">
        <v>8</v>
      </c>
      <c r="C33">
        <v>360</v>
      </c>
      <c r="D33">
        <v>215</v>
      </c>
      <c r="E33">
        <v>4615</v>
      </c>
      <c r="F33">
        <v>14</v>
      </c>
      <c r="G33">
        <v>70</v>
      </c>
      <c r="H33" t="s">
        <v>1576</v>
      </c>
      <c r="I33" t="s">
        <v>992</v>
      </c>
      <c r="J33" t="s">
        <v>931</v>
      </c>
      <c r="K33" t="s">
        <v>993</v>
      </c>
      <c r="L33" t="b">
        <f>Data_Completeness(MileageData[[#This Row],[MPG]:[Acceleration]])</f>
        <v>1</v>
      </c>
    </row>
    <row r="34" spans="1:12" x14ac:dyDescent="0.25">
      <c r="A34">
        <v>10</v>
      </c>
      <c r="B34">
        <v>8</v>
      </c>
      <c r="C34">
        <v>307</v>
      </c>
      <c r="D34">
        <v>200</v>
      </c>
      <c r="E34">
        <v>4376</v>
      </c>
      <c r="F34">
        <v>15</v>
      </c>
      <c r="G34">
        <v>70</v>
      </c>
      <c r="H34" t="s">
        <v>1576</v>
      </c>
      <c r="I34" t="s">
        <v>994</v>
      </c>
      <c r="J34" t="s">
        <v>995</v>
      </c>
      <c r="K34" t="s">
        <v>996</v>
      </c>
      <c r="L34" t="b">
        <f>Data_Completeness(MileageData[[#This Row],[MPG]:[Acceleration]])</f>
        <v>1</v>
      </c>
    </row>
    <row r="35" spans="1:12" x14ac:dyDescent="0.25">
      <c r="A35">
        <v>11</v>
      </c>
      <c r="B35">
        <v>8</v>
      </c>
      <c r="C35">
        <v>318</v>
      </c>
      <c r="D35">
        <v>210</v>
      </c>
      <c r="E35">
        <v>4382</v>
      </c>
      <c r="F35">
        <v>13.5</v>
      </c>
      <c r="G35">
        <v>70</v>
      </c>
      <c r="H35" t="s">
        <v>1576</v>
      </c>
      <c r="I35" t="s">
        <v>997</v>
      </c>
      <c r="J35" t="s">
        <v>956</v>
      </c>
      <c r="K35" t="s">
        <v>998</v>
      </c>
      <c r="L35" t="b">
        <f>Data_Completeness(MileageData[[#This Row],[MPG]:[Acceleration]])</f>
        <v>1</v>
      </c>
    </row>
    <row r="36" spans="1:12" x14ac:dyDescent="0.25">
      <c r="A36">
        <v>9</v>
      </c>
      <c r="B36">
        <v>8</v>
      </c>
      <c r="C36">
        <v>304</v>
      </c>
      <c r="D36">
        <v>193</v>
      </c>
      <c r="E36">
        <v>4732</v>
      </c>
      <c r="F36">
        <v>18.5</v>
      </c>
      <c r="G36">
        <v>70</v>
      </c>
      <c r="H36" t="s">
        <v>1576</v>
      </c>
      <c r="I36" t="s">
        <v>999</v>
      </c>
      <c r="J36" t="s">
        <v>1000</v>
      </c>
      <c r="K36" t="s">
        <v>1001</v>
      </c>
      <c r="L36" t="b">
        <f>Data_Completeness(MileageData[[#This Row],[MPG]:[Acceleration]])</f>
        <v>1</v>
      </c>
    </row>
    <row r="37" spans="1:12" x14ac:dyDescent="0.25">
      <c r="A37">
        <v>27</v>
      </c>
      <c r="B37">
        <v>4</v>
      </c>
      <c r="C37">
        <v>97</v>
      </c>
      <c r="D37">
        <v>88</v>
      </c>
      <c r="E37">
        <v>2130</v>
      </c>
      <c r="F37">
        <v>14.5</v>
      </c>
      <c r="G37">
        <v>71</v>
      </c>
      <c r="H37" t="s">
        <v>1578</v>
      </c>
      <c r="I37" t="s">
        <v>974</v>
      </c>
      <c r="J37" t="s">
        <v>975</v>
      </c>
      <c r="K37" t="s">
        <v>976</v>
      </c>
      <c r="L37" t="b">
        <f>Data_Completeness(MileageData[[#This Row],[MPG]:[Acceleration]])</f>
        <v>1</v>
      </c>
    </row>
    <row r="38" spans="1:12" x14ac:dyDescent="0.25">
      <c r="A38">
        <v>28</v>
      </c>
      <c r="B38">
        <v>4</v>
      </c>
      <c r="C38">
        <v>140</v>
      </c>
      <c r="D38">
        <v>90</v>
      </c>
      <c r="E38">
        <v>2264</v>
      </c>
      <c r="F38">
        <v>15.5</v>
      </c>
      <c r="G38">
        <v>71</v>
      </c>
      <c r="H38" t="s">
        <v>1576</v>
      </c>
      <c r="I38" t="s">
        <v>1002</v>
      </c>
      <c r="J38" t="s">
        <v>919</v>
      </c>
      <c r="K38" t="s">
        <v>1003</v>
      </c>
      <c r="L38" t="b">
        <f>Data_Completeness(MileageData[[#This Row],[MPG]:[Acceleration]])</f>
        <v>1</v>
      </c>
    </row>
    <row r="39" spans="1:12" x14ac:dyDescent="0.25">
      <c r="A39">
        <v>25</v>
      </c>
      <c r="B39">
        <v>4</v>
      </c>
      <c r="C39">
        <v>113</v>
      </c>
      <c r="D39">
        <v>95</v>
      </c>
      <c r="E39">
        <v>2228</v>
      </c>
      <c r="F39">
        <v>14</v>
      </c>
      <c r="G39">
        <v>71</v>
      </c>
      <c r="H39" t="s">
        <v>1578</v>
      </c>
      <c r="I39" t="s">
        <v>1004</v>
      </c>
      <c r="J39" t="s">
        <v>966</v>
      </c>
      <c r="K39" t="s">
        <v>1005</v>
      </c>
      <c r="L39" t="b">
        <f>Data_Completeness(MileageData[[#This Row],[MPG]:[Acceleration]])</f>
        <v>1</v>
      </c>
    </row>
    <row r="40" spans="1:12" x14ac:dyDescent="0.25">
      <c r="A40">
        <v>25</v>
      </c>
      <c r="B40">
        <v>4</v>
      </c>
      <c r="C40">
        <v>98</v>
      </c>
      <c r="E40">
        <v>2046</v>
      </c>
      <c r="F40">
        <v>19</v>
      </c>
      <c r="G40">
        <v>71</v>
      </c>
      <c r="H40" t="s">
        <v>1576</v>
      </c>
      <c r="I40" t="s">
        <v>1006</v>
      </c>
      <c r="J40" t="s">
        <v>931</v>
      </c>
      <c r="K40" t="s">
        <v>1007</v>
      </c>
      <c r="L40" t="b">
        <f>Data_Completeness(MileageData[[#This Row],[MPG]:[Acceleration]])</f>
        <v>0</v>
      </c>
    </row>
    <row r="41" spans="1:12" x14ac:dyDescent="0.25">
      <c r="B41">
        <v>4</v>
      </c>
      <c r="C41">
        <v>97</v>
      </c>
      <c r="D41">
        <v>48</v>
      </c>
      <c r="E41">
        <v>1978</v>
      </c>
      <c r="F41">
        <v>20</v>
      </c>
      <c r="G41">
        <v>71</v>
      </c>
      <c r="H41" t="s">
        <v>1577</v>
      </c>
      <c r="I41" t="s">
        <v>1008</v>
      </c>
      <c r="J41" t="s">
        <v>978</v>
      </c>
      <c r="K41" t="s">
        <v>1009</v>
      </c>
      <c r="L41" t="b">
        <f>Data_Completeness(MileageData[[#This Row],[MPG]:[Acceleration]])</f>
        <v>0</v>
      </c>
    </row>
    <row r="42" spans="1:12" x14ac:dyDescent="0.25">
      <c r="A42">
        <v>19</v>
      </c>
      <c r="B42">
        <v>6</v>
      </c>
      <c r="C42">
        <v>232</v>
      </c>
      <c r="D42">
        <v>100</v>
      </c>
      <c r="E42">
        <v>2634</v>
      </c>
      <c r="F42">
        <v>13</v>
      </c>
      <c r="G42">
        <v>71</v>
      </c>
      <c r="H42" t="s">
        <v>1576</v>
      </c>
      <c r="I42" t="s">
        <v>990</v>
      </c>
      <c r="J42" t="s">
        <v>928</v>
      </c>
      <c r="K42" t="s">
        <v>991</v>
      </c>
      <c r="L42" t="b">
        <f>Data_Completeness(MileageData[[#This Row],[MPG]:[Acceleration]])</f>
        <v>1</v>
      </c>
    </row>
    <row r="43" spans="1:12" x14ac:dyDescent="0.25">
      <c r="A43">
        <v>16</v>
      </c>
      <c r="B43">
        <v>6</v>
      </c>
      <c r="C43">
        <v>225</v>
      </c>
      <c r="D43">
        <v>105</v>
      </c>
      <c r="E43">
        <v>3439</v>
      </c>
      <c r="F43">
        <v>15.5</v>
      </c>
      <c r="G43">
        <v>71</v>
      </c>
      <c r="H43" t="s">
        <v>1576</v>
      </c>
      <c r="I43" t="s">
        <v>1010</v>
      </c>
      <c r="J43" t="s">
        <v>925</v>
      </c>
      <c r="K43" t="s">
        <v>1011</v>
      </c>
      <c r="L43" t="b">
        <f>Data_Completeness(MileageData[[#This Row],[MPG]:[Acceleration]])</f>
        <v>1</v>
      </c>
    </row>
    <row r="44" spans="1:12" x14ac:dyDescent="0.25">
      <c r="A44">
        <v>17</v>
      </c>
      <c r="B44">
        <v>6</v>
      </c>
      <c r="C44">
        <v>250</v>
      </c>
      <c r="D44">
        <v>100</v>
      </c>
      <c r="E44">
        <v>3329</v>
      </c>
      <c r="F44">
        <v>15.5</v>
      </c>
      <c r="G44">
        <v>71</v>
      </c>
      <c r="H44" t="s">
        <v>1576</v>
      </c>
      <c r="I44" t="s">
        <v>918</v>
      </c>
      <c r="J44" t="s">
        <v>919</v>
      </c>
      <c r="K44" t="s">
        <v>920</v>
      </c>
      <c r="L44" t="b">
        <f>Data_Completeness(MileageData[[#This Row],[MPG]:[Acceleration]])</f>
        <v>1</v>
      </c>
    </row>
    <row r="45" spans="1:12" x14ac:dyDescent="0.25">
      <c r="A45">
        <v>19</v>
      </c>
      <c r="B45">
        <v>6</v>
      </c>
      <c r="C45">
        <v>250</v>
      </c>
      <c r="D45">
        <v>88</v>
      </c>
      <c r="E45">
        <v>3302</v>
      </c>
      <c r="F45">
        <v>15.5</v>
      </c>
      <c r="G45">
        <v>71</v>
      </c>
      <c r="H45" t="s">
        <v>1576</v>
      </c>
      <c r="I45" t="s">
        <v>1012</v>
      </c>
      <c r="J45" t="s">
        <v>931</v>
      </c>
      <c r="K45" t="s">
        <v>1013</v>
      </c>
      <c r="L45" t="b">
        <f>Data_Completeness(MileageData[[#This Row],[MPG]:[Acceleration]])</f>
        <v>1</v>
      </c>
    </row>
    <row r="46" spans="1:12" x14ac:dyDescent="0.25">
      <c r="A46">
        <v>18</v>
      </c>
      <c r="B46">
        <v>6</v>
      </c>
      <c r="C46">
        <v>232</v>
      </c>
      <c r="D46">
        <v>100</v>
      </c>
      <c r="E46">
        <v>3288</v>
      </c>
      <c r="F46">
        <v>15.5</v>
      </c>
      <c r="G46">
        <v>71</v>
      </c>
      <c r="H46" t="s">
        <v>1576</v>
      </c>
      <c r="I46" t="s">
        <v>1014</v>
      </c>
      <c r="J46" t="s">
        <v>928</v>
      </c>
      <c r="K46" t="s">
        <v>1015</v>
      </c>
      <c r="L46" t="b">
        <f>Data_Completeness(MileageData[[#This Row],[MPG]:[Acceleration]])</f>
        <v>1</v>
      </c>
    </row>
    <row r="47" spans="1:12" x14ac:dyDescent="0.25">
      <c r="A47">
        <v>14</v>
      </c>
      <c r="B47">
        <v>8</v>
      </c>
      <c r="C47">
        <v>350</v>
      </c>
      <c r="D47">
        <v>165</v>
      </c>
      <c r="E47">
        <v>4209</v>
      </c>
      <c r="F47">
        <v>12</v>
      </c>
      <c r="G47">
        <v>71</v>
      </c>
      <c r="H47" t="s">
        <v>1576</v>
      </c>
      <c r="I47" t="s">
        <v>935</v>
      </c>
      <c r="J47" t="s">
        <v>919</v>
      </c>
      <c r="K47" t="s">
        <v>936</v>
      </c>
      <c r="L47" t="b">
        <f>Data_Completeness(MileageData[[#This Row],[MPG]:[Acceleration]])</f>
        <v>1</v>
      </c>
    </row>
    <row r="48" spans="1:12" x14ac:dyDescent="0.25">
      <c r="A48">
        <v>14</v>
      </c>
      <c r="B48">
        <v>8</v>
      </c>
      <c r="C48">
        <v>400</v>
      </c>
      <c r="D48">
        <v>175</v>
      </c>
      <c r="E48">
        <v>4464</v>
      </c>
      <c r="F48">
        <v>11.5</v>
      </c>
      <c r="G48">
        <v>71</v>
      </c>
      <c r="H48" t="s">
        <v>1576</v>
      </c>
      <c r="I48" t="s">
        <v>1016</v>
      </c>
      <c r="J48" t="s">
        <v>940</v>
      </c>
      <c r="K48" t="s">
        <v>1017</v>
      </c>
      <c r="L48" t="b">
        <f>Data_Completeness(MileageData[[#This Row],[MPG]:[Acceleration]])</f>
        <v>1</v>
      </c>
    </row>
    <row r="49" spans="1:12" x14ac:dyDescent="0.25">
      <c r="A49">
        <v>14</v>
      </c>
      <c r="B49">
        <v>8</v>
      </c>
      <c r="C49">
        <v>351</v>
      </c>
      <c r="D49">
        <v>153</v>
      </c>
      <c r="E49">
        <v>4154</v>
      </c>
      <c r="F49">
        <v>13.5</v>
      </c>
      <c r="G49">
        <v>71</v>
      </c>
      <c r="H49" t="s">
        <v>1576</v>
      </c>
      <c r="I49" t="s">
        <v>933</v>
      </c>
      <c r="J49" t="s">
        <v>931</v>
      </c>
      <c r="K49" t="s">
        <v>934</v>
      </c>
      <c r="L49" t="b">
        <f>Data_Completeness(MileageData[[#This Row],[MPG]:[Acceleration]])</f>
        <v>1</v>
      </c>
    </row>
    <row r="50" spans="1:12" x14ac:dyDescent="0.25">
      <c r="A50">
        <v>14</v>
      </c>
      <c r="B50">
        <v>8</v>
      </c>
      <c r="C50">
        <v>318</v>
      </c>
      <c r="D50">
        <v>150</v>
      </c>
      <c r="E50">
        <v>4096</v>
      </c>
      <c r="F50">
        <v>13</v>
      </c>
      <c r="G50">
        <v>71</v>
      </c>
      <c r="H50" t="s">
        <v>1576</v>
      </c>
      <c r="I50" t="s">
        <v>937</v>
      </c>
      <c r="J50" t="s">
        <v>925</v>
      </c>
      <c r="K50" t="s">
        <v>938</v>
      </c>
      <c r="L50" t="b">
        <f>Data_Completeness(MileageData[[#This Row],[MPG]:[Acceleration]])</f>
        <v>1</v>
      </c>
    </row>
    <row r="51" spans="1:12" x14ac:dyDescent="0.25">
      <c r="A51">
        <v>12</v>
      </c>
      <c r="B51">
        <v>8</v>
      </c>
      <c r="C51">
        <v>383</v>
      </c>
      <c r="D51">
        <v>180</v>
      </c>
      <c r="E51">
        <v>4955</v>
      </c>
      <c r="F51">
        <v>11.5</v>
      </c>
      <c r="G51">
        <v>71</v>
      </c>
      <c r="H51" t="s">
        <v>1576</v>
      </c>
      <c r="I51" t="s">
        <v>1018</v>
      </c>
      <c r="J51" t="s">
        <v>956</v>
      </c>
      <c r="K51" t="s">
        <v>1019</v>
      </c>
      <c r="L51" t="b">
        <f>Data_Completeness(MileageData[[#This Row],[MPG]:[Acceleration]])</f>
        <v>1</v>
      </c>
    </row>
    <row r="52" spans="1:12" x14ac:dyDescent="0.25">
      <c r="A52">
        <v>13</v>
      </c>
      <c r="B52">
        <v>8</v>
      </c>
      <c r="C52">
        <v>400</v>
      </c>
      <c r="D52">
        <v>170</v>
      </c>
      <c r="E52">
        <v>4746</v>
      </c>
      <c r="F52">
        <v>12</v>
      </c>
      <c r="G52">
        <v>71</v>
      </c>
      <c r="H52" t="s">
        <v>1576</v>
      </c>
      <c r="I52" t="s">
        <v>1020</v>
      </c>
      <c r="J52" t="s">
        <v>931</v>
      </c>
      <c r="K52" t="s">
        <v>1021</v>
      </c>
      <c r="L52" t="b">
        <f>Data_Completeness(MileageData[[#This Row],[MPG]:[Acceleration]])</f>
        <v>1</v>
      </c>
    </row>
    <row r="53" spans="1:12" x14ac:dyDescent="0.25">
      <c r="A53">
        <v>13</v>
      </c>
      <c r="B53">
        <v>8</v>
      </c>
      <c r="C53">
        <v>400</v>
      </c>
      <c r="D53">
        <v>175</v>
      </c>
      <c r="E53">
        <v>5140</v>
      </c>
      <c r="F53">
        <v>12</v>
      </c>
      <c r="G53">
        <v>71</v>
      </c>
      <c r="H53" t="s">
        <v>1576</v>
      </c>
      <c r="I53" t="s">
        <v>1022</v>
      </c>
      <c r="J53" t="s">
        <v>940</v>
      </c>
      <c r="K53" t="s">
        <v>1023</v>
      </c>
      <c r="L53" t="b">
        <f>Data_Completeness(MileageData[[#This Row],[MPG]:[Acceleration]])</f>
        <v>1</v>
      </c>
    </row>
    <row r="54" spans="1:12" x14ac:dyDescent="0.25">
      <c r="A54">
        <v>18</v>
      </c>
      <c r="B54">
        <v>6</v>
      </c>
      <c r="C54">
        <v>258</v>
      </c>
      <c r="D54">
        <v>110</v>
      </c>
      <c r="E54">
        <v>2962</v>
      </c>
      <c r="F54">
        <v>13.5</v>
      </c>
      <c r="G54">
        <v>71</v>
      </c>
      <c r="H54" t="s">
        <v>1576</v>
      </c>
      <c r="I54" t="s">
        <v>1024</v>
      </c>
      <c r="J54" t="s">
        <v>928</v>
      </c>
      <c r="K54" t="s">
        <v>1025</v>
      </c>
      <c r="L54" t="b">
        <f>Data_Completeness(MileageData[[#This Row],[MPG]:[Acceleration]])</f>
        <v>1</v>
      </c>
    </row>
    <row r="55" spans="1:12" x14ac:dyDescent="0.25">
      <c r="A55">
        <v>22</v>
      </c>
      <c r="B55">
        <v>4</v>
      </c>
      <c r="C55">
        <v>140</v>
      </c>
      <c r="D55">
        <v>72</v>
      </c>
      <c r="E55">
        <v>2408</v>
      </c>
      <c r="F55">
        <v>19</v>
      </c>
      <c r="G55">
        <v>71</v>
      </c>
      <c r="H55" t="s">
        <v>1576</v>
      </c>
      <c r="I55" t="s">
        <v>1026</v>
      </c>
      <c r="J55" t="s">
        <v>919</v>
      </c>
      <c r="K55" t="s">
        <v>1027</v>
      </c>
      <c r="L55" t="b">
        <f>Data_Completeness(MileageData[[#This Row],[MPG]:[Acceleration]])</f>
        <v>1</v>
      </c>
    </row>
    <row r="56" spans="1:12" x14ac:dyDescent="0.25">
      <c r="A56">
        <v>19</v>
      </c>
      <c r="B56">
        <v>6</v>
      </c>
      <c r="C56">
        <v>250</v>
      </c>
      <c r="D56">
        <v>100</v>
      </c>
      <c r="E56">
        <v>3282</v>
      </c>
      <c r="F56">
        <v>15</v>
      </c>
      <c r="G56">
        <v>71</v>
      </c>
      <c r="H56" t="s">
        <v>1576</v>
      </c>
      <c r="I56" t="s">
        <v>1028</v>
      </c>
      <c r="J56" t="s">
        <v>940</v>
      </c>
      <c r="K56" t="s">
        <v>1029</v>
      </c>
      <c r="L56" t="b">
        <f>Data_Completeness(MileageData[[#This Row],[MPG]:[Acceleration]])</f>
        <v>1</v>
      </c>
    </row>
    <row r="57" spans="1:12" x14ac:dyDescent="0.25">
      <c r="A57">
        <v>18</v>
      </c>
      <c r="B57">
        <v>6</v>
      </c>
      <c r="C57">
        <v>250</v>
      </c>
      <c r="D57">
        <v>88</v>
      </c>
      <c r="E57">
        <v>3139</v>
      </c>
      <c r="F57">
        <v>14.5</v>
      </c>
      <c r="G57">
        <v>71</v>
      </c>
      <c r="H57" t="s">
        <v>1576</v>
      </c>
      <c r="I57" t="s">
        <v>1030</v>
      </c>
      <c r="J57" t="s">
        <v>931</v>
      </c>
      <c r="K57" t="s">
        <v>1031</v>
      </c>
      <c r="L57" t="b">
        <f>Data_Completeness(MileageData[[#This Row],[MPG]:[Acceleration]])</f>
        <v>1</v>
      </c>
    </row>
    <row r="58" spans="1:12" x14ac:dyDescent="0.25">
      <c r="A58">
        <v>23</v>
      </c>
      <c r="B58">
        <v>4</v>
      </c>
      <c r="C58">
        <v>122</v>
      </c>
      <c r="D58">
        <v>86</v>
      </c>
      <c r="E58">
        <v>2220</v>
      </c>
      <c r="F58">
        <v>14</v>
      </c>
      <c r="G58">
        <v>71</v>
      </c>
      <c r="H58" t="s">
        <v>1576</v>
      </c>
      <c r="I58" t="s">
        <v>1032</v>
      </c>
      <c r="J58" t="s">
        <v>1033</v>
      </c>
      <c r="K58" t="s">
        <v>1034</v>
      </c>
      <c r="L58" t="b">
        <f>Data_Completeness(MileageData[[#This Row],[MPG]:[Acceleration]])</f>
        <v>1</v>
      </c>
    </row>
    <row r="59" spans="1:12" x14ac:dyDescent="0.25">
      <c r="A59">
        <v>28</v>
      </c>
      <c r="B59">
        <v>4</v>
      </c>
      <c r="C59">
        <v>116</v>
      </c>
      <c r="D59">
        <v>90</v>
      </c>
      <c r="E59">
        <v>2123</v>
      </c>
      <c r="F59">
        <v>14</v>
      </c>
      <c r="G59">
        <v>71</v>
      </c>
      <c r="H59" t="s">
        <v>1577</v>
      </c>
      <c r="I59" t="s">
        <v>1035</v>
      </c>
      <c r="J59" t="s">
        <v>1036</v>
      </c>
      <c r="K59">
        <v>1900</v>
      </c>
      <c r="L59" t="b">
        <f>Data_Completeness(MileageData[[#This Row],[MPG]:[Acceleration]])</f>
        <v>1</v>
      </c>
    </row>
    <row r="60" spans="1:12" x14ac:dyDescent="0.25">
      <c r="A60">
        <v>30</v>
      </c>
      <c r="B60">
        <v>4</v>
      </c>
      <c r="C60">
        <v>79</v>
      </c>
      <c r="D60">
        <v>70</v>
      </c>
      <c r="E60">
        <v>2074</v>
      </c>
      <c r="F60">
        <v>19.5</v>
      </c>
      <c r="G60">
        <v>71</v>
      </c>
      <c r="H60" t="s">
        <v>1577</v>
      </c>
      <c r="I60" t="s">
        <v>1037</v>
      </c>
      <c r="J60" t="s">
        <v>981</v>
      </c>
      <c r="K60">
        <v>304</v>
      </c>
      <c r="L60" t="b">
        <f>Data_Completeness(MileageData[[#This Row],[MPG]:[Acceleration]])</f>
        <v>1</v>
      </c>
    </row>
    <row r="61" spans="1:12" x14ac:dyDescent="0.25">
      <c r="A61">
        <v>30</v>
      </c>
      <c r="B61">
        <v>4</v>
      </c>
      <c r="C61">
        <v>88</v>
      </c>
      <c r="D61">
        <v>76</v>
      </c>
      <c r="E61">
        <v>2065</v>
      </c>
      <c r="F61">
        <v>14.5</v>
      </c>
      <c r="G61">
        <v>71</v>
      </c>
      <c r="H61" t="s">
        <v>1577</v>
      </c>
      <c r="I61" t="s">
        <v>1038</v>
      </c>
      <c r="J61" t="s">
        <v>1039</v>
      </c>
      <c r="K61" t="s">
        <v>1040</v>
      </c>
      <c r="L61" t="b">
        <f>Data_Completeness(MileageData[[#This Row],[MPG]:[Acceleration]])</f>
        <v>1</v>
      </c>
    </row>
    <row r="62" spans="1:12" x14ac:dyDescent="0.25">
      <c r="A62">
        <v>31</v>
      </c>
      <c r="B62">
        <v>4</v>
      </c>
      <c r="C62">
        <v>71</v>
      </c>
      <c r="D62">
        <v>65</v>
      </c>
      <c r="E62">
        <v>1773</v>
      </c>
      <c r="F62">
        <v>19</v>
      </c>
      <c r="G62">
        <v>71</v>
      </c>
      <c r="H62" t="s">
        <v>1578</v>
      </c>
      <c r="I62" t="s">
        <v>1041</v>
      </c>
      <c r="J62" t="s">
        <v>966</v>
      </c>
      <c r="K62" t="s">
        <v>1042</v>
      </c>
      <c r="L62" t="b">
        <f>Data_Completeness(MileageData[[#This Row],[MPG]:[Acceleration]])</f>
        <v>1</v>
      </c>
    </row>
    <row r="63" spans="1:12" x14ac:dyDescent="0.25">
      <c r="A63">
        <v>35</v>
      </c>
      <c r="B63">
        <v>4</v>
      </c>
      <c r="C63">
        <v>72</v>
      </c>
      <c r="D63">
        <v>69</v>
      </c>
      <c r="E63">
        <v>1613</v>
      </c>
      <c r="F63">
        <v>18</v>
      </c>
      <c r="G63">
        <v>71</v>
      </c>
      <c r="H63" t="s">
        <v>1578</v>
      </c>
      <c r="I63" t="s">
        <v>1043</v>
      </c>
      <c r="J63" t="s">
        <v>975</v>
      </c>
      <c r="K63">
        <v>1200</v>
      </c>
      <c r="L63" t="b">
        <f>Data_Completeness(MileageData[[#This Row],[MPG]:[Acceleration]])</f>
        <v>1</v>
      </c>
    </row>
    <row r="64" spans="1:12" x14ac:dyDescent="0.25">
      <c r="A64">
        <v>27</v>
      </c>
      <c r="B64">
        <v>4</v>
      </c>
      <c r="C64">
        <v>97</v>
      </c>
      <c r="D64">
        <v>60</v>
      </c>
      <c r="E64">
        <v>1834</v>
      </c>
      <c r="F64">
        <v>19</v>
      </c>
      <c r="G64">
        <v>71</v>
      </c>
      <c r="H64" t="s">
        <v>1577</v>
      </c>
      <c r="I64" t="s">
        <v>1044</v>
      </c>
      <c r="J64" t="s">
        <v>978</v>
      </c>
      <c r="K64" t="s">
        <v>1045</v>
      </c>
      <c r="L64" t="b">
        <f>Data_Completeness(MileageData[[#This Row],[MPG]:[Acceleration]])</f>
        <v>1</v>
      </c>
    </row>
    <row r="65" spans="1:12" x14ac:dyDescent="0.25">
      <c r="A65">
        <v>26</v>
      </c>
      <c r="B65">
        <v>4</v>
      </c>
      <c r="C65">
        <v>91</v>
      </c>
      <c r="D65">
        <v>70</v>
      </c>
      <c r="E65">
        <v>1955</v>
      </c>
      <c r="F65">
        <v>20.5</v>
      </c>
      <c r="G65">
        <v>71</v>
      </c>
      <c r="H65" t="s">
        <v>1576</v>
      </c>
      <c r="I65" t="s">
        <v>1046</v>
      </c>
      <c r="J65" t="s">
        <v>925</v>
      </c>
      <c r="K65" t="s">
        <v>1047</v>
      </c>
      <c r="L65" t="b">
        <f>Data_Completeness(MileageData[[#This Row],[MPG]:[Acceleration]])</f>
        <v>1</v>
      </c>
    </row>
    <row r="66" spans="1:12" x14ac:dyDescent="0.25">
      <c r="A66">
        <v>24</v>
      </c>
      <c r="B66">
        <v>4</v>
      </c>
      <c r="C66">
        <v>113</v>
      </c>
      <c r="D66">
        <v>95</v>
      </c>
      <c r="E66">
        <v>2278</v>
      </c>
      <c r="F66">
        <v>15.5</v>
      </c>
      <c r="G66">
        <v>72</v>
      </c>
      <c r="H66" t="s">
        <v>1578</v>
      </c>
      <c r="I66" t="s">
        <v>1048</v>
      </c>
      <c r="J66" t="s">
        <v>966</v>
      </c>
      <c r="K66" t="s">
        <v>1049</v>
      </c>
      <c r="L66" t="b">
        <f>Data_Completeness(MileageData[[#This Row],[MPG]:[Acceleration]])</f>
        <v>1</v>
      </c>
    </row>
    <row r="67" spans="1:12" x14ac:dyDescent="0.25">
      <c r="A67">
        <v>25</v>
      </c>
      <c r="B67">
        <v>4</v>
      </c>
      <c r="C67">
        <v>97.5</v>
      </c>
      <c r="D67">
        <v>80</v>
      </c>
      <c r="E67">
        <v>2126</v>
      </c>
      <c r="F67">
        <v>17</v>
      </c>
      <c r="G67">
        <v>72</v>
      </c>
      <c r="H67" t="s">
        <v>1576</v>
      </c>
      <c r="I67" t="s">
        <v>1050</v>
      </c>
      <c r="J67" t="s">
        <v>956</v>
      </c>
      <c r="K67" t="s">
        <v>1051</v>
      </c>
      <c r="L67" t="b">
        <f>Data_Completeness(MileageData[[#This Row],[MPG]:[Acceleration]])</f>
        <v>1</v>
      </c>
    </row>
    <row r="68" spans="1:12" x14ac:dyDescent="0.25">
      <c r="A68">
        <v>23</v>
      </c>
      <c r="B68">
        <v>4</v>
      </c>
      <c r="C68">
        <v>97</v>
      </c>
      <c r="D68">
        <v>54</v>
      </c>
      <c r="E68">
        <v>2254</v>
      </c>
      <c r="F68">
        <v>23.5</v>
      </c>
      <c r="G68">
        <v>72</v>
      </c>
      <c r="H68" t="s">
        <v>1577</v>
      </c>
      <c r="I68" t="s">
        <v>1052</v>
      </c>
      <c r="J68" t="s">
        <v>978</v>
      </c>
      <c r="K68" t="s">
        <v>1053</v>
      </c>
      <c r="L68" t="b">
        <f>Data_Completeness(MileageData[[#This Row],[MPG]:[Acceleration]])</f>
        <v>1</v>
      </c>
    </row>
    <row r="69" spans="1:12" x14ac:dyDescent="0.25">
      <c r="A69">
        <v>20</v>
      </c>
      <c r="B69">
        <v>4</v>
      </c>
      <c r="C69">
        <v>140</v>
      </c>
      <c r="D69">
        <v>90</v>
      </c>
      <c r="E69">
        <v>2408</v>
      </c>
      <c r="F69">
        <v>19.5</v>
      </c>
      <c r="G69">
        <v>72</v>
      </c>
      <c r="H69" t="s">
        <v>1576</v>
      </c>
      <c r="I69" t="s">
        <v>1054</v>
      </c>
      <c r="J69" t="s">
        <v>919</v>
      </c>
      <c r="K69" t="s">
        <v>1055</v>
      </c>
      <c r="L69" t="b">
        <f>Data_Completeness(MileageData[[#This Row],[MPG]:[Acceleration]])</f>
        <v>1</v>
      </c>
    </row>
    <row r="70" spans="1:12" x14ac:dyDescent="0.25">
      <c r="A70">
        <v>21</v>
      </c>
      <c r="B70">
        <v>4</v>
      </c>
      <c r="C70">
        <v>122</v>
      </c>
      <c r="D70">
        <v>86</v>
      </c>
      <c r="E70">
        <v>2226</v>
      </c>
      <c r="F70">
        <v>16.5</v>
      </c>
      <c r="G70">
        <v>72</v>
      </c>
      <c r="H70" t="s">
        <v>1576</v>
      </c>
      <c r="I70" t="s">
        <v>1056</v>
      </c>
      <c r="J70" t="s">
        <v>931</v>
      </c>
      <c r="K70" t="s">
        <v>1057</v>
      </c>
      <c r="L70" t="b">
        <f>Data_Completeness(MileageData[[#This Row],[MPG]:[Acceleration]])</f>
        <v>1</v>
      </c>
    </row>
    <row r="71" spans="1:12" x14ac:dyDescent="0.25">
      <c r="A71">
        <v>13</v>
      </c>
      <c r="B71">
        <v>8</v>
      </c>
      <c r="C71">
        <v>350</v>
      </c>
      <c r="D71">
        <v>165</v>
      </c>
      <c r="E71">
        <v>4274</v>
      </c>
      <c r="F71">
        <v>12</v>
      </c>
      <c r="G71">
        <v>72</v>
      </c>
      <c r="H71" t="s">
        <v>1576</v>
      </c>
      <c r="I71" t="s">
        <v>935</v>
      </c>
      <c r="J71" t="s">
        <v>919</v>
      </c>
      <c r="K71" t="s">
        <v>936</v>
      </c>
      <c r="L71" t="b">
        <f>Data_Completeness(MileageData[[#This Row],[MPG]:[Acceleration]])</f>
        <v>1</v>
      </c>
    </row>
    <row r="72" spans="1:12" x14ac:dyDescent="0.25">
      <c r="A72">
        <v>14</v>
      </c>
      <c r="B72">
        <v>8</v>
      </c>
      <c r="C72">
        <v>400</v>
      </c>
      <c r="D72">
        <v>175</v>
      </c>
      <c r="E72">
        <v>4385</v>
      </c>
      <c r="F72">
        <v>12</v>
      </c>
      <c r="G72">
        <v>72</v>
      </c>
      <c r="H72" t="s">
        <v>1576</v>
      </c>
      <c r="I72" t="s">
        <v>939</v>
      </c>
      <c r="J72" t="s">
        <v>940</v>
      </c>
      <c r="K72" t="s">
        <v>941</v>
      </c>
      <c r="L72" t="b">
        <f>Data_Completeness(MileageData[[#This Row],[MPG]:[Acceleration]])</f>
        <v>1</v>
      </c>
    </row>
    <row r="73" spans="1:12" x14ac:dyDescent="0.25">
      <c r="A73">
        <v>15</v>
      </c>
      <c r="B73">
        <v>8</v>
      </c>
      <c r="C73">
        <v>318</v>
      </c>
      <c r="D73">
        <v>150</v>
      </c>
      <c r="E73">
        <v>4135</v>
      </c>
      <c r="F73">
        <v>13.5</v>
      </c>
      <c r="G73">
        <v>72</v>
      </c>
      <c r="H73" t="s">
        <v>1576</v>
      </c>
      <c r="I73" t="s">
        <v>937</v>
      </c>
      <c r="J73" t="s">
        <v>925</v>
      </c>
      <c r="K73" t="s">
        <v>938</v>
      </c>
      <c r="L73" t="b">
        <f>Data_Completeness(MileageData[[#This Row],[MPG]:[Acceleration]])</f>
        <v>1</v>
      </c>
    </row>
    <row r="74" spans="1:12" x14ac:dyDescent="0.25">
      <c r="A74">
        <v>14</v>
      </c>
      <c r="B74">
        <v>8</v>
      </c>
      <c r="C74">
        <v>351</v>
      </c>
      <c r="D74">
        <v>153</v>
      </c>
      <c r="E74">
        <v>4129</v>
      </c>
      <c r="F74">
        <v>13</v>
      </c>
      <c r="G74">
        <v>72</v>
      </c>
      <c r="H74" t="s">
        <v>1576</v>
      </c>
      <c r="I74" t="s">
        <v>933</v>
      </c>
      <c r="J74" t="s">
        <v>931</v>
      </c>
      <c r="K74" t="s">
        <v>934</v>
      </c>
      <c r="L74" t="b">
        <f>Data_Completeness(MileageData[[#This Row],[MPG]:[Acceleration]])</f>
        <v>1</v>
      </c>
    </row>
    <row r="75" spans="1:12" x14ac:dyDescent="0.25">
      <c r="A75">
        <v>17</v>
      </c>
      <c r="B75">
        <v>8</v>
      </c>
      <c r="C75">
        <v>304</v>
      </c>
      <c r="D75">
        <v>150</v>
      </c>
      <c r="E75">
        <v>3672</v>
      </c>
      <c r="F75">
        <v>11.5</v>
      </c>
      <c r="G75">
        <v>72</v>
      </c>
      <c r="H75" t="s">
        <v>1576</v>
      </c>
      <c r="I75" t="s">
        <v>1058</v>
      </c>
      <c r="J75" t="s">
        <v>928</v>
      </c>
      <c r="K75" t="s">
        <v>1059</v>
      </c>
      <c r="L75" t="b">
        <f>Data_Completeness(MileageData[[#This Row],[MPG]:[Acceleration]])</f>
        <v>1</v>
      </c>
    </row>
    <row r="76" spans="1:12" x14ac:dyDescent="0.25">
      <c r="A76">
        <v>11</v>
      </c>
      <c r="B76">
        <v>8</v>
      </c>
      <c r="C76">
        <v>429</v>
      </c>
      <c r="D76">
        <v>208</v>
      </c>
      <c r="E76">
        <v>4633</v>
      </c>
      <c r="F76">
        <v>11</v>
      </c>
      <c r="G76">
        <v>72</v>
      </c>
      <c r="H76" t="s">
        <v>1576</v>
      </c>
      <c r="I76" t="s">
        <v>1060</v>
      </c>
      <c r="J76" t="s">
        <v>1033</v>
      </c>
      <c r="K76" t="s">
        <v>1061</v>
      </c>
      <c r="L76" t="b">
        <f>Data_Completeness(MileageData[[#This Row],[MPG]:[Acceleration]])</f>
        <v>1</v>
      </c>
    </row>
    <row r="77" spans="1:12" x14ac:dyDescent="0.25">
      <c r="A77">
        <v>13</v>
      </c>
      <c r="B77">
        <v>8</v>
      </c>
      <c r="C77">
        <v>350</v>
      </c>
      <c r="D77">
        <v>155</v>
      </c>
      <c r="E77">
        <v>4502</v>
      </c>
      <c r="F77">
        <v>13.5</v>
      </c>
      <c r="G77">
        <v>72</v>
      </c>
      <c r="H77" t="s">
        <v>1576</v>
      </c>
      <c r="I77" t="s">
        <v>1062</v>
      </c>
      <c r="J77" t="s">
        <v>922</v>
      </c>
      <c r="K77" t="s">
        <v>1063</v>
      </c>
      <c r="L77" t="b">
        <f>Data_Completeness(MileageData[[#This Row],[MPG]:[Acceleration]])</f>
        <v>1</v>
      </c>
    </row>
    <row r="78" spans="1:12" x14ac:dyDescent="0.25">
      <c r="A78">
        <v>12</v>
      </c>
      <c r="B78">
        <v>8</v>
      </c>
      <c r="C78">
        <v>350</v>
      </c>
      <c r="D78">
        <v>160</v>
      </c>
      <c r="E78">
        <v>4456</v>
      </c>
      <c r="F78">
        <v>13.5</v>
      </c>
      <c r="G78">
        <v>72</v>
      </c>
      <c r="H78" t="s">
        <v>1576</v>
      </c>
      <c r="I78" t="s">
        <v>1064</v>
      </c>
      <c r="J78" t="s">
        <v>1065</v>
      </c>
      <c r="K78" t="s">
        <v>1066</v>
      </c>
      <c r="L78" t="b">
        <f>Data_Completeness(MileageData[[#This Row],[MPG]:[Acceleration]])</f>
        <v>1</v>
      </c>
    </row>
    <row r="79" spans="1:12" x14ac:dyDescent="0.25">
      <c r="A79">
        <v>13</v>
      </c>
      <c r="B79">
        <v>8</v>
      </c>
      <c r="C79">
        <v>400</v>
      </c>
      <c r="D79">
        <v>190</v>
      </c>
      <c r="E79">
        <v>4422</v>
      </c>
      <c r="F79">
        <v>12.5</v>
      </c>
      <c r="G79">
        <v>72</v>
      </c>
      <c r="H79" t="s">
        <v>1576</v>
      </c>
      <c r="I79" t="s">
        <v>1067</v>
      </c>
      <c r="J79" t="s">
        <v>1068</v>
      </c>
      <c r="K79" t="s">
        <v>1069</v>
      </c>
      <c r="L79" t="b">
        <f>Data_Completeness(MileageData[[#This Row],[MPG]:[Acceleration]])</f>
        <v>1</v>
      </c>
    </row>
    <row r="80" spans="1:12" x14ac:dyDescent="0.25">
      <c r="A80">
        <v>19</v>
      </c>
      <c r="B80">
        <v>3</v>
      </c>
      <c r="C80">
        <v>70</v>
      </c>
      <c r="D80">
        <v>97</v>
      </c>
      <c r="E80">
        <v>2330</v>
      </c>
      <c r="F80">
        <v>13.5</v>
      </c>
      <c r="G80">
        <v>72</v>
      </c>
      <c r="H80" t="s">
        <v>1578</v>
      </c>
      <c r="I80" t="s">
        <v>1070</v>
      </c>
      <c r="J80" t="s">
        <v>1071</v>
      </c>
      <c r="K80" t="s">
        <v>1072</v>
      </c>
      <c r="L80" t="b">
        <f>Data_Completeness(MileageData[[#This Row],[MPG]:[Acceleration]])</f>
        <v>1</v>
      </c>
    </row>
    <row r="81" spans="1:12" x14ac:dyDescent="0.25">
      <c r="A81">
        <v>15</v>
      </c>
      <c r="B81">
        <v>8</v>
      </c>
      <c r="C81">
        <v>304</v>
      </c>
      <c r="D81">
        <v>150</v>
      </c>
      <c r="E81">
        <v>3892</v>
      </c>
      <c r="F81">
        <v>12.5</v>
      </c>
      <c r="G81">
        <v>72</v>
      </c>
      <c r="H81" t="s">
        <v>1576</v>
      </c>
      <c r="I81" t="s">
        <v>1073</v>
      </c>
      <c r="J81" t="s">
        <v>928</v>
      </c>
      <c r="K81" t="s">
        <v>1074</v>
      </c>
      <c r="L81" t="b">
        <f>Data_Completeness(MileageData[[#This Row],[MPG]:[Acceleration]])</f>
        <v>1</v>
      </c>
    </row>
    <row r="82" spans="1:12" x14ac:dyDescent="0.25">
      <c r="A82">
        <v>13</v>
      </c>
      <c r="B82">
        <v>8</v>
      </c>
      <c r="C82">
        <v>307</v>
      </c>
      <c r="D82">
        <v>130</v>
      </c>
      <c r="E82">
        <v>4098</v>
      </c>
      <c r="F82">
        <v>14</v>
      </c>
      <c r="G82">
        <v>72</v>
      </c>
      <c r="H82" t="s">
        <v>1576</v>
      </c>
      <c r="I82" t="s">
        <v>947</v>
      </c>
      <c r="J82" t="s">
        <v>919</v>
      </c>
      <c r="K82" t="s">
        <v>948</v>
      </c>
      <c r="L82" t="b">
        <f>Data_Completeness(MileageData[[#This Row],[MPG]:[Acceleration]])</f>
        <v>1</v>
      </c>
    </row>
    <row r="83" spans="1:12" x14ac:dyDescent="0.25">
      <c r="A83">
        <v>13</v>
      </c>
      <c r="B83">
        <v>8</v>
      </c>
      <c r="C83">
        <v>302</v>
      </c>
      <c r="D83">
        <v>140</v>
      </c>
      <c r="E83">
        <v>4294</v>
      </c>
      <c r="F83">
        <v>16</v>
      </c>
      <c r="G83">
        <v>72</v>
      </c>
      <c r="H83" t="s">
        <v>1576</v>
      </c>
      <c r="I83" t="s">
        <v>1075</v>
      </c>
      <c r="J83" t="s">
        <v>931</v>
      </c>
      <c r="K83" t="s">
        <v>1076</v>
      </c>
      <c r="L83" t="b">
        <f>Data_Completeness(MileageData[[#This Row],[MPG]:[Acceleration]])</f>
        <v>1</v>
      </c>
    </row>
    <row r="84" spans="1:12" x14ac:dyDescent="0.25">
      <c r="A84">
        <v>14</v>
      </c>
      <c r="B84">
        <v>8</v>
      </c>
      <c r="C84">
        <v>318</v>
      </c>
      <c r="D84">
        <v>150</v>
      </c>
      <c r="E84">
        <v>4077</v>
      </c>
      <c r="F84">
        <v>14</v>
      </c>
      <c r="G84">
        <v>72</v>
      </c>
      <c r="H84" t="s">
        <v>1576</v>
      </c>
      <c r="I84" t="s">
        <v>1077</v>
      </c>
      <c r="J84" t="s">
        <v>925</v>
      </c>
      <c r="K84" t="s">
        <v>1078</v>
      </c>
      <c r="L84" t="b">
        <f>Data_Completeness(MileageData[[#This Row],[MPG]:[Acceleration]])</f>
        <v>1</v>
      </c>
    </row>
    <row r="85" spans="1:12" x14ac:dyDescent="0.25">
      <c r="A85">
        <v>18</v>
      </c>
      <c r="B85">
        <v>4</v>
      </c>
      <c r="C85">
        <v>121</v>
      </c>
      <c r="D85">
        <v>112</v>
      </c>
      <c r="E85">
        <v>2933</v>
      </c>
      <c r="F85">
        <v>14.5</v>
      </c>
      <c r="G85">
        <v>72</v>
      </c>
      <c r="H85" t="s">
        <v>1577</v>
      </c>
      <c r="I85" t="s">
        <v>1079</v>
      </c>
      <c r="J85" t="s">
        <v>1080</v>
      </c>
      <c r="K85" t="s">
        <v>1081</v>
      </c>
      <c r="L85" t="b">
        <f>Data_Completeness(MileageData[[#This Row],[MPG]:[Acceleration]])</f>
        <v>1</v>
      </c>
    </row>
    <row r="86" spans="1:12" x14ac:dyDescent="0.25">
      <c r="A86">
        <v>22</v>
      </c>
      <c r="B86">
        <v>4</v>
      </c>
      <c r="C86">
        <v>121</v>
      </c>
      <c r="D86">
        <v>76</v>
      </c>
      <c r="E86">
        <v>2511</v>
      </c>
      <c r="F86">
        <v>18</v>
      </c>
      <c r="G86">
        <v>72</v>
      </c>
      <c r="H86" t="s">
        <v>1577</v>
      </c>
      <c r="I86" t="s">
        <v>1082</v>
      </c>
      <c r="J86" t="s">
        <v>978</v>
      </c>
      <c r="K86" t="s">
        <v>1083</v>
      </c>
      <c r="L86" t="b">
        <f>Data_Completeness(MileageData[[#This Row],[MPG]:[Acceleration]])</f>
        <v>1</v>
      </c>
    </row>
    <row r="87" spans="1:12" x14ac:dyDescent="0.25">
      <c r="A87">
        <v>21</v>
      </c>
      <c r="B87">
        <v>4</v>
      </c>
      <c r="C87">
        <v>120</v>
      </c>
      <c r="D87">
        <v>87</v>
      </c>
      <c r="E87">
        <v>2979</v>
      </c>
      <c r="F87">
        <v>19.5</v>
      </c>
      <c r="G87">
        <v>72</v>
      </c>
      <c r="H87" t="s">
        <v>1577</v>
      </c>
      <c r="I87" t="s">
        <v>1084</v>
      </c>
      <c r="J87" t="s">
        <v>981</v>
      </c>
      <c r="K87" t="s">
        <v>1085</v>
      </c>
      <c r="L87" t="b">
        <f>Data_Completeness(MileageData[[#This Row],[MPG]:[Acceleration]])</f>
        <v>1</v>
      </c>
    </row>
    <row r="88" spans="1:12" x14ac:dyDescent="0.25">
      <c r="A88">
        <v>26</v>
      </c>
      <c r="B88">
        <v>4</v>
      </c>
      <c r="C88">
        <v>96</v>
      </c>
      <c r="D88">
        <v>69</v>
      </c>
      <c r="E88">
        <v>2189</v>
      </c>
      <c r="F88">
        <v>18</v>
      </c>
      <c r="G88">
        <v>72</v>
      </c>
      <c r="H88" t="s">
        <v>1577</v>
      </c>
      <c r="I88" t="s">
        <v>1086</v>
      </c>
      <c r="J88" t="s">
        <v>1087</v>
      </c>
      <c r="K88" t="s">
        <v>1088</v>
      </c>
      <c r="L88" t="b">
        <f>Data_Completeness(MileageData[[#This Row],[MPG]:[Acceleration]])</f>
        <v>1</v>
      </c>
    </row>
    <row r="89" spans="1:12" x14ac:dyDescent="0.25">
      <c r="A89">
        <v>22</v>
      </c>
      <c r="B89">
        <v>4</v>
      </c>
      <c r="C89">
        <v>122</v>
      </c>
      <c r="D89">
        <v>86</v>
      </c>
      <c r="E89">
        <v>2395</v>
      </c>
      <c r="F89">
        <v>16</v>
      </c>
      <c r="G89">
        <v>72</v>
      </c>
      <c r="H89" t="s">
        <v>1576</v>
      </c>
      <c r="I89" t="s">
        <v>1089</v>
      </c>
      <c r="J89" t="s">
        <v>931</v>
      </c>
      <c r="K89" t="s">
        <v>1090</v>
      </c>
      <c r="L89" t="b">
        <f>Data_Completeness(MileageData[[#This Row],[MPG]:[Acceleration]])</f>
        <v>1</v>
      </c>
    </row>
    <row r="90" spans="1:12" x14ac:dyDescent="0.25">
      <c r="A90">
        <v>28</v>
      </c>
      <c r="B90">
        <v>4</v>
      </c>
      <c r="C90">
        <v>97</v>
      </c>
      <c r="D90">
        <v>92</v>
      </c>
      <c r="E90">
        <v>2288</v>
      </c>
      <c r="F90">
        <v>17</v>
      </c>
      <c r="G90">
        <v>72</v>
      </c>
      <c r="H90" t="s">
        <v>1578</v>
      </c>
      <c r="I90" t="s">
        <v>1091</v>
      </c>
      <c r="J90" t="s">
        <v>975</v>
      </c>
      <c r="K90" t="s">
        <v>1092</v>
      </c>
      <c r="L90" t="b">
        <f>Data_Completeness(MileageData[[#This Row],[MPG]:[Acceleration]])</f>
        <v>1</v>
      </c>
    </row>
    <row r="91" spans="1:12" x14ac:dyDescent="0.25">
      <c r="A91">
        <v>23</v>
      </c>
      <c r="B91">
        <v>4</v>
      </c>
      <c r="C91">
        <v>120</v>
      </c>
      <c r="D91">
        <v>97</v>
      </c>
      <c r="E91">
        <v>2506</v>
      </c>
      <c r="F91">
        <v>14.5</v>
      </c>
      <c r="G91">
        <v>72</v>
      </c>
      <c r="H91" t="s">
        <v>1578</v>
      </c>
      <c r="I91" t="s">
        <v>1093</v>
      </c>
      <c r="J91" t="s">
        <v>1094</v>
      </c>
      <c r="K91" t="s">
        <v>1095</v>
      </c>
      <c r="L91" t="b">
        <f>Data_Completeness(MileageData[[#This Row],[MPG]:[Acceleration]])</f>
        <v>1</v>
      </c>
    </row>
    <row r="92" spans="1:12" x14ac:dyDescent="0.25">
      <c r="A92">
        <v>28</v>
      </c>
      <c r="B92">
        <v>4</v>
      </c>
      <c r="C92">
        <v>98</v>
      </c>
      <c r="D92">
        <v>80</v>
      </c>
      <c r="E92">
        <v>2164</v>
      </c>
      <c r="F92">
        <v>15</v>
      </c>
      <c r="G92">
        <v>72</v>
      </c>
      <c r="H92" t="s">
        <v>1576</v>
      </c>
      <c r="I92" t="s">
        <v>1096</v>
      </c>
      <c r="J92" t="s">
        <v>956</v>
      </c>
      <c r="K92" t="s">
        <v>1097</v>
      </c>
      <c r="L92" t="b">
        <f>Data_Completeness(MileageData[[#This Row],[MPG]:[Acceleration]])</f>
        <v>1</v>
      </c>
    </row>
    <row r="93" spans="1:12" x14ac:dyDescent="0.25">
      <c r="A93">
        <v>27</v>
      </c>
      <c r="B93">
        <v>4</v>
      </c>
      <c r="C93">
        <v>97</v>
      </c>
      <c r="D93">
        <v>88</v>
      </c>
      <c r="E93">
        <v>2100</v>
      </c>
      <c r="F93">
        <v>16.5</v>
      </c>
      <c r="G93">
        <v>72</v>
      </c>
      <c r="H93" t="s">
        <v>1578</v>
      </c>
      <c r="I93" t="s">
        <v>1098</v>
      </c>
      <c r="J93" t="s">
        <v>966</v>
      </c>
      <c r="K93" t="s">
        <v>1099</v>
      </c>
      <c r="L93" t="b">
        <f>Data_Completeness(MileageData[[#This Row],[MPG]:[Acceleration]])</f>
        <v>1</v>
      </c>
    </row>
    <row r="94" spans="1:12" x14ac:dyDescent="0.25">
      <c r="A94">
        <v>13</v>
      </c>
      <c r="B94">
        <v>8</v>
      </c>
      <c r="C94">
        <v>350</v>
      </c>
      <c r="D94">
        <v>175</v>
      </c>
      <c r="E94">
        <v>4100</v>
      </c>
      <c r="F94">
        <v>13</v>
      </c>
      <c r="G94">
        <v>73</v>
      </c>
      <c r="H94" t="s">
        <v>1576</v>
      </c>
      <c r="I94" t="s">
        <v>1100</v>
      </c>
      <c r="J94" t="s">
        <v>922</v>
      </c>
      <c r="K94" t="s">
        <v>1101</v>
      </c>
      <c r="L94" t="b">
        <f>Data_Completeness(MileageData[[#This Row],[MPG]:[Acceleration]])</f>
        <v>1</v>
      </c>
    </row>
    <row r="95" spans="1:12" x14ac:dyDescent="0.25">
      <c r="A95">
        <v>14</v>
      </c>
      <c r="B95">
        <v>8</v>
      </c>
      <c r="C95">
        <v>304</v>
      </c>
      <c r="D95">
        <v>150</v>
      </c>
      <c r="E95">
        <v>3672</v>
      </c>
      <c r="F95">
        <v>11.5</v>
      </c>
      <c r="G95">
        <v>73</v>
      </c>
      <c r="H95" t="s">
        <v>1576</v>
      </c>
      <c r="I95" t="s">
        <v>1014</v>
      </c>
      <c r="J95" t="s">
        <v>928</v>
      </c>
      <c r="K95" t="s">
        <v>1015</v>
      </c>
      <c r="L95" t="b">
        <f>Data_Completeness(MileageData[[#This Row],[MPG]:[Acceleration]])</f>
        <v>1</v>
      </c>
    </row>
    <row r="96" spans="1:12" x14ac:dyDescent="0.25">
      <c r="A96">
        <v>13</v>
      </c>
      <c r="B96">
        <v>8</v>
      </c>
      <c r="C96">
        <v>350</v>
      </c>
      <c r="D96">
        <v>145</v>
      </c>
      <c r="E96">
        <v>3988</v>
      </c>
      <c r="F96">
        <v>13</v>
      </c>
      <c r="G96">
        <v>73</v>
      </c>
      <c r="H96" t="s">
        <v>1576</v>
      </c>
      <c r="I96" t="s">
        <v>1102</v>
      </c>
      <c r="J96" t="s">
        <v>919</v>
      </c>
      <c r="K96" t="s">
        <v>1103</v>
      </c>
      <c r="L96" t="b">
        <f>Data_Completeness(MileageData[[#This Row],[MPG]:[Acceleration]])</f>
        <v>1</v>
      </c>
    </row>
    <row r="97" spans="1:12" x14ac:dyDescent="0.25">
      <c r="A97">
        <v>14</v>
      </c>
      <c r="B97">
        <v>8</v>
      </c>
      <c r="C97">
        <v>302</v>
      </c>
      <c r="D97">
        <v>137</v>
      </c>
      <c r="E97">
        <v>4042</v>
      </c>
      <c r="F97">
        <v>14.5</v>
      </c>
      <c r="G97">
        <v>73</v>
      </c>
      <c r="H97" t="s">
        <v>1576</v>
      </c>
      <c r="I97" t="s">
        <v>1104</v>
      </c>
      <c r="J97" t="s">
        <v>931</v>
      </c>
      <c r="K97" t="s">
        <v>1105</v>
      </c>
      <c r="L97" t="b">
        <f>Data_Completeness(MileageData[[#This Row],[MPG]:[Acceleration]])</f>
        <v>1</v>
      </c>
    </row>
    <row r="98" spans="1:12" x14ac:dyDescent="0.25">
      <c r="A98">
        <v>15</v>
      </c>
      <c r="B98">
        <v>8</v>
      </c>
      <c r="C98">
        <v>318</v>
      </c>
      <c r="D98">
        <v>150</v>
      </c>
      <c r="E98">
        <v>3777</v>
      </c>
      <c r="F98">
        <v>12.5</v>
      </c>
      <c r="G98">
        <v>73</v>
      </c>
      <c r="H98" t="s">
        <v>1576</v>
      </c>
      <c r="I98" t="s">
        <v>1106</v>
      </c>
      <c r="J98" t="s">
        <v>956</v>
      </c>
      <c r="K98" t="s">
        <v>1107</v>
      </c>
      <c r="L98" t="b">
        <f>Data_Completeness(MileageData[[#This Row],[MPG]:[Acceleration]])</f>
        <v>1</v>
      </c>
    </row>
    <row r="99" spans="1:12" x14ac:dyDescent="0.25">
      <c r="A99">
        <v>12</v>
      </c>
      <c r="B99">
        <v>8</v>
      </c>
      <c r="C99">
        <v>429</v>
      </c>
      <c r="D99">
        <v>198</v>
      </c>
      <c r="E99">
        <v>4952</v>
      </c>
      <c r="F99">
        <v>11.5</v>
      </c>
      <c r="G99">
        <v>73</v>
      </c>
      <c r="H99" t="s">
        <v>1576</v>
      </c>
      <c r="I99" t="s">
        <v>1108</v>
      </c>
      <c r="J99" t="s">
        <v>1033</v>
      </c>
      <c r="K99" t="s">
        <v>1109</v>
      </c>
      <c r="L99" t="b">
        <f>Data_Completeness(MileageData[[#This Row],[MPG]:[Acceleration]])</f>
        <v>1</v>
      </c>
    </row>
    <row r="100" spans="1:12" x14ac:dyDescent="0.25">
      <c r="A100">
        <v>13</v>
      </c>
      <c r="B100">
        <v>8</v>
      </c>
      <c r="C100">
        <v>400</v>
      </c>
      <c r="D100">
        <v>150</v>
      </c>
      <c r="E100">
        <v>4464</v>
      </c>
      <c r="F100">
        <v>12</v>
      </c>
      <c r="G100">
        <v>73</v>
      </c>
      <c r="H100" t="s">
        <v>1576</v>
      </c>
      <c r="I100" t="s">
        <v>1110</v>
      </c>
      <c r="J100" t="s">
        <v>919</v>
      </c>
      <c r="K100" t="s">
        <v>1111</v>
      </c>
      <c r="L100" t="b">
        <f>Data_Completeness(MileageData[[#This Row],[MPG]:[Acceleration]])</f>
        <v>1</v>
      </c>
    </row>
    <row r="101" spans="1:12" x14ac:dyDescent="0.25">
      <c r="A101">
        <v>13</v>
      </c>
      <c r="B101">
        <v>8</v>
      </c>
      <c r="C101">
        <v>351</v>
      </c>
      <c r="D101">
        <v>158</v>
      </c>
      <c r="E101">
        <v>4363</v>
      </c>
      <c r="F101">
        <v>13</v>
      </c>
      <c r="G101">
        <v>73</v>
      </c>
      <c r="H101" t="s">
        <v>1576</v>
      </c>
      <c r="I101" t="s">
        <v>1112</v>
      </c>
      <c r="J101" t="s">
        <v>931</v>
      </c>
      <c r="K101" t="s">
        <v>1113</v>
      </c>
      <c r="L101" t="b">
        <f>Data_Completeness(MileageData[[#This Row],[MPG]:[Acceleration]])</f>
        <v>1</v>
      </c>
    </row>
    <row r="102" spans="1:12" x14ac:dyDescent="0.25">
      <c r="A102">
        <v>14</v>
      </c>
      <c r="B102">
        <v>8</v>
      </c>
      <c r="C102">
        <v>318</v>
      </c>
      <c r="D102">
        <v>150</v>
      </c>
      <c r="E102">
        <v>4237</v>
      </c>
      <c r="F102">
        <v>14.5</v>
      </c>
      <c r="G102">
        <v>73</v>
      </c>
      <c r="H102" t="s">
        <v>1576</v>
      </c>
      <c r="I102" t="s">
        <v>1114</v>
      </c>
      <c r="J102" t="s">
        <v>925</v>
      </c>
      <c r="K102" t="s">
        <v>1115</v>
      </c>
      <c r="L102" t="b">
        <f>Data_Completeness(MileageData[[#This Row],[MPG]:[Acceleration]])</f>
        <v>1</v>
      </c>
    </row>
    <row r="103" spans="1:12" x14ac:dyDescent="0.25">
      <c r="A103">
        <v>13</v>
      </c>
      <c r="B103">
        <v>8</v>
      </c>
      <c r="C103">
        <v>440</v>
      </c>
      <c r="D103">
        <v>215</v>
      </c>
      <c r="E103">
        <v>4735</v>
      </c>
      <c r="F103">
        <v>11</v>
      </c>
      <c r="G103">
        <v>73</v>
      </c>
      <c r="H103" t="s">
        <v>1576</v>
      </c>
      <c r="I103" t="s">
        <v>1116</v>
      </c>
      <c r="J103" t="s">
        <v>1068</v>
      </c>
      <c r="K103" t="s">
        <v>1117</v>
      </c>
      <c r="L103" t="b">
        <f>Data_Completeness(MileageData[[#This Row],[MPG]:[Acceleration]])</f>
        <v>1</v>
      </c>
    </row>
    <row r="104" spans="1:12" x14ac:dyDescent="0.25">
      <c r="A104">
        <v>12</v>
      </c>
      <c r="B104">
        <v>8</v>
      </c>
      <c r="C104">
        <v>455</v>
      </c>
      <c r="D104">
        <v>225</v>
      </c>
      <c r="E104">
        <v>4951</v>
      </c>
      <c r="F104">
        <v>11</v>
      </c>
      <c r="G104">
        <v>73</v>
      </c>
      <c r="H104" t="s">
        <v>1576</v>
      </c>
      <c r="I104" t="s">
        <v>1118</v>
      </c>
      <c r="J104" t="s">
        <v>922</v>
      </c>
      <c r="K104" t="s">
        <v>1119</v>
      </c>
      <c r="L104" t="b">
        <f>Data_Completeness(MileageData[[#This Row],[MPG]:[Acceleration]])</f>
        <v>1</v>
      </c>
    </row>
    <row r="105" spans="1:12" x14ac:dyDescent="0.25">
      <c r="A105">
        <v>13</v>
      </c>
      <c r="B105">
        <v>8</v>
      </c>
      <c r="C105">
        <v>360</v>
      </c>
      <c r="D105">
        <v>175</v>
      </c>
      <c r="E105">
        <v>3821</v>
      </c>
      <c r="F105">
        <v>11</v>
      </c>
      <c r="G105">
        <v>73</v>
      </c>
      <c r="H105" t="s">
        <v>1576</v>
      </c>
      <c r="I105" t="s">
        <v>1120</v>
      </c>
      <c r="J105" t="s">
        <v>928</v>
      </c>
      <c r="K105" t="s">
        <v>1121</v>
      </c>
      <c r="L105" t="b">
        <f>Data_Completeness(MileageData[[#This Row],[MPG]:[Acceleration]])</f>
        <v>1</v>
      </c>
    </row>
    <row r="106" spans="1:12" x14ac:dyDescent="0.25">
      <c r="A106">
        <v>18</v>
      </c>
      <c r="B106">
        <v>6</v>
      </c>
      <c r="C106">
        <v>225</v>
      </c>
      <c r="D106">
        <v>105</v>
      </c>
      <c r="E106">
        <v>3121</v>
      </c>
      <c r="F106">
        <v>16.5</v>
      </c>
      <c r="G106">
        <v>73</v>
      </c>
      <c r="H106" t="s">
        <v>1576</v>
      </c>
      <c r="I106" t="s">
        <v>1122</v>
      </c>
      <c r="J106" t="s">
        <v>925</v>
      </c>
      <c r="K106" t="s">
        <v>1123</v>
      </c>
      <c r="L106" t="b">
        <f>Data_Completeness(MileageData[[#This Row],[MPG]:[Acceleration]])</f>
        <v>1</v>
      </c>
    </row>
    <row r="107" spans="1:12" x14ac:dyDescent="0.25">
      <c r="A107">
        <v>16</v>
      </c>
      <c r="B107">
        <v>6</v>
      </c>
      <c r="C107">
        <v>250</v>
      </c>
      <c r="D107">
        <v>100</v>
      </c>
      <c r="E107">
        <v>3278</v>
      </c>
      <c r="F107">
        <v>18</v>
      </c>
      <c r="G107">
        <v>73</v>
      </c>
      <c r="H107" t="s">
        <v>1576</v>
      </c>
      <c r="I107" t="s">
        <v>1124</v>
      </c>
      <c r="J107" t="s">
        <v>919</v>
      </c>
      <c r="K107" t="s">
        <v>1125</v>
      </c>
      <c r="L107" t="b">
        <f>Data_Completeness(MileageData[[#This Row],[MPG]:[Acceleration]])</f>
        <v>1</v>
      </c>
    </row>
    <row r="108" spans="1:12" x14ac:dyDescent="0.25">
      <c r="A108">
        <v>18</v>
      </c>
      <c r="B108">
        <v>6</v>
      </c>
      <c r="C108">
        <v>232</v>
      </c>
      <c r="D108">
        <v>100</v>
      </c>
      <c r="E108">
        <v>2945</v>
      </c>
      <c r="F108">
        <v>16</v>
      </c>
      <c r="G108">
        <v>73</v>
      </c>
      <c r="H108" t="s">
        <v>1576</v>
      </c>
      <c r="I108" t="s">
        <v>970</v>
      </c>
      <c r="J108" t="s">
        <v>928</v>
      </c>
      <c r="K108" t="s">
        <v>971</v>
      </c>
      <c r="L108" t="b">
        <f>Data_Completeness(MileageData[[#This Row],[MPG]:[Acceleration]])</f>
        <v>1</v>
      </c>
    </row>
    <row r="109" spans="1:12" x14ac:dyDescent="0.25">
      <c r="A109">
        <v>18</v>
      </c>
      <c r="B109">
        <v>6</v>
      </c>
      <c r="C109">
        <v>250</v>
      </c>
      <c r="D109">
        <v>88</v>
      </c>
      <c r="E109">
        <v>3021</v>
      </c>
      <c r="F109">
        <v>16.5</v>
      </c>
      <c r="G109">
        <v>73</v>
      </c>
      <c r="H109" t="s">
        <v>1576</v>
      </c>
      <c r="I109" t="s">
        <v>972</v>
      </c>
      <c r="J109" t="s">
        <v>931</v>
      </c>
      <c r="K109" t="s">
        <v>973</v>
      </c>
      <c r="L109" t="b">
        <f>Data_Completeness(MileageData[[#This Row],[MPG]:[Acceleration]])</f>
        <v>1</v>
      </c>
    </row>
    <row r="110" spans="1:12" x14ac:dyDescent="0.25">
      <c r="A110">
        <v>23</v>
      </c>
      <c r="B110">
        <v>6</v>
      </c>
      <c r="C110">
        <v>198</v>
      </c>
      <c r="D110">
        <v>95</v>
      </c>
      <c r="E110">
        <v>2904</v>
      </c>
      <c r="F110">
        <v>16</v>
      </c>
      <c r="G110">
        <v>73</v>
      </c>
      <c r="H110" t="s">
        <v>1576</v>
      </c>
      <c r="I110" t="s">
        <v>968</v>
      </c>
      <c r="J110" t="s">
        <v>925</v>
      </c>
      <c r="K110" t="s">
        <v>969</v>
      </c>
      <c r="L110" t="b">
        <f>Data_Completeness(MileageData[[#This Row],[MPG]:[Acceleration]])</f>
        <v>1</v>
      </c>
    </row>
    <row r="111" spans="1:12" x14ac:dyDescent="0.25">
      <c r="A111">
        <v>26</v>
      </c>
      <c r="B111">
        <v>4</v>
      </c>
      <c r="C111">
        <v>97</v>
      </c>
      <c r="D111">
        <v>46</v>
      </c>
      <c r="E111">
        <v>1950</v>
      </c>
      <c r="F111">
        <v>21</v>
      </c>
      <c r="G111">
        <v>73</v>
      </c>
      <c r="H111" t="s">
        <v>1577</v>
      </c>
      <c r="I111" t="s">
        <v>1126</v>
      </c>
      <c r="J111" t="s">
        <v>978</v>
      </c>
      <c r="K111" t="s">
        <v>1127</v>
      </c>
      <c r="L111" t="b">
        <f>Data_Completeness(MileageData[[#This Row],[MPG]:[Acceleration]])</f>
        <v>1</v>
      </c>
    </row>
    <row r="112" spans="1:12" x14ac:dyDescent="0.25">
      <c r="A112">
        <v>11</v>
      </c>
      <c r="B112">
        <v>8</v>
      </c>
      <c r="C112">
        <v>400</v>
      </c>
      <c r="D112">
        <v>150</v>
      </c>
      <c r="E112">
        <v>4997</v>
      </c>
      <c r="F112">
        <v>14</v>
      </c>
      <c r="G112">
        <v>73</v>
      </c>
      <c r="H112" t="s">
        <v>1576</v>
      </c>
      <c r="I112" t="s">
        <v>935</v>
      </c>
      <c r="J112" t="s">
        <v>919</v>
      </c>
      <c r="K112" t="s">
        <v>936</v>
      </c>
      <c r="L112" t="b">
        <f>Data_Completeness(MileageData[[#This Row],[MPG]:[Acceleration]])</f>
        <v>1</v>
      </c>
    </row>
    <row r="113" spans="1:12" x14ac:dyDescent="0.25">
      <c r="A113">
        <v>12</v>
      </c>
      <c r="B113">
        <v>8</v>
      </c>
      <c r="C113">
        <v>400</v>
      </c>
      <c r="D113">
        <v>167</v>
      </c>
      <c r="E113">
        <v>4906</v>
      </c>
      <c r="F113">
        <v>12.5</v>
      </c>
      <c r="G113">
        <v>73</v>
      </c>
      <c r="H113" t="s">
        <v>1576</v>
      </c>
      <c r="I113" t="s">
        <v>1128</v>
      </c>
      <c r="J113" t="s">
        <v>931</v>
      </c>
      <c r="K113" t="s">
        <v>1129</v>
      </c>
      <c r="L113" t="b">
        <f>Data_Completeness(MileageData[[#This Row],[MPG]:[Acceleration]])</f>
        <v>1</v>
      </c>
    </row>
    <row r="114" spans="1:12" x14ac:dyDescent="0.25">
      <c r="A114">
        <v>13</v>
      </c>
      <c r="B114">
        <v>8</v>
      </c>
      <c r="C114">
        <v>360</v>
      </c>
      <c r="D114">
        <v>170</v>
      </c>
      <c r="E114">
        <v>4654</v>
      </c>
      <c r="F114">
        <v>13</v>
      </c>
      <c r="G114">
        <v>73</v>
      </c>
      <c r="H114" t="s">
        <v>1576</v>
      </c>
      <c r="I114" t="s">
        <v>1130</v>
      </c>
      <c r="J114" t="s">
        <v>925</v>
      </c>
      <c r="K114" t="s">
        <v>1131</v>
      </c>
      <c r="L114" t="b">
        <f>Data_Completeness(MileageData[[#This Row],[MPG]:[Acceleration]])</f>
        <v>1</v>
      </c>
    </row>
    <row r="115" spans="1:12" x14ac:dyDescent="0.25">
      <c r="A115">
        <v>12</v>
      </c>
      <c r="B115">
        <v>8</v>
      </c>
      <c r="C115">
        <v>350</v>
      </c>
      <c r="D115">
        <v>180</v>
      </c>
      <c r="E115">
        <v>4499</v>
      </c>
      <c r="F115">
        <v>12.5</v>
      </c>
      <c r="G115">
        <v>73</v>
      </c>
      <c r="H115" t="s">
        <v>1576</v>
      </c>
      <c r="I115" t="s">
        <v>1132</v>
      </c>
      <c r="J115" t="s">
        <v>1065</v>
      </c>
      <c r="K115" t="s">
        <v>1133</v>
      </c>
      <c r="L115" t="b">
        <f>Data_Completeness(MileageData[[#This Row],[MPG]:[Acceleration]])</f>
        <v>1</v>
      </c>
    </row>
    <row r="116" spans="1:12" x14ac:dyDescent="0.25">
      <c r="A116">
        <v>18</v>
      </c>
      <c r="B116">
        <v>6</v>
      </c>
      <c r="C116">
        <v>232</v>
      </c>
      <c r="D116">
        <v>100</v>
      </c>
      <c r="E116">
        <v>2789</v>
      </c>
      <c r="F116">
        <v>15</v>
      </c>
      <c r="G116">
        <v>73</v>
      </c>
      <c r="H116" t="s">
        <v>1576</v>
      </c>
      <c r="I116" t="s">
        <v>990</v>
      </c>
      <c r="J116" t="s">
        <v>928</v>
      </c>
      <c r="K116" t="s">
        <v>991</v>
      </c>
      <c r="L116" t="b">
        <f>Data_Completeness(MileageData[[#This Row],[MPG]:[Acceleration]])</f>
        <v>1</v>
      </c>
    </row>
    <row r="117" spans="1:12" x14ac:dyDescent="0.25">
      <c r="A117">
        <v>20</v>
      </c>
      <c r="B117">
        <v>4</v>
      </c>
      <c r="C117">
        <v>97</v>
      </c>
      <c r="D117">
        <v>88</v>
      </c>
      <c r="E117">
        <v>2279</v>
      </c>
      <c r="F117">
        <v>19</v>
      </c>
      <c r="G117">
        <v>73</v>
      </c>
      <c r="H117" t="s">
        <v>1578</v>
      </c>
      <c r="I117" t="s">
        <v>1134</v>
      </c>
      <c r="J117" t="s">
        <v>966</v>
      </c>
      <c r="K117" t="s">
        <v>1135</v>
      </c>
      <c r="L117" t="b">
        <f>Data_Completeness(MileageData[[#This Row],[MPG]:[Acceleration]])</f>
        <v>1</v>
      </c>
    </row>
    <row r="118" spans="1:12" x14ac:dyDescent="0.25">
      <c r="A118">
        <v>21</v>
      </c>
      <c r="B118">
        <v>4</v>
      </c>
      <c r="C118">
        <v>140</v>
      </c>
      <c r="D118">
        <v>72</v>
      </c>
      <c r="E118">
        <v>2401</v>
      </c>
      <c r="F118">
        <v>19.5</v>
      </c>
      <c r="G118">
        <v>73</v>
      </c>
      <c r="H118" t="s">
        <v>1576</v>
      </c>
      <c r="I118" t="s">
        <v>1054</v>
      </c>
      <c r="J118" t="s">
        <v>919</v>
      </c>
      <c r="K118" t="s">
        <v>1055</v>
      </c>
      <c r="L118" t="b">
        <f>Data_Completeness(MileageData[[#This Row],[MPG]:[Acceleration]])</f>
        <v>1</v>
      </c>
    </row>
    <row r="119" spans="1:12" x14ac:dyDescent="0.25">
      <c r="A119">
        <v>22</v>
      </c>
      <c r="B119">
        <v>4</v>
      </c>
      <c r="C119">
        <v>108</v>
      </c>
      <c r="D119">
        <v>94</v>
      </c>
      <c r="E119">
        <v>2379</v>
      </c>
      <c r="F119">
        <v>16.5</v>
      </c>
      <c r="G119">
        <v>73</v>
      </c>
      <c r="H119" t="s">
        <v>1578</v>
      </c>
      <c r="I119" t="s">
        <v>1136</v>
      </c>
      <c r="J119" t="s">
        <v>975</v>
      </c>
      <c r="K119">
        <v>610</v>
      </c>
      <c r="L119" t="b">
        <f>Data_Completeness(MileageData[[#This Row],[MPG]:[Acceleration]])</f>
        <v>1</v>
      </c>
    </row>
    <row r="120" spans="1:12" x14ac:dyDescent="0.25">
      <c r="A120">
        <v>18</v>
      </c>
      <c r="B120">
        <v>3</v>
      </c>
      <c r="C120">
        <v>70</v>
      </c>
      <c r="D120">
        <v>90</v>
      </c>
      <c r="E120">
        <v>2124</v>
      </c>
      <c r="F120">
        <v>13.5</v>
      </c>
      <c r="G120">
        <v>73</v>
      </c>
      <c r="H120" t="s">
        <v>1578</v>
      </c>
      <c r="I120" t="s">
        <v>1137</v>
      </c>
      <c r="J120" t="s">
        <v>1138</v>
      </c>
      <c r="K120" t="s">
        <v>1139</v>
      </c>
      <c r="L120" t="b">
        <f>Data_Completeness(MileageData[[#This Row],[MPG]:[Acceleration]])</f>
        <v>1</v>
      </c>
    </row>
    <row r="121" spans="1:12" x14ac:dyDescent="0.25">
      <c r="A121">
        <v>19</v>
      </c>
      <c r="B121">
        <v>4</v>
      </c>
      <c r="C121">
        <v>122</v>
      </c>
      <c r="D121">
        <v>85</v>
      </c>
      <c r="E121">
        <v>2310</v>
      </c>
      <c r="F121">
        <v>18.5</v>
      </c>
      <c r="G121">
        <v>73</v>
      </c>
      <c r="H121" t="s">
        <v>1576</v>
      </c>
      <c r="I121" t="s">
        <v>1006</v>
      </c>
      <c r="J121" t="s">
        <v>931</v>
      </c>
      <c r="K121" t="s">
        <v>1007</v>
      </c>
      <c r="L121" t="b">
        <f>Data_Completeness(MileageData[[#This Row],[MPG]:[Acceleration]])</f>
        <v>1</v>
      </c>
    </row>
    <row r="122" spans="1:12" x14ac:dyDescent="0.25">
      <c r="A122">
        <v>21</v>
      </c>
      <c r="B122">
        <v>6</v>
      </c>
      <c r="C122">
        <v>155</v>
      </c>
      <c r="D122">
        <v>107</v>
      </c>
      <c r="E122">
        <v>2472</v>
      </c>
      <c r="F122">
        <v>14</v>
      </c>
      <c r="G122">
        <v>73</v>
      </c>
      <c r="H122" t="s">
        <v>1576</v>
      </c>
      <c r="I122" t="s">
        <v>1140</v>
      </c>
      <c r="J122" t="s">
        <v>1033</v>
      </c>
      <c r="K122" t="s">
        <v>1141</v>
      </c>
      <c r="L122" t="b">
        <f>Data_Completeness(MileageData[[#This Row],[MPG]:[Acceleration]])</f>
        <v>1</v>
      </c>
    </row>
    <row r="123" spans="1:12" x14ac:dyDescent="0.25">
      <c r="A123">
        <v>26</v>
      </c>
      <c r="B123">
        <v>4</v>
      </c>
      <c r="C123">
        <v>98</v>
      </c>
      <c r="D123">
        <v>90</v>
      </c>
      <c r="E123">
        <v>2265</v>
      </c>
      <c r="F123">
        <v>15.5</v>
      </c>
      <c r="G123">
        <v>73</v>
      </c>
      <c r="H123" t="s">
        <v>1577</v>
      </c>
      <c r="I123" t="s">
        <v>1142</v>
      </c>
      <c r="J123" t="s">
        <v>1039</v>
      </c>
      <c r="K123" t="s">
        <v>1143</v>
      </c>
      <c r="L123" t="b">
        <f>Data_Completeness(MileageData[[#This Row],[MPG]:[Acceleration]])</f>
        <v>1</v>
      </c>
    </row>
    <row r="124" spans="1:12" x14ac:dyDescent="0.25">
      <c r="A124">
        <v>15</v>
      </c>
      <c r="B124">
        <v>8</v>
      </c>
      <c r="C124">
        <v>350</v>
      </c>
      <c r="D124">
        <v>145</v>
      </c>
      <c r="E124">
        <v>4082</v>
      </c>
      <c r="F124">
        <v>13</v>
      </c>
      <c r="G124">
        <v>73</v>
      </c>
      <c r="H124" t="s">
        <v>1576</v>
      </c>
      <c r="I124" t="s">
        <v>1144</v>
      </c>
      <c r="J124" t="s">
        <v>919</v>
      </c>
      <c r="K124" t="s">
        <v>1145</v>
      </c>
      <c r="L124" t="b">
        <f>Data_Completeness(MileageData[[#This Row],[MPG]:[Acceleration]])</f>
        <v>1</v>
      </c>
    </row>
    <row r="125" spans="1:12" x14ac:dyDescent="0.25">
      <c r="A125">
        <v>16</v>
      </c>
      <c r="B125">
        <v>8</v>
      </c>
      <c r="C125">
        <v>400</v>
      </c>
      <c r="D125">
        <v>230</v>
      </c>
      <c r="E125">
        <v>4278</v>
      </c>
      <c r="F125">
        <v>9.5</v>
      </c>
      <c r="G125">
        <v>73</v>
      </c>
      <c r="H125" t="s">
        <v>1576</v>
      </c>
      <c r="I125" t="s">
        <v>1146</v>
      </c>
      <c r="J125" t="s">
        <v>940</v>
      </c>
      <c r="K125" t="s">
        <v>1147</v>
      </c>
      <c r="L125" t="b">
        <f>Data_Completeness(MileageData[[#This Row],[MPG]:[Acceleration]])</f>
        <v>1</v>
      </c>
    </row>
    <row r="126" spans="1:12" x14ac:dyDescent="0.25">
      <c r="A126">
        <v>29</v>
      </c>
      <c r="B126">
        <v>4</v>
      </c>
      <c r="C126">
        <v>68</v>
      </c>
      <c r="D126">
        <v>49</v>
      </c>
      <c r="E126">
        <v>1867</v>
      </c>
      <c r="F126">
        <v>19.5</v>
      </c>
      <c r="G126">
        <v>73</v>
      </c>
      <c r="H126" t="s">
        <v>1577</v>
      </c>
      <c r="I126" t="s">
        <v>1148</v>
      </c>
      <c r="J126" t="s">
        <v>1039</v>
      </c>
      <c r="K126">
        <v>128</v>
      </c>
      <c r="L126" t="b">
        <f>Data_Completeness(MileageData[[#This Row],[MPG]:[Acceleration]])</f>
        <v>1</v>
      </c>
    </row>
    <row r="127" spans="1:12" x14ac:dyDescent="0.25">
      <c r="A127">
        <v>24</v>
      </c>
      <c r="B127">
        <v>4</v>
      </c>
      <c r="C127">
        <v>116</v>
      </c>
      <c r="D127">
        <v>75</v>
      </c>
      <c r="E127">
        <v>2158</v>
      </c>
      <c r="F127">
        <v>15.5</v>
      </c>
      <c r="G127">
        <v>73</v>
      </c>
      <c r="H127" t="s">
        <v>1577</v>
      </c>
      <c r="I127" t="s">
        <v>1149</v>
      </c>
      <c r="J127" t="s">
        <v>1036</v>
      </c>
      <c r="K127" t="s">
        <v>1150</v>
      </c>
      <c r="L127" t="b">
        <f>Data_Completeness(MileageData[[#This Row],[MPG]:[Acceleration]])</f>
        <v>1</v>
      </c>
    </row>
    <row r="128" spans="1:12" x14ac:dyDescent="0.25">
      <c r="A128">
        <v>20</v>
      </c>
      <c r="B128">
        <v>4</v>
      </c>
      <c r="C128">
        <v>114</v>
      </c>
      <c r="D128">
        <v>91</v>
      </c>
      <c r="E128">
        <v>2582</v>
      </c>
      <c r="F128">
        <v>14</v>
      </c>
      <c r="G128">
        <v>73</v>
      </c>
      <c r="H128" t="s">
        <v>1577</v>
      </c>
      <c r="I128" t="s">
        <v>1151</v>
      </c>
      <c r="J128" t="s">
        <v>983</v>
      </c>
      <c r="K128" t="s">
        <v>1152</v>
      </c>
      <c r="L128" t="b">
        <f>Data_Completeness(MileageData[[#This Row],[MPG]:[Acceleration]])</f>
        <v>1</v>
      </c>
    </row>
    <row r="129" spans="1:12" x14ac:dyDescent="0.25">
      <c r="A129">
        <v>19</v>
      </c>
      <c r="B129">
        <v>4</v>
      </c>
      <c r="C129">
        <v>121</v>
      </c>
      <c r="D129">
        <v>112</v>
      </c>
      <c r="E129">
        <v>2868</v>
      </c>
      <c r="F129">
        <v>15.5</v>
      </c>
      <c r="G129">
        <v>73</v>
      </c>
      <c r="H129" t="s">
        <v>1577</v>
      </c>
      <c r="I129" t="s">
        <v>1153</v>
      </c>
      <c r="J129" t="s">
        <v>1080</v>
      </c>
      <c r="K129" t="s">
        <v>1154</v>
      </c>
      <c r="L129" t="b">
        <f>Data_Completeness(MileageData[[#This Row],[MPG]:[Acceleration]])</f>
        <v>1</v>
      </c>
    </row>
    <row r="130" spans="1:12" x14ac:dyDescent="0.25">
      <c r="A130">
        <v>15</v>
      </c>
      <c r="B130">
        <v>8</v>
      </c>
      <c r="C130">
        <v>318</v>
      </c>
      <c r="D130">
        <v>150</v>
      </c>
      <c r="E130">
        <v>3399</v>
      </c>
      <c r="F130">
        <v>11</v>
      </c>
      <c r="G130">
        <v>73</v>
      </c>
      <c r="H130" t="s">
        <v>1576</v>
      </c>
      <c r="I130" t="s">
        <v>1155</v>
      </c>
      <c r="J130" t="s">
        <v>956</v>
      </c>
      <c r="K130" t="s">
        <v>1156</v>
      </c>
      <c r="L130" t="b">
        <f>Data_Completeness(MileageData[[#This Row],[MPG]:[Acceleration]])</f>
        <v>1</v>
      </c>
    </row>
    <row r="131" spans="1:12" x14ac:dyDescent="0.25">
      <c r="A131">
        <v>24</v>
      </c>
      <c r="B131">
        <v>4</v>
      </c>
      <c r="C131">
        <v>121</v>
      </c>
      <c r="D131">
        <v>110</v>
      </c>
      <c r="E131">
        <v>2660</v>
      </c>
      <c r="F131">
        <v>14</v>
      </c>
      <c r="G131">
        <v>73</v>
      </c>
      <c r="H131" t="s">
        <v>1577</v>
      </c>
      <c r="I131" t="s">
        <v>1157</v>
      </c>
      <c r="J131" t="s">
        <v>986</v>
      </c>
      <c r="K131" t="s">
        <v>1158</v>
      </c>
      <c r="L131" t="b">
        <f>Data_Completeness(MileageData[[#This Row],[MPG]:[Acceleration]])</f>
        <v>1</v>
      </c>
    </row>
    <row r="132" spans="1:12" x14ac:dyDescent="0.25">
      <c r="A132">
        <v>20</v>
      </c>
      <c r="B132">
        <v>6</v>
      </c>
      <c r="C132">
        <v>156</v>
      </c>
      <c r="D132">
        <v>122</v>
      </c>
      <c r="E132">
        <v>2807</v>
      </c>
      <c r="F132">
        <v>13.5</v>
      </c>
      <c r="G132">
        <v>73</v>
      </c>
      <c r="H132" t="s">
        <v>1578</v>
      </c>
      <c r="I132" t="s">
        <v>1159</v>
      </c>
      <c r="J132" t="s">
        <v>966</v>
      </c>
      <c r="K132" t="s">
        <v>1160</v>
      </c>
      <c r="L132" t="b">
        <f>Data_Completeness(MileageData[[#This Row],[MPG]:[Acceleration]])</f>
        <v>1</v>
      </c>
    </row>
    <row r="133" spans="1:12" x14ac:dyDescent="0.25">
      <c r="A133">
        <v>11</v>
      </c>
      <c r="B133">
        <v>8</v>
      </c>
      <c r="C133">
        <v>350</v>
      </c>
      <c r="D133">
        <v>180</v>
      </c>
      <c r="E133">
        <v>3664</v>
      </c>
      <c r="F133">
        <v>11</v>
      </c>
      <c r="G133">
        <v>73</v>
      </c>
      <c r="H133" t="s">
        <v>1576</v>
      </c>
      <c r="I133" t="s">
        <v>1161</v>
      </c>
      <c r="J133" t="s">
        <v>1065</v>
      </c>
      <c r="K133" t="s">
        <v>1162</v>
      </c>
      <c r="L133" t="b">
        <f>Data_Completeness(MileageData[[#This Row],[MPG]:[Acceleration]])</f>
        <v>1</v>
      </c>
    </row>
    <row r="134" spans="1:12" x14ac:dyDescent="0.25">
      <c r="A134">
        <v>20</v>
      </c>
      <c r="B134">
        <v>6</v>
      </c>
      <c r="C134">
        <v>198</v>
      </c>
      <c r="D134">
        <v>95</v>
      </c>
      <c r="E134">
        <v>3102</v>
      </c>
      <c r="F134">
        <v>16.5</v>
      </c>
      <c r="G134">
        <v>74</v>
      </c>
      <c r="H134" t="s">
        <v>1576</v>
      </c>
      <c r="I134" t="s">
        <v>968</v>
      </c>
      <c r="J134" t="s">
        <v>925</v>
      </c>
      <c r="K134" t="s">
        <v>969</v>
      </c>
      <c r="L134" t="b">
        <f>Data_Completeness(MileageData[[#This Row],[MPG]:[Acceleration]])</f>
        <v>1</v>
      </c>
    </row>
    <row r="135" spans="1:12" x14ac:dyDescent="0.25">
      <c r="A135">
        <v>21</v>
      </c>
      <c r="B135">
        <v>6</v>
      </c>
      <c r="C135">
        <v>200</v>
      </c>
      <c r="E135">
        <v>2875</v>
      </c>
      <c r="F135">
        <v>17</v>
      </c>
      <c r="G135">
        <v>74</v>
      </c>
      <c r="H135" t="s">
        <v>1576</v>
      </c>
      <c r="I135" t="s">
        <v>972</v>
      </c>
      <c r="J135" t="s">
        <v>931</v>
      </c>
      <c r="K135" t="s">
        <v>973</v>
      </c>
      <c r="L135" t="b">
        <f>Data_Completeness(MileageData[[#This Row],[MPG]:[Acceleration]])</f>
        <v>0</v>
      </c>
    </row>
    <row r="136" spans="1:12" x14ac:dyDescent="0.25">
      <c r="A136">
        <v>19</v>
      </c>
      <c r="B136">
        <v>6</v>
      </c>
      <c r="C136">
        <v>232</v>
      </c>
      <c r="D136">
        <v>100</v>
      </c>
      <c r="E136">
        <v>2901</v>
      </c>
      <c r="F136">
        <v>16</v>
      </c>
      <c r="G136">
        <v>74</v>
      </c>
      <c r="H136" t="s">
        <v>1576</v>
      </c>
      <c r="I136" t="s">
        <v>970</v>
      </c>
      <c r="J136" t="s">
        <v>928</v>
      </c>
      <c r="K136" t="s">
        <v>971</v>
      </c>
      <c r="L136" t="b">
        <f>Data_Completeness(MileageData[[#This Row],[MPG]:[Acceleration]])</f>
        <v>1</v>
      </c>
    </row>
    <row r="137" spans="1:12" x14ac:dyDescent="0.25">
      <c r="A137">
        <v>15</v>
      </c>
      <c r="B137">
        <v>6</v>
      </c>
      <c r="C137">
        <v>250</v>
      </c>
      <c r="D137">
        <v>100</v>
      </c>
      <c r="E137">
        <v>3336</v>
      </c>
      <c r="F137">
        <v>17</v>
      </c>
      <c r="G137">
        <v>74</v>
      </c>
      <c r="H137" t="s">
        <v>1576</v>
      </c>
      <c r="I137" t="s">
        <v>1163</v>
      </c>
      <c r="J137" t="s">
        <v>919</v>
      </c>
      <c r="K137" t="s">
        <v>1164</v>
      </c>
      <c r="L137" t="b">
        <f>Data_Completeness(MileageData[[#This Row],[MPG]:[Acceleration]])</f>
        <v>1</v>
      </c>
    </row>
    <row r="138" spans="1:12" x14ac:dyDescent="0.25">
      <c r="A138">
        <v>31</v>
      </c>
      <c r="B138">
        <v>4</v>
      </c>
      <c r="C138">
        <v>79</v>
      </c>
      <c r="D138">
        <v>67</v>
      </c>
      <c r="E138">
        <v>1950</v>
      </c>
      <c r="F138">
        <v>19</v>
      </c>
      <c r="G138">
        <v>74</v>
      </c>
      <c r="H138" t="s">
        <v>1578</v>
      </c>
      <c r="I138" t="s">
        <v>1165</v>
      </c>
      <c r="J138" t="s">
        <v>975</v>
      </c>
      <c r="K138" t="s">
        <v>1166</v>
      </c>
      <c r="L138" t="b">
        <f>Data_Completeness(MileageData[[#This Row],[MPG]:[Acceleration]])</f>
        <v>1</v>
      </c>
    </row>
    <row r="139" spans="1:12" x14ac:dyDescent="0.25">
      <c r="A139">
        <v>26</v>
      </c>
      <c r="B139">
        <v>4</v>
      </c>
      <c r="C139">
        <v>122</v>
      </c>
      <c r="D139">
        <v>80</v>
      </c>
      <c r="E139">
        <v>2451</v>
      </c>
      <c r="F139">
        <v>16.5</v>
      </c>
      <c r="G139">
        <v>74</v>
      </c>
      <c r="H139" t="s">
        <v>1576</v>
      </c>
      <c r="I139" t="s">
        <v>1006</v>
      </c>
      <c r="J139" t="s">
        <v>931</v>
      </c>
      <c r="K139" t="s">
        <v>1007</v>
      </c>
      <c r="L139" t="b">
        <f>Data_Completeness(MileageData[[#This Row],[MPG]:[Acceleration]])</f>
        <v>1</v>
      </c>
    </row>
    <row r="140" spans="1:12" x14ac:dyDescent="0.25">
      <c r="A140">
        <v>32</v>
      </c>
      <c r="B140">
        <v>4</v>
      </c>
      <c r="C140">
        <v>71</v>
      </c>
      <c r="D140">
        <v>65</v>
      </c>
      <c r="E140">
        <v>1836</v>
      </c>
      <c r="F140">
        <v>21</v>
      </c>
      <c r="G140">
        <v>74</v>
      </c>
      <c r="H140" t="s">
        <v>1578</v>
      </c>
      <c r="I140" t="s">
        <v>1041</v>
      </c>
      <c r="J140" t="s">
        <v>966</v>
      </c>
      <c r="K140" t="s">
        <v>1042</v>
      </c>
      <c r="L140" t="b">
        <f>Data_Completeness(MileageData[[#This Row],[MPG]:[Acceleration]])</f>
        <v>1</v>
      </c>
    </row>
    <row r="141" spans="1:12" x14ac:dyDescent="0.25">
      <c r="A141">
        <v>25</v>
      </c>
      <c r="B141">
        <v>4</v>
      </c>
      <c r="C141">
        <v>140</v>
      </c>
      <c r="D141">
        <v>75</v>
      </c>
      <c r="E141">
        <v>2542</v>
      </c>
      <c r="F141">
        <v>17</v>
      </c>
      <c r="G141">
        <v>74</v>
      </c>
      <c r="H141" t="s">
        <v>1576</v>
      </c>
      <c r="I141" t="s">
        <v>1054</v>
      </c>
      <c r="J141" t="s">
        <v>919</v>
      </c>
      <c r="K141" t="s">
        <v>1055</v>
      </c>
      <c r="L141" t="b">
        <f>Data_Completeness(MileageData[[#This Row],[MPG]:[Acceleration]])</f>
        <v>1</v>
      </c>
    </row>
    <row r="142" spans="1:12" x14ac:dyDescent="0.25">
      <c r="A142">
        <v>16</v>
      </c>
      <c r="B142">
        <v>6</v>
      </c>
      <c r="C142">
        <v>250</v>
      </c>
      <c r="D142">
        <v>100</v>
      </c>
      <c r="E142">
        <v>3781</v>
      </c>
      <c r="F142">
        <v>17</v>
      </c>
      <c r="G142">
        <v>74</v>
      </c>
      <c r="H142" t="s">
        <v>1576</v>
      </c>
      <c r="I142" t="s">
        <v>1167</v>
      </c>
      <c r="J142" t="s">
        <v>919</v>
      </c>
      <c r="K142" t="s">
        <v>1168</v>
      </c>
      <c r="L142" t="b">
        <f>Data_Completeness(MileageData[[#This Row],[MPG]:[Acceleration]])</f>
        <v>1</v>
      </c>
    </row>
    <row r="143" spans="1:12" x14ac:dyDescent="0.25">
      <c r="A143">
        <v>16</v>
      </c>
      <c r="B143">
        <v>6</v>
      </c>
      <c r="C143">
        <v>258</v>
      </c>
      <c r="D143">
        <v>110</v>
      </c>
      <c r="E143">
        <v>3632</v>
      </c>
      <c r="F143">
        <v>18</v>
      </c>
      <c r="G143">
        <v>74</v>
      </c>
      <c r="H143" t="s">
        <v>1576</v>
      </c>
      <c r="I143" t="s">
        <v>1014</v>
      </c>
      <c r="J143" t="s">
        <v>928</v>
      </c>
      <c r="K143" t="s">
        <v>1015</v>
      </c>
      <c r="L143" t="b">
        <f>Data_Completeness(MileageData[[#This Row],[MPG]:[Acceleration]])</f>
        <v>1</v>
      </c>
    </row>
    <row r="144" spans="1:12" x14ac:dyDescent="0.25">
      <c r="A144">
        <v>18</v>
      </c>
      <c r="B144">
        <v>6</v>
      </c>
      <c r="C144">
        <v>225</v>
      </c>
      <c r="D144">
        <v>105</v>
      </c>
      <c r="E144">
        <v>3613</v>
      </c>
      <c r="F144">
        <v>16.5</v>
      </c>
      <c r="G144">
        <v>74</v>
      </c>
      <c r="H144" t="s">
        <v>1576</v>
      </c>
      <c r="I144" t="s">
        <v>1169</v>
      </c>
      <c r="J144" t="s">
        <v>925</v>
      </c>
      <c r="K144" t="s">
        <v>1170</v>
      </c>
      <c r="L144" t="b">
        <f>Data_Completeness(MileageData[[#This Row],[MPG]:[Acceleration]])</f>
        <v>1</v>
      </c>
    </row>
    <row r="145" spans="1:12" x14ac:dyDescent="0.25">
      <c r="A145">
        <v>16</v>
      </c>
      <c r="B145">
        <v>8</v>
      </c>
      <c r="C145">
        <v>302</v>
      </c>
      <c r="D145">
        <v>140</v>
      </c>
      <c r="E145">
        <v>4141</v>
      </c>
      <c r="F145">
        <v>14</v>
      </c>
      <c r="G145">
        <v>74</v>
      </c>
      <c r="H145" t="s">
        <v>1576</v>
      </c>
      <c r="I145" t="s">
        <v>1104</v>
      </c>
      <c r="J145" t="s">
        <v>931</v>
      </c>
      <c r="K145" t="s">
        <v>1105</v>
      </c>
      <c r="L145" t="b">
        <f>Data_Completeness(MileageData[[#This Row],[MPG]:[Acceleration]])</f>
        <v>1</v>
      </c>
    </row>
    <row r="146" spans="1:12" x14ac:dyDescent="0.25">
      <c r="A146">
        <v>13</v>
      </c>
      <c r="B146">
        <v>8</v>
      </c>
      <c r="C146">
        <v>350</v>
      </c>
      <c r="D146">
        <v>150</v>
      </c>
      <c r="E146">
        <v>4699</v>
      </c>
      <c r="F146">
        <v>14.5</v>
      </c>
      <c r="G146">
        <v>74</v>
      </c>
      <c r="H146" t="s">
        <v>1576</v>
      </c>
      <c r="I146" t="s">
        <v>1171</v>
      </c>
      <c r="J146" t="s">
        <v>922</v>
      </c>
      <c r="K146" t="s">
        <v>1172</v>
      </c>
      <c r="L146" t="b">
        <f>Data_Completeness(MileageData[[#This Row],[MPG]:[Acceleration]])</f>
        <v>1</v>
      </c>
    </row>
    <row r="147" spans="1:12" x14ac:dyDescent="0.25">
      <c r="A147">
        <v>14</v>
      </c>
      <c r="B147">
        <v>8</v>
      </c>
      <c r="C147">
        <v>318</v>
      </c>
      <c r="D147">
        <v>150</v>
      </c>
      <c r="E147">
        <v>4457</v>
      </c>
      <c r="F147">
        <v>13.5</v>
      </c>
      <c r="G147">
        <v>74</v>
      </c>
      <c r="H147" t="s">
        <v>1576</v>
      </c>
      <c r="I147" t="s">
        <v>1173</v>
      </c>
      <c r="J147" t="s">
        <v>956</v>
      </c>
      <c r="K147" t="s">
        <v>1174</v>
      </c>
      <c r="L147" t="b">
        <f>Data_Completeness(MileageData[[#This Row],[MPG]:[Acceleration]])</f>
        <v>1</v>
      </c>
    </row>
    <row r="148" spans="1:12" x14ac:dyDescent="0.25">
      <c r="A148">
        <v>14</v>
      </c>
      <c r="B148">
        <v>8</v>
      </c>
      <c r="C148">
        <v>302</v>
      </c>
      <c r="D148">
        <v>140</v>
      </c>
      <c r="E148">
        <v>4638</v>
      </c>
      <c r="F148">
        <v>16</v>
      </c>
      <c r="G148">
        <v>74</v>
      </c>
      <c r="H148" t="s">
        <v>1576</v>
      </c>
      <c r="I148" t="s">
        <v>1075</v>
      </c>
      <c r="J148" t="s">
        <v>931</v>
      </c>
      <c r="K148" t="s">
        <v>1076</v>
      </c>
      <c r="L148" t="b">
        <f>Data_Completeness(MileageData[[#This Row],[MPG]:[Acceleration]])</f>
        <v>1</v>
      </c>
    </row>
    <row r="149" spans="1:12" x14ac:dyDescent="0.25">
      <c r="A149">
        <v>14</v>
      </c>
      <c r="B149">
        <v>8</v>
      </c>
      <c r="C149">
        <v>304</v>
      </c>
      <c r="D149">
        <v>150</v>
      </c>
      <c r="E149">
        <v>4257</v>
      </c>
      <c r="F149">
        <v>15.5</v>
      </c>
      <c r="G149">
        <v>74</v>
      </c>
      <c r="H149" t="s">
        <v>1576</v>
      </c>
      <c r="I149" t="s">
        <v>1073</v>
      </c>
      <c r="J149" t="s">
        <v>928</v>
      </c>
      <c r="K149" t="s">
        <v>1074</v>
      </c>
      <c r="L149" t="b">
        <f>Data_Completeness(MileageData[[#This Row],[MPG]:[Acceleration]])</f>
        <v>1</v>
      </c>
    </row>
    <row r="150" spans="1:12" x14ac:dyDescent="0.25">
      <c r="A150">
        <v>29</v>
      </c>
      <c r="B150">
        <v>4</v>
      </c>
      <c r="C150">
        <v>98</v>
      </c>
      <c r="D150">
        <v>83</v>
      </c>
      <c r="E150">
        <v>2219</v>
      </c>
      <c r="F150">
        <v>16.5</v>
      </c>
      <c r="G150">
        <v>74</v>
      </c>
      <c r="H150" t="s">
        <v>1577</v>
      </c>
      <c r="I150" t="s">
        <v>1175</v>
      </c>
      <c r="J150" t="s">
        <v>983</v>
      </c>
      <c r="K150" t="s">
        <v>1176</v>
      </c>
      <c r="L150" t="b">
        <f>Data_Completeness(MileageData[[#This Row],[MPG]:[Acceleration]])</f>
        <v>1</v>
      </c>
    </row>
    <row r="151" spans="1:12" x14ac:dyDescent="0.25">
      <c r="A151">
        <v>26</v>
      </c>
      <c r="B151">
        <v>4</v>
      </c>
      <c r="C151">
        <v>79</v>
      </c>
      <c r="D151">
        <v>67</v>
      </c>
      <c r="E151">
        <v>1963</v>
      </c>
      <c r="F151">
        <v>15.5</v>
      </c>
      <c r="G151">
        <v>74</v>
      </c>
      <c r="H151" t="s">
        <v>1577</v>
      </c>
      <c r="I151" t="s">
        <v>1177</v>
      </c>
      <c r="J151" t="s">
        <v>978</v>
      </c>
      <c r="K151" t="s">
        <v>1178</v>
      </c>
      <c r="L151" t="b">
        <f>Data_Completeness(MileageData[[#This Row],[MPG]:[Acceleration]])</f>
        <v>1</v>
      </c>
    </row>
    <row r="152" spans="1:12" x14ac:dyDescent="0.25">
      <c r="A152">
        <v>26</v>
      </c>
      <c r="B152">
        <v>4</v>
      </c>
      <c r="C152">
        <v>97</v>
      </c>
      <c r="D152">
        <v>78</v>
      </c>
      <c r="E152">
        <v>2300</v>
      </c>
      <c r="F152">
        <v>14.5</v>
      </c>
      <c r="G152">
        <v>74</v>
      </c>
      <c r="H152" t="s">
        <v>1577</v>
      </c>
      <c r="I152" t="s">
        <v>1149</v>
      </c>
      <c r="J152" t="s">
        <v>1036</v>
      </c>
      <c r="K152" t="s">
        <v>1150</v>
      </c>
      <c r="L152" t="b">
        <f>Data_Completeness(MileageData[[#This Row],[MPG]:[Acceleration]])</f>
        <v>1</v>
      </c>
    </row>
    <row r="153" spans="1:12" x14ac:dyDescent="0.25">
      <c r="A153">
        <v>31</v>
      </c>
      <c r="B153">
        <v>4</v>
      </c>
      <c r="C153">
        <v>76</v>
      </c>
      <c r="D153">
        <v>52</v>
      </c>
      <c r="E153">
        <v>1649</v>
      </c>
      <c r="F153">
        <v>16.5</v>
      </c>
      <c r="G153">
        <v>74</v>
      </c>
      <c r="H153" t="s">
        <v>1578</v>
      </c>
      <c r="I153" t="s">
        <v>1004</v>
      </c>
      <c r="J153" t="s">
        <v>966</v>
      </c>
      <c r="K153" t="s">
        <v>1005</v>
      </c>
      <c r="L153" t="b">
        <f>Data_Completeness(MileageData[[#This Row],[MPG]:[Acceleration]])</f>
        <v>1</v>
      </c>
    </row>
    <row r="154" spans="1:12" x14ac:dyDescent="0.25">
      <c r="A154">
        <v>32</v>
      </c>
      <c r="B154">
        <v>4</v>
      </c>
      <c r="C154">
        <v>83</v>
      </c>
      <c r="D154">
        <v>61</v>
      </c>
      <c r="E154">
        <v>2003</v>
      </c>
      <c r="F154">
        <v>19</v>
      </c>
      <c r="G154">
        <v>74</v>
      </c>
      <c r="H154" t="s">
        <v>1578</v>
      </c>
      <c r="I154" t="s">
        <v>1179</v>
      </c>
      <c r="J154" t="s">
        <v>975</v>
      </c>
      <c r="K154">
        <v>710</v>
      </c>
      <c r="L154" t="b">
        <f>Data_Completeness(MileageData[[#This Row],[MPG]:[Acceleration]])</f>
        <v>1</v>
      </c>
    </row>
    <row r="155" spans="1:12" x14ac:dyDescent="0.25">
      <c r="A155">
        <v>28</v>
      </c>
      <c r="B155">
        <v>4</v>
      </c>
      <c r="C155">
        <v>90</v>
      </c>
      <c r="D155">
        <v>75</v>
      </c>
      <c r="E155">
        <v>2125</v>
      </c>
      <c r="F155">
        <v>14.5</v>
      </c>
      <c r="G155">
        <v>74</v>
      </c>
      <c r="H155" t="s">
        <v>1576</v>
      </c>
      <c r="I155" t="s">
        <v>1180</v>
      </c>
      <c r="J155" t="s">
        <v>956</v>
      </c>
      <c r="K155" t="s">
        <v>1181</v>
      </c>
      <c r="L155" t="b">
        <f>Data_Completeness(MileageData[[#This Row],[MPG]:[Acceleration]])</f>
        <v>1</v>
      </c>
    </row>
    <row r="156" spans="1:12" x14ac:dyDescent="0.25">
      <c r="A156">
        <v>24</v>
      </c>
      <c r="B156">
        <v>4</v>
      </c>
      <c r="C156">
        <v>90</v>
      </c>
      <c r="D156">
        <v>75</v>
      </c>
      <c r="E156">
        <v>2108</v>
      </c>
      <c r="F156">
        <v>15.5</v>
      </c>
      <c r="G156">
        <v>74</v>
      </c>
      <c r="H156" t="s">
        <v>1577</v>
      </c>
      <c r="I156" t="s">
        <v>1148</v>
      </c>
      <c r="J156" t="s">
        <v>1039</v>
      </c>
      <c r="K156">
        <v>128</v>
      </c>
      <c r="L156" t="b">
        <f>Data_Completeness(MileageData[[#This Row],[MPG]:[Acceleration]])</f>
        <v>1</v>
      </c>
    </row>
    <row r="157" spans="1:12" x14ac:dyDescent="0.25">
      <c r="A157">
        <v>26</v>
      </c>
      <c r="B157">
        <v>4</v>
      </c>
      <c r="C157">
        <v>116</v>
      </c>
      <c r="D157">
        <v>75</v>
      </c>
      <c r="E157">
        <v>2246</v>
      </c>
      <c r="F157">
        <v>14</v>
      </c>
      <c r="G157">
        <v>74</v>
      </c>
      <c r="H157" t="s">
        <v>1577</v>
      </c>
      <c r="I157" t="s">
        <v>1182</v>
      </c>
      <c r="J157" t="s">
        <v>1039</v>
      </c>
      <c r="K157" t="s">
        <v>1183</v>
      </c>
      <c r="L157" t="b">
        <f>Data_Completeness(MileageData[[#This Row],[MPG]:[Acceleration]])</f>
        <v>1</v>
      </c>
    </row>
    <row r="158" spans="1:12" x14ac:dyDescent="0.25">
      <c r="A158">
        <v>24</v>
      </c>
      <c r="B158">
        <v>4</v>
      </c>
      <c r="C158">
        <v>120</v>
      </c>
      <c r="D158">
        <v>97</v>
      </c>
      <c r="E158">
        <v>2489</v>
      </c>
      <c r="F158">
        <v>15</v>
      </c>
      <c r="G158">
        <v>74</v>
      </c>
      <c r="H158" t="s">
        <v>1578</v>
      </c>
      <c r="I158" t="s">
        <v>1184</v>
      </c>
      <c r="J158" t="s">
        <v>1185</v>
      </c>
      <c r="K158" t="s">
        <v>1186</v>
      </c>
      <c r="L158" t="b">
        <f>Data_Completeness(MileageData[[#This Row],[MPG]:[Acceleration]])</f>
        <v>1</v>
      </c>
    </row>
    <row r="159" spans="1:12" x14ac:dyDescent="0.25">
      <c r="A159">
        <v>26</v>
      </c>
      <c r="B159">
        <v>4</v>
      </c>
      <c r="C159">
        <v>108</v>
      </c>
      <c r="D159">
        <v>93</v>
      </c>
      <c r="E159">
        <v>2391</v>
      </c>
      <c r="F159">
        <v>15.5</v>
      </c>
      <c r="G159">
        <v>74</v>
      </c>
      <c r="H159" t="s">
        <v>1578</v>
      </c>
      <c r="I159" t="s">
        <v>1187</v>
      </c>
      <c r="J159" t="e">
        <v>#VALUE!</v>
      </c>
      <c r="K159" t="e">
        <v>#VALUE!</v>
      </c>
      <c r="L159" t="b">
        <f>Data_Completeness(MileageData[[#This Row],[MPG]:[Acceleration]])</f>
        <v>1</v>
      </c>
    </row>
    <row r="160" spans="1:12" x14ac:dyDescent="0.25">
      <c r="A160">
        <v>31</v>
      </c>
      <c r="B160">
        <v>4</v>
      </c>
      <c r="C160">
        <v>79</v>
      </c>
      <c r="D160">
        <v>67</v>
      </c>
      <c r="E160">
        <v>2000</v>
      </c>
      <c r="F160">
        <v>16</v>
      </c>
      <c r="G160">
        <v>74</v>
      </c>
      <c r="H160" t="s">
        <v>1577</v>
      </c>
      <c r="I160" t="s">
        <v>1188</v>
      </c>
      <c r="J160" t="s">
        <v>1039</v>
      </c>
      <c r="K160" t="s">
        <v>1189</v>
      </c>
      <c r="L160" t="b">
        <f>Data_Completeness(MileageData[[#This Row],[MPG]:[Acceleration]])</f>
        <v>1</v>
      </c>
    </row>
    <row r="161" spans="1:12" x14ac:dyDescent="0.25">
      <c r="A161">
        <v>19</v>
      </c>
      <c r="B161">
        <v>6</v>
      </c>
      <c r="C161">
        <v>225</v>
      </c>
      <c r="D161">
        <v>95</v>
      </c>
      <c r="E161">
        <v>3264</v>
      </c>
      <c r="F161">
        <v>16</v>
      </c>
      <c r="G161">
        <v>75</v>
      </c>
      <c r="H161" t="s">
        <v>1576</v>
      </c>
      <c r="I161" t="s">
        <v>1190</v>
      </c>
      <c r="J161" t="s">
        <v>925</v>
      </c>
      <c r="K161" t="s">
        <v>1191</v>
      </c>
      <c r="L161" t="b">
        <f>Data_Completeness(MileageData[[#This Row],[MPG]:[Acceleration]])</f>
        <v>1</v>
      </c>
    </row>
    <row r="162" spans="1:12" x14ac:dyDescent="0.25">
      <c r="A162">
        <v>18</v>
      </c>
      <c r="B162">
        <v>6</v>
      </c>
      <c r="C162">
        <v>250</v>
      </c>
      <c r="D162">
        <v>105</v>
      </c>
      <c r="E162">
        <v>3459</v>
      </c>
      <c r="F162">
        <v>16</v>
      </c>
      <c r="G162">
        <v>75</v>
      </c>
      <c r="H162" t="s">
        <v>1576</v>
      </c>
      <c r="I162" t="s">
        <v>1163</v>
      </c>
      <c r="J162" t="s">
        <v>919</v>
      </c>
      <c r="K162" t="s">
        <v>1164</v>
      </c>
      <c r="L162" t="b">
        <f>Data_Completeness(MileageData[[#This Row],[MPG]:[Acceleration]])</f>
        <v>1</v>
      </c>
    </row>
    <row r="163" spans="1:12" x14ac:dyDescent="0.25">
      <c r="A163">
        <v>15</v>
      </c>
      <c r="B163">
        <v>6</v>
      </c>
      <c r="C163">
        <v>250</v>
      </c>
      <c r="D163">
        <v>72</v>
      </c>
      <c r="E163">
        <v>3432</v>
      </c>
      <c r="F163">
        <v>21</v>
      </c>
      <c r="G163">
        <v>75</v>
      </c>
      <c r="H163" t="s">
        <v>1576</v>
      </c>
      <c r="I163" t="s">
        <v>1192</v>
      </c>
      <c r="J163" t="s">
        <v>1033</v>
      </c>
      <c r="K163" t="s">
        <v>1193</v>
      </c>
      <c r="L163" t="b">
        <f>Data_Completeness(MileageData[[#This Row],[MPG]:[Acceleration]])</f>
        <v>1</v>
      </c>
    </row>
    <row r="164" spans="1:12" x14ac:dyDescent="0.25">
      <c r="A164">
        <v>15</v>
      </c>
      <c r="B164">
        <v>6</v>
      </c>
      <c r="C164">
        <v>250</v>
      </c>
      <c r="D164">
        <v>72</v>
      </c>
      <c r="E164">
        <v>3158</v>
      </c>
      <c r="F164">
        <v>19.5</v>
      </c>
      <c r="G164">
        <v>75</v>
      </c>
      <c r="H164" t="s">
        <v>1576</v>
      </c>
      <c r="I164" t="s">
        <v>972</v>
      </c>
      <c r="J164" t="s">
        <v>931</v>
      </c>
      <c r="K164" t="s">
        <v>973</v>
      </c>
      <c r="L164" t="b">
        <f>Data_Completeness(MileageData[[#This Row],[MPG]:[Acceleration]])</f>
        <v>1</v>
      </c>
    </row>
    <row r="165" spans="1:12" x14ac:dyDescent="0.25">
      <c r="A165">
        <v>16</v>
      </c>
      <c r="B165">
        <v>8</v>
      </c>
      <c r="C165">
        <v>400</v>
      </c>
      <c r="D165">
        <v>170</v>
      </c>
      <c r="E165">
        <v>4668</v>
      </c>
      <c r="F165">
        <v>11.5</v>
      </c>
      <c r="G165">
        <v>75</v>
      </c>
      <c r="H165" t="s">
        <v>1576</v>
      </c>
      <c r="I165" t="s">
        <v>939</v>
      </c>
      <c r="J165" t="s">
        <v>940</v>
      </c>
      <c r="K165" t="s">
        <v>941</v>
      </c>
      <c r="L165" t="b">
        <f>Data_Completeness(MileageData[[#This Row],[MPG]:[Acceleration]])</f>
        <v>1</v>
      </c>
    </row>
    <row r="166" spans="1:12" x14ac:dyDescent="0.25">
      <c r="A166">
        <v>15</v>
      </c>
      <c r="B166">
        <v>8</v>
      </c>
      <c r="C166">
        <v>350</v>
      </c>
      <c r="D166">
        <v>145</v>
      </c>
      <c r="E166">
        <v>4440</v>
      </c>
      <c r="F166">
        <v>14</v>
      </c>
      <c r="G166">
        <v>75</v>
      </c>
      <c r="H166" t="s">
        <v>1576</v>
      </c>
      <c r="I166" t="s">
        <v>1194</v>
      </c>
      <c r="J166" t="s">
        <v>919</v>
      </c>
      <c r="K166" t="s">
        <v>1195</v>
      </c>
      <c r="L166" t="b">
        <f>Data_Completeness(MileageData[[#This Row],[MPG]:[Acceleration]])</f>
        <v>1</v>
      </c>
    </row>
    <row r="167" spans="1:12" x14ac:dyDescent="0.25">
      <c r="A167">
        <v>16</v>
      </c>
      <c r="B167">
        <v>8</v>
      </c>
      <c r="C167">
        <v>318</v>
      </c>
      <c r="D167">
        <v>150</v>
      </c>
      <c r="E167">
        <v>4498</v>
      </c>
      <c r="F167">
        <v>14.5</v>
      </c>
      <c r="G167">
        <v>75</v>
      </c>
      <c r="H167" t="s">
        <v>1576</v>
      </c>
      <c r="I167" t="s">
        <v>1196</v>
      </c>
      <c r="J167" t="s">
        <v>925</v>
      </c>
      <c r="K167" t="s">
        <v>1197</v>
      </c>
      <c r="L167" t="b">
        <f>Data_Completeness(MileageData[[#This Row],[MPG]:[Acceleration]])</f>
        <v>1</v>
      </c>
    </row>
    <row r="168" spans="1:12" x14ac:dyDescent="0.25">
      <c r="A168">
        <v>14</v>
      </c>
      <c r="B168">
        <v>8</v>
      </c>
      <c r="C168">
        <v>351</v>
      </c>
      <c r="D168">
        <v>148</v>
      </c>
      <c r="E168">
        <v>4657</v>
      </c>
      <c r="F168">
        <v>13.5</v>
      </c>
      <c r="G168">
        <v>75</v>
      </c>
      <c r="H168" t="s">
        <v>1576</v>
      </c>
      <c r="I168" t="s">
        <v>1112</v>
      </c>
      <c r="J168" t="s">
        <v>931</v>
      </c>
      <c r="K168" t="s">
        <v>1113</v>
      </c>
      <c r="L168" t="b">
        <f>Data_Completeness(MileageData[[#This Row],[MPG]:[Acceleration]])</f>
        <v>1</v>
      </c>
    </row>
    <row r="169" spans="1:12" x14ac:dyDescent="0.25">
      <c r="A169">
        <v>17</v>
      </c>
      <c r="B169">
        <v>6</v>
      </c>
      <c r="C169">
        <v>231</v>
      </c>
      <c r="D169">
        <v>110</v>
      </c>
      <c r="E169">
        <v>3907</v>
      </c>
      <c r="F169">
        <v>21</v>
      </c>
      <c r="G169">
        <v>75</v>
      </c>
      <c r="H169" t="s">
        <v>1576</v>
      </c>
      <c r="I169" t="s">
        <v>1198</v>
      </c>
      <c r="J169" t="s">
        <v>922</v>
      </c>
      <c r="K169" t="s">
        <v>1199</v>
      </c>
      <c r="L169" t="b">
        <f>Data_Completeness(MileageData[[#This Row],[MPG]:[Acceleration]])</f>
        <v>1</v>
      </c>
    </row>
    <row r="170" spans="1:12" x14ac:dyDescent="0.25">
      <c r="A170">
        <v>16</v>
      </c>
      <c r="B170">
        <v>6</v>
      </c>
      <c r="C170">
        <v>250</v>
      </c>
      <c r="D170">
        <v>105</v>
      </c>
      <c r="E170">
        <v>3897</v>
      </c>
      <c r="F170">
        <v>18.5</v>
      </c>
      <c r="G170">
        <v>75</v>
      </c>
      <c r="H170" t="s">
        <v>1576</v>
      </c>
      <c r="I170" t="s">
        <v>1200</v>
      </c>
      <c r="J170" t="s">
        <v>1201</v>
      </c>
      <c r="K170" t="s">
        <v>920</v>
      </c>
      <c r="L170" t="b">
        <f>Data_Completeness(MileageData[[#This Row],[MPG]:[Acceleration]])</f>
        <v>1</v>
      </c>
    </row>
    <row r="171" spans="1:12" x14ac:dyDescent="0.25">
      <c r="A171">
        <v>15</v>
      </c>
      <c r="B171">
        <v>6</v>
      </c>
      <c r="C171">
        <v>258</v>
      </c>
      <c r="D171">
        <v>110</v>
      </c>
      <c r="E171">
        <v>3730</v>
      </c>
      <c r="F171">
        <v>19</v>
      </c>
      <c r="G171">
        <v>75</v>
      </c>
      <c r="H171" t="s">
        <v>1576</v>
      </c>
      <c r="I171" t="s">
        <v>1014</v>
      </c>
      <c r="J171" t="s">
        <v>928</v>
      </c>
      <c r="K171" t="s">
        <v>1015</v>
      </c>
      <c r="L171" t="b">
        <f>Data_Completeness(MileageData[[#This Row],[MPG]:[Acceleration]])</f>
        <v>1</v>
      </c>
    </row>
    <row r="172" spans="1:12" x14ac:dyDescent="0.25">
      <c r="A172">
        <v>18</v>
      </c>
      <c r="B172">
        <v>6</v>
      </c>
      <c r="C172">
        <v>225</v>
      </c>
      <c r="D172">
        <v>95</v>
      </c>
      <c r="E172">
        <v>3785</v>
      </c>
      <c r="F172">
        <v>19</v>
      </c>
      <c r="G172">
        <v>75</v>
      </c>
      <c r="H172" t="s">
        <v>1576</v>
      </c>
      <c r="I172" t="s">
        <v>1202</v>
      </c>
      <c r="J172" t="s">
        <v>925</v>
      </c>
      <c r="K172" t="s">
        <v>1203</v>
      </c>
      <c r="L172" t="b">
        <f>Data_Completeness(MileageData[[#This Row],[MPG]:[Acceleration]])</f>
        <v>1</v>
      </c>
    </row>
    <row r="173" spans="1:12" x14ac:dyDescent="0.25">
      <c r="A173">
        <v>21</v>
      </c>
      <c r="B173">
        <v>6</v>
      </c>
      <c r="C173">
        <v>231</v>
      </c>
      <c r="D173">
        <v>110</v>
      </c>
      <c r="E173">
        <v>3039</v>
      </c>
      <c r="F173">
        <v>15</v>
      </c>
      <c r="G173">
        <v>75</v>
      </c>
      <c r="H173" t="s">
        <v>1576</v>
      </c>
      <c r="I173" t="s">
        <v>1204</v>
      </c>
      <c r="J173" t="s">
        <v>922</v>
      </c>
      <c r="K173" t="s">
        <v>1205</v>
      </c>
      <c r="L173" t="b">
        <f>Data_Completeness(MileageData[[#This Row],[MPG]:[Acceleration]])</f>
        <v>1</v>
      </c>
    </row>
    <row r="174" spans="1:12" x14ac:dyDescent="0.25">
      <c r="A174">
        <v>20</v>
      </c>
      <c r="B174">
        <v>8</v>
      </c>
      <c r="C174">
        <v>262</v>
      </c>
      <c r="D174">
        <v>110</v>
      </c>
      <c r="E174">
        <v>3221</v>
      </c>
      <c r="F174">
        <v>13.5</v>
      </c>
      <c r="G174">
        <v>75</v>
      </c>
      <c r="H174" t="s">
        <v>1576</v>
      </c>
      <c r="I174" t="s">
        <v>1206</v>
      </c>
      <c r="J174" t="s">
        <v>919</v>
      </c>
      <c r="K174" t="s">
        <v>1207</v>
      </c>
      <c r="L174" t="b">
        <f>Data_Completeness(MileageData[[#This Row],[MPG]:[Acceleration]])</f>
        <v>1</v>
      </c>
    </row>
    <row r="175" spans="1:12" x14ac:dyDescent="0.25">
      <c r="A175">
        <v>13</v>
      </c>
      <c r="B175">
        <v>8</v>
      </c>
      <c r="C175">
        <v>302</v>
      </c>
      <c r="D175">
        <v>129</v>
      </c>
      <c r="E175">
        <v>3169</v>
      </c>
      <c r="F175">
        <v>12</v>
      </c>
      <c r="G175">
        <v>75</v>
      </c>
      <c r="H175" t="s">
        <v>1576</v>
      </c>
      <c r="I175" t="s">
        <v>1208</v>
      </c>
      <c r="J175" t="s">
        <v>931</v>
      </c>
      <c r="K175" t="s">
        <v>1209</v>
      </c>
      <c r="L175" t="b">
        <f>Data_Completeness(MileageData[[#This Row],[MPG]:[Acceleration]])</f>
        <v>1</v>
      </c>
    </row>
    <row r="176" spans="1:12" x14ac:dyDescent="0.25">
      <c r="A176">
        <v>29</v>
      </c>
      <c r="B176">
        <v>4</v>
      </c>
      <c r="C176">
        <v>97</v>
      </c>
      <c r="D176">
        <v>75</v>
      </c>
      <c r="E176">
        <v>2171</v>
      </c>
      <c r="F176">
        <v>16</v>
      </c>
      <c r="G176">
        <v>75</v>
      </c>
      <c r="H176" t="s">
        <v>1578</v>
      </c>
      <c r="I176" t="s">
        <v>1210</v>
      </c>
      <c r="J176" t="s">
        <v>966</v>
      </c>
      <c r="K176" t="s">
        <v>1211</v>
      </c>
      <c r="L176" t="b">
        <f>Data_Completeness(MileageData[[#This Row],[MPG]:[Acceleration]])</f>
        <v>1</v>
      </c>
    </row>
    <row r="177" spans="1:12" x14ac:dyDescent="0.25">
      <c r="A177">
        <v>23</v>
      </c>
      <c r="B177">
        <v>4</v>
      </c>
      <c r="C177">
        <v>140</v>
      </c>
      <c r="D177">
        <v>83</v>
      </c>
      <c r="E177">
        <v>2639</v>
      </c>
      <c r="F177">
        <v>17</v>
      </c>
      <c r="G177">
        <v>75</v>
      </c>
      <c r="H177" t="s">
        <v>1576</v>
      </c>
      <c r="I177" t="s">
        <v>1006</v>
      </c>
      <c r="J177" t="s">
        <v>931</v>
      </c>
      <c r="K177" t="s">
        <v>1007</v>
      </c>
      <c r="L177" t="b">
        <f>Data_Completeness(MileageData[[#This Row],[MPG]:[Acceleration]])</f>
        <v>1</v>
      </c>
    </row>
    <row r="178" spans="1:12" x14ac:dyDescent="0.25">
      <c r="A178">
        <v>20</v>
      </c>
      <c r="B178">
        <v>6</v>
      </c>
      <c r="C178">
        <v>232</v>
      </c>
      <c r="D178">
        <v>100</v>
      </c>
      <c r="E178">
        <v>2914</v>
      </c>
      <c r="F178">
        <v>16</v>
      </c>
      <c r="G178">
        <v>75</v>
      </c>
      <c r="H178" t="s">
        <v>1576</v>
      </c>
      <c r="I178" t="s">
        <v>990</v>
      </c>
      <c r="J178" t="s">
        <v>928</v>
      </c>
      <c r="K178" t="s">
        <v>991</v>
      </c>
      <c r="L178" t="b">
        <f>Data_Completeness(MileageData[[#This Row],[MPG]:[Acceleration]])</f>
        <v>1</v>
      </c>
    </row>
    <row r="179" spans="1:12" x14ac:dyDescent="0.25">
      <c r="A179">
        <v>23</v>
      </c>
      <c r="B179">
        <v>4</v>
      </c>
      <c r="C179">
        <v>140</v>
      </c>
      <c r="D179">
        <v>78</v>
      </c>
      <c r="E179">
        <v>2592</v>
      </c>
      <c r="F179">
        <v>18.5</v>
      </c>
      <c r="G179">
        <v>75</v>
      </c>
      <c r="H179" t="s">
        <v>1576</v>
      </c>
      <c r="I179" t="s">
        <v>1212</v>
      </c>
      <c r="J179" t="s">
        <v>940</v>
      </c>
      <c r="K179" t="s">
        <v>1213</v>
      </c>
      <c r="L179" t="b">
        <f>Data_Completeness(MileageData[[#This Row],[MPG]:[Acceleration]])</f>
        <v>1</v>
      </c>
    </row>
    <row r="180" spans="1:12" x14ac:dyDescent="0.25">
      <c r="A180">
        <v>24</v>
      </c>
      <c r="B180">
        <v>4</v>
      </c>
      <c r="C180">
        <v>134</v>
      </c>
      <c r="D180">
        <v>96</v>
      </c>
      <c r="E180">
        <v>2702</v>
      </c>
      <c r="F180">
        <v>13.5</v>
      </c>
      <c r="G180">
        <v>75</v>
      </c>
      <c r="H180" t="s">
        <v>1578</v>
      </c>
      <c r="I180" t="s">
        <v>1004</v>
      </c>
      <c r="J180" t="s">
        <v>966</v>
      </c>
      <c r="K180" t="s">
        <v>1005</v>
      </c>
      <c r="L180" t="b">
        <f>Data_Completeness(MileageData[[#This Row],[MPG]:[Acceleration]])</f>
        <v>1</v>
      </c>
    </row>
    <row r="181" spans="1:12" x14ac:dyDescent="0.25">
      <c r="A181">
        <v>25</v>
      </c>
      <c r="B181">
        <v>4</v>
      </c>
      <c r="C181">
        <v>90</v>
      </c>
      <c r="D181">
        <v>71</v>
      </c>
      <c r="E181">
        <v>2223</v>
      </c>
      <c r="F181">
        <v>16.5</v>
      </c>
      <c r="G181">
        <v>75</v>
      </c>
      <c r="H181" t="s">
        <v>1577</v>
      </c>
      <c r="I181" t="s">
        <v>1177</v>
      </c>
      <c r="J181" t="s">
        <v>978</v>
      </c>
      <c r="K181" t="s">
        <v>1178</v>
      </c>
      <c r="L181" t="b">
        <f>Data_Completeness(MileageData[[#This Row],[MPG]:[Acceleration]])</f>
        <v>1</v>
      </c>
    </row>
    <row r="182" spans="1:12" x14ac:dyDescent="0.25">
      <c r="A182">
        <v>24</v>
      </c>
      <c r="B182">
        <v>4</v>
      </c>
      <c r="C182">
        <v>119</v>
      </c>
      <c r="D182">
        <v>97</v>
      </c>
      <c r="E182">
        <v>2545</v>
      </c>
      <c r="F182">
        <v>17</v>
      </c>
      <c r="G182">
        <v>75</v>
      </c>
      <c r="H182" t="s">
        <v>1578</v>
      </c>
      <c r="I182" t="s">
        <v>1179</v>
      </c>
      <c r="J182" t="s">
        <v>975</v>
      </c>
      <c r="K182">
        <v>710</v>
      </c>
      <c r="L182" t="b">
        <f>Data_Completeness(MileageData[[#This Row],[MPG]:[Acceleration]])</f>
        <v>1</v>
      </c>
    </row>
    <row r="183" spans="1:12" x14ac:dyDescent="0.25">
      <c r="A183">
        <v>18</v>
      </c>
      <c r="B183">
        <v>6</v>
      </c>
      <c r="C183">
        <v>171</v>
      </c>
      <c r="D183">
        <v>97</v>
      </c>
      <c r="E183">
        <v>2984</v>
      </c>
      <c r="F183">
        <v>14.5</v>
      </c>
      <c r="G183">
        <v>75</v>
      </c>
      <c r="H183" t="s">
        <v>1576</v>
      </c>
      <c r="I183" t="s">
        <v>1006</v>
      </c>
      <c r="J183" t="s">
        <v>931</v>
      </c>
      <c r="K183" t="s">
        <v>1007</v>
      </c>
      <c r="L183" t="b">
        <f>Data_Completeness(MileageData[[#This Row],[MPG]:[Acceleration]])</f>
        <v>1</v>
      </c>
    </row>
    <row r="184" spans="1:12" x14ac:dyDescent="0.25">
      <c r="A184">
        <v>29</v>
      </c>
      <c r="B184">
        <v>4</v>
      </c>
      <c r="C184">
        <v>90</v>
      </c>
      <c r="D184">
        <v>70</v>
      </c>
      <c r="E184">
        <v>1937</v>
      </c>
      <c r="F184">
        <v>14</v>
      </c>
      <c r="G184">
        <v>75</v>
      </c>
      <c r="H184" t="s">
        <v>1577</v>
      </c>
      <c r="I184" t="s">
        <v>1214</v>
      </c>
      <c r="J184" t="s">
        <v>978</v>
      </c>
      <c r="K184" t="s">
        <v>1215</v>
      </c>
      <c r="L184" t="b">
        <f>Data_Completeness(MileageData[[#This Row],[MPG]:[Acceleration]])</f>
        <v>1</v>
      </c>
    </row>
    <row r="185" spans="1:12" x14ac:dyDescent="0.25">
      <c r="A185">
        <v>19</v>
      </c>
      <c r="B185">
        <v>6</v>
      </c>
      <c r="C185">
        <v>232</v>
      </c>
      <c r="D185">
        <v>90</v>
      </c>
      <c r="E185">
        <v>3211</v>
      </c>
      <c r="F185">
        <v>17</v>
      </c>
      <c r="G185">
        <v>75</v>
      </c>
      <c r="H185" t="s">
        <v>1576</v>
      </c>
      <c r="I185" t="s">
        <v>1216</v>
      </c>
      <c r="J185" t="s">
        <v>928</v>
      </c>
      <c r="K185" t="s">
        <v>1217</v>
      </c>
      <c r="L185" t="b">
        <f>Data_Completeness(MileageData[[#This Row],[MPG]:[Acceleration]])</f>
        <v>1</v>
      </c>
    </row>
    <row r="186" spans="1:12" x14ac:dyDescent="0.25">
      <c r="A186">
        <v>23</v>
      </c>
      <c r="B186">
        <v>4</v>
      </c>
      <c r="C186">
        <v>115</v>
      </c>
      <c r="D186">
        <v>95</v>
      </c>
      <c r="E186">
        <v>2694</v>
      </c>
      <c r="F186">
        <v>15</v>
      </c>
      <c r="G186">
        <v>75</v>
      </c>
      <c r="H186" t="s">
        <v>1577</v>
      </c>
      <c r="I186" t="s">
        <v>1151</v>
      </c>
      <c r="J186" t="s">
        <v>983</v>
      </c>
      <c r="K186" t="s">
        <v>1152</v>
      </c>
      <c r="L186" t="b">
        <f>Data_Completeness(MileageData[[#This Row],[MPG]:[Acceleration]])</f>
        <v>1</v>
      </c>
    </row>
    <row r="187" spans="1:12" x14ac:dyDescent="0.25">
      <c r="A187">
        <v>23</v>
      </c>
      <c r="B187">
        <v>4</v>
      </c>
      <c r="C187">
        <v>120</v>
      </c>
      <c r="D187">
        <v>88</v>
      </c>
      <c r="E187">
        <v>2957</v>
      </c>
      <c r="F187">
        <v>17</v>
      </c>
      <c r="G187">
        <v>75</v>
      </c>
      <c r="H187" t="s">
        <v>1577</v>
      </c>
      <c r="I187" t="s">
        <v>980</v>
      </c>
      <c r="J187" t="s">
        <v>981</v>
      </c>
      <c r="K187">
        <v>504</v>
      </c>
      <c r="L187" t="b">
        <f>Data_Completeness(MileageData[[#This Row],[MPG]:[Acceleration]])</f>
        <v>1</v>
      </c>
    </row>
    <row r="188" spans="1:12" x14ac:dyDescent="0.25">
      <c r="A188">
        <v>22</v>
      </c>
      <c r="B188">
        <v>4</v>
      </c>
      <c r="C188">
        <v>121</v>
      </c>
      <c r="D188">
        <v>98</v>
      </c>
      <c r="E188">
        <v>2945</v>
      </c>
      <c r="F188">
        <v>14.5</v>
      </c>
      <c r="G188">
        <v>75</v>
      </c>
      <c r="H188" t="s">
        <v>1577</v>
      </c>
      <c r="I188" t="s">
        <v>1218</v>
      </c>
      <c r="J188" t="s">
        <v>1080</v>
      </c>
      <c r="K188" t="s">
        <v>1219</v>
      </c>
      <c r="L188" t="b">
        <f>Data_Completeness(MileageData[[#This Row],[MPG]:[Acceleration]])</f>
        <v>1</v>
      </c>
    </row>
    <row r="189" spans="1:12" x14ac:dyDescent="0.25">
      <c r="A189">
        <v>25</v>
      </c>
      <c r="B189">
        <v>4</v>
      </c>
      <c r="C189">
        <v>121</v>
      </c>
      <c r="D189">
        <v>115</v>
      </c>
      <c r="E189">
        <v>2671</v>
      </c>
      <c r="F189">
        <v>13.5</v>
      </c>
      <c r="G189">
        <v>75</v>
      </c>
      <c r="H189" t="s">
        <v>1577</v>
      </c>
      <c r="I189" t="s">
        <v>1157</v>
      </c>
      <c r="J189" t="s">
        <v>986</v>
      </c>
      <c r="K189" t="s">
        <v>1158</v>
      </c>
      <c r="L189" t="b">
        <f>Data_Completeness(MileageData[[#This Row],[MPG]:[Acceleration]])</f>
        <v>1</v>
      </c>
    </row>
    <row r="190" spans="1:12" x14ac:dyDescent="0.25">
      <c r="A190">
        <v>33</v>
      </c>
      <c r="B190">
        <v>4</v>
      </c>
      <c r="C190">
        <v>91</v>
      </c>
      <c r="D190">
        <v>53</v>
      </c>
      <c r="E190">
        <v>1795</v>
      </c>
      <c r="F190">
        <v>17.5</v>
      </c>
      <c r="G190">
        <v>75</v>
      </c>
      <c r="H190" t="s">
        <v>1578</v>
      </c>
      <c r="I190" t="s">
        <v>1220</v>
      </c>
      <c r="J190" t="s">
        <v>1185</v>
      </c>
      <c r="K190" t="s">
        <v>1221</v>
      </c>
      <c r="L190" t="b">
        <f>Data_Completeness(MileageData[[#This Row],[MPG]:[Acceleration]])</f>
        <v>1</v>
      </c>
    </row>
    <row r="191" spans="1:12" x14ac:dyDescent="0.25">
      <c r="A191">
        <v>28</v>
      </c>
      <c r="B191">
        <v>4</v>
      </c>
      <c r="C191">
        <v>107</v>
      </c>
      <c r="D191">
        <v>86</v>
      </c>
      <c r="E191">
        <v>2464</v>
      </c>
      <c r="F191">
        <v>15.5</v>
      </c>
      <c r="G191">
        <v>76</v>
      </c>
      <c r="H191" t="s">
        <v>1577</v>
      </c>
      <c r="I191" t="s">
        <v>1222</v>
      </c>
      <c r="J191" t="s">
        <v>1039</v>
      </c>
      <c r="K191">
        <v>131</v>
      </c>
      <c r="L191" t="b">
        <f>Data_Completeness(MileageData[[#This Row],[MPG]:[Acceleration]])</f>
        <v>1</v>
      </c>
    </row>
    <row r="192" spans="1:12" x14ac:dyDescent="0.25">
      <c r="A192">
        <v>25</v>
      </c>
      <c r="B192">
        <v>4</v>
      </c>
      <c r="C192">
        <v>116</v>
      </c>
      <c r="D192">
        <v>81</v>
      </c>
      <c r="E192">
        <v>2220</v>
      </c>
      <c r="F192">
        <v>16.899999999999999</v>
      </c>
      <c r="G192">
        <v>76</v>
      </c>
      <c r="H192" t="s">
        <v>1577</v>
      </c>
      <c r="I192" t="s">
        <v>1035</v>
      </c>
      <c r="J192" t="s">
        <v>1036</v>
      </c>
      <c r="K192">
        <v>1900</v>
      </c>
      <c r="L192" t="b">
        <f>Data_Completeness(MileageData[[#This Row],[MPG]:[Acceleration]])</f>
        <v>1</v>
      </c>
    </row>
    <row r="193" spans="1:12" x14ac:dyDescent="0.25">
      <c r="A193">
        <v>25</v>
      </c>
      <c r="B193">
        <v>4</v>
      </c>
      <c r="C193">
        <v>140</v>
      </c>
      <c r="D193">
        <v>92</v>
      </c>
      <c r="E193">
        <v>2572</v>
      </c>
      <c r="F193">
        <v>14.9</v>
      </c>
      <c r="G193">
        <v>76</v>
      </c>
      <c r="H193" t="s">
        <v>1576</v>
      </c>
      <c r="I193" t="s">
        <v>1223</v>
      </c>
      <c r="J193" t="s">
        <v>1224</v>
      </c>
      <c r="K193" t="s">
        <v>1225</v>
      </c>
      <c r="L193" t="b">
        <f>Data_Completeness(MileageData[[#This Row],[MPG]:[Acceleration]])</f>
        <v>1</v>
      </c>
    </row>
    <row r="194" spans="1:12" x14ac:dyDescent="0.25">
      <c r="A194">
        <v>26</v>
      </c>
      <c r="B194">
        <v>4</v>
      </c>
      <c r="C194">
        <v>98</v>
      </c>
      <c r="D194">
        <v>79</v>
      </c>
      <c r="E194">
        <v>2255</v>
      </c>
      <c r="F194">
        <v>17.7</v>
      </c>
      <c r="G194">
        <v>76</v>
      </c>
      <c r="H194" t="s">
        <v>1576</v>
      </c>
      <c r="I194" t="s">
        <v>1180</v>
      </c>
      <c r="J194" t="s">
        <v>956</v>
      </c>
      <c r="K194" t="s">
        <v>1181</v>
      </c>
      <c r="L194" t="b">
        <f>Data_Completeness(MileageData[[#This Row],[MPG]:[Acceleration]])</f>
        <v>1</v>
      </c>
    </row>
    <row r="195" spans="1:12" x14ac:dyDescent="0.25">
      <c r="A195">
        <v>27</v>
      </c>
      <c r="B195">
        <v>4</v>
      </c>
      <c r="C195">
        <v>101</v>
      </c>
      <c r="D195">
        <v>83</v>
      </c>
      <c r="E195">
        <v>2202</v>
      </c>
      <c r="F195">
        <v>15.3</v>
      </c>
      <c r="G195">
        <v>76</v>
      </c>
      <c r="H195" t="s">
        <v>1577</v>
      </c>
      <c r="I195" t="s">
        <v>1226</v>
      </c>
      <c r="J195" t="s">
        <v>1087</v>
      </c>
      <c r="K195" t="s">
        <v>1227</v>
      </c>
      <c r="L195" t="b">
        <f>Data_Completeness(MileageData[[#This Row],[MPG]:[Acceleration]])</f>
        <v>1</v>
      </c>
    </row>
    <row r="196" spans="1:12" x14ac:dyDescent="0.25">
      <c r="A196">
        <v>17.5</v>
      </c>
      <c r="B196">
        <v>8</v>
      </c>
      <c r="C196">
        <v>305</v>
      </c>
      <c r="D196">
        <v>140</v>
      </c>
      <c r="E196">
        <v>4215</v>
      </c>
      <c r="F196">
        <v>13</v>
      </c>
      <c r="G196">
        <v>76</v>
      </c>
      <c r="H196" t="s">
        <v>1576</v>
      </c>
      <c r="I196" t="s">
        <v>1167</v>
      </c>
      <c r="J196" t="s">
        <v>919</v>
      </c>
      <c r="K196" t="s">
        <v>1168</v>
      </c>
      <c r="L196" t="b">
        <f>Data_Completeness(MileageData[[#This Row],[MPG]:[Acceleration]])</f>
        <v>1</v>
      </c>
    </row>
    <row r="197" spans="1:12" x14ac:dyDescent="0.25">
      <c r="A197">
        <v>16</v>
      </c>
      <c r="B197">
        <v>8</v>
      </c>
      <c r="C197">
        <v>318</v>
      </c>
      <c r="D197">
        <v>150</v>
      </c>
      <c r="E197">
        <v>4190</v>
      </c>
      <c r="F197">
        <v>13</v>
      </c>
      <c r="G197">
        <v>76</v>
      </c>
      <c r="H197" t="s">
        <v>1576</v>
      </c>
      <c r="I197" t="s">
        <v>1228</v>
      </c>
      <c r="J197" t="s">
        <v>956</v>
      </c>
      <c r="K197" t="s">
        <v>1229</v>
      </c>
      <c r="L197" t="b">
        <f>Data_Completeness(MileageData[[#This Row],[MPG]:[Acceleration]])</f>
        <v>1</v>
      </c>
    </row>
    <row r="198" spans="1:12" x14ac:dyDescent="0.25">
      <c r="A198">
        <v>15.5</v>
      </c>
      <c r="B198">
        <v>8</v>
      </c>
      <c r="C198">
        <v>304</v>
      </c>
      <c r="D198">
        <v>120</v>
      </c>
      <c r="E198">
        <v>3962</v>
      </c>
      <c r="F198">
        <v>13.9</v>
      </c>
      <c r="G198">
        <v>76</v>
      </c>
      <c r="H198" t="s">
        <v>1576</v>
      </c>
      <c r="I198" t="s">
        <v>1014</v>
      </c>
      <c r="J198" t="s">
        <v>928</v>
      </c>
      <c r="K198" t="s">
        <v>1015</v>
      </c>
      <c r="L198" t="b">
        <f>Data_Completeness(MileageData[[#This Row],[MPG]:[Acceleration]])</f>
        <v>1</v>
      </c>
    </row>
    <row r="199" spans="1:12" x14ac:dyDescent="0.25">
      <c r="A199">
        <v>14.5</v>
      </c>
      <c r="B199">
        <v>8</v>
      </c>
      <c r="C199">
        <v>351</v>
      </c>
      <c r="D199">
        <v>152</v>
      </c>
      <c r="E199">
        <v>4215</v>
      </c>
      <c r="F199">
        <v>12.8</v>
      </c>
      <c r="G199">
        <v>76</v>
      </c>
      <c r="H199" t="s">
        <v>1576</v>
      </c>
      <c r="I199" t="s">
        <v>1104</v>
      </c>
      <c r="J199" t="s">
        <v>931</v>
      </c>
      <c r="K199" t="s">
        <v>1105</v>
      </c>
      <c r="L199" t="b">
        <f>Data_Completeness(MileageData[[#This Row],[MPG]:[Acceleration]])</f>
        <v>1</v>
      </c>
    </row>
    <row r="200" spans="1:12" x14ac:dyDescent="0.25">
      <c r="A200">
        <v>22</v>
      </c>
      <c r="B200">
        <v>6</v>
      </c>
      <c r="C200">
        <v>225</v>
      </c>
      <c r="D200">
        <v>100</v>
      </c>
      <c r="E200">
        <v>3233</v>
      </c>
      <c r="F200">
        <v>15.4</v>
      </c>
      <c r="G200">
        <v>76</v>
      </c>
      <c r="H200" t="s">
        <v>1576</v>
      </c>
      <c r="I200" t="s">
        <v>1122</v>
      </c>
      <c r="J200" t="s">
        <v>925</v>
      </c>
      <c r="K200" t="s">
        <v>1123</v>
      </c>
      <c r="L200" t="b">
        <f>Data_Completeness(MileageData[[#This Row],[MPG]:[Acceleration]])</f>
        <v>1</v>
      </c>
    </row>
    <row r="201" spans="1:12" x14ac:dyDescent="0.25">
      <c r="A201">
        <v>22</v>
      </c>
      <c r="B201">
        <v>6</v>
      </c>
      <c r="C201">
        <v>250</v>
      </c>
      <c r="D201">
        <v>105</v>
      </c>
      <c r="E201">
        <v>3353</v>
      </c>
      <c r="F201">
        <v>14.5</v>
      </c>
      <c r="G201">
        <v>76</v>
      </c>
      <c r="H201" t="s">
        <v>1576</v>
      </c>
      <c r="I201" t="s">
        <v>1163</v>
      </c>
      <c r="J201" t="s">
        <v>919</v>
      </c>
      <c r="K201" t="s">
        <v>1164</v>
      </c>
      <c r="L201" t="b">
        <f>Data_Completeness(MileageData[[#This Row],[MPG]:[Acceleration]])</f>
        <v>1</v>
      </c>
    </row>
    <row r="202" spans="1:12" x14ac:dyDescent="0.25">
      <c r="A202">
        <v>24</v>
      </c>
      <c r="B202">
        <v>6</v>
      </c>
      <c r="C202">
        <v>200</v>
      </c>
      <c r="D202">
        <v>81</v>
      </c>
      <c r="E202">
        <v>3012</v>
      </c>
      <c r="F202">
        <v>17.600000000000001</v>
      </c>
      <c r="G202">
        <v>76</v>
      </c>
      <c r="H202" t="s">
        <v>1576</v>
      </c>
      <c r="I202" t="s">
        <v>972</v>
      </c>
      <c r="J202" t="s">
        <v>931</v>
      </c>
      <c r="K202" t="s">
        <v>973</v>
      </c>
      <c r="L202" t="b">
        <f>Data_Completeness(MileageData[[#This Row],[MPG]:[Acceleration]])</f>
        <v>1</v>
      </c>
    </row>
    <row r="203" spans="1:12" x14ac:dyDescent="0.25">
      <c r="A203">
        <v>22.5</v>
      </c>
      <c r="B203">
        <v>6</v>
      </c>
      <c r="C203">
        <v>232</v>
      </c>
      <c r="D203">
        <v>90</v>
      </c>
      <c r="E203">
        <v>3085</v>
      </c>
      <c r="F203">
        <v>17.600000000000001</v>
      </c>
      <c r="G203">
        <v>76</v>
      </c>
      <c r="H203" t="s">
        <v>1576</v>
      </c>
      <c r="I203" t="s">
        <v>970</v>
      </c>
      <c r="J203" t="s">
        <v>928</v>
      </c>
      <c r="K203" t="s">
        <v>971</v>
      </c>
      <c r="L203" t="b">
        <f>Data_Completeness(MileageData[[#This Row],[MPG]:[Acceleration]])</f>
        <v>1</v>
      </c>
    </row>
    <row r="204" spans="1:12" x14ac:dyDescent="0.25">
      <c r="A204">
        <v>29</v>
      </c>
      <c r="B204">
        <v>4</v>
      </c>
      <c r="C204">
        <v>85</v>
      </c>
      <c r="D204">
        <v>52</v>
      </c>
      <c r="E204">
        <v>2035</v>
      </c>
      <c r="F204">
        <v>22.2</v>
      </c>
      <c r="G204">
        <v>76</v>
      </c>
      <c r="H204" t="s">
        <v>1576</v>
      </c>
      <c r="I204" t="s">
        <v>1230</v>
      </c>
      <c r="J204" t="s">
        <v>919</v>
      </c>
      <c r="K204" t="s">
        <v>1231</v>
      </c>
      <c r="L204" t="b">
        <f>Data_Completeness(MileageData[[#This Row],[MPG]:[Acceleration]])</f>
        <v>1</v>
      </c>
    </row>
    <row r="205" spans="1:12" x14ac:dyDescent="0.25">
      <c r="A205">
        <v>24.5</v>
      </c>
      <c r="B205">
        <v>4</v>
      </c>
      <c r="C205">
        <v>98</v>
      </c>
      <c r="D205">
        <v>60</v>
      </c>
      <c r="E205">
        <v>2164</v>
      </c>
      <c r="F205">
        <v>22.1</v>
      </c>
      <c r="G205">
        <v>76</v>
      </c>
      <c r="H205" t="s">
        <v>1576</v>
      </c>
      <c r="I205" t="s">
        <v>1232</v>
      </c>
      <c r="J205" t="s">
        <v>919</v>
      </c>
      <c r="K205" t="s">
        <v>1233</v>
      </c>
      <c r="L205" t="b">
        <f>Data_Completeness(MileageData[[#This Row],[MPG]:[Acceleration]])</f>
        <v>1</v>
      </c>
    </row>
    <row r="206" spans="1:12" x14ac:dyDescent="0.25">
      <c r="A206">
        <v>29</v>
      </c>
      <c r="B206">
        <v>4</v>
      </c>
      <c r="C206">
        <v>90</v>
      </c>
      <c r="D206">
        <v>70</v>
      </c>
      <c r="E206">
        <v>1937</v>
      </c>
      <c r="F206">
        <v>14.2</v>
      </c>
      <c r="G206">
        <v>76</v>
      </c>
      <c r="H206" t="s">
        <v>1577</v>
      </c>
      <c r="I206" t="s">
        <v>1234</v>
      </c>
      <c r="J206" t="s">
        <v>1235</v>
      </c>
      <c r="K206" t="s">
        <v>1215</v>
      </c>
      <c r="L206" t="b">
        <f>Data_Completeness(MileageData[[#This Row],[MPG]:[Acceleration]])</f>
        <v>1</v>
      </c>
    </row>
    <row r="207" spans="1:12" x14ac:dyDescent="0.25">
      <c r="A207">
        <v>33</v>
      </c>
      <c r="B207">
        <v>4</v>
      </c>
      <c r="C207">
        <v>91</v>
      </c>
      <c r="D207">
        <v>53</v>
      </c>
      <c r="E207">
        <v>1795</v>
      </c>
      <c r="F207">
        <v>17.399999999999999</v>
      </c>
      <c r="G207">
        <v>76</v>
      </c>
      <c r="H207" t="s">
        <v>1578</v>
      </c>
      <c r="I207" t="s">
        <v>1184</v>
      </c>
      <c r="J207" t="s">
        <v>1185</v>
      </c>
      <c r="K207" t="s">
        <v>1186</v>
      </c>
      <c r="L207" t="b">
        <f>Data_Completeness(MileageData[[#This Row],[MPG]:[Acceleration]])</f>
        <v>1</v>
      </c>
    </row>
    <row r="208" spans="1:12" x14ac:dyDescent="0.25">
      <c r="A208">
        <v>20</v>
      </c>
      <c r="B208">
        <v>6</v>
      </c>
      <c r="C208">
        <v>225</v>
      </c>
      <c r="D208">
        <v>100</v>
      </c>
      <c r="E208">
        <v>3651</v>
      </c>
      <c r="F208">
        <v>17.7</v>
      </c>
      <c r="G208">
        <v>76</v>
      </c>
      <c r="H208" t="s">
        <v>1576</v>
      </c>
      <c r="I208" t="s">
        <v>1236</v>
      </c>
      <c r="J208" t="s">
        <v>956</v>
      </c>
      <c r="K208" t="s">
        <v>1237</v>
      </c>
      <c r="L208" t="b">
        <f>Data_Completeness(MileageData[[#This Row],[MPG]:[Acceleration]])</f>
        <v>1</v>
      </c>
    </row>
    <row r="209" spans="1:12" x14ac:dyDescent="0.25">
      <c r="A209">
        <v>18</v>
      </c>
      <c r="B209">
        <v>6</v>
      </c>
      <c r="C209">
        <v>250</v>
      </c>
      <c r="D209">
        <v>78</v>
      </c>
      <c r="E209">
        <v>3574</v>
      </c>
      <c r="F209">
        <v>21</v>
      </c>
      <c r="G209">
        <v>76</v>
      </c>
      <c r="H209" t="s">
        <v>1576</v>
      </c>
      <c r="I209" t="s">
        <v>1238</v>
      </c>
      <c r="J209" t="s">
        <v>931</v>
      </c>
      <c r="K209" t="s">
        <v>1239</v>
      </c>
      <c r="L209" t="b">
        <f>Data_Completeness(MileageData[[#This Row],[MPG]:[Acceleration]])</f>
        <v>1</v>
      </c>
    </row>
    <row r="210" spans="1:12" x14ac:dyDescent="0.25">
      <c r="A210">
        <v>18.5</v>
      </c>
      <c r="B210">
        <v>6</v>
      </c>
      <c r="C210">
        <v>250</v>
      </c>
      <c r="D210">
        <v>110</v>
      </c>
      <c r="E210">
        <v>3645</v>
      </c>
      <c r="F210">
        <v>16.2</v>
      </c>
      <c r="G210">
        <v>76</v>
      </c>
      <c r="H210" t="s">
        <v>1576</v>
      </c>
      <c r="I210" t="s">
        <v>1240</v>
      </c>
      <c r="J210" t="s">
        <v>940</v>
      </c>
      <c r="K210" t="s">
        <v>1241</v>
      </c>
      <c r="L210" t="b">
        <f>Data_Completeness(MileageData[[#This Row],[MPG]:[Acceleration]])</f>
        <v>1</v>
      </c>
    </row>
    <row r="211" spans="1:12" x14ac:dyDescent="0.25">
      <c r="A211">
        <v>17.5</v>
      </c>
      <c r="B211">
        <v>6</v>
      </c>
      <c r="C211">
        <v>258</v>
      </c>
      <c r="D211">
        <v>95</v>
      </c>
      <c r="E211">
        <v>3193</v>
      </c>
      <c r="F211">
        <v>17.8</v>
      </c>
      <c r="G211">
        <v>76</v>
      </c>
      <c r="H211" t="s">
        <v>1576</v>
      </c>
      <c r="I211" t="s">
        <v>1242</v>
      </c>
      <c r="J211" t="s">
        <v>928</v>
      </c>
      <c r="K211" t="s">
        <v>1243</v>
      </c>
      <c r="L211" t="b">
        <f>Data_Completeness(MileageData[[#This Row],[MPG]:[Acceleration]])</f>
        <v>1</v>
      </c>
    </row>
    <row r="212" spans="1:12" x14ac:dyDescent="0.25">
      <c r="A212">
        <v>29.5</v>
      </c>
      <c r="B212">
        <v>4</v>
      </c>
      <c r="C212">
        <v>97</v>
      </c>
      <c r="D212">
        <v>71</v>
      </c>
      <c r="E212">
        <v>1825</v>
      </c>
      <c r="F212">
        <v>12.2</v>
      </c>
      <c r="G212">
        <v>76</v>
      </c>
      <c r="H212" t="s">
        <v>1577</v>
      </c>
      <c r="I212" t="s">
        <v>1214</v>
      </c>
      <c r="J212" t="s">
        <v>978</v>
      </c>
      <c r="K212" t="s">
        <v>1215</v>
      </c>
      <c r="L212" t="b">
        <f>Data_Completeness(MileageData[[#This Row],[MPG]:[Acceleration]])</f>
        <v>1</v>
      </c>
    </row>
    <row r="213" spans="1:12" x14ac:dyDescent="0.25">
      <c r="A213">
        <v>32</v>
      </c>
      <c r="B213">
        <v>4</v>
      </c>
      <c r="C213">
        <v>85</v>
      </c>
      <c r="D213">
        <v>70</v>
      </c>
      <c r="E213">
        <v>1990</v>
      </c>
      <c r="F213">
        <v>17</v>
      </c>
      <c r="G213">
        <v>76</v>
      </c>
      <c r="H213" t="s">
        <v>1578</v>
      </c>
      <c r="I213" t="s">
        <v>1244</v>
      </c>
      <c r="J213" t="s">
        <v>975</v>
      </c>
      <c r="K213" t="s">
        <v>1245</v>
      </c>
      <c r="L213" t="b">
        <f>Data_Completeness(MileageData[[#This Row],[MPG]:[Acceleration]])</f>
        <v>1</v>
      </c>
    </row>
    <row r="214" spans="1:12" x14ac:dyDescent="0.25">
      <c r="A214">
        <v>28</v>
      </c>
      <c r="B214">
        <v>4</v>
      </c>
      <c r="C214">
        <v>97</v>
      </c>
      <c r="D214">
        <v>75</v>
      </c>
      <c r="E214">
        <v>2155</v>
      </c>
      <c r="F214">
        <v>16.399999999999999</v>
      </c>
      <c r="G214">
        <v>76</v>
      </c>
      <c r="H214" t="s">
        <v>1578</v>
      </c>
      <c r="I214" t="s">
        <v>1210</v>
      </c>
      <c r="J214" t="s">
        <v>966</v>
      </c>
      <c r="K214" t="s">
        <v>1211</v>
      </c>
      <c r="L214" t="b">
        <f>Data_Completeness(MileageData[[#This Row],[MPG]:[Acceleration]])</f>
        <v>1</v>
      </c>
    </row>
    <row r="215" spans="1:12" x14ac:dyDescent="0.25">
      <c r="A215">
        <v>26.5</v>
      </c>
      <c r="B215">
        <v>4</v>
      </c>
      <c r="C215">
        <v>140</v>
      </c>
      <c r="D215">
        <v>72</v>
      </c>
      <c r="E215">
        <v>2565</v>
      </c>
      <c r="F215">
        <v>13.6</v>
      </c>
      <c r="G215">
        <v>76</v>
      </c>
      <c r="H215" t="s">
        <v>1576</v>
      </c>
      <c r="I215" t="s">
        <v>1006</v>
      </c>
      <c r="J215" t="s">
        <v>931</v>
      </c>
      <c r="K215" t="s">
        <v>1007</v>
      </c>
      <c r="L215" t="b">
        <f>Data_Completeness(MileageData[[#This Row],[MPG]:[Acceleration]])</f>
        <v>1</v>
      </c>
    </row>
    <row r="216" spans="1:12" x14ac:dyDescent="0.25">
      <c r="A216">
        <v>20</v>
      </c>
      <c r="B216">
        <v>4</v>
      </c>
      <c r="C216">
        <v>130</v>
      </c>
      <c r="D216">
        <v>102</v>
      </c>
      <c r="E216">
        <v>3150</v>
      </c>
      <c r="F216">
        <v>15.7</v>
      </c>
      <c r="G216">
        <v>76</v>
      </c>
      <c r="H216" t="s">
        <v>1577</v>
      </c>
      <c r="I216" t="s">
        <v>1246</v>
      </c>
      <c r="J216" t="s">
        <v>1080</v>
      </c>
      <c r="K216">
        <v>245</v>
      </c>
      <c r="L216" t="b">
        <f>Data_Completeness(MileageData[[#This Row],[MPG]:[Acceleration]])</f>
        <v>1</v>
      </c>
    </row>
    <row r="217" spans="1:12" x14ac:dyDescent="0.25">
      <c r="A217">
        <v>13</v>
      </c>
      <c r="B217">
        <v>8</v>
      </c>
      <c r="C217">
        <v>318</v>
      </c>
      <c r="D217">
        <v>150</v>
      </c>
      <c r="E217">
        <v>3940</v>
      </c>
      <c r="F217">
        <v>13.2</v>
      </c>
      <c r="G217">
        <v>76</v>
      </c>
      <c r="H217" t="s">
        <v>1576</v>
      </c>
      <c r="I217" t="s">
        <v>1247</v>
      </c>
      <c r="J217" t="s">
        <v>925</v>
      </c>
      <c r="K217" t="s">
        <v>1248</v>
      </c>
      <c r="L217" t="b">
        <f>Data_Completeness(MileageData[[#This Row],[MPG]:[Acceleration]])</f>
        <v>1</v>
      </c>
    </row>
    <row r="218" spans="1:12" x14ac:dyDescent="0.25">
      <c r="A218">
        <v>19</v>
      </c>
      <c r="B218">
        <v>4</v>
      </c>
      <c r="C218">
        <v>120</v>
      </c>
      <c r="D218">
        <v>88</v>
      </c>
      <c r="E218">
        <v>3270</v>
      </c>
      <c r="F218">
        <v>21.9</v>
      </c>
      <c r="G218">
        <v>76</v>
      </c>
      <c r="H218" t="s">
        <v>1577</v>
      </c>
      <c r="I218" t="s">
        <v>980</v>
      </c>
      <c r="J218" t="s">
        <v>981</v>
      </c>
      <c r="K218">
        <v>504</v>
      </c>
      <c r="L218" t="b">
        <f>Data_Completeness(MileageData[[#This Row],[MPG]:[Acceleration]])</f>
        <v>1</v>
      </c>
    </row>
    <row r="219" spans="1:12" x14ac:dyDescent="0.25">
      <c r="A219">
        <v>19</v>
      </c>
      <c r="B219">
        <v>6</v>
      </c>
      <c r="C219">
        <v>156</v>
      </c>
      <c r="D219">
        <v>108</v>
      </c>
      <c r="E219">
        <v>2930</v>
      </c>
      <c r="F219">
        <v>15.5</v>
      </c>
      <c r="G219">
        <v>76</v>
      </c>
      <c r="H219" t="s">
        <v>1578</v>
      </c>
      <c r="I219" t="s">
        <v>1159</v>
      </c>
      <c r="J219" t="s">
        <v>966</v>
      </c>
      <c r="K219" t="s">
        <v>1160</v>
      </c>
      <c r="L219" t="b">
        <f>Data_Completeness(MileageData[[#This Row],[MPG]:[Acceleration]])</f>
        <v>1</v>
      </c>
    </row>
    <row r="220" spans="1:12" x14ac:dyDescent="0.25">
      <c r="A220">
        <v>16.5</v>
      </c>
      <c r="B220">
        <v>6</v>
      </c>
      <c r="C220">
        <v>168</v>
      </c>
      <c r="D220">
        <v>120</v>
      </c>
      <c r="E220">
        <v>3820</v>
      </c>
      <c r="F220">
        <v>16.7</v>
      </c>
      <c r="G220">
        <v>76</v>
      </c>
      <c r="H220" t="s">
        <v>1577</v>
      </c>
      <c r="I220" t="s">
        <v>1249</v>
      </c>
      <c r="J220" t="s">
        <v>1250</v>
      </c>
      <c r="K220" t="s">
        <v>1251</v>
      </c>
      <c r="L220" t="b">
        <f>Data_Completeness(MileageData[[#This Row],[MPG]:[Acceleration]])</f>
        <v>1</v>
      </c>
    </row>
    <row r="221" spans="1:12" x14ac:dyDescent="0.25">
      <c r="A221">
        <v>16.5</v>
      </c>
      <c r="B221">
        <v>8</v>
      </c>
      <c r="C221">
        <v>350</v>
      </c>
      <c r="D221">
        <v>180</v>
      </c>
      <c r="E221">
        <v>4380</v>
      </c>
      <c r="F221">
        <v>12.1</v>
      </c>
      <c r="G221">
        <v>76</v>
      </c>
      <c r="H221" t="s">
        <v>1576</v>
      </c>
      <c r="I221" t="s">
        <v>1252</v>
      </c>
      <c r="J221" t="s">
        <v>1253</v>
      </c>
      <c r="K221" t="s">
        <v>1254</v>
      </c>
      <c r="L221" t="b">
        <f>Data_Completeness(MileageData[[#This Row],[MPG]:[Acceleration]])</f>
        <v>1</v>
      </c>
    </row>
    <row r="222" spans="1:12" x14ac:dyDescent="0.25">
      <c r="A222">
        <v>13</v>
      </c>
      <c r="B222">
        <v>8</v>
      </c>
      <c r="C222">
        <v>350</v>
      </c>
      <c r="D222">
        <v>145</v>
      </c>
      <c r="E222">
        <v>4055</v>
      </c>
      <c r="F222">
        <v>12</v>
      </c>
      <c r="G222">
        <v>76</v>
      </c>
      <c r="H222" t="s">
        <v>1576</v>
      </c>
      <c r="I222" t="s">
        <v>1255</v>
      </c>
      <c r="J222" t="s">
        <v>995</v>
      </c>
      <c r="K222" t="s">
        <v>1256</v>
      </c>
      <c r="L222" t="b">
        <f>Data_Completeness(MileageData[[#This Row],[MPG]:[Acceleration]])</f>
        <v>1</v>
      </c>
    </row>
    <row r="223" spans="1:12" x14ac:dyDescent="0.25">
      <c r="A223">
        <v>13</v>
      </c>
      <c r="B223">
        <v>8</v>
      </c>
      <c r="C223">
        <v>302</v>
      </c>
      <c r="D223">
        <v>130</v>
      </c>
      <c r="E223">
        <v>3870</v>
      </c>
      <c r="F223">
        <v>15</v>
      </c>
      <c r="G223">
        <v>76</v>
      </c>
      <c r="H223" t="s">
        <v>1576</v>
      </c>
      <c r="I223" t="s">
        <v>1257</v>
      </c>
      <c r="J223" t="s">
        <v>931</v>
      </c>
      <c r="K223" t="s">
        <v>1258</v>
      </c>
      <c r="L223" t="b">
        <f>Data_Completeness(MileageData[[#This Row],[MPG]:[Acceleration]])</f>
        <v>1</v>
      </c>
    </row>
    <row r="224" spans="1:12" x14ac:dyDescent="0.25">
      <c r="A224">
        <v>13</v>
      </c>
      <c r="B224">
        <v>8</v>
      </c>
      <c r="C224">
        <v>318</v>
      </c>
      <c r="D224">
        <v>150</v>
      </c>
      <c r="E224">
        <v>3755</v>
      </c>
      <c r="F224">
        <v>14</v>
      </c>
      <c r="G224">
        <v>76</v>
      </c>
      <c r="H224" t="s">
        <v>1576</v>
      </c>
      <c r="I224" t="s">
        <v>1259</v>
      </c>
      <c r="J224" t="s">
        <v>956</v>
      </c>
      <c r="K224" t="s">
        <v>1260</v>
      </c>
      <c r="L224" t="b">
        <f>Data_Completeness(MileageData[[#This Row],[MPG]:[Acceleration]])</f>
        <v>1</v>
      </c>
    </row>
    <row r="225" spans="1:12" x14ac:dyDescent="0.25">
      <c r="A225">
        <v>31.5</v>
      </c>
      <c r="B225">
        <v>4</v>
      </c>
      <c r="C225">
        <v>98</v>
      </c>
      <c r="D225">
        <v>68</v>
      </c>
      <c r="E225">
        <v>2045</v>
      </c>
      <c r="F225">
        <v>18.5</v>
      </c>
      <c r="G225">
        <v>77</v>
      </c>
      <c r="H225" t="s">
        <v>1578</v>
      </c>
      <c r="I225" t="s">
        <v>1261</v>
      </c>
      <c r="J225" t="s">
        <v>1185</v>
      </c>
      <c r="K225" t="s">
        <v>1262</v>
      </c>
      <c r="L225" t="b">
        <f>Data_Completeness(MileageData[[#This Row],[MPG]:[Acceleration]])</f>
        <v>1</v>
      </c>
    </row>
    <row r="226" spans="1:12" x14ac:dyDescent="0.25">
      <c r="A226">
        <v>30</v>
      </c>
      <c r="B226">
        <v>4</v>
      </c>
      <c r="C226">
        <v>111</v>
      </c>
      <c r="D226">
        <v>80</v>
      </c>
      <c r="E226">
        <v>2155</v>
      </c>
      <c r="F226">
        <v>14.8</v>
      </c>
      <c r="G226">
        <v>77</v>
      </c>
      <c r="H226" t="s">
        <v>1576</v>
      </c>
      <c r="I226" t="s">
        <v>1263</v>
      </c>
      <c r="J226" t="s">
        <v>922</v>
      </c>
      <c r="K226" t="s">
        <v>1264</v>
      </c>
      <c r="L226" t="b">
        <f>Data_Completeness(MileageData[[#This Row],[MPG]:[Acceleration]])</f>
        <v>1</v>
      </c>
    </row>
    <row r="227" spans="1:12" x14ac:dyDescent="0.25">
      <c r="A227">
        <v>36</v>
      </c>
      <c r="B227">
        <v>4</v>
      </c>
      <c r="C227">
        <v>79</v>
      </c>
      <c r="D227">
        <v>58</v>
      </c>
      <c r="E227">
        <v>1825</v>
      </c>
      <c r="F227">
        <v>18.600000000000001</v>
      </c>
      <c r="G227">
        <v>77</v>
      </c>
      <c r="H227" t="s">
        <v>1577</v>
      </c>
      <c r="I227" t="s">
        <v>1265</v>
      </c>
      <c r="J227" t="s">
        <v>1087</v>
      </c>
      <c r="K227" t="s">
        <v>1266</v>
      </c>
      <c r="L227" t="b">
        <f>Data_Completeness(MileageData[[#This Row],[MPG]:[Acceleration]])</f>
        <v>1</v>
      </c>
    </row>
    <row r="228" spans="1:12" x14ac:dyDescent="0.25">
      <c r="A228">
        <v>25.5</v>
      </c>
      <c r="B228">
        <v>4</v>
      </c>
      <c r="C228">
        <v>122</v>
      </c>
      <c r="D228">
        <v>96</v>
      </c>
      <c r="E228">
        <v>2300</v>
      </c>
      <c r="F228">
        <v>15.5</v>
      </c>
      <c r="G228">
        <v>77</v>
      </c>
      <c r="H228" t="s">
        <v>1576</v>
      </c>
      <c r="I228" t="s">
        <v>1267</v>
      </c>
      <c r="J228" t="s">
        <v>925</v>
      </c>
      <c r="K228" t="s">
        <v>1268</v>
      </c>
      <c r="L228" t="b">
        <f>Data_Completeness(MileageData[[#This Row],[MPG]:[Acceleration]])</f>
        <v>1</v>
      </c>
    </row>
    <row r="229" spans="1:12" x14ac:dyDescent="0.25">
      <c r="A229">
        <v>33.5</v>
      </c>
      <c r="B229">
        <v>4</v>
      </c>
      <c r="C229">
        <v>85</v>
      </c>
      <c r="D229">
        <v>70</v>
      </c>
      <c r="E229">
        <v>1945</v>
      </c>
      <c r="F229">
        <v>16.8</v>
      </c>
      <c r="G229">
        <v>77</v>
      </c>
      <c r="H229" t="s">
        <v>1578</v>
      </c>
      <c r="I229" t="s">
        <v>1269</v>
      </c>
      <c r="J229" t="s">
        <v>975</v>
      </c>
      <c r="K229" t="s">
        <v>1270</v>
      </c>
      <c r="L229" t="b">
        <f>Data_Completeness(MileageData[[#This Row],[MPG]:[Acceleration]])</f>
        <v>1</v>
      </c>
    </row>
    <row r="230" spans="1:12" x14ac:dyDescent="0.25">
      <c r="A230">
        <v>17.5</v>
      </c>
      <c r="B230">
        <v>8</v>
      </c>
      <c r="C230">
        <v>305</v>
      </c>
      <c r="D230">
        <v>145</v>
      </c>
      <c r="E230">
        <v>3880</v>
      </c>
      <c r="F230">
        <v>12.5</v>
      </c>
      <c r="G230">
        <v>77</v>
      </c>
      <c r="H230" t="s">
        <v>1576</v>
      </c>
      <c r="I230" t="s">
        <v>1110</v>
      </c>
      <c r="J230" t="s">
        <v>919</v>
      </c>
      <c r="K230" t="s">
        <v>1111</v>
      </c>
      <c r="L230" t="b">
        <f>Data_Completeness(MileageData[[#This Row],[MPG]:[Acceleration]])</f>
        <v>1</v>
      </c>
    </row>
    <row r="231" spans="1:12" x14ac:dyDescent="0.25">
      <c r="A231">
        <v>17</v>
      </c>
      <c r="B231">
        <v>8</v>
      </c>
      <c r="C231">
        <v>260</v>
      </c>
      <c r="D231">
        <v>110</v>
      </c>
      <c r="E231">
        <v>4060</v>
      </c>
      <c r="F231">
        <v>19</v>
      </c>
      <c r="G231">
        <v>77</v>
      </c>
      <c r="H231" t="s">
        <v>1576</v>
      </c>
      <c r="I231" t="s">
        <v>1271</v>
      </c>
      <c r="J231" t="s">
        <v>1065</v>
      </c>
      <c r="K231" t="s">
        <v>1272</v>
      </c>
      <c r="L231" t="b">
        <f>Data_Completeness(MileageData[[#This Row],[MPG]:[Acceleration]])</f>
        <v>1</v>
      </c>
    </row>
    <row r="232" spans="1:12" x14ac:dyDescent="0.25">
      <c r="A232">
        <v>15.5</v>
      </c>
      <c r="B232">
        <v>8</v>
      </c>
      <c r="C232">
        <v>318</v>
      </c>
      <c r="D232">
        <v>145</v>
      </c>
      <c r="E232">
        <v>4140</v>
      </c>
      <c r="F232">
        <v>13.7</v>
      </c>
      <c r="G232">
        <v>77</v>
      </c>
      <c r="H232" t="s">
        <v>1576</v>
      </c>
      <c r="I232" t="s">
        <v>1273</v>
      </c>
      <c r="J232" t="s">
        <v>956</v>
      </c>
      <c r="K232" t="s">
        <v>1274</v>
      </c>
      <c r="L232" t="b">
        <f>Data_Completeness(MileageData[[#This Row],[MPG]:[Acceleration]])</f>
        <v>1</v>
      </c>
    </row>
    <row r="233" spans="1:12" x14ac:dyDescent="0.25">
      <c r="A233">
        <v>15</v>
      </c>
      <c r="B233">
        <v>8</v>
      </c>
      <c r="C233">
        <v>302</v>
      </c>
      <c r="D233">
        <v>130</v>
      </c>
      <c r="E233">
        <v>4295</v>
      </c>
      <c r="F233">
        <v>14.9</v>
      </c>
      <c r="G233">
        <v>77</v>
      </c>
      <c r="H233" t="s">
        <v>1576</v>
      </c>
      <c r="I233" t="s">
        <v>1275</v>
      </c>
      <c r="J233" t="s">
        <v>1033</v>
      </c>
      <c r="K233" t="s">
        <v>1276</v>
      </c>
      <c r="L233" t="b">
        <f>Data_Completeness(MileageData[[#This Row],[MPG]:[Acceleration]])</f>
        <v>1</v>
      </c>
    </row>
    <row r="234" spans="1:12" x14ac:dyDescent="0.25">
      <c r="A234">
        <v>17.5</v>
      </c>
      <c r="B234">
        <v>6</v>
      </c>
      <c r="C234">
        <v>250</v>
      </c>
      <c r="D234">
        <v>110</v>
      </c>
      <c r="E234">
        <v>3520</v>
      </c>
      <c r="F234">
        <v>16.399999999999999</v>
      </c>
      <c r="G234">
        <v>77</v>
      </c>
      <c r="H234" t="s">
        <v>1576</v>
      </c>
      <c r="I234" t="s">
        <v>1277</v>
      </c>
      <c r="J234" t="s">
        <v>919</v>
      </c>
      <c r="K234" t="s">
        <v>1278</v>
      </c>
      <c r="L234" t="b">
        <f>Data_Completeness(MileageData[[#This Row],[MPG]:[Acceleration]])</f>
        <v>1</v>
      </c>
    </row>
    <row r="235" spans="1:12" x14ac:dyDescent="0.25">
      <c r="A235">
        <v>20.5</v>
      </c>
      <c r="B235">
        <v>6</v>
      </c>
      <c r="C235">
        <v>231</v>
      </c>
      <c r="D235">
        <v>105</v>
      </c>
      <c r="E235">
        <v>3425</v>
      </c>
      <c r="F235">
        <v>16.899999999999999</v>
      </c>
      <c r="G235">
        <v>77</v>
      </c>
      <c r="H235" t="s">
        <v>1576</v>
      </c>
      <c r="I235" t="s">
        <v>1279</v>
      </c>
      <c r="J235" t="s">
        <v>922</v>
      </c>
      <c r="K235" t="s">
        <v>1280</v>
      </c>
      <c r="L235" t="b">
        <f>Data_Completeness(MileageData[[#This Row],[MPG]:[Acceleration]])</f>
        <v>1</v>
      </c>
    </row>
    <row r="236" spans="1:12" x14ac:dyDescent="0.25">
      <c r="A236">
        <v>19</v>
      </c>
      <c r="B236">
        <v>6</v>
      </c>
      <c r="C236">
        <v>225</v>
      </c>
      <c r="D236">
        <v>100</v>
      </c>
      <c r="E236">
        <v>3630</v>
      </c>
      <c r="F236">
        <v>17.7</v>
      </c>
      <c r="G236">
        <v>77</v>
      </c>
      <c r="H236" t="s">
        <v>1576</v>
      </c>
      <c r="I236" t="s">
        <v>1281</v>
      </c>
      <c r="J236" t="s">
        <v>925</v>
      </c>
      <c r="K236" t="s">
        <v>1282</v>
      </c>
      <c r="L236" t="b">
        <f>Data_Completeness(MileageData[[#This Row],[MPG]:[Acceleration]])</f>
        <v>1</v>
      </c>
    </row>
    <row r="237" spans="1:12" x14ac:dyDescent="0.25">
      <c r="A237">
        <v>18.5</v>
      </c>
      <c r="B237">
        <v>6</v>
      </c>
      <c r="C237">
        <v>250</v>
      </c>
      <c r="D237">
        <v>98</v>
      </c>
      <c r="E237">
        <v>3525</v>
      </c>
      <c r="F237">
        <v>19</v>
      </c>
      <c r="G237">
        <v>77</v>
      </c>
      <c r="H237" t="s">
        <v>1576</v>
      </c>
      <c r="I237" t="s">
        <v>1283</v>
      </c>
      <c r="J237" t="s">
        <v>931</v>
      </c>
      <c r="K237" t="s">
        <v>1284</v>
      </c>
      <c r="L237" t="b">
        <f>Data_Completeness(MileageData[[#This Row],[MPG]:[Acceleration]])</f>
        <v>1</v>
      </c>
    </row>
    <row r="238" spans="1:12" x14ac:dyDescent="0.25">
      <c r="A238">
        <v>16</v>
      </c>
      <c r="B238">
        <v>8</v>
      </c>
      <c r="C238">
        <v>400</v>
      </c>
      <c r="D238">
        <v>180</v>
      </c>
      <c r="E238">
        <v>4220</v>
      </c>
      <c r="F238">
        <v>11.1</v>
      </c>
      <c r="G238">
        <v>77</v>
      </c>
      <c r="H238" t="s">
        <v>1576</v>
      </c>
      <c r="I238" t="s">
        <v>1285</v>
      </c>
      <c r="J238" t="s">
        <v>940</v>
      </c>
      <c r="K238" t="s">
        <v>1286</v>
      </c>
      <c r="L238" t="b">
        <f>Data_Completeness(MileageData[[#This Row],[MPG]:[Acceleration]])</f>
        <v>1</v>
      </c>
    </row>
    <row r="239" spans="1:12" x14ac:dyDescent="0.25">
      <c r="A239">
        <v>15.5</v>
      </c>
      <c r="B239">
        <v>8</v>
      </c>
      <c r="C239">
        <v>350</v>
      </c>
      <c r="D239">
        <v>170</v>
      </c>
      <c r="E239">
        <v>4165</v>
      </c>
      <c r="F239">
        <v>11.4</v>
      </c>
      <c r="G239">
        <v>77</v>
      </c>
      <c r="H239" t="s">
        <v>1576</v>
      </c>
      <c r="I239" t="s">
        <v>1287</v>
      </c>
      <c r="J239" t="s">
        <v>919</v>
      </c>
      <c r="K239" t="s">
        <v>1288</v>
      </c>
      <c r="L239" t="b">
        <f>Data_Completeness(MileageData[[#This Row],[MPG]:[Acceleration]])</f>
        <v>1</v>
      </c>
    </row>
    <row r="240" spans="1:12" x14ac:dyDescent="0.25">
      <c r="A240">
        <v>15.5</v>
      </c>
      <c r="B240">
        <v>8</v>
      </c>
      <c r="C240">
        <v>400</v>
      </c>
      <c r="D240">
        <v>190</v>
      </c>
      <c r="E240">
        <v>4325</v>
      </c>
      <c r="F240">
        <v>12.2</v>
      </c>
      <c r="G240">
        <v>77</v>
      </c>
      <c r="H240" t="s">
        <v>1576</v>
      </c>
      <c r="I240" t="s">
        <v>1289</v>
      </c>
      <c r="J240" t="s">
        <v>1068</v>
      </c>
      <c r="K240" t="s">
        <v>1290</v>
      </c>
      <c r="L240" t="b">
        <f>Data_Completeness(MileageData[[#This Row],[MPG]:[Acceleration]])</f>
        <v>1</v>
      </c>
    </row>
    <row r="241" spans="1:12" x14ac:dyDescent="0.25">
      <c r="A241">
        <v>16</v>
      </c>
      <c r="B241">
        <v>8</v>
      </c>
      <c r="C241">
        <v>351</v>
      </c>
      <c r="D241">
        <v>149</v>
      </c>
      <c r="E241">
        <v>4335</v>
      </c>
      <c r="F241">
        <v>14.5</v>
      </c>
      <c r="G241">
        <v>77</v>
      </c>
      <c r="H241" t="s">
        <v>1576</v>
      </c>
      <c r="I241" t="s">
        <v>1291</v>
      </c>
      <c r="J241" t="s">
        <v>931</v>
      </c>
      <c r="K241" t="s">
        <v>1292</v>
      </c>
      <c r="L241" t="b">
        <f>Data_Completeness(MileageData[[#This Row],[MPG]:[Acceleration]])</f>
        <v>1</v>
      </c>
    </row>
    <row r="242" spans="1:12" x14ac:dyDescent="0.25">
      <c r="A242">
        <v>29</v>
      </c>
      <c r="B242">
        <v>4</v>
      </c>
      <c r="C242">
        <v>97</v>
      </c>
      <c r="D242">
        <v>78</v>
      </c>
      <c r="E242">
        <v>1940</v>
      </c>
      <c r="F242">
        <v>14.5</v>
      </c>
      <c r="G242">
        <v>77</v>
      </c>
      <c r="H242" t="s">
        <v>1577</v>
      </c>
      <c r="I242" t="s">
        <v>1293</v>
      </c>
      <c r="J242" t="s">
        <v>978</v>
      </c>
      <c r="K242" t="s">
        <v>1294</v>
      </c>
      <c r="L242" t="b">
        <f>Data_Completeness(MileageData[[#This Row],[MPG]:[Acceleration]])</f>
        <v>1</v>
      </c>
    </row>
    <row r="243" spans="1:12" x14ac:dyDescent="0.25">
      <c r="A243">
        <v>24.5</v>
      </c>
      <c r="B243">
        <v>4</v>
      </c>
      <c r="C243">
        <v>151</v>
      </c>
      <c r="D243">
        <v>88</v>
      </c>
      <c r="E243">
        <v>2740</v>
      </c>
      <c r="F243">
        <v>16</v>
      </c>
      <c r="G243">
        <v>77</v>
      </c>
      <c r="H243" t="s">
        <v>1576</v>
      </c>
      <c r="I243" t="s">
        <v>1295</v>
      </c>
      <c r="J243" t="s">
        <v>940</v>
      </c>
      <c r="K243" t="s">
        <v>1296</v>
      </c>
      <c r="L243" t="b">
        <f>Data_Completeness(MileageData[[#This Row],[MPG]:[Acceleration]])</f>
        <v>1</v>
      </c>
    </row>
    <row r="244" spans="1:12" x14ac:dyDescent="0.25">
      <c r="A244">
        <v>26</v>
      </c>
      <c r="B244">
        <v>4</v>
      </c>
      <c r="C244">
        <v>97</v>
      </c>
      <c r="D244">
        <v>75</v>
      </c>
      <c r="E244">
        <v>2265</v>
      </c>
      <c r="F244">
        <v>18.2</v>
      </c>
      <c r="G244">
        <v>77</v>
      </c>
      <c r="H244" t="s">
        <v>1578</v>
      </c>
      <c r="I244" t="s">
        <v>1297</v>
      </c>
      <c r="J244" t="s">
        <v>966</v>
      </c>
      <c r="K244" t="s">
        <v>1298</v>
      </c>
      <c r="L244" t="b">
        <f>Data_Completeness(MileageData[[#This Row],[MPG]:[Acceleration]])</f>
        <v>1</v>
      </c>
    </row>
    <row r="245" spans="1:12" x14ac:dyDescent="0.25">
      <c r="A245">
        <v>25.5</v>
      </c>
      <c r="B245">
        <v>4</v>
      </c>
      <c r="C245">
        <v>140</v>
      </c>
      <c r="D245">
        <v>89</v>
      </c>
      <c r="E245">
        <v>2755</v>
      </c>
      <c r="F245">
        <v>15.8</v>
      </c>
      <c r="G245">
        <v>77</v>
      </c>
      <c r="H245" t="s">
        <v>1576</v>
      </c>
      <c r="I245" t="s">
        <v>1299</v>
      </c>
      <c r="J245" t="s">
        <v>931</v>
      </c>
      <c r="K245" t="s">
        <v>1300</v>
      </c>
      <c r="L245" t="b">
        <f>Data_Completeness(MileageData[[#This Row],[MPG]:[Acceleration]])</f>
        <v>1</v>
      </c>
    </row>
    <row r="246" spans="1:12" x14ac:dyDescent="0.25">
      <c r="A246">
        <v>30.5</v>
      </c>
      <c r="B246">
        <v>4</v>
      </c>
      <c r="C246">
        <v>98</v>
      </c>
      <c r="D246">
        <v>63</v>
      </c>
      <c r="E246">
        <v>2051</v>
      </c>
      <c r="F246">
        <v>17</v>
      </c>
      <c r="G246">
        <v>77</v>
      </c>
      <c r="H246" t="s">
        <v>1576</v>
      </c>
      <c r="I246" t="s">
        <v>1230</v>
      </c>
      <c r="J246" t="s">
        <v>919</v>
      </c>
      <c r="K246" t="s">
        <v>1231</v>
      </c>
      <c r="L246" t="b">
        <f>Data_Completeness(MileageData[[#This Row],[MPG]:[Acceleration]])</f>
        <v>1</v>
      </c>
    </row>
    <row r="247" spans="1:12" x14ac:dyDescent="0.25">
      <c r="A247">
        <v>33.5</v>
      </c>
      <c r="B247">
        <v>4</v>
      </c>
      <c r="C247">
        <v>98</v>
      </c>
      <c r="D247">
        <v>83</v>
      </c>
      <c r="E247">
        <v>2075</v>
      </c>
      <c r="F247">
        <v>15.9</v>
      </c>
      <c r="G247">
        <v>77</v>
      </c>
      <c r="H247" t="s">
        <v>1576</v>
      </c>
      <c r="I247" t="s">
        <v>1301</v>
      </c>
      <c r="J247" t="s">
        <v>956</v>
      </c>
      <c r="K247" t="s">
        <v>1302</v>
      </c>
      <c r="L247" t="b">
        <f>Data_Completeness(MileageData[[#This Row],[MPG]:[Acceleration]])</f>
        <v>1</v>
      </c>
    </row>
    <row r="248" spans="1:12" x14ac:dyDescent="0.25">
      <c r="A248">
        <v>30</v>
      </c>
      <c r="B248">
        <v>4</v>
      </c>
      <c r="C248">
        <v>97</v>
      </c>
      <c r="D248">
        <v>67</v>
      </c>
      <c r="E248">
        <v>1985</v>
      </c>
      <c r="F248">
        <v>16.399999999999999</v>
      </c>
      <c r="G248">
        <v>77</v>
      </c>
      <c r="H248" t="s">
        <v>1578</v>
      </c>
      <c r="I248" t="s">
        <v>1303</v>
      </c>
      <c r="J248" t="s">
        <v>1187</v>
      </c>
      <c r="K248" t="s">
        <v>1304</v>
      </c>
      <c r="L248" t="b">
        <f>Data_Completeness(MileageData[[#This Row],[MPG]:[Acceleration]])</f>
        <v>1</v>
      </c>
    </row>
    <row r="249" spans="1:12" x14ac:dyDescent="0.25">
      <c r="A249">
        <v>30.5</v>
      </c>
      <c r="B249">
        <v>4</v>
      </c>
      <c r="C249">
        <v>97</v>
      </c>
      <c r="D249">
        <v>78</v>
      </c>
      <c r="E249">
        <v>2190</v>
      </c>
      <c r="F249">
        <v>14.1</v>
      </c>
      <c r="G249">
        <v>77</v>
      </c>
      <c r="H249" t="s">
        <v>1577</v>
      </c>
      <c r="I249" t="s">
        <v>1177</v>
      </c>
      <c r="J249" t="s">
        <v>978</v>
      </c>
      <c r="K249" t="s">
        <v>1178</v>
      </c>
      <c r="L249" t="b">
        <f>Data_Completeness(MileageData[[#This Row],[MPG]:[Acceleration]])</f>
        <v>1</v>
      </c>
    </row>
    <row r="250" spans="1:12" x14ac:dyDescent="0.25">
      <c r="A250">
        <v>22</v>
      </c>
      <c r="B250">
        <v>6</v>
      </c>
      <c r="C250">
        <v>146</v>
      </c>
      <c r="D250">
        <v>97</v>
      </c>
      <c r="E250">
        <v>2815</v>
      </c>
      <c r="F250">
        <v>14.5</v>
      </c>
      <c r="G250">
        <v>77</v>
      </c>
      <c r="H250" t="s">
        <v>1578</v>
      </c>
      <c r="I250" t="s">
        <v>1305</v>
      </c>
      <c r="J250" t="s">
        <v>975</v>
      </c>
      <c r="K250">
        <v>810</v>
      </c>
      <c r="L250" t="b">
        <f>Data_Completeness(MileageData[[#This Row],[MPG]:[Acceleration]])</f>
        <v>1</v>
      </c>
    </row>
    <row r="251" spans="1:12" x14ac:dyDescent="0.25">
      <c r="A251">
        <v>21.5</v>
      </c>
      <c r="B251">
        <v>4</v>
      </c>
      <c r="C251">
        <v>121</v>
      </c>
      <c r="D251">
        <v>110</v>
      </c>
      <c r="E251">
        <v>2600</v>
      </c>
      <c r="F251">
        <v>12.8</v>
      </c>
      <c r="G251">
        <v>77</v>
      </c>
      <c r="H251" t="s">
        <v>1577</v>
      </c>
      <c r="I251" t="s">
        <v>1306</v>
      </c>
      <c r="J251" t="s">
        <v>989</v>
      </c>
      <c r="K251" t="s">
        <v>1307</v>
      </c>
      <c r="L251" t="b">
        <f>Data_Completeness(MileageData[[#This Row],[MPG]:[Acceleration]])</f>
        <v>1</v>
      </c>
    </row>
    <row r="252" spans="1:12" x14ac:dyDescent="0.25">
      <c r="A252">
        <v>21.5</v>
      </c>
      <c r="B252">
        <v>3</v>
      </c>
      <c r="C252">
        <v>80</v>
      </c>
      <c r="D252">
        <v>110</v>
      </c>
      <c r="E252">
        <v>2720</v>
      </c>
      <c r="F252">
        <v>13.5</v>
      </c>
      <c r="G252">
        <v>77</v>
      </c>
      <c r="H252" t="s">
        <v>1578</v>
      </c>
      <c r="I252" t="s">
        <v>1308</v>
      </c>
      <c r="J252" t="s">
        <v>1071</v>
      </c>
      <c r="K252" t="s">
        <v>1309</v>
      </c>
      <c r="L252" t="b">
        <f>Data_Completeness(MileageData[[#This Row],[MPG]:[Acceleration]])</f>
        <v>1</v>
      </c>
    </row>
    <row r="253" spans="1:12" x14ac:dyDescent="0.25">
      <c r="A253">
        <v>43.1</v>
      </c>
      <c r="B253">
        <v>4</v>
      </c>
      <c r="C253">
        <v>90</v>
      </c>
      <c r="D253">
        <v>48</v>
      </c>
      <c r="E253">
        <v>1985</v>
      </c>
      <c r="F253">
        <v>21.5</v>
      </c>
      <c r="G253">
        <v>78</v>
      </c>
      <c r="H253" t="s">
        <v>1577</v>
      </c>
      <c r="I253" t="s">
        <v>1310</v>
      </c>
      <c r="J253" t="s">
        <v>978</v>
      </c>
      <c r="K253" t="s">
        <v>1311</v>
      </c>
      <c r="L253" t="b">
        <f>Data_Completeness(MileageData[[#This Row],[MPG]:[Acceleration]])</f>
        <v>1</v>
      </c>
    </row>
    <row r="254" spans="1:12" x14ac:dyDescent="0.25">
      <c r="A254">
        <v>36.1</v>
      </c>
      <c r="B254">
        <v>4</v>
      </c>
      <c r="C254">
        <v>98</v>
      </c>
      <c r="D254">
        <v>66</v>
      </c>
      <c r="E254">
        <v>1800</v>
      </c>
      <c r="F254">
        <v>14.4</v>
      </c>
      <c r="G254">
        <v>78</v>
      </c>
      <c r="H254" t="s">
        <v>1576</v>
      </c>
      <c r="I254" t="s">
        <v>1312</v>
      </c>
      <c r="J254" t="s">
        <v>931</v>
      </c>
      <c r="K254" t="s">
        <v>1313</v>
      </c>
      <c r="L254" t="b">
        <f>Data_Completeness(MileageData[[#This Row],[MPG]:[Acceleration]])</f>
        <v>1</v>
      </c>
    </row>
    <row r="255" spans="1:12" x14ac:dyDescent="0.25">
      <c r="A255">
        <v>32.799999999999997</v>
      </c>
      <c r="B255">
        <v>4</v>
      </c>
      <c r="C255">
        <v>78</v>
      </c>
      <c r="D255">
        <v>52</v>
      </c>
      <c r="E255">
        <v>1985</v>
      </c>
      <c r="F255">
        <v>19.399999999999999</v>
      </c>
      <c r="G255">
        <v>78</v>
      </c>
      <c r="H255" t="s">
        <v>1578</v>
      </c>
      <c r="I255" t="s">
        <v>1314</v>
      </c>
      <c r="J255" t="s">
        <v>1071</v>
      </c>
      <c r="K255" t="s">
        <v>1315</v>
      </c>
      <c r="L255" t="b">
        <f>Data_Completeness(MileageData[[#This Row],[MPG]:[Acceleration]])</f>
        <v>1</v>
      </c>
    </row>
    <row r="256" spans="1:12" x14ac:dyDescent="0.25">
      <c r="A256">
        <v>39.4</v>
      </c>
      <c r="B256">
        <v>4</v>
      </c>
      <c r="C256">
        <v>85</v>
      </c>
      <c r="D256">
        <v>70</v>
      </c>
      <c r="E256">
        <v>2070</v>
      </c>
      <c r="F256">
        <v>18.600000000000001</v>
      </c>
      <c r="G256">
        <v>78</v>
      </c>
      <c r="H256" t="s">
        <v>1578</v>
      </c>
      <c r="I256" t="s">
        <v>1316</v>
      </c>
      <c r="J256" t="s">
        <v>975</v>
      </c>
      <c r="K256" t="s">
        <v>1317</v>
      </c>
      <c r="L256" t="b">
        <f>Data_Completeness(MileageData[[#This Row],[MPG]:[Acceleration]])</f>
        <v>1</v>
      </c>
    </row>
    <row r="257" spans="1:12" x14ac:dyDescent="0.25">
      <c r="A257">
        <v>36.1</v>
      </c>
      <c r="B257">
        <v>4</v>
      </c>
      <c r="C257">
        <v>91</v>
      </c>
      <c r="D257">
        <v>60</v>
      </c>
      <c r="E257">
        <v>1800</v>
      </c>
      <c r="F257">
        <v>16.399999999999999</v>
      </c>
      <c r="G257">
        <v>78</v>
      </c>
      <c r="H257" t="s">
        <v>1578</v>
      </c>
      <c r="I257" t="s">
        <v>1220</v>
      </c>
      <c r="J257" t="s">
        <v>1185</v>
      </c>
      <c r="K257" t="s">
        <v>1221</v>
      </c>
      <c r="L257" t="b">
        <f>Data_Completeness(MileageData[[#This Row],[MPG]:[Acceleration]])</f>
        <v>1</v>
      </c>
    </row>
    <row r="258" spans="1:12" x14ac:dyDescent="0.25">
      <c r="A258">
        <v>19.899999999999999</v>
      </c>
      <c r="B258">
        <v>8</v>
      </c>
      <c r="C258">
        <v>260</v>
      </c>
      <c r="D258">
        <v>110</v>
      </c>
      <c r="E258">
        <v>3365</v>
      </c>
      <c r="F258">
        <v>15.5</v>
      </c>
      <c r="G258">
        <v>78</v>
      </c>
      <c r="H258" t="s">
        <v>1576</v>
      </c>
      <c r="I258" t="s">
        <v>1318</v>
      </c>
      <c r="J258" t="s">
        <v>1065</v>
      </c>
      <c r="K258" t="s">
        <v>1319</v>
      </c>
      <c r="L258" t="b">
        <f>Data_Completeness(MileageData[[#This Row],[MPG]:[Acceleration]])</f>
        <v>1</v>
      </c>
    </row>
    <row r="259" spans="1:12" x14ac:dyDescent="0.25">
      <c r="A259">
        <v>19.399999999999999</v>
      </c>
      <c r="B259">
        <v>8</v>
      </c>
      <c r="C259">
        <v>318</v>
      </c>
      <c r="D259">
        <v>140</v>
      </c>
      <c r="E259">
        <v>3735</v>
      </c>
      <c r="F259">
        <v>13.2</v>
      </c>
      <c r="G259">
        <v>78</v>
      </c>
      <c r="H259" t="s">
        <v>1576</v>
      </c>
      <c r="I259" t="s">
        <v>1320</v>
      </c>
      <c r="J259" t="s">
        <v>956</v>
      </c>
      <c r="K259" t="s">
        <v>1321</v>
      </c>
      <c r="L259" t="b">
        <f>Data_Completeness(MileageData[[#This Row],[MPG]:[Acceleration]])</f>
        <v>1</v>
      </c>
    </row>
    <row r="260" spans="1:12" x14ac:dyDescent="0.25">
      <c r="A260">
        <v>20.2</v>
      </c>
      <c r="B260">
        <v>8</v>
      </c>
      <c r="C260">
        <v>302</v>
      </c>
      <c r="D260">
        <v>139</v>
      </c>
      <c r="E260">
        <v>3570</v>
      </c>
      <c r="F260">
        <v>12.8</v>
      </c>
      <c r="G260">
        <v>78</v>
      </c>
      <c r="H260" t="s">
        <v>1576</v>
      </c>
      <c r="I260" t="s">
        <v>1322</v>
      </c>
      <c r="J260" t="s">
        <v>1033</v>
      </c>
      <c r="K260" t="s">
        <v>1323</v>
      </c>
      <c r="L260" t="b">
        <f>Data_Completeness(MileageData[[#This Row],[MPG]:[Acceleration]])</f>
        <v>1</v>
      </c>
    </row>
    <row r="261" spans="1:12" x14ac:dyDescent="0.25">
      <c r="A261">
        <v>19.2</v>
      </c>
      <c r="B261">
        <v>6</v>
      </c>
      <c r="C261">
        <v>231</v>
      </c>
      <c r="D261">
        <v>105</v>
      </c>
      <c r="E261">
        <v>3535</v>
      </c>
      <c r="F261">
        <v>19.2</v>
      </c>
      <c r="G261">
        <v>78</v>
      </c>
      <c r="H261" t="s">
        <v>1576</v>
      </c>
      <c r="I261" t="s">
        <v>1324</v>
      </c>
      <c r="J261" t="s">
        <v>940</v>
      </c>
      <c r="K261" t="s">
        <v>1325</v>
      </c>
      <c r="L261" t="b">
        <f>Data_Completeness(MileageData[[#This Row],[MPG]:[Acceleration]])</f>
        <v>1</v>
      </c>
    </row>
    <row r="262" spans="1:12" x14ac:dyDescent="0.25">
      <c r="A262">
        <v>20.5</v>
      </c>
      <c r="B262">
        <v>6</v>
      </c>
      <c r="C262">
        <v>200</v>
      </c>
      <c r="D262">
        <v>95</v>
      </c>
      <c r="E262">
        <v>3155</v>
      </c>
      <c r="F262">
        <v>18.2</v>
      </c>
      <c r="G262">
        <v>78</v>
      </c>
      <c r="H262" t="s">
        <v>1576</v>
      </c>
      <c r="I262" t="s">
        <v>1102</v>
      </c>
      <c r="J262" t="s">
        <v>919</v>
      </c>
      <c r="K262" t="s">
        <v>1103</v>
      </c>
      <c r="L262" t="b">
        <f>Data_Completeness(MileageData[[#This Row],[MPG]:[Acceleration]])</f>
        <v>1</v>
      </c>
    </row>
    <row r="263" spans="1:12" x14ac:dyDescent="0.25">
      <c r="A263">
        <v>20.2</v>
      </c>
      <c r="B263">
        <v>6</v>
      </c>
      <c r="C263">
        <v>200</v>
      </c>
      <c r="D263">
        <v>85</v>
      </c>
      <c r="E263">
        <v>2965</v>
      </c>
      <c r="F263">
        <v>15.8</v>
      </c>
      <c r="G263">
        <v>78</v>
      </c>
      <c r="H263" t="s">
        <v>1576</v>
      </c>
      <c r="I263" t="s">
        <v>1326</v>
      </c>
      <c r="J263" t="s">
        <v>931</v>
      </c>
      <c r="K263" t="s">
        <v>1327</v>
      </c>
      <c r="L263" t="b">
        <f>Data_Completeness(MileageData[[#This Row],[MPG]:[Acceleration]])</f>
        <v>1</v>
      </c>
    </row>
    <row r="264" spans="1:12" x14ac:dyDescent="0.25">
      <c r="A264">
        <v>25.1</v>
      </c>
      <c r="B264">
        <v>4</v>
      </c>
      <c r="C264">
        <v>140</v>
      </c>
      <c r="D264">
        <v>88</v>
      </c>
      <c r="E264">
        <v>2720</v>
      </c>
      <c r="F264">
        <v>15.4</v>
      </c>
      <c r="G264">
        <v>78</v>
      </c>
      <c r="H264" t="s">
        <v>1576</v>
      </c>
      <c r="I264" t="s">
        <v>1328</v>
      </c>
      <c r="J264" t="s">
        <v>931</v>
      </c>
      <c r="K264" t="s">
        <v>1329</v>
      </c>
      <c r="L264" t="b">
        <f>Data_Completeness(MileageData[[#This Row],[MPG]:[Acceleration]])</f>
        <v>1</v>
      </c>
    </row>
    <row r="265" spans="1:12" x14ac:dyDescent="0.25">
      <c r="A265">
        <v>20.5</v>
      </c>
      <c r="B265">
        <v>6</v>
      </c>
      <c r="C265">
        <v>225</v>
      </c>
      <c r="D265">
        <v>100</v>
      </c>
      <c r="E265">
        <v>3430</v>
      </c>
      <c r="F265">
        <v>17.2</v>
      </c>
      <c r="G265">
        <v>78</v>
      </c>
      <c r="H265" t="s">
        <v>1576</v>
      </c>
      <c r="I265" t="s">
        <v>1330</v>
      </c>
      <c r="J265" t="s">
        <v>925</v>
      </c>
      <c r="K265" t="s">
        <v>1331</v>
      </c>
      <c r="L265" t="b">
        <f>Data_Completeness(MileageData[[#This Row],[MPG]:[Acceleration]])</f>
        <v>1</v>
      </c>
    </row>
    <row r="266" spans="1:12" x14ac:dyDescent="0.25">
      <c r="A266">
        <v>19.399999999999999</v>
      </c>
      <c r="B266">
        <v>6</v>
      </c>
      <c r="C266">
        <v>232</v>
      </c>
      <c r="D266">
        <v>90</v>
      </c>
      <c r="E266">
        <v>3210</v>
      </c>
      <c r="F266">
        <v>17.2</v>
      </c>
      <c r="G266">
        <v>78</v>
      </c>
      <c r="H266" t="s">
        <v>1576</v>
      </c>
      <c r="I266" t="s">
        <v>1332</v>
      </c>
      <c r="J266" t="s">
        <v>928</v>
      </c>
      <c r="K266" t="s">
        <v>1333</v>
      </c>
      <c r="L266" t="b">
        <f>Data_Completeness(MileageData[[#This Row],[MPG]:[Acceleration]])</f>
        <v>1</v>
      </c>
    </row>
    <row r="267" spans="1:12" x14ac:dyDescent="0.25">
      <c r="A267">
        <v>20.6</v>
      </c>
      <c r="B267">
        <v>6</v>
      </c>
      <c r="C267">
        <v>231</v>
      </c>
      <c r="D267">
        <v>105</v>
      </c>
      <c r="E267">
        <v>3380</v>
      </c>
      <c r="F267">
        <v>15.8</v>
      </c>
      <c r="G267">
        <v>78</v>
      </c>
      <c r="H267" t="s">
        <v>1576</v>
      </c>
      <c r="I267" t="s">
        <v>1334</v>
      </c>
      <c r="J267" t="s">
        <v>922</v>
      </c>
      <c r="K267" t="s">
        <v>1335</v>
      </c>
      <c r="L267" t="b">
        <f>Data_Completeness(MileageData[[#This Row],[MPG]:[Acceleration]])</f>
        <v>1</v>
      </c>
    </row>
    <row r="268" spans="1:12" x14ac:dyDescent="0.25">
      <c r="A268">
        <v>20.8</v>
      </c>
      <c r="B268">
        <v>6</v>
      </c>
      <c r="C268">
        <v>200</v>
      </c>
      <c r="D268">
        <v>85</v>
      </c>
      <c r="E268">
        <v>3070</v>
      </c>
      <c r="F268">
        <v>16.7</v>
      </c>
      <c r="G268">
        <v>78</v>
      </c>
      <c r="H268" t="s">
        <v>1576</v>
      </c>
      <c r="I268" t="s">
        <v>1336</v>
      </c>
      <c r="J268" t="s">
        <v>1033</v>
      </c>
      <c r="K268" t="s">
        <v>1337</v>
      </c>
      <c r="L268" t="b">
        <f>Data_Completeness(MileageData[[#This Row],[MPG]:[Acceleration]])</f>
        <v>1</v>
      </c>
    </row>
    <row r="269" spans="1:12" x14ac:dyDescent="0.25">
      <c r="A269">
        <v>18.600000000000001</v>
      </c>
      <c r="B269">
        <v>6</v>
      </c>
      <c r="C269">
        <v>225</v>
      </c>
      <c r="D269">
        <v>110</v>
      </c>
      <c r="E269">
        <v>3620</v>
      </c>
      <c r="F269">
        <v>18.7</v>
      </c>
      <c r="G269">
        <v>78</v>
      </c>
      <c r="H269" t="s">
        <v>1576</v>
      </c>
      <c r="I269" t="s">
        <v>1338</v>
      </c>
      <c r="J269" t="s">
        <v>956</v>
      </c>
      <c r="K269" t="s">
        <v>1339</v>
      </c>
      <c r="L269" t="b">
        <f>Data_Completeness(MileageData[[#This Row],[MPG]:[Acceleration]])</f>
        <v>1</v>
      </c>
    </row>
    <row r="270" spans="1:12" x14ac:dyDescent="0.25">
      <c r="A270">
        <v>18.100000000000001</v>
      </c>
      <c r="B270">
        <v>6</v>
      </c>
      <c r="C270">
        <v>258</v>
      </c>
      <c r="D270">
        <v>120</v>
      </c>
      <c r="E270">
        <v>3410</v>
      </c>
      <c r="F270">
        <v>15.1</v>
      </c>
      <c r="G270">
        <v>78</v>
      </c>
      <c r="H270" t="s">
        <v>1576</v>
      </c>
      <c r="I270" t="s">
        <v>1340</v>
      </c>
      <c r="J270" t="s">
        <v>928</v>
      </c>
      <c r="K270" t="s">
        <v>1341</v>
      </c>
      <c r="L270" t="b">
        <f>Data_Completeness(MileageData[[#This Row],[MPG]:[Acceleration]])</f>
        <v>1</v>
      </c>
    </row>
    <row r="271" spans="1:12" x14ac:dyDescent="0.25">
      <c r="A271">
        <v>19.2</v>
      </c>
      <c r="B271">
        <v>8</v>
      </c>
      <c r="C271">
        <v>305</v>
      </c>
      <c r="D271">
        <v>145</v>
      </c>
      <c r="E271">
        <v>3425</v>
      </c>
      <c r="F271">
        <v>13.2</v>
      </c>
      <c r="G271">
        <v>78</v>
      </c>
      <c r="H271" t="s">
        <v>1576</v>
      </c>
      <c r="I271" t="s">
        <v>1287</v>
      </c>
      <c r="J271" t="s">
        <v>919</v>
      </c>
      <c r="K271" t="s">
        <v>1288</v>
      </c>
      <c r="L271" t="b">
        <f>Data_Completeness(MileageData[[#This Row],[MPG]:[Acceleration]])</f>
        <v>1</v>
      </c>
    </row>
    <row r="272" spans="1:12" x14ac:dyDescent="0.25">
      <c r="A272">
        <v>17.7</v>
      </c>
      <c r="B272">
        <v>6</v>
      </c>
      <c r="C272">
        <v>231</v>
      </c>
      <c r="D272">
        <v>165</v>
      </c>
      <c r="E272">
        <v>3445</v>
      </c>
      <c r="F272">
        <v>13.4</v>
      </c>
      <c r="G272">
        <v>78</v>
      </c>
      <c r="H272" t="s">
        <v>1576</v>
      </c>
      <c r="I272" t="s">
        <v>1342</v>
      </c>
      <c r="J272" t="s">
        <v>922</v>
      </c>
      <c r="K272" t="s">
        <v>1343</v>
      </c>
      <c r="L272" t="b">
        <f>Data_Completeness(MileageData[[#This Row],[MPG]:[Acceleration]])</f>
        <v>1</v>
      </c>
    </row>
    <row r="273" spans="1:12" x14ac:dyDescent="0.25">
      <c r="A273">
        <v>18.100000000000001</v>
      </c>
      <c r="B273">
        <v>8</v>
      </c>
      <c r="C273">
        <v>302</v>
      </c>
      <c r="D273">
        <v>139</v>
      </c>
      <c r="E273">
        <v>3205</v>
      </c>
      <c r="F273">
        <v>11.2</v>
      </c>
      <c r="G273">
        <v>78</v>
      </c>
      <c r="H273" t="s">
        <v>1576</v>
      </c>
      <c r="I273" t="s">
        <v>1344</v>
      </c>
      <c r="J273" t="s">
        <v>931</v>
      </c>
      <c r="K273" t="s">
        <v>1345</v>
      </c>
      <c r="L273" t="b">
        <f>Data_Completeness(MileageData[[#This Row],[MPG]:[Acceleration]])</f>
        <v>1</v>
      </c>
    </row>
    <row r="274" spans="1:12" x14ac:dyDescent="0.25">
      <c r="A274">
        <v>17.5</v>
      </c>
      <c r="B274">
        <v>8</v>
      </c>
      <c r="C274">
        <v>318</v>
      </c>
      <c r="D274">
        <v>140</v>
      </c>
      <c r="E274">
        <v>4080</v>
      </c>
      <c r="F274">
        <v>13.7</v>
      </c>
      <c r="G274">
        <v>78</v>
      </c>
      <c r="H274" t="s">
        <v>1576</v>
      </c>
      <c r="I274" t="s">
        <v>1346</v>
      </c>
      <c r="J274" t="s">
        <v>956</v>
      </c>
      <c r="K274" t="s">
        <v>1347</v>
      </c>
      <c r="L274" t="b">
        <f>Data_Completeness(MileageData[[#This Row],[MPG]:[Acceleration]])</f>
        <v>1</v>
      </c>
    </row>
    <row r="275" spans="1:12" x14ac:dyDescent="0.25">
      <c r="A275">
        <v>30</v>
      </c>
      <c r="B275">
        <v>4</v>
      </c>
      <c r="C275">
        <v>98</v>
      </c>
      <c r="D275">
        <v>68</v>
      </c>
      <c r="E275">
        <v>2155</v>
      </c>
      <c r="F275">
        <v>16.5</v>
      </c>
      <c r="G275">
        <v>78</v>
      </c>
      <c r="H275" t="s">
        <v>1576</v>
      </c>
      <c r="I275" t="s">
        <v>1230</v>
      </c>
      <c r="J275" t="s">
        <v>919</v>
      </c>
      <c r="K275" t="s">
        <v>1231</v>
      </c>
      <c r="L275" t="b">
        <f>Data_Completeness(MileageData[[#This Row],[MPG]:[Acceleration]])</f>
        <v>1</v>
      </c>
    </row>
    <row r="276" spans="1:12" x14ac:dyDescent="0.25">
      <c r="A276">
        <v>27.5</v>
      </c>
      <c r="B276">
        <v>4</v>
      </c>
      <c r="C276">
        <v>134</v>
      </c>
      <c r="D276">
        <v>95</v>
      </c>
      <c r="E276">
        <v>2560</v>
      </c>
      <c r="F276">
        <v>14.2</v>
      </c>
      <c r="G276">
        <v>78</v>
      </c>
      <c r="H276" t="s">
        <v>1578</v>
      </c>
      <c r="I276" t="s">
        <v>1004</v>
      </c>
      <c r="J276" t="s">
        <v>966</v>
      </c>
      <c r="K276" t="s">
        <v>1005</v>
      </c>
      <c r="L276" t="b">
        <f>Data_Completeness(MileageData[[#This Row],[MPG]:[Acceleration]])</f>
        <v>1</v>
      </c>
    </row>
    <row r="277" spans="1:12" x14ac:dyDescent="0.25">
      <c r="A277">
        <v>27.2</v>
      </c>
      <c r="B277">
        <v>4</v>
      </c>
      <c r="C277">
        <v>119</v>
      </c>
      <c r="D277">
        <v>97</v>
      </c>
      <c r="E277">
        <v>2300</v>
      </c>
      <c r="F277">
        <v>14.7</v>
      </c>
      <c r="G277">
        <v>78</v>
      </c>
      <c r="H277" t="s">
        <v>1578</v>
      </c>
      <c r="I277" t="s">
        <v>1348</v>
      </c>
      <c r="J277" t="s">
        <v>975</v>
      </c>
      <c r="K277">
        <v>510</v>
      </c>
      <c r="L277" t="b">
        <f>Data_Completeness(MileageData[[#This Row],[MPG]:[Acceleration]])</f>
        <v>1</v>
      </c>
    </row>
    <row r="278" spans="1:12" x14ac:dyDescent="0.25">
      <c r="A278">
        <v>30.9</v>
      </c>
      <c r="B278">
        <v>4</v>
      </c>
      <c r="C278">
        <v>105</v>
      </c>
      <c r="D278">
        <v>75</v>
      </c>
      <c r="E278">
        <v>2230</v>
      </c>
      <c r="F278">
        <v>14.5</v>
      </c>
      <c r="G278">
        <v>78</v>
      </c>
      <c r="H278" t="s">
        <v>1576</v>
      </c>
      <c r="I278" t="s">
        <v>1349</v>
      </c>
      <c r="J278" t="s">
        <v>956</v>
      </c>
      <c r="K278" t="s">
        <v>1350</v>
      </c>
      <c r="L278" t="b">
        <f>Data_Completeness(MileageData[[#This Row],[MPG]:[Acceleration]])</f>
        <v>1</v>
      </c>
    </row>
    <row r="279" spans="1:12" x14ac:dyDescent="0.25">
      <c r="A279">
        <v>21.1</v>
      </c>
      <c r="B279">
        <v>4</v>
      </c>
      <c r="C279">
        <v>134</v>
      </c>
      <c r="D279">
        <v>95</v>
      </c>
      <c r="E279">
        <v>2515</v>
      </c>
      <c r="F279">
        <v>14.8</v>
      </c>
      <c r="G279">
        <v>78</v>
      </c>
      <c r="H279" t="s">
        <v>1578</v>
      </c>
      <c r="I279" t="s">
        <v>1351</v>
      </c>
      <c r="J279" t="s">
        <v>966</v>
      </c>
      <c r="K279" t="s">
        <v>1352</v>
      </c>
      <c r="L279" t="b">
        <f>Data_Completeness(MileageData[[#This Row],[MPG]:[Acceleration]])</f>
        <v>1</v>
      </c>
    </row>
    <row r="280" spans="1:12" x14ac:dyDescent="0.25">
      <c r="A280">
        <v>23.2</v>
      </c>
      <c r="B280">
        <v>4</v>
      </c>
      <c r="C280">
        <v>156</v>
      </c>
      <c r="D280">
        <v>105</v>
      </c>
      <c r="E280">
        <v>2745</v>
      </c>
      <c r="F280">
        <v>16.7</v>
      </c>
      <c r="G280">
        <v>78</v>
      </c>
      <c r="H280" t="s">
        <v>1576</v>
      </c>
      <c r="I280" t="s">
        <v>1353</v>
      </c>
      <c r="J280" t="s">
        <v>925</v>
      </c>
      <c r="K280" t="s">
        <v>1354</v>
      </c>
      <c r="L280" t="b">
        <f>Data_Completeness(MileageData[[#This Row],[MPG]:[Acceleration]])</f>
        <v>1</v>
      </c>
    </row>
    <row r="281" spans="1:12" x14ac:dyDescent="0.25">
      <c r="A281">
        <v>23.8</v>
      </c>
      <c r="B281">
        <v>4</v>
      </c>
      <c r="C281">
        <v>151</v>
      </c>
      <c r="D281">
        <v>85</v>
      </c>
      <c r="E281">
        <v>2855</v>
      </c>
      <c r="F281">
        <v>17.600000000000001</v>
      </c>
      <c r="G281">
        <v>78</v>
      </c>
      <c r="H281" t="s">
        <v>1576</v>
      </c>
      <c r="I281" t="s">
        <v>1355</v>
      </c>
      <c r="J281" t="s">
        <v>1065</v>
      </c>
      <c r="K281" t="s">
        <v>1356</v>
      </c>
      <c r="L281" t="b">
        <f>Data_Completeness(MileageData[[#This Row],[MPG]:[Acceleration]])</f>
        <v>1</v>
      </c>
    </row>
    <row r="282" spans="1:12" x14ac:dyDescent="0.25">
      <c r="A282">
        <v>23.9</v>
      </c>
      <c r="B282">
        <v>4</v>
      </c>
      <c r="C282">
        <v>119</v>
      </c>
      <c r="D282">
        <v>97</v>
      </c>
      <c r="E282">
        <v>2405</v>
      </c>
      <c r="F282">
        <v>14.9</v>
      </c>
      <c r="G282">
        <v>78</v>
      </c>
      <c r="H282" t="s">
        <v>1578</v>
      </c>
      <c r="I282" t="s">
        <v>1357</v>
      </c>
      <c r="J282" t="s">
        <v>975</v>
      </c>
      <c r="K282" t="s">
        <v>1358</v>
      </c>
      <c r="L282" t="b">
        <f>Data_Completeness(MileageData[[#This Row],[MPG]:[Acceleration]])</f>
        <v>1</v>
      </c>
    </row>
    <row r="283" spans="1:12" x14ac:dyDescent="0.25">
      <c r="A283">
        <v>20.3</v>
      </c>
      <c r="B283">
        <v>5</v>
      </c>
      <c r="C283">
        <v>131</v>
      </c>
      <c r="D283">
        <v>103</v>
      </c>
      <c r="E283">
        <v>2830</v>
      </c>
      <c r="F283">
        <v>15.9</v>
      </c>
      <c r="G283">
        <v>78</v>
      </c>
      <c r="H283" t="s">
        <v>1577</v>
      </c>
      <c r="I283" t="s">
        <v>1359</v>
      </c>
      <c r="J283" t="s">
        <v>983</v>
      </c>
      <c r="K283">
        <v>5000</v>
      </c>
      <c r="L283" t="b">
        <f>Data_Completeness(MileageData[[#This Row],[MPG]:[Acceleration]])</f>
        <v>1</v>
      </c>
    </row>
    <row r="284" spans="1:12" x14ac:dyDescent="0.25">
      <c r="A284">
        <v>17</v>
      </c>
      <c r="B284">
        <v>6</v>
      </c>
      <c r="C284">
        <v>163</v>
      </c>
      <c r="D284">
        <v>125</v>
      </c>
      <c r="E284">
        <v>3140</v>
      </c>
      <c r="F284">
        <v>13.6</v>
      </c>
      <c r="G284">
        <v>78</v>
      </c>
      <c r="H284" t="s">
        <v>1577</v>
      </c>
      <c r="I284" t="s">
        <v>1360</v>
      </c>
      <c r="J284" t="s">
        <v>1080</v>
      </c>
      <c r="K284" t="s">
        <v>1361</v>
      </c>
      <c r="L284" t="b">
        <f>Data_Completeness(MileageData[[#This Row],[MPG]:[Acceleration]])</f>
        <v>1</v>
      </c>
    </row>
    <row r="285" spans="1:12" x14ac:dyDescent="0.25">
      <c r="A285">
        <v>21.6</v>
      </c>
      <c r="B285">
        <v>4</v>
      </c>
      <c r="C285">
        <v>121</v>
      </c>
      <c r="D285">
        <v>115</v>
      </c>
      <c r="E285">
        <v>2795</v>
      </c>
      <c r="F285">
        <v>15.7</v>
      </c>
      <c r="G285">
        <v>78</v>
      </c>
      <c r="H285" t="s">
        <v>1577</v>
      </c>
      <c r="I285" t="s">
        <v>1362</v>
      </c>
      <c r="J285" t="s">
        <v>986</v>
      </c>
      <c r="K285" t="s">
        <v>1363</v>
      </c>
      <c r="L285" t="b">
        <f>Data_Completeness(MileageData[[#This Row],[MPG]:[Acceleration]])</f>
        <v>1</v>
      </c>
    </row>
    <row r="286" spans="1:12" x14ac:dyDescent="0.25">
      <c r="A286">
        <v>16.2</v>
      </c>
      <c r="B286">
        <v>6</v>
      </c>
      <c r="C286">
        <v>163</v>
      </c>
      <c r="D286">
        <v>133</v>
      </c>
      <c r="E286">
        <v>3410</v>
      </c>
      <c r="F286">
        <v>15.8</v>
      </c>
      <c r="G286">
        <v>78</v>
      </c>
      <c r="H286" t="s">
        <v>1577</v>
      </c>
      <c r="I286" t="s">
        <v>1364</v>
      </c>
      <c r="J286" t="s">
        <v>981</v>
      </c>
      <c r="K286" t="s">
        <v>1365</v>
      </c>
      <c r="L286" t="b">
        <f>Data_Completeness(MileageData[[#This Row],[MPG]:[Acceleration]])</f>
        <v>1</v>
      </c>
    </row>
    <row r="287" spans="1:12" x14ac:dyDescent="0.25">
      <c r="A287">
        <v>31.5</v>
      </c>
      <c r="B287">
        <v>4</v>
      </c>
      <c r="C287">
        <v>89</v>
      </c>
      <c r="D287">
        <v>71</v>
      </c>
      <c r="E287">
        <v>1990</v>
      </c>
      <c r="F287">
        <v>14.9</v>
      </c>
      <c r="G287">
        <v>78</v>
      </c>
      <c r="H287" t="s">
        <v>1577</v>
      </c>
      <c r="I287" t="s">
        <v>1366</v>
      </c>
      <c r="J287" t="s">
        <v>978</v>
      </c>
      <c r="K287" t="s">
        <v>1367</v>
      </c>
      <c r="L287" t="b">
        <f>Data_Completeness(MileageData[[#This Row],[MPG]:[Acceleration]])</f>
        <v>1</v>
      </c>
    </row>
    <row r="288" spans="1:12" x14ac:dyDescent="0.25">
      <c r="A288">
        <v>29.5</v>
      </c>
      <c r="B288">
        <v>4</v>
      </c>
      <c r="C288">
        <v>98</v>
      </c>
      <c r="D288">
        <v>68</v>
      </c>
      <c r="E288">
        <v>2135</v>
      </c>
      <c r="F288">
        <v>16.600000000000001</v>
      </c>
      <c r="G288">
        <v>78</v>
      </c>
      <c r="H288" t="s">
        <v>1578</v>
      </c>
      <c r="I288" t="s">
        <v>1368</v>
      </c>
      <c r="J288" t="s">
        <v>1185</v>
      </c>
      <c r="K288" t="s">
        <v>1369</v>
      </c>
      <c r="L288" t="b">
        <f>Data_Completeness(MileageData[[#This Row],[MPG]:[Acceleration]])</f>
        <v>1</v>
      </c>
    </row>
    <row r="289" spans="1:12" x14ac:dyDescent="0.25">
      <c r="A289">
        <v>21.5</v>
      </c>
      <c r="B289">
        <v>6</v>
      </c>
      <c r="C289">
        <v>231</v>
      </c>
      <c r="D289">
        <v>115</v>
      </c>
      <c r="E289">
        <v>3245</v>
      </c>
      <c r="F289">
        <v>15.4</v>
      </c>
      <c r="G289">
        <v>79</v>
      </c>
      <c r="H289" t="s">
        <v>1576</v>
      </c>
      <c r="I289" t="s">
        <v>1370</v>
      </c>
      <c r="J289" t="s">
        <v>940</v>
      </c>
      <c r="K289" t="s">
        <v>1371</v>
      </c>
      <c r="L289" t="b">
        <f>Data_Completeness(MileageData[[#This Row],[MPG]:[Acceleration]])</f>
        <v>1</v>
      </c>
    </row>
    <row r="290" spans="1:12" x14ac:dyDescent="0.25">
      <c r="A290">
        <v>19.8</v>
      </c>
      <c r="B290">
        <v>6</v>
      </c>
      <c r="C290">
        <v>200</v>
      </c>
      <c r="D290">
        <v>85</v>
      </c>
      <c r="E290">
        <v>2990</v>
      </c>
      <c r="F290">
        <v>18.2</v>
      </c>
      <c r="G290">
        <v>79</v>
      </c>
      <c r="H290" t="s">
        <v>1576</v>
      </c>
      <c r="I290" t="s">
        <v>1372</v>
      </c>
      <c r="J290" t="s">
        <v>1033</v>
      </c>
      <c r="K290" t="s">
        <v>1373</v>
      </c>
      <c r="L290" t="b">
        <f>Data_Completeness(MileageData[[#This Row],[MPG]:[Acceleration]])</f>
        <v>1</v>
      </c>
    </row>
    <row r="291" spans="1:12" x14ac:dyDescent="0.25">
      <c r="A291">
        <v>22.3</v>
      </c>
      <c r="B291">
        <v>4</v>
      </c>
      <c r="C291">
        <v>140</v>
      </c>
      <c r="D291">
        <v>88</v>
      </c>
      <c r="E291">
        <v>2890</v>
      </c>
      <c r="F291">
        <v>17.3</v>
      </c>
      <c r="G291">
        <v>79</v>
      </c>
      <c r="H291" t="s">
        <v>1576</v>
      </c>
      <c r="I291" t="s">
        <v>1374</v>
      </c>
      <c r="J291" t="s">
        <v>931</v>
      </c>
      <c r="K291" t="s">
        <v>1375</v>
      </c>
      <c r="L291" t="b">
        <f>Data_Completeness(MileageData[[#This Row],[MPG]:[Acceleration]])</f>
        <v>1</v>
      </c>
    </row>
    <row r="292" spans="1:12" x14ac:dyDescent="0.25">
      <c r="A292">
        <v>20.2</v>
      </c>
      <c r="B292">
        <v>6</v>
      </c>
      <c r="C292">
        <v>232</v>
      </c>
      <c r="D292">
        <v>90</v>
      </c>
      <c r="E292">
        <v>3265</v>
      </c>
      <c r="F292">
        <v>18.2</v>
      </c>
      <c r="G292">
        <v>79</v>
      </c>
      <c r="H292" t="s">
        <v>1576</v>
      </c>
      <c r="I292" t="s">
        <v>1376</v>
      </c>
      <c r="J292" t="s">
        <v>928</v>
      </c>
      <c r="K292" t="s">
        <v>1377</v>
      </c>
      <c r="L292" t="b">
        <f>Data_Completeness(MileageData[[#This Row],[MPG]:[Acceleration]])</f>
        <v>1</v>
      </c>
    </row>
    <row r="293" spans="1:12" x14ac:dyDescent="0.25">
      <c r="A293">
        <v>20.6</v>
      </c>
      <c r="B293">
        <v>6</v>
      </c>
      <c r="C293">
        <v>225</v>
      </c>
      <c r="D293">
        <v>110</v>
      </c>
      <c r="E293">
        <v>3360</v>
      </c>
      <c r="F293">
        <v>16.600000000000001</v>
      </c>
      <c r="G293">
        <v>79</v>
      </c>
      <c r="H293" t="s">
        <v>1576</v>
      </c>
      <c r="I293" t="s">
        <v>1378</v>
      </c>
      <c r="J293" t="s">
        <v>956</v>
      </c>
      <c r="K293" t="s">
        <v>1379</v>
      </c>
      <c r="L293" t="b">
        <f>Data_Completeness(MileageData[[#This Row],[MPG]:[Acceleration]])</f>
        <v>1</v>
      </c>
    </row>
    <row r="294" spans="1:12" x14ac:dyDescent="0.25">
      <c r="A294">
        <v>17</v>
      </c>
      <c r="B294">
        <v>8</v>
      </c>
      <c r="C294">
        <v>305</v>
      </c>
      <c r="D294">
        <v>130</v>
      </c>
      <c r="E294">
        <v>3840</v>
      </c>
      <c r="F294">
        <v>15.4</v>
      </c>
      <c r="G294">
        <v>79</v>
      </c>
      <c r="H294" t="s">
        <v>1576</v>
      </c>
      <c r="I294" t="s">
        <v>1110</v>
      </c>
      <c r="J294" t="s">
        <v>919</v>
      </c>
      <c r="K294" t="s">
        <v>1111</v>
      </c>
      <c r="L294" t="b">
        <f>Data_Completeness(MileageData[[#This Row],[MPG]:[Acceleration]])</f>
        <v>1</v>
      </c>
    </row>
    <row r="295" spans="1:12" x14ac:dyDescent="0.25">
      <c r="A295">
        <v>17.600000000000001</v>
      </c>
      <c r="B295">
        <v>8</v>
      </c>
      <c r="C295">
        <v>302</v>
      </c>
      <c r="D295">
        <v>129</v>
      </c>
      <c r="E295">
        <v>3725</v>
      </c>
      <c r="F295">
        <v>13.4</v>
      </c>
      <c r="G295">
        <v>79</v>
      </c>
      <c r="H295" t="s">
        <v>1576</v>
      </c>
      <c r="I295" t="s">
        <v>1380</v>
      </c>
      <c r="J295" t="s">
        <v>931</v>
      </c>
      <c r="K295" t="s">
        <v>1381</v>
      </c>
      <c r="L295" t="b">
        <f>Data_Completeness(MileageData[[#This Row],[MPG]:[Acceleration]])</f>
        <v>1</v>
      </c>
    </row>
    <row r="296" spans="1:12" x14ac:dyDescent="0.25">
      <c r="A296">
        <v>16.5</v>
      </c>
      <c r="B296">
        <v>8</v>
      </c>
      <c r="C296">
        <v>351</v>
      </c>
      <c r="D296">
        <v>138</v>
      </c>
      <c r="E296">
        <v>3955</v>
      </c>
      <c r="F296">
        <v>13.2</v>
      </c>
      <c r="G296">
        <v>79</v>
      </c>
      <c r="H296" t="s">
        <v>1576</v>
      </c>
      <c r="I296" t="s">
        <v>1382</v>
      </c>
      <c r="J296" t="s">
        <v>1033</v>
      </c>
      <c r="K296" t="s">
        <v>1383</v>
      </c>
      <c r="L296" t="b">
        <f>Data_Completeness(MileageData[[#This Row],[MPG]:[Acceleration]])</f>
        <v>1</v>
      </c>
    </row>
    <row r="297" spans="1:12" x14ac:dyDescent="0.25">
      <c r="A297">
        <v>18.2</v>
      </c>
      <c r="B297">
        <v>8</v>
      </c>
      <c r="C297">
        <v>318</v>
      </c>
      <c r="D297">
        <v>135</v>
      </c>
      <c r="E297">
        <v>3830</v>
      </c>
      <c r="F297">
        <v>15.2</v>
      </c>
      <c r="G297">
        <v>79</v>
      </c>
      <c r="H297" t="s">
        <v>1576</v>
      </c>
      <c r="I297" t="s">
        <v>1384</v>
      </c>
      <c r="J297" t="s">
        <v>956</v>
      </c>
      <c r="K297" t="s">
        <v>1385</v>
      </c>
      <c r="L297" t="b">
        <f>Data_Completeness(MileageData[[#This Row],[MPG]:[Acceleration]])</f>
        <v>1</v>
      </c>
    </row>
    <row r="298" spans="1:12" x14ac:dyDescent="0.25">
      <c r="A298">
        <v>16.899999999999999</v>
      </c>
      <c r="B298">
        <v>8</v>
      </c>
      <c r="C298">
        <v>350</v>
      </c>
      <c r="D298">
        <v>155</v>
      </c>
      <c r="E298">
        <v>4360</v>
      </c>
      <c r="F298">
        <v>14.9</v>
      </c>
      <c r="G298">
        <v>79</v>
      </c>
      <c r="H298" t="s">
        <v>1576</v>
      </c>
      <c r="I298" t="s">
        <v>963</v>
      </c>
      <c r="J298" t="s">
        <v>922</v>
      </c>
      <c r="K298" t="s">
        <v>964</v>
      </c>
      <c r="L298" t="b">
        <f>Data_Completeness(MileageData[[#This Row],[MPG]:[Acceleration]])</f>
        <v>1</v>
      </c>
    </row>
    <row r="299" spans="1:12" x14ac:dyDescent="0.25">
      <c r="A299">
        <v>15.5</v>
      </c>
      <c r="B299">
        <v>8</v>
      </c>
      <c r="C299">
        <v>351</v>
      </c>
      <c r="D299">
        <v>142</v>
      </c>
      <c r="E299">
        <v>4054</v>
      </c>
      <c r="F299">
        <v>14.3</v>
      </c>
      <c r="G299">
        <v>79</v>
      </c>
      <c r="H299" t="s">
        <v>1576</v>
      </c>
      <c r="I299" t="s">
        <v>1020</v>
      </c>
      <c r="J299" t="s">
        <v>931</v>
      </c>
      <c r="K299" t="s">
        <v>1021</v>
      </c>
      <c r="L299" t="b">
        <f>Data_Completeness(MileageData[[#This Row],[MPG]:[Acceleration]])</f>
        <v>1</v>
      </c>
    </row>
    <row r="300" spans="1:12" x14ac:dyDescent="0.25">
      <c r="A300">
        <v>19.2</v>
      </c>
      <c r="B300">
        <v>8</v>
      </c>
      <c r="C300">
        <v>267</v>
      </c>
      <c r="D300">
        <v>125</v>
      </c>
      <c r="E300">
        <v>3605</v>
      </c>
      <c r="F300">
        <v>15</v>
      </c>
      <c r="G300">
        <v>79</v>
      </c>
      <c r="H300" t="s">
        <v>1576</v>
      </c>
      <c r="I300" t="s">
        <v>1386</v>
      </c>
      <c r="J300" t="s">
        <v>919</v>
      </c>
      <c r="K300" t="s">
        <v>1387</v>
      </c>
      <c r="L300" t="b">
        <f>Data_Completeness(MileageData[[#This Row],[MPG]:[Acceleration]])</f>
        <v>1</v>
      </c>
    </row>
    <row r="301" spans="1:12" x14ac:dyDescent="0.25">
      <c r="A301">
        <v>18.5</v>
      </c>
      <c r="B301">
        <v>8</v>
      </c>
      <c r="C301">
        <v>360</v>
      </c>
      <c r="D301">
        <v>150</v>
      </c>
      <c r="E301">
        <v>3940</v>
      </c>
      <c r="F301">
        <v>13</v>
      </c>
      <c r="G301">
        <v>79</v>
      </c>
      <c r="H301" t="s">
        <v>1576</v>
      </c>
      <c r="I301" t="s">
        <v>1388</v>
      </c>
      <c r="J301" t="s">
        <v>1068</v>
      </c>
      <c r="K301" t="s">
        <v>1389</v>
      </c>
      <c r="L301" t="b">
        <f>Data_Completeness(MileageData[[#This Row],[MPG]:[Acceleration]])</f>
        <v>1</v>
      </c>
    </row>
    <row r="302" spans="1:12" x14ac:dyDescent="0.25">
      <c r="A302">
        <v>31.9</v>
      </c>
      <c r="B302">
        <v>4</v>
      </c>
      <c r="C302">
        <v>89</v>
      </c>
      <c r="D302">
        <v>71</v>
      </c>
      <c r="E302">
        <v>1925</v>
      </c>
      <c r="F302">
        <v>14</v>
      </c>
      <c r="G302">
        <v>79</v>
      </c>
      <c r="H302" t="s">
        <v>1577</v>
      </c>
      <c r="I302" t="s">
        <v>1390</v>
      </c>
      <c r="J302" t="s">
        <v>1235</v>
      </c>
      <c r="K302" t="s">
        <v>1294</v>
      </c>
      <c r="L302" t="b">
        <f>Data_Completeness(MileageData[[#This Row],[MPG]:[Acceleration]])</f>
        <v>1</v>
      </c>
    </row>
    <row r="303" spans="1:12" x14ac:dyDescent="0.25">
      <c r="A303">
        <v>34.1</v>
      </c>
      <c r="B303">
        <v>4</v>
      </c>
      <c r="C303">
        <v>86</v>
      </c>
      <c r="D303">
        <v>65</v>
      </c>
      <c r="E303">
        <v>1975</v>
      </c>
      <c r="F303">
        <v>15.2</v>
      </c>
      <c r="G303">
        <v>79</v>
      </c>
      <c r="H303" t="s">
        <v>1578</v>
      </c>
      <c r="I303" t="s">
        <v>1391</v>
      </c>
      <c r="J303" t="s">
        <v>1138</v>
      </c>
      <c r="K303" t="s">
        <v>1315</v>
      </c>
      <c r="L303" t="b">
        <f>Data_Completeness(MileageData[[#This Row],[MPG]:[Acceleration]])</f>
        <v>1</v>
      </c>
    </row>
    <row r="304" spans="1:12" x14ac:dyDescent="0.25">
      <c r="A304">
        <v>35.700000000000003</v>
      </c>
      <c r="B304">
        <v>4</v>
      </c>
      <c r="C304">
        <v>98</v>
      </c>
      <c r="D304">
        <v>80</v>
      </c>
      <c r="E304">
        <v>1915</v>
      </c>
      <c r="F304">
        <v>14.4</v>
      </c>
      <c r="G304">
        <v>79</v>
      </c>
      <c r="H304" t="s">
        <v>1576</v>
      </c>
      <c r="I304" t="s">
        <v>1392</v>
      </c>
      <c r="J304" t="s">
        <v>956</v>
      </c>
      <c r="K304" t="s">
        <v>1393</v>
      </c>
      <c r="L304" t="b">
        <f>Data_Completeness(MileageData[[#This Row],[MPG]:[Acceleration]])</f>
        <v>1</v>
      </c>
    </row>
    <row r="305" spans="1:12" x14ac:dyDescent="0.25">
      <c r="A305">
        <v>27.4</v>
      </c>
      <c r="B305">
        <v>4</v>
      </c>
      <c r="C305">
        <v>121</v>
      </c>
      <c r="D305">
        <v>80</v>
      </c>
      <c r="E305">
        <v>2670</v>
      </c>
      <c r="F305">
        <v>15</v>
      </c>
      <c r="G305">
        <v>79</v>
      </c>
      <c r="H305" t="s">
        <v>1576</v>
      </c>
      <c r="I305" t="s">
        <v>1394</v>
      </c>
      <c r="J305" t="s">
        <v>928</v>
      </c>
      <c r="K305" t="s">
        <v>1395</v>
      </c>
      <c r="L305" t="b">
        <f>Data_Completeness(MileageData[[#This Row],[MPG]:[Acceleration]])</f>
        <v>1</v>
      </c>
    </row>
    <row r="306" spans="1:12" x14ac:dyDescent="0.25">
      <c r="A306">
        <v>25.4</v>
      </c>
      <c r="B306">
        <v>5</v>
      </c>
      <c r="C306">
        <v>183</v>
      </c>
      <c r="D306">
        <v>77</v>
      </c>
      <c r="E306">
        <v>3530</v>
      </c>
      <c r="F306">
        <v>20.100000000000001</v>
      </c>
      <c r="G306">
        <v>79</v>
      </c>
      <c r="H306" t="s">
        <v>1577</v>
      </c>
      <c r="I306" t="s">
        <v>1396</v>
      </c>
      <c r="J306" t="s">
        <v>1397</v>
      </c>
      <c r="K306" t="s">
        <v>1398</v>
      </c>
      <c r="L306" t="b">
        <f>Data_Completeness(MileageData[[#This Row],[MPG]:[Acceleration]])</f>
        <v>1</v>
      </c>
    </row>
    <row r="307" spans="1:12" x14ac:dyDescent="0.25">
      <c r="A307">
        <v>23</v>
      </c>
      <c r="B307">
        <v>8</v>
      </c>
      <c r="C307">
        <v>350</v>
      </c>
      <c r="D307">
        <v>125</v>
      </c>
      <c r="E307">
        <v>3900</v>
      </c>
      <c r="F307">
        <v>17.399999999999999</v>
      </c>
      <c r="G307">
        <v>79</v>
      </c>
      <c r="H307" t="s">
        <v>1576</v>
      </c>
      <c r="I307" t="s">
        <v>1399</v>
      </c>
      <c r="J307" t="s">
        <v>1253</v>
      </c>
      <c r="K307" t="s">
        <v>1400</v>
      </c>
      <c r="L307" t="b">
        <f>Data_Completeness(MileageData[[#This Row],[MPG]:[Acceleration]])</f>
        <v>1</v>
      </c>
    </row>
    <row r="308" spans="1:12" x14ac:dyDescent="0.25">
      <c r="A308">
        <v>27.2</v>
      </c>
      <c r="B308">
        <v>4</v>
      </c>
      <c r="C308">
        <v>141</v>
      </c>
      <c r="D308">
        <v>71</v>
      </c>
      <c r="E308">
        <v>3190</v>
      </c>
      <c r="F308">
        <v>24.8</v>
      </c>
      <c r="G308">
        <v>79</v>
      </c>
      <c r="H308" t="s">
        <v>1577</v>
      </c>
      <c r="I308" t="s">
        <v>980</v>
      </c>
      <c r="J308" t="s">
        <v>981</v>
      </c>
      <c r="K308">
        <v>504</v>
      </c>
      <c r="L308" t="b">
        <f>Data_Completeness(MileageData[[#This Row],[MPG]:[Acceleration]])</f>
        <v>1</v>
      </c>
    </row>
    <row r="309" spans="1:12" x14ac:dyDescent="0.25">
      <c r="A309">
        <v>23.9</v>
      </c>
      <c r="B309">
        <v>8</v>
      </c>
      <c r="C309">
        <v>260</v>
      </c>
      <c r="D309">
        <v>90</v>
      </c>
      <c r="E309">
        <v>3420</v>
      </c>
      <c r="F309">
        <v>22.2</v>
      </c>
      <c r="G309">
        <v>79</v>
      </c>
      <c r="H309" t="s">
        <v>1576</v>
      </c>
      <c r="I309" t="s">
        <v>1318</v>
      </c>
      <c r="J309" t="s">
        <v>1065</v>
      </c>
      <c r="K309" t="s">
        <v>1319</v>
      </c>
      <c r="L309" t="b">
        <f>Data_Completeness(MileageData[[#This Row],[MPG]:[Acceleration]])</f>
        <v>1</v>
      </c>
    </row>
    <row r="310" spans="1:12" x14ac:dyDescent="0.25">
      <c r="A310">
        <v>34.200000000000003</v>
      </c>
      <c r="B310">
        <v>4</v>
      </c>
      <c r="C310">
        <v>105</v>
      </c>
      <c r="D310">
        <v>70</v>
      </c>
      <c r="E310">
        <v>2200</v>
      </c>
      <c r="F310">
        <v>13.2</v>
      </c>
      <c r="G310">
        <v>79</v>
      </c>
      <c r="H310" t="s">
        <v>1576</v>
      </c>
      <c r="I310" t="s">
        <v>1401</v>
      </c>
      <c r="J310" t="s">
        <v>925</v>
      </c>
      <c r="K310" t="s">
        <v>1402</v>
      </c>
      <c r="L310" t="b">
        <f>Data_Completeness(MileageData[[#This Row],[MPG]:[Acceleration]])</f>
        <v>1</v>
      </c>
    </row>
    <row r="311" spans="1:12" x14ac:dyDescent="0.25">
      <c r="A311">
        <v>34.5</v>
      </c>
      <c r="B311">
        <v>4</v>
      </c>
      <c r="C311">
        <v>105</v>
      </c>
      <c r="D311">
        <v>70</v>
      </c>
      <c r="E311">
        <v>2150</v>
      </c>
      <c r="F311">
        <v>14.9</v>
      </c>
      <c r="G311">
        <v>79</v>
      </c>
      <c r="H311" t="s">
        <v>1576</v>
      </c>
      <c r="I311" t="s">
        <v>1403</v>
      </c>
      <c r="J311" t="s">
        <v>925</v>
      </c>
      <c r="K311" t="s">
        <v>1404</v>
      </c>
      <c r="L311" t="b">
        <f>Data_Completeness(MileageData[[#This Row],[MPG]:[Acceleration]])</f>
        <v>1</v>
      </c>
    </row>
    <row r="312" spans="1:12" x14ac:dyDescent="0.25">
      <c r="A312">
        <v>31.8</v>
      </c>
      <c r="B312">
        <v>4</v>
      </c>
      <c r="C312">
        <v>85</v>
      </c>
      <c r="D312">
        <v>65</v>
      </c>
      <c r="E312">
        <v>2020</v>
      </c>
      <c r="F312">
        <v>19.2</v>
      </c>
      <c r="G312">
        <v>79</v>
      </c>
      <c r="H312" t="s">
        <v>1578</v>
      </c>
      <c r="I312" t="s">
        <v>1405</v>
      </c>
      <c r="J312" t="s">
        <v>975</v>
      </c>
      <c r="K312">
        <v>210</v>
      </c>
      <c r="L312" t="b">
        <f>Data_Completeness(MileageData[[#This Row],[MPG]:[Acceleration]])</f>
        <v>1</v>
      </c>
    </row>
    <row r="313" spans="1:12" x14ac:dyDescent="0.25">
      <c r="A313">
        <v>37.299999999999997</v>
      </c>
      <c r="B313">
        <v>4</v>
      </c>
      <c r="C313">
        <v>91</v>
      </c>
      <c r="D313">
        <v>69</v>
      </c>
      <c r="E313">
        <v>2130</v>
      </c>
      <c r="F313">
        <v>14.7</v>
      </c>
      <c r="G313">
        <v>79</v>
      </c>
      <c r="H313" t="s">
        <v>1577</v>
      </c>
      <c r="I313" t="s">
        <v>1406</v>
      </c>
      <c r="J313" t="s">
        <v>1039</v>
      </c>
      <c r="K313" t="s">
        <v>1407</v>
      </c>
      <c r="L313" t="b">
        <f>Data_Completeness(MileageData[[#This Row],[MPG]:[Acceleration]])</f>
        <v>1</v>
      </c>
    </row>
    <row r="314" spans="1:12" x14ac:dyDescent="0.25">
      <c r="A314">
        <v>28.4</v>
      </c>
      <c r="B314">
        <v>4</v>
      </c>
      <c r="C314">
        <v>151</v>
      </c>
      <c r="D314">
        <v>90</v>
      </c>
      <c r="E314">
        <v>2670</v>
      </c>
      <c r="F314">
        <v>16</v>
      </c>
      <c r="G314">
        <v>79</v>
      </c>
      <c r="H314" t="s">
        <v>1576</v>
      </c>
      <c r="I314" t="s">
        <v>1408</v>
      </c>
      <c r="J314" t="s">
        <v>922</v>
      </c>
      <c r="K314" t="s">
        <v>1409</v>
      </c>
      <c r="L314" t="b">
        <f>Data_Completeness(MileageData[[#This Row],[MPG]:[Acceleration]])</f>
        <v>1</v>
      </c>
    </row>
    <row r="315" spans="1:12" x14ac:dyDescent="0.25">
      <c r="A315">
        <v>28.8</v>
      </c>
      <c r="B315">
        <v>6</v>
      </c>
      <c r="C315">
        <v>173</v>
      </c>
      <c r="D315">
        <v>115</v>
      </c>
      <c r="E315">
        <v>2595</v>
      </c>
      <c r="F315">
        <v>11.3</v>
      </c>
      <c r="G315">
        <v>79</v>
      </c>
      <c r="H315" t="s">
        <v>1576</v>
      </c>
      <c r="I315" t="s">
        <v>1410</v>
      </c>
      <c r="J315" t="s">
        <v>919</v>
      </c>
      <c r="K315" t="s">
        <v>1411</v>
      </c>
      <c r="L315" t="b">
        <f>Data_Completeness(MileageData[[#This Row],[MPG]:[Acceleration]])</f>
        <v>1</v>
      </c>
    </row>
    <row r="316" spans="1:12" x14ac:dyDescent="0.25">
      <c r="A316">
        <v>26.8</v>
      </c>
      <c r="B316">
        <v>6</v>
      </c>
      <c r="C316">
        <v>173</v>
      </c>
      <c r="D316">
        <v>115</v>
      </c>
      <c r="E316">
        <v>2700</v>
      </c>
      <c r="F316">
        <v>12.9</v>
      </c>
      <c r="G316">
        <v>79</v>
      </c>
      <c r="H316" t="s">
        <v>1576</v>
      </c>
      <c r="I316" t="s">
        <v>1412</v>
      </c>
      <c r="J316" t="s">
        <v>1065</v>
      </c>
      <c r="K316" t="s">
        <v>1413</v>
      </c>
      <c r="L316" t="b">
        <f>Data_Completeness(MileageData[[#This Row],[MPG]:[Acceleration]])</f>
        <v>1</v>
      </c>
    </row>
    <row r="317" spans="1:12" x14ac:dyDescent="0.25">
      <c r="A317">
        <v>33.5</v>
      </c>
      <c r="B317">
        <v>4</v>
      </c>
      <c r="C317">
        <v>151</v>
      </c>
      <c r="D317">
        <v>90</v>
      </c>
      <c r="E317">
        <v>2556</v>
      </c>
      <c r="F317">
        <v>13.2</v>
      </c>
      <c r="G317">
        <v>79</v>
      </c>
      <c r="H317" t="s">
        <v>1576</v>
      </c>
      <c r="I317" t="s">
        <v>1414</v>
      </c>
      <c r="J317" t="s">
        <v>940</v>
      </c>
      <c r="K317" t="s">
        <v>1415</v>
      </c>
      <c r="L317" t="b">
        <f>Data_Completeness(MileageData[[#This Row],[MPG]:[Acceleration]])</f>
        <v>1</v>
      </c>
    </row>
    <row r="318" spans="1:12" x14ac:dyDescent="0.25">
      <c r="A318">
        <v>41.5</v>
      </c>
      <c r="B318">
        <v>4</v>
      </c>
      <c r="C318">
        <v>98</v>
      </c>
      <c r="D318">
        <v>76</v>
      </c>
      <c r="E318">
        <v>2144</v>
      </c>
      <c r="F318">
        <v>14.7</v>
      </c>
      <c r="G318">
        <v>80</v>
      </c>
      <c r="H318" t="s">
        <v>1577</v>
      </c>
      <c r="I318" t="s">
        <v>1234</v>
      </c>
      <c r="J318" t="s">
        <v>1235</v>
      </c>
      <c r="K318" t="s">
        <v>1215</v>
      </c>
      <c r="L318" t="b">
        <f>Data_Completeness(MileageData[[#This Row],[MPG]:[Acceleration]])</f>
        <v>1</v>
      </c>
    </row>
    <row r="319" spans="1:12" x14ac:dyDescent="0.25">
      <c r="A319">
        <v>38.1</v>
      </c>
      <c r="B319">
        <v>4</v>
      </c>
      <c r="C319">
        <v>89</v>
      </c>
      <c r="D319">
        <v>60</v>
      </c>
      <c r="E319">
        <v>1968</v>
      </c>
      <c r="F319">
        <v>18.8</v>
      </c>
      <c r="G319">
        <v>80</v>
      </c>
      <c r="H319" t="s">
        <v>1578</v>
      </c>
      <c r="I319" t="s">
        <v>1416</v>
      </c>
      <c r="J319" t="s">
        <v>966</v>
      </c>
      <c r="K319" t="s">
        <v>1417</v>
      </c>
      <c r="L319" t="b">
        <f>Data_Completeness(MileageData[[#This Row],[MPG]:[Acceleration]])</f>
        <v>1</v>
      </c>
    </row>
    <row r="320" spans="1:12" x14ac:dyDescent="0.25">
      <c r="A320">
        <v>32.1</v>
      </c>
      <c r="B320">
        <v>4</v>
      </c>
      <c r="C320">
        <v>98</v>
      </c>
      <c r="D320">
        <v>70</v>
      </c>
      <c r="E320">
        <v>2120</v>
      </c>
      <c r="F320">
        <v>15.5</v>
      </c>
      <c r="G320">
        <v>80</v>
      </c>
      <c r="H320" t="s">
        <v>1576</v>
      </c>
      <c r="I320" t="s">
        <v>1230</v>
      </c>
      <c r="J320" t="s">
        <v>919</v>
      </c>
      <c r="K320" t="s">
        <v>1231</v>
      </c>
      <c r="L320" t="b">
        <f>Data_Completeness(MileageData[[#This Row],[MPG]:[Acceleration]])</f>
        <v>1</v>
      </c>
    </row>
    <row r="321" spans="1:12" x14ac:dyDescent="0.25">
      <c r="A321">
        <v>37.200000000000003</v>
      </c>
      <c r="B321">
        <v>4</v>
      </c>
      <c r="C321">
        <v>86</v>
      </c>
      <c r="D321">
        <v>65</v>
      </c>
      <c r="E321">
        <v>2019</v>
      </c>
      <c r="F321">
        <v>16.399999999999999</v>
      </c>
      <c r="G321">
        <v>80</v>
      </c>
      <c r="H321" t="s">
        <v>1578</v>
      </c>
      <c r="I321" t="s">
        <v>1418</v>
      </c>
      <c r="J321" t="s">
        <v>975</v>
      </c>
      <c r="K321">
        <v>310</v>
      </c>
      <c r="L321" t="b">
        <f>Data_Completeness(MileageData[[#This Row],[MPG]:[Acceleration]])</f>
        <v>1</v>
      </c>
    </row>
    <row r="322" spans="1:12" x14ac:dyDescent="0.25">
      <c r="A322">
        <v>28</v>
      </c>
      <c r="B322">
        <v>4</v>
      </c>
      <c r="C322">
        <v>151</v>
      </c>
      <c r="D322">
        <v>90</v>
      </c>
      <c r="E322">
        <v>2678</v>
      </c>
      <c r="F322">
        <v>16.5</v>
      </c>
      <c r="G322">
        <v>80</v>
      </c>
      <c r="H322" t="s">
        <v>1576</v>
      </c>
      <c r="I322" t="s">
        <v>1410</v>
      </c>
      <c r="J322" t="s">
        <v>919</v>
      </c>
      <c r="K322" t="s">
        <v>1411</v>
      </c>
      <c r="L322" t="b">
        <f>Data_Completeness(MileageData[[#This Row],[MPG]:[Acceleration]])</f>
        <v>1</v>
      </c>
    </row>
    <row r="323" spans="1:12" x14ac:dyDescent="0.25">
      <c r="A323">
        <v>26.4</v>
      </c>
      <c r="B323">
        <v>4</v>
      </c>
      <c r="C323">
        <v>140</v>
      </c>
      <c r="D323">
        <v>88</v>
      </c>
      <c r="E323">
        <v>2870</v>
      </c>
      <c r="F323">
        <v>18.100000000000001</v>
      </c>
      <c r="G323">
        <v>80</v>
      </c>
      <c r="H323" t="s">
        <v>1576</v>
      </c>
      <c r="I323" t="s">
        <v>1419</v>
      </c>
      <c r="J323" t="s">
        <v>931</v>
      </c>
      <c r="K323" t="s">
        <v>1420</v>
      </c>
      <c r="L323" t="b">
        <f>Data_Completeness(MileageData[[#This Row],[MPG]:[Acceleration]])</f>
        <v>1</v>
      </c>
    </row>
    <row r="324" spans="1:12" x14ac:dyDescent="0.25">
      <c r="A324">
        <v>24.3</v>
      </c>
      <c r="B324">
        <v>4</v>
      </c>
      <c r="C324">
        <v>151</v>
      </c>
      <c r="D324">
        <v>90</v>
      </c>
      <c r="E324">
        <v>3003</v>
      </c>
      <c r="F324">
        <v>20.100000000000001</v>
      </c>
      <c r="G324">
        <v>80</v>
      </c>
      <c r="H324" t="s">
        <v>1576</v>
      </c>
      <c r="I324" t="s">
        <v>1332</v>
      </c>
      <c r="J324" t="s">
        <v>928</v>
      </c>
      <c r="K324" t="s">
        <v>1333</v>
      </c>
      <c r="L324" t="b">
        <f>Data_Completeness(MileageData[[#This Row],[MPG]:[Acceleration]])</f>
        <v>1</v>
      </c>
    </row>
    <row r="325" spans="1:12" x14ac:dyDescent="0.25">
      <c r="A325">
        <v>19.100000000000001</v>
      </c>
      <c r="B325">
        <v>6</v>
      </c>
      <c r="C325">
        <v>225</v>
      </c>
      <c r="D325">
        <v>90</v>
      </c>
      <c r="E325">
        <v>3381</v>
      </c>
      <c r="F325">
        <v>18.7</v>
      </c>
      <c r="G325">
        <v>80</v>
      </c>
      <c r="H325" t="s">
        <v>1576</v>
      </c>
      <c r="I325" t="s">
        <v>1338</v>
      </c>
      <c r="J325" t="s">
        <v>956</v>
      </c>
      <c r="K325" t="s">
        <v>1339</v>
      </c>
      <c r="L325" t="b">
        <f>Data_Completeness(MileageData[[#This Row],[MPG]:[Acceleration]])</f>
        <v>1</v>
      </c>
    </row>
    <row r="326" spans="1:12" x14ac:dyDescent="0.25">
      <c r="A326">
        <v>34.299999999999997</v>
      </c>
      <c r="B326">
        <v>4</v>
      </c>
      <c r="C326">
        <v>97</v>
      </c>
      <c r="D326">
        <v>78</v>
      </c>
      <c r="E326">
        <v>2188</v>
      </c>
      <c r="F326">
        <v>15.8</v>
      </c>
      <c r="G326">
        <v>80</v>
      </c>
      <c r="H326" t="s">
        <v>1577</v>
      </c>
      <c r="I326" t="s">
        <v>1421</v>
      </c>
      <c r="J326" t="s">
        <v>983</v>
      </c>
      <c r="K326">
        <v>4000</v>
      </c>
      <c r="L326" t="b">
        <f>Data_Completeness(MileageData[[#This Row],[MPG]:[Acceleration]])</f>
        <v>1</v>
      </c>
    </row>
    <row r="327" spans="1:12" x14ac:dyDescent="0.25">
      <c r="A327">
        <v>29.8</v>
      </c>
      <c r="B327">
        <v>4</v>
      </c>
      <c r="C327">
        <v>134</v>
      </c>
      <c r="D327">
        <v>90</v>
      </c>
      <c r="E327">
        <v>2711</v>
      </c>
      <c r="F327">
        <v>15.5</v>
      </c>
      <c r="G327">
        <v>80</v>
      </c>
      <c r="H327" t="s">
        <v>1578</v>
      </c>
      <c r="I327" t="s">
        <v>1422</v>
      </c>
      <c r="J327" t="s">
        <v>966</v>
      </c>
      <c r="K327" t="s">
        <v>1423</v>
      </c>
      <c r="L327" t="b">
        <f>Data_Completeness(MileageData[[#This Row],[MPG]:[Acceleration]])</f>
        <v>1</v>
      </c>
    </row>
    <row r="328" spans="1:12" x14ac:dyDescent="0.25">
      <c r="A328">
        <v>31.3</v>
      </c>
      <c r="B328">
        <v>4</v>
      </c>
      <c r="C328">
        <v>120</v>
      </c>
      <c r="D328">
        <v>75</v>
      </c>
      <c r="E328">
        <v>2542</v>
      </c>
      <c r="F328">
        <v>17.5</v>
      </c>
      <c r="G328">
        <v>80</v>
      </c>
      <c r="H328" t="s">
        <v>1578</v>
      </c>
      <c r="I328" t="s">
        <v>1424</v>
      </c>
      <c r="J328" t="s">
        <v>1071</v>
      </c>
      <c r="K328">
        <v>626</v>
      </c>
      <c r="L328" t="b">
        <f>Data_Completeness(MileageData[[#This Row],[MPG]:[Acceleration]])</f>
        <v>1</v>
      </c>
    </row>
    <row r="329" spans="1:12" x14ac:dyDescent="0.25">
      <c r="A329">
        <v>37</v>
      </c>
      <c r="B329">
        <v>4</v>
      </c>
      <c r="C329">
        <v>119</v>
      </c>
      <c r="D329">
        <v>92</v>
      </c>
      <c r="E329">
        <v>2434</v>
      </c>
      <c r="F329">
        <v>15</v>
      </c>
      <c r="G329">
        <v>80</v>
      </c>
      <c r="H329" t="s">
        <v>1578</v>
      </c>
      <c r="I329" t="s">
        <v>1425</v>
      </c>
      <c r="J329" t="s">
        <v>975</v>
      </c>
      <c r="K329" t="s">
        <v>1426</v>
      </c>
      <c r="L329" t="b">
        <f>Data_Completeness(MileageData[[#This Row],[MPG]:[Acceleration]])</f>
        <v>1</v>
      </c>
    </row>
    <row r="330" spans="1:12" x14ac:dyDescent="0.25">
      <c r="A330">
        <v>32.200000000000003</v>
      </c>
      <c r="B330">
        <v>4</v>
      </c>
      <c r="C330">
        <v>108</v>
      </c>
      <c r="D330">
        <v>75</v>
      </c>
      <c r="E330">
        <v>2265</v>
      </c>
      <c r="F330">
        <v>15.2</v>
      </c>
      <c r="G330">
        <v>80</v>
      </c>
      <c r="H330" t="s">
        <v>1578</v>
      </c>
      <c r="I330" t="s">
        <v>1210</v>
      </c>
      <c r="J330" t="s">
        <v>966</v>
      </c>
      <c r="K330" t="s">
        <v>1211</v>
      </c>
      <c r="L330" t="b">
        <f>Data_Completeness(MileageData[[#This Row],[MPG]:[Acceleration]])</f>
        <v>1</v>
      </c>
    </row>
    <row r="331" spans="1:12" x14ac:dyDescent="0.25">
      <c r="A331">
        <v>46.6</v>
      </c>
      <c r="B331">
        <v>4</v>
      </c>
      <c r="C331">
        <v>86</v>
      </c>
      <c r="D331">
        <v>65</v>
      </c>
      <c r="E331">
        <v>2110</v>
      </c>
      <c r="F331">
        <v>17.899999999999999</v>
      </c>
      <c r="G331">
        <v>80</v>
      </c>
      <c r="H331" t="s">
        <v>1578</v>
      </c>
      <c r="I331" t="s">
        <v>1427</v>
      </c>
      <c r="J331" t="s">
        <v>1071</v>
      </c>
      <c r="K331" t="s">
        <v>1428</v>
      </c>
      <c r="L331" t="b">
        <f>Data_Completeness(MileageData[[#This Row],[MPG]:[Acceleration]])</f>
        <v>1</v>
      </c>
    </row>
    <row r="332" spans="1:12" x14ac:dyDescent="0.25">
      <c r="A332">
        <v>27.9</v>
      </c>
      <c r="B332">
        <v>4</v>
      </c>
      <c r="C332">
        <v>156</v>
      </c>
      <c r="D332">
        <v>105</v>
      </c>
      <c r="E332">
        <v>2800</v>
      </c>
      <c r="F332">
        <v>14.4</v>
      </c>
      <c r="G332">
        <v>80</v>
      </c>
      <c r="H332" t="s">
        <v>1576</v>
      </c>
      <c r="I332" t="s">
        <v>1180</v>
      </c>
      <c r="J332" t="s">
        <v>956</v>
      </c>
      <c r="K332" t="s">
        <v>1181</v>
      </c>
      <c r="L332" t="b">
        <f>Data_Completeness(MileageData[[#This Row],[MPG]:[Acceleration]])</f>
        <v>1</v>
      </c>
    </row>
    <row r="333" spans="1:12" x14ac:dyDescent="0.25">
      <c r="A333">
        <v>40.799999999999997</v>
      </c>
      <c r="B333">
        <v>4</v>
      </c>
      <c r="C333">
        <v>85</v>
      </c>
      <c r="D333">
        <v>65</v>
      </c>
      <c r="E333">
        <v>2110</v>
      </c>
      <c r="F333">
        <v>19.2</v>
      </c>
      <c r="G333">
        <v>80</v>
      </c>
      <c r="H333" t="s">
        <v>1578</v>
      </c>
      <c r="I333" t="s">
        <v>1405</v>
      </c>
      <c r="J333" t="s">
        <v>975</v>
      </c>
      <c r="K333">
        <v>210</v>
      </c>
      <c r="L333" t="b">
        <f>Data_Completeness(MileageData[[#This Row],[MPG]:[Acceleration]])</f>
        <v>1</v>
      </c>
    </row>
    <row r="334" spans="1:12" x14ac:dyDescent="0.25">
      <c r="A334">
        <v>44.3</v>
      </c>
      <c r="B334">
        <v>4</v>
      </c>
      <c r="C334">
        <v>90</v>
      </c>
      <c r="D334">
        <v>48</v>
      </c>
      <c r="E334">
        <v>2085</v>
      </c>
      <c r="F334">
        <v>21.7</v>
      </c>
      <c r="G334">
        <v>80</v>
      </c>
      <c r="H334" t="s">
        <v>1577</v>
      </c>
      <c r="I334" t="s">
        <v>1429</v>
      </c>
      <c r="J334" t="s">
        <v>1235</v>
      </c>
      <c r="K334" t="s">
        <v>1430</v>
      </c>
      <c r="L334" t="b">
        <f>Data_Completeness(MileageData[[#This Row],[MPG]:[Acceleration]])</f>
        <v>1</v>
      </c>
    </row>
    <row r="335" spans="1:12" x14ac:dyDescent="0.25">
      <c r="A335">
        <v>43.4</v>
      </c>
      <c r="B335">
        <v>4</v>
      </c>
      <c r="C335">
        <v>90</v>
      </c>
      <c r="D335">
        <v>48</v>
      </c>
      <c r="E335">
        <v>2335</v>
      </c>
      <c r="F335">
        <v>23.7</v>
      </c>
      <c r="G335">
        <v>80</v>
      </c>
      <c r="H335" t="s">
        <v>1577</v>
      </c>
      <c r="I335" t="s">
        <v>1431</v>
      </c>
      <c r="J335" t="s">
        <v>1235</v>
      </c>
      <c r="K335" t="s">
        <v>1432</v>
      </c>
      <c r="L335" t="b">
        <f>Data_Completeness(MileageData[[#This Row],[MPG]:[Acceleration]])</f>
        <v>1</v>
      </c>
    </row>
    <row r="336" spans="1:12" x14ac:dyDescent="0.25">
      <c r="A336">
        <v>36.4</v>
      </c>
      <c r="B336">
        <v>5</v>
      </c>
      <c r="C336">
        <v>121</v>
      </c>
      <c r="D336">
        <v>67</v>
      </c>
      <c r="E336">
        <v>2950</v>
      </c>
      <c r="F336">
        <v>19.899999999999999</v>
      </c>
      <c r="G336">
        <v>80</v>
      </c>
      <c r="H336" t="s">
        <v>1577</v>
      </c>
      <c r="I336" t="s">
        <v>1433</v>
      </c>
      <c r="J336" t="s">
        <v>983</v>
      </c>
      <c r="K336" t="s">
        <v>1434</v>
      </c>
      <c r="L336" t="b">
        <f>Data_Completeness(MileageData[[#This Row],[MPG]:[Acceleration]])</f>
        <v>1</v>
      </c>
    </row>
    <row r="337" spans="1:12" x14ac:dyDescent="0.25">
      <c r="A337">
        <v>30</v>
      </c>
      <c r="B337">
        <v>4</v>
      </c>
      <c r="C337">
        <v>146</v>
      </c>
      <c r="D337">
        <v>67</v>
      </c>
      <c r="E337">
        <v>3250</v>
      </c>
      <c r="F337">
        <v>21.8</v>
      </c>
      <c r="G337">
        <v>80</v>
      </c>
      <c r="H337" t="s">
        <v>1577</v>
      </c>
      <c r="I337" t="s">
        <v>1435</v>
      </c>
      <c r="J337" t="s">
        <v>1250</v>
      </c>
      <c r="K337" t="s">
        <v>1436</v>
      </c>
      <c r="L337" t="b">
        <f>Data_Completeness(MileageData[[#This Row],[MPG]:[Acceleration]])</f>
        <v>1</v>
      </c>
    </row>
    <row r="338" spans="1:12" x14ac:dyDescent="0.25">
      <c r="A338">
        <v>44.6</v>
      </c>
      <c r="B338">
        <v>4</v>
      </c>
      <c r="C338">
        <v>91</v>
      </c>
      <c r="D338">
        <v>67</v>
      </c>
      <c r="E338">
        <v>1850</v>
      </c>
      <c r="F338">
        <v>13.8</v>
      </c>
      <c r="G338">
        <v>80</v>
      </c>
      <c r="H338" t="s">
        <v>1578</v>
      </c>
      <c r="I338" t="s">
        <v>1437</v>
      </c>
      <c r="J338" t="s">
        <v>1185</v>
      </c>
      <c r="K338" t="s">
        <v>1438</v>
      </c>
      <c r="L338" t="b">
        <f>Data_Completeness(MileageData[[#This Row],[MPG]:[Acceleration]])</f>
        <v>1</v>
      </c>
    </row>
    <row r="339" spans="1:12" x14ac:dyDescent="0.25">
      <c r="A339">
        <v>40.9</v>
      </c>
      <c r="B339">
        <v>4</v>
      </c>
      <c r="C339">
        <v>85</v>
      </c>
      <c r="E339">
        <v>1835</v>
      </c>
      <c r="F339">
        <v>17.3</v>
      </c>
      <c r="G339">
        <v>80</v>
      </c>
      <c r="H339" t="s">
        <v>1577</v>
      </c>
      <c r="I339" t="s">
        <v>1439</v>
      </c>
      <c r="J339" t="s">
        <v>1087</v>
      </c>
      <c r="K339" t="s">
        <v>1440</v>
      </c>
      <c r="L339" t="b">
        <f>Data_Completeness(MileageData[[#This Row],[MPG]:[Acceleration]])</f>
        <v>0</v>
      </c>
    </row>
    <row r="340" spans="1:12" x14ac:dyDescent="0.25">
      <c r="A340">
        <v>33.799999999999997</v>
      </c>
      <c r="B340">
        <v>4</v>
      </c>
      <c r="C340">
        <v>97</v>
      </c>
      <c r="D340">
        <v>67</v>
      </c>
      <c r="E340">
        <v>2145</v>
      </c>
      <c r="F340">
        <v>18</v>
      </c>
      <c r="G340">
        <v>80</v>
      </c>
      <c r="H340" t="s">
        <v>1578</v>
      </c>
      <c r="I340" t="s">
        <v>1303</v>
      </c>
      <c r="J340" t="s">
        <v>1187</v>
      </c>
      <c r="K340" t="s">
        <v>1304</v>
      </c>
      <c r="L340" t="b">
        <f>Data_Completeness(MileageData[[#This Row],[MPG]:[Acceleration]])</f>
        <v>1</v>
      </c>
    </row>
    <row r="341" spans="1:12" x14ac:dyDescent="0.25">
      <c r="A341">
        <v>29.8</v>
      </c>
      <c r="B341">
        <v>4</v>
      </c>
      <c r="C341">
        <v>89</v>
      </c>
      <c r="D341">
        <v>62</v>
      </c>
      <c r="E341">
        <v>1845</v>
      </c>
      <c r="F341">
        <v>15.3</v>
      </c>
      <c r="G341">
        <v>80</v>
      </c>
      <c r="H341" t="s">
        <v>1577</v>
      </c>
      <c r="I341" t="s">
        <v>1441</v>
      </c>
      <c r="J341" t="s">
        <v>1442</v>
      </c>
      <c r="K341" t="s">
        <v>1215</v>
      </c>
      <c r="L341" t="b">
        <f>Data_Completeness(MileageData[[#This Row],[MPG]:[Acceleration]])</f>
        <v>1</v>
      </c>
    </row>
    <row r="342" spans="1:12" x14ac:dyDescent="0.25">
      <c r="A342">
        <v>32.700000000000003</v>
      </c>
      <c r="B342">
        <v>6</v>
      </c>
      <c r="C342">
        <v>168</v>
      </c>
      <c r="D342">
        <v>132</v>
      </c>
      <c r="E342">
        <v>2910</v>
      </c>
      <c r="F342">
        <v>11.4</v>
      </c>
      <c r="G342">
        <v>80</v>
      </c>
      <c r="H342" t="s">
        <v>1578</v>
      </c>
      <c r="I342" t="s">
        <v>1443</v>
      </c>
      <c r="J342" t="s">
        <v>975</v>
      </c>
      <c r="K342" t="s">
        <v>1444</v>
      </c>
      <c r="L342" t="b">
        <f>Data_Completeness(MileageData[[#This Row],[MPG]:[Acceleration]])</f>
        <v>1</v>
      </c>
    </row>
    <row r="343" spans="1:12" x14ac:dyDescent="0.25">
      <c r="A343">
        <v>23.7</v>
      </c>
      <c r="B343">
        <v>3</v>
      </c>
      <c r="C343">
        <v>70</v>
      </c>
      <c r="D343">
        <v>100</v>
      </c>
      <c r="E343">
        <v>2420</v>
      </c>
      <c r="F343">
        <v>12.5</v>
      </c>
      <c r="G343">
        <v>80</v>
      </c>
      <c r="H343" t="s">
        <v>1578</v>
      </c>
      <c r="I343" t="s">
        <v>1445</v>
      </c>
      <c r="J343" t="s">
        <v>1071</v>
      </c>
      <c r="K343" t="s">
        <v>1446</v>
      </c>
      <c r="L343" t="b">
        <f>Data_Completeness(MileageData[[#This Row],[MPG]:[Acceleration]])</f>
        <v>1</v>
      </c>
    </row>
    <row r="344" spans="1:12" x14ac:dyDescent="0.25">
      <c r="A344">
        <v>35</v>
      </c>
      <c r="B344">
        <v>4</v>
      </c>
      <c r="C344">
        <v>122</v>
      </c>
      <c r="D344">
        <v>88</v>
      </c>
      <c r="E344">
        <v>2500</v>
      </c>
      <c r="F344">
        <v>15.1</v>
      </c>
      <c r="G344">
        <v>80</v>
      </c>
      <c r="H344" t="s">
        <v>1577</v>
      </c>
      <c r="I344" t="s">
        <v>1447</v>
      </c>
      <c r="J344" t="s">
        <v>1448</v>
      </c>
      <c r="K344" t="s">
        <v>1449</v>
      </c>
      <c r="L344" t="b">
        <f>Data_Completeness(MileageData[[#This Row],[MPG]:[Acceleration]])</f>
        <v>1</v>
      </c>
    </row>
    <row r="345" spans="1:12" x14ac:dyDescent="0.25">
      <c r="A345">
        <v>23.6</v>
      </c>
      <c r="B345">
        <v>4</v>
      </c>
      <c r="C345">
        <v>140</v>
      </c>
      <c r="E345">
        <v>2905</v>
      </c>
      <c r="F345">
        <v>14.3</v>
      </c>
      <c r="G345">
        <v>80</v>
      </c>
      <c r="H345" t="s">
        <v>1576</v>
      </c>
      <c r="I345" t="s">
        <v>1450</v>
      </c>
      <c r="J345" t="s">
        <v>931</v>
      </c>
      <c r="K345" t="s">
        <v>1451</v>
      </c>
      <c r="L345" t="b">
        <f>Data_Completeness(MileageData[[#This Row],[MPG]:[Acceleration]])</f>
        <v>0</v>
      </c>
    </row>
    <row r="346" spans="1:12" x14ac:dyDescent="0.25">
      <c r="A346">
        <v>32.4</v>
      </c>
      <c r="B346">
        <v>4</v>
      </c>
      <c r="C346">
        <v>107</v>
      </c>
      <c r="D346">
        <v>72</v>
      </c>
      <c r="E346">
        <v>2290</v>
      </c>
      <c r="F346">
        <v>17</v>
      </c>
      <c r="G346">
        <v>80</v>
      </c>
      <c r="H346" t="s">
        <v>1578</v>
      </c>
      <c r="I346" t="s">
        <v>1452</v>
      </c>
      <c r="J346" t="s">
        <v>1185</v>
      </c>
      <c r="K346" t="s">
        <v>1453</v>
      </c>
      <c r="L346" t="b">
        <f>Data_Completeness(MileageData[[#This Row],[MPG]:[Acceleration]])</f>
        <v>1</v>
      </c>
    </row>
    <row r="347" spans="1:12" x14ac:dyDescent="0.25">
      <c r="A347">
        <v>27.2</v>
      </c>
      <c r="B347">
        <v>4</v>
      </c>
      <c r="C347">
        <v>135</v>
      </c>
      <c r="D347">
        <v>84</v>
      </c>
      <c r="E347">
        <v>2490</v>
      </c>
      <c r="F347">
        <v>15.7</v>
      </c>
      <c r="G347">
        <v>81</v>
      </c>
      <c r="H347" t="s">
        <v>1576</v>
      </c>
      <c r="I347" t="s">
        <v>1454</v>
      </c>
      <c r="J347" t="s">
        <v>925</v>
      </c>
      <c r="K347" t="s">
        <v>1455</v>
      </c>
      <c r="L347" t="b">
        <f>Data_Completeness(MileageData[[#This Row],[MPG]:[Acceleration]])</f>
        <v>1</v>
      </c>
    </row>
    <row r="348" spans="1:12" x14ac:dyDescent="0.25">
      <c r="A348">
        <v>26.6</v>
      </c>
      <c r="B348">
        <v>4</v>
      </c>
      <c r="C348">
        <v>151</v>
      </c>
      <c r="D348">
        <v>84</v>
      </c>
      <c r="E348">
        <v>2635</v>
      </c>
      <c r="F348">
        <v>16.399999999999999</v>
      </c>
      <c r="G348">
        <v>81</v>
      </c>
      <c r="H348" t="s">
        <v>1576</v>
      </c>
      <c r="I348" t="s">
        <v>1279</v>
      </c>
      <c r="J348" t="s">
        <v>922</v>
      </c>
      <c r="K348" t="s">
        <v>1280</v>
      </c>
      <c r="L348" t="b">
        <f>Data_Completeness(MileageData[[#This Row],[MPG]:[Acceleration]])</f>
        <v>1</v>
      </c>
    </row>
    <row r="349" spans="1:12" x14ac:dyDescent="0.25">
      <c r="A349">
        <v>25.8</v>
      </c>
      <c r="B349">
        <v>4</v>
      </c>
      <c r="C349">
        <v>156</v>
      </c>
      <c r="D349">
        <v>92</v>
      </c>
      <c r="E349">
        <v>2620</v>
      </c>
      <c r="F349">
        <v>14.4</v>
      </c>
      <c r="G349">
        <v>81</v>
      </c>
      <c r="H349" t="s">
        <v>1576</v>
      </c>
      <c r="I349" t="s">
        <v>1456</v>
      </c>
      <c r="J349" t="s">
        <v>956</v>
      </c>
      <c r="K349" t="s">
        <v>1457</v>
      </c>
      <c r="L349" t="b">
        <f>Data_Completeness(MileageData[[#This Row],[MPG]:[Acceleration]])</f>
        <v>1</v>
      </c>
    </row>
    <row r="350" spans="1:12" x14ac:dyDescent="0.25">
      <c r="A350">
        <v>23.5</v>
      </c>
      <c r="B350">
        <v>6</v>
      </c>
      <c r="C350">
        <v>173</v>
      </c>
      <c r="D350">
        <v>110</v>
      </c>
      <c r="E350">
        <v>2725</v>
      </c>
      <c r="F350">
        <v>12.6</v>
      </c>
      <c r="G350">
        <v>81</v>
      </c>
      <c r="H350" t="s">
        <v>1576</v>
      </c>
      <c r="I350" t="s">
        <v>1410</v>
      </c>
      <c r="J350" t="s">
        <v>919</v>
      </c>
      <c r="K350" t="s">
        <v>1411</v>
      </c>
      <c r="L350" t="b">
        <f>Data_Completeness(MileageData[[#This Row],[MPG]:[Acceleration]])</f>
        <v>1</v>
      </c>
    </row>
    <row r="351" spans="1:12" x14ac:dyDescent="0.25">
      <c r="A351">
        <v>30</v>
      </c>
      <c r="B351">
        <v>4</v>
      </c>
      <c r="C351">
        <v>135</v>
      </c>
      <c r="D351">
        <v>84</v>
      </c>
      <c r="E351">
        <v>2385</v>
      </c>
      <c r="F351">
        <v>12.9</v>
      </c>
      <c r="G351">
        <v>81</v>
      </c>
      <c r="H351" t="s">
        <v>1576</v>
      </c>
      <c r="I351" t="s">
        <v>1454</v>
      </c>
      <c r="J351" t="s">
        <v>925</v>
      </c>
      <c r="K351" t="s">
        <v>1455</v>
      </c>
      <c r="L351" t="b">
        <f>Data_Completeness(MileageData[[#This Row],[MPG]:[Acceleration]])</f>
        <v>1</v>
      </c>
    </row>
    <row r="352" spans="1:12" x14ac:dyDescent="0.25">
      <c r="A352">
        <v>39.1</v>
      </c>
      <c r="B352">
        <v>4</v>
      </c>
      <c r="C352">
        <v>79</v>
      </c>
      <c r="D352">
        <v>58</v>
      </c>
      <c r="E352">
        <v>1755</v>
      </c>
      <c r="F352">
        <v>16.899999999999999</v>
      </c>
      <c r="G352">
        <v>81</v>
      </c>
      <c r="H352" t="s">
        <v>1578</v>
      </c>
      <c r="I352" t="s">
        <v>1458</v>
      </c>
      <c r="J352" t="s">
        <v>966</v>
      </c>
      <c r="K352" t="s">
        <v>1459</v>
      </c>
      <c r="L352" t="b">
        <f>Data_Completeness(MileageData[[#This Row],[MPG]:[Acceleration]])</f>
        <v>1</v>
      </c>
    </row>
    <row r="353" spans="1:12" x14ac:dyDescent="0.25">
      <c r="A353">
        <v>39</v>
      </c>
      <c r="B353">
        <v>4</v>
      </c>
      <c r="C353">
        <v>86</v>
      </c>
      <c r="D353">
        <v>64</v>
      </c>
      <c r="E353">
        <v>1875</v>
      </c>
      <c r="F353">
        <v>16.399999999999999</v>
      </c>
      <c r="G353">
        <v>81</v>
      </c>
      <c r="H353" t="s">
        <v>1576</v>
      </c>
      <c r="I353" t="s">
        <v>1460</v>
      </c>
      <c r="J353" t="s">
        <v>925</v>
      </c>
      <c r="K353" t="s">
        <v>1461</v>
      </c>
      <c r="L353" t="b">
        <f>Data_Completeness(MileageData[[#This Row],[MPG]:[Acceleration]])</f>
        <v>1</v>
      </c>
    </row>
    <row r="354" spans="1:12" x14ac:dyDescent="0.25">
      <c r="A354">
        <v>35.1</v>
      </c>
      <c r="B354">
        <v>4</v>
      </c>
      <c r="C354">
        <v>81</v>
      </c>
      <c r="D354">
        <v>60</v>
      </c>
      <c r="E354">
        <v>1760</v>
      </c>
      <c r="F354">
        <v>16.100000000000001</v>
      </c>
      <c r="G354">
        <v>81</v>
      </c>
      <c r="H354" t="s">
        <v>1578</v>
      </c>
      <c r="I354" t="s">
        <v>1462</v>
      </c>
      <c r="J354" t="s">
        <v>1185</v>
      </c>
      <c r="K354" t="s">
        <v>1463</v>
      </c>
      <c r="L354" t="b">
        <f>Data_Completeness(MileageData[[#This Row],[MPG]:[Acceleration]])</f>
        <v>1</v>
      </c>
    </row>
    <row r="355" spans="1:12" x14ac:dyDescent="0.25">
      <c r="A355">
        <v>32.299999999999997</v>
      </c>
      <c r="B355">
        <v>4</v>
      </c>
      <c r="C355">
        <v>97</v>
      </c>
      <c r="D355">
        <v>67</v>
      </c>
      <c r="E355">
        <v>2065</v>
      </c>
      <c r="F355">
        <v>17.8</v>
      </c>
      <c r="G355">
        <v>81</v>
      </c>
      <c r="H355" t="s">
        <v>1578</v>
      </c>
      <c r="I355" t="s">
        <v>1187</v>
      </c>
      <c r="J355" t="e">
        <v>#VALUE!</v>
      </c>
      <c r="K355" t="e">
        <v>#VALUE!</v>
      </c>
      <c r="L355" t="b">
        <f>Data_Completeness(MileageData[[#This Row],[MPG]:[Acceleration]])</f>
        <v>1</v>
      </c>
    </row>
    <row r="356" spans="1:12" x14ac:dyDescent="0.25">
      <c r="A356">
        <v>37</v>
      </c>
      <c r="B356">
        <v>4</v>
      </c>
      <c r="C356">
        <v>85</v>
      </c>
      <c r="D356">
        <v>65</v>
      </c>
      <c r="E356">
        <v>1975</v>
      </c>
      <c r="F356">
        <v>19.399999999999999</v>
      </c>
      <c r="G356">
        <v>81</v>
      </c>
      <c r="H356" t="s">
        <v>1578</v>
      </c>
      <c r="I356" t="s">
        <v>1464</v>
      </c>
      <c r="J356" t="s">
        <v>975</v>
      </c>
      <c r="K356" t="s">
        <v>1465</v>
      </c>
      <c r="L356" t="b">
        <f>Data_Completeness(MileageData[[#This Row],[MPG]:[Acceleration]])</f>
        <v>1</v>
      </c>
    </row>
    <row r="357" spans="1:12" x14ac:dyDescent="0.25">
      <c r="A357">
        <v>37.700000000000003</v>
      </c>
      <c r="B357">
        <v>4</v>
      </c>
      <c r="C357">
        <v>89</v>
      </c>
      <c r="D357">
        <v>62</v>
      </c>
      <c r="E357">
        <v>2050</v>
      </c>
      <c r="F357">
        <v>17.3</v>
      </c>
      <c r="G357">
        <v>81</v>
      </c>
      <c r="H357" t="s">
        <v>1578</v>
      </c>
      <c r="I357" t="s">
        <v>1466</v>
      </c>
      <c r="J357" t="s">
        <v>966</v>
      </c>
      <c r="K357" t="s">
        <v>1467</v>
      </c>
      <c r="L357" t="b">
        <f>Data_Completeness(MileageData[[#This Row],[MPG]:[Acceleration]])</f>
        <v>1</v>
      </c>
    </row>
    <row r="358" spans="1:12" x14ac:dyDescent="0.25">
      <c r="A358">
        <v>34.1</v>
      </c>
      <c r="B358">
        <v>4</v>
      </c>
      <c r="C358">
        <v>91</v>
      </c>
      <c r="D358">
        <v>68</v>
      </c>
      <c r="E358">
        <v>1985</v>
      </c>
      <c r="F358">
        <v>16</v>
      </c>
      <c r="G358">
        <v>81</v>
      </c>
      <c r="H358" t="s">
        <v>1578</v>
      </c>
      <c r="I358" t="s">
        <v>1468</v>
      </c>
      <c r="J358" t="s">
        <v>1071</v>
      </c>
      <c r="K358" t="s">
        <v>1469</v>
      </c>
      <c r="L358" t="b">
        <f>Data_Completeness(MileageData[[#This Row],[MPG]:[Acceleration]])</f>
        <v>1</v>
      </c>
    </row>
    <row r="359" spans="1:12" x14ac:dyDescent="0.25">
      <c r="A359">
        <v>34.700000000000003</v>
      </c>
      <c r="B359">
        <v>4</v>
      </c>
      <c r="C359">
        <v>105</v>
      </c>
      <c r="D359">
        <v>63</v>
      </c>
      <c r="E359">
        <v>2215</v>
      </c>
      <c r="F359">
        <v>14.9</v>
      </c>
      <c r="G359">
        <v>81</v>
      </c>
      <c r="H359" t="s">
        <v>1576</v>
      </c>
      <c r="I359" t="s">
        <v>1470</v>
      </c>
      <c r="J359" t="s">
        <v>925</v>
      </c>
      <c r="K359" t="s">
        <v>1471</v>
      </c>
      <c r="L359" t="b">
        <f>Data_Completeness(MileageData[[#This Row],[MPG]:[Acceleration]])</f>
        <v>1</v>
      </c>
    </row>
    <row r="360" spans="1:12" x14ac:dyDescent="0.25">
      <c r="A360">
        <v>34.4</v>
      </c>
      <c r="B360">
        <v>4</v>
      </c>
      <c r="C360">
        <v>98</v>
      </c>
      <c r="D360">
        <v>65</v>
      </c>
      <c r="E360">
        <v>2045</v>
      </c>
      <c r="F360">
        <v>16.2</v>
      </c>
      <c r="G360">
        <v>81</v>
      </c>
      <c r="H360" t="s">
        <v>1576</v>
      </c>
      <c r="I360" t="s">
        <v>1472</v>
      </c>
      <c r="J360" t="s">
        <v>931</v>
      </c>
      <c r="K360" t="s">
        <v>1473</v>
      </c>
      <c r="L360" t="b">
        <f>Data_Completeness(MileageData[[#This Row],[MPG]:[Acceleration]])</f>
        <v>1</v>
      </c>
    </row>
    <row r="361" spans="1:12" x14ac:dyDescent="0.25">
      <c r="A361">
        <v>29.9</v>
      </c>
      <c r="B361">
        <v>4</v>
      </c>
      <c r="C361">
        <v>98</v>
      </c>
      <c r="D361">
        <v>65</v>
      </c>
      <c r="E361">
        <v>2380</v>
      </c>
      <c r="F361">
        <v>20.7</v>
      </c>
      <c r="G361">
        <v>81</v>
      </c>
      <c r="H361" t="s">
        <v>1576</v>
      </c>
      <c r="I361" t="s">
        <v>1474</v>
      </c>
      <c r="J361" t="s">
        <v>931</v>
      </c>
      <c r="K361" t="s">
        <v>1475</v>
      </c>
      <c r="L361" t="b">
        <f>Data_Completeness(MileageData[[#This Row],[MPG]:[Acceleration]])</f>
        <v>1</v>
      </c>
    </row>
    <row r="362" spans="1:12" x14ac:dyDescent="0.25">
      <c r="A362">
        <v>33</v>
      </c>
      <c r="B362">
        <v>4</v>
      </c>
      <c r="C362">
        <v>105</v>
      </c>
      <c r="D362">
        <v>74</v>
      </c>
      <c r="E362">
        <v>2190</v>
      </c>
      <c r="F362">
        <v>14.2</v>
      </c>
      <c r="G362">
        <v>81</v>
      </c>
      <c r="H362" t="s">
        <v>1577</v>
      </c>
      <c r="I362" t="s">
        <v>1476</v>
      </c>
      <c r="J362" t="s">
        <v>978</v>
      </c>
      <c r="K362" t="s">
        <v>1477</v>
      </c>
      <c r="L362" t="b">
        <f>Data_Completeness(MileageData[[#This Row],[MPG]:[Acceleration]])</f>
        <v>1</v>
      </c>
    </row>
    <row r="363" spans="1:12" x14ac:dyDescent="0.25">
      <c r="A363">
        <v>34.5</v>
      </c>
      <c r="B363">
        <v>4</v>
      </c>
      <c r="C363">
        <v>100</v>
      </c>
      <c r="E363">
        <v>2320</v>
      </c>
      <c r="F363">
        <v>15.8</v>
      </c>
      <c r="G363">
        <v>81</v>
      </c>
      <c r="H363" t="s">
        <v>1577</v>
      </c>
      <c r="I363" t="s">
        <v>1478</v>
      </c>
      <c r="J363" t="s">
        <v>1087</v>
      </c>
      <c r="K363" t="s">
        <v>1479</v>
      </c>
      <c r="L363" t="b">
        <f>Data_Completeness(MileageData[[#This Row],[MPG]:[Acceleration]])</f>
        <v>0</v>
      </c>
    </row>
    <row r="364" spans="1:12" x14ac:dyDescent="0.25">
      <c r="A364">
        <v>33.700000000000003</v>
      </c>
      <c r="B364">
        <v>4</v>
      </c>
      <c r="C364">
        <v>107</v>
      </c>
      <c r="D364">
        <v>75</v>
      </c>
      <c r="E364">
        <v>2210</v>
      </c>
      <c r="F364">
        <v>14.4</v>
      </c>
      <c r="G364">
        <v>81</v>
      </c>
      <c r="H364" t="s">
        <v>1578</v>
      </c>
      <c r="I364" t="s">
        <v>1480</v>
      </c>
      <c r="J364" t="s">
        <v>1185</v>
      </c>
      <c r="K364" t="s">
        <v>1481</v>
      </c>
      <c r="L364" t="b">
        <f>Data_Completeness(MileageData[[#This Row],[MPG]:[Acceleration]])</f>
        <v>1</v>
      </c>
    </row>
    <row r="365" spans="1:12" x14ac:dyDescent="0.25">
      <c r="A365">
        <v>32.4</v>
      </c>
      <c r="B365">
        <v>4</v>
      </c>
      <c r="C365">
        <v>108</v>
      </c>
      <c r="D365">
        <v>75</v>
      </c>
      <c r="E365">
        <v>2350</v>
      </c>
      <c r="F365">
        <v>16.8</v>
      </c>
      <c r="G365">
        <v>81</v>
      </c>
      <c r="H365" t="s">
        <v>1578</v>
      </c>
      <c r="I365" t="s">
        <v>1210</v>
      </c>
      <c r="J365" t="s">
        <v>966</v>
      </c>
      <c r="K365" t="s">
        <v>1211</v>
      </c>
      <c r="L365" t="b">
        <f>Data_Completeness(MileageData[[#This Row],[MPG]:[Acceleration]])</f>
        <v>1</v>
      </c>
    </row>
    <row r="366" spans="1:12" x14ac:dyDescent="0.25">
      <c r="A366">
        <v>32.9</v>
      </c>
      <c r="B366">
        <v>4</v>
      </c>
      <c r="C366">
        <v>119</v>
      </c>
      <c r="D366">
        <v>100</v>
      </c>
      <c r="E366">
        <v>2615</v>
      </c>
      <c r="F366">
        <v>14.8</v>
      </c>
      <c r="G366">
        <v>81</v>
      </c>
      <c r="H366" t="s">
        <v>1578</v>
      </c>
      <c r="I366" t="s">
        <v>1482</v>
      </c>
      <c r="J366" t="s">
        <v>975</v>
      </c>
      <c r="K366" t="s">
        <v>1483</v>
      </c>
      <c r="L366" t="b">
        <f>Data_Completeness(MileageData[[#This Row],[MPG]:[Acceleration]])</f>
        <v>1</v>
      </c>
    </row>
    <row r="367" spans="1:12" x14ac:dyDescent="0.25">
      <c r="A367">
        <v>31.6</v>
      </c>
      <c r="B367">
        <v>4</v>
      </c>
      <c r="C367">
        <v>120</v>
      </c>
      <c r="D367">
        <v>74</v>
      </c>
      <c r="E367">
        <v>2635</v>
      </c>
      <c r="F367">
        <v>18.3</v>
      </c>
      <c r="G367">
        <v>81</v>
      </c>
      <c r="H367" t="s">
        <v>1578</v>
      </c>
      <c r="I367" t="s">
        <v>1424</v>
      </c>
      <c r="J367" t="s">
        <v>1071</v>
      </c>
      <c r="K367">
        <v>626</v>
      </c>
      <c r="L367" t="b">
        <f>Data_Completeness(MileageData[[#This Row],[MPG]:[Acceleration]])</f>
        <v>1</v>
      </c>
    </row>
    <row r="368" spans="1:12" x14ac:dyDescent="0.25">
      <c r="A368">
        <v>28.1</v>
      </c>
      <c r="B368">
        <v>4</v>
      </c>
      <c r="C368">
        <v>141</v>
      </c>
      <c r="D368">
        <v>80</v>
      </c>
      <c r="E368">
        <v>3230</v>
      </c>
      <c r="F368">
        <v>20.399999999999999</v>
      </c>
      <c r="G368">
        <v>81</v>
      </c>
      <c r="H368" t="s">
        <v>1577</v>
      </c>
      <c r="I368" t="s">
        <v>1484</v>
      </c>
      <c r="J368" t="s">
        <v>981</v>
      </c>
      <c r="K368" t="s">
        <v>1485</v>
      </c>
      <c r="L368" t="b">
        <f>Data_Completeness(MileageData[[#This Row],[MPG]:[Acceleration]])</f>
        <v>1</v>
      </c>
    </row>
    <row r="369" spans="1:12" x14ac:dyDescent="0.25">
      <c r="B369">
        <v>4</v>
      </c>
      <c r="C369">
        <v>121</v>
      </c>
      <c r="D369">
        <v>110</v>
      </c>
      <c r="E369">
        <v>2800</v>
      </c>
      <c r="F369">
        <v>15.4</v>
      </c>
      <c r="G369">
        <v>81</v>
      </c>
      <c r="H369" t="s">
        <v>1577</v>
      </c>
      <c r="I369" t="s">
        <v>1486</v>
      </c>
      <c r="J369" t="s">
        <v>986</v>
      </c>
      <c r="K369" t="s">
        <v>1487</v>
      </c>
      <c r="L369" t="b">
        <f>Data_Completeness(MileageData[[#This Row],[MPG]:[Acceleration]])</f>
        <v>0</v>
      </c>
    </row>
    <row r="370" spans="1:12" x14ac:dyDescent="0.25">
      <c r="A370">
        <v>30.7</v>
      </c>
      <c r="B370">
        <v>6</v>
      </c>
      <c r="C370">
        <v>145</v>
      </c>
      <c r="D370">
        <v>76</v>
      </c>
      <c r="E370">
        <v>3160</v>
      </c>
      <c r="F370">
        <v>19.600000000000001</v>
      </c>
      <c r="G370">
        <v>81</v>
      </c>
      <c r="H370" t="s">
        <v>1577</v>
      </c>
      <c r="I370" t="s">
        <v>1488</v>
      </c>
      <c r="J370" t="s">
        <v>1080</v>
      </c>
      <c r="K370" t="s">
        <v>1489</v>
      </c>
      <c r="L370" t="b">
        <f>Data_Completeness(MileageData[[#This Row],[MPG]:[Acceleration]])</f>
        <v>1</v>
      </c>
    </row>
    <row r="371" spans="1:12" x14ac:dyDescent="0.25">
      <c r="A371">
        <v>25.4</v>
      </c>
      <c r="B371">
        <v>6</v>
      </c>
      <c r="C371">
        <v>168</v>
      </c>
      <c r="D371">
        <v>116</v>
      </c>
      <c r="E371">
        <v>2900</v>
      </c>
      <c r="F371">
        <v>12.6</v>
      </c>
      <c r="G371">
        <v>81</v>
      </c>
      <c r="H371" t="s">
        <v>1578</v>
      </c>
      <c r="I371" t="s">
        <v>1490</v>
      </c>
      <c r="J371" t="s">
        <v>966</v>
      </c>
      <c r="K371" t="s">
        <v>1491</v>
      </c>
      <c r="L371" t="b">
        <f>Data_Completeness(MileageData[[#This Row],[MPG]:[Acceleration]])</f>
        <v>1</v>
      </c>
    </row>
    <row r="372" spans="1:12" x14ac:dyDescent="0.25">
      <c r="A372">
        <v>24.2</v>
      </c>
      <c r="B372">
        <v>6</v>
      </c>
      <c r="C372">
        <v>146</v>
      </c>
      <c r="D372">
        <v>120</v>
      </c>
      <c r="E372">
        <v>2930</v>
      </c>
      <c r="F372">
        <v>13.8</v>
      </c>
      <c r="G372">
        <v>81</v>
      </c>
      <c r="H372" t="s">
        <v>1578</v>
      </c>
      <c r="I372" t="s">
        <v>1492</v>
      </c>
      <c r="J372" t="s">
        <v>975</v>
      </c>
      <c r="K372" t="s">
        <v>1493</v>
      </c>
      <c r="L372" t="b">
        <f>Data_Completeness(MileageData[[#This Row],[MPG]:[Acceleration]])</f>
        <v>1</v>
      </c>
    </row>
    <row r="373" spans="1:12" x14ac:dyDescent="0.25">
      <c r="A373">
        <v>22.4</v>
      </c>
      <c r="B373">
        <v>6</v>
      </c>
      <c r="C373">
        <v>231</v>
      </c>
      <c r="D373">
        <v>110</v>
      </c>
      <c r="E373">
        <v>3415</v>
      </c>
      <c r="F373">
        <v>15.8</v>
      </c>
      <c r="G373">
        <v>81</v>
      </c>
      <c r="H373" t="s">
        <v>1576</v>
      </c>
      <c r="I373" t="s">
        <v>1198</v>
      </c>
      <c r="J373" t="s">
        <v>922</v>
      </c>
      <c r="K373" t="s">
        <v>1199</v>
      </c>
      <c r="L373" t="b">
        <f>Data_Completeness(MileageData[[#This Row],[MPG]:[Acceleration]])</f>
        <v>1</v>
      </c>
    </row>
    <row r="374" spans="1:12" x14ac:dyDescent="0.25">
      <c r="A374">
        <v>26.6</v>
      </c>
      <c r="B374">
        <v>8</v>
      </c>
      <c r="C374">
        <v>350</v>
      </c>
      <c r="D374">
        <v>105</v>
      </c>
      <c r="E374">
        <v>3725</v>
      </c>
      <c r="F374">
        <v>19</v>
      </c>
      <c r="G374">
        <v>81</v>
      </c>
      <c r="H374" t="s">
        <v>1576</v>
      </c>
      <c r="I374" t="s">
        <v>1494</v>
      </c>
      <c r="J374" t="s">
        <v>1065</v>
      </c>
      <c r="K374" t="s">
        <v>1495</v>
      </c>
      <c r="L374" t="b">
        <f>Data_Completeness(MileageData[[#This Row],[MPG]:[Acceleration]])</f>
        <v>1</v>
      </c>
    </row>
    <row r="375" spans="1:12" x14ac:dyDescent="0.25">
      <c r="A375">
        <v>20.2</v>
      </c>
      <c r="B375">
        <v>6</v>
      </c>
      <c r="C375">
        <v>200</v>
      </c>
      <c r="D375">
        <v>88</v>
      </c>
      <c r="E375">
        <v>3060</v>
      </c>
      <c r="F375">
        <v>17.100000000000001</v>
      </c>
      <c r="G375">
        <v>81</v>
      </c>
      <c r="H375" t="s">
        <v>1576</v>
      </c>
      <c r="I375" t="s">
        <v>1496</v>
      </c>
      <c r="J375" t="s">
        <v>931</v>
      </c>
      <c r="K375" t="s">
        <v>1497</v>
      </c>
      <c r="L375" t="b">
        <f>Data_Completeness(MileageData[[#This Row],[MPG]:[Acceleration]])</f>
        <v>1</v>
      </c>
    </row>
    <row r="376" spans="1:12" x14ac:dyDescent="0.25">
      <c r="A376">
        <v>17.600000000000001</v>
      </c>
      <c r="B376">
        <v>6</v>
      </c>
      <c r="C376">
        <v>225</v>
      </c>
      <c r="D376">
        <v>85</v>
      </c>
      <c r="E376">
        <v>3465</v>
      </c>
      <c r="F376">
        <v>16.600000000000001</v>
      </c>
      <c r="G376">
        <v>81</v>
      </c>
      <c r="H376" t="s">
        <v>1576</v>
      </c>
      <c r="I376" t="s">
        <v>1498</v>
      </c>
      <c r="J376" t="s">
        <v>1068</v>
      </c>
      <c r="K376" t="s">
        <v>1499</v>
      </c>
      <c r="L376" t="b">
        <f>Data_Completeness(MileageData[[#This Row],[MPG]:[Acceleration]])</f>
        <v>1</v>
      </c>
    </row>
    <row r="377" spans="1:12" x14ac:dyDescent="0.25">
      <c r="A377">
        <v>28</v>
      </c>
      <c r="B377">
        <v>4</v>
      </c>
      <c r="C377">
        <v>112</v>
      </c>
      <c r="D377">
        <v>88</v>
      </c>
      <c r="E377">
        <v>2605</v>
      </c>
      <c r="F377">
        <v>19.600000000000001</v>
      </c>
      <c r="G377">
        <v>82</v>
      </c>
      <c r="H377" t="s">
        <v>1576</v>
      </c>
      <c r="I377" t="s">
        <v>1500</v>
      </c>
      <c r="J377" t="s">
        <v>919</v>
      </c>
      <c r="K377" t="s">
        <v>1501</v>
      </c>
      <c r="L377" t="b">
        <f>Data_Completeness(MileageData[[#This Row],[MPG]:[Acceleration]])</f>
        <v>1</v>
      </c>
    </row>
    <row r="378" spans="1:12" x14ac:dyDescent="0.25">
      <c r="A378">
        <v>27</v>
      </c>
      <c r="B378">
        <v>4</v>
      </c>
      <c r="C378">
        <v>112</v>
      </c>
      <c r="D378">
        <v>88</v>
      </c>
      <c r="E378">
        <v>2640</v>
      </c>
      <c r="F378">
        <v>18.600000000000001</v>
      </c>
      <c r="G378">
        <v>82</v>
      </c>
      <c r="H378" t="s">
        <v>1576</v>
      </c>
      <c r="I378" t="s">
        <v>1502</v>
      </c>
      <c r="J378" t="s">
        <v>919</v>
      </c>
      <c r="K378" t="s">
        <v>1503</v>
      </c>
      <c r="L378" t="b">
        <f>Data_Completeness(MileageData[[#This Row],[MPG]:[Acceleration]])</f>
        <v>1</v>
      </c>
    </row>
    <row r="379" spans="1:12" x14ac:dyDescent="0.25">
      <c r="A379">
        <v>34</v>
      </c>
      <c r="B379">
        <v>4</v>
      </c>
      <c r="C379">
        <v>112</v>
      </c>
      <c r="D379">
        <v>88</v>
      </c>
      <c r="E379">
        <v>2395</v>
      </c>
      <c r="F379">
        <v>18</v>
      </c>
      <c r="G379">
        <v>82</v>
      </c>
      <c r="H379" t="s">
        <v>1576</v>
      </c>
      <c r="I379" t="s">
        <v>1504</v>
      </c>
      <c r="J379" t="s">
        <v>919</v>
      </c>
      <c r="K379" t="s">
        <v>1505</v>
      </c>
      <c r="L379" t="b">
        <f>Data_Completeness(MileageData[[#This Row],[MPG]:[Acceleration]])</f>
        <v>1</v>
      </c>
    </row>
    <row r="380" spans="1:12" x14ac:dyDescent="0.25">
      <c r="A380">
        <v>31</v>
      </c>
      <c r="B380">
        <v>4</v>
      </c>
      <c r="C380">
        <v>112</v>
      </c>
      <c r="D380">
        <v>85</v>
      </c>
      <c r="E380">
        <v>2575</v>
      </c>
      <c r="F380">
        <v>16.2</v>
      </c>
      <c r="G380">
        <v>82</v>
      </c>
      <c r="H380" t="s">
        <v>1576</v>
      </c>
      <c r="I380" t="s">
        <v>1506</v>
      </c>
      <c r="J380" t="s">
        <v>940</v>
      </c>
      <c r="K380" t="s">
        <v>1507</v>
      </c>
      <c r="L380" t="b">
        <f>Data_Completeness(MileageData[[#This Row],[MPG]:[Acceleration]])</f>
        <v>1</v>
      </c>
    </row>
    <row r="381" spans="1:12" x14ac:dyDescent="0.25">
      <c r="A381">
        <v>29</v>
      </c>
      <c r="B381">
        <v>4</v>
      </c>
      <c r="C381">
        <v>135</v>
      </c>
      <c r="D381">
        <v>84</v>
      </c>
      <c r="E381">
        <v>2525</v>
      </c>
      <c r="F381">
        <v>16</v>
      </c>
      <c r="G381">
        <v>82</v>
      </c>
      <c r="H381" t="s">
        <v>1576</v>
      </c>
      <c r="I381" t="s">
        <v>1508</v>
      </c>
      <c r="J381" t="s">
        <v>956</v>
      </c>
      <c r="K381" t="s">
        <v>1509</v>
      </c>
      <c r="L381" t="b">
        <f>Data_Completeness(MileageData[[#This Row],[MPG]:[Acceleration]])</f>
        <v>1</v>
      </c>
    </row>
    <row r="382" spans="1:12" x14ac:dyDescent="0.25">
      <c r="A382">
        <v>27</v>
      </c>
      <c r="B382">
        <v>4</v>
      </c>
      <c r="C382">
        <v>151</v>
      </c>
      <c r="D382">
        <v>90</v>
      </c>
      <c r="E382">
        <v>2735</v>
      </c>
      <c r="F382">
        <v>18</v>
      </c>
      <c r="G382">
        <v>82</v>
      </c>
      <c r="H382" t="s">
        <v>1576</v>
      </c>
      <c r="I382" t="s">
        <v>1414</v>
      </c>
      <c r="J382" t="s">
        <v>940</v>
      </c>
      <c r="K382" t="s">
        <v>1415</v>
      </c>
      <c r="L382" t="b">
        <f>Data_Completeness(MileageData[[#This Row],[MPG]:[Acceleration]])</f>
        <v>1</v>
      </c>
    </row>
    <row r="383" spans="1:12" x14ac:dyDescent="0.25">
      <c r="A383">
        <v>24</v>
      </c>
      <c r="B383">
        <v>4</v>
      </c>
      <c r="C383">
        <v>140</v>
      </c>
      <c r="D383">
        <v>92</v>
      </c>
      <c r="E383">
        <v>2865</v>
      </c>
      <c r="F383">
        <v>16.399999999999999</v>
      </c>
      <c r="G383">
        <v>82</v>
      </c>
      <c r="H383" t="s">
        <v>1576</v>
      </c>
      <c r="I383" t="s">
        <v>1510</v>
      </c>
      <c r="J383" t="s">
        <v>931</v>
      </c>
      <c r="K383" t="s">
        <v>1511</v>
      </c>
      <c r="L383" t="b">
        <f>Data_Completeness(MileageData[[#This Row],[MPG]:[Acceleration]])</f>
        <v>1</v>
      </c>
    </row>
    <row r="384" spans="1:12" x14ac:dyDescent="0.25">
      <c r="A384">
        <v>23</v>
      </c>
      <c r="B384">
        <v>4</v>
      </c>
      <c r="C384">
        <v>151</v>
      </c>
      <c r="E384">
        <v>3035</v>
      </c>
      <c r="F384">
        <v>20.5</v>
      </c>
      <c r="G384">
        <v>82</v>
      </c>
      <c r="H384" t="s">
        <v>1576</v>
      </c>
      <c r="I384" t="s">
        <v>1512</v>
      </c>
      <c r="J384" t="s">
        <v>928</v>
      </c>
      <c r="K384" t="s">
        <v>1513</v>
      </c>
      <c r="L384" t="b">
        <f>Data_Completeness(MileageData[[#This Row],[MPG]:[Acceleration]])</f>
        <v>0</v>
      </c>
    </row>
    <row r="385" spans="1:12" x14ac:dyDescent="0.25">
      <c r="A385">
        <v>36</v>
      </c>
      <c r="B385">
        <v>4</v>
      </c>
      <c r="C385">
        <v>105</v>
      </c>
      <c r="D385">
        <v>74</v>
      </c>
      <c r="E385">
        <v>1980</v>
      </c>
      <c r="F385">
        <v>15.3</v>
      </c>
      <c r="G385">
        <v>82</v>
      </c>
      <c r="H385" t="s">
        <v>1577</v>
      </c>
      <c r="I385" t="s">
        <v>1514</v>
      </c>
      <c r="J385" t="s">
        <v>978</v>
      </c>
      <c r="K385" t="s">
        <v>1515</v>
      </c>
      <c r="L385" t="b">
        <f>Data_Completeness(MileageData[[#This Row],[MPG]:[Acceleration]])</f>
        <v>1</v>
      </c>
    </row>
    <row r="386" spans="1:12" x14ac:dyDescent="0.25">
      <c r="A386">
        <v>37</v>
      </c>
      <c r="B386">
        <v>4</v>
      </c>
      <c r="C386">
        <v>91</v>
      </c>
      <c r="D386">
        <v>68</v>
      </c>
      <c r="E386">
        <v>2025</v>
      </c>
      <c r="F386">
        <v>18.2</v>
      </c>
      <c r="G386">
        <v>82</v>
      </c>
      <c r="H386" t="s">
        <v>1578</v>
      </c>
      <c r="I386" t="s">
        <v>1516</v>
      </c>
      <c r="J386" t="s">
        <v>1071</v>
      </c>
      <c r="K386" t="s">
        <v>1517</v>
      </c>
      <c r="L386" t="b">
        <f>Data_Completeness(MileageData[[#This Row],[MPG]:[Acceleration]])</f>
        <v>1</v>
      </c>
    </row>
    <row r="387" spans="1:12" x14ac:dyDescent="0.25">
      <c r="A387">
        <v>31</v>
      </c>
      <c r="B387">
        <v>4</v>
      </c>
      <c r="C387">
        <v>91</v>
      </c>
      <c r="D387">
        <v>68</v>
      </c>
      <c r="E387">
        <v>1970</v>
      </c>
      <c r="F387">
        <v>17.600000000000001</v>
      </c>
      <c r="G387">
        <v>82</v>
      </c>
      <c r="H387" t="s">
        <v>1578</v>
      </c>
      <c r="I387" t="s">
        <v>1518</v>
      </c>
      <c r="J387" t="s">
        <v>1071</v>
      </c>
      <c r="K387" t="s">
        <v>1519</v>
      </c>
      <c r="L387" t="b">
        <f>Data_Completeness(MileageData[[#This Row],[MPG]:[Acceleration]])</f>
        <v>1</v>
      </c>
    </row>
    <row r="388" spans="1:12" x14ac:dyDescent="0.25">
      <c r="A388">
        <v>38</v>
      </c>
      <c r="B388">
        <v>4</v>
      </c>
      <c r="C388">
        <v>105</v>
      </c>
      <c r="D388">
        <v>63</v>
      </c>
      <c r="E388">
        <v>2125</v>
      </c>
      <c r="F388">
        <v>14.7</v>
      </c>
      <c r="G388">
        <v>82</v>
      </c>
      <c r="H388" t="s">
        <v>1576</v>
      </c>
      <c r="I388" t="s">
        <v>1520</v>
      </c>
      <c r="J388" t="s">
        <v>925</v>
      </c>
      <c r="K388" t="s">
        <v>1521</v>
      </c>
      <c r="L388" t="b">
        <f>Data_Completeness(MileageData[[#This Row],[MPG]:[Acceleration]])</f>
        <v>1</v>
      </c>
    </row>
    <row r="389" spans="1:12" x14ac:dyDescent="0.25">
      <c r="A389">
        <v>36</v>
      </c>
      <c r="B389">
        <v>4</v>
      </c>
      <c r="C389">
        <v>98</v>
      </c>
      <c r="D389">
        <v>70</v>
      </c>
      <c r="E389">
        <v>2125</v>
      </c>
      <c r="F389">
        <v>17.3</v>
      </c>
      <c r="G389">
        <v>82</v>
      </c>
      <c r="H389" t="s">
        <v>1576</v>
      </c>
      <c r="I389" t="s">
        <v>1522</v>
      </c>
      <c r="J389" t="s">
        <v>1033</v>
      </c>
      <c r="K389" t="s">
        <v>1523</v>
      </c>
      <c r="L389" t="b">
        <f>Data_Completeness(MileageData[[#This Row],[MPG]:[Acceleration]])</f>
        <v>1</v>
      </c>
    </row>
    <row r="390" spans="1:12" x14ac:dyDescent="0.25">
      <c r="A390">
        <v>36</v>
      </c>
      <c r="B390">
        <v>4</v>
      </c>
      <c r="C390">
        <v>120</v>
      </c>
      <c r="D390">
        <v>88</v>
      </c>
      <c r="E390">
        <v>2160</v>
      </c>
      <c r="F390">
        <v>14.5</v>
      </c>
      <c r="G390">
        <v>82</v>
      </c>
      <c r="H390" t="s">
        <v>1578</v>
      </c>
      <c r="I390" t="s">
        <v>1524</v>
      </c>
      <c r="J390" t="s">
        <v>1525</v>
      </c>
      <c r="K390" t="s">
        <v>1526</v>
      </c>
      <c r="L390" t="b">
        <f>Data_Completeness(MileageData[[#This Row],[MPG]:[Acceleration]])</f>
        <v>1</v>
      </c>
    </row>
    <row r="391" spans="1:12" x14ac:dyDescent="0.25">
      <c r="A391">
        <v>36</v>
      </c>
      <c r="B391">
        <v>4</v>
      </c>
      <c r="C391">
        <v>107</v>
      </c>
      <c r="D391">
        <v>75</v>
      </c>
      <c r="E391">
        <v>2205</v>
      </c>
      <c r="F391">
        <v>14.5</v>
      </c>
      <c r="G391">
        <v>82</v>
      </c>
      <c r="H391" t="s">
        <v>1578</v>
      </c>
      <c r="I391" t="s">
        <v>1452</v>
      </c>
      <c r="J391" t="s">
        <v>1185</v>
      </c>
      <c r="K391" t="s">
        <v>1453</v>
      </c>
      <c r="L391" t="b">
        <f>Data_Completeness(MileageData[[#This Row],[MPG]:[Acceleration]])</f>
        <v>1</v>
      </c>
    </row>
    <row r="392" spans="1:12" x14ac:dyDescent="0.25">
      <c r="A392">
        <v>34</v>
      </c>
      <c r="B392">
        <v>4</v>
      </c>
      <c r="C392">
        <v>108</v>
      </c>
      <c r="D392">
        <v>70</v>
      </c>
      <c r="E392">
        <v>2245</v>
      </c>
      <c r="F392">
        <v>16.899999999999999</v>
      </c>
      <c r="G392">
        <v>82</v>
      </c>
      <c r="H392" t="s">
        <v>1578</v>
      </c>
      <c r="I392" t="s">
        <v>1210</v>
      </c>
      <c r="J392" t="s">
        <v>966</v>
      </c>
      <c r="K392" t="s">
        <v>1211</v>
      </c>
      <c r="L392" t="b">
        <f>Data_Completeness(MileageData[[#This Row],[MPG]:[Acceleration]])</f>
        <v>1</v>
      </c>
    </row>
    <row r="393" spans="1:12" x14ac:dyDescent="0.25">
      <c r="A393">
        <v>38</v>
      </c>
      <c r="B393">
        <v>4</v>
      </c>
      <c r="C393">
        <v>91</v>
      </c>
      <c r="D393">
        <v>67</v>
      </c>
      <c r="E393">
        <v>1965</v>
      </c>
      <c r="F393">
        <v>15</v>
      </c>
      <c r="G393">
        <v>82</v>
      </c>
      <c r="H393" t="s">
        <v>1578</v>
      </c>
      <c r="I393" t="s">
        <v>1184</v>
      </c>
      <c r="J393" t="s">
        <v>1185</v>
      </c>
      <c r="K393" t="s">
        <v>1186</v>
      </c>
      <c r="L393" t="b">
        <f>Data_Completeness(MileageData[[#This Row],[MPG]:[Acceleration]])</f>
        <v>1</v>
      </c>
    </row>
    <row r="394" spans="1:12" x14ac:dyDescent="0.25">
      <c r="A394">
        <v>32</v>
      </c>
      <c r="B394">
        <v>4</v>
      </c>
      <c r="C394">
        <v>91</v>
      </c>
      <c r="D394">
        <v>67</v>
      </c>
      <c r="E394">
        <v>1965</v>
      </c>
      <c r="F394">
        <v>15.7</v>
      </c>
      <c r="G394">
        <v>82</v>
      </c>
      <c r="H394" t="s">
        <v>1578</v>
      </c>
      <c r="I394" t="s">
        <v>1527</v>
      </c>
      <c r="J394" t="s">
        <v>1185</v>
      </c>
      <c r="K394" t="s">
        <v>1528</v>
      </c>
      <c r="L394" t="b">
        <f>Data_Completeness(MileageData[[#This Row],[MPG]:[Acceleration]])</f>
        <v>1</v>
      </c>
    </row>
    <row r="395" spans="1:12" x14ac:dyDescent="0.25">
      <c r="A395">
        <v>38</v>
      </c>
      <c r="B395">
        <v>4</v>
      </c>
      <c r="C395">
        <v>91</v>
      </c>
      <c r="D395">
        <v>67</v>
      </c>
      <c r="E395">
        <v>1995</v>
      </c>
      <c r="F395">
        <v>16.2</v>
      </c>
      <c r="G395">
        <v>82</v>
      </c>
      <c r="H395" t="s">
        <v>1578</v>
      </c>
      <c r="I395" t="s">
        <v>1529</v>
      </c>
      <c r="J395" t="s">
        <v>975</v>
      </c>
      <c r="K395" t="s">
        <v>1530</v>
      </c>
      <c r="L395" t="b">
        <f>Data_Completeness(MileageData[[#This Row],[MPG]:[Acceleration]])</f>
        <v>1</v>
      </c>
    </row>
    <row r="396" spans="1:12" x14ac:dyDescent="0.25">
      <c r="A396">
        <v>25</v>
      </c>
      <c r="B396">
        <v>6</v>
      </c>
      <c r="C396">
        <v>181</v>
      </c>
      <c r="D396">
        <v>110</v>
      </c>
      <c r="E396">
        <v>2945</v>
      </c>
      <c r="F396">
        <v>16.399999999999999</v>
      </c>
      <c r="G396">
        <v>82</v>
      </c>
      <c r="H396" t="s">
        <v>1576</v>
      </c>
      <c r="I396" t="s">
        <v>1531</v>
      </c>
      <c r="J396" t="s">
        <v>922</v>
      </c>
      <c r="K396" t="s">
        <v>1532</v>
      </c>
      <c r="L396" t="b">
        <f>Data_Completeness(MileageData[[#This Row],[MPG]:[Acceleration]])</f>
        <v>1</v>
      </c>
    </row>
    <row r="397" spans="1:12" x14ac:dyDescent="0.25">
      <c r="A397">
        <v>38</v>
      </c>
      <c r="B397">
        <v>6</v>
      </c>
      <c r="C397">
        <v>262</v>
      </c>
      <c r="D397">
        <v>85</v>
      </c>
      <c r="E397">
        <v>3015</v>
      </c>
      <c r="F397">
        <v>17</v>
      </c>
      <c r="G397">
        <v>82</v>
      </c>
      <c r="H397" t="s">
        <v>1576</v>
      </c>
      <c r="I397" t="s">
        <v>1533</v>
      </c>
      <c r="J397" t="s">
        <v>1065</v>
      </c>
      <c r="K397" t="s">
        <v>1534</v>
      </c>
      <c r="L397" t="b">
        <f>Data_Completeness(MileageData[[#This Row],[MPG]:[Acceleration]])</f>
        <v>1</v>
      </c>
    </row>
    <row r="398" spans="1:12" x14ac:dyDescent="0.25">
      <c r="A398">
        <v>26</v>
      </c>
      <c r="B398">
        <v>4</v>
      </c>
      <c r="C398">
        <v>156</v>
      </c>
      <c r="D398">
        <v>92</v>
      </c>
      <c r="E398">
        <v>2585</v>
      </c>
      <c r="F398">
        <v>14.5</v>
      </c>
      <c r="G398">
        <v>82</v>
      </c>
      <c r="H398" t="s">
        <v>1576</v>
      </c>
      <c r="I398" t="s">
        <v>1535</v>
      </c>
      <c r="J398" t="s">
        <v>1068</v>
      </c>
      <c r="K398" t="s">
        <v>1536</v>
      </c>
      <c r="L398" t="b">
        <f>Data_Completeness(MileageData[[#This Row],[MPG]:[Acceleration]])</f>
        <v>1</v>
      </c>
    </row>
    <row r="399" spans="1:12" x14ac:dyDescent="0.25">
      <c r="A399">
        <v>22</v>
      </c>
      <c r="B399">
        <v>6</v>
      </c>
      <c r="C399">
        <v>232</v>
      </c>
      <c r="D399">
        <v>112</v>
      </c>
      <c r="E399">
        <v>2835</v>
      </c>
      <c r="F399">
        <v>14.7</v>
      </c>
      <c r="G399">
        <v>82</v>
      </c>
      <c r="H399" t="s">
        <v>1576</v>
      </c>
      <c r="I399" t="s">
        <v>1537</v>
      </c>
      <c r="J399" t="s">
        <v>931</v>
      </c>
      <c r="K399" t="s">
        <v>1538</v>
      </c>
      <c r="L399" t="b">
        <f>Data_Completeness(MileageData[[#This Row],[MPG]:[Acceleration]])</f>
        <v>1</v>
      </c>
    </row>
    <row r="400" spans="1:12" x14ac:dyDescent="0.25">
      <c r="A400">
        <v>32</v>
      </c>
      <c r="B400">
        <v>4</v>
      </c>
      <c r="C400">
        <v>144</v>
      </c>
      <c r="D400">
        <v>96</v>
      </c>
      <c r="E400">
        <v>2665</v>
      </c>
      <c r="F400">
        <v>13.9</v>
      </c>
      <c r="G400">
        <v>82</v>
      </c>
      <c r="H400" t="s">
        <v>1578</v>
      </c>
      <c r="I400" t="s">
        <v>1539</v>
      </c>
      <c r="J400" t="s">
        <v>966</v>
      </c>
      <c r="K400" t="s">
        <v>1540</v>
      </c>
      <c r="L400" t="b">
        <f>Data_Completeness(MileageData[[#This Row],[MPG]:[Acceleration]])</f>
        <v>1</v>
      </c>
    </row>
    <row r="401" spans="1:12" x14ac:dyDescent="0.25">
      <c r="A401">
        <v>36</v>
      </c>
      <c r="B401">
        <v>4</v>
      </c>
      <c r="C401">
        <v>135</v>
      </c>
      <c r="D401">
        <v>84</v>
      </c>
      <c r="E401">
        <v>2370</v>
      </c>
      <c r="F401">
        <v>13</v>
      </c>
      <c r="G401">
        <v>82</v>
      </c>
      <c r="H401" t="s">
        <v>1576</v>
      </c>
      <c r="I401" t="s">
        <v>1541</v>
      </c>
      <c r="J401" t="s">
        <v>956</v>
      </c>
      <c r="K401" t="s">
        <v>1542</v>
      </c>
      <c r="L401" t="b">
        <f>Data_Completeness(MileageData[[#This Row],[MPG]:[Acceleration]])</f>
        <v>1</v>
      </c>
    </row>
    <row r="402" spans="1:12" x14ac:dyDescent="0.25">
      <c r="A402">
        <v>27</v>
      </c>
      <c r="B402">
        <v>4</v>
      </c>
      <c r="C402">
        <v>151</v>
      </c>
      <c r="D402">
        <v>90</v>
      </c>
      <c r="E402">
        <v>2950</v>
      </c>
      <c r="F402">
        <v>17.3</v>
      </c>
      <c r="G402">
        <v>82</v>
      </c>
      <c r="H402" t="s">
        <v>1576</v>
      </c>
      <c r="I402" t="s">
        <v>1543</v>
      </c>
      <c r="J402" t="s">
        <v>919</v>
      </c>
      <c r="K402" t="s">
        <v>1544</v>
      </c>
      <c r="L402" t="b">
        <f>Data_Completeness(MileageData[[#This Row],[MPG]:[Acceleration]])</f>
        <v>1</v>
      </c>
    </row>
    <row r="403" spans="1:12" x14ac:dyDescent="0.25">
      <c r="A403">
        <v>27</v>
      </c>
      <c r="B403">
        <v>4</v>
      </c>
      <c r="C403">
        <v>140</v>
      </c>
      <c r="D403">
        <v>86</v>
      </c>
      <c r="E403">
        <v>2790</v>
      </c>
      <c r="F403">
        <v>15.6</v>
      </c>
      <c r="G403">
        <v>82</v>
      </c>
      <c r="H403" t="s">
        <v>1576</v>
      </c>
      <c r="I403" t="s">
        <v>1545</v>
      </c>
      <c r="J403" t="s">
        <v>931</v>
      </c>
      <c r="K403" t="s">
        <v>1546</v>
      </c>
      <c r="L403" t="b">
        <f>Data_Completeness(MileageData[[#This Row],[MPG]:[Acceleration]])</f>
        <v>1</v>
      </c>
    </row>
    <row r="404" spans="1:12" x14ac:dyDescent="0.25">
      <c r="A404">
        <v>44</v>
      </c>
      <c r="B404">
        <v>4</v>
      </c>
      <c r="C404">
        <v>97</v>
      </c>
      <c r="D404">
        <v>52</v>
      </c>
      <c r="E404">
        <v>2130</v>
      </c>
      <c r="F404">
        <v>24.6</v>
      </c>
      <c r="G404">
        <v>82</v>
      </c>
      <c r="H404" t="s">
        <v>1577</v>
      </c>
      <c r="I404" t="s">
        <v>1547</v>
      </c>
      <c r="J404" t="s">
        <v>1235</v>
      </c>
      <c r="K404" t="s">
        <v>1548</v>
      </c>
      <c r="L404" t="b">
        <f>Data_Completeness(MileageData[[#This Row],[MPG]:[Acceleration]])</f>
        <v>1</v>
      </c>
    </row>
    <row r="405" spans="1:12" x14ac:dyDescent="0.25">
      <c r="A405">
        <v>32</v>
      </c>
      <c r="B405">
        <v>4</v>
      </c>
      <c r="C405">
        <v>135</v>
      </c>
      <c r="D405">
        <v>84</v>
      </c>
      <c r="E405">
        <v>2295</v>
      </c>
      <c r="F405">
        <v>11.6</v>
      </c>
      <c r="G405">
        <v>82</v>
      </c>
      <c r="H405" t="s">
        <v>1576</v>
      </c>
      <c r="I405" t="s">
        <v>1549</v>
      </c>
      <c r="J405" t="s">
        <v>956</v>
      </c>
      <c r="K405" t="s">
        <v>1550</v>
      </c>
      <c r="L405" t="b">
        <f>Data_Completeness(MileageData[[#This Row],[MPG]:[Acceleration]])</f>
        <v>1</v>
      </c>
    </row>
    <row r="406" spans="1:12" x14ac:dyDescent="0.25">
      <c r="A406">
        <v>28</v>
      </c>
      <c r="B406">
        <v>4</v>
      </c>
      <c r="C406">
        <v>120</v>
      </c>
      <c r="D406">
        <v>79</v>
      </c>
      <c r="E406">
        <v>2625</v>
      </c>
      <c r="F406">
        <v>18.600000000000001</v>
      </c>
      <c r="G406">
        <v>82</v>
      </c>
      <c r="H406" t="s">
        <v>1576</v>
      </c>
      <c r="I406" t="s">
        <v>1551</v>
      </c>
      <c r="J406" t="s">
        <v>931</v>
      </c>
      <c r="K406" t="s">
        <v>1552</v>
      </c>
      <c r="L406" t="b">
        <f>Data_Completeness(MileageData[[#This Row],[MPG]:[Acceleration]])</f>
        <v>1</v>
      </c>
    </row>
    <row r="407" spans="1:12" x14ac:dyDescent="0.25">
      <c r="A407">
        <v>31</v>
      </c>
      <c r="B407">
        <v>4</v>
      </c>
      <c r="C407">
        <v>119</v>
      </c>
      <c r="D407">
        <v>82</v>
      </c>
      <c r="E407">
        <v>2720</v>
      </c>
      <c r="F407">
        <v>19.399999999999999</v>
      </c>
      <c r="G407">
        <v>82</v>
      </c>
      <c r="H407" t="s">
        <v>1576</v>
      </c>
      <c r="I407" t="s">
        <v>1553</v>
      </c>
      <c r="J407" t="s">
        <v>995</v>
      </c>
      <c r="K407" t="s">
        <v>1554</v>
      </c>
      <c r="L407" t="b">
        <f>Data_Completeness(MileageData[[#This Row],[MPG]:[Acceleration]])</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2494-F5CC-4B74-BE72-5965CA4A968D}">
  <sheetPr>
    <tabColor rgb="FFD9D9D9"/>
  </sheetPr>
  <dimension ref="A1:W2939"/>
  <sheetViews>
    <sheetView workbookViewId="0">
      <pane ySplit="1" topLeftCell="A2" activePane="bottomLeft" state="frozenSplit"/>
      <selection pane="bottomLeft" activeCell="X3" sqref="X3"/>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 min="24" max="24" width="9.42578125" bestFit="1" customWidth="1"/>
  </cols>
  <sheetData>
    <row r="1" spans="1:23" x14ac:dyDescent="0.25">
      <c r="A1" t="s">
        <v>339</v>
      </c>
      <c r="B1" t="s">
        <v>340</v>
      </c>
      <c r="C1" t="s">
        <v>341</v>
      </c>
      <c r="D1" t="s">
        <v>342</v>
      </c>
      <c r="E1" t="s">
        <v>343</v>
      </c>
      <c r="F1" t="s">
        <v>344</v>
      </c>
      <c r="G1" t="s">
        <v>345</v>
      </c>
      <c r="H1" t="s">
        <v>346</v>
      </c>
      <c r="I1" t="s">
        <v>347</v>
      </c>
      <c r="J1" t="s">
        <v>348</v>
      </c>
      <c r="K1" t="s">
        <v>349</v>
      </c>
      <c r="L1" t="s">
        <v>350</v>
      </c>
      <c r="M1" t="s">
        <v>351</v>
      </c>
      <c r="N1" t="s">
        <v>352</v>
      </c>
      <c r="O1" t="s">
        <v>353</v>
      </c>
      <c r="P1" t="s">
        <v>354</v>
      </c>
      <c r="Q1" t="s">
        <v>355</v>
      </c>
      <c r="R1" t="s">
        <v>356</v>
      </c>
      <c r="S1" t="s">
        <v>357</v>
      </c>
      <c r="T1" t="s">
        <v>358</v>
      </c>
      <c r="U1" t="s">
        <v>359</v>
      </c>
      <c r="V1" t="s">
        <v>360</v>
      </c>
      <c r="W1" t="s">
        <v>361</v>
      </c>
    </row>
    <row r="2" spans="1:23" x14ac:dyDescent="0.25">
      <c r="A2" t="s">
        <v>362</v>
      </c>
      <c r="B2">
        <v>2015</v>
      </c>
      <c r="C2" t="s">
        <v>363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362</v>
      </c>
      <c r="B3">
        <v>2014</v>
      </c>
      <c r="C3" t="s">
        <v>363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362</v>
      </c>
      <c r="B4">
        <v>2013</v>
      </c>
      <c r="C4" t="s">
        <v>363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362</v>
      </c>
      <c r="B5">
        <v>2012</v>
      </c>
      <c r="C5" t="s">
        <v>363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362</v>
      </c>
      <c r="B6">
        <v>2011</v>
      </c>
      <c r="C6" t="s">
        <v>363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362</v>
      </c>
      <c r="B7">
        <v>2010</v>
      </c>
      <c r="C7" t="s">
        <v>363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362</v>
      </c>
      <c r="B8">
        <v>2009</v>
      </c>
      <c r="C8" t="s">
        <v>363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362</v>
      </c>
      <c r="B9">
        <v>2008</v>
      </c>
      <c r="C9" t="s">
        <v>363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362</v>
      </c>
      <c r="B10">
        <v>2007</v>
      </c>
      <c r="C10" t="s">
        <v>363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362</v>
      </c>
      <c r="B11">
        <v>2006</v>
      </c>
      <c r="C11" t="s">
        <v>363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362</v>
      </c>
      <c r="B12">
        <v>2005</v>
      </c>
      <c r="C12" t="s">
        <v>363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362</v>
      </c>
      <c r="B13">
        <v>2004</v>
      </c>
      <c r="C13" t="s">
        <v>363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362</v>
      </c>
      <c r="B14">
        <v>2003</v>
      </c>
      <c r="C14" t="s">
        <v>363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362</v>
      </c>
      <c r="B15">
        <v>2002</v>
      </c>
      <c r="C15" t="s">
        <v>363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362</v>
      </c>
      <c r="B16">
        <v>2001</v>
      </c>
      <c r="C16" t="s">
        <v>363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362</v>
      </c>
      <c r="B17">
        <v>2000</v>
      </c>
      <c r="C17" t="s">
        <v>363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364</v>
      </c>
      <c r="B18">
        <v>2015</v>
      </c>
      <c r="C18" t="s">
        <v>363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364</v>
      </c>
      <c r="B19">
        <v>2014</v>
      </c>
      <c r="C19" t="s">
        <v>363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364</v>
      </c>
      <c r="B20">
        <v>2013</v>
      </c>
      <c r="C20" t="s">
        <v>363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364</v>
      </c>
      <c r="B21">
        <v>2012</v>
      </c>
      <c r="C21" t="s">
        <v>363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364</v>
      </c>
      <c r="B22">
        <v>2011</v>
      </c>
      <c r="C22" t="s">
        <v>363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364</v>
      </c>
      <c r="B23">
        <v>2010</v>
      </c>
      <c r="C23" t="s">
        <v>363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364</v>
      </c>
      <c r="B24">
        <v>2009</v>
      </c>
      <c r="C24" t="s">
        <v>363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364</v>
      </c>
      <c r="B25">
        <v>2008</v>
      </c>
      <c r="C25" t="s">
        <v>363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364</v>
      </c>
      <c r="B26">
        <v>2007</v>
      </c>
      <c r="C26" t="s">
        <v>363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364</v>
      </c>
      <c r="B27">
        <v>2006</v>
      </c>
      <c r="C27" t="s">
        <v>363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364</v>
      </c>
      <c r="B28">
        <v>2005</v>
      </c>
      <c r="C28" t="s">
        <v>363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364</v>
      </c>
      <c r="B29">
        <v>2004</v>
      </c>
      <c r="C29" t="s">
        <v>363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364</v>
      </c>
      <c r="B30">
        <v>2003</v>
      </c>
      <c r="C30" t="s">
        <v>363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364</v>
      </c>
      <c r="B31">
        <v>2002</v>
      </c>
      <c r="C31" t="s">
        <v>363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364</v>
      </c>
      <c r="B32">
        <v>2001</v>
      </c>
      <c r="C32" t="s">
        <v>363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364</v>
      </c>
      <c r="B33">
        <v>2000</v>
      </c>
      <c r="C33" t="s">
        <v>363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365</v>
      </c>
      <c r="B34">
        <v>2015</v>
      </c>
      <c r="C34" t="s">
        <v>363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365</v>
      </c>
      <c r="B35">
        <v>2014</v>
      </c>
      <c r="C35" t="s">
        <v>363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365</v>
      </c>
      <c r="B36">
        <v>2013</v>
      </c>
      <c r="C36" t="s">
        <v>363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365</v>
      </c>
      <c r="B37">
        <v>2012</v>
      </c>
      <c r="C37" t="s">
        <v>363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365</v>
      </c>
      <c r="B38">
        <v>2011</v>
      </c>
      <c r="C38" t="s">
        <v>363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365</v>
      </c>
      <c r="B39">
        <v>2010</v>
      </c>
      <c r="C39" t="s">
        <v>363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365</v>
      </c>
      <c r="B40">
        <v>2009</v>
      </c>
      <c r="C40" t="s">
        <v>363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365</v>
      </c>
      <c r="B41">
        <v>2008</v>
      </c>
      <c r="C41" t="s">
        <v>363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365</v>
      </c>
      <c r="B42">
        <v>2007</v>
      </c>
      <c r="C42" t="s">
        <v>363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365</v>
      </c>
      <c r="B43">
        <v>2006</v>
      </c>
      <c r="C43" t="s">
        <v>363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365</v>
      </c>
      <c r="B44">
        <v>2005</v>
      </c>
      <c r="C44" t="s">
        <v>363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365</v>
      </c>
      <c r="B45">
        <v>2004</v>
      </c>
      <c r="C45" t="s">
        <v>363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365</v>
      </c>
      <c r="B46">
        <v>2003</v>
      </c>
      <c r="C46" t="s">
        <v>363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365</v>
      </c>
      <c r="B47">
        <v>2002</v>
      </c>
      <c r="C47" t="s">
        <v>363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365</v>
      </c>
      <c r="B48">
        <v>2001</v>
      </c>
      <c r="C48" t="s">
        <v>363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365</v>
      </c>
      <c r="B49">
        <v>2000</v>
      </c>
      <c r="C49" t="s">
        <v>363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366</v>
      </c>
      <c r="B50">
        <v>2015</v>
      </c>
      <c r="C50" t="s">
        <v>363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366</v>
      </c>
      <c r="B51">
        <v>2014</v>
      </c>
      <c r="C51" t="s">
        <v>363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366</v>
      </c>
      <c r="B52">
        <v>2013</v>
      </c>
      <c r="C52" t="s">
        <v>363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366</v>
      </c>
      <c r="B53">
        <v>2012</v>
      </c>
      <c r="C53" t="s">
        <v>363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366</v>
      </c>
      <c r="B54">
        <v>2011</v>
      </c>
      <c r="C54" t="s">
        <v>363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366</v>
      </c>
      <c r="B55">
        <v>2010</v>
      </c>
      <c r="C55" t="s">
        <v>363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366</v>
      </c>
      <c r="B56">
        <v>2009</v>
      </c>
      <c r="C56" t="s">
        <v>363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366</v>
      </c>
      <c r="B57">
        <v>2008</v>
      </c>
      <c r="C57" t="s">
        <v>363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366</v>
      </c>
      <c r="B58">
        <v>2007</v>
      </c>
      <c r="C58" t="s">
        <v>363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366</v>
      </c>
      <c r="B59">
        <v>2006</v>
      </c>
      <c r="C59" t="s">
        <v>363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366</v>
      </c>
      <c r="B60">
        <v>2005</v>
      </c>
      <c r="C60" t="s">
        <v>363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366</v>
      </c>
      <c r="B61">
        <v>2004</v>
      </c>
      <c r="C61" t="s">
        <v>363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366</v>
      </c>
      <c r="B62">
        <v>2003</v>
      </c>
      <c r="C62" t="s">
        <v>363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366</v>
      </c>
      <c r="B63">
        <v>2002</v>
      </c>
      <c r="C63" t="s">
        <v>363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366</v>
      </c>
      <c r="B64">
        <v>2001</v>
      </c>
      <c r="C64" t="s">
        <v>363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366</v>
      </c>
      <c r="B65">
        <v>2000</v>
      </c>
      <c r="C65" t="s">
        <v>363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367</v>
      </c>
      <c r="B66">
        <v>2015</v>
      </c>
      <c r="C66" t="s">
        <v>363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367</v>
      </c>
      <c r="B67">
        <v>2014</v>
      </c>
      <c r="C67" t="s">
        <v>363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367</v>
      </c>
      <c r="B68">
        <v>2013</v>
      </c>
      <c r="C68" t="s">
        <v>363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367</v>
      </c>
      <c r="B69">
        <v>2012</v>
      </c>
      <c r="C69" t="s">
        <v>363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367</v>
      </c>
      <c r="B70">
        <v>2011</v>
      </c>
      <c r="C70" t="s">
        <v>363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367</v>
      </c>
      <c r="B71">
        <v>2010</v>
      </c>
      <c r="C71" t="s">
        <v>363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367</v>
      </c>
      <c r="B72">
        <v>2009</v>
      </c>
      <c r="C72" t="s">
        <v>363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367</v>
      </c>
      <c r="B73">
        <v>2008</v>
      </c>
      <c r="C73" t="s">
        <v>363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367</v>
      </c>
      <c r="B74">
        <v>2007</v>
      </c>
      <c r="C74" t="s">
        <v>363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367</v>
      </c>
      <c r="B75">
        <v>2006</v>
      </c>
      <c r="C75" t="s">
        <v>363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367</v>
      </c>
      <c r="B76">
        <v>2005</v>
      </c>
      <c r="C76" t="s">
        <v>363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367</v>
      </c>
      <c r="B77">
        <v>2004</v>
      </c>
      <c r="C77" t="s">
        <v>363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367</v>
      </c>
      <c r="B78">
        <v>2003</v>
      </c>
      <c r="C78" t="s">
        <v>363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367</v>
      </c>
      <c r="B79">
        <v>2002</v>
      </c>
      <c r="C79" t="s">
        <v>363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367</v>
      </c>
      <c r="B80">
        <v>2001</v>
      </c>
      <c r="C80" t="s">
        <v>363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367</v>
      </c>
      <c r="B81">
        <v>2000</v>
      </c>
      <c r="C81" t="s">
        <v>363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368</v>
      </c>
      <c r="B82">
        <v>2015</v>
      </c>
      <c r="C82" t="s">
        <v>363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368</v>
      </c>
      <c r="B83">
        <v>2014</v>
      </c>
      <c r="C83" t="s">
        <v>363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368</v>
      </c>
      <c r="B84">
        <v>2013</v>
      </c>
      <c r="C84" t="s">
        <v>363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368</v>
      </c>
      <c r="B85">
        <v>2012</v>
      </c>
      <c r="C85" t="s">
        <v>363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368</v>
      </c>
      <c r="B86">
        <v>2011</v>
      </c>
      <c r="C86" t="s">
        <v>363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368</v>
      </c>
      <c r="B87">
        <v>2010</v>
      </c>
      <c r="C87" t="s">
        <v>363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368</v>
      </c>
      <c r="B88">
        <v>2009</v>
      </c>
      <c r="C88" t="s">
        <v>363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368</v>
      </c>
      <c r="B89">
        <v>2008</v>
      </c>
      <c r="C89" t="s">
        <v>363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368</v>
      </c>
      <c r="B90">
        <v>2007</v>
      </c>
      <c r="C90" t="s">
        <v>363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368</v>
      </c>
      <c r="B91">
        <v>2006</v>
      </c>
      <c r="C91" t="s">
        <v>363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368</v>
      </c>
      <c r="B92">
        <v>2005</v>
      </c>
      <c r="C92" t="s">
        <v>363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368</v>
      </c>
      <c r="B93">
        <v>2004</v>
      </c>
      <c r="C93" t="s">
        <v>363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368</v>
      </c>
      <c r="B94">
        <v>2003</v>
      </c>
      <c r="C94" t="s">
        <v>363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368</v>
      </c>
      <c r="B95">
        <v>2002</v>
      </c>
      <c r="C95" t="s">
        <v>363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368</v>
      </c>
      <c r="B96">
        <v>2001</v>
      </c>
      <c r="C96" t="s">
        <v>363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368</v>
      </c>
      <c r="B97">
        <v>2000</v>
      </c>
      <c r="C97" t="s">
        <v>363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369</v>
      </c>
      <c r="B98">
        <v>2015</v>
      </c>
      <c r="C98" t="s">
        <v>363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369</v>
      </c>
      <c r="B99">
        <v>2014</v>
      </c>
      <c r="C99" t="s">
        <v>363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369</v>
      </c>
      <c r="B100">
        <v>2013</v>
      </c>
      <c r="C100" t="s">
        <v>363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369</v>
      </c>
      <c r="B101">
        <v>2012</v>
      </c>
      <c r="C101" t="s">
        <v>363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369</v>
      </c>
      <c r="B102">
        <v>2011</v>
      </c>
      <c r="C102" t="s">
        <v>363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369</v>
      </c>
      <c r="B103">
        <v>2010</v>
      </c>
      <c r="C103" t="s">
        <v>363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369</v>
      </c>
      <c r="B104">
        <v>2009</v>
      </c>
      <c r="C104" t="s">
        <v>363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369</v>
      </c>
      <c r="B105">
        <v>2008</v>
      </c>
      <c r="C105" t="s">
        <v>363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369</v>
      </c>
      <c r="B106">
        <v>2007</v>
      </c>
      <c r="C106" t="s">
        <v>363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369</v>
      </c>
      <c r="B107">
        <v>2006</v>
      </c>
      <c r="C107" t="s">
        <v>363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369</v>
      </c>
      <c r="B108">
        <v>2005</v>
      </c>
      <c r="C108" t="s">
        <v>363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369</v>
      </c>
      <c r="B109">
        <v>2004</v>
      </c>
      <c r="C109" t="s">
        <v>363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369</v>
      </c>
      <c r="B110">
        <v>2003</v>
      </c>
      <c r="C110" t="s">
        <v>363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369</v>
      </c>
      <c r="B111">
        <v>2002</v>
      </c>
      <c r="C111" t="s">
        <v>363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369</v>
      </c>
      <c r="B112">
        <v>2001</v>
      </c>
      <c r="C112" t="s">
        <v>363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369</v>
      </c>
      <c r="B113">
        <v>2000</v>
      </c>
      <c r="C113" t="s">
        <v>363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370</v>
      </c>
      <c r="B114">
        <v>2015</v>
      </c>
      <c r="C114" t="s">
        <v>371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370</v>
      </c>
      <c r="B115">
        <v>2014</v>
      </c>
      <c r="C115" t="s">
        <v>371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370</v>
      </c>
      <c r="B116">
        <v>2013</v>
      </c>
      <c r="C116" t="s">
        <v>371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370</v>
      </c>
      <c r="B117">
        <v>2012</v>
      </c>
      <c r="C117" t="s">
        <v>371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370</v>
      </c>
      <c r="B118">
        <v>2011</v>
      </c>
      <c r="C118" t="s">
        <v>371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370</v>
      </c>
      <c r="B119">
        <v>2010</v>
      </c>
      <c r="C119" t="s">
        <v>371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370</v>
      </c>
      <c r="B120">
        <v>2009</v>
      </c>
      <c r="C120" t="s">
        <v>371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370</v>
      </c>
      <c r="B121">
        <v>2008</v>
      </c>
      <c r="C121" t="s">
        <v>371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370</v>
      </c>
      <c r="B122">
        <v>2007</v>
      </c>
      <c r="C122" t="s">
        <v>371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370</v>
      </c>
      <c r="B123">
        <v>2006</v>
      </c>
      <c r="C123" t="s">
        <v>371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370</v>
      </c>
      <c r="B124">
        <v>2005</v>
      </c>
      <c r="C124" t="s">
        <v>371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370</v>
      </c>
      <c r="B125">
        <v>2004</v>
      </c>
      <c r="C125" t="s">
        <v>371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370</v>
      </c>
      <c r="B126">
        <v>2003</v>
      </c>
      <c r="C126" t="s">
        <v>371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370</v>
      </c>
      <c r="B127">
        <v>2002</v>
      </c>
      <c r="C127" t="s">
        <v>371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370</v>
      </c>
      <c r="B128">
        <v>2001</v>
      </c>
      <c r="C128" t="s">
        <v>371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370</v>
      </c>
      <c r="B129">
        <v>2000</v>
      </c>
      <c r="C129" t="s">
        <v>371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372</v>
      </c>
      <c r="B130">
        <v>2015</v>
      </c>
      <c r="C130" t="s">
        <v>371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372</v>
      </c>
      <c r="B131">
        <v>2014</v>
      </c>
      <c r="C131" t="s">
        <v>371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372</v>
      </c>
      <c r="B132">
        <v>2013</v>
      </c>
      <c r="C132" t="s">
        <v>371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372</v>
      </c>
      <c r="B133">
        <v>2012</v>
      </c>
      <c r="C133" t="s">
        <v>371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372</v>
      </c>
      <c r="B134">
        <v>2011</v>
      </c>
      <c r="C134" t="s">
        <v>371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372</v>
      </c>
      <c r="B135">
        <v>2010</v>
      </c>
      <c r="C135" t="s">
        <v>371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372</v>
      </c>
      <c r="B136">
        <v>2009</v>
      </c>
      <c r="C136" t="s">
        <v>371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372</v>
      </c>
      <c r="B137">
        <v>2008</v>
      </c>
      <c r="C137" t="s">
        <v>371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372</v>
      </c>
      <c r="B138">
        <v>2007</v>
      </c>
      <c r="C138" t="s">
        <v>371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372</v>
      </c>
      <c r="B139">
        <v>2006</v>
      </c>
      <c r="C139" t="s">
        <v>371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372</v>
      </c>
      <c r="B140">
        <v>2005</v>
      </c>
      <c r="C140" t="s">
        <v>371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372</v>
      </c>
      <c r="B141">
        <v>2004</v>
      </c>
      <c r="C141" t="s">
        <v>371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372</v>
      </c>
      <c r="B142">
        <v>2003</v>
      </c>
      <c r="C142" t="s">
        <v>371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372</v>
      </c>
      <c r="B143">
        <v>2002</v>
      </c>
      <c r="C143" t="s">
        <v>371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372</v>
      </c>
      <c r="B144">
        <v>2001</v>
      </c>
      <c r="C144" t="s">
        <v>371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372</v>
      </c>
      <c r="B145">
        <v>2000</v>
      </c>
      <c r="C145" t="s">
        <v>371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373</v>
      </c>
      <c r="B146">
        <v>2015</v>
      </c>
      <c r="C146" t="s">
        <v>363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373</v>
      </c>
      <c r="B147">
        <v>2014</v>
      </c>
      <c r="C147" t="s">
        <v>363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373</v>
      </c>
      <c r="B148">
        <v>2013</v>
      </c>
      <c r="C148" t="s">
        <v>363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373</v>
      </c>
      <c r="B149">
        <v>2012</v>
      </c>
      <c r="C149" t="s">
        <v>363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373</v>
      </c>
      <c r="B150">
        <v>2011</v>
      </c>
      <c r="C150" t="s">
        <v>363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373</v>
      </c>
      <c r="B151">
        <v>2010</v>
      </c>
      <c r="C151" t="s">
        <v>363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373</v>
      </c>
      <c r="B152">
        <v>2009</v>
      </c>
      <c r="C152" t="s">
        <v>363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373</v>
      </c>
      <c r="B153">
        <v>2008</v>
      </c>
      <c r="C153" t="s">
        <v>363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373</v>
      </c>
      <c r="B154">
        <v>2007</v>
      </c>
      <c r="C154" t="s">
        <v>363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373</v>
      </c>
      <c r="B155">
        <v>2006</v>
      </c>
      <c r="C155" t="s">
        <v>363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373</v>
      </c>
      <c r="B156">
        <v>2005</v>
      </c>
      <c r="C156" t="s">
        <v>363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373</v>
      </c>
      <c r="B157">
        <v>2004</v>
      </c>
      <c r="C157" t="s">
        <v>363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373</v>
      </c>
      <c r="B158">
        <v>2003</v>
      </c>
      <c r="C158" t="s">
        <v>363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373</v>
      </c>
      <c r="B159">
        <v>2002</v>
      </c>
      <c r="C159" t="s">
        <v>363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373</v>
      </c>
      <c r="B160">
        <v>2001</v>
      </c>
      <c r="C160" t="s">
        <v>363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373</v>
      </c>
      <c r="B161">
        <v>2000</v>
      </c>
      <c r="C161" t="s">
        <v>363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374</v>
      </c>
      <c r="B162">
        <v>2015</v>
      </c>
      <c r="C162" t="s">
        <v>363</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374</v>
      </c>
      <c r="B163">
        <v>2014</v>
      </c>
      <c r="C163" t="s">
        <v>363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374</v>
      </c>
      <c r="B164">
        <v>2013</v>
      </c>
      <c r="C164" t="s">
        <v>363</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374</v>
      </c>
      <c r="B165">
        <v>2012</v>
      </c>
      <c r="C165" t="s">
        <v>363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374</v>
      </c>
      <c r="B166">
        <v>2011</v>
      </c>
      <c r="C166" t="s">
        <v>363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374</v>
      </c>
      <c r="B167">
        <v>2010</v>
      </c>
      <c r="C167" t="s">
        <v>363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374</v>
      </c>
      <c r="B168">
        <v>2009</v>
      </c>
      <c r="C168" t="s">
        <v>363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374</v>
      </c>
      <c r="B169">
        <v>2008</v>
      </c>
      <c r="C169" t="s">
        <v>363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374</v>
      </c>
      <c r="B170">
        <v>2007</v>
      </c>
      <c r="C170" t="s">
        <v>363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374</v>
      </c>
      <c r="B171">
        <v>2006</v>
      </c>
      <c r="C171" t="s">
        <v>363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374</v>
      </c>
      <c r="B172">
        <v>2005</v>
      </c>
      <c r="C172" t="s">
        <v>363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374</v>
      </c>
      <c r="B173">
        <v>2004</v>
      </c>
      <c r="C173" t="s">
        <v>363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374</v>
      </c>
      <c r="B174">
        <v>2003</v>
      </c>
      <c r="C174" t="s">
        <v>363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374</v>
      </c>
      <c r="B175">
        <v>2002</v>
      </c>
      <c r="C175" t="s">
        <v>363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374</v>
      </c>
      <c r="B176">
        <v>2001</v>
      </c>
      <c r="C176" t="s">
        <v>363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374</v>
      </c>
      <c r="B177">
        <v>2000</v>
      </c>
      <c r="C177" t="s">
        <v>363</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375</v>
      </c>
      <c r="B178">
        <v>2015</v>
      </c>
      <c r="C178" t="s">
        <v>363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375</v>
      </c>
      <c r="B179">
        <v>2014</v>
      </c>
      <c r="C179" t="s">
        <v>363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375</v>
      </c>
      <c r="B180">
        <v>2013</v>
      </c>
      <c r="C180" t="s">
        <v>363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375</v>
      </c>
      <c r="B181">
        <v>2012</v>
      </c>
      <c r="C181" t="s">
        <v>363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375</v>
      </c>
      <c r="B182">
        <v>2011</v>
      </c>
      <c r="C182" t="s">
        <v>363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375</v>
      </c>
      <c r="B183">
        <v>2010</v>
      </c>
      <c r="C183" t="s">
        <v>363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375</v>
      </c>
      <c r="B184">
        <v>2009</v>
      </c>
      <c r="C184" t="s">
        <v>363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375</v>
      </c>
      <c r="B185">
        <v>2008</v>
      </c>
      <c r="C185" t="s">
        <v>363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375</v>
      </c>
      <c r="B186">
        <v>2007</v>
      </c>
      <c r="C186" t="s">
        <v>363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375</v>
      </c>
      <c r="B187">
        <v>2006</v>
      </c>
      <c r="C187" t="s">
        <v>363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375</v>
      </c>
      <c r="B188">
        <v>2005</v>
      </c>
      <c r="C188" t="s">
        <v>363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375</v>
      </c>
      <c r="B189">
        <v>2004</v>
      </c>
      <c r="C189" t="s">
        <v>363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375</v>
      </c>
      <c r="B190">
        <v>2003</v>
      </c>
      <c r="C190" t="s">
        <v>363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375</v>
      </c>
      <c r="B191">
        <v>2002</v>
      </c>
      <c r="C191" t="s">
        <v>363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375</v>
      </c>
      <c r="B192">
        <v>2001</v>
      </c>
      <c r="C192" t="s">
        <v>363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375</v>
      </c>
      <c r="B193">
        <v>2000</v>
      </c>
      <c r="C193" t="s">
        <v>363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376</v>
      </c>
      <c r="B194">
        <v>2015</v>
      </c>
      <c r="C194" t="s">
        <v>363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376</v>
      </c>
      <c r="B195">
        <v>2014</v>
      </c>
      <c r="C195" t="s">
        <v>363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376</v>
      </c>
      <c r="B196">
        <v>2013</v>
      </c>
      <c r="C196" t="s">
        <v>363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376</v>
      </c>
      <c r="B197">
        <v>2012</v>
      </c>
      <c r="C197" t="s">
        <v>363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376</v>
      </c>
      <c r="B198">
        <v>2011</v>
      </c>
      <c r="C198" t="s">
        <v>363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376</v>
      </c>
      <c r="B199">
        <v>2010</v>
      </c>
      <c r="C199" t="s">
        <v>363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376</v>
      </c>
      <c r="B200">
        <v>2009</v>
      </c>
      <c r="C200" t="s">
        <v>363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376</v>
      </c>
      <c r="B201">
        <v>2008</v>
      </c>
      <c r="C201" t="s">
        <v>363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376</v>
      </c>
      <c r="B202">
        <v>2007</v>
      </c>
      <c r="C202" t="s">
        <v>363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376</v>
      </c>
      <c r="B203">
        <v>2006</v>
      </c>
      <c r="C203" t="s">
        <v>363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376</v>
      </c>
      <c r="B204">
        <v>2005</v>
      </c>
      <c r="C204" t="s">
        <v>363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376</v>
      </c>
      <c r="B205">
        <v>2004</v>
      </c>
      <c r="C205" t="s">
        <v>363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376</v>
      </c>
      <c r="B206">
        <v>2003</v>
      </c>
      <c r="C206" t="s">
        <v>363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376</v>
      </c>
      <c r="B207">
        <v>2002</v>
      </c>
      <c r="C207" t="s">
        <v>363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376</v>
      </c>
      <c r="B208">
        <v>2001</v>
      </c>
      <c r="C208" t="s">
        <v>363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376</v>
      </c>
      <c r="B209">
        <v>2000</v>
      </c>
      <c r="C209" t="s">
        <v>363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377</v>
      </c>
      <c r="B210">
        <v>2015</v>
      </c>
      <c r="C210" t="s">
        <v>363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377</v>
      </c>
      <c r="B211">
        <v>2014</v>
      </c>
      <c r="C211" t="s">
        <v>363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377</v>
      </c>
      <c r="B212">
        <v>2013</v>
      </c>
      <c r="C212" t="s">
        <v>363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377</v>
      </c>
      <c r="B213">
        <v>2012</v>
      </c>
      <c r="C213" t="s">
        <v>363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377</v>
      </c>
      <c r="B214">
        <v>2011</v>
      </c>
      <c r="C214" t="s">
        <v>363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377</v>
      </c>
      <c r="B215">
        <v>2010</v>
      </c>
      <c r="C215" t="s">
        <v>363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377</v>
      </c>
      <c r="B216">
        <v>2009</v>
      </c>
      <c r="C216" t="s">
        <v>363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377</v>
      </c>
      <c r="B217">
        <v>2008</v>
      </c>
      <c r="C217" t="s">
        <v>363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377</v>
      </c>
      <c r="B218">
        <v>2007</v>
      </c>
      <c r="C218" t="s">
        <v>363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377</v>
      </c>
      <c r="B219">
        <v>2006</v>
      </c>
      <c r="C219" t="s">
        <v>363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377</v>
      </c>
      <c r="B220">
        <v>2005</v>
      </c>
      <c r="C220" t="s">
        <v>363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377</v>
      </c>
      <c r="B221">
        <v>2004</v>
      </c>
      <c r="C221" t="s">
        <v>363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377</v>
      </c>
      <c r="B222">
        <v>2003</v>
      </c>
      <c r="C222" t="s">
        <v>363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377</v>
      </c>
      <c r="B223">
        <v>2002</v>
      </c>
      <c r="C223" t="s">
        <v>363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377</v>
      </c>
      <c r="B224">
        <v>2001</v>
      </c>
      <c r="C224" t="s">
        <v>363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377</v>
      </c>
      <c r="B225">
        <v>2000</v>
      </c>
      <c r="C225" t="s">
        <v>363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378</v>
      </c>
      <c r="B226">
        <v>2015</v>
      </c>
      <c r="C226" t="s">
        <v>363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378</v>
      </c>
      <c r="B227">
        <v>2014</v>
      </c>
      <c r="C227" t="s">
        <v>363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378</v>
      </c>
      <c r="B228">
        <v>2013</v>
      </c>
      <c r="C228" t="s">
        <v>363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378</v>
      </c>
      <c r="B229">
        <v>2012</v>
      </c>
      <c r="C229" t="s">
        <v>363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378</v>
      </c>
      <c r="B230">
        <v>2011</v>
      </c>
      <c r="C230" t="s">
        <v>363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378</v>
      </c>
      <c r="B231">
        <v>2010</v>
      </c>
      <c r="C231" t="s">
        <v>363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378</v>
      </c>
      <c r="B232">
        <v>2009</v>
      </c>
      <c r="C232" t="s">
        <v>363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378</v>
      </c>
      <c r="B233">
        <v>2008</v>
      </c>
      <c r="C233" t="s">
        <v>363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378</v>
      </c>
      <c r="B234">
        <v>2007</v>
      </c>
      <c r="C234" t="s">
        <v>363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378</v>
      </c>
      <c r="B235">
        <v>2006</v>
      </c>
      <c r="C235" t="s">
        <v>363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378</v>
      </c>
      <c r="B236">
        <v>2005</v>
      </c>
      <c r="C236" t="s">
        <v>363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378</v>
      </c>
      <c r="B237">
        <v>2004</v>
      </c>
      <c r="C237" t="s">
        <v>363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378</v>
      </c>
      <c r="B238">
        <v>2003</v>
      </c>
      <c r="C238" t="s">
        <v>363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378</v>
      </c>
      <c r="B239">
        <v>2002</v>
      </c>
      <c r="C239" t="s">
        <v>363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378</v>
      </c>
      <c r="B240">
        <v>2001</v>
      </c>
      <c r="C240" t="s">
        <v>363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378</v>
      </c>
      <c r="B241">
        <v>2000</v>
      </c>
      <c r="C241" t="s">
        <v>363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379</v>
      </c>
      <c r="B242">
        <v>2015</v>
      </c>
      <c r="C242" t="s">
        <v>371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379</v>
      </c>
      <c r="B243">
        <v>2014</v>
      </c>
      <c r="C243" t="s">
        <v>371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379</v>
      </c>
      <c r="B244">
        <v>2013</v>
      </c>
      <c r="C244" t="s">
        <v>371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379</v>
      </c>
      <c r="B245">
        <v>2012</v>
      </c>
      <c r="C245" t="s">
        <v>371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379</v>
      </c>
      <c r="B246">
        <v>2011</v>
      </c>
      <c r="C246" t="s">
        <v>371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379</v>
      </c>
      <c r="B247">
        <v>2010</v>
      </c>
      <c r="C247" t="s">
        <v>371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379</v>
      </c>
      <c r="B248">
        <v>2009</v>
      </c>
      <c r="C248" t="s">
        <v>371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379</v>
      </c>
      <c r="B249">
        <v>2008</v>
      </c>
      <c r="C249" t="s">
        <v>371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379</v>
      </c>
      <c r="B250">
        <v>2007</v>
      </c>
      <c r="C250" t="s">
        <v>371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379</v>
      </c>
      <c r="B251">
        <v>2006</v>
      </c>
      <c r="C251" t="s">
        <v>371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379</v>
      </c>
      <c r="B252">
        <v>2005</v>
      </c>
      <c r="C252" t="s">
        <v>371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379</v>
      </c>
      <c r="B253">
        <v>2004</v>
      </c>
      <c r="C253" t="s">
        <v>371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379</v>
      </c>
      <c r="B254">
        <v>2003</v>
      </c>
      <c r="C254" t="s">
        <v>371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379</v>
      </c>
      <c r="B255">
        <v>2002</v>
      </c>
      <c r="C255" t="s">
        <v>371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379</v>
      </c>
      <c r="B256">
        <v>2001</v>
      </c>
      <c r="C256" t="s">
        <v>371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379</v>
      </c>
      <c r="B257">
        <v>2000</v>
      </c>
      <c r="C257" t="s">
        <v>371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380</v>
      </c>
      <c r="B258">
        <v>2015</v>
      </c>
      <c r="C258" t="s">
        <v>363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380</v>
      </c>
      <c r="B259">
        <v>2014</v>
      </c>
      <c r="C259" t="s">
        <v>363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380</v>
      </c>
      <c r="B260">
        <v>2013</v>
      </c>
      <c r="C260" t="s">
        <v>363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380</v>
      </c>
      <c r="B261">
        <v>2012</v>
      </c>
      <c r="C261" t="s">
        <v>363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380</v>
      </c>
      <c r="B262">
        <v>2011</v>
      </c>
      <c r="C262" t="s">
        <v>363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380</v>
      </c>
      <c r="B263">
        <v>2010</v>
      </c>
      <c r="C263" t="s">
        <v>363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380</v>
      </c>
      <c r="B264">
        <v>2009</v>
      </c>
      <c r="C264" t="s">
        <v>363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380</v>
      </c>
      <c r="B265">
        <v>2008</v>
      </c>
      <c r="C265" t="s">
        <v>363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380</v>
      </c>
      <c r="B266">
        <v>2007</v>
      </c>
      <c r="C266" t="s">
        <v>363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380</v>
      </c>
      <c r="B267">
        <v>2006</v>
      </c>
      <c r="C267" t="s">
        <v>363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380</v>
      </c>
      <c r="B268">
        <v>2005</v>
      </c>
      <c r="C268" t="s">
        <v>363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380</v>
      </c>
      <c r="B269">
        <v>2004</v>
      </c>
      <c r="C269" t="s">
        <v>363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380</v>
      </c>
      <c r="B270">
        <v>2003</v>
      </c>
      <c r="C270" t="s">
        <v>363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380</v>
      </c>
      <c r="B271">
        <v>2002</v>
      </c>
      <c r="C271" t="s">
        <v>363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380</v>
      </c>
      <c r="B272">
        <v>2001</v>
      </c>
      <c r="C272" t="s">
        <v>363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380</v>
      </c>
      <c r="B273">
        <v>2000</v>
      </c>
      <c r="C273" t="s">
        <v>363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381</v>
      </c>
      <c r="B274">
        <v>2015</v>
      </c>
      <c r="C274" t="s">
        <v>363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381</v>
      </c>
      <c r="B275">
        <v>2014</v>
      </c>
      <c r="C275" t="s">
        <v>363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381</v>
      </c>
      <c r="B276">
        <v>2013</v>
      </c>
      <c r="C276" t="s">
        <v>363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381</v>
      </c>
      <c r="B277">
        <v>2012</v>
      </c>
      <c r="C277" t="s">
        <v>363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381</v>
      </c>
      <c r="B278">
        <v>2011</v>
      </c>
      <c r="C278" t="s">
        <v>363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381</v>
      </c>
      <c r="B279">
        <v>2010</v>
      </c>
      <c r="C279" t="s">
        <v>363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381</v>
      </c>
      <c r="B280">
        <v>2009</v>
      </c>
      <c r="C280" t="s">
        <v>363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381</v>
      </c>
      <c r="B281">
        <v>2008</v>
      </c>
      <c r="C281" t="s">
        <v>363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381</v>
      </c>
      <c r="B282">
        <v>2007</v>
      </c>
      <c r="C282" t="s">
        <v>363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381</v>
      </c>
      <c r="B283">
        <v>2006</v>
      </c>
      <c r="C283" t="s">
        <v>363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381</v>
      </c>
      <c r="B284">
        <v>2005</v>
      </c>
      <c r="C284" t="s">
        <v>363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381</v>
      </c>
      <c r="B285">
        <v>2004</v>
      </c>
      <c r="C285" t="s">
        <v>363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381</v>
      </c>
      <c r="B286">
        <v>2003</v>
      </c>
      <c r="C286" t="s">
        <v>363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381</v>
      </c>
      <c r="B287">
        <v>2002</v>
      </c>
      <c r="C287" t="s">
        <v>363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381</v>
      </c>
      <c r="B288">
        <v>2001</v>
      </c>
      <c r="C288" t="s">
        <v>363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381</v>
      </c>
      <c r="B289">
        <v>2000</v>
      </c>
      <c r="C289" t="s">
        <v>363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382</v>
      </c>
      <c r="B290">
        <v>2015</v>
      </c>
      <c r="C290" t="s">
        <v>363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382</v>
      </c>
      <c r="B291">
        <v>2014</v>
      </c>
      <c r="C291" t="s">
        <v>363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382</v>
      </c>
      <c r="B292">
        <v>2013</v>
      </c>
      <c r="C292" t="s">
        <v>363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382</v>
      </c>
      <c r="B293">
        <v>2012</v>
      </c>
      <c r="C293" t="s">
        <v>363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382</v>
      </c>
      <c r="B294">
        <v>2011</v>
      </c>
      <c r="C294" t="s">
        <v>363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382</v>
      </c>
      <c r="B295">
        <v>2010</v>
      </c>
      <c r="C295" t="s">
        <v>363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382</v>
      </c>
      <c r="B296">
        <v>2009</v>
      </c>
      <c r="C296" t="s">
        <v>363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382</v>
      </c>
      <c r="B297">
        <v>2008</v>
      </c>
      <c r="C297" t="s">
        <v>363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382</v>
      </c>
      <c r="B298">
        <v>2007</v>
      </c>
      <c r="C298" t="s">
        <v>363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382</v>
      </c>
      <c r="B299">
        <v>2006</v>
      </c>
      <c r="C299" t="s">
        <v>363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382</v>
      </c>
      <c r="B300">
        <v>2005</v>
      </c>
      <c r="C300" t="s">
        <v>363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382</v>
      </c>
      <c r="B301">
        <v>2004</v>
      </c>
      <c r="C301" t="s">
        <v>363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382</v>
      </c>
      <c r="B302">
        <v>2003</v>
      </c>
      <c r="C302" t="s">
        <v>363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382</v>
      </c>
      <c r="B303">
        <v>2002</v>
      </c>
      <c r="C303" t="s">
        <v>363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382</v>
      </c>
      <c r="B304">
        <v>2001</v>
      </c>
      <c r="C304" t="s">
        <v>363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382</v>
      </c>
      <c r="B305">
        <v>2000</v>
      </c>
      <c r="C305" t="s">
        <v>363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383</v>
      </c>
      <c r="B306">
        <v>2015</v>
      </c>
      <c r="C306" t="s">
        <v>363</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383</v>
      </c>
      <c r="B307">
        <v>2014</v>
      </c>
      <c r="C307" t="s">
        <v>363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383</v>
      </c>
      <c r="B308">
        <v>2013</v>
      </c>
      <c r="C308" t="s">
        <v>363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383</v>
      </c>
      <c r="B309">
        <v>2012</v>
      </c>
      <c r="C309" t="s">
        <v>363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383</v>
      </c>
      <c r="B310">
        <v>2011</v>
      </c>
      <c r="C310" t="s">
        <v>363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383</v>
      </c>
      <c r="B311">
        <v>2010</v>
      </c>
      <c r="C311" t="s">
        <v>363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383</v>
      </c>
      <c r="B312">
        <v>2009</v>
      </c>
      <c r="C312" t="s">
        <v>363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383</v>
      </c>
      <c r="B313">
        <v>2008</v>
      </c>
      <c r="C313" t="s">
        <v>363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383</v>
      </c>
      <c r="B314">
        <v>2007</v>
      </c>
      <c r="C314" t="s">
        <v>363</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383</v>
      </c>
      <c r="B315">
        <v>2006</v>
      </c>
      <c r="C315" t="s">
        <v>363</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383</v>
      </c>
      <c r="B316">
        <v>2005</v>
      </c>
      <c r="C316" t="s">
        <v>363</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383</v>
      </c>
      <c r="B317">
        <v>2004</v>
      </c>
      <c r="C317" t="s">
        <v>363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383</v>
      </c>
      <c r="B318">
        <v>2003</v>
      </c>
      <c r="C318" t="s">
        <v>363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383</v>
      </c>
      <c r="B319">
        <v>2002</v>
      </c>
      <c r="C319" t="s">
        <v>363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383</v>
      </c>
      <c r="B320">
        <v>2001</v>
      </c>
      <c r="C320" t="s">
        <v>363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383</v>
      </c>
      <c r="B321">
        <v>2000</v>
      </c>
      <c r="C321" t="s">
        <v>363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384</v>
      </c>
      <c r="B322">
        <v>2015</v>
      </c>
      <c r="C322" t="s">
        <v>363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384</v>
      </c>
      <c r="B323">
        <v>2014</v>
      </c>
      <c r="C323" t="s">
        <v>363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384</v>
      </c>
      <c r="B324">
        <v>2013</v>
      </c>
      <c r="C324" t="s">
        <v>363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384</v>
      </c>
      <c r="B325">
        <v>2012</v>
      </c>
      <c r="C325" t="s">
        <v>363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384</v>
      </c>
      <c r="B326">
        <v>2011</v>
      </c>
      <c r="C326" t="s">
        <v>363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384</v>
      </c>
      <c r="B327">
        <v>2010</v>
      </c>
      <c r="C327" t="s">
        <v>363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384</v>
      </c>
      <c r="B328">
        <v>2009</v>
      </c>
      <c r="C328" t="s">
        <v>363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384</v>
      </c>
      <c r="B329">
        <v>2008</v>
      </c>
      <c r="C329" t="s">
        <v>363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384</v>
      </c>
      <c r="B330">
        <v>2007</v>
      </c>
      <c r="C330" t="s">
        <v>363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384</v>
      </c>
      <c r="B331">
        <v>2006</v>
      </c>
      <c r="C331" t="s">
        <v>363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384</v>
      </c>
      <c r="B332">
        <v>2005</v>
      </c>
      <c r="C332" t="s">
        <v>363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384</v>
      </c>
      <c r="B333">
        <v>2004</v>
      </c>
      <c r="C333" t="s">
        <v>363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384</v>
      </c>
      <c r="B334">
        <v>2003</v>
      </c>
      <c r="C334" t="s">
        <v>363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384</v>
      </c>
      <c r="B335">
        <v>2002</v>
      </c>
      <c r="C335" t="s">
        <v>363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384</v>
      </c>
      <c r="B336">
        <v>2001</v>
      </c>
      <c r="C336" t="s">
        <v>363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384</v>
      </c>
      <c r="B337">
        <v>2000</v>
      </c>
      <c r="C337" t="s">
        <v>363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385</v>
      </c>
      <c r="B338">
        <v>2015</v>
      </c>
      <c r="C338" t="s">
        <v>363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385</v>
      </c>
      <c r="B339">
        <v>2014</v>
      </c>
      <c r="C339" t="s">
        <v>363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385</v>
      </c>
      <c r="B340">
        <v>2013</v>
      </c>
      <c r="C340" t="s">
        <v>363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385</v>
      </c>
      <c r="B341">
        <v>2012</v>
      </c>
      <c r="C341" t="s">
        <v>363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385</v>
      </c>
      <c r="B342">
        <v>2011</v>
      </c>
      <c r="C342" t="s">
        <v>363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385</v>
      </c>
      <c r="B343">
        <v>2010</v>
      </c>
      <c r="C343" t="s">
        <v>363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385</v>
      </c>
      <c r="B344">
        <v>2009</v>
      </c>
      <c r="C344" t="s">
        <v>363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385</v>
      </c>
      <c r="B345">
        <v>2008</v>
      </c>
      <c r="C345" t="s">
        <v>363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385</v>
      </c>
      <c r="B346">
        <v>2007</v>
      </c>
      <c r="C346" t="s">
        <v>363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385</v>
      </c>
      <c r="B347">
        <v>2006</v>
      </c>
      <c r="C347" t="s">
        <v>363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385</v>
      </c>
      <c r="B348">
        <v>2005</v>
      </c>
      <c r="C348" t="s">
        <v>363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385</v>
      </c>
      <c r="B349">
        <v>2004</v>
      </c>
      <c r="C349" t="s">
        <v>363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385</v>
      </c>
      <c r="B350">
        <v>2003</v>
      </c>
      <c r="C350" t="s">
        <v>363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385</v>
      </c>
      <c r="B351">
        <v>2002</v>
      </c>
      <c r="C351" t="s">
        <v>363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385</v>
      </c>
      <c r="B352">
        <v>2001</v>
      </c>
      <c r="C352" t="s">
        <v>363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385</v>
      </c>
      <c r="B353">
        <v>2000</v>
      </c>
      <c r="C353" t="s">
        <v>363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386</v>
      </c>
      <c r="B354">
        <v>2015</v>
      </c>
      <c r="C354" t="s">
        <v>363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386</v>
      </c>
      <c r="B355">
        <v>2014</v>
      </c>
      <c r="C355" t="s">
        <v>363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386</v>
      </c>
      <c r="B356">
        <v>2013</v>
      </c>
      <c r="C356" t="s">
        <v>363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386</v>
      </c>
      <c r="B357">
        <v>2012</v>
      </c>
      <c r="C357" t="s">
        <v>363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386</v>
      </c>
      <c r="B358">
        <v>2011</v>
      </c>
      <c r="C358" t="s">
        <v>363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386</v>
      </c>
      <c r="B359">
        <v>2010</v>
      </c>
      <c r="C359" t="s">
        <v>363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386</v>
      </c>
      <c r="B360">
        <v>2009</v>
      </c>
      <c r="C360" t="s">
        <v>363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386</v>
      </c>
      <c r="B361">
        <v>2008</v>
      </c>
      <c r="C361" t="s">
        <v>363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386</v>
      </c>
      <c r="B362">
        <v>2007</v>
      </c>
      <c r="C362" t="s">
        <v>363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386</v>
      </c>
      <c r="B363">
        <v>2006</v>
      </c>
      <c r="C363" t="s">
        <v>363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386</v>
      </c>
      <c r="B364">
        <v>2005</v>
      </c>
      <c r="C364" t="s">
        <v>363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386</v>
      </c>
      <c r="B365">
        <v>2004</v>
      </c>
      <c r="C365" t="s">
        <v>363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386</v>
      </c>
      <c r="B366">
        <v>2003</v>
      </c>
      <c r="C366" t="s">
        <v>363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386</v>
      </c>
      <c r="B367">
        <v>2002</v>
      </c>
      <c r="C367" t="s">
        <v>363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386</v>
      </c>
      <c r="B368">
        <v>2001</v>
      </c>
      <c r="C368" t="s">
        <v>363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386</v>
      </c>
      <c r="B369">
        <v>2000</v>
      </c>
      <c r="C369" t="s">
        <v>363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387</v>
      </c>
      <c r="B370">
        <v>2015</v>
      </c>
      <c r="C370" t="s">
        <v>363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387</v>
      </c>
      <c r="B371">
        <v>2014</v>
      </c>
      <c r="C371" t="s">
        <v>363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387</v>
      </c>
      <c r="B372">
        <v>2013</v>
      </c>
      <c r="C372" t="s">
        <v>363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387</v>
      </c>
      <c r="B373">
        <v>2012</v>
      </c>
      <c r="C373" t="s">
        <v>363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387</v>
      </c>
      <c r="B374">
        <v>2011</v>
      </c>
      <c r="C374" t="s">
        <v>363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387</v>
      </c>
      <c r="B375">
        <v>2010</v>
      </c>
      <c r="C375" t="s">
        <v>363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387</v>
      </c>
      <c r="B376">
        <v>2009</v>
      </c>
      <c r="C376" t="s">
        <v>363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387</v>
      </c>
      <c r="B377">
        <v>2008</v>
      </c>
      <c r="C377" t="s">
        <v>363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387</v>
      </c>
      <c r="B378">
        <v>2007</v>
      </c>
      <c r="C378" t="s">
        <v>363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387</v>
      </c>
      <c r="B379">
        <v>2006</v>
      </c>
      <c r="C379" t="s">
        <v>363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387</v>
      </c>
      <c r="B380">
        <v>2005</v>
      </c>
      <c r="C380" t="s">
        <v>363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387</v>
      </c>
      <c r="B381">
        <v>2004</v>
      </c>
      <c r="C381" t="s">
        <v>363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387</v>
      </c>
      <c r="B382">
        <v>2003</v>
      </c>
      <c r="C382" t="s">
        <v>363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387</v>
      </c>
      <c r="B383">
        <v>2002</v>
      </c>
      <c r="C383" t="s">
        <v>363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387</v>
      </c>
      <c r="B384">
        <v>2001</v>
      </c>
      <c r="C384" t="s">
        <v>363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387</v>
      </c>
      <c r="B385">
        <v>2000</v>
      </c>
      <c r="C385" t="s">
        <v>363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388</v>
      </c>
      <c r="B386">
        <v>2015</v>
      </c>
      <c r="C386" t="s">
        <v>371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388</v>
      </c>
      <c r="B387">
        <v>2014</v>
      </c>
      <c r="C387" t="s">
        <v>371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388</v>
      </c>
      <c r="B388">
        <v>2013</v>
      </c>
      <c r="C388" t="s">
        <v>371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388</v>
      </c>
      <c r="B389">
        <v>2012</v>
      </c>
      <c r="C389" t="s">
        <v>371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388</v>
      </c>
      <c r="B390">
        <v>2011</v>
      </c>
      <c r="C390" t="s">
        <v>371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388</v>
      </c>
      <c r="B391">
        <v>2010</v>
      </c>
      <c r="C391" t="s">
        <v>371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388</v>
      </c>
      <c r="B392">
        <v>2009</v>
      </c>
      <c r="C392" t="s">
        <v>371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388</v>
      </c>
      <c r="B393">
        <v>2008</v>
      </c>
      <c r="C393" t="s">
        <v>371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388</v>
      </c>
      <c r="B394">
        <v>2007</v>
      </c>
      <c r="C394" t="s">
        <v>371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388</v>
      </c>
      <c r="B395">
        <v>2006</v>
      </c>
      <c r="C395" t="s">
        <v>371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388</v>
      </c>
      <c r="B396">
        <v>2005</v>
      </c>
      <c r="C396" t="s">
        <v>371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388</v>
      </c>
      <c r="B397">
        <v>2004</v>
      </c>
      <c r="C397" t="s">
        <v>371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388</v>
      </c>
      <c r="B398">
        <v>2003</v>
      </c>
      <c r="C398" t="s">
        <v>371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388</v>
      </c>
      <c r="B399">
        <v>2002</v>
      </c>
      <c r="C399" t="s">
        <v>371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388</v>
      </c>
      <c r="B400">
        <v>2001</v>
      </c>
      <c r="C400" t="s">
        <v>371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388</v>
      </c>
      <c r="B401">
        <v>2000</v>
      </c>
      <c r="C401" t="s">
        <v>371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389</v>
      </c>
      <c r="B402">
        <v>2015</v>
      </c>
      <c r="C402" t="s">
        <v>363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389</v>
      </c>
      <c r="B403">
        <v>2014</v>
      </c>
      <c r="C403" t="s">
        <v>363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389</v>
      </c>
      <c r="B404">
        <v>2013</v>
      </c>
      <c r="C404" t="s">
        <v>363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389</v>
      </c>
      <c r="B405">
        <v>2012</v>
      </c>
      <c r="C405" t="s">
        <v>363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389</v>
      </c>
      <c r="B406">
        <v>2011</v>
      </c>
      <c r="C406" t="s">
        <v>363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389</v>
      </c>
      <c r="B407">
        <v>2010</v>
      </c>
      <c r="C407" t="s">
        <v>363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389</v>
      </c>
      <c r="B408">
        <v>2009</v>
      </c>
      <c r="C408" t="s">
        <v>363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389</v>
      </c>
      <c r="B409">
        <v>2008</v>
      </c>
      <c r="C409" t="s">
        <v>363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389</v>
      </c>
      <c r="B410">
        <v>2007</v>
      </c>
      <c r="C410" t="s">
        <v>363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389</v>
      </c>
      <c r="B411">
        <v>2006</v>
      </c>
      <c r="C411" t="s">
        <v>363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389</v>
      </c>
      <c r="B412">
        <v>2005</v>
      </c>
      <c r="C412" t="s">
        <v>363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389</v>
      </c>
      <c r="B413">
        <v>2004</v>
      </c>
      <c r="C413" t="s">
        <v>363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389</v>
      </c>
      <c r="B414">
        <v>2003</v>
      </c>
      <c r="C414" t="s">
        <v>363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389</v>
      </c>
      <c r="B415">
        <v>2002</v>
      </c>
      <c r="C415" t="s">
        <v>363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389</v>
      </c>
      <c r="B416">
        <v>2001</v>
      </c>
      <c r="C416" t="s">
        <v>363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389</v>
      </c>
      <c r="B417">
        <v>2000</v>
      </c>
      <c r="C417" t="s">
        <v>363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390</v>
      </c>
      <c r="B418">
        <v>2015</v>
      </c>
      <c r="C418" t="s">
        <v>363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390</v>
      </c>
      <c r="B419">
        <v>2014</v>
      </c>
      <c r="C419" t="s">
        <v>363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390</v>
      </c>
      <c r="B420">
        <v>2013</v>
      </c>
      <c r="C420" t="s">
        <v>363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390</v>
      </c>
      <c r="B421">
        <v>2012</v>
      </c>
      <c r="C421" t="s">
        <v>363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390</v>
      </c>
      <c r="B422">
        <v>2011</v>
      </c>
      <c r="C422" t="s">
        <v>363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390</v>
      </c>
      <c r="B423">
        <v>2010</v>
      </c>
      <c r="C423" t="s">
        <v>363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390</v>
      </c>
      <c r="B424">
        <v>2009</v>
      </c>
      <c r="C424" t="s">
        <v>363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390</v>
      </c>
      <c r="B425">
        <v>2008</v>
      </c>
      <c r="C425" t="s">
        <v>363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390</v>
      </c>
      <c r="B426">
        <v>2007</v>
      </c>
      <c r="C426" t="s">
        <v>363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390</v>
      </c>
      <c r="B427">
        <v>2006</v>
      </c>
      <c r="C427" t="s">
        <v>363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390</v>
      </c>
      <c r="B428">
        <v>2005</v>
      </c>
      <c r="C428" t="s">
        <v>363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390</v>
      </c>
      <c r="B429">
        <v>2004</v>
      </c>
      <c r="C429" t="s">
        <v>363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390</v>
      </c>
      <c r="B430">
        <v>2003</v>
      </c>
      <c r="C430" t="s">
        <v>363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390</v>
      </c>
      <c r="B431">
        <v>2002</v>
      </c>
      <c r="C431" t="s">
        <v>363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390</v>
      </c>
      <c r="B432">
        <v>2001</v>
      </c>
      <c r="C432" t="s">
        <v>363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390</v>
      </c>
      <c r="B433">
        <v>2000</v>
      </c>
      <c r="C433" t="s">
        <v>363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391</v>
      </c>
      <c r="B434">
        <v>2015</v>
      </c>
      <c r="C434" t="s">
        <v>363</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391</v>
      </c>
      <c r="B435">
        <v>2014</v>
      </c>
      <c r="C435" t="s">
        <v>363</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391</v>
      </c>
      <c r="B436">
        <v>2013</v>
      </c>
      <c r="C436" t="s">
        <v>363</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391</v>
      </c>
      <c r="B437">
        <v>2012</v>
      </c>
      <c r="C437" t="s">
        <v>363</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391</v>
      </c>
      <c r="B438">
        <v>2011</v>
      </c>
      <c r="C438" t="s">
        <v>363</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391</v>
      </c>
      <c r="B439">
        <v>2010</v>
      </c>
      <c r="C439" t="s">
        <v>363</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391</v>
      </c>
      <c r="B440">
        <v>2009</v>
      </c>
      <c r="C440" t="s">
        <v>363</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391</v>
      </c>
      <c r="B441">
        <v>2008</v>
      </c>
      <c r="C441" t="s">
        <v>363</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391</v>
      </c>
      <c r="B442">
        <v>2007</v>
      </c>
      <c r="C442" t="s">
        <v>363</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391</v>
      </c>
      <c r="B443">
        <v>2006</v>
      </c>
      <c r="C443" t="s">
        <v>363</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391</v>
      </c>
      <c r="B444">
        <v>2005</v>
      </c>
      <c r="C444" t="s">
        <v>363</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391</v>
      </c>
      <c r="B445">
        <v>2004</v>
      </c>
      <c r="C445" t="s">
        <v>363</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391</v>
      </c>
      <c r="B446">
        <v>2003</v>
      </c>
      <c r="C446" t="s">
        <v>363</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391</v>
      </c>
      <c r="B447">
        <v>2002</v>
      </c>
      <c r="C447" t="s">
        <v>363</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391</v>
      </c>
      <c r="B448">
        <v>2001</v>
      </c>
      <c r="C448" t="s">
        <v>363</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391</v>
      </c>
      <c r="B449">
        <v>2000</v>
      </c>
      <c r="C449" t="s">
        <v>363</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392</v>
      </c>
      <c r="B450">
        <v>2015</v>
      </c>
      <c r="C450" t="s">
        <v>363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392</v>
      </c>
      <c r="B451">
        <v>2014</v>
      </c>
      <c r="C451" t="s">
        <v>363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392</v>
      </c>
      <c r="B452">
        <v>2013</v>
      </c>
      <c r="C452" t="s">
        <v>363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392</v>
      </c>
      <c r="B453">
        <v>2012</v>
      </c>
      <c r="C453" t="s">
        <v>363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392</v>
      </c>
      <c r="B454">
        <v>2011</v>
      </c>
      <c r="C454" t="s">
        <v>363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392</v>
      </c>
      <c r="B455">
        <v>2010</v>
      </c>
      <c r="C455" t="s">
        <v>363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392</v>
      </c>
      <c r="B456">
        <v>2009</v>
      </c>
      <c r="C456" t="s">
        <v>363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392</v>
      </c>
      <c r="B457">
        <v>2008</v>
      </c>
      <c r="C457" t="s">
        <v>363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392</v>
      </c>
      <c r="B458">
        <v>2007</v>
      </c>
      <c r="C458" t="s">
        <v>363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392</v>
      </c>
      <c r="B459">
        <v>2006</v>
      </c>
      <c r="C459" t="s">
        <v>363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392</v>
      </c>
      <c r="B460">
        <v>2005</v>
      </c>
      <c r="C460" t="s">
        <v>363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392</v>
      </c>
      <c r="B461">
        <v>2004</v>
      </c>
      <c r="C461" t="s">
        <v>363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392</v>
      </c>
      <c r="B462">
        <v>2003</v>
      </c>
      <c r="C462" t="s">
        <v>363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392</v>
      </c>
      <c r="B463">
        <v>2002</v>
      </c>
      <c r="C463" t="s">
        <v>363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392</v>
      </c>
      <c r="B464">
        <v>2001</v>
      </c>
      <c r="C464" t="s">
        <v>363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392</v>
      </c>
      <c r="B465">
        <v>2000</v>
      </c>
      <c r="C465" t="s">
        <v>363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393</v>
      </c>
      <c r="B466">
        <v>2015</v>
      </c>
      <c r="C466" t="s">
        <v>363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393</v>
      </c>
      <c r="B467">
        <v>2014</v>
      </c>
      <c r="C467" t="s">
        <v>363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393</v>
      </c>
      <c r="B468">
        <v>2013</v>
      </c>
      <c r="C468" t="s">
        <v>363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393</v>
      </c>
      <c r="B469">
        <v>2012</v>
      </c>
      <c r="C469" t="s">
        <v>363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393</v>
      </c>
      <c r="B470">
        <v>2011</v>
      </c>
      <c r="C470" t="s">
        <v>363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393</v>
      </c>
      <c r="B471">
        <v>2010</v>
      </c>
      <c r="C471" t="s">
        <v>363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393</v>
      </c>
      <c r="B472">
        <v>2009</v>
      </c>
      <c r="C472" t="s">
        <v>363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393</v>
      </c>
      <c r="B473">
        <v>2008</v>
      </c>
      <c r="C473" t="s">
        <v>363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393</v>
      </c>
      <c r="B474">
        <v>2007</v>
      </c>
      <c r="C474" t="s">
        <v>363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393</v>
      </c>
      <c r="B475">
        <v>2006</v>
      </c>
      <c r="C475" t="s">
        <v>363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393</v>
      </c>
      <c r="B476">
        <v>2005</v>
      </c>
      <c r="C476" t="s">
        <v>363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393</v>
      </c>
      <c r="B477">
        <v>2004</v>
      </c>
      <c r="C477" t="s">
        <v>363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393</v>
      </c>
      <c r="B478">
        <v>2003</v>
      </c>
      <c r="C478" t="s">
        <v>363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393</v>
      </c>
      <c r="B479">
        <v>2002</v>
      </c>
      <c r="C479" t="s">
        <v>363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393</v>
      </c>
      <c r="B480">
        <v>2001</v>
      </c>
      <c r="C480" t="s">
        <v>363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393</v>
      </c>
      <c r="B481">
        <v>2000</v>
      </c>
      <c r="C481" t="s">
        <v>363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394</v>
      </c>
      <c r="B482">
        <v>2015</v>
      </c>
      <c r="C482" t="s">
        <v>363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394</v>
      </c>
      <c r="B483">
        <v>2014</v>
      </c>
      <c r="C483" t="s">
        <v>363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394</v>
      </c>
      <c r="B484">
        <v>2013</v>
      </c>
      <c r="C484" t="s">
        <v>363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394</v>
      </c>
      <c r="B485">
        <v>2012</v>
      </c>
      <c r="C485" t="s">
        <v>363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394</v>
      </c>
      <c r="B486">
        <v>2011</v>
      </c>
      <c r="C486" t="s">
        <v>363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394</v>
      </c>
      <c r="B487">
        <v>2010</v>
      </c>
      <c r="C487" t="s">
        <v>363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394</v>
      </c>
      <c r="B488">
        <v>2009</v>
      </c>
      <c r="C488" t="s">
        <v>363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394</v>
      </c>
      <c r="B489">
        <v>2008</v>
      </c>
      <c r="C489" t="s">
        <v>363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394</v>
      </c>
      <c r="B490">
        <v>2007</v>
      </c>
      <c r="C490" t="s">
        <v>363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394</v>
      </c>
      <c r="B491">
        <v>2006</v>
      </c>
      <c r="C491" t="s">
        <v>363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394</v>
      </c>
      <c r="B492">
        <v>2005</v>
      </c>
      <c r="C492" t="s">
        <v>363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394</v>
      </c>
      <c r="B493">
        <v>2004</v>
      </c>
      <c r="C493" t="s">
        <v>363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394</v>
      </c>
      <c r="B494">
        <v>2003</v>
      </c>
      <c r="C494" t="s">
        <v>363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394</v>
      </c>
      <c r="B495">
        <v>2002</v>
      </c>
      <c r="C495" t="s">
        <v>363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394</v>
      </c>
      <c r="B496">
        <v>2001</v>
      </c>
      <c r="C496" t="s">
        <v>363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394</v>
      </c>
      <c r="B497">
        <v>2000</v>
      </c>
      <c r="C497" t="s">
        <v>363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395</v>
      </c>
      <c r="B498">
        <v>2015</v>
      </c>
      <c r="C498" t="s">
        <v>363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395</v>
      </c>
      <c r="B499">
        <v>2014</v>
      </c>
      <c r="C499" t="s">
        <v>363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395</v>
      </c>
      <c r="B500">
        <v>2013</v>
      </c>
      <c r="C500" t="s">
        <v>363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395</v>
      </c>
      <c r="B501">
        <v>2012</v>
      </c>
      <c r="C501" t="s">
        <v>363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395</v>
      </c>
      <c r="B502">
        <v>2011</v>
      </c>
      <c r="C502" t="s">
        <v>363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395</v>
      </c>
      <c r="B503">
        <v>2010</v>
      </c>
      <c r="C503" t="s">
        <v>363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395</v>
      </c>
      <c r="B504">
        <v>2009</v>
      </c>
      <c r="C504" t="s">
        <v>363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395</v>
      </c>
      <c r="B505">
        <v>2008</v>
      </c>
      <c r="C505" t="s">
        <v>363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395</v>
      </c>
      <c r="B506">
        <v>2007</v>
      </c>
      <c r="C506" t="s">
        <v>363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395</v>
      </c>
      <c r="B507">
        <v>2006</v>
      </c>
      <c r="C507" t="s">
        <v>363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395</v>
      </c>
      <c r="B508">
        <v>2005</v>
      </c>
      <c r="C508" t="s">
        <v>363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395</v>
      </c>
      <c r="B509">
        <v>2004</v>
      </c>
      <c r="C509" t="s">
        <v>363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395</v>
      </c>
      <c r="B510">
        <v>2003</v>
      </c>
      <c r="C510" t="s">
        <v>363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395</v>
      </c>
      <c r="B511">
        <v>2002</v>
      </c>
      <c r="C511" t="s">
        <v>363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395</v>
      </c>
      <c r="B512">
        <v>2001</v>
      </c>
      <c r="C512" t="s">
        <v>363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395</v>
      </c>
      <c r="B513">
        <v>2000</v>
      </c>
      <c r="C513" t="s">
        <v>363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396</v>
      </c>
      <c r="B514">
        <v>2015</v>
      </c>
      <c r="C514" t="s">
        <v>363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396</v>
      </c>
      <c r="B515">
        <v>2014</v>
      </c>
      <c r="C515" t="s">
        <v>363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396</v>
      </c>
      <c r="B516">
        <v>2013</v>
      </c>
      <c r="C516" t="s">
        <v>363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396</v>
      </c>
      <c r="B517">
        <v>2012</v>
      </c>
      <c r="C517" t="s">
        <v>363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396</v>
      </c>
      <c r="B518">
        <v>2011</v>
      </c>
      <c r="C518" t="s">
        <v>363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396</v>
      </c>
      <c r="B519">
        <v>2010</v>
      </c>
      <c r="C519" t="s">
        <v>363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396</v>
      </c>
      <c r="B520">
        <v>2009</v>
      </c>
      <c r="C520" t="s">
        <v>363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396</v>
      </c>
      <c r="B521">
        <v>2008</v>
      </c>
      <c r="C521" t="s">
        <v>363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396</v>
      </c>
      <c r="B522">
        <v>2007</v>
      </c>
      <c r="C522" t="s">
        <v>363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396</v>
      </c>
      <c r="B523">
        <v>2006</v>
      </c>
      <c r="C523" t="s">
        <v>363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396</v>
      </c>
      <c r="B524">
        <v>2005</v>
      </c>
      <c r="C524" t="s">
        <v>363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396</v>
      </c>
      <c r="B525">
        <v>2004</v>
      </c>
      <c r="C525" t="s">
        <v>363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396</v>
      </c>
      <c r="B526">
        <v>2003</v>
      </c>
      <c r="C526" t="s">
        <v>363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396</v>
      </c>
      <c r="B527">
        <v>2002</v>
      </c>
      <c r="C527" t="s">
        <v>363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396</v>
      </c>
      <c r="B528">
        <v>2001</v>
      </c>
      <c r="C528" t="s">
        <v>363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396</v>
      </c>
      <c r="B529">
        <v>2000</v>
      </c>
      <c r="C529" t="s">
        <v>363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397</v>
      </c>
      <c r="B530">
        <v>2015</v>
      </c>
      <c r="C530" t="s">
        <v>363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397</v>
      </c>
      <c r="B531">
        <v>2014</v>
      </c>
      <c r="C531" t="s">
        <v>363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397</v>
      </c>
      <c r="B532">
        <v>2013</v>
      </c>
      <c r="C532" t="s">
        <v>363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397</v>
      </c>
      <c r="B533">
        <v>2012</v>
      </c>
      <c r="C533" t="s">
        <v>363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397</v>
      </c>
      <c r="B534">
        <v>2011</v>
      </c>
      <c r="C534" t="s">
        <v>363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397</v>
      </c>
      <c r="B535">
        <v>2010</v>
      </c>
      <c r="C535" t="s">
        <v>363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397</v>
      </c>
      <c r="B536">
        <v>2009</v>
      </c>
      <c r="C536" t="s">
        <v>363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397</v>
      </c>
      <c r="B537">
        <v>2008</v>
      </c>
      <c r="C537" t="s">
        <v>363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397</v>
      </c>
      <c r="B538">
        <v>2007</v>
      </c>
      <c r="C538" t="s">
        <v>363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397</v>
      </c>
      <c r="B539">
        <v>2006</v>
      </c>
      <c r="C539" t="s">
        <v>363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397</v>
      </c>
      <c r="B540">
        <v>2005</v>
      </c>
      <c r="C540" t="s">
        <v>363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397</v>
      </c>
      <c r="B541">
        <v>2004</v>
      </c>
      <c r="C541" t="s">
        <v>363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397</v>
      </c>
      <c r="B542">
        <v>2003</v>
      </c>
      <c r="C542" t="s">
        <v>363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397</v>
      </c>
      <c r="B543">
        <v>2002</v>
      </c>
      <c r="C543" t="s">
        <v>363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397</v>
      </c>
      <c r="B544">
        <v>2001</v>
      </c>
      <c r="C544" t="s">
        <v>363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397</v>
      </c>
      <c r="B545">
        <v>2000</v>
      </c>
      <c r="C545" t="s">
        <v>363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398</v>
      </c>
      <c r="B546">
        <v>2015</v>
      </c>
      <c r="C546" t="s">
        <v>363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398</v>
      </c>
      <c r="B547">
        <v>2014</v>
      </c>
      <c r="C547" t="s">
        <v>363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398</v>
      </c>
      <c r="B548">
        <v>2013</v>
      </c>
      <c r="C548" t="s">
        <v>363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398</v>
      </c>
      <c r="B549">
        <v>2012</v>
      </c>
      <c r="C549" t="s">
        <v>363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398</v>
      </c>
      <c r="B550">
        <v>2011</v>
      </c>
      <c r="C550" t="s">
        <v>363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398</v>
      </c>
      <c r="B551">
        <v>2010</v>
      </c>
      <c r="C551" t="s">
        <v>363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398</v>
      </c>
      <c r="B552">
        <v>2009</v>
      </c>
      <c r="C552" t="s">
        <v>363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398</v>
      </c>
      <c r="B553">
        <v>2008</v>
      </c>
      <c r="C553" t="s">
        <v>363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398</v>
      </c>
      <c r="B554">
        <v>2007</v>
      </c>
      <c r="C554" t="s">
        <v>363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398</v>
      </c>
      <c r="B555">
        <v>2006</v>
      </c>
      <c r="C555" t="s">
        <v>363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398</v>
      </c>
      <c r="B556">
        <v>2005</v>
      </c>
      <c r="C556" t="s">
        <v>363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398</v>
      </c>
      <c r="B557">
        <v>2004</v>
      </c>
      <c r="C557" t="s">
        <v>363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398</v>
      </c>
      <c r="B558">
        <v>2003</v>
      </c>
      <c r="C558" t="s">
        <v>363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398</v>
      </c>
      <c r="B559">
        <v>2002</v>
      </c>
      <c r="C559" t="s">
        <v>363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398</v>
      </c>
      <c r="B560">
        <v>2001</v>
      </c>
      <c r="C560" t="s">
        <v>363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398</v>
      </c>
      <c r="B561">
        <v>2000</v>
      </c>
      <c r="C561" t="s">
        <v>363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399</v>
      </c>
      <c r="B562">
        <v>2015</v>
      </c>
      <c r="C562" t="s">
        <v>363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399</v>
      </c>
      <c r="B563">
        <v>2014</v>
      </c>
      <c r="C563" t="s">
        <v>363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399</v>
      </c>
      <c r="B564">
        <v>2013</v>
      </c>
      <c r="C564" t="s">
        <v>363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399</v>
      </c>
      <c r="B565">
        <v>2012</v>
      </c>
      <c r="C565" t="s">
        <v>363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399</v>
      </c>
      <c r="B566">
        <v>2011</v>
      </c>
      <c r="C566" t="s">
        <v>363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399</v>
      </c>
      <c r="B567">
        <v>2010</v>
      </c>
      <c r="C567" t="s">
        <v>363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399</v>
      </c>
      <c r="B568">
        <v>2009</v>
      </c>
      <c r="C568" t="s">
        <v>363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399</v>
      </c>
      <c r="B569">
        <v>2008</v>
      </c>
      <c r="C569" t="s">
        <v>363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399</v>
      </c>
      <c r="B570">
        <v>2007</v>
      </c>
      <c r="C570" t="s">
        <v>363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399</v>
      </c>
      <c r="B571">
        <v>2006</v>
      </c>
      <c r="C571" t="s">
        <v>363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399</v>
      </c>
      <c r="B572">
        <v>2005</v>
      </c>
      <c r="C572" t="s">
        <v>363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399</v>
      </c>
      <c r="B573">
        <v>2004</v>
      </c>
      <c r="C573" t="s">
        <v>363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399</v>
      </c>
      <c r="B574">
        <v>2003</v>
      </c>
      <c r="C574" t="s">
        <v>363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399</v>
      </c>
      <c r="B575">
        <v>2002</v>
      </c>
      <c r="C575" t="s">
        <v>363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399</v>
      </c>
      <c r="B576">
        <v>2001</v>
      </c>
      <c r="C576" t="s">
        <v>363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399</v>
      </c>
      <c r="B577">
        <v>2000</v>
      </c>
      <c r="C577" t="s">
        <v>363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400</v>
      </c>
      <c r="B578">
        <v>2015</v>
      </c>
      <c r="C578" t="s">
        <v>363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400</v>
      </c>
      <c r="B579">
        <v>2014</v>
      </c>
      <c r="C579" t="s">
        <v>363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400</v>
      </c>
      <c r="B580">
        <v>2013</v>
      </c>
      <c r="C580" t="s">
        <v>363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400</v>
      </c>
      <c r="B581">
        <v>2012</v>
      </c>
      <c r="C581" t="s">
        <v>363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400</v>
      </c>
      <c r="B582">
        <v>2011</v>
      </c>
      <c r="C582" t="s">
        <v>363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400</v>
      </c>
      <c r="B583">
        <v>2010</v>
      </c>
      <c r="C583" t="s">
        <v>363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400</v>
      </c>
      <c r="B584">
        <v>2009</v>
      </c>
      <c r="C584" t="s">
        <v>363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400</v>
      </c>
      <c r="B585">
        <v>2008</v>
      </c>
      <c r="C585" t="s">
        <v>363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400</v>
      </c>
      <c r="B586">
        <v>2007</v>
      </c>
      <c r="C586" t="s">
        <v>363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400</v>
      </c>
      <c r="B587">
        <v>2006</v>
      </c>
      <c r="C587" t="s">
        <v>363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400</v>
      </c>
      <c r="B588">
        <v>2005</v>
      </c>
      <c r="C588" t="s">
        <v>363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400</v>
      </c>
      <c r="B589">
        <v>2004</v>
      </c>
      <c r="C589" t="s">
        <v>363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400</v>
      </c>
      <c r="B590">
        <v>2003</v>
      </c>
      <c r="C590" t="s">
        <v>363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400</v>
      </c>
      <c r="B591">
        <v>2002</v>
      </c>
      <c r="C591" t="s">
        <v>363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400</v>
      </c>
      <c r="B592">
        <v>2001</v>
      </c>
      <c r="C592" t="s">
        <v>363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400</v>
      </c>
      <c r="B593">
        <v>2000</v>
      </c>
      <c r="C593" t="s">
        <v>363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401</v>
      </c>
      <c r="B594">
        <v>2015</v>
      </c>
      <c r="C594" t="s">
        <v>363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401</v>
      </c>
      <c r="B595">
        <v>2014</v>
      </c>
      <c r="C595" t="s">
        <v>363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401</v>
      </c>
      <c r="B596">
        <v>2013</v>
      </c>
      <c r="C596" t="s">
        <v>363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401</v>
      </c>
      <c r="B597">
        <v>2012</v>
      </c>
      <c r="C597" t="s">
        <v>363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401</v>
      </c>
      <c r="B598">
        <v>2011</v>
      </c>
      <c r="C598" t="s">
        <v>363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401</v>
      </c>
      <c r="B599">
        <v>2010</v>
      </c>
      <c r="C599" t="s">
        <v>363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401</v>
      </c>
      <c r="B600">
        <v>2009</v>
      </c>
      <c r="C600" t="s">
        <v>363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401</v>
      </c>
      <c r="B601">
        <v>2008</v>
      </c>
      <c r="C601" t="s">
        <v>363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401</v>
      </c>
      <c r="B602">
        <v>2007</v>
      </c>
      <c r="C602" t="s">
        <v>363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401</v>
      </c>
      <c r="B603">
        <v>2006</v>
      </c>
      <c r="C603" t="s">
        <v>363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401</v>
      </c>
      <c r="B604">
        <v>2005</v>
      </c>
      <c r="C604" t="s">
        <v>363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401</v>
      </c>
      <c r="B605">
        <v>2004</v>
      </c>
      <c r="C605" t="s">
        <v>363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401</v>
      </c>
      <c r="B606">
        <v>2003</v>
      </c>
      <c r="C606" t="s">
        <v>363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401</v>
      </c>
      <c r="B607">
        <v>2002</v>
      </c>
      <c r="C607" t="s">
        <v>363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401</v>
      </c>
      <c r="B608">
        <v>2001</v>
      </c>
      <c r="C608" t="s">
        <v>363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401</v>
      </c>
      <c r="B609">
        <v>2000</v>
      </c>
      <c r="C609" t="s">
        <v>363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402</v>
      </c>
      <c r="B610">
        <v>2015</v>
      </c>
      <c r="C610" t="s">
        <v>363</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402</v>
      </c>
      <c r="B611">
        <v>2014</v>
      </c>
      <c r="C611" t="s">
        <v>363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402</v>
      </c>
      <c r="B612">
        <v>2013</v>
      </c>
      <c r="C612" t="s">
        <v>363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402</v>
      </c>
      <c r="B613">
        <v>2012</v>
      </c>
      <c r="C613" t="s">
        <v>363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402</v>
      </c>
      <c r="B614">
        <v>2011</v>
      </c>
      <c r="C614" t="s">
        <v>363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402</v>
      </c>
      <c r="B615">
        <v>2010</v>
      </c>
      <c r="C615" t="s">
        <v>363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402</v>
      </c>
      <c r="B616">
        <v>2009</v>
      </c>
      <c r="C616" t="s">
        <v>363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402</v>
      </c>
      <c r="B617">
        <v>2008</v>
      </c>
      <c r="C617" t="s">
        <v>363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402</v>
      </c>
      <c r="B618">
        <v>2007</v>
      </c>
      <c r="C618" t="s">
        <v>363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402</v>
      </c>
      <c r="B619">
        <v>2006</v>
      </c>
      <c r="C619" t="s">
        <v>363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402</v>
      </c>
      <c r="B620">
        <v>2005</v>
      </c>
      <c r="C620" t="s">
        <v>363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402</v>
      </c>
      <c r="B621">
        <v>2004</v>
      </c>
      <c r="C621" t="s">
        <v>363</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402</v>
      </c>
      <c r="B622">
        <v>2003</v>
      </c>
      <c r="C622" t="s">
        <v>363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402</v>
      </c>
      <c r="B623">
        <v>2002</v>
      </c>
      <c r="C623" t="s">
        <v>363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402</v>
      </c>
      <c r="B624">
        <v>2001</v>
      </c>
      <c r="C624" t="s">
        <v>363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402</v>
      </c>
      <c r="B625">
        <v>2000</v>
      </c>
      <c r="C625" t="s">
        <v>363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403</v>
      </c>
      <c r="B626">
        <v>2013</v>
      </c>
      <c r="C626" t="s">
        <v>363</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404</v>
      </c>
      <c r="B627">
        <v>2015</v>
      </c>
      <c r="C627" t="s">
        <v>363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404</v>
      </c>
      <c r="B628">
        <v>2014</v>
      </c>
      <c r="C628" t="s">
        <v>363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404</v>
      </c>
      <c r="B629">
        <v>2013</v>
      </c>
      <c r="C629" t="s">
        <v>363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404</v>
      </c>
      <c r="B630">
        <v>2012</v>
      </c>
      <c r="C630" t="s">
        <v>363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404</v>
      </c>
      <c r="B631">
        <v>2011</v>
      </c>
      <c r="C631" t="s">
        <v>363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404</v>
      </c>
      <c r="B632">
        <v>2010</v>
      </c>
      <c r="C632" t="s">
        <v>363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404</v>
      </c>
      <c r="B633">
        <v>2009</v>
      </c>
      <c r="C633" t="s">
        <v>363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404</v>
      </c>
      <c r="B634">
        <v>2008</v>
      </c>
      <c r="C634" t="s">
        <v>363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404</v>
      </c>
      <c r="B635">
        <v>2007</v>
      </c>
      <c r="C635" t="s">
        <v>363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404</v>
      </c>
      <c r="B636">
        <v>2006</v>
      </c>
      <c r="C636" t="s">
        <v>363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404</v>
      </c>
      <c r="B637">
        <v>2005</v>
      </c>
      <c r="C637" t="s">
        <v>363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404</v>
      </c>
      <c r="B638">
        <v>2004</v>
      </c>
      <c r="C638" t="s">
        <v>363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404</v>
      </c>
      <c r="B639">
        <v>2003</v>
      </c>
      <c r="C639" t="s">
        <v>363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404</v>
      </c>
      <c r="B640">
        <v>2002</v>
      </c>
      <c r="C640" t="s">
        <v>363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404</v>
      </c>
      <c r="B641">
        <v>2001</v>
      </c>
      <c r="C641" t="s">
        <v>363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404</v>
      </c>
      <c r="B642">
        <v>2000</v>
      </c>
      <c r="C642" t="s">
        <v>363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405</v>
      </c>
      <c r="B643">
        <v>2015</v>
      </c>
      <c r="C643" t="s">
        <v>371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405</v>
      </c>
      <c r="B644">
        <v>2014</v>
      </c>
      <c r="C644" t="s">
        <v>371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405</v>
      </c>
      <c r="B645">
        <v>2013</v>
      </c>
      <c r="C645" t="s">
        <v>371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405</v>
      </c>
      <c r="B646">
        <v>2012</v>
      </c>
      <c r="C646" t="s">
        <v>371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405</v>
      </c>
      <c r="B647">
        <v>2011</v>
      </c>
      <c r="C647" t="s">
        <v>371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405</v>
      </c>
      <c r="B648">
        <v>2010</v>
      </c>
      <c r="C648" t="s">
        <v>371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405</v>
      </c>
      <c r="B649">
        <v>2009</v>
      </c>
      <c r="C649" t="s">
        <v>371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405</v>
      </c>
      <c r="B650">
        <v>2008</v>
      </c>
      <c r="C650" t="s">
        <v>371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405</v>
      </c>
      <c r="B651">
        <v>2007</v>
      </c>
      <c r="C651" t="s">
        <v>371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405</v>
      </c>
      <c r="B652">
        <v>2006</v>
      </c>
      <c r="C652" t="s">
        <v>371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405</v>
      </c>
      <c r="B653">
        <v>2005</v>
      </c>
      <c r="C653" t="s">
        <v>371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405</v>
      </c>
      <c r="B654">
        <v>2004</v>
      </c>
      <c r="C654" t="s">
        <v>371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405</v>
      </c>
      <c r="B655">
        <v>2003</v>
      </c>
      <c r="C655" t="s">
        <v>371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405</v>
      </c>
      <c r="B656">
        <v>2002</v>
      </c>
      <c r="C656" t="s">
        <v>371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405</v>
      </c>
      <c r="B657">
        <v>2001</v>
      </c>
      <c r="C657" t="s">
        <v>371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405</v>
      </c>
      <c r="B658">
        <v>2000</v>
      </c>
      <c r="C658" t="s">
        <v>371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406</v>
      </c>
      <c r="B659">
        <v>2015</v>
      </c>
      <c r="C659" t="s">
        <v>363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406</v>
      </c>
      <c r="B660">
        <v>2014</v>
      </c>
      <c r="C660" t="s">
        <v>363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406</v>
      </c>
      <c r="B661">
        <v>2013</v>
      </c>
      <c r="C661" t="s">
        <v>363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406</v>
      </c>
      <c r="B662">
        <v>2012</v>
      </c>
      <c r="C662" t="s">
        <v>363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406</v>
      </c>
      <c r="B663">
        <v>2011</v>
      </c>
      <c r="C663" t="s">
        <v>363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406</v>
      </c>
      <c r="B664">
        <v>2010</v>
      </c>
      <c r="C664" t="s">
        <v>363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406</v>
      </c>
      <c r="B665">
        <v>2009</v>
      </c>
      <c r="C665" t="s">
        <v>363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406</v>
      </c>
      <c r="B666">
        <v>2008</v>
      </c>
      <c r="C666" t="s">
        <v>363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406</v>
      </c>
      <c r="B667">
        <v>2007</v>
      </c>
      <c r="C667" t="s">
        <v>363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406</v>
      </c>
      <c r="B668">
        <v>2006</v>
      </c>
      <c r="C668" t="s">
        <v>363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406</v>
      </c>
      <c r="B669">
        <v>2005</v>
      </c>
      <c r="C669" t="s">
        <v>363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406</v>
      </c>
      <c r="B670">
        <v>2004</v>
      </c>
      <c r="C670" t="s">
        <v>363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406</v>
      </c>
      <c r="B671">
        <v>2003</v>
      </c>
      <c r="C671" t="s">
        <v>363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406</v>
      </c>
      <c r="B672">
        <v>2002</v>
      </c>
      <c r="C672" t="s">
        <v>363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406</v>
      </c>
      <c r="B673">
        <v>2001</v>
      </c>
      <c r="C673" t="s">
        <v>363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406</v>
      </c>
      <c r="B674">
        <v>2000</v>
      </c>
      <c r="C674" t="s">
        <v>363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407</v>
      </c>
      <c r="B675">
        <v>2015</v>
      </c>
      <c r="C675" t="s">
        <v>371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407</v>
      </c>
      <c r="B676">
        <v>2014</v>
      </c>
      <c r="C676" t="s">
        <v>371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407</v>
      </c>
      <c r="B677">
        <v>2013</v>
      </c>
      <c r="C677" t="s">
        <v>371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407</v>
      </c>
      <c r="B678">
        <v>2012</v>
      </c>
      <c r="C678" t="s">
        <v>371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407</v>
      </c>
      <c r="B679">
        <v>2011</v>
      </c>
      <c r="C679" t="s">
        <v>371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407</v>
      </c>
      <c r="B680">
        <v>2010</v>
      </c>
      <c r="C680" t="s">
        <v>371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407</v>
      </c>
      <c r="B681">
        <v>2009</v>
      </c>
      <c r="C681" t="s">
        <v>371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407</v>
      </c>
      <c r="B682">
        <v>2008</v>
      </c>
      <c r="C682" t="s">
        <v>371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407</v>
      </c>
      <c r="B683">
        <v>2007</v>
      </c>
      <c r="C683" t="s">
        <v>371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407</v>
      </c>
      <c r="B684">
        <v>2006</v>
      </c>
      <c r="C684" t="s">
        <v>371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407</v>
      </c>
      <c r="B685">
        <v>2005</v>
      </c>
      <c r="C685" t="s">
        <v>371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407</v>
      </c>
      <c r="B686">
        <v>2004</v>
      </c>
      <c r="C686" t="s">
        <v>371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407</v>
      </c>
      <c r="B687">
        <v>2003</v>
      </c>
      <c r="C687" t="s">
        <v>371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407</v>
      </c>
      <c r="B688">
        <v>2002</v>
      </c>
      <c r="C688" t="s">
        <v>371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407</v>
      </c>
      <c r="B689">
        <v>2001</v>
      </c>
      <c r="C689" t="s">
        <v>371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407</v>
      </c>
      <c r="B690">
        <v>2000</v>
      </c>
      <c r="C690" t="s">
        <v>371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408</v>
      </c>
      <c r="B691">
        <v>2015</v>
      </c>
      <c r="C691" t="s">
        <v>371</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408</v>
      </c>
      <c r="B692">
        <v>2014</v>
      </c>
      <c r="C692" t="s">
        <v>371</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408</v>
      </c>
      <c r="B693">
        <v>2013</v>
      </c>
      <c r="C693" t="s">
        <v>371</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408</v>
      </c>
      <c r="B694">
        <v>2012</v>
      </c>
      <c r="C694" t="s">
        <v>371</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408</v>
      </c>
      <c r="B695">
        <v>2011</v>
      </c>
      <c r="C695" t="s">
        <v>371</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408</v>
      </c>
      <c r="B696">
        <v>2010</v>
      </c>
      <c r="C696" t="s">
        <v>371</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408</v>
      </c>
      <c r="B697">
        <v>2009</v>
      </c>
      <c r="C697" t="s">
        <v>371</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408</v>
      </c>
      <c r="B698">
        <v>2008</v>
      </c>
      <c r="C698" t="s">
        <v>371</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408</v>
      </c>
      <c r="B699">
        <v>2007</v>
      </c>
      <c r="C699" t="s">
        <v>371</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408</v>
      </c>
      <c r="B700">
        <v>2006</v>
      </c>
      <c r="C700" t="s">
        <v>371</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408</v>
      </c>
      <c r="B701">
        <v>2005</v>
      </c>
      <c r="C701" t="s">
        <v>371</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408</v>
      </c>
      <c r="B702">
        <v>2004</v>
      </c>
      <c r="C702" t="s">
        <v>371</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408</v>
      </c>
      <c r="B703">
        <v>2003</v>
      </c>
      <c r="C703" t="s">
        <v>371</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408</v>
      </c>
      <c r="B704">
        <v>2002</v>
      </c>
      <c r="C704" t="s">
        <v>371</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408</v>
      </c>
      <c r="B705">
        <v>2001</v>
      </c>
      <c r="C705" t="s">
        <v>371</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408</v>
      </c>
      <c r="B706">
        <v>2000</v>
      </c>
      <c r="C706" t="s">
        <v>371</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409</v>
      </c>
      <c r="B707">
        <v>2015</v>
      </c>
      <c r="C707" t="s">
        <v>363</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409</v>
      </c>
      <c r="B708">
        <v>2014</v>
      </c>
      <c r="C708" t="s">
        <v>363</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409</v>
      </c>
      <c r="B709">
        <v>2013</v>
      </c>
      <c r="C709" t="s">
        <v>363</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409</v>
      </c>
      <c r="B710">
        <v>2012</v>
      </c>
      <c r="C710" t="s">
        <v>363</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409</v>
      </c>
      <c r="B711">
        <v>2011</v>
      </c>
      <c r="C711" t="s">
        <v>363</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409</v>
      </c>
      <c r="B712">
        <v>2010</v>
      </c>
      <c r="C712" t="s">
        <v>363</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409</v>
      </c>
      <c r="B713">
        <v>2009</v>
      </c>
      <c r="C713" t="s">
        <v>363</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409</v>
      </c>
      <c r="B714">
        <v>2008</v>
      </c>
      <c r="C714" t="s">
        <v>363</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409</v>
      </c>
      <c r="B715">
        <v>2007</v>
      </c>
      <c r="C715" t="s">
        <v>363</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409</v>
      </c>
      <c r="B716">
        <v>2006</v>
      </c>
      <c r="C716" t="s">
        <v>363</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409</v>
      </c>
      <c r="B717">
        <v>2005</v>
      </c>
      <c r="C717" t="s">
        <v>363</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409</v>
      </c>
      <c r="B718">
        <v>2004</v>
      </c>
      <c r="C718" t="s">
        <v>363</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409</v>
      </c>
      <c r="B719">
        <v>2003</v>
      </c>
      <c r="C719" t="s">
        <v>363</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409</v>
      </c>
      <c r="B720">
        <v>2002</v>
      </c>
      <c r="C720" t="s">
        <v>363</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409</v>
      </c>
      <c r="B721">
        <v>2001</v>
      </c>
      <c r="C721" t="s">
        <v>363</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409</v>
      </c>
      <c r="B722">
        <v>2000</v>
      </c>
      <c r="C722" t="s">
        <v>363</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410</v>
      </c>
      <c r="B723">
        <v>2015</v>
      </c>
      <c r="C723" t="s">
        <v>363</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410</v>
      </c>
      <c r="B724">
        <v>2014</v>
      </c>
      <c r="C724" t="s">
        <v>363</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410</v>
      </c>
      <c r="B725">
        <v>2013</v>
      </c>
      <c r="C725" t="s">
        <v>363</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410</v>
      </c>
      <c r="B726">
        <v>2012</v>
      </c>
      <c r="C726" t="s">
        <v>363</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410</v>
      </c>
      <c r="B727">
        <v>2011</v>
      </c>
      <c r="C727" t="s">
        <v>363</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410</v>
      </c>
      <c r="B728">
        <v>2010</v>
      </c>
      <c r="C728" t="s">
        <v>363</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410</v>
      </c>
      <c r="B729">
        <v>2009</v>
      </c>
      <c r="C729" t="s">
        <v>363</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410</v>
      </c>
      <c r="B730">
        <v>2008</v>
      </c>
      <c r="C730" t="s">
        <v>363</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410</v>
      </c>
      <c r="B731">
        <v>2007</v>
      </c>
      <c r="C731" t="s">
        <v>363</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410</v>
      </c>
      <c r="B732">
        <v>2006</v>
      </c>
      <c r="C732" t="s">
        <v>363</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410</v>
      </c>
      <c r="B733">
        <v>2005</v>
      </c>
      <c r="C733" t="s">
        <v>363</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410</v>
      </c>
      <c r="B734">
        <v>2004</v>
      </c>
      <c r="C734" t="s">
        <v>363</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410</v>
      </c>
      <c r="B735">
        <v>2003</v>
      </c>
      <c r="C735" t="s">
        <v>363</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410</v>
      </c>
      <c r="B736">
        <v>2002</v>
      </c>
      <c r="C736" t="s">
        <v>363</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410</v>
      </c>
      <c r="B737">
        <v>2001</v>
      </c>
      <c r="C737" t="s">
        <v>363</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410</v>
      </c>
      <c r="B738">
        <v>2000</v>
      </c>
      <c r="C738" t="s">
        <v>363</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411</v>
      </c>
      <c r="B739">
        <v>2015</v>
      </c>
      <c r="C739" t="s">
        <v>371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411</v>
      </c>
      <c r="B740">
        <v>2014</v>
      </c>
      <c r="C740" t="s">
        <v>371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411</v>
      </c>
      <c r="B741">
        <v>2013</v>
      </c>
      <c r="C741" t="s">
        <v>371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411</v>
      </c>
      <c r="B742">
        <v>2012</v>
      </c>
      <c r="C742" t="s">
        <v>371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411</v>
      </c>
      <c r="B743">
        <v>2011</v>
      </c>
      <c r="C743" t="s">
        <v>371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411</v>
      </c>
      <c r="B744">
        <v>2010</v>
      </c>
      <c r="C744" t="s">
        <v>371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411</v>
      </c>
      <c r="B745">
        <v>2009</v>
      </c>
      <c r="C745" t="s">
        <v>371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411</v>
      </c>
      <c r="B746">
        <v>2008</v>
      </c>
      <c r="C746" t="s">
        <v>371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411</v>
      </c>
      <c r="B747">
        <v>2007</v>
      </c>
      <c r="C747" t="s">
        <v>371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411</v>
      </c>
      <c r="B748">
        <v>2006</v>
      </c>
      <c r="C748" t="s">
        <v>371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411</v>
      </c>
      <c r="B749">
        <v>2005</v>
      </c>
      <c r="C749" t="s">
        <v>371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411</v>
      </c>
      <c r="B750">
        <v>2004</v>
      </c>
      <c r="C750" t="s">
        <v>371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411</v>
      </c>
      <c r="B751">
        <v>2003</v>
      </c>
      <c r="C751" t="s">
        <v>371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411</v>
      </c>
      <c r="B752">
        <v>2002</v>
      </c>
      <c r="C752" t="s">
        <v>371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411</v>
      </c>
      <c r="B753">
        <v>2001</v>
      </c>
      <c r="C753" t="s">
        <v>371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411</v>
      </c>
      <c r="B754">
        <v>2000</v>
      </c>
      <c r="C754" t="s">
        <v>371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412</v>
      </c>
      <c r="B755">
        <v>2015</v>
      </c>
      <c r="C755" t="s">
        <v>363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412</v>
      </c>
      <c r="B756">
        <v>2014</v>
      </c>
      <c r="C756" t="s">
        <v>363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412</v>
      </c>
      <c r="B757">
        <v>2013</v>
      </c>
      <c r="C757" t="s">
        <v>363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412</v>
      </c>
      <c r="B758">
        <v>2012</v>
      </c>
      <c r="C758" t="s">
        <v>363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412</v>
      </c>
      <c r="B759">
        <v>2011</v>
      </c>
      <c r="C759" t="s">
        <v>363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412</v>
      </c>
      <c r="B760">
        <v>2010</v>
      </c>
      <c r="C760" t="s">
        <v>363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412</v>
      </c>
      <c r="B761">
        <v>2009</v>
      </c>
      <c r="C761" t="s">
        <v>363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412</v>
      </c>
      <c r="B762">
        <v>2008</v>
      </c>
      <c r="C762" t="s">
        <v>363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412</v>
      </c>
      <c r="B763">
        <v>2007</v>
      </c>
      <c r="C763" t="s">
        <v>363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412</v>
      </c>
      <c r="B764">
        <v>2006</v>
      </c>
      <c r="C764" t="s">
        <v>363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412</v>
      </c>
      <c r="B765">
        <v>2005</v>
      </c>
      <c r="C765" t="s">
        <v>363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412</v>
      </c>
      <c r="B766">
        <v>2004</v>
      </c>
      <c r="C766" t="s">
        <v>363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412</v>
      </c>
      <c r="B767">
        <v>2003</v>
      </c>
      <c r="C767" t="s">
        <v>363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412</v>
      </c>
      <c r="B768">
        <v>2002</v>
      </c>
      <c r="C768" t="s">
        <v>363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412</v>
      </c>
      <c r="B769">
        <v>2001</v>
      </c>
      <c r="C769" t="s">
        <v>363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412</v>
      </c>
      <c r="B770">
        <v>2000</v>
      </c>
      <c r="C770" t="s">
        <v>363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413</v>
      </c>
      <c r="B771">
        <v>2013</v>
      </c>
      <c r="C771" t="s">
        <v>363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414</v>
      </c>
      <c r="B772">
        <v>2015</v>
      </c>
      <c r="C772" t="s">
        <v>363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414</v>
      </c>
      <c r="B773">
        <v>2014</v>
      </c>
      <c r="C773" t="s">
        <v>363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414</v>
      </c>
      <c r="B774">
        <v>2013</v>
      </c>
      <c r="C774" t="s">
        <v>363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414</v>
      </c>
      <c r="B775">
        <v>2012</v>
      </c>
      <c r="C775" t="s">
        <v>363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414</v>
      </c>
      <c r="B776">
        <v>2011</v>
      </c>
      <c r="C776" t="s">
        <v>363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414</v>
      </c>
      <c r="B777">
        <v>2010</v>
      </c>
      <c r="C777" t="s">
        <v>363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414</v>
      </c>
      <c r="B778">
        <v>2009</v>
      </c>
      <c r="C778" t="s">
        <v>363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414</v>
      </c>
      <c r="B779">
        <v>2008</v>
      </c>
      <c r="C779" t="s">
        <v>363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414</v>
      </c>
      <c r="B780">
        <v>2007</v>
      </c>
      <c r="C780" t="s">
        <v>363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414</v>
      </c>
      <c r="B781">
        <v>2006</v>
      </c>
      <c r="C781" t="s">
        <v>363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414</v>
      </c>
      <c r="B782">
        <v>2005</v>
      </c>
      <c r="C782" t="s">
        <v>363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414</v>
      </c>
      <c r="B783">
        <v>2004</v>
      </c>
      <c r="C783" t="s">
        <v>363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414</v>
      </c>
      <c r="B784">
        <v>2003</v>
      </c>
      <c r="C784" t="s">
        <v>363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414</v>
      </c>
      <c r="B785">
        <v>2002</v>
      </c>
      <c r="C785" t="s">
        <v>363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414</v>
      </c>
      <c r="B786">
        <v>2001</v>
      </c>
      <c r="C786" t="s">
        <v>363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414</v>
      </c>
      <c r="B787">
        <v>2000</v>
      </c>
      <c r="C787" t="s">
        <v>363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415</v>
      </c>
      <c r="B788">
        <v>2015</v>
      </c>
      <c r="C788" t="s">
        <v>363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415</v>
      </c>
      <c r="B789">
        <v>2014</v>
      </c>
      <c r="C789" t="s">
        <v>363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415</v>
      </c>
      <c r="B790">
        <v>2013</v>
      </c>
      <c r="C790" t="s">
        <v>363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415</v>
      </c>
      <c r="B791">
        <v>2012</v>
      </c>
      <c r="C791" t="s">
        <v>363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415</v>
      </c>
      <c r="B792">
        <v>2011</v>
      </c>
      <c r="C792" t="s">
        <v>363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415</v>
      </c>
      <c r="B793">
        <v>2010</v>
      </c>
      <c r="C793" t="s">
        <v>363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415</v>
      </c>
      <c r="B794">
        <v>2009</v>
      </c>
      <c r="C794" t="s">
        <v>363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415</v>
      </c>
      <c r="B795">
        <v>2008</v>
      </c>
      <c r="C795" t="s">
        <v>363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415</v>
      </c>
      <c r="B796">
        <v>2007</v>
      </c>
      <c r="C796" t="s">
        <v>363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415</v>
      </c>
      <c r="B797">
        <v>2006</v>
      </c>
      <c r="C797" t="s">
        <v>363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415</v>
      </c>
      <c r="B798">
        <v>2005</v>
      </c>
      <c r="C798" t="s">
        <v>363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415</v>
      </c>
      <c r="B799">
        <v>2004</v>
      </c>
      <c r="C799" t="s">
        <v>363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415</v>
      </c>
      <c r="B800">
        <v>2003</v>
      </c>
      <c r="C800" t="s">
        <v>363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415</v>
      </c>
      <c r="B801">
        <v>2002</v>
      </c>
      <c r="C801" t="s">
        <v>363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415</v>
      </c>
      <c r="B802">
        <v>2001</v>
      </c>
      <c r="C802" t="s">
        <v>363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415</v>
      </c>
      <c r="B803">
        <v>2000</v>
      </c>
      <c r="C803" t="s">
        <v>363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416</v>
      </c>
      <c r="B804">
        <v>2015</v>
      </c>
      <c r="C804" t="s">
        <v>363</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416</v>
      </c>
      <c r="B805">
        <v>2014</v>
      </c>
      <c r="C805" t="s">
        <v>363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416</v>
      </c>
      <c r="B806">
        <v>2013</v>
      </c>
      <c r="C806" t="s">
        <v>363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416</v>
      </c>
      <c r="B807">
        <v>2012</v>
      </c>
      <c r="C807" t="s">
        <v>363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416</v>
      </c>
      <c r="B808">
        <v>2011</v>
      </c>
      <c r="C808" t="s">
        <v>363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416</v>
      </c>
      <c r="B809">
        <v>2010</v>
      </c>
      <c r="C809" t="s">
        <v>363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416</v>
      </c>
      <c r="B810">
        <v>2009</v>
      </c>
      <c r="C810" t="s">
        <v>363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416</v>
      </c>
      <c r="B811">
        <v>2008</v>
      </c>
      <c r="C811" t="s">
        <v>363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416</v>
      </c>
      <c r="B812">
        <v>2007</v>
      </c>
      <c r="C812" t="s">
        <v>363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416</v>
      </c>
      <c r="B813">
        <v>2006</v>
      </c>
      <c r="C813" t="s">
        <v>363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416</v>
      </c>
      <c r="B814">
        <v>2005</v>
      </c>
      <c r="C814" t="s">
        <v>363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416</v>
      </c>
      <c r="B815">
        <v>2004</v>
      </c>
      <c r="C815" t="s">
        <v>363</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416</v>
      </c>
      <c r="B816">
        <v>2003</v>
      </c>
      <c r="C816" t="s">
        <v>363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416</v>
      </c>
      <c r="B817">
        <v>2002</v>
      </c>
      <c r="C817" t="s">
        <v>363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416</v>
      </c>
      <c r="B818">
        <v>2001</v>
      </c>
      <c r="C818" t="s">
        <v>363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416</v>
      </c>
      <c r="B819">
        <v>2000</v>
      </c>
      <c r="C819" t="s">
        <v>363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417</v>
      </c>
      <c r="B820">
        <v>2015</v>
      </c>
      <c r="C820" t="s">
        <v>363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417</v>
      </c>
      <c r="B821">
        <v>2014</v>
      </c>
      <c r="C821" t="s">
        <v>363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417</v>
      </c>
      <c r="B822">
        <v>2013</v>
      </c>
      <c r="C822" t="s">
        <v>363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417</v>
      </c>
      <c r="B823">
        <v>2012</v>
      </c>
      <c r="C823" t="s">
        <v>363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417</v>
      </c>
      <c r="B824">
        <v>2011</v>
      </c>
      <c r="C824" t="s">
        <v>363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417</v>
      </c>
      <c r="B825">
        <v>2010</v>
      </c>
      <c r="C825" t="s">
        <v>363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417</v>
      </c>
      <c r="B826">
        <v>2009</v>
      </c>
      <c r="C826" t="s">
        <v>363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417</v>
      </c>
      <c r="B827">
        <v>2008</v>
      </c>
      <c r="C827" t="s">
        <v>363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417</v>
      </c>
      <c r="B828">
        <v>2007</v>
      </c>
      <c r="C828" t="s">
        <v>363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417</v>
      </c>
      <c r="B829">
        <v>2006</v>
      </c>
      <c r="C829" t="s">
        <v>363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417</v>
      </c>
      <c r="B830">
        <v>2005</v>
      </c>
      <c r="C830" t="s">
        <v>363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417</v>
      </c>
      <c r="B831">
        <v>2004</v>
      </c>
      <c r="C831" t="s">
        <v>363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417</v>
      </c>
      <c r="B832">
        <v>2003</v>
      </c>
      <c r="C832" t="s">
        <v>363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417</v>
      </c>
      <c r="B833">
        <v>2002</v>
      </c>
      <c r="C833" t="s">
        <v>363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417</v>
      </c>
      <c r="B834">
        <v>2001</v>
      </c>
      <c r="C834" t="s">
        <v>363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417</v>
      </c>
      <c r="B835">
        <v>2000</v>
      </c>
      <c r="C835" t="s">
        <v>363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418</v>
      </c>
      <c r="B836">
        <v>2015</v>
      </c>
      <c r="C836" t="s">
        <v>363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418</v>
      </c>
      <c r="B837">
        <v>2014</v>
      </c>
      <c r="C837" t="s">
        <v>363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418</v>
      </c>
      <c r="B838">
        <v>2013</v>
      </c>
      <c r="C838" t="s">
        <v>363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418</v>
      </c>
      <c r="B839">
        <v>2012</v>
      </c>
      <c r="C839" t="s">
        <v>363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418</v>
      </c>
      <c r="B840">
        <v>2011</v>
      </c>
      <c r="C840" t="s">
        <v>363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418</v>
      </c>
      <c r="B841">
        <v>2010</v>
      </c>
      <c r="C841" t="s">
        <v>363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418</v>
      </c>
      <c r="B842">
        <v>2009</v>
      </c>
      <c r="C842" t="s">
        <v>363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418</v>
      </c>
      <c r="B843">
        <v>2008</v>
      </c>
      <c r="C843" t="s">
        <v>363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418</v>
      </c>
      <c r="B844">
        <v>2007</v>
      </c>
      <c r="C844" t="s">
        <v>363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418</v>
      </c>
      <c r="B845">
        <v>2006</v>
      </c>
      <c r="C845" t="s">
        <v>363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418</v>
      </c>
      <c r="B846">
        <v>2005</v>
      </c>
      <c r="C846" t="s">
        <v>363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418</v>
      </c>
      <c r="B847">
        <v>2004</v>
      </c>
      <c r="C847" t="s">
        <v>363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418</v>
      </c>
      <c r="B848">
        <v>2003</v>
      </c>
      <c r="C848" t="s">
        <v>363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418</v>
      </c>
      <c r="B849">
        <v>2002</v>
      </c>
      <c r="C849" t="s">
        <v>363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418</v>
      </c>
      <c r="B850">
        <v>2001</v>
      </c>
      <c r="C850" t="s">
        <v>363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418</v>
      </c>
      <c r="B851">
        <v>2000</v>
      </c>
      <c r="C851" t="s">
        <v>363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419</v>
      </c>
      <c r="B852">
        <v>2015</v>
      </c>
      <c r="C852" t="s">
        <v>363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419</v>
      </c>
      <c r="B853">
        <v>2014</v>
      </c>
      <c r="C853" t="s">
        <v>363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419</v>
      </c>
      <c r="B854">
        <v>2013</v>
      </c>
      <c r="C854" t="s">
        <v>363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419</v>
      </c>
      <c r="B855">
        <v>2012</v>
      </c>
      <c r="C855" t="s">
        <v>363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419</v>
      </c>
      <c r="B856">
        <v>2011</v>
      </c>
      <c r="C856" t="s">
        <v>363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419</v>
      </c>
      <c r="B857">
        <v>2010</v>
      </c>
      <c r="C857" t="s">
        <v>363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419</v>
      </c>
      <c r="B858">
        <v>2009</v>
      </c>
      <c r="C858" t="s">
        <v>363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419</v>
      </c>
      <c r="B859">
        <v>2008</v>
      </c>
      <c r="C859" t="s">
        <v>363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419</v>
      </c>
      <c r="B860">
        <v>2007</v>
      </c>
      <c r="C860" t="s">
        <v>363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419</v>
      </c>
      <c r="B861">
        <v>2006</v>
      </c>
      <c r="C861" t="s">
        <v>363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419</v>
      </c>
      <c r="B862">
        <v>2005</v>
      </c>
      <c r="C862" t="s">
        <v>363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419</v>
      </c>
      <c r="B863">
        <v>2004</v>
      </c>
      <c r="C863" t="s">
        <v>363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419</v>
      </c>
      <c r="B864">
        <v>2003</v>
      </c>
      <c r="C864" t="s">
        <v>363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419</v>
      </c>
      <c r="B865">
        <v>2002</v>
      </c>
      <c r="C865" t="s">
        <v>363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419</v>
      </c>
      <c r="B866">
        <v>2001</v>
      </c>
      <c r="C866" t="s">
        <v>363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419</v>
      </c>
      <c r="B867">
        <v>2000</v>
      </c>
      <c r="C867" t="s">
        <v>363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420</v>
      </c>
      <c r="B868">
        <v>2015</v>
      </c>
      <c r="C868" t="s">
        <v>363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420</v>
      </c>
      <c r="B869">
        <v>2014</v>
      </c>
      <c r="C869" t="s">
        <v>363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420</v>
      </c>
      <c r="B870">
        <v>2013</v>
      </c>
      <c r="C870" t="s">
        <v>363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420</v>
      </c>
      <c r="B871">
        <v>2012</v>
      </c>
      <c r="C871" t="s">
        <v>363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420</v>
      </c>
      <c r="B872">
        <v>2011</v>
      </c>
      <c r="C872" t="s">
        <v>363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420</v>
      </c>
      <c r="B873">
        <v>2010</v>
      </c>
      <c r="C873" t="s">
        <v>363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420</v>
      </c>
      <c r="B874">
        <v>2009</v>
      </c>
      <c r="C874" t="s">
        <v>363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420</v>
      </c>
      <c r="B875">
        <v>2008</v>
      </c>
      <c r="C875" t="s">
        <v>363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420</v>
      </c>
      <c r="B876">
        <v>2007</v>
      </c>
      <c r="C876" t="s">
        <v>363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420</v>
      </c>
      <c r="B877">
        <v>2006</v>
      </c>
      <c r="C877" t="s">
        <v>363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420</v>
      </c>
      <c r="B878">
        <v>2005</v>
      </c>
      <c r="C878" t="s">
        <v>363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420</v>
      </c>
      <c r="B879">
        <v>2004</v>
      </c>
      <c r="C879" t="s">
        <v>363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420</v>
      </c>
      <c r="B880">
        <v>2003</v>
      </c>
      <c r="C880" t="s">
        <v>363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420</v>
      </c>
      <c r="B881">
        <v>2002</v>
      </c>
      <c r="C881" t="s">
        <v>363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420</v>
      </c>
      <c r="B882">
        <v>2001</v>
      </c>
      <c r="C882" t="s">
        <v>363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420</v>
      </c>
      <c r="B883">
        <v>2000</v>
      </c>
      <c r="C883" t="s">
        <v>363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421</v>
      </c>
      <c r="B884">
        <v>2015</v>
      </c>
      <c r="C884" t="s">
        <v>363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421</v>
      </c>
      <c r="B885">
        <v>2014</v>
      </c>
      <c r="C885" t="s">
        <v>363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421</v>
      </c>
      <c r="B886">
        <v>2013</v>
      </c>
      <c r="C886" t="s">
        <v>363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421</v>
      </c>
      <c r="B887">
        <v>2012</v>
      </c>
      <c r="C887" t="s">
        <v>363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421</v>
      </c>
      <c r="B888">
        <v>2011</v>
      </c>
      <c r="C888" t="s">
        <v>363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421</v>
      </c>
      <c r="B889">
        <v>2010</v>
      </c>
      <c r="C889" t="s">
        <v>363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421</v>
      </c>
      <c r="B890">
        <v>2009</v>
      </c>
      <c r="C890" t="s">
        <v>363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421</v>
      </c>
      <c r="B891">
        <v>2008</v>
      </c>
      <c r="C891" t="s">
        <v>363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421</v>
      </c>
      <c r="B892">
        <v>2007</v>
      </c>
      <c r="C892" t="s">
        <v>363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421</v>
      </c>
      <c r="B893">
        <v>2006</v>
      </c>
      <c r="C893" t="s">
        <v>363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421</v>
      </c>
      <c r="B894">
        <v>2005</v>
      </c>
      <c r="C894" t="s">
        <v>363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421</v>
      </c>
      <c r="B895">
        <v>2004</v>
      </c>
      <c r="C895" t="s">
        <v>363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421</v>
      </c>
      <c r="B896">
        <v>2003</v>
      </c>
      <c r="C896" t="s">
        <v>363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421</v>
      </c>
      <c r="B897">
        <v>2002</v>
      </c>
      <c r="C897" t="s">
        <v>363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421</v>
      </c>
      <c r="B898">
        <v>2001</v>
      </c>
      <c r="C898" t="s">
        <v>363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421</v>
      </c>
      <c r="B899">
        <v>2000</v>
      </c>
      <c r="C899" t="s">
        <v>363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422</v>
      </c>
      <c r="B900">
        <v>2015</v>
      </c>
      <c r="C900" t="s">
        <v>363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422</v>
      </c>
      <c r="B901">
        <v>2014</v>
      </c>
      <c r="C901" t="s">
        <v>363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422</v>
      </c>
      <c r="B902">
        <v>2013</v>
      </c>
      <c r="C902" t="s">
        <v>363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422</v>
      </c>
      <c r="B903">
        <v>2012</v>
      </c>
      <c r="C903" t="s">
        <v>363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422</v>
      </c>
      <c r="B904">
        <v>2011</v>
      </c>
      <c r="C904" t="s">
        <v>363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422</v>
      </c>
      <c r="B905">
        <v>2010</v>
      </c>
      <c r="C905" t="s">
        <v>363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422</v>
      </c>
      <c r="B906">
        <v>2009</v>
      </c>
      <c r="C906" t="s">
        <v>363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422</v>
      </c>
      <c r="B907">
        <v>2008</v>
      </c>
      <c r="C907" t="s">
        <v>363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422</v>
      </c>
      <c r="B908">
        <v>2007</v>
      </c>
      <c r="C908" t="s">
        <v>363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422</v>
      </c>
      <c r="B909">
        <v>2006</v>
      </c>
      <c r="C909" t="s">
        <v>363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422</v>
      </c>
      <c r="B910">
        <v>2005</v>
      </c>
      <c r="C910" t="s">
        <v>363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422</v>
      </c>
      <c r="B911">
        <v>2004</v>
      </c>
      <c r="C911" t="s">
        <v>363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422</v>
      </c>
      <c r="B912">
        <v>2003</v>
      </c>
      <c r="C912" t="s">
        <v>363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422</v>
      </c>
      <c r="B913">
        <v>2002</v>
      </c>
      <c r="C913" t="s">
        <v>363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422</v>
      </c>
      <c r="B914">
        <v>2001</v>
      </c>
      <c r="C914" t="s">
        <v>363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422</v>
      </c>
      <c r="B915">
        <v>2000</v>
      </c>
      <c r="C915" t="s">
        <v>363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423</v>
      </c>
      <c r="B916">
        <v>2015</v>
      </c>
      <c r="C916" t="s">
        <v>363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423</v>
      </c>
      <c r="B917">
        <v>2014</v>
      </c>
      <c r="C917" t="s">
        <v>363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423</v>
      </c>
      <c r="B918">
        <v>2013</v>
      </c>
      <c r="C918" t="s">
        <v>363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423</v>
      </c>
      <c r="B919">
        <v>2012</v>
      </c>
      <c r="C919" t="s">
        <v>363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423</v>
      </c>
      <c r="B920">
        <v>2011</v>
      </c>
      <c r="C920" t="s">
        <v>363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423</v>
      </c>
      <c r="B921">
        <v>2010</v>
      </c>
      <c r="C921" t="s">
        <v>363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423</v>
      </c>
      <c r="B922">
        <v>2009</v>
      </c>
      <c r="C922" t="s">
        <v>363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423</v>
      </c>
      <c r="B923">
        <v>2008</v>
      </c>
      <c r="C923" t="s">
        <v>363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423</v>
      </c>
      <c r="B924">
        <v>2007</v>
      </c>
      <c r="C924" t="s">
        <v>363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423</v>
      </c>
      <c r="B925">
        <v>2006</v>
      </c>
      <c r="C925" t="s">
        <v>363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423</v>
      </c>
      <c r="B926">
        <v>2005</v>
      </c>
      <c r="C926" t="s">
        <v>363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423</v>
      </c>
      <c r="B927">
        <v>2004</v>
      </c>
      <c r="C927" t="s">
        <v>363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423</v>
      </c>
      <c r="B928">
        <v>2003</v>
      </c>
      <c r="C928" t="s">
        <v>363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423</v>
      </c>
      <c r="B929">
        <v>2002</v>
      </c>
      <c r="C929" t="s">
        <v>363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423</v>
      </c>
      <c r="B930">
        <v>2001</v>
      </c>
      <c r="C930" t="s">
        <v>363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423</v>
      </c>
      <c r="B931">
        <v>2000</v>
      </c>
      <c r="C931" t="s">
        <v>363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424</v>
      </c>
      <c r="B932">
        <v>2015</v>
      </c>
      <c r="C932" t="s">
        <v>363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424</v>
      </c>
      <c r="B933">
        <v>2014</v>
      </c>
      <c r="C933" t="s">
        <v>363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424</v>
      </c>
      <c r="B934">
        <v>2013</v>
      </c>
      <c r="C934" t="s">
        <v>363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424</v>
      </c>
      <c r="B935">
        <v>2012</v>
      </c>
      <c r="C935" t="s">
        <v>363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424</v>
      </c>
      <c r="B936">
        <v>2011</v>
      </c>
      <c r="C936" t="s">
        <v>363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424</v>
      </c>
      <c r="B937">
        <v>2010</v>
      </c>
      <c r="C937" t="s">
        <v>363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424</v>
      </c>
      <c r="B938">
        <v>2009</v>
      </c>
      <c r="C938" t="s">
        <v>363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424</v>
      </c>
      <c r="B939">
        <v>2008</v>
      </c>
      <c r="C939" t="s">
        <v>363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424</v>
      </c>
      <c r="B940">
        <v>2007</v>
      </c>
      <c r="C940" t="s">
        <v>363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424</v>
      </c>
      <c r="B941">
        <v>2006</v>
      </c>
      <c r="C941" t="s">
        <v>363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424</v>
      </c>
      <c r="B942">
        <v>2005</v>
      </c>
      <c r="C942" t="s">
        <v>363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424</v>
      </c>
      <c r="B943">
        <v>2004</v>
      </c>
      <c r="C943" t="s">
        <v>363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424</v>
      </c>
      <c r="B944">
        <v>2003</v>
      </c>
      <c r="C944" t="s">
        <v>363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424</v>
      </c>
      <c r="B945">
        <v>2002</v>
      </c>
      <c r="C945" t="s">
        <v>363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424</v>
      </c>
      <c r="B946">
        <v>2001</v>
      </c>
      <c r="C946" t="s">
        <v>363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424</v>
      </c>
      <c r="B947">
        <v>2000</v>
      </c>
      <c r="C947" t="s">
        <v>363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425</v>
      </c>
      <c r="B948">
        <v>2015</v>
      </c>
      <c r="C948" t="s">
        <v>363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425</v>
      </c>
      <c r="B949">
        <v>2014</v>
      </c>
      <c r="C949" t="s">
        <v>363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425</v>
      </c>
      <c r="B950">
        <v>2013</v>
      </c>
      <c r="C950" t="s">
        <v>363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425</v>
      </c>
      <c r="B951">
        <v>2012</v>
      </c>
      <c r="C951" t="s">
        <v>363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425</v>
      </c>
      <c r="B952">
        <v>2011</v>
      </c>
      <c r="C952" t="s">
        <v>363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425</v>
      </c>
      <c r="B953">
        <v>2010</v>
      </c>
      <c r="C953" t="s">
        <v>363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425</v>
      </c>
      <c r="B954">
        <v>2009</v>
      </c>
      <c r="C954" t="s">
        <v>363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425</v>
      </c>
      <c r="B955">
        <v>2008</v>
      </c>
      <c r="C955" t="s">
        <v>363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425</v>
      </c>
      <c r="B956">
        <v>2007</v>
      </c>
      <c r="C956" t="s">
        <v>363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425</v>
      </c>
      <c r="B957">
        <v>2006</v>
      </c>
      <c r="C957" t="s">
        <v>363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425</v>
      </c>
      <c r="B958">
        <v>2005</v>
      </c>
      <c r="C958" t="s">
        <v>363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425</v>
      </c>
      <c r="B959">
        <v>2004</v>
      </c>
      <c r="C959" t="s">
        <v>363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425</v>
      </c>
      <c r="B960">
        <v>2003</v>
      </c>
      <c r="C960" t="s">
        <v>363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425</v>
      </c>
      <c r="B961">
        <v>2002</v>
      </c>
      <c r="C961" t="s">
        <v>363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425</v>
      </c>
      <c r="B962">
        <v>2001</v>
      </c>
      <c r="C962" t="s">
        <v>363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425</v>
      </c>
      <c r="B963">
        <v>2000</v>
      </c>
      <c r="C963" t="s">
        <v>363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426</v>
      </c>
      <c r="B964">
        <v>2015</v>
      </c>
      <c r="C964" t="s">
        <v>363</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426</v>
      </c>
      <c r="B965">
        <v>2014</v>
      </c>
      <c r="C965" t="s">
        <v>363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426</v>
      </c>
      <c r="B966">
        <v>2013</v>
      </c>
      <c r="C966" t="s">
        <v>363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426</v>
      </c>
      <c r="B967">
        <v>2012</v>
      </c>
      <c r="C967" t="s">
        <v>363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426</v>
      </c>
      <c r="B968">
        <v>2011</v>
      </c>
      <c r="C968" t="s">
        <v>363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426</v>
      </c>
      <c r="B969">
        <v>2010</v>
      </c>
      <c r="C969" t="s">
        <v>363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426</v>
      </c>
      <c r="B970">
        <v>2009</v>
      </c>
      <c r="C970" t="s">
        <v>363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426</v>
      </c>
      <c r="B971">
        <v>2008</v>
      </c>
      <c r="C971" t="s">
        <v>363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426</v>
      </c>
      <c r="B972">
        <v>2007</v>
      </c>
      <c r="C972" t="s">
        <v>363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426</v>
      </c>
      <c r="B973">
        <v>2006</v>
      </c>
      <c r="C973" t="s">
        <v>363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426</v>
      </c>
      <c r="B974">
        <v>2005</v>
      </c>
      <c r="C974" t="s">
        <v>363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426</v>
      </c>
      <c r="B975">
        <v>2004</v>
      </c>
      <c r="C975" t="s">
        <v>363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426</v>
      </c>
      <c r="B976">
        <v>2003</v>
      </c>
      <c r="C976" t="s">
        <v>363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426</v>
      </c>
      <c r="B977">
        <v>2002</v>
      </c>
      <c r="C977" t="s">
        <v>363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426</v>
      </c>
      <c r="B978">
        <v>2001</v>
      </c>
      <c r="C978" t="s">
        <v>363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426</v>
      </c>
      <c r="B979">
        <v>2000</v>
      </c>
      <c r="C979" t="s">
        <v>363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427</v>
      </c>
      <c r="B980">
        <v>2015</v>
      </c>
      <c r="C980" t="s">
        <v>363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427</v>
      </c>
      <c r="B981">
        <v>2014</v>
      </c>
      <c r="C981" t="s">
        <v>363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427</v>
      </c>
      <c r="B982">
        <v>2013</v>
      </c>
      <c r="C982" t="s">
        <v>363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427</v>
      </c>
      <c r="B983">
        <v>2012</v>
      </c>
      <c r="C983" t="s">
        <v>363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427</v>
      </c>
      <c r="B984">
        <v>2011</v>
      </c>
      <c r="C984" t="s">
        <v>363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427</v>
      </c>
      <c r="B985">
        <v>2010</v>
      </c>
      <c r="C985" t="s">
        <v>363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427</v>
      </c>
      <c r="B986">
        <v>2009</v>
      </c>
      <c r="C986" t="s">
        <v>363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427</v>
      </c>
      <c r="B987">
        <v>2008</v>
      </c>
      <c r="C987" t="s">
        <v>363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427</v>
      </c>
      <c r="B988">
        <v>2007</v>
      </c>
      <c r="C988" t="s">
        <v>363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427</v>
      </c>
      <c r="B989">
        <v>2006</v>
      </c>
      <c r="C989" t="s">
        <v>363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427</v>
      </c>
      <c r="B990">
        <v>2005</v>
      </c>
      <c r="C990" t="s">
        <v>363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427</v>
      </c>
      <c r="B991">
        <v>2004</v>
      </c>
      <c r="C991" t="s">
        <v>363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427</v>
      </c>
      <c r="B992">
        <v>2003</v>
      </c>
      <c r="C992" t="s">
        <v>363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427</v>
      </c>
      <c r="B993">
        <v>2002</v>
      </c>
      <c r="C993" t="s">
        <v>363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427</v>
      </c>
      <c r="B994">
        <v>2001</v>
      </c>
      <c r="C994" t="s">
        <v>363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427</v>
      </c>
      <c r="B995">
        <v>2000</v>
      </c>
      <c r="C995" t="s">
        <v>363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428</v>
      </c>
      <c r="B996">
        <v>2015</v>
      </c>
      <c r="C996" t="s">
        <v>371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428</v>
      </c>
      <c r="B997">
        <v>2014</v>
      </c>
      <c r="C997" t="s">
        <v>371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428</v>
      </c>
      <c r="B998">
        <v>2013</v>
      </c>
      <c r="C998" t="s">
        <v>371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428</v>
      </c>
      <c r="B999">
        <v>2012</v>
      </c>
      <c r="C999" t="s">
        <v>371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428</v>
      </c>
      <c r="B1000">
        <v>2011</v>
      </c>
      <c r="C1000" t="s">
        <v>371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428</v>
      </c>
      <c r="B1001">
        <v>2010</v>
      </c>
      <c r="C1001" t="s">
        <v>371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428</v>
      </c>
      <c r="B1002">
        <v>2009</v>
      </c>
      <c r="C1002" t="s">
        <v>371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428</v>
      </c>
      <c r="B1003">
        <v>2008</v>
      </c>
      <c r="C1003" t="s">
        <v>371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428</v>
      </c>
      <c r="B1004">
        <v>2007</v>
      </c>
      <c r="C1004" t="s">
        <v>371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428</v>
      </c>
      <c r="B1005">
        <v>2006</v>
      </c>
      <c r="C1005" t="s">
        <v>371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428</v>
      </c>
      <c r="B1006">
        <v>2005</v>
      </c>
      <c r="C1006" t="s">
        <v>371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428</v>
      </c>
      <c r="B1007">
        <v>2004</v>
      </c>
      <c r="C1007" t="s">
        <v>371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428</v>
      </c>
      <c r="B1008">
        <v>2003</v>
      </c>
      <c r="C1008" t="s">
        <v>371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428</v>
      </c>
      <c r="B1009">
        <v>2002</v>
      </c>
      <c r="C1009" t="s">
        <v>371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428</v>
      </c>
      <c r="B1010">
        <v>2001</v>
      </c>
      <c r="C1010" t="s">
        <v>371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428</v>
      </c>
      <c r="B1011">
        <v>2000</v>
      </c>
      <c r="C1011" t="s">
        <v>371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429</v>
      </c>
      <c r="B1012">
        <v>2015</v>
      </c>
      <c r="C1012" t="s">
        <v>363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429</v>
      </c>
      <c r="B1013">
        <v>2014</v>
      </c>
      <c r="C1013" t="s">
        <v>363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429</v>
      </c>
      <c r="B1014">
        <v>2013</v>
      </c>
      <c r="C1014" t="s">
        <v>363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429</v>
      </c>
      <c r="B1015">
        <v>2012</v>
      </c>
      <c r="C1015" t="s">
        <v>363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429</v>
      </c>
      <c r="B1016">
        <v>2011</v>
      </c>
      <c r="C1016" t="s">
        <v>363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429</v>
      </c>
      <c r="B1017">
        <v>2010</v>
      </c>
      <c r="C1017" t="s">
        <v>363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429</v>
      </c>
      <c r="B1018">
        <v>2009</v>
      </c>
      <c r="C1018" t="s">
        <v>363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429</v>
      </c>
      <c r="B1019">
        <v>2008</v>
      </c>
      <c r="C1019" t="s">
        <v>363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429</v>
      </c>
      <c r="B1020">
        <v>2007</v>
      </c>
      <c r="C1020" t="s">
        <v>363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429</v>
      </c>
      <c r="B1021">
        <v>2006</v>
      </c>
      <c r="C1021" t="s">
        <v>363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429</v>
      </c>
      <c r="B1022">
        <v>2005</v>
      </c>
      <c r="C1022" t="s">
        <v>363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429</v>
      </c>
      <c r="B1023">
        <v>2004</v>
      </c>
      <c r="C1023" t="s">
        <v>363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429</v>
      </c>
      <c r="B1024">
        <v>2003</v>
      </c>
      <c r="C1024" t="s">
        <v>363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429</v>
      </c>
      <c r="B1025">
        <v>2002</v>
      </c>
      <c r="C1025" t="s">
        <v>363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429</v>
      </c>
      <c r="B1026">
        <v>2001</v>
      </c>
      <c r="C1026" t="s">
        <v>363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429</v>
      </c>
      <c r="B1027">
        <v>2000</v>
      </c>
      <c r="C1027" t="s">
        <v>363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430</v>
      </c>
      <c r="B1028">
        <v>2015</v>
      </c>
      <c r="C1028" t="s">
        <v>363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430</v>
      </c>
      <c r="B1029">
        <v>2014</v>
      </c>
      <c r="C1029" t="s">
        <v>363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430</v>
      </c>
      <c r="B1030">
        <v>2013</v>
      </c>
      <c r="C1030" t="s">
        <v>363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430</v>
      </c>
      <c r="B1031">
        <v>2012</v>
      </c>
      <c r="C1031" t="s">
        <v>363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430</v>
      </c>
      <c r="B1032">
        <v>2011</v>
      </c>
      <c r="C1032" t="s">
        <v>363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430</v>
      </c>
      <c r="B1033">
        <v>2010</v>
      </c>
      <c r="C1033" t="s">
        <v>363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430</v>
      </c>
      <c r="B1034">
        <v>2009</v>
      </c>
      <c r="C1034" t="s">
        <v>363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430</v>
      </c>
      <c r="B1035">
        <v>2008</v>
      </c>
      <c r="C1035" t="s">
        <v>363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430</v>
      </c>
      <c r="B1036">
        <v>2007</v>
      </c>
      <c r="C1036" t="s">
        <v>363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430</v>
      </c>
      <c r="B1037">
        <v>2006</v>
      </c>
      <c r="C1037" t="s">
        <v>363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430</v>
      </c>
      <c r="B1038">
        <v>2005</v>
      </c>
      <c r="C1038" t="s">
        <v>363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430</v>
      </c>
      <c r="B1039">
        <v>2004</v>
      </c>
      <c r="C1039" t="s">
        <v>363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430</v>
      </c>
      <c r="B1040">
        <v>2003</v>
      </c>
      <c r="C1040" t="s">
        <v>363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430</v>
      </c>
      <c r="B1041">
        <v>2002</v>
      </c>
      <c r="C1041" t="s">
        <v>363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430</v>
      </c>
      <c r="B1042">
        <v>2001</v>
      </c>
      <c r="C1042" t="s">
        <v>363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430</v>
      </c>
      <c r="B1043">
        <v>2000</v>
      </c>
      <c r="C1043" t="s">
        <v>363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431</v>
      </c>
      <c r="B1044">
        <v>2015</v>
      </c>
      <c r="C1044" t="s">
        <v>363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431</v>
      </c>
      <c r="B1045">
        <v>2014</v>
      </c>
      <c r="C1045" t="s">
        <v>363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431</v>
      </c>
      <c r="B1046">
        <v>2013</v>
      </c>
      <c r="C1046" t="s">
        <v>363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431</v>
      </c>
      <c r="B1047">
        <v>2012</v>
      </c>
      <c r="C1047" t="s">
        <v>363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431</v>
      </c>
      <c r="B1048">
        <v>2011</v>
      </c>
      <c r="C1048" t="s">
        <v>363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431</v>
      </c>
      <c r="B1049">
        <v>2010</v>
      </c>
      <c r="C1049" t="s">
        <v>363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431</v>
      </c>
      <c r="B1050">
        <v>2009</v>
      </c>
      <c r="C1050" t="s">
        <v>363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431</v>
      </c>
      <c r="B1051">
        <v>2008</v>
      </c>
      <c r="C1051" t="s">
        <v>363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431</v>
      </c>
      <c r="B1052">
        <v>2007</v>
      </c>
      <c r="C1052" t="s">
        <v>363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431</v>
      </c>
      <c r="B1053">
        <v>2006</v>
      </c>
      <c r="C1053" t="s">
        <v>363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431</v>
      </c>
      <c r="B1054">
        <v>2005</v>
      </c>
      <c r="C1054" t="s">
        <v>363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431</v>
      </c>
      <c r="B1055">
        <v>2004</v>
      </c>
      <c r="C1055" t="s">
        <v>363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431</v>
      </c>
      <c r="B1056">
        <v>2003</v>
      </c>
      <c r="C1056" t="s">
        <v>363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431</v>
      </c>
      <c r="B1057">
        <v>2002</v>
      </c>
      <c r="C1057" t="s">
        <v>363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431</v>
      </c>
      <c r="B1058">
        <v>2001</v>
      </c>
      <c r="C1058" t="s">
        <v>363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431</v>
      </c>
      <c r="B1059">
        <v>2000</v>
      </c>
      <c r="C1059" t="s">
        <v>363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432</v>
      </c>
      <c r="B1060">
        <v>2015</v>
      </c>
      <c r="C1060" t="s">
        <v>363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432</v>
      </c>
      <c r="B1061">
        <v>2014</v>
      </c>
      <c r="C1061" t="s">
        <v>363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432</v>
      </c>
      <c r="B1062">
        <v>2013</v>
      </c>
      <c r="C1062" t="s">
        <v>363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432</v>
      </c>
      <c r="B1063">
        <v>2012</v>
      </c>
      <c r="C1063" t="s">
        <v>363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432</v>
      </c>
      <c r="B1064">
        <v>2011</v>
      </c>
      <c r="C1064" t="s">
        <v>363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432</v>
      </c>
      <c r="B1065">
        <v>2010</v>
      </c>
      <c r="C1065" t="s">
        <v>363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432</v>
      </c>
      <c r="B1066">
        <v>2009</v>
      </c>
      <c r="C1066" t="s">
        <v>363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432</v>
      </c>
      <c r="B1067">
        <v>2008</v>
      </c>
      <c r="C1067" t="s">
        <v>363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432</v>
      </c>
      <c r="B1068">
        <v>2007</v>
      </c>
      <c r="C1068" t="s">
        <v>363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432</v>
      </c>
      <c r="B1069">
        <v>2006</v>
      </c>
      <c r="C1069" t="s">
        <v>363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432</v>
      </c>
      <c r="B1070">
        <v>2005</v>
      </c>
      <c r="C1070" t="s">
        <v>363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432</v>
      </c>
      <c r="B1071">
        <v>2004</v>
      </c>
      <c r="C1071" t="s">
        <v>363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432</v>
      </c>
      <c r="B1072">
        <v>2003</v>
      </c>
      <c r="C1072" t="s">
        <v>363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432</v>
      </c>
      <c r="B1073">
        <v>2002</v>
      </c>
      <c r="C1073" t="s">
        <v>363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432</v>
      </c>
      <c r="B1074">
        <v>2001</v>
      </c>
      <c r="C1074" t="s">
        <v>363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432</v>
      </c>
      <c r="B1075">
        <v>2000</v>
      </c>
      <c r="C1075" t="s">
        <v>363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433</v>
      </c>
      <c r="B1076">
        <v>2015</v>
      </c>
      <c r="C1076" t="s">
        <v>363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433</v>
      </c>
      <c r="B1077">
        <v>2014</v>
      </c>
      <c r="C1077" t="s">
        <v>363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433</v>
      </c>
      <c r="B1078">
        <v>2013</v>
      </c>
      <c r="C1078" t="s">
        <v>363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433</v>
      </c>
      <c r="B1079">
        <v>2012</v>
      </c>
      <c r="C1079" t="s">
        <v>363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433</v>
      </c>
      <c r="B1080">
        <v>2011</v>
      </c>
      <c r="C1080" t="s">
        <v>363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433</v>
      </c>
      <c r="B1081">
        <v>2010</v>
      </c>
      <c r="C1081" t="s">
        <v>363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433</v>
      </c>
      <c r="B1082">
        <v>2009</v>
      </c>
      <c r="C1082" t="s">
        <v>363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433</v>
      </c>
      <c r="B1083">
        <v>2008</v>
      </c>
      <c r="C1083" t="s">
        <v>363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433</v>
      </c>
      <c r="B1084">
        <v>2007</v>
      </c>
      <c r="C1084" t="s">
        <v>363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433</v>
      </c>
      <c r="B1085">
        <v>2006</v>
      </c>
      <c r="C1085" t="s">
        <v>363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433</v>
      </c>
      <c r="B1086">
        <v>2005</v>
      </c>
      <c r="C1086" t="s">
        <v>363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433</v>
      </c>
      <c r="B1087">
        <v>2004</v>
      </c>
      <c r="C1087" t="s">
        <v>363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433</v>
      </c>
      <c r="B1088">
        <v>2003</v>
      </c>
      <c r="C1088" t="s">
        <v>363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433</v>
      </c>
      <c r="B1089">
        <v>2002</v>
      </c>
      <c r="C1089" t="s">
        <v>363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433</v>
      </c>
      <c r="B1090">
        <v>2001</v>
      </c>
      <c r="C1090" t="s">
        <v>363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433</v>
      </c>
      <c r="B1091">
        <v>2000</v>
      </c>
      <c r="C1091" t="s">
        <v>363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434</v>
      </c>
      <c r="B1092">
        <v>2015</v>
      </c>
      <c r="C1092" t="s">
        <v>363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434</v>
      </c>
      <c r="B1093">
        <v>2014</v>
      </c>
      <c r="C1093" t="s">
        <v>363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434</v>
      </c>
      <c r="B1094">
        <v>2013</v>
      </c>
      <c r="C1094" t="s">
        <v>363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434</v>
      </c>
      <c r="B1095">
        <v>2012</v>
      </c>
      <c r="C1095" t="s">
        <v>363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434</v>
      </c>
      <c r="B1096">
        <v>2011</v>
      </c>
      <c r="C1096" t="s">
        <v>363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434</v>
      </c>
      <c r="B1097">
        <v>2010</v>
      </c>
      <c r="C1097" t="s">
        <v>363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434</v>
      </c>
      <c r="B1098">
        <v>2009</v>
      </c>
      <c r="C1098" t="s">
        <v>363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434</v>
      </c>
      <c r="B1099">
        <v>2008</v>
      </c>
      <c r="C1099" t="s">
        <v>363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434</v>
      </c>
      <c r="B1100">
        <v>2007</v>
      </c>
      <c r="C1100" t="s">
        <v>363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434</v>
      </c>
      <c r="B1101">
        <v>2006</v>
      </c>
      <c r="C1101" t="s">
        <v>363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434</v>
      </c>
      <c r="B1102">
        <v>2005</v>
      </c>
      <c r="C1102" t="s">
        <v>363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434</v>
      </c>
      <c r="B1103">
        <v>2004</v>
      </c>
      <c r="C1103" t="s">
        <v>363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434</v>
      </c>
      <c r="B1104">
        <v>2003</v>
      </c>
      <c r="C1104" t="s">
        <v>363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434</v>
      </c>
      <c r="B1105">
        <v>2002</v>
      </c>
      <c r="C1105" t="s">
        <v>363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434</v>
      </c>
      <c r="B1106">
        <v>2001</v>
      </c>
      <c r="C1106" t="s">
        <v>363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434</v>
      </c>
      <c r="B1107">
        <v>2000</v>
      </c>
      <c r="C1107" t="s">
        <v>363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435</v>
      </c>
      <c r="B1108">
        <v>2015</v>
      </c>
      <c r="C1108" t="s">
        <v>363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435</v>
      </c>
      <c r="B1109">
        <v>2014</v>
      </c>
      <c r="C1109" t="s">
        <v>363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435</v>
      </c>
      <c r="B1110">
        <v>2013</v>
      </c>
      <c r="C1110" t="s">
        <v>363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435</v>
      </c>
      <c r="B1111">
        <v>2012</v>
      </c>
      <c r="C1111" t="s">
        <v>363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435</v>
      </c>
      <c r="B1112">
        <v>2011</v>
      </c>
      <c r="C1112" t="s">
        <v>363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435</v>
      </c>
      <c r="B1113">
        <v>2010</v>
      </c>
      <c r="C1113" t="s">
        <v>363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435</v>
      </c>
      <c r="B1114">
        <v>2009</v>
      </c>
      <c r="C1114" t="s">
        <v>363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435</v>
      </c>
      <c r="B1115">
        <v>2008</v>
      </c>
      <c r="C1115" t="s">
        <v>363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435</v>
      </c>
      <c r="B1116">
        <v>2007</v>
      </c>
      <c r="C1116" t="s">
        <v>363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435</v>
      </c>
      <c r="B1117">
        <v>2006</v>
      </c>
      <c r="C1117" t="s">
        <v>363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435</v>
      </c>
      <c r="B1118">
        <v>2005</v>
      </c>
      <c r="C1118" t="s">
        <v>363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435</v>
      </c>
      <c r="B1119">
        <v>2004</v>
      </c>
      <c r="C1119" t="s">
        <v>363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435</v>
      </c>
      <c r="B1120">
        <v>2003</v>
      </c>
      <c r="C1120" t="s">
        <v>363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435</v>
      </c>
      <c r="B1121">
        <v>2002</v>
      </c>
      <c r="C1121" t="s">
        <v>363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435</v>
      </c>
      <c r="B1122">
        <v>2001</v>
      </c>
      <c r="C1122" t="s">
        <v>363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435</v>
      </c>
      <c r="B1123">
        <v>2000</v>
      </c>
      <c r="C1123" t="s">
        <v>363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436</v>
      </c>
      <c r="B1124">
        <v>2015</v>
      </c>
      <c r="C1124" t="s">
        <v>363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436</v>
      </c>
      <c r="B1125">
        <v>2014</v>
      </c>
      <c r="C1125" t="s">
        <v>363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436</v>
      </c>
      <c r="B1126">
        <v>2013</v>
      </c>
      <c r="C1126" t="s">
        <v>363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436</v>
      </c>
      <c r="B1127">
        <v>2012</v>
      </c>
      <c r="C1127" t="s">
        <v>363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436</v>
      </c>
      <c r="B1128">
        <v>2011</v>
      </c>
      <c r="C1128" t="s">
        <v>363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436</v>
      </c>
      <c r="B1129">
        <v>2010</v>
      </c>
      <c r="C1129" t="s">
        <v>363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436</v>
      </c>
      <c r="B1130">
        <v>2009</v>
      </c>
      <c r="C1130" t="s">
        <v>363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436</v>
      </c>
      <c r="B1131">
        <v>2008</v>
      </c>
      <c r="C1131" t="s">
        <v>363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436</v>
      </c>
      <c r="B1132">
        <v>2007</v>
      </c>
      <c r="C1132" t="s">
        <v>363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436</v>
      </c>
      <c r="B1133">
        <v>2006</v>
      </c>
      <c r="C1133" t="s">
        <v>363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436</v>
      </c>
      <c r="B1134">
        <v>2005</v>
      </c>
      <c r="C1134" t="s">
        <v>363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436</v>
      </c>
      <c r="B1135">
        <v>2004</v>
      </c>
      <c r="C1135" t="s">
        <v>363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436</v>
      </c>
      <c r="B1136">
        <v>2003</v>
      </c>
      <c r="C1136" t="s">
        <v>363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436</v>
      </c>
      <c r="B1137">
        <v>2002</v>
      </c>
      <c r="C1137" t="s">
        <v>363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436</v>
      </c>
      <c r="B1138">
        <v>2001</v>
      </c>
      <c r="C1138" t="s">
        <v>363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436</v>
      </c>
      <c r="B1139">
        <v>2000</v>
      </c>
      <c r="C1139" t="s">
        <v>363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437</v>
      </c>
      <c r="B1140">
        <v>2015</v>
      </c>
      <c r="C1140" t="s">
        <v>363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437</v>
      </c>
      <c r="B1141">
        <v>2014</v>
      </c>
      <c r="C1141" t="s">
        <v>363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437</v>
      </c>
      <c r="B1142">
        <v>2013</v>
      </c>
      <c r="C1142" t="s">
        <v>363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437</v>
      </c>
      <c r="B1143">
        <v>2012</v>
      </c>
      <c r="C1143" t="s">
        <v>363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437</v>
      </c>
      <c r="B1144">
        <v>2011</v>
      </c>
      <c r="C1144" t="s">
        <v>363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437</v>
      </c>
      <c r="B1145">
        <v>2010</v>
      </c>
      <c r="C1145" t="s">
        <v>363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437</v>
      </c>
      <c r="B1146">
        <v>2009</v>
      </c>
      <c r="C1146" t="s">
        <v>363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437</v>
      </c>
      <c r="B1147">
        <v>2008</v>
      </c>
      <c r="C1147" t="s">
        <v>363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437</v>
      </c>
      <c r="B1148">
        <v>2007</v>
      </c>
      <c r="C1148" t="s">
        <v>363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437</v>
      </c>
      <c r="B1149">
        <v>2006</v>
      </c>
      <c r="C1149" t="s">
        <v>363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437</v>
      </c>
      <c r="B1150">
        <v>2005</v>
      </c>
      <c r="C1150" t="s">
        <v>363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437</v>
      </c>
      <c r="B1151">
        <v>2004</v>
      </c>
      <c r="C1151" t="s">
        <v>363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437</v>
      </c>
      <c r="B1152">
        <v>2003</v>
      </c>
      <c r="C1152" t="s">
        <v>363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437</v>
      </c>
      <c r="B1153">
        <v>2002</v>
      </c>
      <c r="C1153" t="s">
        <v>363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437</v>
      </c>
      <c r="B1154">
        <v>2001</v>
      </c>
      <c r="C1154" t="s">
        <v>363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437</v>
      </c>
      <c r="B1155">
        <v>2000</v>
      </c>
      <c r="C1155" t="s">
        <v>363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438</v>
      </c>
      <c r="B1156">
        <v>2015</v>
      </c>
      <c r="C1156" t="s">
        <v>371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438</v>
      </c>
      <c r="B1157">
        <v>2014</v>
      </c>
      <c r="C1157" t="s">
        <v>371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438</v>
      </c>
      <c r="B1158">
        <v>2013</v>
      </c>
      <c r="C1158" t="s">
        <v>371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438</v>
      </c>
      <c r="B1159">
        <v>2012</v>
      </c>
      <c r="C1159" t="s">
        <v>371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438</v>
      </c>
      <c r="B1160">
        <v>2011</v>
      </c>
      <c r="C1160" t="s">
        <v>371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438</v>
      </c>
      <c r="B1161">
        <v>2010</v>
      </c>
      <c r="C1161" t="s">
        <v>371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438</v>
      </c>
      <c r="B1162">
        <v>2009</v>
      </c>
      <c r="C1162" t="s">
        <v>371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438</v>
      </c>
      <c r="B1163">
        <v>2008</v>
      </c>
      <c r="C1163" t="s">
        <v>371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438</v>
      </c>
      <c r="B1164">
        <v>2007</v>
      </c>
      <c r="C1164" t="s">
        <v>371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438</v>
      </c>
      <c r="B1165">
        <v>2006</v>
      </c>
      <c r="C1165" t="s">
        <v>371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438</v>
      </c>
      <c r="B1166">
        <v>2005</v>
      </c>
      <c r="C1166" t="s">
        <v>371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438</v>
      </c>
      <c r="B1167">
        <v>2004</v>
      </c>
      <c r="C1167" t="s">
        <v>371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438</v>
      </c>
      <c r="B1168">
        <v>2003</v>
      </c>
      <c r="C1168" t="s">
        <v>371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438</v>
      </c>
      <c r="B1169">
        <v>2002</v>
      </c>
      <c r="C1169" t="s">
        <v>371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438</v>
      </c>
      <c r="B1170">
        <v>2001</v>
      </c>
      <c r="C1170" t="s">
        <v>371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438</v>
      </c>
      <c r="B1171">
        <v>2000</v>
      </c>
      <c r="C1171" t="s">
        <v>371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439</v>
      </c>
      <c r="B1172">
        <v>2015</v>
      </c>
      <c r="C1172" t="s">
        <v>371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439</v>
      </c>
      <c r="B1173">
        <v>2014</v>
      </c>
      <c r="C1173" t="s">
        <v>371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439</v>
      </c>
      <c r="B1174">
        <v>2013</v>
      </c>
      <c r="C1174" t="s">
        <v>371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439</v>
      </c>
      <c r="B1175">
        <v>2012</v>
      </c>
      <c r="C1175" t="s">
        <v>371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439</v>
      </c>
      <c r="B1176">
        <v>2011</v>
      </c>
      <c r="C1176" t="s">
        <v>371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439</v>
      </c>
      <c r="B1177">
        <v>2010</v>
      </c>
      <c r="C1177" t="s">
        <v>371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439</v>
      </c>
      <c r="B1178">
        <v>2009</v>
      </c>
      <c r="C1178" t="s">
        <v>371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439</v>
      </c>
      <c r="B1179">
        <v>2008</v>
      </c>
      <c r="C1179" t="s">
        <v>371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439</v>
      </c>
      <c r="B1180">
        <v>2007</v>
      </c>
      <c r="C1180" t="s">
        <v>371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439</v>
      </c>
      <c r="B1181">
        <v>2006</v>
      </c>
      <c r="C1181" t="s">
        <v>371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439</v>
      </c>
      <c r="B1182">
        <v>2005</v>
      </c>
      <c r="C1182" t="s">
        <v>371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439</v>
      </c>
      <c r="B1183">
        <v>2004</v>
      </c>
      <c r="C1183" t="s">
        <v>371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439</v>
      </c>
      <c r="B1184">
        <v>2003</v>
      </c>
      <c r="C1184" t="s">
        <v>371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439</v>
      </c>
      <c r="B1185">
        <v>2002</v>
      </c>
      <c r="C1185" t="s">
        <v>371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439</v>
      </c>
      <c r="B1186">
        <v>2001</v>
      </c>
      <c r="C1186" t="s">
        <v>371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439</v>
      </c>
      <c r="B1187">
        <v>2000</v>
      </c>
      <c r="C1187" t="s">
        <v>371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440</v>
      </c>
      <c r="B1188">
        <v>2015</v>
      </c>
      <c r="C1188" t="s">
        <v>363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440</v>
      </c>
      <c r="B1189">
        <v>2014</v>
      </c>
      <c r="C1189" t="s">
        <v>363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440</v>
      </c>
      <c r="B1190">
        <v>2013</v>
      </c>
      <c r="C1190" t="s">
        <v>363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440</v>
      </c>
      <c r="B1191">
        <v>2012</v>
      </c>
      <c r="C1191" t="s">
        <v>363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440</v>
      </c>
      <c r="B1192">
        <v>2011</v>
      </c>
      <c r="C1192" t="s">
        <v>363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440</v>
      </c>
      <c r="B1193">
        <v>2010</v>
      </c>
      <c r="C1193" t="s">
        <v>363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440</v>
      </c>
      <c r="B1194">
        <v>2009</v>
      </c>
      <c r="C1194" t="s">
        <v>363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440</v>
      </c>
      <c r="B1195">
        <v>2008</v>
      </c>
      <c r="C1195" t="s">
        <v>363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440</v>
      </c>
      <c r="B1196">
        <v>2007</v>
      </c>
      <c r="C1196" t="s">
        <v>363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440</v>
      </c>
      <c r="B1197">
        <v>2006</v>
      </c>
      <c r="C1197" t="s">
        <v>363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440</v>
      </c>
      <c r="B1198">
        <v>2005</v>
      </c>
      <c r="C1198" t="s">
        <v>363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440</v>
      </c>
      <c r="B1199">
        <v>2004</v>
      </c>
      <c r="C1199" t="s">
        <v>363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440</v>
      </c>
      <c r="B1200">
        <v>2003</v>
      </c>
      <c r="C1200" t="s">
        <v>363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440</v>
      </c>
      <c r="B1201">
        <v>2002</v>
      </c>
      <c r="C1201" t="s">
        <v>363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440</v>
      </c>
      <c r="B1202">
        <v>2001</v>
      </c>
      <c r="C1202" t="s">
        <v>363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440</v>
      </c>
      <c r="B1203">
        <v>2000</v>
      </c>
      <c r="C1203" t="s">
        <v>363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441</v>
      </c>
      <c r="B1204">
        <v>2015</v>
      </c>
      <c r="C1204" t="s">
        <v>363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441</v>
      </c>
      <c r="B1205">
        <v>2014</v>
      </c>
      <c r="C1205" t="s">
        <v>363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441</v>
      </c>
      <c r="B1206">
        <v>2013</v>
      </c>
      <c r="C1206" t="s">
        <v>363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441</v>
      </c>
      <c r="B1207">
        <v>2012</v>
      </c>
      <c r="C1207" t="s">
        <v>363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441</v>
      </c>
      <c r="B1208">
        <v>2011</v>
      </c>
      <c r="C1208" t="s">
        <v>363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441</v>
      </c>
      <c r="B1209">
        <v>2010</v>
      </c>
      <c r="C1209" t="s">
        <v>363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441</v>
      </c>
      <c r="B1210">
        <v>2009</v>
      </c>
      <c r="C1210" t="s">
        <v>363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441</v>
      </c>
      <c r="B1211">
        <v>2008</v>
      </c>
      <c r="C1211" t="s">
        <v>363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441</v>
      </c>
      <c r="B1212">
        <v>2007</v>
      </c>
      <c r="C1212" t="s">
        <v>363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441</v>
      </c>
      <c r="B1213">
        <v>2006</v>
      </c>
      <c r="C1213" t="s">
        <v>363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441</v>
      </c>
      <c r="B1214">
        <v>2005</v>
      </c>
      <c r="C1214" t="s">
        <v>363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441</v>
      </c>
      <c r="B1215">
        <v>2004</v>
      </c>
      <c r="C1215" t="s">
        <v>363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441</v>
      </c>
      <c r="B1216">
        <v>2003</v>
      </c>
      <c r="C1216" t="s">
        <v>363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441</v>
      </c>
      <c r="B1217">
        <v>2002</v>
      </c>
      <c r="C1217" t="s">
        <v>363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441</v>
      </c>
      <c r="B1218">
        <v>2001</v>
      </c>
      <c r="C1218" t="s">
        <v>363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441</v>
      </c>
      <c r="B1219">
        <v>2000</v>
      </c>
      <c r="C1219" t="s">
        <v>363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442</v>
      </c>
      <c r="B1220">
        <v>2015</v>
      </c>
      <c r="C1220" t="s">
        <v>363</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442</v>
      </c>
      <c r="B1221">
        <v>2014</v>
      </c>
      <c r="C1221" t="s">
        <v>363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442</v>
      </c>
      <c r="B1222">
        <v>2013</v>
      </c>
      <c r="C1222" t="s">
        <v>363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442</v>
      </c>
      <c r="B1223">
        <v>2012</v>
      </c>
      <c r="C1223" t="s">
        <v>363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442</v>
      </c>
      <c r="B1224">
        <v>2011</v>
      </c>
      <c r="C1224" t="s">
        <v>363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442</v>
      </c>
      <c r="B1225">
        <v>2010</v>
      </c>
      <c r="C1225" t="s">
        <v>363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442</v>
      </c>
      <c r="B1226">
        <v>2009</v>
      </c>
      <c r="C1226" t="s">
        <v>363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442</v>
      </c>
      <c r="B1227">
        <v>2008</v>
      </c>
      <c r="C1227" t="s">
        <v>363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442</v>
      </c>
      <c r="B1228">
        <v>2007</v>
      </c>
      <c r="C1228" t="s">
        <v>363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442</v>
      </c>
      <c r="B1229">
        <v>2006</v>
      </c>
      <c r="C1229" t="s">
        <v>363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442</v>
      </c>
      <c r="B1230">
        <v>2005</v>
      </c>
      <c r="C1230" t="s">
        <v>363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442</v>
      </c>
      <c r="B1231">
        <v>2004</v>
      </c>
      <c r="C1231" t="s">
        <v>363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442</v>
      </c>
      <c r="B1232">
        <v>2003</v>
      </c>
      <c r="C1232" t="s">
        <v>363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442</v>
      </c>
      <c r="B1233">
        <v>2002</v>
      </c>
      <c r="C1233" t="s">
        <v>363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442</v>
      </c>
      <c r="B1234">
        <v>2001</v>
      </c>
      <c r="C1234" t="s">
        <v>363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442</v>
      </c>
      <c r="B1235">
        <v>2000</v>
      </c>
      <c r="C1235" t="s">
        <v>363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443</v>
      </c>
      <c r="B1236">
        <v>2015</v>
      </c>
      <c r="C1236" t="s">
        <v>363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443</v>
      </c>
      <c r="B1237">
        <v>2014</v>
      </c>
      <c r="C1237" t="s">
        <v>363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443</v>
      </c>
      <c r="B1238">
        <v>2013</v>
      </c>
      <c r="C1238" t="s">
        <v>363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443</v>
      </c>
      <c r="B1239">
        <v>2012</v>
      </c>
      <c r="C1239" t="s">
        <v>363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443</v>
      </c>
      <c r="B1240">
        <v>2011</v>
      </c>
      <c r="C1240" t="s">
        <v>363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443</v>
      </c>
      <c r="B1241">
        <v>2010</v>
      </c>
      <c r="C1241" t="s">
        <v>363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443</v>
      </c>
      <c r="B1242">
        <v>2009</v>
      </c>
      <c r="C1242" t="s">
        <v>363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443</v>
      </c>
      <c r="B1243">
        <v>2008</v>
      </c>
      <c r="C1243" t="s">
        <v>363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443</v>
      </c>
      <c r="B1244">
        <v>2007</v>
      </c>
      <c r="C1244" t="s">
        <v>363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443</v>
      </c>
      <c r="B1245">
        <v>2006</v>
      </c>
      <c r="C1245" t="s">
        <v>363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443</v>
      </c>
      <c r="B1246">
        <v>2005</v>
      </c>
      <c r="C1246" t="s">
        <v>363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443</v>
      </c>
      <c r="B1247">
        <v>2004</v>
      </c>
      <c r="C1247" t="s">
        <v>363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443</v>
      </c>
      <c r="B1248">
        <v>2003</v>
      </c>
      <c r="C1248" t="s">
        <v>363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443</v>
      </c>
      <c r="B1249">
        <v>2002</v>
      </c>
      <c r="C1249" t="s">
        <v>363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443</v>
      </c>
      <c r="B1250">
        <v>2001</v>
      </c>
      <c r="C1250" t="s">
        <v>363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443</v>
      </c>
      <c r="B1251">
        <v>2000</v>
      </c>
      <c r="C1251" t="s">
        <v>363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444</v>
      </c>
      <c r="B1252">
        <v>2015</v>
      </c>
      <c r="C1252" t="s">
        <v>371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444</v>
      </c>
      <c r="B1253">
        <v>2014</v>
      </c>
      <c r="C1253" t="s">
        <v>371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444</v>
      </c>
      <c r="B1254">
        <v>2013</v>
      </c>
      <c r="C1254" t="s">
        <v>371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444</v>
      </c>
      <c r="B1255">
        <v>2012</v>
      </c>
      <c r="C1255" t="s">
        <v>371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444</v>
      </c>
      <c r="B1256">
        <v>2011</v>
      </c>
      <c r="C1256" t="s">
        <v>371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444</v>
      </c>
      <c r="B1257">
        <v>2010</v>
      </c>
      <c r="C1257" t="s">
        <v>371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444</v>
      </c>
      <c r="B1258">
        <v>2009</v>
      </c>
      <c r="C1258" t="s">
        <v>371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444</v>
      </c>
      <c r="B1259">
        <v>2008</v>
      </c>
      <c r="C1259" t="s">
        <v>371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444</v>
      </c>
      <c r="B1260">
        <v>2007</v>
      </c>
      <c r="C1260" t="s">
        <v>371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444</v>
      </c>
      <c r="B1261">
        <v>2006</v>
      </c>
      <c r="C1261" t="s">
        <v>371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444</v>
      </c>
      <c r="B1262">
        <v>2005</v>
      </c>
      <c r="C1262" t="s">
        <v>371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444</v>
      </c>
      <c r="B1263">
        <v>2004</v>
      </c>
      <c r="C1263" t="s">
        <v>371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444</v>
      </c>
      <c r="B1264">
        <v>2003</v>
      </c>
      <c r="C1264" t="s">
        <v>371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444</v>
      </c>
      <c r="B1265">
        <v>2002</v>
      </c>
      <c r="C1265" t="s">
        <v>371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444</v>
      </c>
      <c r="B1266">
        <v>2001</v>
      </c>
      <c r="C1266" t="s">
        <v>371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444</v>
      </c>
      <c r="B1267">
        <v>2000</v>
      </c>
      <c r="C1267" t="s">
        <v>371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445</v>
      </c>
      <c r="B1268">
        <v>2015</v>
      </c>
      <c r="C1268" t="s">
        <v>363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445</v>
      </c>
      <c r="B1269">
        <v>2014</v>
      </c>
      <c r="C1269" t="s">
        <v>363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445</v>
      </c>
      <c r="B1270">
        <v>2013</v>
      </c>
      <c r="C1270" t="s">
        <v>363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445</v>
      </c>
      <c r="B1271">
        <v>2012</v>
      </c>
      <c r="C1271" t="s">
        <v>363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445</v>
      </c>
      <c r="B1272">
        <v>2011</v>
      </c>
      <c r="C1272" t="s">
        <v>363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445</v>
      </c>
      <c r="B1273">
        <v>2010</v>
      </c>
      <c r="C1273" t="s">
        <v>363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445</v>
      </c>
      <c r="B1274">
        <v>2009</v>
      </c>
      <c r="C1274" t="s">
        <v>363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445</v>
      </c>
      <c r="B1275">
        <v>2008</v>
      </c>
      <c r="C1275" t="s">
        <v>363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445</v>
      </c>
      <c r="B1276">
        <v>2007</v>
      </c>
      <c r="C1276" t="s">
        <v>363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445</v>
      </c>
      <c r="B1277">
        <v>2006</v>
      </c>
      <c r="C1277" t="s">
        <v>363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445</v>
      </c>
      <c r="B1278">
        <v>2005</v>
      </c>
      <c r="C1278" t="s">
        <v>363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445</v>
      </c>
      <c r="B1279">
        <v>2004</v>
      </c>
      <c r="C1279" t="s">
        <v>363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445</v>
      </c>
      <c r="B1280">
        <v>2003</v>
      </c>
      <c r="C1280" t="s">
        <v>363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445</v>
      </c>
      <c r="B1281">
        <v>2002</v>
      </c>
      <c r="C1281" t="s">
        <v>363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445</v>
      </c>
      <c r="B1282">
        <v>2001</v>
      </c>
      <c r="C1282" t="s">
        <v>363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445</v>
      </c>
      <c r="B1283">
        <v>2000</v>
      </c>
      <c r="C1283" t="s">
        <v>363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446</v>
      </c>
      <c r="B1284">
        <v>2015</v>
      </c>
      <c r="C1284" t="s">
        <v>371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446</v>
      </c>
      <c r="B1285">
        <v>2014</v>
      </c>
      <c r="C1285" t="s">
        <v>371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446</v>
      </c>
      <c r="B1286">
        <v>2013</v>
      </c>
      <c r="C1286" t="s">
        <v>371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446</v>
      </c>
      <c r="B1287">
        <v>2012</v>
      </c>
      <c r="C1287" t="s">
        <v>371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446</v>
      </c>
      <c r="B1288">
        <v>2011</v>
      </c>
      <c r="C1288" t="s">
        <v>371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446</v>
      </c>
      <c r="B1289">
        <v>2010</v>
      </c>
      <c r="C1289" t="s">
        <v>371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446</v>
      </c>
      <c r="B1290">
        <v>2009</v>
      </c>
      <c r="C1290" t="s">
        <v>371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446</v>
      </c>
      <c r="B1291">
        <v>2008</v>
      </c>
      <c r="C1291" t="s">
        <v>371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446</v>
      </c>
      <c r="B1292">
        <v>2007</v>
      </c>
      <c r="C1292" t="s">
        <v>371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446</v>
      </c>
      <c r="B1293">
        <v>2006</v>
      </c>
      <c r="C1293" t="s">
        <v>371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446</v>
      </c>
      <c r="B1294">
        <v>2005</v>
      </c>
      <c r="C1294" t="s">
        <v>371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446</v>
      </c>
      <c r="B1295">
        <v>2004</v>
      </c>
      <c r="C1295" t="s">
        <v>371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446</v>
      </c>
      <c r="B1296">
        <v>2003</v>
      </c>
      <c r="C1296" t="s">
        <v>371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446</v>
      </c>
      <c r="B1297">
        <v>2002</v>
      </c>
      <c r="C1297" t="s">
        <v>371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446</v>
      </c>
      <c r="B1298">
        <v>2001</v>
      </c>
      <c r="C1298" t="s">
        <v>371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446</v>
      </c>
      <c r="B1299">
        <v>2000</v>
      </c>
      <c r="C1299" t="s">
        <v>371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447</v>
      </c>
      <c r="B1300">
        <v>2015</v>
      </c>
      <c r="C1300" t="s">
        <v>363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447</v>
      </c>
      <c r="B1301">
        <v>2014</v>
      </c>
      <c r="C1301" t="s">
        <v>363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447</v>
      </c>
      <c r="B1302">
        <v>2013</v>
      </c>
      <c r="C1302" t="s">
        <v>363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447</v>
      </c>
      <c r="B1303">
        <v>2012</v>
      </c>
      <c r="C1303" t="s">
        <v>363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447</v>
      </c>
      <c r="B1304">
        <v>2011</v>
      </c>
      <c r="C1304" t="s">
        <v>363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447</v>
      </c>
      <c r="B1305">
        <v>2010</v>
      </c>
      <c r="C1305" t="s">
        <v>363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447</v>
      </c>
      <c r="B1306">
        <v>2009</v>
      </c>
      <c r="C1306" t="s">
        <v>363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447</v>
      </c>
      <c r="B1307">
        <v>2008</v>
      </c>
      <c r="C1307" t="s">
        <v>363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447</v>
      </c>
      <c r="B1308">
        <v>2007</v>
      </c>
      <c r="C1308" t="s">
        <v>363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447</v>
      </c>
      <c r="B1309">
        <v>2006</v>
      </c>
      <c r="C1309" t="s">
        <v>363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447</v>
      </c>
      <c r="B1310">
        <v>2005</v>
      </c>
      <c r="C1310" t="s">
        <v>363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447</v>
      </c>
      <c r="B1311">
        <v>2004</v>
      </c>
      <c r="C1311" t="s">
        <v>363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447</v>
      </c>
      <c r="B1312">
        <v>2003</v>
      </c>
      <c r="C1312" t="s">
        <v>363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447</v>
      </c>
      <c r="B1313">
        <v>2002</v>
      </c>
      <c r="C1313" t="s">
        <v>363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447</v>
      </c>
      <c r="B1314">
        <v>2001</v>
      </c>
      <c r="C1314" t="s">
        <v>363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447</v>
      </c>
      <c r="B1315">
        <v>2000</v>
      </c>
      <c r="C1315" t="s">
        <v>363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448</v>
      </c>
      <c r="B1316">
        <v>2015</v>
      </c>
      <c r="C1316" t="s">
        <v>371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448</v>
      </c>
      <c r="B1317">
        <v>2014</v>
      </c>
      <c r="C1317" t="s">
        <v>371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448</v>
      </c>
      <c r="B1318">
        <v>2013</v>
      </c>
      <c r="C1318" t="s">
        <v>371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448</v>
      </c>
      <c r="B1319">
        <v>2012</v>
      </c>
      <c r="C1319" t="s">
        <v>371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448</v>
      </c>
      <c r="B1320">
        <v>2011</v>
      </c>
      <c r="C1320" t="s">
        <v>371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448</v>
      </c>
      <c r="B1321">
        <v>2010</v>
      </c>
      <c r="C1321" t="s">
        <v>371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448</v>
      </c>
      <c r="B1322">
        <v>2009</v>
      </c>
      <c r="C1322" t="s">
        <v>371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448</v>
      </c>
      <c r="B1323">
        <v>2008</v>
      </c>
      <c r="C1323" t="s">
        <v>371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448</v>
      </c>
      <c r="B1324">
        <v>2007</v>
      </c>
      <c r="C1324" t="s">
        <v>371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448</v>
      </c>
      <c r="B1325">
        <v>2006</v>
      </c>
      <c r="C1325" t="s">
        <v>371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448</v>
      </c>
      <c r="B1326">
        <v>2005</v>
      </c>
      <c r="C1326" t="s">
        <v>371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448</v>
      </c>
      <c r="B1327">
        <v>2004</v>
      </c>
      <c r="C1327" t="s">
        <v>371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448</v>
      </c>
      <c r="B1328">
        <v>2003</v>
      </c>
      <c r="C1328" t="s">
        <v>371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448</v>
      </c>
      <c r="B1329">
        <v>2002</v>
      </c>
      <c r="C1329" t="s">
        <v>371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448</v>
      </c>
      <c r="B1330">
        <v>2001</v>
      </c>
      <c r="C1330" t="s">
        <v>371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448</v>
      </c>
      <c r="B1331">
        <v>2000</v>
      </c>
      <c r="C1331" t="s">
        <v>371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449</v>
      </c>
      <c r="B1332">
        <v>2015</v>
      </c>
      <c r="C1332" t="s">
        <v>363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449</v>
      </c>
      <c r="B1333">
        <v>2014</v>
      </c>
      <c r="C1333" t="s">
        <v>363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449</v>
      </c>
      <c r="B1334">
        <v>2013</v>
      </c>
      <c r="C1334" t="s">
        <v>363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449</v>
      </c>
      <c r="B1335">
        <v>2012</v>
      </c>
      <c r="C1335" t="s">
        <v>363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449</v>
      </c>
      <c r="B1336">
        <v>2011</v>
      </c>
      <c r="C1336" t="s">
        <v>363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449</v>
      </c>
      <c r="B1337">
        <v>2010</v>
      </c>
      <c r="C1337" t="s">
        <v>363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449</v>
      </c>
      <c r="B1338">
        <v>2009</v>
      </c>
      <c r="C1338" t="s">
        <v>363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449</v>
      </c>
      <c r="B1339">
        <v>2008</v>
      </c>
      <c r="C1339" t="s">
        <v>363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449</v>
      </c>
      <c r="B1340">
        <v>2007</v>
      </c>
      <c r="C1340" t="s">
        <v>363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449</v>
      </c>
      <c r="B1341">
        <v>2006</v>
      </c>
      <c r="C1341" t="s">
        <v>363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449</v>
      </c>
      <c r="B1342">
        <v>2005</v>
      </c>
      <c r="C1342" t="s">
        <v>363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449</v>
      </c>
      <c r="B1343">
        <v>2004</v>
      </c>
      <c r="C1343" t="s">
        <v>363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449</v>
      </c>
      <c r="B1344">
        <v>2003</v>
      </c>
      <c r="C1344" t="s">
        <v>363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449</v>
      </c>
      <c r="B1345">
        <v>2002</v>
      </c>
      <c r="C1345" t="s">
        <v>363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449</v>
      </c>
      <c r="B1346">
        <v>2001</v>
      </c>
      <c r="C1346" t="s">
        <v>363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449</v>
      </c>
      <c r="B1347">
        <v>2000</v>
      </c>
      <c r="C1347" t="s">
        <v>363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450</v>
      </c>
      <c r="B1348">
        <v>2015</v>
      </c>
      <c r="C1348" t="s">
        <v>363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450</v>
      </c>
      <c r="B1349">
        <v>2014</v>
      </c>
      <c r="C1349" t="s">
        <v>363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450</v>
      </c>
      <c r="B1350">
        <v>2013</v>
      </c>
      <c r="C1350" t="s">
        <v>363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450</v>
      </c>
      <c r="B1351">
        <v>2012</v>
      </c>
      <c r="C1351" t="s">
        <v>363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450</v>
      </c>
      <c r="B1352">
        <v>2011</v>
      </c>
      <c r="C1352" t="s">
        <v>363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450</v>
      </c>
      <c r="B1353">
        <v>2010</v>
      </c>
      <c r="C1353" t="s">
        <v>363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450</v>
      </c>
      <c r="B1354">
        <v>2009</v>
      </c>
      <c r="C1354" t="s">
        <v>363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450</v>
      </c>
      <c r="B1355">
        <v>2008</v>
      </c>
      <c r="C1355" t="s">
        <v>363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450</v>
      </c>
      <c r="B1356">
        <v>2007</v>
      </c>
      <c r="C1356" t="s">
        <v>363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450</v>
      </c>
      <c r="B1357">
        <v>2006</v>
      </c>
      <c r="C1357" t="s">
        <v>363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450</v>
      </c>
      <c r="B1358">
        <v>2005</v>
      </c>
      <c r="C1358" t="s">
        <v>363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450</v>
      </c>
      <c r="B1359">
        <v>2004</v>
      </c>
      <c r="C1359" t="s">
        <v>363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450</v>
      </c>
      <c r="B1360">
        <v>2003</v>
      </c>
      <c r="C1360" t="s">
        <v>363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450</v>
      </c>
      <c r="B1361">
        <v>2002</v>
      </c>
      <c r="C1361" t="s">
        <v>363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450</v>
      </c>
      <c r="B1362">
        <v>2001</v>
      </c>
      <c r="C1362" t="s">
        <v>363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450</v>
      </c>
      <c r="B1363">
        <v>2000</v>
      </c>
      <c r="C1363" t="s">
        <v>363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451</v>
      </c>
      <c r="B1364">
        <v>2015</v>
      </c>
      <c r="C1364" t="s">
        <v>363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451</v>
      </c>
      <c r="B1365">
        <v>2014</v>
      </c>
      <c r="C1365" t="s">
        <v>363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451</v>
      </c>
      <c r="B1366">
        <v>2013</v>
      </c>
      <c r="C1366" t="s">
        <v>363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451</v>
      </c>
      <c r="B1367">
        <v>2012</v>
      </c>
      <c r="C1367" t="s">
        <v>363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451</v>
      </c>
      <c r="B1368">
        <v>2011</v>
      </c>
      <c r="C1368" t="s">
        <v>363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451</v>
      </c>
      <c r="B1369">
        <v>2010</v>
      </c>
      <c r="C1369" t="s">
        <v>363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451</v>
      </c>
      <c r="B1370">
        <v>2009</v>
      </c>
      <c r="C1370" t="s">
        <v>363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451</v>
      </c>
      <c r="B1371">
        <v>2008</v>
      </c>
      <c r="C1371" t="s">
        <v>363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451</v>
      </c>
      <c r="B1372">
        <v>2007</v>
      </c>
      <c r="C1372" t="s">
        <v>363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451</v>
      </c>
      <c r="B1373">
        <v>2006</v>
      </c>
      <c r="C1373" t="s">
        <v>363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451</v>
      </c>
      <c r="B1374">
        <v>2005</v>
      </c>
      <c r="C1374" t="s">
        <v>363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451</v>
      </c>
      <c r="B1375">
        <v>2004</v>
      </c>
      <c r="C1375" t="s">
        <v>363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451</v>
      </c>
      <c r="B1376">
        <v>2003</v>
      </c>
      <c r="C1376" t="s">
        <v>363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451</v>
      </c>
      <c r="B1377">
        <v>2002</v>
      </c>
      <c r="C1377" t="s">
        <v>363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451</v>
      </c>
      <c r="B1378">
        <v>2001</v>
      </c>
      <c r="C1378" t="s">
        <v>363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451</v>
      </c>
      <c r="B1379">
        <v>2000</v>
      </c>
      <c r="C1379" t="s">
        <v>363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452</v>
      </c>
      <c r="B1380">
        <v>2015</v>
      </c>
      <c r="C1380" t="s">
        <v>363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452</v>
      </c>
      <c r="B1381">
        <v>2014</v>
      </c>
      <c r="C1381" t="s">
        <v>363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452</v>
      </c>
      <c r="B1382">
        <v>2013</v>
      </c>
      <c r="C1382" t="s">
        <v>363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452</v>
      </c>
      <c r="B1383">
        <v>2012</v>
      </c>
      <c r="C1383" t="s">
        <v>363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452</v>
      </c>
      <c r="B1384">
        <v>2011</v>
      </c>
      <c r="C1384" t="s">
        <v>363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452</v>
      </c>
      <c r="B1385">
        <v>2010</v>
      </c>
      <c r="C1385" t="s">
        <v>363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452</v>
      </c>
      <c r="B1386">
        <v>2009</v>
      </c>
      <c r="C1386" t="s">
        <v>363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452</v>
      </c>
      <c r="B1387">
        <v>2008</v>
      </c>
      <c r="C1387" t="s">
        <v>363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452</v>
      </c>
      <c r="B1388">
        <v>2007</v>
      </c>
      <c r="C1388" t="s">
        <v>363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452</v>
      </c>
      <c r="B1389">
        <v>2006</v>
      </c>
      <c r="C1389" t="s">
        <v>363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452</v>
      </c>
      <c r="B1390">
        <v>2005</v>
      </c>
      <c r="C1390" t="s">
        <v>363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452</v>
      </c>
      <c r="B1391">
        <v>2004</v>
      </c>
      <c r="C1391" t="s">
        <v>363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452</v>
      </c>
      <c r="B1392">
        <v>2003</v>
      </c>
      <c r="C1392" t="s">
        <v>363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452</v>
      </c>
      <c r="B1393">
        <v>2002</v>
      </c>
      <c r="C1393" t="s">
        <v>363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452</v>
      </c>
      <c r="B1394">
        <v>2001</v>
      </c>
      <c r="C1394" t="s">
        <v>363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452</v>
      </c>
      <c r="B1395">
        <v>2000</v>
      </c>
      <c r="C1395" t="s">
        <v>363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453</v>
      </c>
      <c r="B1396">
        <v>2015</v>
      </c>
      <c r="C1396" t="s">
        <v>363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453</v>
      </c>
      <c r="B1397">
        <v>2014</v>
      </c>
      <c r="C1397" t="s">
        <v>363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453</v>
      </c>
      <c r="B1398">
        <v>2013</v>
      </c>
      <c r="C1398" t="s">
        <v>363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453</v>
      </c>
      <c r="B1399">
        <v>2012</v>
      </c>
      <c r="C1399" t="s">
        <v>363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453</v>
      </c>
      <c r="B1400">
        <v>2011</v>
      </c>
      <c r="C1400" t="s">
        <v>363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453</v>
      </c>
      <c r="B1401">
        <v>2010</v>
      </c>
      <c r="C1401" t="s">
        <v>363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453</v>
      </c>
      <c r="B1402">
        <v>2009</v>
      </c>
      <c r="C1402" t="s">
        <v>363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453</v>
      </c>
      <c r="B1403">
        <v>2008</v>
      </c>
      <c r="C1403" t="s">
        <v>363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453</v>
      </c>
      <c r="B1404">
        <v>2007</v>
      </c>
      <c r="C1404" t="s">
        <v>363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453</v>
      </c>
      <c r="B1405">
        <v>2006</v>
      </c>
      <c r="C1405" t="s">
        <v>363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453</v>
      </c>
      <c r="B1406">
        <v>2005</v>
      </c>
      <c r="C1406" t="s">
        <v>363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453</v>
      </c>
      <c r="B1407">
        <v>2004</v>
      </c>
      <c r="C1407" t="s">
        <v>363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453</v>
      </c>
      <c r="B1408">
        <v>2003</v>
      </c>
      <c r="C1408" t="s">
        <v>363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453</v>
      </c>
      <c r="B1409">
        <v>2002</v>
      </c>
      <c r="C1409" t="s">
        <v>363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453</v>
      </c>
      <c r="B1410">
        <v>2001</v>
      </c>
      <c r="C1410" t="s">
        <v>363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453</v>
      </c>
      <c r="B1411">
        <v>2000</v>
      </c>
      <c r="C1411" t="s">
        <v>363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454</v>
      </c>
      <c r="B1412">
        <v>2015</v>
      </c>
      <c r="C1412" t="s">
        <v>363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454</v>
      </c>
      <c r="B1413">
        <v>2014</v>
      </c>
      <c r="C1413" t="s">
        <v>363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454</v>
      </c>
      <c r="B1414">
        <v>2013</v>
      </c>
      <c r="C1414" t="s">
        <v>363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454</v>
      </c>
      <c r="B1415">
        <v>2012</v>
      </c>
      <c r="C1415" t="s">
        <v>363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454</v>
      </c>
      <c r="B1416">
        <v>2011</v>
      </c>
      <c r="C1416" t="s">
        <v>363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454</v>
      </c>
      <c r="B1417">
        <v>2010</v>
      </c>
      <c r="C1417" t="s">
        <v>363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454</v>
      </c>
      <c r="B1418">
        <v>2009</v>
      </c>
      <c r="C1418" t="s">
        <v>363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454</v>
      </c>
      <c r="B1419">
        <v>2008</v>
      </c>
      <c r="C1419" t="s">
        <v>363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454</v>
      </c>
      <c r="B1420">
        <v>2007</v>
      </c>
      <c r="C1420" t="s">
        <v>363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454</v>
      </c>
      <c r="B1421">
        <v>2006</v>
      </c>
      <c r="C1421" t="s">
        <v>363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454</v>
      </c>
      <c r="B1422">
        <v>2005</v>
      </c>
      <c r="C1422" t="s">
        <v>363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454</v>
      </c>
      <c r="B1423">
        <v>2004</v>
      </c>
      <c r="C1423" t="s">
        <v>363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454</v>
      </c>
      <c r="B1424">
        <v>2003</v>
      </c>
      <c r="C1424" t="s">
        <v>363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454</v>
      </c>
      <c r="B1425">
        <v>2002</v>
      </c>
      <c r="C1425" t="s">
        <v>363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454</v>
      </c>
      <c r="B1426">
        <v>2001</v>
      </c>
      <c r="C1426" t="s">
        <v>363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454</v>
      </c>
      <c r="B1427">
        <v>2000</v>
      </c>
      <c r="C1427" t="s">
        <v>363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455</v>
      </c>
      <c r="B1428">
        <v>2015</v>
      </c>
      <c r="C1428" t="s">
        <v>363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455</v>
      </c>
      <c r="B1429">
        <v>2014</v>
      </c>
      <c r="C1429" t="s">
        <v>363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455</v>
      </c>
      <c r="B1430">
        <v>2013</v>
      </c>
      <c r="C1430" t="s">
        <v>363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455</v>
      </c>
      <c r="B1431">
        <v>2012</v>
      </c>
      <c r="C1431" t="s">
        <v>363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455</v>
      </c>
      <c r="B1432">
        <v>2011</v>
      </c>
      <c r="C1432" t="s">
        <v>363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455</v>
      </c>
      <c r="B1433">
        <v>2010</v>
      </c>
      <c r="C1433" t="s">
        <v>363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455</v>
      </c>
      <c r="B1434">
        <v>2009</v>
      </c>
      <c r="C1434" t="s">
        <v>363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455</v>
      </c>
      <c r="B1435">
        <v>2008</v>
      </c>
      <c r="C1435" t="s">
        <v>363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455</v>
      </c>
      <c r="B1436">
        <v>2007</v>
      </c>
      <c r="C1436" t="s">
        <v>363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455</v>
      </c>
      <c r="B1437">
        <v>2006</v>
      </c>
      <c r="C1437" t="s">
        <v>363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455</v>
      </c>
      <c r="B1438">
        <v>2005</v>
      </c>
      <c r="C1438" t="s">
        <v>363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455</v>
      </c>
      <c r="B1439">
        <v>2004</v>
      </c>
      <c r="C1439" t="s">
        <v>363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455</v>
      </c>
      <c r="B1440">
        <v>2003</v>
      </c>
      <c r="C1440" t="s">
        <v>363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455</v>
      </c>
      <c r="B1441">
        <v>2002</v>
      </c>
      <c r="C1441" t="s">
        <v>363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455</v>
      </c>
      <c r="B1442">
        <v>2001</v>
      </c>
      <c r="C1442" t="s">
        <v>363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455</v>
      </c>
      <c r="B1443">
        <v>2000</v>
      </c>
      <c r="C1443" t="s">
        <v>363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456</v>
      </c>
      <c r="B1444">
        <v>2015</v>
      </c>
      <c r="C1444" t="s">
        <v>371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456</v>
      </c>
      <c r="B1445">
        <v>2014</v>
      </c>
      <c r="C1445" t="s">
        <v>371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456</v>
      </c>
      <c r="B1446">
        <v>2013</v>
      </c>
      <c r="C1446" t="s">
        <v>371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456</v>
      </c>
      <c r="B1447">
        <v>2012</v>
      </c>
      <c r="C1447" t="s">
        <v>371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456</v>
      </c>
      <c r="B1448">
        <v>2011</v>
      </c>
      <c r="C1448" t="s">
        <v>371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456</v>
      </c>
      <c r="B1449">
        <v>2010</v>
      </c>
      <c r="C1449" t="s">
        <v>371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456</v>
      </c>
      <c r="B1450">
        <v>2009</v>
      </c>
      <c r="C1450" t="s">
        <v>371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456</v>
      </c>
      <c r="B1451">
        <v>2008</v>
      </c>
      <c r="C1451" t="s">
        <v>371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456</v>
      </c>
      <c r="B1452">
        <v>2007</v>
      </c>
      <c r="C1452" t="s">
        <v>371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456</v>
      </c>
      <c r="B1453">
        <v>2006</v>
      </c>
      <c r="C1453" t="s">
        <v>371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456</v>
      </c>
      <c r="B1454">
        <v>2005</v>
      </c>
      <c r="C1454" t="s">
        <v>371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456</v>
      </c>
      <c r="B1455">
        <v>2004</v>
      </c>
      <c r="C1455" t="s">
        <v>371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456</v>
      </c>
      <c r="B1456">
        <v>2003</v>
      </c>
      <c r="C1456" t="s">
        <v>371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456</v>
      </c>
      <c r="B1457">
        <v>2002</v>
      </c>
      <c r="C1457" t="s">
        <v>371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456</v>
      </c>
      <c r="B1458">
        <v>2001</v>
      </c>
      <c r="C1458" t="s">
        <v>371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456</v>
      </c>
      <c r="B1459">
        <v>2000</v>
      </c>
      <c r="C1459" t="s">
        <v>371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457</v>
      </c>
      <c r="B1460">
        <v>2015</v>
      </c>
      <c r="C1460" t="s">
        <v>363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457</v>
      </c>
      <c r="B1461">
        <v>2014</v>
      </c>
      <c r="C1461" t="s">
        <v>363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457</v>
      </c>
      <c r="B1462">
        <v>2013</v>
      </c>
      <c r="C1462" t="s">
        <v>363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457</v>
      </c>
      <c r="B1463">
        <v>2012</v>
      </c>
      <c r="C1463" t="s">
        <v>363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457</v>
      </c>
      <c r="B1464">
        <v>2011</v>
      </c>
      <c r="C1464" t="s">
        <v>363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457</v>
      </c>
      <c r="B1465">
        <v>2010</v>
      </c>
      <c r="C1465" t="s">
        <v>363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457</v>
      </c>
      <c r="B1466">
        <v>2009</v>
      </c>
      <c r="C1466" t="s">
        <v>363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457</v>
      </c>
      <c r="B1467">
        <v>2008</v>
      </c>
      <c r="C1467" t="s">
        <v>363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457</v>
      </c>
      <c r="B1468">
        <v>2007</v>
      </c>
      <c r="C1468" t="s">
        <v>363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457</v>
      </c>
      <c r="B1469">
        <v>2006</v>
      </c>
      <c r="C1469" t="s">
        <v>363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457</v>
      </c>
      <c r="B1470">
        <v>2005</v>
      </c>
      <c r="C1470" t="s">
        <v>363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457</v>
      </c>
      <c r="B1471">
        <v>2004</v>
      </c>
      <c r="C1471" t="s">
        <v>363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457</v>
      </c>
      <c r="B1472">
        <v>2003</v>
      </c>
      <c r="C1472" t="s">
        <v>363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457</v>
      </c>
      <c r="B1473">
        <v>2002</v>
      </c>
      <c r="C1473" t="s">
        <v>363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457</v>
      </c>
      <c r="B1474">
        <v>2001</v>
      </c>
      <c r="C1474" t="s">
        <v>363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457</v>
      </c>
      <c r="B1475">
        <v>2000</v>
      </c>
      <c r="C1475" t="s">
        <v>363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458</v>
      </c>
      <c r="B1476">
        <v>2015</v>
      </c>
      <c r="C1476" t="s">
        <v>363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458</v>
      </c>
      <c r="B1477">
        <v>2014</v>
      </c>
      <c r="C1477" t="s">
        <v>363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458</v>
      </c>
      <c r="B1478">
        <v>2013</v>
      </c>
      <c r="C1478" t="s">
        <v>363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458</v>
      </c>
      <c r="B1479">
        <v>2012</v>
      </c>
      <c r="C1479" t="s">
        <v>363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458</v>
      </c>
      <c r="B1480">
        <v>2011</v>
      </c>
      <c r="C1480" t="s">
        <v>363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458</v>
      </c>
      <c r="B1481">
        <v>2010</v>
      </c>
      <c r="C1481" t="s">
        <v>363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458</v>
      </c>
      <c r="B1482">
        <v>2009</v>
      </c>
      <c r="C1482" t="s">
        <v>363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458</v>
      </c>
      <c r="B1483">
        <v>2008</v>
      </c>
      <c r="C1483" t="s">
        <v>363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458</v>
      </c>
      <c r="B1484">
        <v>2007</v>
      </c>
      <c r="C1484" t="s">
        <v>363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458</v>
      </c>
      <c r="B1485">
        <v>2006</v>
      </c>
      <c r="C1485" t="s">
        <v>363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458</v>
      </c>
      <c r="B1486">
        <v>2005</v>
      </c>
      <c r="C1486" t="s">
        <v>363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458</v>
      </c>
      <c r="B1487">
        <v>2004</v>
      </c>
      <c r="C1487" t="s">
        <v>363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458</v>
      </c>
      <c r="B1488">
        <v>2003</v>
      </c>
      <c r="C1488" t="s">
        <v>363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458</v>
      </c>
      <c r="B1489">
        <v>2002</v>
      </c>
      <c r="C1489" t="s">
        <v>363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458</v>
      </c>
      <c r="B1490">
        <v>2001</v>
      </c>
      <c r="C1490" t="s">
        <v>363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458</v>
      </c>
      <c r="B1491">
        <v>2000</v>
      </c>
      <c r="C1491" t="s">
        <v>363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459</v>
      </c>
      <c r="B1492">
        <v>2015</v>
      </c>
      <c r="C1492" t="s">
        <v>363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459</v>
      </c>
      <c r="B1493">
        <v>2014</v>
      </c>
      <c r="C1493" t="s">
        <v>363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459</v>
      </c>
      <c r="B1494">
        <v>2013</v>
      </c>
      <c r="C1494" t="s">
        <v>363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459</v>
      </c>
      <c r="B1495">
        <v>2012</v>
      </c>
      <c r="C1495" t="s">
        <v>363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459</v>
      </c>
      <c r="B1496">
        <v>2011</v>
      </c>
      <c r="C1496" t="s">
        <v>363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459</v>
      </c>
      <c r="B1497">
        <v>2010</v>
      </c>
      <c r="C1497" t="s">
        <v>363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459</v>
      </c>
      <c r="B1498">
        <v>2009</v>
      </c>
      <c r="C1498" t="s">
        <v>363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459</v>
      </c>
      <c r="B1499">
        <v>2008</v>
      </c>
      <c r="C1499" t="s">
        <v>363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459</v>
      </c>
      <c r="B1500">
        <v>2007</v>
      </c>
      <c r="C1500" t="s">
        <v>363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459</v>
      </c>
      <c r="B1501">
        <v>2006</v>
      </c>
      <c r="C1501" t="s">
        <v>363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459</v>
      </c>
      <c r="B1502">
        <v>2005</v>
      </c>
      <c r="C1502" t="s">
        <v>363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459</v>
      </c>
      <c r="B1503">
        <v>2004</v>
      </c>
      <c r="C1503" t="s">
        <v>363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459</v>
      </c>
      <c r="B1504">
        <v>2003</v>
      </c>
      <c r="C1504" t="s">
        <v>363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459</v>
      </c>
      <c r="B1505">
        <v>2002</v>
      </c>
      <c r="C1505" t="s">
        <v>363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459</v>
      </c>
      <c r="B1506">
        <v>2001</v>
      </c>
      <c r="C1506" t="s">
        <v>363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459</v>
      </c>
      <c r="B1507">
        <v>2000</v>
      </c>
      <c r="C1507" t="s">
        <v>363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460</v>
      </c>
      <c r="B1508">
        <v>2015</v>
      </c>
      <c r="C1508" t="s">
        <v>363</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460</v>
      </c>
      <c r="B1509">
        <v>2014</v>
      </c>
      <c r="C1509" t="s">
        <v>363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460</v>
      </c>
      <c r="B1510">
        <v>2013</v>
      </c>
      <c r="C1510" t="s">
        <v>363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460</v>
      </c>
      <c r="B1511">
        <v>2012</v>
      </c>
      <c r="C1511" t="s">
        <v>363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460</v>
      </c>
      <c r="B1512">
        <v>2011</v>
      </c>
      <c r="C1512" t="s">
        <v>363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460</v>
      </c>
      <c r="B1513">
        <v>2010</v>
      </c>
      <c r="C1513" t="s">
        <v>363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460</v>
      </c>
      <c r="B1514">
        <v>2009</v>
      </c>
      <c r="C1514" t="s">
        <v>363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460</v>
      </c>
      <c r="B1515">
        <v>2008</v>
      </c>
      <c r="C1515" t="s">
        <v>363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460</v>
      </c>
      <c r="B1516">
        <v>2007</v>
      </c>
      <c r="C1516" t="s">
        <v>363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460</v>
      </c>
      <c r="B1517">
        <v>2006</v>
      </c>
      <c r="C1517" t="s">
        <v>363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460</v>
      </c>
      <c r="B1518">
        <v>2005</v>
      </c>
      <c r="C1518" t="s">
        <v>363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460</v>
      </c>
      <c r="B1519">
        <v>2004</v>
      </c>
      <c r="C1519" t="s">
        <v>363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460</v>
      </c>
      <c r="B1520">
        <v>2003</v>
      </c>
      <c r="C1520" t="s">
        <v>363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460</v>
      </c>
      <c r="B1521">
        <v>2002</v>
      </c>
      <c r="C1521" t="s">
        <v>363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460</v>
      </c>
      <c r="B1522">
        <v>2001</v>
      </c>
      <c r="C1522" t="s">
        <v>363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460</v>
      </c>
      <c r="B1523">
        <v>2000</v>
      </c>
      <c r="C1523" t="s">
        <v>363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461</v>
      </c>
      <c r="B1524">
        <v>2015</v>
      </c>
      <c r="C1524" t="s">
        <v>371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461</v>
      </c>
      <c r="B1525">
        <v>2014</v>
      </c>
      <c r="C1525" t="s">
        <v>371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461</v>
      </c>
      <c r="B1526">
        <v>2013</v>
      </c>
      <c r="C1526" t="s">
        <v>371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461</v>
      </c>
      <c r="B1527">
        <v>2012</v>
      </c>
      <c r="C1527" t="s">
        <v>371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461</v>
      </c>
      <c r="B1528">
        <v>2011</v>
      </c>
      <c r="C1528" t="s">
        <v>371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461</v>
      </c>
      <c r="B1529">
        <v>2010</v>
      </c>
      <c r="C1529" t="s">
        <v>371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461</v>
      </c>
      <c r="B1530">
        <v>2009</v>
      </c>
      <c r="C1530" t="s">
        <v>371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461</v>
      </c>
      <c r="B1531">
        <v>2008</v>
      </c>
      <c r="C1531" t="s">
        <v>371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461</v>
      </c>
      <c r="B1532">
        <v>2007</v>
      </c>
      <c r="C1532" t="s">
        <v>371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461</v>
      </c>
      <c r="B1533">
        <v>2006</v>
      </c>
      <c r="C1533" t="s">
        <v>371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461</v>
      </c>
      <c r="B1534">
        <v>2005</v>
      </c>
      <c r="C1534" t="s">
        <v>371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461</v>
      </c>
      <c r="B1535">
        <v>2004</v>
      </c>
      <c r="C1535" t="s">
        <v>371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461</v>
      </c>
      <c r="B1536">
        <v>2003</v>
      </c>
      <c r="C1536" t="s">
        <v>371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461</v>
      </c>
      <c r="B1537">
        <v>2002</v>
      </c>
      <c r="C1537" t="s">
        <v>371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461</v>
      </c>
      <c r="B1538">
        <v>2001</v>
      </c>
      <c r="C1538" t="s">
        <v>371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461</v>
      </c>
      <c r="B1539">
        <v>2000</v>
      </c>
      <c r="C1539" t="s">
        <v>371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462</v>
      </c>
      <c r="B1540">
        <v>2015</v>
      </c>
      <c r="C1540" t="s">
        <v>371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462</v>
      </c>
      <c r="B1541">
        <v>2014</v>
      </c>
      <c r="C1541" t="s">
        <v>371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462</v>
      </c>
      <c r="B1542">
        <v>2013</v>
      </c>
      <c r="C1542" t="s">
        <v>371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462</v>
      </c>
      <c r="B1543">
        <v>2012</v>
      </c>
      <c r="C1543" t="s">
        <v>371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462</v>
      </c>
      <c r="B1544">
        <v>2011</v>
      </c>
      <c r="C1544" t="s">
        <v>371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462</v>
      </c>
      <c r="B1545">
        <v>2010</v>
      </c>
      <c r="C1545" t="s">
        <v>371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462</v>
      </c>
      <c r="B1546">
        <v>2009</v>
      </c>
      <c r="C1546" t="s">
        <v>371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462</v>
      </c>
      <c r="B1547">
        <v>2008</v>
      </c>
      <c r="C1547" t="s">
        <v>371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462</v>
      </c>
      <c r="B1548">
        <v>2007</v>
      </c>
      <c r="C1548" t="s">
        <v>371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462</v>
      </c>
      <c r="B1549">
        <v>2006</v>
      </c>
      <c r="C1549" t="s">
        <v>371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462</v>
      </c>
      <c r="B1550">
        <v>2005</v>
      </c>
      <c r="C1550" t="s">
        <v>371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462</v>
      </c>
      <c r="B1551">
        <v>2004</v>
      </c>
      <c r="C1551" t="s">
        <v>371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462</v>
      </c>
      <c r="B1552">
        <v>2003</v>
      </c>
      <c r="C1552" t="s">
        <v>371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462</v>
      </c>
      <c r="B1553">
        <v>2002</v>
      </c>
      <c r="C1553" t="s">
        <v>371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462</v>
      </c>
      <c r="B1554">
        <v>2001</v>
      </c>
      <c r="C1554" t="s">
        <v>371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462</v>
      </c>
      <c r="B1555">
        <v>2000</v>
      </c>
      <c r="C1555" t="s">
        <v>371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463</v>
      </c>
      <c r="B1556">
        <v>2015</v>
      </c>
      <c r="C1556" t="s">
        <v>363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463</v>
      </c>
      <c r="B1557">
        <v>2014</v>
      </c>
      <c r="C1557" t="s">
        <v>363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463</v>
      </c>
      <c r="B1558">
        <v>2013</v>
      </c>
      <c r="C1558" t="s">
        <v>363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463</v>
      </c>
      <c r="B1559">
        <v>2012</v>
      </c>
      <c r="C1559" t="s">
        <v>363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463</v>
      </c>
      <c r="B1560">
        <v>2011</v>
      </c>
      <c r="C1560" t="s">
        <v>363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463</v>
      </c>
      <c r="B1561">
        <v>2010</v>
      </c>
      <c r="C1561" t="s">
        <v>363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463</v>
      </c>
      <c r="B1562">
        <v>2009</v>
      </c>
      <c r="C1562" t="s">
        <v>363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463</v>
      </c>
      <c r="B1563">
        <v>2008</v>
      </c>
      <c r="C1563" t="s">
        <v>363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463</v>
      </c>
      <c r="B1564">
        <v>2007</v>
      </c>
      <c r="C1564" t="s">
        <v>363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463</v>
      </c>
      <c r="B1565">
        <v>2006</v>
      </c>
      <c r="C1565" t="s">
        <v>363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463</v>
      </c>
      <c r="B1566">
        <v>2005</v>
      </c>
      <c r="C1566" t="s">
        <v>363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463</v>
      </c>
      <c r="B1567">
        <v>2004</v>
      </c>
      <c r="C1567" t="s">
        <v>363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463</v>
      </c>
      <c r="B1568">
        <v>2003</v>
      </c>
      <c r="C1568" t="s">
        <v>363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463</v>
      </c>
      <c r="B1569">
        <v>2002</v>
      </c>
      <c r="C1569" t="s">
        <v>363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463</v>
      </c>
      <c r="B1570">
        <v>2001</v>
      </c>
      <c r="C1570" t="s">
        <v>363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463</v>
      </c>
      <c r="B1571">
        <v>2000</v>
      </c>
      <c r="C1571" t="s">
        <v>363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464</v>
      </c>
      <c r="B1572">
        <v>2015</v>
      </c>
      <c r="C1572" t="s">
        <v>363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464</v>
      </c>
      <c r="B1573">
        <v>2014</v>
      </c>
      <c r="C1573" t="s">
        <v>363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464</v>
      </c>
      <c r="B1574">
        <v>2013</v>
      </c>
      <c r="C1574" t="s">
        <v>363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464</v>
      </c>
      <c r="B1575">
        <v>2012</v>
      </c>
      <c r="C1575" t="s">
        <v>363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464</v>
      </c>
      <c r="B1576">
        <v>2011</v>
      </c>
      <c r="C1576" t="s">
        <v>363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464</v>
      </c>
      <c r="B1577">
        <v>2010</v>
      </c>
      <c r="C1577" t="s">
        <v>363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464</v>
      </c>
      <c r="B1578">
        <v>2009</v>
      </c>
      <c r="C1578" t="s">
        <v>363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464</v>
      </c>
      <c r="B1579">
        <v>2008</v>
      </c>
      <c r="C1579" t="s">
        <v>363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464</v>
      </c>
      <c r="B1580">
        <v>2007</v>
      </c>
      <c r="C1580" t="s">
        <v>363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464</v>
      </c>
      <c r="B1581">
        <v>2006</v>
      </c>
      <c r="C1581" t="s">
        <v>363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464</v>
      </c>
      <c r="B1582">
        <v>2005</v>
      </c>
      <c r="C1582" t="s">
        <v>363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464</v>
      </c>
      <c r="B1583">
        <v>2004</v>
      </c>
      <c r="C1583" t="s">
        <v>363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464</v>
      </c>
      <c r="B1584">
        <v>2003</v>
      </c>
      <c r="C1584" t="s">
        <v>363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464</v>
      </c>
      <c r="B1585">
        <v>2002</v>
      </c>
      <c r="C1585" t="s">
        <v>363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464</v>
      </c>
      <c r="B1586">
        <v>2001</v>
      </c>
      <c r="C1586" t="s">
        <v>363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464</v>
      </c>
      <c r="B1587">
        <v>2000</v>
      </c>
      <c r="C1587" t="s">
        <v>363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465</v>
      </c>
      <c r="B1588">
        <v>2015</v>
      </c>
      <c r="C1588" t="s">
        <v>363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465</v>
      </c>
      <c r="B1589">
        <v>2014</v>
      </c>
      <c r="C1589" t="s">
        <v>363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465</v>
      </c>
      <c r="B1590">
        <v>2013</v>
      </c>
      <c r="C1590" t="s">
        <v>363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465</v>
      </c>
      <c r="B1591">
        <v>2012</v>
      </c>
      <c r="C1591" t="s">
        <v>363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465</v>
      </c>
      <c r="B1592">
        <v>2011</v>
      </c>
      <c r="C1592" t="s">
        <v>363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465</v>
      </c>
      <c r="B1593">
        <v>2010</v>
      </c>
      <c r="C1593" t="s">
        <v>363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465</v>
      </c>
      <c r="B1594">
        <v>2009</v>
      </c>
      <c r="C1594" t="s">
        <v>363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465</v>
      </c>
      <c r="B1595">
        <v>2008</v>
      </c>
      <c r="C1595" t="s">
        <v>363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465</v>
      </c>
      <c r="B1596">
        <v>2007</v>
      </c>
      <c r="C1596" t="s">
        <v>363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465</v>
      </c>
      <c r="B1597">
        <v>2006</v>
      </c>
      <c r="C1597" t="s">
        <v>363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465</v>
      </c>
      <c r="B1598">
        <v>2005</v>
      </c>
      <c r="C1598" t="s">
        <v>363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465</v>
      </c>
      <c r="B1599">
        <v>2004</v>
      </c>
      <c r="C1599" t="s">
        <v>363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465</v>
      </c>
      <c r="B1600">
        <v>2003</v>
      </c>
      <c r="C1600" t="s">
        <v>363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465</v>
      </c>
      <c r="B1601">
        <v>2002</v>
      </c>
      <c r="C1601" t="s">
        <v>363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465</v>
      </c>
      <c r="B1602">
        <v>2001</v>
      </c>
      <c r="C1602" t="s">
        <v>363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465</v>
      </c>
      <c r="B1603">
        <v>2000</v>
      </c>
      <c r="C1603" t="s">
        <v>363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466</v>
      </c>
      <c r="B1604">
        <v>2015</v>
      </c>
      <c r="C1604" t="s">
        <v>363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466</v>
      </c>
      <c r="B1605">
        <v>2014</v>
      </c>
      <c r="C1605" t="s">
        <v>363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466</v>
      </c>
      <c r="B1606">
        <v>2013</v>
      </c>
      <c r="C1606" t="s">
        <v>363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466</v>
      </c>
      <c r="B1607">
        <v>2012</v>
      </c>
      <c r="C1607" t="s">
        <v>363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466</v>
      </c>
      <c r="B1608">
        <v>2011</v>
      </c>
      <c r="C1608" t="s">
        <v>363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466</v>
      </c>
      <c r="B1609">
        <v>2010</v>
      </c>
      <c r="C1609" t="s">
        <v>363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466</v>
      </c>
      <c r="B1610">
        <v>2009</v>
      </c>
      <c r="C1610" t="s">
        <v>363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466</v>
      </c>
      <c r="B1611">
        <v>2008</v>
      </c>
      <c r="C1611" t="s">
        <v>363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466</v>
      </c>
      <c r="B1612">
        <v>2007</v>
      </c>
      <c r="C1612" t="s">
        <v>363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466</v>
      </c>
      <c r="B1613">
        <v>2006</v>
      </c>
      <c r="C1613" t="s">
        <v>363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466</v>
      </c>
      <c r="B1614">
        <v>2005</v>
      </c>
      <c r="C1614" t="s">
        <v>363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466</v>
      </c>
      <c r="B1615">
        <v>2004</v>
      </c>
      <c r="C1615" t="s">
        <v>363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466</v>
      </c>
      <c r="B1616">
        <v>2003</v>
      </c>
      <c r="C1616" t="s">
        <v>363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466</v>
      </c>
      <c r="B1617">
        <v>2002</v>
      </c>
      <c r="C1617" t="s">
        <v>363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466</v>
      </c>
      <c r="B1618">
        <v>2001</v>
      </c>
      <c r="C1618" t="s">
        <v>363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466</v>
      </c>
      <c r="B1619">
        <v>2000</v>
      </c>
      <c r="C1619" t="s">
        <v>363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467</v>
      </c>
      <c r="B1620">
        <v>2015</v>
      </c>
      <c r="C1620" t="s">
        <v>363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467</v>
      </c>
      <c r="B1621">
        <v>2014</v>
      </c>
      <c r="C1621" t="s">
        <v>363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467</v>
      </c>
      <c r="B1622">
        <v>2013</v>
      </c>
      <c r="C1622" t="s">
        <v>363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467</v>
      </c>
      <c r="B1623">
        <v>2012</v>
      </c>
      <c r="C1623" t="s">
        <v>363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467</v>
      </c>
      <c r="B1624">
        <v>2011</v>
      </c>
      <c r="C1624" t="s">
        <v>363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467</v>
      </c>
      <c r="B1625">
        <v>2010</v>
      </c>
      <c r="C1625" t="s">
        <v>363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467</v>
      </c>
      <c r="B1626">
        <v>2009</v>
      </c>
      <c r="C1626" t="s">
        <v>363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467</v>
      </c>
      <c r="B1627">
        <v>2008</v>
      </c>
      <c r="C1627" t="s">
        <v>363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467</v>
      </c>
      <c r="B1628">
        <v>2007</v>
      </c>
      <c r="C1628" t="s">
        <v>363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467</v>
      </c>
      <c r="B1629">
        <v>2006</v>
      </c>
      <c r="C1629" t="s">
        <v>363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467</v>
      </c>
      <c r="B1630">
        <v>2005</v>
      </c>
      <c r="C1630" t="s">
        <v>363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467</v>
      </c>
      <c r="B1631">
        <v>2004</v>
      </c>
      <c r="C1631" t="s">
        <v>363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467</v>
      </c>
      <c r="B1632">
        <v>2003</v>
      </c>
      <c r="C1632" t="s">
        <v>363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467</v>
      </c>
      <c r="B1633">
        <v>2002</v>
      </c>
      <c r="C1633" t="s">
        <v>363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467</v>
      </c>
      <c r="B1634">
        <v>2001</v>
      </c>
      <c r="C1634" t="s">
        <v>363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467</v>
      </c>
      <c r="B1635">
        <v>2000</v>
      </c>
      <c r="C1635" t="s">
        <v>363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468</v>
      </c>
      <c r="B1636">
        <v>2015</v>
      </c>
      <c r="C1636" t="s">
        <v>371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468</v>
      </c>
      <c r="B1637">
        <v>2014</v>
      </c>
      <c r="C1637" t="s">
        <v>371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468</v>
      </c>
      <c r="B1638">
        <v>2013</v>
      </c>
      <c r="C1638" t="s">
        <v>371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468</v>
      </c>
      <c r="B1639">
        <v>2012</v>
      </c>
      <c r="C1639" t="s">
        <v>371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468</v>
      </c>
      <c r="B1640">
        <v>2011</v>
      </c>
      <c r="C1640" t="s">
        <v>371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468</v>
      </c>
      <c r="B1641">
        <v>2010</v>
      </c>
      <c r="C1641" t="s">
        <v>371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468</v>
      </c>
      <c r="B1642">
        <v>2009</v>
      </c>
      <c r="C1642" t="s">
        <v>371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468</v>
      </c>
      <c r="B1643">
        <v>2008</v>
      </c>
      <c r="C1643" t="s">
        <v>371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468</v>
      </c>
      <c r="B1644">
        <v>2007</v>
      </c>
      <c r="C1644" t="s">
        <v>371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468</v>
      </c>
      <c r="B1645">
        <v>2006</v>
      </c>
      <c r="C1645" t="s">
        <v>371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468</v>
      </c>
      <c r="B1646">
        <v>2005</v>
      </c>
      <c r="C1646" t="s">
        <v>371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468</v>
      </c>
      <c r="B1647">
        <v>2004</v>
      </c>
      <c r="C1647" t="s">
        <v>371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468</v>
      </c>
      <c r="B1648">
        <v>2003</v>
      </c>
      <c r="C1648" t="s">
        <v>371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468</v>
      </c>
      <c r="B1649">
        <v>2002</v>
      </c>
      <c r="C1649" t="s">
        <v>371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468</v>
      </c>
      <c r="B1650">
        <v>2001</v>
      </c>
      <c r="C1650" t="s">
        <v>371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468</v>
      </c>
      <c r="B1651">
        <v>2000</v>
      </c>
      <c r="C1651" t="s">
        <v>371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469</v>
      </c>
      <c r="B1652">
        <v>2013</v>
      </c>
      <c r="C1652" t="s">
        <v>363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470</v>
      </c>
      <c r="B1653">
        <v>2015</v>
      </c>
      <c r="C1653" t="s">
        <v>363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470</v>
      </c>
      <c r="B1654">
        <v>2014</v>
      </c>
      <c r="C1654" t="s">
        <v>363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470</v>
      </c>
      <c r="B1655">
        <v>2013</v>
      </c>
      <c r="C1655" t="s">
        <v>363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470</v>
      </c>
      <c r="B1656">
        <v>2012</v>
      </c>
      <c r="C1656" t="s">
        <v>363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470</v>
      </c>
      <c r="B1657">
        <v>2011</v>
      </c>
      <c r="C1657" t="s">
        <v>363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470</v>
      </c>
      <c r="B1658">
        <v>2010</v>
      </c>
      <c r="C1658" t="s">
        <v>363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470</v>
      </c>
      <c r="B1659">
        <v>2009</v>
      </c>
      <c r="C1659" t="s">
        <v>363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470</v>
      </c>
      <c r="B1660">
        <v>2008</v>
      </c>
      <c r="C1660" t="s">
        <v>363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470</v>
      </c>
      <c r="B1661">
        <v>2007</v>
      </c>
      <c r="C1661" t="s">
        <v>363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470</v>
      </c>
      <c r="B1662">
        <v>2006</v>
      </c>
      <c r="C1662" t="s">
        <v>363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470</v>
      </c>
      <c r="B1663">
        <v>2005</v>
      </c>
      <c r="C1663" t="s">
        <v>363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470</v>
      </c>
      <c r="B1664">
        <v>2004</v>
      </c>
      <c r="C1664" t="s">
        <v>363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470</v>
      </c>
      <c r="B1665">
        <v>2003</v>
      </c>
      <c r="C1665" t="s">
        <v>363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470</v>
      </c>
      <c r="B1666">
        <v>2002</v>
      </c>
      <c r="C1666" t="s">
        <v>363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470</v>
      </c>
      <c r="B1667">
        <v>2001</v>
      </c>
      <c r="C1667" t="s">
        <v>363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470</v>
      </c>
      <c r="B1668">
        <v>2000</v>
      </c>
      <c r="C1668" t="s">
        <v>363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471</v>
      </c>
      <c r="B1669">
        <v>2015</v>
      </c>
      <c r="C1669" t="s">
        <v>363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471</v>
      </c>
      <c r="B1670">
        <v>2014</v>
      </c>
      <c r="C1670" t="s">
        <v>363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471</v>
      </c>
      <c r="B1671">
        <v>2013</v>
      </c>
      <c r="C1671" t="s">
        <v>363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471</v>
      </c>
      <c r="B1672">
        <v>2012</v>
      </c>
      <c r="C1672" t="s">
        <v>363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471</v>
      </c>
      <c r="B1673">
        <v>2011</v>
      </c>
      <c r="C1673" t="s">
        <v>363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471</v>
      </c>
      <c r="B1674">
        <v>2010</v>
      </c>
      <c r="C1674" t="s">
        <v>363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471</v>
      </c>
      <c r="B1675">
        <v>2009</v>
      </c>
      <c r="C1675" t="s">
        <v>363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471</v>
      </c>
      <c r="B1676">
        <v>2008</v>
      </c>
      <c r="C1676" t="s">
        <v>363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471</v>
      </c>
      <c r="B1677">
        <v>2007</v>
      </c>
      <c r="C1677" t="s">
        <v>363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471</v>
      </c>
      <c r="B1678">
        <v>2006</v>
      </c>
      <c r="C1678" t="s">
        <v>363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471</v>
      </c>
      <c r="B1679">
        <v>2005</v>
      </c>
      <c r="C1679" t="s">
        <v>363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471</v>
      </c>
      <c r="B1680">
        <v>2004</v>
      </c>
      <c r="C1680" t="s">
        <v>363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471</v>
      </c>
      <c r="B1681">
        <v>2003</v>
      </c>
      <c r="C1681" t="s">
        <v>363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471</v>
      </c>
      <c r="B1682">
        <v>2002</v>
      </c>
      <c r="C1682" t="s">
        <v>363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471</v>
      </c>
      <c r="B1683">
        <v>2001</v>
      </c>
      <c r="C1683" t="s">
        <v>363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471</v>
      </c>
      <c r="B1684">
        <v>2000</v>
      </c>
      <c r="C1684" t="s">
        <v>363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472</v>
      </c>
      <c r="B1685">
        <v>2015</v>
      </c>
      <c r="C1685" t="s">
        <v>363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472</v>
      </c>
      <c r="B1686">
        <v>2014</v>
      </c>
      <c r="C1686" t="s">
        <v>363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472</v>
      </c>
      <c r="B1687">
        <v>2013</v>
      </c>
      <c r="C1687" t="s">
        <v>363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472</v>
      </c>
      <c r="B1688">
        <v>2012</v>
      </c>
      <c r="C1688" t="s">
        <v>363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472</v>
      </c>
      <c r="B1689">
        <v>2011</v>
      </c>
      <c r="C1689" t="s">
        <v>363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472</v>
      </c>
      <c r="B1690">
        <v>2010</v>
      </c>
      <c r="C1690" t="s">
        <v>363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472</v>
      </c>
      <c r="B1691">
        <v>2009</v>
      </c>
      <c r="C1691" t="s">
        <v>363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472</v>
      </c>
      <c r="B1692">
        <v>2008</v>
      </c>
      <c r="C1692" t="s">
        <v>363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472</v>
      </c>
      <c r="B1693">
        <v>2007</v>
      </c>
      <c r="C1693" t="s">
        <v>363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472</v>
      </c>
      <c r="B1694">
        <v>2006</v>
      </c>
      <c r="C1694" t="s">
        <v>363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472</v>
      </c>
      <c r="B1695">
        <v>2005</v>
      </c>
      <c r="C1695" t="s">
        <v>363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472</v>
      </c>
      <c r="B1696">
        <v>2004</v>
      </c>
      <c r="C1696" t="s">
        <v>363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472</v>
      </c>
      <c r="B1697">
        <v>2003</v>
      </c>
      <c r="C1697" t="s">
        <v>363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472</v>
      </c>
      <c r="B1698">
        <v>2002</v>
      </c>
      <c r="C1698" t="s">
        <v>363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472</v>
      </c>
      <c r="B1699">
        <v>2001</v>
      </c>
      <c r="C1699" t="s">
        <v>363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472</v>
      </c>
      <c r="B1700">
        <v>2000</v>
      </c>
      <c r="C1700" t="s">
        <v>363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473</v>
      </c>
      <c r="B1701">
        <v>2015</v>
      </c>
      <c r="C1701" t="s">
        <v>363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473</v>
      </c>
      <c r="B1702">
        <v>2014</v>
      </c>
      <c r="C1702" t="s">
        <v>363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473</v>
      </c>
      <c r="B1703">
        <v>2013</v>
      </c>
      <c r="C1703" t="s">
        <v>363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473</v>
      </c>
      <c r="B1704">
        <v>2012</v>
      </c>
      <c r="C1704" t="s">
        <v>363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473</v>
      </c>
      <c r="B1705">
        <v>2011</v>
      </c>
      <c r="C1705" t="s">
        <v>363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473</v>
      </c>
      <c r="B1706">
        <v>2010</v>
      </c>
      <c r="C1706" t="s">
        <v>363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473</v>
      </c>
      <c r="B1707">
        <v>2009</v>
      </c>
      <c r="C1707" t="s">
        <v>363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473</v>
      </c>
      <c r="B1708">
        <v>2008</v>
      </c>
      <c r="C1708" t="s">
        <v>363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473</v>
      </c>
      <c r="B1709">
        <v>2007</v>
      </c>
      <c r="C1709" t="s">
        <v>363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473</v>
      </c>
      <c r="B1710">
        <v>2006</v>
      </c>
      <c r="C1710" t="s">
        <v>363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473</v>
      </c>
      <c r="B1711">
        <v>2005</v>
      </c>
      <c r="C1711" t="s">
        <v>363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473</v>
      </c>
      <c r="B1712">
        <v>2004</v>
      </c>
      <c r="C1712" t="s">
        <v>363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473</v>
      </c>
      <c r="B1713">
        <v>2003</v>
      </c>
      <c r="C1713" t="s">
        <v>363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473</v>
      </c>
      <c r="B1714">
        <v>2002</v>
      </c>
      <c r="C1714" t="s">
        <v>363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473</v>
      </c>
      <c r="B1715">
        <v>2001</v>
      </c>
      <c r="C1715" t="s">
        <v>363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473</v>
      </c>
      <c r="B1716">
        <v>2000</v>
      </c>
      <c r="C1716" t="s">
        <v>363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474</v>
      </c>
      <c r="B1717">
        <v>2013</v>
      </c>
      <c r="C1717" t="s">
        <v>363</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475</v>
      </c>
      <c r="B1718">
        <v>2015</v>
      </c>
      <c r="C1718" t="s">
        <v>363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475</v>
      </c>
      <c r="B1719">
        <v>2014</v>
      </c>
      <c r="C1719" t="s">
        <v>363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475</v>
      </c>
      <c r="B1720">
        <v>2013</v>
      </c>
      <c r="C1720" t="s">
        <v>363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475</v>
      </c>
      <c r="B1721">
        <v>2012</v>
      </c>
      <c r="C1721" t="s">
        <v>363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475</v>
      </c>
      <c r="B1722">
        <v>2011</v>
      </c>
      <c r="C1722" t="s">
        <v>363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475</v>
      </c>
      <c r="B1723">
        <v>2010</v>
      </c>
      <c r="C1723" t="s">
        <v>363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475</v>
      </c>
      <c r="B1724">
        <v>2009</v>
      </c>
      <c r="C1724" t="s">
        <v>363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475</v>
      </c>
      <c r="B1725">
        <v>2008</v>
      </c>
      <c r="C1725" t="s">
        <v>363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475</v>
      </c>
      <c r="B1726">
        <v>2007</v>
      </c>
      <c r="C1726" t="s">
        <v>363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475</v>
      </c>
      <c r="B1727">
        <v>2006</v>
      </c>
      <c r="C1727" t="s">
        <v>363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475</v>
      </c>
      <c r="B1728">
        <v>2005</v>
      </c>
      <c r="C1728" t="s">
        <v>363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475</v>
      </c>
      <c r="B1729">
        <v>2004</v>
      </c>
      <c r="C1729" t="s">
        <v>363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475</v>
      </c>
      <c r="B1730">
        <v>2003</v>
      </c>
      <c r="C1730" t="s">
        <v>363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475</v>
      </c>
      <c r="B1731">
        <v>2002</v>
      </c>
      <c r="C1731" t="s">
        <v>363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475</v>
      </c>
      <c r="B1732">
        <v>2001</v>
      </c>
      <c r="C1732" t="s">
        <v>363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475</v>
      </c>
      <c r="B1733">
        <v>2000</v>
      </c>
      <c r="C1733" t="s">
        <v>363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476</v>
      </c>
      <c r="B1734">
        <v>2015</v>
      </c>
      <c r="C1734" t="s">
        <v>363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476</v>
      </c>
      <c r="B1735">
        <v>2014</v>
      </c>
      <c r="C1735" t="s">
        <v>363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476</v>
      </c>
      <c r="B1736">
        <v>2013</v>
      </c>
      <c r="C1736" t="s">
        <v>363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476</v>
      </c>
      <c r="B1737">
        <v>2012</v>
      </c>
      <c r="C1737" t="s">
        <v>363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476</v>
      </c>
      <c r="B1738">
        <v>2011</v>
      </c>
      <c r="C1738" t="s">
        <v>363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476</v>
      </c>
      <c r="B1739">
        <v>2010</v>
      </c>
      <c r="C1739" t="s">
        <v>363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476</v>
      </c>
      <c r="B1740">
        <v>2009</v>
      </c>
      <c r="C1740" t="s">
        <v>363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476</v>
      </c>
      <c r="B1741">
        <v>2008</v>
      </c>
      <c r="C1741" t="s">
        <v>363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476</v>
      </c>
      <c r="B1742">
        <v>2007</v>
      </c>
      <c r="C1742" t="s">
        <v>363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476</v>
      </c>
      <c r="B1743">
        <v>2006</v>
      </c>
      <c r="C1743" t="s">
        <v>363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476</v>
      </c>
      <c r="B1744">
        <v>2005</v>
      </c>
      <c r="C1744" t="s">
        <v>363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476</v>
      </c>
      <c r="B1745">
        <v>2004</v>
      </c>
      <c r="C1745" t="s">
        <v>363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476</v>
      </c>
      <c r="B1746">
        <v>2003</v>
      </c>
      <c r="C1746" t="s">
        <v>363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476</v>
      </c>
      <c r="B1747">
        <v>2002</v>
      </c>
      <c r="C1747" t="s">
        <v>363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476</v>
      </c>
      <c r="B1748">
        <v>2001</v>
      </c>
      <c r="C1748" t="s">
        <v>363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476</v>
      </c>
      <c r="B1749">
        <v>2000</v>
      </c>
      <c r="C1749" t="s">
        <v>363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477</v>
      </c>
      <c r="B1750">
        <v>2015</v>
      </c>
      <c r="C1750" t="s">
        <v>363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477</v>
      </c>
      <c r="B1751">
        <v>2014</v>
      </c>
      <c r="C1751" t="s">
        <v>363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477</v>
      </c>
      <c r="B1752">
        <v>2013</v>
      </c>
      <c r="C1752" t="s">
        <v>363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477</v>
      </c>
      <c r="B1753">
        <v>2012</v>
      </c>
      <c r="C1753" t="s">
        <v>363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477</v>
      </c>
      <c r="B1754">
        <v>2011</v>
      </c>
      <c r="C1754" t="s">
        <v>363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477</v>
      </c>
      <c r="B1755">
        <v>2010</v>
      </c>
      <c r="C1755" t="s">
        <v>363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477</v>
      </c>
      <c r="B1756">
        <v>2009</v>
      </c>
      <c r="C1756" t="s">
        <v>363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477</v>
      </c>
      <c r="B1757">
        <v>2008</v>
      </c>
      <c r="C1757" t="s">
        <v>363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477</v>
      </c>
      <c r="B1758">
        <v>2007</v>
      </c>
      <c r="C1758" t="s">
        <v>363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477</v>
      </c>
      <c r="B1759">
        <v>2006</v>
      </c>
      <c r="C1759" t="s">
        <v>363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477</v>
      </c>
      <c r="B1760">
        <v>2005</v>
      </c>
      <c r="C1760" t="s">
        <v>363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477</v>
      </c>
      <c r="B1761">
        <v>2004</v>
      </c>
      <c r="C1761" t="s">
        <v>363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477</v>
      </c>
      <c r="B1762">
        <v>2003</v>
      </c>
      <c r="C1762" t="s">
        <v>363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477</v>
      </c>
      <c r="B1763">
        <v>2002</v>
      </c>
      <c r="C1763" t="s">
        <v>363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477</v>
      </c>
      <c r="B1764">
        <v>2001</v>
      </c>
      <c r="C1764" t="s">
        <v>363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477</v>
      </c>
      <c r="B1765">
        <v>2000</v>
      </c>
      <c r="C1765" t="s">
        <v>363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478</v>
      </c>
      <c r="B1766">
        <v>2015</v>
      </c>
      <c r="C1766" t="s">
        <v>363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478</v>
      </c>
      <c r="B1767">
        <v>2014</v>
      </c>
      <c r="C1767" t="s">
        <v>363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478</v>
      </c>
      <c r="B1768">
        <v>2013</v>
      </c>
      <c r="C1768" t="s">
        <v>363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478</v>
      </c>
      <c r="B1769">
        <v>2012</v>
      </c>
      <c r="C1769" t="s">
        <v>363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478</v>
      </c>
      <c r="B1770">
        <v>2011</v>
      </c>
      <c r="C1770" t="s">
        <v>363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478</v>
      </c>
      <c r="B1771">
        <v>2010</v>
      </c>
      <c r="C1771" t="s">
        <v>363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478</v>
      </c>
      <c r="B1772">
        <v>2009</v>
      </c>
      <c r="C1772" t="s">
        <v>363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478</v>
      </c>
      <c r="B1773">
        <v>2008</v>
      </c>
      <c r="C1773" t="s">
        <v>363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478</v>
      </c>
      <c r="B1774">
        <v>2007</v>
      </c>
      <c r="C1774" t="s">
        <v>363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478</v>
      </c>
      <c r="B1775">
        <v>2006</v>
      </c>
      <c r="C1775" t="s">
        <v>363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478</v>
      </c>
      <c r="B1776">
        <v>2005</v>
      </c>
      <c r="C1776" t="s">
        <v>363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478</v>
      </c>
      <c r="B1777">
        <v>2004</v>
      </c>
      <c r="C1777" t="s">
        <v>363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478</v>
      </c>
      <c r="B1778">
        <v>2003</v>
      </c>
      <c r="C1778" t="s">
        <v>363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478</v>
      </c>
      <c r="B1779">
        <v>2002</v>
      </c>
      <c r="C1779" t="s">
        <v>363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478</v>
      </c>
      <c r="B1780">
        <v>2001</v>
      </c>
      <c r="C1780" t="s">
        <v>363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478</v>
      </c>
      <c r="B1781">
        <v>2000</v>
      </c>
      <c r="C1781" t="s">
        <v>363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479</v>
      </c>
      <c r="B1782">
        <v>2015</v>
      </c>
      <c r="C1782" t="s">
        <v>363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479</v>
      </c>
      <c r="B1783">
        <v>2014</v>
      </c>
      <c r="C1783" t="s">
        <v>363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479</v>
      </c>
      <c r="B1784">
        <v>2013</v>
      </c>
      <c r="C1784" t="s">
        <v>363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479</v>
      </c>
      <c r="B1785">
        <v>2012</v>
      </c>
      <c r="C1785" t="s">
        <v>363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479</v>
      </c>
      <c r="B1786">
        <v>2011</v>
      </c>
      <c r="C1786" t="s">
        <v>363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479</v>
      </c>
      <c r="B1787">
        <v>2010</v>
      </c>
      <c r="C1787" t="s">
        <v>363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479</v>
      </c>
      <c r="B1788">
        <v>2009</v>
      </c>
      <c r="C1788" t="s">
        <v>363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479</v>
      </c>
      <c r="B1789">
        <v>2008</v>
      </c>
      <c r="C1789" t="s">
        <v>363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479</v>
      </c>
      <c r="B1790">
        <v>2007</v>
      </c>
      <c r="C1790" t="s">
        <v>363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479</v>
      </c>
      <c r="B1791">
        <v>2006</v>
      </c>
      <c r="C1791" t="s">
        <v>363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479</v>
      </c>
      <c r="B1792">
        <v>2005</v>
      </c>
      <c r="C1792" t="s">
        <v>363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479</v>
      </c>
      <c r="B1793">
        <v>2004</v>
      </c>
      <c r="C1793" t="s">
        <v>363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479</v>
      </c>
      <c r="B1794">
        <v>2003</v>
      </c>
      <c r="C1794" t="s">
        <v>363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479</v>
      </c>
      <c r="B1795">
        <v>2002</v>
      </c>
      <c r="C1795" t="s">
        <v>363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479</v>
      </c>
      <c r="B1796">
        <v>2001</v>
      </c>
      <c r="C1796" t="s">
        <v>363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479</v>
      </c>
      <c r="B1797">
        <v>2000</v>
      </c>
      <c r="C1797" t="s">
        <v>363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480</v>
      </c>
      <c r="B1798">
        <v>2015</v>
      </c>
      <c r="C1798" t="s">
        <v>363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480</v>
      </c>
      <c r="B1799">
        <v>2014</v>
      </c>
      <c r="C1799" t="s">
        <v>363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480</v>
      </c>
      <c r="B1800">
        <v>2013</v>
      </c>
      <c r="C1800" t="s">
        <v>363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480</v>
      </c>
      <c r="B1801">
        <v>2012</v>
      </c>
      <c r="C1801" t="s">
        <v>363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480</v>
      </c>
      <c r="B1802">
        <v>2011</v>
      </c>
      <c r="C1802" t="s">
        <v>363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480</v>
      </c>
      <c r="B1803">
        <v>2010</v>
      </c>
      <c r="C1803" t="s">
        <v>363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480</v>
      </c>
      <c r="B1804">
        <v>2009</v>
      </c>
      <c r="C1804" t="s">
        <v>363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480</v>
      </c>
      <c r="B1805">
        <v>2008</v>
      </c>
      <c r="C1805" t="s">
        <v>363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480</v>
      </c>
      <c r="B1806">
        <v>2007</v>
      </c>
      <c r="C1806" t="s">
        <v>363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480</v>
      </c>
      <c r="B1807">
        <v>2006</v>
      </c>
      <c r="C1807" t="s">
        <v>363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480</v>
      </c>
      <c r="B1808">
        <v>2005</v>
      </c>
      <c r="C1808" t="s">
        <v>363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480</v>
      </c>
      <c r="B1809">
        <v>2004</v>
      </c>
      <c r="C1809" t="s">
        <v>363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480</v>
      </c>
      <c r="B1810">
        <v>2003</v>
      </c>
      <c r="C1810" t="s">
        <v>363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480</v>
      </c>
      <c r="B1811">
        <v>2002</v>
      </c>
      <c r="C1811" t="s">
        <v>363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480</v>
      </c>
      <c r="B1812">
        <v>2001</v>
      </c>
      <c r="C1812" t="s">
        <v>363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480</v>
      </c>
      <c r="B1813">
        <v>2000</v>
      </c>
      <c r="C1813" t="s">
        <v>363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481</v>
      </c>
      <c r="B1814">
        <v>2013</v>
      </c>
      <c r="C1814" t="s">
        <v>363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482</v>
      </c>
      <c r="B1815">
        <v>2015</v>
      </c>
      <c r="C1815" t="s">
        <v>363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482</v>
      </c>
      <c r="B1816">
        <v>2014</v>
      </c>
      <c r="C1816" t="s">
        <v>363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482</v>
      </c>
      <c r="B1817">
        <v>2013</v>
      </c>
      <c r="C1817" t="s">
        <v>363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482</v>
      </c>
      <c r="B1818">
        <v>2012</v>
      </c>
      <c r="C1818" t="s">
        <v>363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482</v>
      </c>
      <c r="B1819">
        <v>2011</v>
      </c>
      <c r="C1819" t="s">
        <v>363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482</v>
      </c>
      <c r="B1820">
        <v>2010</v>
      </c>
      <c r="C1820" t="s">
        <v>363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482</v>
      </c>
      <c r="B1821">
        <v>2009</v>
      </c>
      <c r="C1821" t="s">
        <v>363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482</v>
      </c>
      <c r="B1822">
        <v>2008</v>
      </c>
      <c r="C1822" t="s">
        <v>363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482</v>
      </c>
      <c r="B1823">
        <v>2007</v>
      </c>
      <c r="C1823" t="s">
        <v>363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482</v>
      </c>
      <c r="B1824">
        <v>2006</v>
      </c>
      <c r="C1824" t="s">
        <v>363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482</v>
      </c>
      <c r="B1825">
        <v>2005</v>
      </c>
      <c r="C1825" t="s">
        <v>363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482</v>
      </c>
      <c r="B1826">
        <v>2004</v>
      </c>
      <c r="C1826" t="s">
        <v>363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482</v>
      </c>
      <c r="B1827">
        <v>2003</v>
      </c>
      <c r="C1827" t="s">
        <v>363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482</v>
      </c>
      <c r="B1828">
        <v>2002</v>
      </c>
      <c r="C1828" t="s">
        <v>363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482</v>
      </c>
      <c r="B1829">
        <v>2001</v>
      </c>
      <c r="C1829" t="s">
        <v>363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482</v>
      </c>
      <c r="B1830">
        <v>2000</v>
      </c>
      <c r="C1830" t="s">
        <v>363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483</v>
      </c>
      <c r="B1831">
        <v>2015</v>
      </c>
      <c r="C1831" t="s">
        <v>371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483</v>
      </c>
      <c r="B1832">
        <v>2014</v>
      </c>
      <c r="C1832" t="s">
        <v>371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483</v>
      </c>
      <c r="B1833">
        <v>2013</v>
      </c>
      <c r="C1833" t="s">
        <v>371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483</v>
      </c>
      <c r="B1834">
        <v>2012</v>
      </c>
      <c r="C1834" t="s">
        <v>371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483</v>
      </c>
      <c r="B1835">
        <v>2011</v>
      </c>
      <c r="C1835" t="s">
        <v>371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483</v>
      </c>
      <c r="B1836">
        <v>2010</v>
      </c>
      <c r="C1836" t="s">
        <v>371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483</v>
      </c>
      <c r="B1837">
        <v>2009</v>
      </c>
      <c r="C1837" t="s">
        <v>371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483</v>
      </c>
      <c r="B1838">
        <v>2008</v>
      </c>
      <c r="C1838" t="s">
        <v>371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483</v>
      </c>
      <c r="B1839">
        <v>2007</v>
      </c>
      <c r="C1839" t="s">
        <v>371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483</v>
      </c>
      <c r="B1840">
        <v>2006</v>
      </c>
      <c r="C1840" t="s">
        <v>371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483</v>
      </c>
      <c r="B1841">
        <v>2005</v>
      </c>
      <c r="C1841" t="s">
        <v>371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483</v>
      </c>
      <c r="B1842">
        <v>2004</v>
      </c>
      <c r="C1842" t="s">
        <v>371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483</v>
      </c>
      <c r="B1843">
        <v>2003</v>
      </c>
      <c r="C1843" t="s">
        <v>371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483</v>
      </c>
      <c r="B1844">
        <v>2002</v>
      </c>
      <c r="C1844" t="s">
        <v>371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483</v>
      </c>
      <c r="B1845">
        <v>2001</v>
      </c>
      <c r="C1845" t="s">
        <v>371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483</v>
      </c>
      <c r="B1846">
        <v>2000</v>
      </c>
      <c r="C1846" t="s">
        <v>371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484</v>
      </c>
      <c r="B1847">
        <v>2015</v>
      </c>
      <c r="C1847" t="s">
        <v>371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484</v>
      </c>
      <c r="B1848">
        <v>2014</v>
      </c>
      <c r="C1848" t="s">
        <v>371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484</v>
      </c>
      <c r="B1849">
        <v>2013</v>
      </c>
      <c r="C1849" t="s">
        <v>371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484</v>
      </c>
      <c r="B1850">
        <v>2012</v>
      </c>
      <c r="C1850" t="s">
        <v>371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484</v>
      </c>
      <c r="B1851">
        <v>2011</v>
      </c>
      <c r="C1851" t="s">
        <v>371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484</v>
      </c>
      <c r="B1852">
        <v>2010</v>
      </c>
      <c r="C1852" t="s">
        <v>371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484</v>
      </c>
      <c r="B1853">
        <v>2009</v>
      </c>
      <c r="C1853" t="s">
        <v>371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484</v>
      </c>
      <c r="B1854">
        <v>2008</v>
      </c>
      <c r="C1854" t="s">
        <v>371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484</v>
      </c>
      <c r="B1855">
        <v>2007</v>
      </c>
      <c r="C1855" t="s">
        <v>371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484</v>
      </c>
      <c r="B1856">
        <v>2006</v>
      </c>
      <c r="C1856" t="s">
        <v>371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484</v>
      </c>
      <c r="B1857">
        <v>2005</v>
      </c>
      <c r="C1857" t="s">
        <v>371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484</v>
      </c>
      <c r="B1858">
        <v>2004</v>
      </c>
      <c r="C1858" t="s">
        <v>371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484</v>
      </c>
      <c r="B1859">
        <v>2003</v>
      </c>
      <c r="C1859" t="s">
        <v>371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484</v>
      </c>
      <c r="B1860">
        <v>2002</v>
      </c>
      <c r="C1860" t="s">
        <v>371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484</v>
      </c>
      <c r="B1861">
        <v>2001</v>
      </c>
      <c r="C1861" t="s">
        <v>371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484</v>
      </c>
      <c r="B1862">
        <v>2000</v>
      </c>
      <c r="C1862" t="s">
        <v>371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485</v>
      </c>
      <c r="B1863">
        <v>2015</v>
      </c>
      <c r="C1863" t="s">
        <v>363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485</v>
      </c>
      <c r="B1864">
        <v>2014</v>
      </c>
      <c r="C1864" t="s">
        <v>363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485</v>
      </c>
      <c r="B1865">
        <v>2013</v>
      </c>
      <c r="C1865" t="s">
        <v>363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485</v>
      </c>
      <c r="B1866">
        <v>2012</v>
      </c>
      <c r="C1866" t="s">
        <v>363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485</v>
      </c>
      <c r="B1867">
        <v>2011</v>
      </c>
      <c r="C1867" t="s">
        <v>363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485</v>
      </c>
      <c r="B1868">
        <v>2010</v>
      </c>
      <c r="C1868" t="s">
        <v>363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485</v>
      </c>
      <c r="B1869">
        <v>2009</v>
      </c>
      <c r="C1869" t="s">
        <v>363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485</v>
      </c>
      <c r="B1870">
        <v>2008</v>
      </c>
      <c r="C1870" t="s">
        <v>363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485</v>
      </c>
      <c r="B1871">
        <v>2007</v>
      </c>
      <c r="C1871" t="s">
        <v>363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485</v>
      </c>
      <c r="B1872">
        <v>2006</v>
      </c>
      <c r="C1872" t="s">
        <v>363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485</v>
      </c>
      <c r="B1873">
        <v>2005</v>
      </c>
      <c r="C1873" t="s">
        <v>363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485</v>
      </c>
      <c r="B1874">
        <v>2004</v>
      </c>
      <c r="C1874" t="s">
        <v>363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485</v>
      </c>
      <c r="B1875">
        <v>2003</v>
      </c>
      <c r="C1875" t="s">
        <v>363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485</v>
      </c>
      <c r="B1876">
        <v>2002</v>
      </c>
      <c r="C1876" t="s">
        <v>363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485</v>
      </c>
      <c r="B1877">
        <v>2001</v>
      </c>
      <c r="C1877" t="s">
        <v>363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485</v>
      </c>
      <c r="B1878">
        <v>2000</v>
      </c>
      <c r="C1878" t="s">
        <v>363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486</v>
      </c>
      <c r="B1879">
        <v>2015</v>
      </c>
      <c r="C1879" t="s">
        <v>363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486</v>
      </c>
      <c r="B1880">
        <v>2014</v>
      </c>
      <c r="C1880" t="s">
        <v>363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486</v>
      </c>
      <c r="B1881">
        <v>2013</v>
      </c>
      <c r="C1881" t="s">
        <v>363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486</v>
      </c>
      <c r="B1882">
        <v>2012</v>
      </c>
      <c r="C1882" t="s">
        <v>363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486</v>
      </c>
      <c r="B1883">
        <v>2011</v>
      </c>
      <c r="C1883" t="s">
        <v>363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486</v>
      </c>
      <c r="B1884">
        <v>2010</v>
      </c>
      <c r="C1884" t="s">
        <v>363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486</v>
      </c>
      <c r="B1885">
        <v>2009</v>
      </c>
      <c r="C1885" t="s">
        <v>363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486</v>
      </c>
      <c r="B1886">
        <v>2008</v>
      </c>
      <c r="C1886" t="s">
        <v>363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486</v>
      </c>
      <c r="B1887">
        <v>2007</v>
      </c>
      <c r="C1887" t="s">
        <v>363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486</v>
      </c>
      <c r="B1888">
        <v>2006</v>
      </c>
      <c r="C1888" t="s">
        <v>363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486</v>
      </c>
      <c r="B1889">
        <v>2005</v>
      </c>
      <c r="C1889" t="s">
        <v>363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486</v>
      </c>
      <c r="B1890">
        <v>2004</v>
      </c>
      <c r="C1890" t="s">
        <v>363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486</v>
      </c>
      <c r="B1891">
        <v>2003</v>
      </c>
      <c r="C1891" t="s">
        <v>363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486</v>
      </c>
      <c r="B1892">
        <v>2002</v>
      </c>
      <c r="C1892" t="s">
        <v>363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486</v>
      </c>
      <c r="B1893">
        <v>2001</v>
      </c>
      <c r="C1893" t="s">
        <v>363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486</v>
      </c>
      <c r="B1894">
        <v>2000</v>
      </c>
      <c r="C1894" t="s">
        <v>363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487</v>
      </c>
      <c r="B1895">
        <v>2015</v>
      </c>
      <c r="C1895" t="s">
        <v>363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487</v>
      </c>
      <c r="B1896">
        <v>2014</v>
      </c>
      <c r="C1896" t="s">
        <v>363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487</v>
      </c>
      <c r="B1897">
        <v>2013</v>
      </c>
      <c r="C1897" t="s">
        <v>363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487</v>
      </c>
      <c r="B1898">
        <v>2012</v>
      </c>
      <c r="C1898" t="s">
        <v>363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487</v>
      </c>
      <c r="B1899">
        <v>2011</v>
      </c>
      <c r="C1899" t="s">
        <v>363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487</v>
      </c>
      <c r="B1900">
        <v>2010</v>
      </c>
      <c r="C1900" t="s">
        <v>363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487</v>
      </c>
      <c r="B1901">
        <v>2009</v>
      </c>
      <c r="C1901" t="s">
        <v>363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487</v>
      </c>
      <c r="B1902">
        <v>2008</v>
      </c>
      <c r="C1902" t="s">
        <v>363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487</v>
      </c>
      <c r="B1903">
        <v>2007</v>
      </c>
      <c r="C1903" t="s">
        <v>363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487</v>
      </c>
      <c r="B1904">
        <v>2006</v>
      </c>
      <c r="C1904" t="s">
        <v>363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487</v>
      </c>
      <c r="B1905">
        <v>2005</v>
      </c>
      <c r="C1905" t="s">
        <v>363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487</v>
      </c>
      <c r="B1906">
        <v>2004</v>
      </c>
      <c r="C1906" t="s">
        <v>363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487</v>
      </c>
      <c r="B1907">
        <v>2003</v>
      </c>
      <c r="C1907" t="s">
        <v>363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487</v>
      </c>
      <c r="B1908">
        <v>2002</v>
      </c>
      <c r="C1908" t="s">
        <v>363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487</v>
      </c>
      <c r="B1909">
        <v>2001</v>
      </c>
      <c r="C1909" t="s">
        <v>363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487</v>
      </c>
      <c r="B1910">
        <v>2000</v>
      </c>
      <c r="C1910" t="s">
        <v>363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488</v>
      </c>
      <c r="B1911">
        <v>2013</v>
      </c>
      <c r="C1911" t="s">
        <v>363</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489</v>
      </c>
      <c r="B1912">
        <v>2015</v>
      </c>
      <c r="C1912" t="s">
        <v>371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489</v>
      </c>
      <c r="B1913">
        <v>2014</v>
      </c>
      <c r="C1913" t="s">
        <v>371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489</v>
      </c>
      <c r="B1914">
        <v>2013</v>
      </c>
      <c r="C1914" t="s">
        <v>371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489</v>
      </c>
      <c r="B1915">
        <v>2012</v>
      </c>
      <c r="C1915" t="s">
        <v>371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489</v>
      </c>
      <c r="B1916">
        <v>2011</v>
      </c>
      <c r="C1916" t="s">
        <v>371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489</v>
      </c>
      <c r="B1917">
        <v>2010</v>
      </c>
      <c r="C1917" t="s">
        <v>371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489</v>
      </c>
      <c r="B1918">
        <v>2009</v>
      </c>
      <c r="C1918" t="s">
        <v>371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489</v>
      </c>
      <c r="B1919">
        <v>2008</v>
      </c>
      <c r="C1919" t="s">
        <v>371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489</v>
      </c>
      <c r="B1920">
        <v>2007</v>
      </c>
      <c r="C1920" t="s">
        <v>371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489</v>
      </c>
      <c r="B1921">
        <v>2006</v>
      </c>
      <c r="C1921" t="s">
        <v>371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489</v>
      </c>
      <c r="B1922">
        <v>2005</v>
      </c>
      <c r="C1922" t="s">
        <v>371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489</v>
      </c>
      <c r="B1923">
        <v>2004</v>
      </c>
      <c r="C1923" t="s">
        <v>371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489</v>
      </c>
      <c r="B1924">
        <v>2003</v>
      </c>
      <c r="C1924" t="s">
        <v>371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489</v>
      </c>
      <c r="B1925">
        <v>2002</v>
      </c>
      <c r="C1925" t="s">
        <v>371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489</v>
      </c>
      <c r="B1926">
        <v>2001</v>
      </c>
      <c r="C1926" t="s">
        <v>371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489</v>
      </c>
      <c r="B1927">
        <v>2000</v>
      </c>
      <c r="C1927" t="s">
        <v>371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490</v>
      </c>
      <c r="B1928">
        <v>2015</v>
      </c>
      <c r="C1928" t="s">
        <v>363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490</v>
      </c>
      <c r="B1929">
        <v>2014</v>
      </c>
      <c r="C1929" t="s">
        <v>363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490</v>
      </c>
      <c r="B1930">
        <v>2013</v>
      </c>
      <c r="C1930" t="s">
        <v>363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490</v>
      </c>
      <c r="B1931">
        <v>2012</v>
      </c>
      <c r="C1931" t="s">
        <v>363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490</v>
      </c>
      <c r="B1932">
        <v>2011</v>
      </c>
      <c r="C1932" t="s">
        <v>363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490</v>
      </c>
      <c r="B1933">
        <v>2010</v>
      </c>
      <c r="C1933" t="s">
        <v>363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490</v>
      </c>
      <c r="B1934">
        <v>2009</v>
      </c>
      <c r="C1934" t="s">
        <v>363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490</v>
      </c>
      <c r="B1935">
        <v>2008</v>
      </c>
      <c r="C1935" t="s">
        <v>363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490</v>
      </c>
      <c r="B1936">
        <v>2007</v>
      </c>
      <c r="C1936" t="s">
        <v>363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490</v>
      </c>
      <c r="B1937">
        <v>2006</v>
      </c>
      <c r="C1937" t="s">
        <v>363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490</v>
      </c>
      <c r="B1938">
        <v>2005</v>
      </c>
      <c r="C1938" t="s">
        <v>363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490</v>
      </c>
      <c r="B1939">
        <v>2004</v>
      </c>
      <c r="C1939" t="s">
        <v>363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490</v>
      </c>
      <c r="B1940">
        <v>2003</v>
      </c>
      <c r="C1940" t="s">
        <v>363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490</v>
      </c>
      <c r="B1941">
        <v>2002</v>
      </c>
      <c r="C1941" t="s">
        <v>363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490</v>
      </c>
      <c r="B1942">
        <v>2001</v>
      </c>
      <c r="C1942" t="s">
        <v>363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490</v>
      </c>
      <c r="B1943">
        <v>2000</v>
      </c>
      <c r="C1943" t="s">
        <v>363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491</v>
      </c>
      <c r="B1944">
        <v>2015</v>
      </c>
      <c r="C1944" t="s">
        <v>363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491</v>
      </c>
      <c r="B1945">
        <v>2014</v>
      </c>
      <c r="C1945" t="s">
        <v>363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491</v>
      </c>
      <c r="B1946">
        <v>2013</v>
      </c>
      <c r="C1946" t="s">
        <v>363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491</v>
      </c>
      <c r="B1947">
        <v>2012</v>
      </c>
      <c r="C1947" t="s">
        <v>363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491</v>
      </c>
      <c r="B1948">
        <v>2011</v>
      </c>
      <c r="C1948" t="s">
        <v>363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491</v>
      </c>
      <c r="B1949">
        <v>2010</v>
      </c>
      <c r="C1949" t="s">
        <v>363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491</v>
      </c>
      <c r="B1950">
        <v>2009</v>
      </c>
      <c r="C1950" t="s">
        <v>363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491</v>
      </c>
      <c r="B1951">
        <v>2008</v>
      </c>
      <c r="C1951" t="s">
        <v>363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491</v>
      </c>
      <c r="B1952">
        <v>2007</v>
      </c>
      <c r="C1952" t="s">
        <v>363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491</v>
      </c>
      <c r="B1953">
        <v>2006</v>
      </c>
      <c r="C1953" t="s">
        <v>363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491</v>
      </c>
      <c r="B1954">
        <v>2005</v>
      </c>
      <c r="C1954" t="s">
        <v>363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491</v>
      </c>
      <c r="B1955">
        <v>2004</v>
      </c>
      <c r="C1955" t="s">
        <v>363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491</v>
      </c>
      <c r="B1956">
        <v>2003</v>
      </c>
      <c r="C1956" t="s">
        <v>363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491</v>
      </c>
      <c r="B1957">
        <v>2002</v>
      </c>
      <c r="C1957" t="s">
        <v>363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491</v>
      </c>
      <c r="B1958">
        <v>2001</v>
      </c>
      <c r="C1958" t="s">
        <v>363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491</v>
      </c>
      <c r="B1959">
        <v>2000</v>
      </c>
      <c r="C1959" t="s">
        <v>363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492</v>
      </c>
      <c r="B1960">
        <v>2013</v>
      </c>
      <c r="C1960" t="s">
        <v>363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493</v>
      </c>
      <c r="B1961">
        <v>2015</v>
      </c>
      <c r="C1961" t="s">
        <v>363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493</v>
      </c>
      <c r="B1962">
        <v>2014</v>
      </c>
      <c r="C1962" t="s">
        <v>363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493</v>
      </c>
      <c r="B1963">
        <v>2013</v>
      </c>
      <c r="C1963" t="s">
        <v>363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493</v>
      </c>
      <c r="B1964">
        <v>2012</v>
      </c>
      <c r="C1964" t="s">
        <v>363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493</v>
      </c>
      <c r="B1965">
        <v>2011</v>
      </c>
      <c r="C1965" t="s">
        <v>363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493</v>
      </c>
      <c r="B1966">
        <v>2010</v>
      </c>
      <c r="C1966" t="s">
        <v>363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493</v>
      </c>
      <c r="B1967">
        <v>2009</v>
      </c>
      <c r="C1967" t="s">
        <v>363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493</v>
      </c>
      <c r="B1968">
        <v>2008</v>
      </c>
      <c r="C1968" t="s">
        <v>363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493</v>
      </c>
      <c r="B1969">
        <v>2007</v>
      </c>
      <c r="C1969" t="s">
        <v>363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493</v>
      </c>
      <c r="B1970">
        <v>2006</v>
      </c>
      <c r="C1970" t="s">
        <v>363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493</v>
      </c>
      <c r="B1971">
        <v>2005</v>
      </c>
      <c r="C1971" t="s">
        <v>363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493</v>
      </c>
      <c r="B1972">
        <v>2004</v>
      </c>
      <c r="C1972" t="s">
        <v>363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493</v>
      </c>
      <c r="B1973">
        <v>2003</v>
      </c>
      <c r="C1973" t="s">
        <v>363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493</v>
      </c>
      <c r="B1974">
        <v>2002</v>
      </c>
      <c r="C1974" t="s">
        <v>363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493</v>
      </c>
      <c r="B1975">
        <v>2001</v>
      </c>
      <c r="C1975" t="s">
        <v>363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493</v>
      </c>
      <c r="B1976">
        <v>2000</v>
      </c>
      <c r="C1976" t="s">
        <v>363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494</v>
      </c>
      <c r="B1977">
        <v>2015</v>
      </c>
      <c r="C1977" t="s">
        <v>363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494</v>
      </c>
      <c r="B1978">
        <v>2014</v>
      </c>
      <c r="C1978" t="s">
        <v>363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494</v>
      </c>
      <c r="B1979">
        <v>2013</v>
      </c>
      <c r="C1979" t="s">
        <v>363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494</v>
      </c>
      <c r="B1980">
        <v>2012</v>
      </c>
      <c r="C1980" t="s">
        <v>363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494</v>
      </c>
      <c r="B1981">
        <v>2011</v>
      </c>
      <c r="C1981" t="s">
        <v>363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494</v>
      </c>
      <c r="B1982">
        <v>2010</v>
      </c>
      <c r="C1982" t="s">
        <v>363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494</v>
      </c>
      <c r="B1983">
        <v>2009</v>
      </c>
      <c r="C1983" t="s">
        <v>363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494</v>
      </c>
      <c r="B1984">
        <v>2008</v>
      </c>
      <c r="C1984" t="s">
        <v>363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494</v>
      </c>
      <c r="B1985">
        <v>2007</v>
      </c>
      <c r="C1985" t="s">
        <v>363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494</v>
      </c>
      <c r="B1986">
        <v>2006</v>
      </c>
      <c r="C1986" t="s">
        <v>363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494</v>
      </c>
      <c r="B1987">
        <v>2005</v>
      </c>
      <c r="C1987" t="s">
        <v>363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494</v>
      </c>
      <c r="B1988">
        <v>2004</v>
      </c>
      <c r="C1988" t="s">
        <v>363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494</v>
      </c>
      <c r="B1989">
        <v>2003</v>
      </c>
      <c r="C1989" t="s">
        <v>363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494</v>
      </c>
      <c r="B1990">
        <v>2002</v>
      </c>
      <c r="C1990" t="s">
        <v>363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494</v>
      </c>
      <c r="B1991">
        <v>2001</v>
      </c>
      <c r="C1991" t="s">
        <v>363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494</v>
      </c>
      <c r="B1992">
        <v>2000</v>
      </c>
      <c r="C1992" t="s">
        <v>363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495</v>
      </c>
      <c r="B1993">
        <v>2015</v>
      </c>
      <c r="C1993" t="s">
        <v>363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495</v>
      </c>
      <c r="B1994">
        <v>2014</v>
      </c>
      <c r="C1994" t="s">
        <v>363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495</v>
      </c>
      <c r="B1995">
        <v>2013</v>
      </c>
      <c r="C1995" t="s">
        <v>363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495</v>
      </c>
      <c r="B1996">
        <v>2012</v>
      </c>
      <c r="C1996" t="s">
        <v>363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495</v>
      </c>
      <c r="B1997">
        <v>2011</v>
      </c>
      <c r="C1997" t="s">
        <v>363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495</v>
      </c>
      <c r="B1998">
        <v>2010</v>
      </c>
      <c r="C1998" t="s">
        <v>363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495</v>
      </c>
      <c r="B1999">
        <v>2009</v>
      </c>
      <c r="C1999" t="s">
        <v>363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495</v>
      </c>
      <c r="B2000">
        <v>2008</v>
      </c>
      <c r="C2000" t="s">
        <v>363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495</v>
      </c>
      <c r="B2001">
        <v>2007</v>
      </c>
      <c r="C2001" t="s">
        <v>363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495</v>
      </c>
      <c r="B2002">
        <v>2006</v>
      </c>
      <c r="C2002" t="s">
        <v>363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495</v>
      </c>
      <c r="B2003">
        <v>2005</v>
      </c>
      <c r="C2003" t="s">
        <v>363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495</v>
      </c>
      <c r="B2004">
        <v>2004</v>
      </c>
      <c r="C2004" t="s">
        <v>363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495</v>
      </c>
      <c r="B2005">
        <v>2003</v>
      </c>
      <c r="C2005" t="s">
        <v>363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495</v>
      </c>
      <c r="B2006">
        <v>2002</v>
      </c>
      <c r="C2006" t="s">
        <v>363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495</v>
      </c>
      <c r="B2007">
        <v>2001</v>
      </c>
      <c r="C2007" t="s">
        <v>363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495</v>
      </c>
      <c r="B2008">
        <v>2000</v>
      </c>
      <c r="C2008" t="s">
        <v>363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496</v>
      </c>
      <c r="B2009">
        <v>2015</v>
      </c>
      <c r="C2009" t="s">
        <v>363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496</v>
      </c>
      <c r="B2010">
        <v>2014</v>
      </c>
      <c r="C2010" t="s">
        <v>363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496</v>
      </c>
      <c r="B2011">
        <v>2013</v>
      </c>
      <c r="C2011" t="s">
        <v>363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496</v>
      </c>
      <c r="B2012">
        <v>2012</v>
      </c>
      <c r="C2012" t="s">
        <v>363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496</v>
      </c>
      <c r="B2013">
        <v>2011</v>
      </c>
      <c r="C2013" t="s">
        <v>363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496</v>
      </c>
      <c r="B2014">
        <v>2010</v>
      </c>
      <c r="C2014" t="s">
        <v>363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496</v>
      </c>
      <c r="B2015">
        <v>2009</v>
      </c>
      <c r="C2015" t="s">
        <v>363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496</v>
      </c>
      <c r="B2016">
        <v>2008</v>
      </c>
      <c r="C2016" t="s">
        <v>363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496</v>
      </c>
      <c r="B2017">
        <v>2007</v>
      </c>
      <c r="C2017" t="s">
        <v>363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496</v>
      </c>
      <c r="B2018">
        <v>2006</v>
      </c>
      <c r="C2018" t="s">
        <v>363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496</v>
      </c>
      <c r="B2019">
        <v>2005</v>
      </c>
      <c r="C2019" t="s">
        <v>363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496</v>
      </c>
      <c r="B2020">
        <v>2004</v>
      </c>
      <c r="C2020" t="s">
        <v>363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496</v>
      </c>
      <c r="B2021">
        <v>2003</v>
      </c>
      <c r="C2021" t="s">
        <v>363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496</v>
      </c>
      <c r="B2022">
        <v>2002</v>
      </c>
      <c r="C2022" t="s">
        <v>363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496</v>
      </c>
      <c r="B2023">
        <v>2001</v>
      </c>
      <c r="C2023" t="s">
        <v>363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496</v>
      </c>
      <c r="B2024">
        <v>2000</v>
      </c>
      <c r="C2024" t="s">
        <v>363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497</v>
      </c>
      <c r="B2025">
        <v>2015</v>
      </c>
      <c r="C2025" t="s">
        <v>363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497</v>
      </c>
      <c r="B2026">
        <v>2014</v>
      </c>
      <c r="C2026" t="s">
        <v>363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497</v>
      </c>
      <c r="B2027">
        <v>2013</v>
      </c>
      <c r="C2027" t="s">
        <v>363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497</v>
      </c>
      <c r="B2028">
        <v>2012</v>
      </c>
      <c r="C2028" t="s">
        <v>363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497</v>
      </c>
      <c r="B2029">
        <v>2011</v>
      </c>
      <c r="C2029" t="s">
        <v>363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497</v>
      </c>
      <c r="B2030">
        <v>2010</v>
      </c>
      <c r="C2030" t="s">
        <v>363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497</v>
      </c>
      <c r="B2031">
        <v>2009</v>
      </c>
      <c r="C2031" t="s">
        <v>363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497</v>
      </c>
      <c r="B2032">
        <v>2008</v>
      </c>
      <c r="C2032" t="s">
        <v>363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497</v>
      </c>
      <c r="B2033">
        <v>2007</v>
      </c>
      <c r="C2033" t="s">
        <v>363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497</v>
      </c>
      <c r="B2034">
        <v>2006</v>
      </c>
      <c r="C2034" t="s">
        <v>363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497</v>
      </c>
      <c r="B2035">
        <v>2005</v>
      </c>
      <c r="C2035" t="s">
        <v>363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497</v>
      </c>
      <c r="B2036">
        <v>2004</v>
      </c>
      <c r="C2036" t="s">
        <v>363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497</v>
      </c>
      <c r="B2037">
        <v>2003</v>
      </c>
      <c r="C2037" t="s">
        <v>363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497</v>
      </c>
      <c r="B2038">
        <v>2002</v>
      </c>
      <c r="C2038" t="s">
        <v>363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497</v>
      </c>
      <c r="B2039">
        <v>2001</v>
      </c>
      <c r="C2039" t="s">
        <v>363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497</v>
      </c>
      <c r="B2040">
        <v>2000</v>
      </c>
      <c r="C2040" t="s">
        <v>363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498</v>
      </c>
      <c r="B2041">
        <v>2015</v>
      </c>
      <c r="C2041" t="s">
        <v>371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498</v>
      </c>
      <c r="B2042">
        <v>2014</v>
      </c>
      <c r="C2042" t="s">
        <v>371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498</v>
      </c>
      <c r="B2043">
        <v>2013</v>
      </c>
      <c r="C2043" t="s">
        <v>371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498</v>
      </c>
      <c r="B2044">
        <v>2012</v>
      </c>
      <c r="C2044" t="s">
        <v>371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498</v>
      </c>
      <c r="B2045">
        <v>2011</v>
      </c>
      <c r="C2045" t="s">
        <v>371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498</v>
      </c>
      <c r="B2046">
        <v>2010</v>
      </c>
      <c r="C2046" t="s">
        <v>371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498</v>
      </c>
      <c r="B2047">
        <v>2009</v>
      </c>
      <c r="C2047" t="s">
        <v>371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498</v>
      </c>
      <c r="B2048">
        <v>2008</v>
      </c>
      <c r="C2048" t="s">
        <v>371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498</v>
      </c>
      <c r="B2049">
        <v>2007</v>
      </c>
      <c r="C2049" t="s">
        <v>371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498</v>
      </c>
      <c r="B2050">
        <v>2006</v>
      </c>
      <c r="C2050" t="s">
        <v>371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498</v>
      </c>
      <c r="B2051">
        <v>2005</v>
      </c>
      <c r="C2051" t="s">
        <v>371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498</v>
      </c>
      <c r="B2052">
        <v>2004</v>
      </c>
      <c r="C2052" t="s">
        <v>371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498</v>
      </c>
      <c r="B2053">
        <v>2003</v>
      </c>
      <c r="C2053" t="s">
        <v>371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498</v>
      </c>
      <c r="B2054">
        <v>2002</v>
      </c>
      <c r="C2054" t="s">
        <v>371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498</v>
      </c>
      <c r="B2055">
        <v>2001</v>
      </c>
      <c r="C2055" t="s">
        <v>371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498</v>
      </c>
      <c r="B2056">
        <v>2000</v>
      </c>
      <c r="C2056" t="s">
        <v>371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499</v>
      </c>
      <c r="B2057">
        <v>2015</v>
      </c>
      <c r="C2057" t="s">
        <v>371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499</v>
      </c>
      <c r="B2058">
        <v>2014</v>
      </c>
      <c r="C2058" t="s">
        <v>371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499</v>
      </c>
      <c r="B2059">
        <v>2013</v>
      </c>
      <c r="C2059" t="s">
        <v>371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499</v>
      </c>
      <c r="B2060">
        <v>2012</v>
      </c>
      <c r="C2060" t="s">
        <v>371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499</v>
      </c>
      <c r="B2061">
        <v>2011</v>
      </c>
      <c r="C2061" t="s">
        <v>371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499</v>
      </c>
      <c r="B2062">
        <v>2010</v>
      </c>
      <c r="C2062" t="s">
        <v>371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499</v>
      </c>
      <c r="B2063">
        <v>2009</v>
      </c>
      <c r="C2063" t="s">
        <v>371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499</v>
      </c>
      <c r="B2064">
        <v>2008</v>
      </c>
      <c r="C2064" t="s">
        <v>371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499</v>
      </c>
      <c r="B2065">
        <v>2007</v>
      </c>
      <c r="C2065" t="s">
        <v>371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499</v>
      </c>
      <c r="B2066">
        <v>2006</v>
      </c>
      <c r="C2066" t="s">
        <v>371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499</v>
      </c>
      <c r="B2067">
        <v>2005</v>
      </c>
      <c r="C2067" t="s">
        <v>371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499</v>
      </c>
      <c r="B2068">
        <v>2004</v>
      </c>
      <c r="C2068" t="s">
        <v>371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499</v>
      </c>
      <c r="B2069">
        <v>2003</v>
      </c>
      <c r="C2069" t="s">
        <v>371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499</v>
      </c>
      <c r="B2070">
        <v>2002</v>
      </c>
      <c r="C2070" t="s">
        <v>371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499</v>
      </c>
      <c r="B2071">
        <v>2001</v>
      </c>
      <c r="C2071" t="s">
        <v>371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499</v>
      </c>
      <c r="B2072">
        <v>2000</v>
      </c>
      <c r="C2072" t="s">
        <v>371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500</v>
      </c>
      <c r="B2073">
        <v>2015</v>
      </c>
      <c r="C2073" t="s">
        <v>363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500</v>
      </c>
      <c r="B2074">
        <v>2014</v>
      </c>
      <c r="C2074" t="s">
        <v>363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500</v>
      </c>
      <c r="B2075">
        <v>2013</v>
      </c>
      <c r="C2075" t="s">
        <v>363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500</v>
      </c>
      <c r="B2076">
        <v>2012</v>
      </c>
      <c r="C2076" t="s">
        <v>363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500</v>
      </c>
      <c r="B2077">
        <v>2011</v>
      </c>
      <c r="C2077" t="s">
        <v>363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500</v>
      </c>
      <c r="B2078">
        <v>2010</v>
      </c>
      <c r="C2078" t="s">
        <v>363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500</v>
      </c>
      <c r="B2079">
        <v>2009</v>
      </c>
      <c r="C2079" t="s">
        <v>363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500</v>
      </c>
      <c r="B2080">
        <v>2008</v>
      </c>
      <c r="C2080" t="s">
        <v>363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500</v>
      </c>
      <c r="B2081">
        <v>2007</v>
      </c>
      <c r="C2081" t="s">
        <v>363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500</v>
      </c>
      <c r="B2082">
        <v>2006</v>
      </c>
      <c r="C2082" t="s">
        <v>363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500</v>
      </c>
      <c r="B2083">
        <v>2005</v>
      </c>
      <c r="C2083" t="s">
        <v>363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500</v>
      </c>
      <c r="B2084">
        <v>2004</v>
      </c>
      <c r="C2084" t="s">
        <v>363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500</v>
      </c>
      <c r="B2085">
        <v>2003</v>
      </c>
      <c r="C2085" t="s">
        <v>363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500</v>
      </c>
      <c r="B2086">
        <v>2002</v>
      </c>
      <c r="C2086" t="s">
        <v>363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500</v>
      </c>
      <c r="B2087">
        <v>2001</v>
      </c>
      <c r="C2087" t="s">
        <v>363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500</v>
      </c>
      <c r="B2088">
        <v>2000</v>
      </c>
      <c r="C2088" t="s">
        <v>363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501</v>
      </c>
      <c r="B2089">
        <v>2015</v>
      </c>
      <c r="C2089" t="s">
        <v>363</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501</v>
      </c>
      <c r="B2090">
        <v>2014</v>
      </c>
      <c r="C2090" t="s">
        <v>363</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501</v>
      </c>
      <c r="B2091">
        <v>2013</v>
      </c>
      <c r="C2091" t="s">
        <v>363</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501</v>
      </c>
      <c r="B2092">
        <v>2012</v>
      </c>
      <c r="C2092" t="s">
        <v>363</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501</v>
      </c>
      <c r="B2093">
        <v>2011</v>
      </c>
      <c r="C2093" t="s">
        <v>363</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501</v>
      </c>
      <c r="B2094">
        <v>2010</v>
      </c>
      <c r="C2094" t="s">
        <v>363</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501</v>
      </c>
      <c r="B2095">
        <v>2009</v>
      </c>
      <c r="C2095" t="s">
        <v>363</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501</v>
      </c>
      <c r="B2096">
        <v>2008</v>
      </c>
      <c r="C2096" t="s">
        <v>363</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501</v>
      </c>
      <c r="B2097">
        <v>2007</v>
      </c>
      <c r="C2097" t="s">
        <v>363</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501</v>
      </c>
      <c r="B2098">
        <v>2006</v>
      </c>
      <c r="C2098" t="s">
        <v>363</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501</v>
      </c>
      <c r="B2099">
        <v>2005</v>
      </c>
      <c r="C2099" t="s">
        <v>363</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501</v>
      </c>
      <c r="B2100">
        <v>2004</v>
      </c>
      <c r="C2100" t="s">
        <v>363</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501</v>
      </c>
      <c r="B2101">
        <v>2003</v>
      </c>
      <c r="C2101" t="s">
        <v>363</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501</v>
      </c>
      <c r="B2102">
        <v>2002</v>
      </c>
      <c r="C2102" t="s">
        <v>363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501</v>
      </c>
      <c r="B2103">
        <v>2001</v>
      </c>
      <c r="C2103" t="s">
        <v>363</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501</v>
      </c>
      <c r="B2104">
        <v>2000</v>
      </c>
      <c r="C2104" t="s">
        <v>363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502</v>
      </c>
      <c r="B2105">
        <v>2015</v>
      </c>
      <c r="C2105" t="s">
        <v>363</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502</v>
      </c>
      <c r="B2106">
        <v>2014</v>
      </c>
      <c r="C2106" t="s">
        <v>363</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502</v>
      </c>
      <c r="B2107">
        <v>2013</v>
      </c>
      <c r="C2107" t="s">
        <v>363</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502</v>
      </c>
      <c r="B2108">
        <v>2012</v>
      </c>
      <c r="C2108" t="s">
        <v>363</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502</v>
      </c>
      <c r="B2109">
        <v>2011</v>
      </c>
      <c r="C2109" t="s">
        <v>363</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502</v>
      </c>
      <c r="B2110">
        <v>2010</v>
      </c>
      <c r="C2110" t="s">
        <v>363</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502</v>
      </c>
      <c r="B2111">
        <v>2009</v>
      </c>
      <c r="C2111" t="s">
        <v>363</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502</v>
      </c>
      <c r="B2112">
        <v>2008</v>
      </c>
      <c r="C2112" t="s">
        <v>363</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502</v>
      </c>
      <c r="B2113">
        <v>2007</v>
      </c>
      <c r="C2113" t="s">
        <v>363</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502</v>
      </c>
      <c r="B2114">
        <v>2006</v>
      </c>
      <c r="C2114" t="s">
        <v>363</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502</v>
      </c>
      <c r="B2115">
        <v>2005</v>
      </c>
      <c r="C2115" t="s">
        <v>363</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502</v>
      </c>
      <c r="B2116">
        <v>2004</v>
      </c>
      <c r="C2116" t="s">
        <v>363</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502</v>
      </c>
      <c r="B2117">
        <v>2003</v>
      </c>
      <c r="C2117" t="s">
        <v>363</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502</v>
      </c>
      <c r="B2118">
        <v>2002</v>
      </c>
      <c r="C2118" t="s">
        <v>363</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502</v>
      </c>
      <c r="B2119">
        <v>2001</v>
      </c>
      <c r="C2119" t="s">
        <v>363</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502</v>
      </c>
      <c r="B2120">
        <v>2000</v>
      </c>
      <c r="C2120" t="s">
        <v>363</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503</v>
      </c>
      <c r="B2121">
        <v>2015</v>
      </c>
      <c r="C2121" t="s">
        <v>371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503</v>
      </c>
      <c r="B2122">
        <v>2014</v>
      </c>
      <c r="C2122" t="s">
        <v>371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503</v>
      </c>
      <c r="B2123">
        <v>2013</v>
      </c>
      <c r="C2123" t="s">
        <v>371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503</v>
      </c>
      <c r="B2124">
        <v>2012</v>
      </c>
      <c r="C2124" t="s">
        <v>371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503</v>
      </c>
      <c r="B2125">
        <v>2011</v>
      </c>
      <c r="C2125" t="s">
        <v>371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503</v>
      </c>
      <c r="B2126">
        <v>2010</v>
      </c>
      <c r="C2126" t="s">
        <v>371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503</v>
      </c>
      <c r="B2127">
        <v>2009</v>
      </c>
      <c r="C2127" t="s">
        <v>371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503</v>
      </c>
      <c r="B2128">
        <v>2008</v>
      </c>
      <c r="C2128" t="s">
        <v>371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503</v>
      </c>
      <c r="B2129">
        <v>2007</v>
      </c>
      <c r="C2129" t="s">
        <v>371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503</v>
      </c>
      <c r="B2130">
        <v>2006</v>
      </c>
      <c r="C2130" t="s">
        <v>371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503</v>
      </c>
      <c r="B2131">
        <v>2005</v>
      </c>
      <c r="C2131" t="s">
        <v>371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503</v>
      </c>
      <c r="B2132">
        <v>2004</v>
      </c>
      <c r="C2132" t="s">
        <v>371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503</v>
      </c>
      <c r="B2133">
        <v>2003</v>
      </c>
      <c r="C2133" t="s">
        <v>371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503</v>
      </c>
      <c r="B2134">
        <v>2002</v>
      </c>
      <c r="C2134" t="s">
        <v>371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503</v>
      </c>
      <c r="B2135">
        <v>2001</v>
      </c>
      <c r="C2135" t="s">
        <v>371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503</v>
      </c>
      <c r="B2136">
        <v>2000</v>
      </c>
      <c r="C2136" t="s">
        <v>371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504</v>
      </c>
      <c r="B2137">
        <v>2015</v>
      </c>
      <c r="C2137" t="s">
        <v>363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504</v>
      </c>
      <c r="B2138">
        <v>2014</v>
      </c>
      <c r="C2138" t="s">
        <v>363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504</v>
      </c>
      <c r="B2139">
        <v>2013</v>
      </c>
      <c r="C2139" t="s">
        <v>363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504</v>
      </c>
      <c r="B2140">
        <v>2012</v>
      </c>
      <c r="C2140" t="s">
        <v>363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504</v>
      </c>
      <c r="B2141">
        <v>2011</v>
      </c>
      <c r="C2141" t="s">
        <v>363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504</v>
      </c>
      <c r="B2142">
        <v>2010</v>
      </c>
      <c r="C2142" t="s">
        <v>363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504</v>
      </c>
      <c r="B2143">
        <v>2009</v>
      </c>
      <c r="C2143" t="s">
        <v>363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504</v>
      </c>
      <c r="B2144">
        <v>2008</v>
      </c>
      <c r="C2144" t="s">
        <v>363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504</v>
      </c>
      <c r="B2145">
        <v>2007</v>
      </c>
      <c r="C2145" t="s">
        <v>363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504</v>
      </c>
      <c r="B2146">
        <v>2006</v>
      </c>
      <c r="C2146" t="s">
        <v>363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504</v>
      </c>
      <c r="B2147">
        <v>2005</v>
      </c>
      <c r="C2147" t="s">
        <v>363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504</v>
      </c>
      <c r="B2148">
        <v>2004</v>
      </c>
      <c r="C2148" t="s">
        <v>363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504</v>
      </c>
      <c r="B2149">
        <v>2003</v>
      </c>
      <c r="C2149" t="s">
        <v>363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504</v>
      </c>
      <c r="B2150">
        <v>2002</v>
      </c>
      <c r="C2150" t="s">
        <v>363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504</v>
      </c>
      <c r="B2151">
        <v>2001</v>
      </c>
      <c r="C2151" t="s">
        <v>363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504</v>
      </c>
      <c r="B2152">
        <v>2000</v>
      </c>
      <c r="C2152" t="s">
        <v>363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505</v>
      </c>
      <c r="B2153">
        <v>2015</v>
      </c>
      <c r="C2153" t="s">
        <v>363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505</v>
      </c>
      <c r="B2154">
        <v>2014</v>
      </c>
      <c r="C2154" t="s">
        <v>363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505</v>
      </c>
      <c r="B2155">
        <v>2013</v>
      </c>
      <c r="C2155" t="s">
        <v>363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505</v>
      </c>
      <c r="B2156">
        <v>2012</v>
      </c>
      <c r="C2156" t="s">
        <v>363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505</v>
      </c>
      <c r="B2157">
        <v>2011</v>
      </c>
      <c r="C2157" t="s">
        <v>363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505</v>
      </c>
      <c r="B2158">
        <v>2010</v>
      </c>
      <c r="C2158" t="s">
        <v>363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505</v>
      </c>
      <c r="B2159">
        <v>2009</v>
      </c>
      <c r="C2159" t="s">
        <v>363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505</v>
      </c>
      <c r="B2160">
        <v>2008</v>
      </c>
      <c r="C2160" t="s">
        <v>363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505</v>
      </c>
      <c r="B2161">
        <v>2007</v>
      </c>
      <c r="C2161" t="s">
        <v>363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505</v>
      </c>
      <c r="B2162">
        <v>2006</v>
      </c>
      <c r="C2162" t="s">
        <v>363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505</v>
      </c>
      <c r="B2163">
        <v>2005</v>
      </c>
      <c r="C2163" t="s">
        <v>363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505</v>
      </c>
      <c r="B2164">
        <v>2004</v>
      </c>
      <c r="C2164" t="s">
        <v>363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505</v>
      </c>
      <c r="B2165">
        <v>2003</v>
      </c>
      <c r="C2165" t="s">
        <v>363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505</v>
      </c>
      <c r="B2166">
        <v>2002</v>
      </c>
      <c r="C2166" t="s">
        <v>363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505</v>
      </c>
      <c r="B2167">
        <v>2001</v>
      </c>
      <c r="C2167" t="s">
        <v>363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505</v>
      </c>
      <c r="B2168">
        <v>2000</v>
      </c>
      <c r="C2168" t="s">
        <v>363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506</v>
      </c>
      <c r="B2169">
        <v>2013</v>
      </c>
      <c r="C2169" t="s">
        <v>363</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507</v>
      </c>
      <c r="B2170">
        <v>2015</v>
      </c>
      <c r="C2170" t="s">
        <v>363</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507</v>
      </c>
      <c r="B2171">
        <v>2014</v>
      </c>
      <c r="C2171" t="s">
        <v>363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507</v>
      </c>
      <c r="B2172">
        <v>2013</v>
      </c>
      <c r="C2172" t="s">
        <v>363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507</v>
      </c>
      <c r="B2173">
        <v>2012</v>
      </c>
      <c r="C2173" t="s">
        <v>363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507</v>
      </c>
      <c r="B2174">
        <v>2011</v>
      </c>
      <c r="C2174" t="s">
        <v>363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507</v>
      </c>
      <c r="B2175">
        <v>2010</v>
      </c>
      <c r="C2175" t="s">
        <v>363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507</v>
      </c>
      <c r="B2176">
        <v>2009</v>
      </c>
      <c r="C2176" t="s">
        <v>363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507</v>
      </c>
      <c r="B2177">
        <v>2008</v>
      </c>
      <c r="C2177" t="s">
        <v>363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507</v>
      </c>
      <c r="B2178">
        <v>2007</v>
      </c>
      <c r="C2178" t="s">
        <v>363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507</v>
      </c>
      <c r="B2179">
        <v>2006</v>
      </c>
      <c r="C2179" t="s">
        <v>363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507</v>
      </c>
      <c r="B2180">
        <v>2005</v>
      </c>
      <c r="C2180" t="s">
        <v>363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507</v>
      </c>
      <c r="B2181">
        <v>2004</v>
      </c>
      <c r="C2181" t="s">
        <v>363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507</v>
      </c>
      <c r="B2182">
        <v>2003</v>
      </c>
      <c r="C2182" t="s">
        <v>363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507</v>
      </c>
      <c r="B2183">
        <v>2002</v>
      </c>
      <c r="C2183" t="s">
        <v>363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507</v>
      </c>
      <c r="B2184">
        <v>2001</v>
      </c>
      <c r="C2184" t="s">
        <v>363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507</v>
      </c>
      <c r="B2185">
        <v>2000</v>
      </c>
      <c r="C2185" t="s">
        <v>363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508</v>
      </c>
      <c r="B2186">
        <v>2015</v>
      </c>
      <c r="C2186" t="s">
        <v>363</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508</v>
      </c>
      <c r="B2187">
        <v>2014</v>
      </c>
      <c r="C2187" t="s">
        <v>363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508</v>
      </c>
      <c r="B2188">
        <v>2013</v>
      </c>
      <c r="C2188" t="s">
        <v>363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508</v>
      </c>
      <c r="B2189">
        <v>2012</v>
      </c>
      <c r="C2189" t="s">
        <v>363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508</v>
      </c>
      <c r="B2190">
        <v>2011</v>
      </c>
      <c r="C2190" t="s">
        <v>363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508</v>
      </c>
      <c r="B2191">
        <v>2010</v>
      </c>
      <c r="C2191" t="s">
        <v>363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508</v>
      </c>
      <c r="B2192">
        <v>2009</v>
      </c>
      <c r="C2192" t="s">
        <v>363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508</v>
      </c>
      <c r="B2193">
        <v>2008</v>
      </c>
      <c r="C2193" t="s">
        <v>363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508</v>
      </c>
      <c r="B2194">
        <v>2007</v>
      </c>
      <c r="C2194" t="s">
        <v>363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508</v>
      </c>
      <c r="B2195">
        <v>2006</v>
      </c>
      <c r="C2195" t="s">
        <v>363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508</v>
      </c>
      <c r="B2196">
        <v>2005</v>
      </c>
      <c r="C2196" t="s">
        <v>363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508</v>
      </c>
      <c r="B2197">
        <v>2004</v>
      </c>
      <c r="C2197" t="s">
        <v>363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508</v>
      </c>
      <c r="B2198">
        <v>2003</v>
      </c>
      <c r="C2198" t="s">
        <v>363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508</v>
      </c>
      <c r="B2199">
        <v>2002</v>
      </c>
      <c r="C2199" t="s">
        <v>363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508</v>
      </c>
      <c r="B2200">
        <v>2001</v>
      </c>
      <c r="C2200" t="s">
        <v>363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508</v>
      </c>
      <c r="B2201">
        <v>2000</v>
      </c>
      <c r="C2201" t="s">
        <v>363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509</v>
      </c>
      <c r="B2202">
        <v>2015</v>
      </c>
      <c r="C2202" t="s">
        <v>363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509</v>
      </c>
      <c r="B2203">
        <v>2014</v>
      </c>
      <c r="C2203" t="s">
        <v>363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509</v>
      </c>
      <c r="B2204">
        <v>2013</v>
      </c>
      <c r="C2204" t="s">
        <v>363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509</v>
      </c>
      <c r="B2205">
        <v>2012</v>
      </c>
      <c r="C2205" t="s">
        <v>363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509</v>
      </c>
      <c r="B2206">
        <v>2011</v>
      </c>
      <c r="C2206" t="s">
        <v>363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509</v>
      </c>
      <c r="B2207">
        <v>2010</v>
      </c>
      <c r="C2207" t="s">
        <v>363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509</v>
      </c>
      <c r="B2208">
        <v>2009</v>
      </c>
      <c r="C2208" t="s">
        <v>363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509</v>
      </c>
      <c r="B2209">
        <v>2008</v>
      </c>
      <c r="C2209" t="s">
        <v>363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509</v>
      </c>
      <c r="B2210">
        <v>2007</v>
      </c>
      <c r="C2210" t="s">
        <v>363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509</v>
      </c>
      <c r="B2211">
        <v>2006</v>
      </c>
      <c r="C2211" t="s">
        <v>363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509</v>
      </c>
      <c r="B2212">
        <v>2005</v>
      </c>
      <c r="C2212" t="s">
        <v>363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509</v>
      </c>
      <c r="B2213">
        <v>2004</v>
      </c>
      <c r="C2213" t="s">
        <v>363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509</v>
      </c>
      <c r="B2214">
        <v>2003</v>
      </c>
      <c r="C2214" t="s">
        <v>363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509</v>
      </c>
      <c r="B2215">
        <v>2002</v>
      </c>
      <c r="C2215" t="s">
        <v>363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509</v>
      </c>
      <c r="B2216">
        <v>2001</v>
      </c>
      <c r="C2216" t="s">
        <v>363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509</v>
      </c>
      <c r="B2217">
        <v>2000</v>
      </c>
      <c r="C2217" t="s">
        <v>363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510</v>
      </c>
      <c r="B2218">
        <v>2013</v>
      </c>
      <c r="C2218" t="s">
        <v>363</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511</v>
      </c>
      <c r="B2219">
        <v>2015</v>
      </c>
      <c r="C2219" t="s">
        <v>363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511</v>
      </c>
      <c r="B2220">
        <v>2014</v>
      </c>
      <c r="C2220" t="s">
        <v>363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511</v>
      </c>
      <c r="B2221">
        <v>2013</v>
      </c>
      <c r="C2221" t="s">
        <v>363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511</v>
      </c>
      <c r="B2222">
        <v>2012</v>
      </c>
      <c r="C2222" t="s">
        <v>363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511</v>
      </c>
      <c r="B2223">
        <v>2011</v>
      </c>
      <c r="C2223" t="s">
        <v>363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511</v>
      </c>
      <c r="B2224">
        <v>2010</v>
      </c>
      <c r="C2224" t="s">
        <v>363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511</v>
      </c>
      <c r="B2225">
        <v>2009</v>
      </c>
      <c r="C2225" t="s">
        <v>363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511</v>
      </c>
      <c r="B2226">
        <v>2008</v>
      </c>
      <c r="C2226" t="s">
        <v>363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511</v>
      </c>
      <c r="B2227">
        <v>2007</v>
      </c>
      <c r="C2227" t="s">
        <v>363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511</v>
      </c>
      <c r="B2228">
        <v>2006</v>
      </c>
      <c r="C2228" t="s">
        <v>363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511</v>
      </c>
      <c r="B2229">
        <v>2005</v>
      </c>
      <c r="C2229" t="s">
        <v>363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511</v>
      </c>
      <c r="B2230">
        <v>2004</v>
      </c>
      <c r="C2230" t="s">
        <v>363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511</v>
      </c>
      <c r="B2231">
        <v>2003</v>
      </c>
      <c r="C2231" t="s">
        <v>363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511</v>
      </c>
      <c r="B2232">
        <v>2002</v>
      </c>
      <c r="C2232" t="s">
        <v>363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511</v>
      </c>
      <c r="B2233">
        <v>2001</v>
      </c>
      <c r="C2233" t="s">
        <v>363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511</v>
      </c>
      <c r="B2234">
        <v>2000</v>
      </c>
      <c r="C2234" t="s">
        <v>363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512</v>
      </c>
      <c r="B2235">
        <v>2015</v>
      </c>
      <c r="C2235" t="s">
        <v>363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512</v>
      </c>
      <c r="B2236">
        <v>2014</v>
      </c>
      <c r="C2236" t="s">
        <v>363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512</v>
      </c>
      <c r="B2237">
        <v>2013</v>
      </c>
      <c r="C2237" t="s">
        <v>363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512</v>
      </c>
      <c r="B2238">
        <v>2012</v>
      </c>
      <c r="C2238" t="s">
        <v>363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512</v>
      </c>
      <c r="B2239">
        <v>2011</v>
      </c>
      <c r="C2239" t="s">
        <v>363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512</v>
      </c>
      <c r="B2240">
        <v>2010</v>
      </c>
      <c r="C2240" t="s">
        <v>363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512</v>
      </c>
      <c r="B2241">
        <v>2009</v>
      </c>
      <c r="C2241" t="s">
        <v>363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512</v>
      </c>
      <c r="B2242">
        <v>2008</v>
      </c>
      <c r="C2242" t="s">
        <v>363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512</v>
      </c>
      <c r="B2243">
        <v>2007</v>
      </c>
      <c r="C2243" t="s">
        <v>363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512</v>
      </c>
      <c r="B2244">
        <v>2006</v>
      </c>
      <c r="C2244" t="s">
        <v>363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512</v>
      </c>
      <c r="B2245">
        <v>2005</v>
      </c>
      <c r="C2245" t="s">
        <v>363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512</v>
      </c>
      <c r="B2246">
        <v>2004</v>
      </c>
      <c r="C2246" t="s">
        <v>363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512</v>
      </c>
      <c r="B2247">
        <v>2003</v>
      </c>
      <c r="C2247" t="s">
        <v>363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512</v>
      </c>
      <c r="B2248">
        <v>2002</v>
      </c>
      <c r="C2248" t="s">
        <v>363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512</v>
      </c>
      <c r="B2249">
        <v>2001</v>
      </c>
      <c r="C2249" t="s">
        <v>363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512</v>
      </c>
      <c r="B2250">
        <v>2000</v>
      </c>
      <c r="C2250" t="s">
        <v>363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513</v>
      </c>
      <c r="B2251">
        <v>2015</v>
      </c>
      <c r="C2251" t="s">
        <v>363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513</v>
      </c>
      <c r="B2252">
        <v>2014</v>
      </c>
      <c r="C2252" t="s">
        <v>363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513</v>
      </c>
      <c r="B2253">
        <v>2013</v>
      </c>
      <c r="C2253" t="s">
        <v>363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513</v>
      </c>
      <c r="B2254">
        <v>2012</v>
      </c>
      <c r="C2254" t="s">
        <v>363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513</v>
      </c>
      <c r="B2255">
        <v>2011</v>
      </c>
      <c r="C2255" t="s">
        <v>363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513</v>
      </c>
      <c r="B2256">
        <v>2010</v>
      </c>
      <c r="C2256" t="s">
        <v>363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513</v>
      </c>
      <c r="B2257">
        <v>2009</v>
      </c>
      <c r="C2257" t="s">
        <v>363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513</v>
      </c>
      <c r="B2258">
        <v>2008</v>
      </c>
      <c r="C2258" t="s">
        <v>363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513</v>
      </c>
      <c r="B2259">
        <v>2007</v>
      </c>
      <c r="C2259" t="s">
        <v>363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513</v>
      </c>
      <c r="B2260">
        <v>2006</v>
      </c>
      <c r="C2260" t="s">
        <v>363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513</v>
      </c>
      <c r="B2261">
        <v>2005</v>
      </c>
      <c r="C2261" t="s">
        <v>363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513</v>
      </c>
      <c r="B2262">
        <v>2004</v>
      </c>
      <c r="C2262" t="s">
        <v>363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513</v>
      </c>
      <c r="B2263">
        <v>2003</v>
      </c>
      <c r="C2263" t="s">
        <v>363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513</v>
      </c>
      <c r="B2264">
        <v>2002</v>
      </c>
      <c r="C2264" t="s">
        <v>363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513</v>
      </c>
      <c r="B2265">
        <v>2001</v>
      </c>
      <c r="C2265" t="s">
        <v>363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513</v>
      </c>
      <c r="B2266">
        <v>2000</v>
      </c>
      <c r="C2266" t="s">
        <v>363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514</v>
      </c>
      <c r="B2267">
        <v>2015</v>
      </c>
      <c r="C2267" t="s">
        <v>363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514</v>
      </c>
      <c r="B2268">
        <v>2014</v>
      </c>
      <c r="C2268" t="s">
        <v>363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514</v>
      </c>
      <c r="B2269">
        <v>2013</v>
      </c>
      <c r="C2269" t="s">
        <v>363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514</v>
      </c>
      <c r="B2270">
        <v>2012</v>
      </c>
      <c r="C2270" t="s">
        <v>363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514</v>
      </c>
      <c r="B2271">
        <v>2011</v>
      </c>
      <c r="C2271" t="s">
        <v>363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514</v>
      </c>
      <c r="B2272">
        <v>2010</v>
      </c>
      <c r="C2272" t="s">
        <v>363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514</v>
      </c>
      <c r="B2273">
        <v>2009</v>
      </c>
      <c r="C2273" t="s">
        <v>363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514</v>
      </c>
      <c r="B2274">
        <v>2008</v>
      </c>
      <c r="C2274" t="s">
        <v>363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514</v>
      </c>
      <c r="B2275">
        <v>2007</v>
      </c>
      <c r="C2275" t="s">
        <v>363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514</v>
      </c>
      <c r="B2276">
        <v>2006</v>
      </c>
      <c r="C2276" t="s">
        <v>363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514</v>
      </c>
      <c r="B2277">
        <v>2005</v>
      </c>
      <c r="C2277" t="s">
        <v>363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514</v>
      </c>
      <c r="B2278">
        <v>2004</v>
      </c>
      <c r="C2278" t="s">
        <v>363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514</v>
      </c>
      <c r="B2279">
        <v>2003</v>
      </c>
      <c r="C2279" t="s">
        <v>363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514</v>
      </c>
      <c r="B2280">
        <v>2002</v>
      </c>
      <c r="C2280" t="s">
        <v>363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514</v>
      </c>
      <c r="B2281">
        <v>2001</v>
      </c>
      <c r="C2281" t="s">
        <v>363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514</v>
      </c>
      <c r="B2282">
        <v>2000</v>
      </c>
      <c r="C2282" t="s">
        <v>363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515</v>
      </c>
      <c r="B2283">
        <v>2015</v>
      </c>
      <c r="C2283" t="s">
        <v>363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515</v>
      </c>
      <c r="B2284">
        <v>2014</v>
      </c>
      <c r="C2284" t="s">
        <v>363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515</v>
      </c>
      <c r="B2285">
        <v>2013</v>
      </c>
      <c r="C2285" t="s">
        <v>363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515</v>
      </c>
      <c r="B2286">
        <v>2012</v>
      </c>
      <c r="C2286" t="s">
        <v>363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515</v>
      </c>
      <c r="B2287">
        <v>2011</v>
      </c>
      <c r="C2287" t="s">
        <v>363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515</v>
      </c>
      <c r="B2288">
        <v>2010</v>
      </c>
      <c r="C2288" t="s">
        <v>363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515</v>
      </c>
      <c r="B2289">
        <v>2009</v>
      </c>
      <c r="C2289" t="s">
        <v>363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515</v>
      </c>
      <c r="B2290">
        <v>2008</v>
      </c>
      <c r="C2290" t="s">
        <v>363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515</v>
      </c>
      <c r="B2291">
        <v>2007</v>
      </c>
      <c r="C2291" t="s">
        <v>363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515</v>
      </c>
      <c r="B2292">
        <v>2006</v>
      </c>
      <c r="C2292" t="s">
        <v>363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515</v>
      </c>
      <c r="B2293">
        <v>2005</v>
      </c>
      <c r="C2293" t="s">
        <v>363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515</v>
      </c>
      <c r="B2294">
        <v>2004</v>
      </c>
      <c r="C2294" t="s">
        <v>363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515</v>
      </c>
      <c r="B2295">
        <v>2003</v>
      </c>
      <c r="C2295" t="s">
        <v>363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515</v>
      </c>
      <c r="B2296">
        <v>2002</v>
      </c>
      <c r="C2296" t="s">
        <v>363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515</v>
      </c>
      <c r="B2297">
        <v>2001</v>
      </c>
      <c r="C2297" t="s">
        <v>363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515</v>
      </c>
      <c r="B2298">
        <v>2000</v>
      </c>
      <c r="C2298" t="s">
        <v>363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516</v>
      </c>
      <c r="B2299">
        <v>2015</v>
      </c>
      <c r="C2299" t="s">
        <v>363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516</v>
      </c>
      <c r="B2300">
        <v>2014</v>
      </c>
      <c r="C2300" t="s">
        <v>363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516</v>
      </c>
      <c r="B2301">
        <v>2013</v>
      </c>
      <c r="C2301" t="s">
        <v>363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516</v>
      </c>
      <c r="B2302">
        <v>2012</v>
      </c>
      <c r="C2302" t="s">
        <v>363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516</v>
      </c>
      <c r="B2303">
        <v>2011</v>
      </c>
      <c r="C2303" t="s">
        <v>363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516</v>
      </c>
      <c r="B2304">
        <v>2010</v>
      </c>
      <c r="C2304" t="s">
        <v>363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516</v>
      </c>
      <c r="B2305">
        <v>2009</v>
      </c>
      <c r="C2305" t="s">
        <v>363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516</v>
      </c>
      <c r="B2306">
        <v>2008</v>
      </c>
      <c r="C2306" t="s">
        <v>363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516</v>
      </c>
      <c r="B2307">
        <v>2007</v>
      </c>
      <c r="C2307" t="s">
        <v>363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516</v>
      </c>
      <c r="B2308">
        <v>2006</v>
      </c>
      <c r="C2308" t="s">
        <v>363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516</v>
      </c>
      <c r="B2309">
        <v>2005</v>
      </c>
      <c r="C2309" t="s">
        <v>363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516</v>
      </c>
      <c r="B2310">
        <v>2004</v>
      </c>
      <c r="C2310" t="s">
        <v>363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516</v>
      </c>
      <c r="B2311">
        <v>2003</v>
      </c>
      <c r="C2311" t="s">
        <v>363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516</v>
      </c>
      <c r="B2312">
        <v>2002</v>
      </c>
      <c r="C2312" t="s">
        <v>363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516</v>
      </c>
      <c r="B2313">
        <v>2001</v>
      </c>
      <c r="C2313" t="s">
        <v>363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516</v>
      </c>
      <c r="B2314">
        <v>2000</v>
      </c>
      <c r="C2314" t="s">
        <v>363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517</v>
      </c>
      <c r="B2315">
        <v>2015</v>
      </c>
      <c r="C2315" t="s">
        <v>371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517</v>
      </c>
      <c r="B2316">
        <v>2014</v>
      </c>
      <c r="C2316" t="s">
        <v>371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517</v>
      </c>
      <c r="B2317">
        <v>2013</v>
      </c>
      <c r="C2317" t="s">
        <v>371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517</v>
      </c>
      <c r="B2318">
        <v>2012</v>
      </c>
      <c r="C2318" t="s">
        <v>371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517</v>
      </c>
      <c r="B2319">
        <v>2011</v>
      </c>
      <c r="C2319" t="s">
        <v>371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517</v>
      </c>
      <c r="B2320">
        <v>2010</v>
      </c>
      <c r="C2320" t="s">
        <v>371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517</v>
      </c>
      <c r="B2321">
        <v>2009</v>
      </c>
      <c r="C2321" t="s">
        <v>371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517</v>
      </c>
      <c r="B2322">
        <v>2008</v>
      </c>
      <c r="C2322" t="s">
        <v>371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517</v>
      </c>
      <c r="B2323">
        <v>2007</v>
      </c>
      <c r="C2323" t="s">
        <v>371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517</v>
      </c>
      <c r="B2324">
        <v>2006</v>
      </c>
      <c r="C2324" t="s">
        <v>371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517</v>
      </c>
      <c r="B2325">
        <v>2005</v>
      </c>
      <c r="C2325" t="s">
        <v>371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517</v>
      </c>
      <c r="B2326">
        <v>2004</v>
      </c>
      <c r="C2326" t="s">
        <v>371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517</v>
      </c>
      <c r="B2327">
        <v>2003</v>
      </c>
      <c r="C2327" t="s">
        <v>371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517</v>
      </c>
      <c r="B2328">
        <v>2002</v>
      </c>
      <c r="C2328" t="s">
        <v>371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517</v>
      </c>
      <c r="B2329">
        <v>2001</v>
      </c>
      <c r="C2329" t="s">
        <v>371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517</v>
      </c>
      <c r="B2330">
        <v>2000</v>
      </c>
      <c r="C2330" t="s">
        <v>371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518</v>
      </c>
      <c r="B2331">
        <v>2015</v>
      </c>
      <c r="C2331" t="s">
        <v>371</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518</v>
      </c>
      <c r="B2332">
        <v>2014</v>
      </c>
      <c r="C2332" t="s">
        <v>371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518</v>
      </c>
      <c r="B2333">
        <v>2013</v>
      </c>
      <c r="C2333" t="s">
        <v>371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518</v>
      </c>
      <c r="B2334">
        <v>2012</v>
      </c>
      <c r="C2334" t="s">
        <v>371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518</v>
      </c>
      <c r="B2335">
        <v>2011</v>
      </c>
      <c r="C2335" t="s">
        <v>371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518</v>
      </c>
      <c r="B2336">
        <v>2010</v>
      </c>
      <c r="C2336" t="s">
        <v>371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518</v>
      </c>
      <c r="B2337">
        <v>2009</v>
      </c>
      <c r="C2337" t="s">
        <v>371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518</v>
      </c>
      <c r="B2338">
        <v>2008</v>
      </c>
      <c r="C2338" t="s">
        <v>371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518</v>
      </c>
      <c r="B2339">
        <v>2007</v>
      </c>
      <c r="C2339" t="s">
        <v>371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518</v>
      </c>
      <c r="B2340">
        <v>2006</v>
      </c>
      <c r="C2340" t="s">
        <v>371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518</v>
      </c>
      <c r="B2341">
        <v>2005</v>
      </c>
      <c r="C2341" t="s">
        <v>371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518</v>
      </c>
      <c r="B2342">
        <v>2004</v>
      </c>
      <c r="C2342" t="s">
        <v>371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518</v>
      </c>
      <c r="B2343">
        <v>2003</v>
      </c>
      <c r="C2343" t="s">
        <v>371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518</v>
      </c>
      <c r="B2344">
        <v>2002</v>
      </c>
      <c r="C2344" t="s">
        <v>371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518</v>
      </c>
      <c r="B2345">
        <v>2001</v>
      </c>
      <c r="C2345" t="s">
        <v>371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518</v>
      </c>
      <c r="B2346">
        <v>2000</v>
      </c>
      <c r="C2346" t="s">
        <v>371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519</v>
      </c>
      <c r="B2347">
        <v>2015</v>
      </c>
      <c r="C2347" t="s">
        <v>371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519</v>
      </c>
      <c r="B2348">
        <v>2014</v>
      </c>
      <c r="C2348" t="s">
        <v>371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519</v>
      </c>
      <c r="B2349">
        <v>2013</v>
      </c>
      <c r="C2349" t="s">
        <v>371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519</v>
      </c>
      <c r="B2350">
        <v>2012</v>
      </c>
      <c r="C2350" t="s">
        <v>371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519</v>
      </c>
      <c r="B2351">
        <v>2011</v>
      </c>
      <c r="C2351" t="s">
        <v>371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519</v>
      </c>
      <c r="B2352">
        <v>2010</v>
      </c>
      <c r="C2352" t="s">
        <v>371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519</v>
      </c>
      <c r="B2353">
        <v>2009</v>
      </c>
      <c r="C2353" t="s">
        <v>371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519</v>
      </c>
      <c r="B2354">
        <v>2008</v>
      </c>
      <c r="C2354" t="s">
        <v>371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519</v>
      </c>
      <c r="B2355">
        <v>2007</v>
      </c>
      <c r="C2355" t="s">
        <v>371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519</v>
      </c>
      <c r="B2356">
        <v>2006</v>
      </c>
      <c r="C2356" t="s">
        <v>371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519</v>
      </c>
      <c r="B2357">
        <v>2005</v>
      </c>
      <c r="C2357" t="s">
        <v>371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519</v>
      </c>
      <c r="B2358">
        <v>2004</v>
      </c>
      <c r="C2358" t="s">
        <v>371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519</v>
      </c>
      <c r="B2359">
        <v>2003</v>
      </c>
      <c r="C2359" t="s">
        <v>371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519</v>
      </c>
      <c r="B2360">
        <v>2002</v>
      </c>
      <c r="C2360" t="s">
        <v>371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519</v>
      </c>
      <c r="B2361">
        <v>2001</v>
      </c>
      <c r="C2361" t="s">
        <v>371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519</v>
      </c>
      <c r="B2362">
        <v>2000</v>
      </c>
      <c r="C2362" t="s">
        <v>371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520</v>
      </c>
      <c r="B2363">
        <v>2015</v>
      </c>
      <c r="C2363" t="s">
        <v>363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520</v>
      </c>
      <c r="B2364">
        <v>2014</v>
      </c>
      <c r="C2364" t="s">
        <v>363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520</v>
      </c>
      <c r="B2365">
        <v>2013</v>
      </c>
      <c r="C2365" t="s">
        <v>363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520</v>
      </c>
      <c r="B2366">
        <v>2012</v>
      </c>
      <c r="C2366" t="s">
        <v>363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520</v>
      </c>
      <c r="B2367">
        <v>2011</v>
      </c>
      <c r="C2367" t="s">
        <v>363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520</v>
      </c>
      <c r="B2368">
        <v>2010</v>
      </c>
      <c r="C2368" t="s">
        <v>363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520</v>
      </c>
      <c r="B2369">
        <v>2009</v>
      </c>
      <c r="C2369" t="s">
        <v>363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520</v>
      </c>
      <c r="B2370">
        <v>2008</v>
      </c>
      <c r="C2370" t="s">
        <v>363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520</v>
      </c>
      <c r="B2371">
        <v>2007</v>
      </c>
      <c r="C2371" t="s">
        <v>363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520</v>
      </c>
      <c r="B2372">
        <v>2006</v>
      </c>
      <c r="C2372" t="s">
        <v>363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520</v>
      </c>
      <c r="B2373">
        <v>2005</v>
      </c>
      <c r="C2373" t="s">
        <v>363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520</v>
      </c>
      <c r="B2374">
        <v>2004</v>
      </c>
      <c r="C2374" t="s">
        <v>363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520</v>
      </c>
      <c r="B2375">
        <v>2003</v>
      </c>
      <c r="C2375" t="s">
        <v>363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520</v>
      </c>
      <c r="B2376">
        <v>2002</v>
      </c>
      <c r="C2376" t="s">
        <v>363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520</v>
      </c>
      <c r="B2377">
        <v>2001</v>
      </c>
      <c r="C2377" t="s">
        <v>363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520</v>
      </c>
      <c r="B2378">
        <v>2000</v>
      </c>
      <c r="C2378" t="s">
        <v>363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521</v>
      </c>
      <c r="B2379">
        <v>2015</v>
      </c>
      <c r="C2379" t="s">
        <v>363</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521</v>
      </c>
      <c r="B2380">
        <v>2014</v>
      </c>
      <c r="C2380" t="s">
        <v>363</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521</v>
      </c>
      <c r="B2381">
        <v>2013</v>
      </c>
      <c r="C2381" t="s">
        <v>363</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521</v>
      </c>
      <c r="B2382">
        <v>2012</v>
      </c>
      <c r="C2382" t="s">
        <v>363</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521</v>
      </c>
      <c r="B2383">
        <v>2011</v>
      </c>
      <c r="C2383" t="s">
        <v>363</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521</v>
      </c>
      <c r="B2384">
        <v>2010</v>
      </c>
      <c r="C2384" t="s">
        <v>363</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521</v>
      </c>
      <c r="B2385">
        <v>2009</v>
      </c>
      <c r="C2385" t="s">
        <v>363</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521</v>
      </c>
      <c r="B2386">
        <v>2008</v>
      </c>
      <c r="C2386" t="s">
        <v>363</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521</v>
      </c>
      <c r="B2387">
        <v>2007</v>
      </c>
      <c r="C2387" t="s">
        <v>363</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521</v>
      </c>
      <c r="B2388">
        <v>2006</v>
      </c>
      <c r="C2388" t="s">
        <v>363</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521</v>
      </c>
      <c r="B2389">
        <v>2005</v>
      </c>
      <c r="C2389" t="s">
        <v>363</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521</v>
      </c>
      <c r="B2390">
        <v>2004</v>
      </c>
      <c r="C2390" t="s">
        <v>363</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521</v>
      </c>
      <c r="B2391">
        <v>2003</v>
      </c>
      <c r="C2391" t="s">
        <v>363</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521</v>
      </c>
      <c r="B2392">
        <v>2002</v>
      </c>
      <c r="C2392" t="s">
        <v>363</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521</v>
      </c>
      <c r="B2393">
        <v>2001</v>
      </c>
      <c r="C2393" t="s">
        <v>363</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521</v>
      </c>
      <c r="B2394">
        <v>2000</v>
      </c>
      <c r="C2394" t="s">
        <v>363</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522</v>
      </c>
      <c r="B2395">
        <v>2015</v>
      </c>
      <c r="C2395" t="s">
        <v>363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522</v>
      </c>
      <c r="B2396">
        <v>2014</v>
      </c>
      <c r="C2396" t="s">
        <v>363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522</v>
      </c>
      <c r="B2397">
        <v>2013</v>
      </c>
      <c r="C2397" t="s">
        <v>363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522</v>
      </c>
      <c r="B2398">
        <v>2012</v>
      </c>
      <c r="C2398" t="s">
        <v>363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522</v>
      </c>
      <c r="B2399">
        <v>2011</v>
      </c>
      <c r="C2399" t="s">
        <v>363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522</v>
      </c>
      <c r="B2400">
        <v>2010</v>
      </c>
      <c r="C2400" t="s">
        <v>363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522</v>
      </c>
      <c r="B2401">
        <v>2009</v>
      </c>
      <c r="C2401" t="s">
        <v>363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522</v>
      </c>
      <c r="B2402">
        <v>2008</v>
      </c>
      <c r="C2402" t="s">
        <v>363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522</v>
      </c>
      <c r="B2403">
        <v>2007</v>
      </c>
      <c r="C2403" t="s">
        <v>363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522</v>
      </c>
      <c r="B2404">
        <v>2006</v>
      </c>
      <c r="C2404" t="s">
        <v>363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522</v>
      </c>
      <c r="B2405">
        <v>2005</v>
      </c>
      <c r="C2405" t="s">
        <v>363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522</v>
      </c>
      <c r="B2406">
        <v>2004</v>
      </c>
      <c r="C2406" t="s">
        <v>363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522</v>
      </c>
      <c r="B2407">
        <v>2003</v>
      </c>
      <c r="C2407" t="s">
        <v>363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522</v>
      </c>
      <c r="B2408">
        <v>2002</v>
      </c>
      <c r="C2408" t="s">
        <v>363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522</v>
      </c>
      <c r="B2409">
        <v>2001</v>
      </c>
      <c r="C2409" t="s">
        <v>363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522</v>
      </c>
      <c r="B2410">
        <v>2000</v>
      </c>
      <c r="C2410" t="s">
        <v>363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523</v>
      </c>
      <c r="B2411">
        <v>2015</v>
      </c>
      <c r="C2411" t="s">
        <v>363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523</v>
      </c>
      <c r="B2412">
        <v>2014</v>
      </c>
      <c r="C2412" t="s">
        <v>363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523</v>
      </c>
      <c r="B2413">
        <v>2013</v>
      </c>
      <c r="C2413" t="s">
        <v>363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523</v>
      </c>
      <c r="B2414">
        <v>2012</v>
      </c>
      <c r="C2414" t="s">
        <v>363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523</v>
      </c>
      <c r="B2415">
        <v>2011</v>
      </c>
      <c r="C2415" t="s">
        <v>363</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523</v>
      </c>
      <c r="B2416">
        <v>2010</v>
      </c>
      <c r="C2416" t="s">
        <v>363</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523</v>
      </c>
      <c r="B2417">
        <v>2009</v>
      </c>
      <c r="C2417" t="s">
        <v>363</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523</v>
      </c>
      <c r="B2418">
        <v>2008</v>
      </c>
      <c r="C2418" t="s">
        <v>363</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523</v>
      </c>
      <c r="B2419">
        <v>2007</v>
      </c>
      <c r="C2419" t="s">
        <v>363</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523</v>
      </c>
      <c r="B2420">
        <v>2006</v>
      </c>
      <c r="C2420" t="s">
        <v>363</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523</v>
      </c>
      <c r="B2421">
        <v>2005</v>
      </c>
      <c r="C2421" t="s">
        <v>363</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523</v>
      </c>
      <c r="B2422">
        <v>2004</v>
      </c>
      <c r="C2422" t="s">
        <v>363</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523</v>
      </c>
      <c r="B2423">
        <v>2003</v>
      </c>
      <c r="C2423" t="s">
        <v>363</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523</v>
      </c>
      <c r="B2424">
        <v>2002</v>
      </c>
      <c r="C2424" t="s">
        <v>363</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523</v>
      </c>
      <c r="B2425">
        <v>2001</v>
      </c>
      <c r="C2425" t="s">
        <v>363</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523</v>
      </c>
      <c r="B2426">
        <v>2000</v>
      </c>
      <c r="C2426" t="s">
        <v>363</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524</v>
      </c>
      <c r="B2427">
        <v>2015</v>
      </c>
      <c r="C2427" t="s">
        <v>371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524</v>
      </c>
      <c r="B2428">
        <v>2014</v>
      </c>
      <c r="C2428" t="s">
        <v>371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524</v>
      </c>
      <c r="B2429">
        <v>2013</v>
      </c>
      <c r="C2429" t="s">
        <v>371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524</v>
      </c>
      <c r="B2430">
        <v>2012</v>
      </c>
      <c r="C2430" t="s">
        <v>371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524</v>
      </c>
      <c r="B2431">
        <v>2011</v>
      </c>
      <c r="C2431" t="s">
        <v>371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524</v>
      </c>
      <c r="B2432">
        <v>2010</v>
      </c>
      <c r="C2432" t="s">
        <v>371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524</v>
      </c>
      <c r="B2433">
        <v>2009</v>
      </c>
      <c r="C2433" t="s">
        <v>371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524</v>
      </c>
      <c r="B2434">
        <v>2008</v>
      </c>
      <c r="C2434" t="s">
        <v>371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524</v>
      </c>
      <c r="B2435">
        <v>2007</v>
      </c>
      <c r="C2435" t="s">
        <v>371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524</v>
      </c>
      <c r="B2436">
        <v>2006</v>
      </c>
      <c r="C2436" t="s">
        <v>371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524</v>
      </c>
      <c r="B2437">
        <v>2005</v>
      </c>
      <c r="C2437" t="s">
        <v>371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524</v>
      </c>
      <c r="B2438">
        <v>2004</v>
      </c>
      <c r="C2438" t="s">
        <v>371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524</v>
      </c>
      <c r="B2439">
        <v>2003</v>
      </c>
      <c r="C2439" t="s">
        <v>371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524</v>
      </c>
      <c r="B2440">
        <v>2002</v>
      </c>
      <c r="C2440" t="s">
        <v>371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524</v>
      </c>
      <c r="B2441">
        <v>2001</v>
      </c>
      <c r="C2441" t="s">
        <v>371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524</v>
      </c>
      <c r="B2442">
        <v>2000</v>
      </c>
      <c r="C2442" t="s">
        <v>371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525</v>
      </c>
      <c r="B2443">
        <v>2015</v>
      </c>
      <c r="C2443" t="s">
        <v>363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525</v>
      </c>
      <c r="B2444">
        <v>2014</v>
      </c>
      <c r="C2444" t="s">
        <v>363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525</v>
      </c>
      <c r="B2445">
        <v>2013</v>
      </c>
      <c r="C2445" t="s">
        <v>363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525</v>
      </c>
      <c r="B2446">
        <v>2012</v>
      </c>
      <c r="C2446" t="s">
        <v>363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525</v>
      </c>
      <c r="B2447">
        <v>2011</v>
      </c>
      <c r="C2447" t="s">
        <v>363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525</v>
      </c>
      <c r="B2448">
        <v>2010</v>
      </c>
      <c r="C2448" t="s">
        <v>363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525</v>
      </c>
      <c r="B2449">
        <v>2009</v>
      </c>
      <c r="C2449" t="s">
        <v>363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525</v>
      </c>
      <c r="B2450">
        <v>2008</v>
      </c>
      <c r="C2450" t="s">
        <v>363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525</v>
      </c>
      <c r="B2451">
        <v>2007</v>
      </c>
      <c r="C2451" t="s">
        <v>363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525</v>
      </c>
      <c r="B2452">
        <v>2006</v>
      </c>
      <c r="C2452" t="s">
        <v>363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525</v>
      </c>
      <c r="B2453">
        <v>2005</v>
      </c>
      <c r="C2453" t="s">
        <v>363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525</v>
      </c>
      <c r="B2454">
        <v>2004</v>
      </c>
      <c r="C2454" t="s">
        <v>363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525</v>
      </c>
      <c r="B2455">
        <v>2003</v>
      </c>
      <c r="C2455" t="s">
        <v>363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525</v>
      </c>
      <c r="B2456">
        <v>2002</v>
      </c>
      <c r="C2456" t="s">
        <v>363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525</v>
      </c>
      <c r="B2457">
        <v>2001</v>
      </c>
      <c r="C2457" t="s">
        <v>363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525</v>
      </c>
      <c r="B2458">
        <v>2000</v>
      </c>
      <c r="C2458" t="s">
        <v>363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526</v>
      </c>
      <c r="B2459">
        <v>2015</v>
      </c>
      <c r="C2459" t="s">
        <v>363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526</v>
      </c>
      <c r="B2460">
        <v>2014</v>
      </c>
      <c r="C2460" t="s">
        <v>363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526</v>
      </c>
      <c r="B2461">
        <v>2013</v>
      </c>
      <c r="C2461" t="s">
        <v>363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526</v>
      </c>
      <c r="B2462">
        <v>2012</v>
      </c>
      <c r="C2462" t="s">
        <v>363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526</v>
      </c>
      <c r="B2463">
        <v>2011</v>
      </c>
      <c r="C2463" t="s">
        <v>363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526</v>
      </c>
      <c r="B2464">
        <v>2010</v>
      </c>
      <c r="C2464" t="s">
        <v>363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526</v>
      </c>
      <c r="B2465">
        <v>2009</v>
      </c>
      <c r="C2465" t="s">
        <v>363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526</v>
      </c>
      <c r="B2466">
        <v>2008</v>
      </c>
      <c r="C2466" t="s">
        <v>363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526</v>
      </c>
      <c r="B2467">
        <v>2007</v>
      </c>
      <c r="C2467" t="s">
        <v>363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526</v>
      </c>
      <c r="B2468">
        <v>2006</v>
      </c>
      <c r="C2468" t="s">
        <v>363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526</v>
      </c>
      <c r="B2469">
        <v>2005</v>
      </c>
      <c r="C2469" t="s">
        <v>363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526</v>
      </c>
      <c r="B2470">
        <v>2004</v>
      </c>
      <c r="C2470" t="s">
        <v>363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526</v>
      </c>
      <c r="B2471">
        <v>2003</v>
      </c>
      <c r="C2471" t="s">
        <v>363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526</v>
      </c>
      <c r="B2472">
        <v>2002</v>
      </c>
      <c r="C2472" t="s">
        <v>363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526</v>
      </c>
      <c r="B2473">
        <v>2001</v>
      </c>
      <c r="C2473" t="s">
        <v>363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526</v>
      </c>
      <c r="B2474">
        <v>2000</v>
      </c>
      <c r="C2474" t="s">
        <v>363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527</v>
      </c>
      <c r="B2475">
        <v>2015</v>
      </c>
      <c r="C2475" t="s">
        <v>363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527</v>
      </c>
      <c r="B2476">
        <v>2014</v>
      </c>
      <c r="C2476" t="s">
        <v>363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527</v>
      </c>
      <c r="B2477">
        <v>2013</v>
      </c>
      <c r="C2477" t="s">
        <v>363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527</v>
      </c>
      <c r="B2478">
        <v>2012</v>
      </c>
      <c r="C2478" t="s">
        <v>363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527</v>
      </c>
      <c r="B2479">
        <v>2011</v>
      </c>
      <c r="C2479" t="s">
        <v>363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527</v>
      </c>
      <c r="B2480">
        <v>2010</v>
      </c>
      <c r="C2480" t="s">
        <v>363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527</v>
      </c>
      <c r="B2481">
        <v>2009</v>
      </c>
      <c r="C2481" t="s">
        <v>363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527</v>
      </c>
      <c r="B2482">
        <v>2008</v>
      </c>
      <c r="C2482" t="s">
        <v>363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527</v>
      </c>
      <c r="B2483">
        <v>2007</v>
      </c>
      <c r="C2483" t="s">
        <v>363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527</v>
      </c>
      <c r="B2484">
        <v>2006</v>
      </c>
      <c r="C2484" t="s">
        <v>363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527</v>
      </c>
      <c r="B2485">
        <v>2005</v>
      </c>
      <c r="C2485" t="s">
        <v>363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527</v>
      </c>
      <c r="B2486">
        <v>2004</v>
      </c>
      <c r="C2486" t="s">
        <v>363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527</v>
      </c>
      <c r="B2487">
        <v>2003</v>
      </c>
      <c r="C2487" t="s">
        <v>363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527</v>
      </c>
      <c r="B2488">
        <v>2002</v>
      </c>
      <c r="C2488" t="s">
        <v>363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527</v>
      </c>
      <c r="B2489">
        <v>2001</v>
      </c>
      <c r="C2489" t="s">
        <v>363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527</v>
      </c>
      <c r="B2490">
        <v>2000</v>
      </c>
      <c r="C2490" t="s">
        <v>363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528</v>
      </c>
      <c r="B2491">
        <v>2015</v>
      </c>
      <c r="C2491" t="s">
        <v>363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528</v>
      </c>
      <c r="B2492">
        <v>2014</v>
      </c>
      <c r="C2492" t="s">
        <v>363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528</v>
      </c>
      <c r="B2493">
        <v>2013</v>
      </c>
      <c r="C2493" t="s">
        <v>363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528</v>
      </c>
      <c r="B2494">
        <v>2012</v>
      </c>
      <c r="C2494" t="s">
        <v>363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528</v>
      </c>
      <c r="B2495">
        <v>2011</v>
      </c>
      <c r="C2495" t="s">
        <v>363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528</v>
      </c>
      <c r="B2496">
        <v>2010</v>
      </c>
      <c r="C2496" t="s">
        <v>363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528</v>
      </c>
      <c r="B2497">
        <v>2009</v>
      </c>
      <c r="C2497" t="s">
        <v>363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528</v>
      </c>
      <c r="B2498">
        <v>2008</v>
      </c>
      <c r="C2498" t="s">
        <v>363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528</v>
      </c>
      <c r="B2499">
        <v>2007</v>
      </c>
      <c r="C2499" t="s">
        <v>363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528</v>
      </c>
      <c r="B2500">
        <v>2006</v>
      </c>
      <c r="C2500" t="s">
        <v>363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528</v>
      </c>
      <c r="B2501">
        <v>2005</v>
      </c>
      <c r="C2501" t="s">
        <v>363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528</v>
      </c>
      <c r="B2502">
        <v>2004</v>
      </c>
      <c r="C2502" t="s">
        <v>363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528</v>
      </c>
      <c r="B2503">
        <v>2003</v>
      </c>
      <c r="C2503" t="s">
        <v>363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528</v>
      </c>
      <c r="B2504">
        <v>2002</v>
      </c>
      <c r="C2504" t="s">
        <v>363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528</v>
      </c>
      <c r="B2505">
        <v>2001</v>
      </c>
      <c r="C2505" t="s">
        <v>363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528</v>
      </c>
      <c r="B2506">
        <v>2000</v>
      </c>
      <c r="C2506" t="s">
        <v>363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529</v>
      </c>
      <c r="B2507">
        <v>2015</v>
      </c>
      <c r="C2507" t="s">
        <v>371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529</v>
      </c>
      <c r="B2508">
        <v>2014</v>
      </c>
      <c r="C2508" t="s">
        <v>371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529</v>
      </c>
      <c r="B2509">
        <v>2013</v>
      </c>
      <c r="C2509" t="s">
        <v>371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529</v>
      </c>
      <c r="B2510">
        <v>2012</v>
      </c>
      <c r="C2510" t="s">
        <v>371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529</v>
      </c>
      <c r="B2511">
        <v>2011</v>
      </c>
      <c r="C2511" t="s">
        <v>371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529</v>
      </c>
      <c r="B2512">
        <v>2010</v>
      </c>
      <c r="C2512" t="s">
        <v>371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529</v>
      </c>
      <c r="B2513">
        <v>2009</v>
      </c>
      <c r="C2513" t="s">
        <v>371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529</v>
      </c>
      <c r="B2514">
        <v>2008</v>
      </c>
      <c r="C2514" t="s">
        <v>371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529</v>
      </c>
      <c r="B2515">
        <v>2007</v>
      </c>
      <c r="C2515" t="s">
        <v>371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529</v>
      </c>
      <c r="B2516">
        <v>2006</v>
      </c>
      <c r="C2516" t="s">
        <v>371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529</v>
      </c>
      <c r="B2517">
        <v>2005</v>
      </c>
      <c r="C2517" t="s">
        <v>371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529</v>
      </c>
      <c r="B2518">
        <v>2004</v>
      </c>
      <c r="C2518" t="s">
        <v>371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529</v>
      </c>
      <c r="B2519">
        <v>2003</v>
      </c>
      <c r="C2519" t="s">
        <v>371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529</v>
      </c>
      <c r="B2520">
        <v>2002</v>
      </c>
      <c r="C2520" t="s">
        <v>371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529</v>
      </c>
      <c r="B2521">
        <v>2001</v>
      </c>
      <c r="C2521" t="s">
        <v>371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529</v>
      </c>
      <c r="B2522">
        <v>2000</v>
      </c>
      <c r="C2522" t="s">
        <v>371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530</v>
      </c>
      <c r="B2523">
        <v>2015</v>
      </c>
      <c r="C2523" t="s">
        <v>371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530</v>
      </c>
      <c r="B2524">
        <v>2014</v>
      </c>
      <c r="C2524" t="s">
        <v>371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530</v>
      </c>
      <c r="B2525">
        <v>2013</v>
      </c>
      <c r="C2525" t="s">
        <v>371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530</v>
      </c>
      <c r="B2526">
        <v>2012</v>
      </c>
      <c r="C2526" t="s">
        <v>371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530</v>
      </c>
      <c r="B2527">
        <v>2011</v>
      </c>
      <c r="C2527" t="s">
        <v>371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530</v>
      </c>
      <c r="B2528">
        <v>2010</v>
      </c>
      <c r="C2528" t="s">
        <v>371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530</v>
      </c>
      <c r="B2529">
        <v>2009</v>
      </c>
      <c r="C2529" t="s">
        <v>371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530</v>
      </c>
      <c r="B2530">
        <v>2008</v>
      </c>
      <c r="C2530" t="s">
        <v>371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530</v>
      </c>
      <c r="B2531">
        <v>2007</v>
      </c>
      <c r="C2531" t="s">
        <v>371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530</v>
      </c>
      <c r="B2532">
        <v>2006</v>
      </c>
      <c r="C2532" t="s">
        <v>371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530</v>
      </c>
      <c r="B2533">
        <v>2005</v>
      </c>
      <c r="C2533" t="s">
        <v>371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530</v>
      </c>
      <c r="B2534">
        <v>2004</v>
      </c>
      <c r="C2534" t="s">
        <v>371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530</v>
      </c>
      <c r="B2535">
        <v>2003</v>
      </c>
      <c r="C2535" t="s">
        <v>371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530</v>
      </c>
      <c r="B2536">
        <v>2002</v>
      </c>
      <c r="C2536" t="s">
        <v>371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530</v>
      </c>
      <c r="B2537">
        <v>2001</v>
      </c>
      <c r="C2537" t="s">
        <v>371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530</v>
      </c>
      <c r="B2538">
        <v>2000</v>
      </c>
      <c r="C2538" t="s">
        <v>371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531</v>
      </c>
      <c r="B2539">
        <v>2015</v>
      </c>
      <c r="C2539" t="s">
        <v>363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531</v>
      </c>
      <c r="B2540">
        <v>2014</v>
      </c>
      <c r="C2540" t="s">
        <v>363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531</v>
      </c>
      <c r="B2541">
        <v>2013</v>
      </c>
      <c r="C2541" t="s">
        <v>363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531</v>
      </c>
      <c r="B2542">
        <v>2012</v>
      </c>
      <c r="C2542" t="s">
        <v>363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531</v>
      </c>
      <c r="B2543">
        <v>2011</v>
      </c>
      <c r="C2543" t="s">
        <v>363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531</v>
      </c>
      <c r="B2544">
        <v>2010</v>
      </c>
      <c r="C2544" t="s">
        <v>363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531</v>
      </c>
      <c r="B2545">
        <v>2009</v>
      </c>
      <c r="C2545" t="s">
        <v>363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531</v>
      </c>
      <c r="B2546">
        <v>2008</v>
      </c>
      <c r="C2546" t="s">
        <v>363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531</v>
      </c>
      <c r="B2547">
        <v>2007</v>
      </c>
      <c r="C2547" t="s">
        <v>363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531</v>
      </c>
      <c r="B2548">
        <v>2006</v>
      </c>
      <c r="C2548" t="s">
        <v>363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531</v>
      </c>
      <c r="B2549">
        <v>2005</v>
      </c>
      <c r="C2549" t="s">
        <v>363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531</v>
      </c>
      <c r="B2550">
        <v>2004</v>
      </c>
      <c r="C2550" t="s">
        <v>363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531</v>
      </c>
      <c r="B2551">
        <v>2003</v>
      </c>
      <c r="C2551" t="s">
        <v>363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531</v>
      </c>
      <c r="B2552">
        <v>2002</v>
      </c>
      <c r="C2552" t="s">
        <v>363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531</v>
      </c>
      <c r="B2553">
        <v>2001</v>
      </c>
      <c r="C2553" t="s">
        <v>363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531</v>
      </c>
      <c r="B2554">
        <v>2000</v>
      </c>
      <c r="C2554" t="s">
        <v>363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532</v>
      </c>
      <c r="B2555">
        <v>2015</v>
      </c>
      <c r="C2555" t="s">
        <v>363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532</v>
      </c>
      <c r="B2556">
        <v>2014</v>
      </c>
      <c r="C2556" t="s">
        <v>363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532</v>
      </c>
      <c r="B2557">
        <v>2013</v>
      </c>
      <c r="C2557" t="s">
        <v>363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532</v>
      </c>
      <c r="B2558">
        <v>2012</v>
      </c>
      <c r="C2558" t="s">
        <v>363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532</v>
      </c>
      <c r="B2559">
        <v>2011</v>
      </c>
      <c r="C2559" t="s">
        <v>363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532</v>
      </c>
      <c r="B2560">
        <v>2010</v>
      </c>
      <c r="C2560" t="s">
        <v>363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532</v>
      </c>
      <c r="B2561">
        <v>2009</v>
      </c>
      <c r="C2561" t="s">
        <v>363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532</v>
      </c>
      <c r="B2562">
        <v>2008</v>
      </c>
      <c r="C2562" t="s">
        <v>363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532</v>
      </c>
      <c r="B2563">
        <v>2007</v>
      </c>
      <c r="C2563" t="s">
        <v>363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532</v>
      </c>
      <c r="B2564">
        <v>2006</v>
      </c>
      <c r="C2564" t="s">
        <v>363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532</v>
      </c>
      <c r="B2565">
        <v>2005</v>
      </c>
      <c r="C2565" t="s">
        <v>363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532</v>
      </c>
      <c r="B2566">
        <v>2004</v>
      </c>
      <c r="C2566" t="s">
        <v>363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532</v>
      </c>
      <c r="B2567">
        <v>2003</v>
      </c>
      <c r="C2567" t="s">
        <v>363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532</v>
      </c>
      <c r="B2568">
        <v>2002</v>
      </c>
      <c r="C2568" t="s">
        <v>363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532</v>
      </c>
      <c r="B2569">
        <v>2001</v>
      </c>
      <c r="C2569" t="s">
        <v>363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532</v>
      </c>
      <c r="B2570">
        <v>2000</v>
      </c>
      <c r="C2570" t="s">
        <v>363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533</v>
      </c>
      <c r="B2571">
        <v>2015</v>
      </c>
      <c r="C2571" t="s">
        <v>363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533</v>
      </c>
      <c r="B2572">
        <v>2014</v>
      </c>
      <c r="C2572" t="s">
        <v>363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533</v>
      </c>
      <c r="B2573">
        <v>2013</v>
      </c>
      <c r="C2573" t="s">
        <v>363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533</v>
      </c>
      <c r="B2574">
        <v>2012</v>
      </c>
      <c r="C2574" t="s">
        <v>363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533</v>
      </c>
      <c r="B2575">
        <v>2011</v>
      </c>
      <c r="C2575" t="s">
        <v>363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533</v>
      </c>
      <c r="B2576">
        <v>2010</v>
      </c>
      <c r="C2576" t="s">
        <v>363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533</v>
      </c>
      <c r="B2577">
        <v>2009</v>
      </c>
      <c r="C2577" t="s">
        <v>363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533</v>
      </c>
      <c r="B2578">
        <v>2008</v>
      </c>
      <c r="C2578" t="s">
        <v>363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533</v>
      </c>
      <c r="B2579">
        <v>2007</v>
      </c>
      <c r="C2579" t="s">
        <v>363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533</v>
      </c>
      <c r="B2580">
        <v>2006</v>
      </c>
      <c r="C2580" t="s">
        <v>363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533</v>
      </c>
      <c r="B2581">
        <v>2005</v>
      </c>
      <c r="C2581" t="s">
        <v>363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533</v>
      </c>
      <c r="B2582">
        <v>2004</v>
      </c>
      <c r="C2582" t="s">
        <v>363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533</v>
      </c>
      <c r="B2583">
        <v>2003</v>
      </c>
      <c r="C2583" t="s">
        <v>363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533</v>
      </c>
      <c r="B2584">
        <v>2002</v>
      </c>
      <c r="C2584" t="s">
        <v>363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533</v>
      </c>
      <c r="B2585">
        <v>2001</v>
      </c>
      <c r="C2585" t="s">
        <v>363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533</v>
      </c>
      <c r="B2586">
        <v>2000</v>
      </c>
      <c r="C2586" t="s">
        <v>363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534</v>
      </c>
      <c r="B2587">
        <v>2015</v>
      </c>
      <c r="C2587" t="s">
        <v>363</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534</v>
      </c>
      <c r="B2588">
        <v>2014</v>
      </c>
      <c r="C2588" t="s">
        <v>363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534</v>
      </c>
      <c r="B2589">
        <v>2013</v>
      </c>
      <c r="C2589" t="s">
        <v>363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534</v>
      </c>
      <c r="B2590">
        <v>2012</v>
      </c>
      <c r="C2590" t="s">
        <v>363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534</v>
      </c>
      <c r="B2591">
        <v>2011</v>
      </c>
      <c r="C2591" t="s">
        <v>363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534</v>
      </c>
      <c r="B2592">
        <v>2010</v>
      </c>
      <c r="C2592" t="s">
        <v>363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534</v>
      </c>
      <c r="B2593">
        <v>2009</v>
      </c>
      <c r="C2593" t="s">
        <v>363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534</v>
      </c>
      <c r="B2594">
        <v>2008</v>
      </c>
      <c r="C2594" t="s">
        <v>363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534</v>
      </c>
      <c r="B2595">
        <v>2007</v>
      </c>
      <c r="C2595" t="s">
        <v>363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534</v>
      </c>
      <c r="B2596">
        <v>2006</v>
      </c>
      <c r="C2596" t="s">
        <v>363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534</v>
      </c>
      <c r="B2597">
        <v>2005</v>
      </c>
      <c r="C2597" t="s">
        <v>363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534</v>
      </c>
      <c r="B2598">
        <v>2004</v>
      </c>
      <c r="C2598" t="s">
        <v>363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534</v>
      </c>
      <c r="B2599">
        <v>2003</v>
      </c>
      <c r="C2599" t="s">
        <v>363</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534</v>
      </c>
      <c r="B2600">
        <v>2002</v>
      </c>
      <c r="C2600" t="s">
        <v>363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534</v>
      </c>
      <c r="B2601">
        <v>2001</v>
      </c>
      <c r="C2601" t="s">
        <v>363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534</v>
      </c>
      <c r="B2602">
        <v>2000</v>
      </c>
      <c r="C2602" t="s">
        <v>363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535</v>
      </c>
      <c r="B2603">
        <v>2015</v>
      </c>
      <c r="C2603" t="s">
        <v>363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535</v>
      </c>
      <c r="B2604">
        <v>2014</v>
      </c>
      <c r="C2604" t="s">
        <v>363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535</v>
      </c>
      <c r="B2605">
        <v>2013</v>
      </c>
      <c r="C2605" t="s">
        <v>363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535</v>
      </c>
      <c r="B2606">
        <v>2012</v>
      </c>
      <c r="C2606" t="s">
        <v>363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535</v>
      </c>
      <c r="B2607">
        <v>2011</v>
      </c>
      <c r="C2607" t="s">
        <v>363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535</v>
      </c>
      <c r="B2608">
        <v>2010</v>
      </c>
      <c r="C2608" t="s">
        <v>363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535</v>
      </c>
      <c r="B2609">
        <v>2009</v>
      </c>
      <c r="C2609" t="s">
        <v>363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535</v>
      </c>
      <c r="B2610">
        <v>2008</v>
      </c>
      <c r="C2610" t="s">
        <v>363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535</v>
      </c>
      <c r="B2611">
        <v>2007</v>
      </c>
      <c r="C2611" t="s">
        <v>363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535</v>
      </c>
      <c r="B2612">
        <v>2006</v>
      </c>
      <c r="C2612" t="s">
        <v>363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535</v>
      </c>
      <c r="B2613">
        <v>2005</v>
      </c>
      <c r="C2613" t="s">
        <v>363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535</v>
      </c>
      <c r="B2614">
        <v>2004</v>
      </c>
      <c r="C2614" t="s">
        <v>363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535</v>
      </c>
      <c r="B2615">
        <v>2003</v>
      </c>
      <c r="C2615" t="s">
        <v>363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535</v>
      </c>
      <c r="B2616">
        <v>2002</v>
      </c>
      <c r="C2616" t="s">
        <v>363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535</v>
      </c>
      <c r="B2617">
        <v>2001</v>
      </c>
      <c r="C2617" t="s">
        <v>363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535</v>
      </c>
      <c r="B2618">
        <v>2000</v>
      </c>
      <c r="C2618" t="s">
        <v>363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536</v>
      </c>
      <c r="B2619">
        <v>2015</v>
      </c>
      <c r="C2619" t="s">
        <v>363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536</v>
      </c>
      <c r="B2620">
        <v>2014</v>
      </c>
      <c r="C2620" t="s">
        <v>363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536</v>
      </c>
      <c r="B2621">
        <v>2013</v>
      </c>
      <c r="C2621" t="s">
        <v>363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536</v>
      </c>
      <c r="B2622">
        <v>2012</v>
      </c>
      <c r="C2622" t="s">
        <v>363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536</v>
      </c>
      <c r="B2623">
        <v>2011</v>
      </c>
      <c r="C2623" t="s">
        <v>363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536</v>
      </c>
      <c r="B2624">
        <v>2010</v>
      </c>
      <c r="C2624" t="s">
        <v>363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536</v>
      </c>
      <c r="B2625">
        <v>2009</v>
      </c>
      <c r="C2625" t="s">
        <v>363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536</v>
      </c>
      <c r="B2626">
        <v>2008</v>
      </c>
      <c r="C2626" t="s">
        <v>363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536</v>
      </c>
      <c r="B2627">
        <v>2007</v>
      </c>
      <c r="C2627" t="s">
        <v>363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536</v>
      </c>
      <c r="B2628">
        <v>2006</v>
      </c>
      <c r="C2628" t="s">
        <v>363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536</v>
      </c>
      <c r="B2629">
        <v>2005</v>
      </c>
      <c r="C2629" t="s">
        <v>363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536</v>
      </c>
      <c r="B2630">
        <v>2004</v>
      </c>
      <c r="C2630" t="s">
        <v>363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536</v>
      </c>
      <c r="B2631">
        <v>2003</v>
      </c>
      <c r="C2631" t="s">
        <v>363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536</v>
      </c>
      <c r="B2632">
        <v>2002</v>
      </c>
      <c r="C2632" t="s">
        <v>363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536</v>
      </c>
      <c r="B2633">
        <v>2001</v>
      </c>
      <c r="C2633" t="s">
        <v>363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536</v>
      </c>
      <c r="B2634">
        <v>2000</v>
      </c>
      <c r="C2634" t="s">
        <v>363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537</v>
      </c>
      <c r="B2635">
        <v>2015</v>
      </c>
      <c r="C2635" t="s">
        <v>363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537</v>
      </c>
      <c r="B2636">
        <v>2014</v>
      </c>
      <c r="C2636" t="s">
        <v>363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537</v>
      </c>
      <c r="B2637">
        <v>2013</v>
      </c>
      <c r="C2637" t="s">
        <v>363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537</v>
      </c>
      <c r="B2638">
        <v>2012</v>
      </c>
      <c r="C2638" t="s">
        <v>363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537</v>
      </c>
      <c r="B2639">
        <v>2011</v>
      </c>
      <c r="C2639" t="s">
        <v>363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537</v>
      </c>
      <c r="B2640">
        <v>2010</v>
      </c>
      <c r="C2640" t="s">
        <v>363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537</v>
      </c>
      <c r="B2641">
        <v>2009</v>
      </c>
      <c r="C2641" t="s">
        <v>363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537</v>
      </c>
      <c r="B2642">
        <v>2008</v>
      </c>
      <c r="C2642" t="s">
        <v>363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537</v>
      </c>
      <c r="B2643">
        <v>2007</v>
      </c>
      <c r="C2643" t="s">
        <v>363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537</v>
      </c>
      <c r="B2644">
        <v>2006</v>
      </c>
      <c r="C2644" t="s">
        <v>363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537</v>
      </c>
      <c r="B2645">
        <v>2005</v>
      </c>
      <c r="C2645" t="s">
        <v>363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537</v>
      </c>
      <c r="B2646">
        <v>2004</v>
      </c>
      <c r="C2646" t="s">
        <v>363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537</v>
      </c>
      <c r="B2647">
        <v>2003</v>
      </c>
      <c r="C2647" t="s">
        <v>363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537</v>
      </c>
      <c r="B2648">
        <v>2002</v>
      </c>
      <c r="C2648" t="s">
        <v>363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537</v>
      </c>
      <c r="B2649">
        <v>2001</v>
      </c>
      <c r="C2649" t="s">
        <v>363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537</v>
      </c>
      <c r="B2650">
        <v>2000</v>
      </c>
      <c r="C2650" t="s">
        <v>363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538</v>
      </c>
      <c r="B2651">
        <v>2015</v>
      </c>
      <c r="C2651" t="s">
        <v>363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538</v>
      </c>
      <c r="B2652">
        <v>2014</v>
      </c>
      <c r="C2652" t="s">
        <v>363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538</v>
      </c>
      <c r="B2653">
        <v>2013</v>
      </c>
      <c r="C2653" t="s">
        <v>363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538</v>
      </c>
      <c r="B2654">
        <v>2012</v>
      </c>
      <c r="C2654" t="s">
        <v>363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538</v>
      </c>
      <c r="B2655">
        <v>2011</v>
      </c>
      <c r="C2655" t="s">
        <v>363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538</v>
      </c>
      <c r="B2656">
        <v>2010</v>
      </c>
      <c r="C2656" t="s">
        <v>363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538</v>
      </c>
      <c r="B2657">
        <v>2009</v>
      </c>
      <c r="C2657" t="s">
        <v>363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538</v>
      </c>
      <c r="B2658">
        <v>2008</v>
      </c>
      <c r="C2658" t="s">
        <v>363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538</v>
      </c>
      <c r="B2659">
        <v>2007</v>
      </c>
      <c r="C2659" t="s">
        <v>363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538</v>
      </c>
      <c r="B2660">
        <v>2006</v>
      </c>
      <c r="C2660" t="s">
        <v>363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538</v>
      </c>
      <c r="B2661">
        <v>2005</v>
      </c>
      <c r="C2661" t="s">
        <v>363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538</v>
      </c>
      <c r="B2662">
        <v>2004</v>
      </c>
      <c r="C2662" t="s">
        <v>363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538</v>
      </c>
      <c r="B2663">
        <v>2003</v>
      </c>
      <c r="C2663" t="s">
        <v>363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538</v>
      </c>
      <c r="B2664">
        <v>2002</v>
      </c>
      <c r="C2664" t="s">
        <v>363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538</v>
      </c>
      <c r="B2665">
        <v>2001</v>
      </c>
      <c r="C2665" t="s">
        <v>363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538</v>
      </c>
      <c r="B2666">
        <v>2000</v>
      </c>
      <c r="C2666" t="s">
        <v>363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539</v>
      </c>
      <c r="B2667">
        <v>2015</v>
      </c>
      <c r="C2667" t="s">
        <v>363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539</v>
      </c>
      <c r="B2668">
        <v>2014</v>
      </c>
      <c r="C2668" t="s">
        <v>363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539</v>
      </c>
      <c r="B2669">
        <v>2013</v>
      </c>
      <c r="C2669" t="s">
        <v>363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539</v>
      </c>
      <c r="B2670">
        <v>2012</v>
      </c>
      <c r="C2670" t="s">
        <v>363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539</v>
      </c>
      <c r="B2671">
        <v>2011</v>
      </c>
      <c r="C2671" t="s">
        <v>363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539</v>
      </c>
      <c r="B2672">
        <v>2010</v>
      </c>
      <c r="C2672" t="s">
        <v>363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539</v>
      </c>
      <c r="B2673">
        <v>2009</v>
      </c>
      <c r="C2673" t="s">
        <v>363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539</v>
      </c>
      <c r="B2674">
        <v>2008</v>
      </c>
      <c r="C2674" t="s">
        <v>363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539</v>
      </c>
      <c r="B2675">
        <v>2007</v>
      </c>
      <c r="C2675" t="s">
        <v>363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539</v>
      </c>
      <c r="B2676">
        <v>2006</v>
      </c>
      <c r="C2676" t="s">
        <v>363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539</v>
      </c>
      <c r="B2677">
        <v>2005</v>
      </c>
      <c r="C2677" t="s">
        <v>363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539</v>
      </c>
      <c r="B2678">
        <v>2004</v>
      </c>
      <c r="C2678" t="s">
        <v>363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539</v>
      </c>
      <c r="B2679">
        <v>2003</v>
      </c>
      <c r="C2679" t="s">
        <v>363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539</v>
      </c>
      <c r="B2680">
        <v>2002</v>
      </c>
      <c r="C2680" t="s">
        <v>363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539</v>
      </c>
      <c r="B2681">
        <v>2001</v>
      </c>
      <c r="C2681" t="s">
        <v>363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539</v>
      </c>
      <c r="B2682">
        <v>2000</v>
      </c>
      <c r="C2682" t="s">
        <v>363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540</v>
      </c>
      <c r="B2683">
        <v>2015</v>
      </c>
      <c r="C2683" t="s">
        <v>363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540</v>
      </c>
      <c r="B2684">
        <v>2014</v>
      </c>
      <c r="C2684" t="s">
        <v>363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540</v>
      </c>
      <c r="B2685">
        <v>2013</v>
      </c>
      <c r="C2685" t="s">
        <v>363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540</v>
      </c>
      <c r="B2686">
        <v>2012</v>
      </c>
      <c r="C2686" t="s">
        <v>363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540</v>
      </c>
      <c r="B2687">
        <v>2011</v>
      </c>
      <c r="C2687" t="s">
        <v>363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540</v>
      </c>
      <c r="B2688">
        <v>2010</v>
      </c>
      <c r="C2688" t="s">
        <v>363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540</v>
      </c>
      <c r="B2689">
        <v>2009</v>
      </c>
      <c r="C2689" t="s">
        <v>363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540</v>
      </c>
      <c r="B2690">
        <v>2008</v>
      </c>
      <c r="C2690" t="s">
        <v>363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540</v>
      </c>
      <c r="B2691">
        <v>2007</v>
      </c>
      <c r="C2691" t="s">
        <v>363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540</v>
      </c>
      <c r="B2692">
        <v>2006</v>
      </c>
      <c r="C2692" t="s">
        <v>363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540</v>
      </c>
      <c r="B2693">
        <v>2005</v>
      </c>
      <c r="C2693" t="s">
        <v>363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540</v>
      </c>
      <c r="B2694">
        <v>2004</v>
      </c>
      <c r="C2694" t="s">
        <v>363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540</v>
      </c>
      <c r="B2695">
        <v>2003</v>
      </c>
      <c r="C2695" t="s">
        <v>363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540</v>
      </c>
      <c r="B2696">
        <v>2002</v>
      </c>
      <c r="C2696" t="s">
        <v>363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540</v>
      </c>
      <c r="B2697">
        <v>2001</v>
      </c>
      <c r="C2697" t="s">
        <v>363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540</v>
      </c>
      <c r="B2698">
        <v>2000</v>
      </c>
      <c r="C2698" t="s">
        <v>363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541</v>
      </c>
      <c r="B2699">
        <v>2015</v>
      </c>
      <c r="C2699" t="s">
        <v>363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541</v>
      </c>
      <c r="B2700">
        <v>2014</v>
      </c>
      <c r="C2700" t="s">
        <v>363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541</v>
      </c>
      <c r="B2701">
        <v>2013</v>
      </c>
      <c r="C2701" t="s">
        <v>363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541</v>
      </c>
      <c r="B2702">
        <v>2012</v>
      </c>
      <c r="C2702" t="s">
        <v>363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541</v>
      </c>
      <c r="B2703">
        <v>2011</v>
      </c>
      <c r="C2703" t="s">
        <v>363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541</v>
      </c>
      <c r="B2704">
        <v>2010</v>
      </c>
      <c r="C2704" t="s">
        <v>363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541</v>
      </c>
      <c r="B2705">
        <v>2009</v>
      </c>
      <c r="C2705" t="s">
        <v>363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541</v>
      </c>
      <c r="B2706">
        <v>2008</v>
      </c>
      <c r="C2706" t="s">
        <v>363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541</v>
      </c>
      <c r="B2707">
        <v>2007</v>
      </c>
      <c r="C2707" t="s">
        <v>363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541</v>
      </c>
      <c r="B2708">
        <v>2006</v>
      </c>
      <c r="C2708" t="s">
        <v>363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541</v>
      </c>
      <c r="B2709">
        <v>2005</v>
      </c>
      <c r="C2709" t="s">
        <v>363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541</v>
      </c>
      <c r="B2710">
        <v>2004</v>
      </c>
      <c r="C2710" t="s">
        <v>363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541</v>
      </c>
      <c r="B2711">
        <v>2003</v>
      </c>
      <c r="C2711" t="s">
        <v>363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541</v>
      </c>
      <c r="B2712">
        <v>2002</v>
      </c>
      <c r="C2712" t="s">
        <v>363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541</v>
      </c>
      <c r="B2713">
        <v>2001</v>
      </c>
      <c r="C2713" t="s">
        <v>363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541</v>
      </c>
      <c r="B2714">
        <v>2000</v>
      </c>
      <c r="C2714" t="s">
        <v>363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542</v>
      </c>
      <c r="B2715">
        <v>2013</v>
      </c>
      <c r="C2715" t="s">
        <v>363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543</v>
      </c>
      <c r="B2716">
        <v>2015</v>
      </c>
      <c r="C2716" t="s">
        <v>363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543</v>
      </c>
      <c r="B2717">
        <v>2014</v>
      </c>
      <c r="C2717" t="s">
        <v>363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543</v>
      </c>
      <c r="B2718">
        <v>2013</v>
      </c>
      <c r="C2718" t="s">
        <v>363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543</v>
      </c>
      <c r="B2719">
        <v>2012</v>
      </c>
      <c r="C2719" t="s">
        <v>363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543</v>
      </c>
      <c r="B2720">
        <v>2011</v>
      </c>
      <c r="C2720" t="s">
        <v>363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543</v>
      </c>
      <c r="B2721">
        <v>2010</v>
      </c>
      <c r="C2721" t="s">
        <v>363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543</v>
      </c>
      <c r="B2722">
        <v>2009</v>
      </c>
      <c r="C2722" t="s">
        <v>363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543</v>
      </c>
      <c r="B2723">
        <v>2008</v>
      </c>
      <c r="C2723" t="s">
        <v>363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543</v>
      </c>
      <c r="B2724">
        <v>2007</v>
      </c>
      <c r="C2724" t="s">
        <v>363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543</v>
      </c>
      <c r="B2725">
        <v>2006</v>
      </c>
      <c r="C2725" t="s">
        <v>363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543</v>
      </c>
      <c r="B2726">
        <v>2005</v>
      </c>
      <c r="C2726" t="s">
        <v>363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543</v>
      </c>
      <c r="B2727">
        <v>2004</v>
      </c>
      <c r="C2727" t="s">
        <v>363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543</v>
      </c>
      <c r="B2728">
        <v>2003</v>
      </c>
      <c r="C2728" t="s">
        <v>363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543</v>
      </c>
      <c r="B2729">
        <v>2002</v>
      </c>
      <c r="C2729" t="s">
        <v>363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543</v>
      </c>
      <c r="B2730">
        <v>2001</v>
      </c>
      <c r="C2730" t="s">
        <v>363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543</v>
      </c>
      <c r="B2731">
        <v>2000</v>
      </c>
      <c r="C2731" t="s">
        <v>363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544</v>
      </c>
      <c r="B2732">
        <v>2015</v>
      </c>
      <c r="C2732" t="s">
        <v>363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544</v>
      </c>
      <c r="B2733">
        <v>2014</v>
      </c>
      <c r="C2733" t="s">
        <v>363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544</v>
      </c>
      <c r="B2734">
        <v>2013</v>
      </c>
      <c r="C2734" t="s">
        <v>363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544</v>
      </c>
      <c r="B2735">
        <v>2012</v>
      </c>
      <c r="C2735" t="s">
        <v>363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544</v>
      </c>
      <c r="B2736">
        <v>2011</v>
      </c>
      <c r="C2736" t="s">
        <v>363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544</v>
      </c>
      <c r="B2737">
        <v>2010</v>
      </c>
      <c r="C2737" t="s">
        <v>363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544</v>
      </c>
      <c r="B2738">
        <v>2009</v>
      </c>
      <c r="C2738" t="s">
        <v>363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544</v>
      </c>
      <c r="B2739">
        <v>2008</v>
      </c>
      <c r="C2739" t="s">
        <v>363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544</v>
      </c>
      <c r="B2740">
        <v>2007</v>
      </c>
      <c r="C2740" t="s">
        <v>363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544</v>
      </c>
      <c r="B2741">
        <v>2006</v>
      </c>
      <c r="C2741" t="s">
        <v>363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544</v>
      </c>
      <c r="B2742">
        <v>2005</v>
      </c>
      <c r="C2742" t="s">
        <v>363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544</v>
      </c>
      <c r="B2743">
        <v>2004</v>
      </c>
      <c r="C2743" t="s">
        <v>363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544</v>
      </c>
      <c r="B2744">
        <v>2003</v>
      </c>
      <c r="C2744" t="s">
        <v>363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544</v>
      </c>
      <c r="B2745">
        <v>2002</v>
      </c>
      <c r="C2745" t="s">
        <v>363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544</v>
      </c>
      <c r="B2746">
        <v>2001</v>
      </c>
      <c r="C2746" t="s">
        <v>363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544</v>
      </c>
      <c r="B2747">
        <v>2000</v>
      </c>
      <c r="C2747" t="s">
        <v>363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545</v>
      </c>
      <c r="B2748">
        <v>2015</v>
      </c>
      <c r="C2748" t="s">
        <v>363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545</v>
      </c>
      <c r="B2749">
        <v>2014</v>
      </c>
      <c r="C2749" t="s">
        <v>363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545</v>
      </c>
      <c r="B2750">
        <v>2013</v>
      </c>
      <c r="C2750" t="s">
        <v>363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545</v>
      </c>
      <c r="B2751">
        <v>2012</v>
      </c>
      <c r="C2751" t="s">
        <v>363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545</v>
      </c>
      <c r="B2752">
        <v>2011</v>
      </c>
      <c r="C2752" t="s">
        <v>363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545</v>
      </c>
      <c r="B2753">
        <v>2010</v>
      </c>
      <c r="C2753" t="s">
        <v>363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545</v>
      </c>
      <c r="B2754">
        <v>2009</v>
      </c>
      <c r="C2754" t="s">
        <v>363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545</v>
      </c>
      <c r="B2755">
        <v>2008</v>
      </c>
      <c r="C2755" t="s">
        <v>363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545</v>
      </c>
      <c r="B2756">
        <v>2007</v>
      </c>
      <c r="C2756" t="s">
        <v>363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545</v>
      </c>
      <c r="B2757">
        <v>2006</v>
      </c>
      <c r="C2757" t="s">
        <v>363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545</v>
      </c>
      <c r="B2758">
        <v>2005</v>
      </c>
      <c r="C2758" t="s">
        <v>363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545</v>
      </c>
      <c r="B2759">
        <v>2004</v>
      </c>
      <c r="C2759" t="s">
        <v>363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545</v>
      </c>
      <c r="B2760">
        <v>2003</v>
      </c>
      <c r="C2760" t="s">
        <v>363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545</v>
      </c>
      <c r="B2761">
        <v>2002</v>
      </c>
      <c r="C2761" t="s">
        <v>363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545</v>
      </c>
      <c r="B2762">
        <v>2001</v>
      </c>
      <c r="C2762" t="s">
        <v>363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545</v>
      </c>
      <c r="B2763">
        <v>2000</v>
      </c>
      <c r="C2763" t="s">
        <v>363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546</v>
      </c>
      <c r="B2764">
        <v>2015</v>
      </c>
      <c r="C2764" t="s">
        <v>371</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546</v>
      </c>
      <c r="B2765">
        <v>2014</v>
      </c>
      <c r="C2765" t="s">
        <v>371</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546</v>
      </c>
      <c r="B2766">
        <v>2013</v>
      </c>
      <c r="C2766" t="s">
        <v>371</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546</v>
      </c>
      <c r="B2767">
        <v>2012</v>
      </c>
      <c r="C2767" t="s">
        <v>371</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546</v>
      </c>
      <c r="B2768">
        <v>2011</v>
      </c>
      <c r="C2768" t="s">
        <v>371</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546</v>
      </c>
      <c r="B2769">
        <v>2010</v>
      </c>
      <c r="C2769" t="s">
        <v>371</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546</v>
      </c>
      <c r="B2770">
        <v>2009</v>
      </c>
      <c r="C2770" t="s">
        <v>371</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546</v>
      </c>
      <c r="B2771">
        <v>2008</v>
      </c>
      <c r="C2771" t="s">
        <v>371</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546</v>
      </c>
      <c r="B2772">
        <v>2007</v>
      </c>
      <c r="C2772" t="s">
        <v>371</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546</v>
      </c>
      <c r="B2773">
        <v>2006</v>
      </c>
      <c r="C2773" t="s">
        <v>371</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546</v>
      </c>
      <c r="B2774">
        <v>2005</v>
      </c>
      <c r="C2774" t="s">
        <v>371</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546</v>
      </c>
      <c r="B2775">
        <v>2004</v>
      </c>
      <c r="C2775" t="s">
        <v>371</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546</v>
      </c>
      <c r="B2776">
        <v>2003</v>
      </c>
      <c r="C2776" t="s">
        <v>371</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546</v>
      </c>
      <c r="B2777">
        <v>2002</v>
      </c>
      <c r="C2777" t="s">
        <v>371</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546</v>
      </c>
      <c r="B2778">
        <v>2001</v>
      </c>
      <c r="C2778" t="s">
        <v>371</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546</v>
      </c>
      <c r="B2779">
        <v>2000</v>
      </c>
      <c r="C2779" t="s">
        <v>371</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547</v>
      </c>
      <c r="B2780">
        <v>2015</v>
      </c>
      <c r="C2780" t="s">
        <v>363</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547</v>
      </c>
      <c r="B2781">
        <v>2014</v>
      </c>
      <c r="C2781" t="s">
        <v>363</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547</v>
      </c>
      <c r="B2782">
        <v>2013</v>
      </c>
      <c r="C2782" t="s">
        <v>363</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547</v>
      </c>
      <c r="B2783">
        <v>2012</v>
      </c>
      <c r="C2783" t="s">
        <v>363</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547</v>
      </c>
      <c r="B2784">
        <v>2011</v>
      </c>
      <c r="C2784" t="s">
        <v>363</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547</v>
      </c>
      <c r="B2785">
        <v>2010</v>
      </c>
      <c r="C2785" t="s">
        <v>363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547</v>
      </c>
      <c r="B2786">
        <v>2009</v>
      </c>
      <c r="C2786" t="s">
        <v>363</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547</v>
      </c>
      <c r="B2787">
        <v>2008</v>
      </c>
      <c r="C2787" t="s">
        <v>363</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547</v>
      </c>
      <c r="B2788">
        <v>2007</v>
      </c>
      <c r="C2788" t="s">
        <v>363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547</v>
      </c>
      <c r="B2789">
        <v>2006</v>
      </c>
      <c r="C2789" t="s">
        <v>363</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547</v>
      </c>
      <c r="B2790">
        <v>2005</v>
      </c>
      <c r="C2790" t="s">
        <v>363</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547</v>
      </c>
      <c r="B2791">
        <v>2004</v>
      </c>
      <c r="C2791" t="s">
        <v>363</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547</v>
      </c>
      <c r="B2792">
        <v>2003</v>
      </c>
      <c r="C2792" t="s">
        <v>363</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547</v>
      </c>
      <c r="B2793">
        <v>2002</v>
      </c>
      <c r="C2793" t="s">
        <v>363</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547</v>
      </c>
      <c r="B2794">
        <v>2001</v>
      </c>
      <c r="C2794" t="s">
        <v>363</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547</v>
      </c>
      <c r="B2795">
        <v>2000</v>
      </c>
      <c r="C2795" t="s">
        <v>363</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548</v>
      </c>
      <c r="B2796">
        <v>2015</v>
      </c>
      <c r="C2796" t="s">
        <v>371</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548</v>
      </c>
      <c r="B2797">
        <v>2014</v>
      </c>
      <c r="C2797" t="s">
        <v>371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548</v>
      </c>
      <c r="B2798">
        <v>2013</v>
      </c>
      <c r="C2798" t="s">
        <v>371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548</v>
      </c>
      <c r="B2799">
        <v>2012</v>
      </c>
      <c r="C2799" t="s">
        <v>371</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548</v>
      </c>
      <c r="B2800">
        <v>2011</v>
      </c>
      <c r="C2800" t="s">
        <v>371</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548</v>
      </c>
      <c r="B2801">
        <v>2010</v>
      </c>
      <c r="C2801" t="s">
        <v>371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548</v>
      </c>
      <c r="B2802">
        <v>2009</v>
      </c>
      <c r="C2802" t="s">
        <v>371</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548</v>
      </c>
      <c r="B2803">
        <v>2008</v>
      </c>
      <c r="C2803" t="s">
        <v>371</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548</v>
      </c>
      <c r="B2804">
        <v>2007</v>
      </c>
      <c r="C2804" t="s">
        <v>371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548</v>
      </c>
      <c r="B2805">
        <v>2006</v>
      </c>
      <c r="C2805" t="s">
        <v>371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548</v>
      </c>
      <c r="B2806">
        <v>2005</v>
      </c>
      <c r="C2806" t="s">
        <v>371</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548</v>
      </c>
      <c r="B2807">
        <v>2004</v>
      </c>
      <c r="C2807" t="s">
        <v>371</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548</v>
      </c>
      <c r="B2808">
        <v>2003</v>
      </c>
      <c r="C2808" t="s">
        <v>371</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548</v>
      </c>
      <c r="B2809">
        <v>2002</v>
      </c>
      <c r="C2809" t="s">
        <v>371</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548</v>
      </c>
      <c r="B2810">
        <v>2001</v>
      </c>
      <c r="C2810" t="s">
        <v>371</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548</v>
      </c>
      <c r="B2811">
        <v>2000</v>
      </c>
      <c r="C2811" t="s">
        <v>371</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549</v>
      </c>
      <c r="B2812">
        <v>2015</v>
      </c>
      <c r="C2812" t="s">
        <v>363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549</v>
      </c>
      <c r="B2813">
        <v>2014</v>
      </c>
      <c r="C2813" t="s">
        <v>363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549</v>
      </c>
      <c r="B2814">
        <v>2013</v>
      </c>
      <c r="C2814" t="s">
        <v>363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549</v>
      </c>
      <c r="B2815">
        <v>2012</v>
      </c>
      <c r="C2815" t="s">
        <v>363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549</v>
      </c>
      <c r="B2816">
        <v>2011</v>
      </c>
      <c r="C2816" t="s">
        <v>363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549</v>
      </c>
      <c r="B2817">
        <v>2010</v>
      </c>
      <c r="C2817" t="s">
        <v>363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549</v>
      </c>
      <c r="B2818">
        <v>2009</v>
      </c>
      <c r="C2818" t="s">
        <v>363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549</v>
      </c>
      <c r="B2819">
        <v>2008</v>
      </c>
      <c r="C2819" t="s">
        <v>363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549</v>
      </c>
      <c r="B2820">
        <v>2007</v>
      </c>
      <c r="C2820" t="s">
        <v>363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549</v>
      </c>
      <c r="B2821">
        <v>2006</v>
      </c>
      <c r="C2821" t="s">
        <v>363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549</v>
      </c>
      <c r="B2822">
        <v>2005</v>
      </c>
      <c r="C2822" t="s">
        <v>363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549</v>
      </c>
      <c r="B2823">
        <v>2004</v>
      </c>
      <c r="C2823" t="s">
        <v>363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549</v>
      </c>
      <c r="B2824">
        <v>2003</v>
      </c>
      <c r="C2824" t="s">
        <v>363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549</v>
      </c>
      <c r="B2825">
        <v>2002</v>
      </c>
      <c r="C2825" t="s">
        <v>363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549</v>
      </c>
      <c r="B2826">
        <v>2001</v>
      </c>
      <c r="C2826" t="s">
        <v>363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549</v>
      </c>
      <c r="B2827">
        <v>2000</v>
      </c>
      <c r="C2827" t="s">
        <v>363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550</v>
      </c>
      <c r="B2828">
        <v>2015</v>
      </c>
      <c r="C2828" t="s">
        <v>363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550</v>
      </c>
      <c r="B2829">
        <v>2014</v>
      </c>
      <c r="C2829" t="s">
        <v>363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550</v>
      </c>
      <c r="B2830">
        <v>2013</v>
      </c>
      <c r="C2830" t="s">
        <v>363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550</v>
      </c>
      <c r="B2831">
        <v>2012</v>
      </c>
      <c r="C2831" t="s">
        <v>363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550</v>
      </c>
      <c r="B2832">
        <v>2011</v>
      </c>
      <c r="C2832" t="s">
        <v>363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550</v>
      </c>
      <c r="B2833">
        <v>2010</v>
      </c>
      <c r="C2833" t="s">
        <v>363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550</v>
      </c>
      <c r="B2834">
        <v>2009</v>
      </c>
      <c r="C2834" t="s">
        <v>363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550</v>
      </c>
      <c r="B2835">
        <v>2008</v>
      </c>
      <c r="C2835" t="s">
        <v>363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550</v>
      </c>
      <c r="B2836">
        <v>2007</v>
      </c>
      <c r="C2836" t="s">
        <v>363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550</v>
      </c>
      <c r="B2837">
        <v>2006</v>
      </c>
      <c r="C2837" t="s">
        <v>363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550</v>
      </c>
      <c r="B2838">
        <v>2005</v>
      </c>
      <c r="C2838" t="s">
        <v>363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550</v>
      </c>
      <c r="B2839">
        <v>2004</v>
      </c>
      <c r="C2839" t="s">
        <v>363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550</v>
      </c>
      <c r="B2840">
        <v>2003</v>
      </c>
      <c r="C2840" t="s">
        <v>363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550</v>
      </c>
      <c r="B2841">
        <v>2002</v>
      </c>
      <c r="C2841" t="s">
        <v>363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550</v>
      </c>
      <c r="B2842">
        <v>2001</v>
      </c>
      <c r="C2842" t="s">
        <v>363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550</v>
      </c>
      <c r="B2843">
        <v>2000</v>
      </c>
      <c r="C2843" t="s">
        <v>363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551</v>
      </c>
      <c r="B2844">
        <v>2015</v>
      </c>
      <c r="C2844" t="s">
        <v>363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551</v>
      </c>
      <c r="B2845">
        <v>2014</v>
      </c>
      <c r="C2845" t="s">
        <v>363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551</v>
      </c>
      <c r="B2846">
        <v>2013</v>
      </c>
      <c r="C2846" t="s">
        <v>363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551</v>
      </c>
      <c r="B2847">
        <v>2012</v>
      </c>
      <c r="C2847" t="s">
        <v>363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551</v>
      </c>
      <c r="B2848">
        <v>2011</v>
      </c>
      <c r="C2848" t="s">
        <v>363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551</v>
      </c>
      <c r="B2849">
        <v>2010</v>
      </c>
      <c r="C2849" t="s">
        <v>363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551</v>
      </c>
      <c r="B2850">
        <v>2009</v>
      </c>
      <c r="C2850" t="s">
        <v>363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551</v>
      </c>
      <c r="B2851">
        <v>2008</v>
      </c>
      <c r="C2851" t="s">
        <v>363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551</v>
      </c>
      <c r="B2852">
        <v>2007</v>
      </c>
      <c r="C2852" t="s">
        <v>363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551</v>
      </c>
      <c r="B2853">
        <v>2006</v>
      </c>
      <c r="C2853" t="s">
        <v>363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551</v>
      </c>
      <c r="B2854">
        <v>2005</v>
      </c>
      <c r="C2854" t="s">
        <v>363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551</v>
      </c>
      <c r="B2855">
        <v>2004</v>
      </c>
      <c r="C2855" t="s">
        <v>363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551</v>
      </c>
      <c r="B2856">
        <v>2003</v>
      </c>
      <c r="C2856" t="s">
        <v>363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551</v>
      </c>
      <c r="B2857">
        <v>2002</v>
      </c>
      <c r="C2857" t="s">
        <v>363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551</v>
      </c>
      <c r="B2858">
        <v>2001</v>
      </c>
      <c r="C2858" t="s">
        <v>363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551</v>
      </c>
      <c r="B2859">
        <v>2000</v>
      </c>
      <c r="C2859" t="s">
        <v>363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552</v>
      </c>
      <c r="B2860">
        <v>2015</v>
      </c>
      <c r="C2860" t="s">
        <v>363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552</v>
      </c>
      <c r="B2861">
        <v>2014</v>
      </c>
      <c r="C2861" t="s">
        <v>363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552</v>
      </c>
      <c r="B2862">
        <v>2013</v>
      </c>
      <c r="C2862" t="s">
        <v>363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552</v>
      </c>
      <c r="B2863">
        <v>2012</v>
      </c>
      <c r="C2863" t="s">
        <v>363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552</v>
      </c>
      <c r="B2864">
        <v>2011</v>
      </c>
      <c r="C2864" t="s">
        <v>363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552</v>
      </c>
      <c r="B2865">
        <v>2010</v>
      </c>
      <c r="C2865" t="s">
        <v>363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552</v>
      </c>
      <c r="B2866">
        <v>2009</v>
      </c>
      <c r="C2866" t="s">
        <v>363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552</v>
      </c>
      <c r="B2867">
        <v>2008</v>
      </c>
      <c r="C2867" t="s">
        <v>363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552</v>
      </c>
      <c r="B2868">
        <v>2007</v>
      </c>
      <c r="C2868" t="s">
        <v>363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552</v>
      </c>
      <c r="B2869">
        <v>2006</v>
      </c>
      <c r="C2869" t="s">
        <v>363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552</v>
      </c>
      <c r="B2870">
        <v>2005</v>
      </c>
      <c r="C2870" t="s">
        <v>363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552</v>
      </c>
      <c r="B2871">
        <v>2004</v>
      </c>
      <c r="C2871" t="s">
        <v>363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552</v>
      </c>
      <c r="B2872">
        <v>2003</v>
      </c>
      <c r="C2872" t="s">
        <v>363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552</v>
      </c>
      <c r="B2873">
        <v>2002</v>
      </c>
      <c r="C2873" t="s">
        <v>363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552</v>
      </c>
      <c r="B2874">
        <v>2001</v>
      </c>
      <c r="C2874" t="s">
        <v>363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552</v>
      </c>
      <c r="B2875">
        <v>2000</v>
      </c>
      <c r="C2875" t="s">
        <v>363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553</v>
      </c>
      <c r="B2876">
        <v>2015</v>
      </c>
      <c r="C2876" t="s">
        <v>363</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553</v>
      </c>
      <c r="B2877">
        <v>2014</v>
      </c>
      <c r="C2877" t="s">
        <v>363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553</v>
      </c>
      <c r="B2878">
        <v>2013</v>
      </c>
      <c r="C2878" t="s">
        <v>363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553</v>
      </c>
      <c r="B2879">
        <v>2012</v>
      </c>
      <c r="C2879" t="s">
        <v>363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553</v>
      </c>
      <c r="B2880">
        <v>2011</v>
      </c>
      <c r="C2880" t="s">
        <v>363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553</v>
      </c>
      <c r="B2881">
        <v>2010</v>
      </c>
      <c r="C2881" t="s">
        <v>363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553</v>
      </c>
      <c r="B2882">
        <v>2009</v>
      </c>
      <c r="C2882" t="s">
        <v>363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553</v>
      </c>
      <c r="B2883">
        <v>2008</v>
      </c>
      <c r="C2883" t="s">
        <v>363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553</v>
      </c>
      <c r="B2884">
        <v>2007</v>
      </c>
      <c r="C2884" t="s">
        <v>363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553</v>
      </c>
      <c r="B2885">
        <v>2006</v>
      </c>
      <c r="C2885" t="s">
        <v>363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553</v>
      </c>
      <c r="B2886">
        <v>2005</v>
      </c>
      <c r="C2886" t="s">
        <v>363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553</v>
      </c>
      <c r="B2887">
        <v>2004</v>
      </c>
      <c r="C2887" t="s">
        <v>363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553</v>
      </c>
      <c r="B2888">
        <v>2003</v>
      </c>
      <c r="C2888" t="s">
        <v>363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553</v>
      </c>
      <c r="B2889">
        <v>2002</v>
      </c>
      <c r="C2889" t="s">
        <v>363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553</v>
      </c>
      <c r="B2890">
        <v>2001</v>
      </c>
      <c r="C2890" t="s">
        <v>363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553</v>
      </c>
      <c r="B2891">
        <v>2000</v>
      </c>
      <c r="C2891" t="s">
        <v>363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554</v>
      </c>
      <c r="B2892">
        <v>2015</v>
      </c>
      <c r="C2892" t="s">
        <v>363</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554</v>
      </c>
      <c r="B2893">
        <v>2014</v>
      </c>
      <c r="C2893" t="s">
        <v>363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554</v>
      </c>
      <c r="B2894">
        <v>2013</v>
      </c>
      <c r="C2894" t="s">
        <v>363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554</v>
      </c>
      <c r="B2895">
        <v>2012</v>
      </c>
      <c r="C2895" t="s">
        <v>363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554</v>
      </c>
      <c r="B2896">
        <v>2011</v>
      </c>
      <c r="C2896" t="s">
        <v>363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554</v>
      </c>
      <c r="B2897">
        <v>2010</v>
      </c>
      <c r="C2897" t="s">
        <v>363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554</v>
      </c>
      <c r="B2898">
        <v>2009</v>
      </c>
      <c r="C2898" t="s">
        <v>363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554</v>
      </c>
      <c r="B2899">
        <v>2008</v>
      </c>
      <c r="C2899" t="s">
        <v>363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554</v>
      </c>
      <c r="B2900">
        <v>2007</v>
      </c>
      <c r="C2900" t="s">
        <v>363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554</v>
      </c>
      <c r="B2901">
        <v>2006</v>
      </c>
      <c r="C2901" t="s">
        <v>363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554</v>
      </c>
      <c r="B2902">
        <v>2005</v>
      </c>
      <c r="C2902" t="s">
        <v>363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554</v>
      </c>
      <c r="B2903">
        <v>2004</v>
      </c>
      <c r="C2903" t="s">
        <v>363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554</v>
      </c>
      <c r="B2904">
        <v>2003</v>
      </c>
      <c r="C2904" t="s">
        <v>363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554</v>
      </c>
      <c r="B2905">
        <v>2002</v>
      </c>
      <c r="C2905" t="s">
        <v>363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554</v>
      </c>
      <c r="B2906">
        <v>2001</v>
      </c>
      <c r="C2906" t="s">
        <v>363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554</v>
      </c>
      <c r="B2907">
        <v>2000</v>
      </c>
      <c r="C2907" t="s">
        <v>363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555</v>
      </c>
      <c r="B2908">
        <v>2015</v>
      </c>
      <c r="C2908" t="s">
        <v>363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555</v>
      </c>
      <c r="B2909">
        <v>2014</v>
      </c>
      <c r="C2909" t="s">
        <v>363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555</v>
      </c>
      <c r="B2910">
        <v>2013</v>
      </c>
      <c r="C2910" t="s">
        <v>363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555</v>
      </c>
      <c r="B2911">
        <v>2012</v>
      </c>
      <c r="C2911" t="s">
        <v>363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555</v>
      </c>
      <c r="B2912">
        <v>2011</v>
      </c>
      <c r="C2912" t="s">
        <v>363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555</v>
      </c>
      <c r="B2913">
        <v>2010</v>
      </c>
      <c r="C2913" t="s">
        <v>363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555</v>
      </c>
      <c r="B2914">
        <v>2009</v>
      </c>
      <c r="C2914" t="s">
        <v>363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555</v>
      </c>
      <c r="B2915">
        <v>2008</v>
      </c>
      <c r="C2915" t="s">
        <v>363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555</v>
      </c>
      <c r="B2916">
        <v>2007</v>
      </c>
      <c r="C2916" t="s">
        <v>363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555</v>
      </c>
      <c r="B2917">
        <v>2006</v>
      </c>
      <c r="C2917" t="s">
        <v>363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555</v>
      </c>
      <c r="B2918">
        <v>2005</v>
      </c>
      <c r="C2918" t="s">
        <v>363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555</v>
      </c>
      <c r="B2919">
        <v>2004</v>
      </c>
      <c r="C2919" t="s">
        <v>363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555</v>
      </c>
      <c r="B2920">
        <v>2003</v>
      </c>
      <c r="C2920" t="s">
        <v>363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555</v>
      </c>
      <c r="B2921">
        <v>2002</v>
      </c>
      <c r="C2921" t="s">
        <v>363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555</v>
      </c>
      <c r="B2922">
        <v>2001</v>
      </c>
      <c r="C2922" t="s">
        <v>363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555</v>
      </c>
      <c r="B2923">
        <v>2000</v>
      </c>
      <c r="C2923" t="s">
        <v>363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556</v>
      </c>
      <c r="B2924">
        <v>2015</v>
      </c>
      <c r="C2924" t="s">
        <v>363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556</v>
      </c>
      <c r="B2925">
        <v>2014</v>
      </c>
      <c r="C2925" t="s">
        <v>363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556</v>
      </c>
      <c r="B2926">
        <v>2013</v>
      </c>
      <c r="C2926" t="s">
        <v>363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556</v>
      </c>
      <c r="B2927">
        <v>2012</v>
      </c>
      <c r="C2927" t="s">
        <v>363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556</v>
      </c>
      <c r="B2928">
        <v>2011</v>
      </c>
      <c r="C2928" t="s">
        <v>363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556</v>
      </c>
      <c r="B2929">
        <v>2010</v>
      </c>
      <c r="C2929" t="s">
        <v>363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556</v>
      </c>
      <c r="B2930">
        <v>2009</v>
      </c>
      <c r="C2930" t="s">
        <v>363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556</v>
      </c>
      <c r="B2931">
        <v>2008</v>
      </c>
      <c r="C2931" t="s">
        <v>363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556</v>
      </c>
      <c r="B2932">
        <v>2007</v>
      </c>
      <c r="C2932" t="s">
        <v>363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556</v>
      </c>
      <c r="B2933">
        <v>2006</v>
      </c>
      <c r="C2933" t="s">
        <v>363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556</v>
      </c>
      <c r="B2934">
        <v>2005</v>
      </c>
      <c r="C2934" t="s">
        <v>363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556</v>
      </c>
      <c r="B2935">
        <v>2004</v>
      </c>
      <c r="C2935" t="s">
        <v>363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556</v>
      </c>
      <c r="B2936">
        <v>2003</v>
      </c>
      <c r="C2936" t="s">
        <v>363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556</v>
      </c>
      <c r="B2937">
        <v>2002</v>
      </c>
      <c r="C2937" t="s">
        <v>363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556</v>
      </c>
      <c r="B2938">
        <v>2001</v>
      </c>
      <c r="C2938" t="s">
        <v>363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556</v>
      </c>
      <c r="B2939">
        <v>2000</v>
      </c>
      <c r="C2939" t="s">
        <v>363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041A5-6ADB-4692-B172-73FD416C5C8D}">
  <sheetPr>
    <tabColor rgb="FFD9D9D9"/>
  </sheetPr>
  <dimension ref="A1:K52"/>
  <sheetViews>
    <sheetView workbookViewId="0">
      <pane ySplit="1" topLeftCell="A2" activePane="bottomLeft" state="frozenSplit"/>
      <selection pane="bottomLeft"/>
    </sheetView>
  </sheetViews>
  <sheetFormatPr defaultRowHeight="15" x14ac:dyDescent="0.25"/>
  <cols>
    <col min="1" max="1" width="9" bestFit="1" customWidth="1"/>
    <col min="2" max="2" width="9.7109375" bestFit="1" customWidth="1"/>
    <col min="3" max="3" width="13.28515625" bestFit="1" customWidth="1"/>
    <col min="4" max="4" width="14.7109375" bestFit="1" customWidth="1"/>
    <col min="5" max="6" width="19.5703125" bestFit="1" customWidth="1"/>
    <col min="7" max="7" width="15.42578125" bestFit="1" customWidth="1"/>
    <col min="8" max="8" width="16" bestFit="1" customWidth="1"/>
    <col min="9" max="9" width="16.7109375" bestFit="1" customWidth="1"/>
    <col min="10" max="10" width="14.85546875" bestFit="1" customWidth="1"/>
    <col min="11" max="11" width="12.7109375" customWidth="1"/>
  </cols>
  <sheetData>
    <row r="1" spans="1:11" x14ac:dyDescent="0.25">
      <c r="A1" t="s">
        <v>1696</v>
      </c>
      <c r="B1" t="s">
        <v>1697</v>
      </c>
      <c r="C1" t="s">
        <v>1698</v>
      </c>
      <c r="D1" t="s">
        <v>1699</v>
      </c>
      <c r="E1" t="s">
        <v>1700</v>
      </c>
      <c r="F1" t="s">
        <v>1701</v>
      </c>
      <c r="G1" t="s">
        <v>1702</v>
      </c>
      <c r="H1" t="s">
        <v>1703</v>
      </c>
      <c r="I1" t="s">
        <v>1704</v>
      </c>
      <c r="J1" t="s">
        <v>1705</v>
      </c>
      <c r="K1" t="s">
        <v>361</v>
      </c>
    </row>
    <row r="2" spans="1:11" x14ac:dyDescent="0.25">
      <c r="A2" t="s">
        <v>1706</v>
      </c>
      <c r="B2" t="s">
        <v>1707</v>
      </c>
      <c r="C2">
        <v>1998</v>
      </c>
      <c r="D2">
        <v>14</v>
      </c>
      <c r="E2">
        <v>14</v>
      </c>
      <c r="F2">
        <v>7.8</v>
      </c>
      <c r="G2">
        <v>181512</v>
      </c>
      <c r="H2">
        <v>2.6390573296152584</v>
      </c>
      <c r="I2">
        <v>2.0541237336955462</v>
      </c>
      <c r="J2">
        <v>12.109077046203975</v>
      </c>
      <c r="K2" t="b">
        <f>Data_Completeness(ProductionLotsData[[#This Row],[Fiscal_Year]:[log Unit Cost]])</f>
        <v>1</v>
      </c>
    </row>
    <row r="3" spans="1:11" x14ac:dyDescent="0.25">
      <c r="A3" t="s">
        <v>1708</v>
      </c>
      <c r="B3" t="s">
        <v>1707</v>
      </c>
      <c r="C3">
        <v>1999</v>
      </c>
      <c r="D3">
        <v>20</v>
      </c>
      <c r="E3">
        <v>34</v>
      </c>
      <c r="F3">
        <v>22.6</v>
      </c>
      <c r="G3">
        <v>128514</v>
      </c>
      <c r="H3">
        <v>3.5263605246161616</v>
      </c>
      <c r="I3">
        <v>3.1179499062782403</v>
      </c>
      <c r="J3">
        <v>11.763793126799197</v>
      </c>
      <c r="K3" t="b">
        <f>Data_Completeness(ProductionLotsData[[#This Row],[Fiscal_Year]:[log Unit Cost]])</f>
        <v>1</v>
      </c>
    </row>
    <row r="4" spans="1:11" x14ac:dyDescent="0.25">
      <c r="A4" t="s">
        <v>1709</v>
      </c>
      <c r="B4" t="s">
        <v>1707</v>
      </c>
      <c r="C4">
        <v>2000</v>
      </c>
      <c r="D4">
        <v>20</v>
      </c>
      <c r="E4">
        <v>54</v>
      </c>
      <c r="F4">
        <v>37.700000000000003</v>
      </c>
      <c r="G4">
        <v>129653</v>
      </c>
      <c r="H4">
        <v>3.9889840465642745</v>
      </c>
      <c r="I4">
        <v>3.629660094453965</v>
      </c>
      <c r="J4">
        <v>11.772616929920082</v>
      </c>
      <c r="K4" t="b">
        <f>Data_Completeness(ProductionLotsData[[#This Row],[Fiscal_Year]:[log Unit Cost]])</f>
        <v>1</v>
      </c>
    </row>
    <row r="5" spans="1:11" x14ac:dyDescent="0.25">
      <c r="A5" t="s">
        <v>1710</v>
      </c>
      <c r="B5" t="s">
        <v>1707</v>
      </c>
      <c r="C5">
        <v>2001</v>
      </c>
      <c r="D5">
        <v>11</v>
      </c>
      <c r="E5">
        <v>65</v>
      </c>
      <c r="F5">
        <v>46.1</v>
      </c>
      <c r="G5">
        <v>119532</v>
      </c>
      <c r="H5">
        <v>4.1743872698956368</v>
      </c>
      <c r="I5">
        <v>3.8308129500026027</v>
      </c>
      <c r="J5">
        <v>11.691339396933166</v>
      </c>
      <c r="K5" t="b">
        <f>Data_Completeness(ProductionLotsData[[#This Row],[Fiscal_Year]:[log Unit Cost]])</f>
        <v>1</v>
      </c>
    </row>
    <row r="6" spans="1:11" x14ac:dyDescent="0.25">
      <c r="A6" t="s">
        <v>1711</v>
      </c>
      <c r="B6" t="s">
        <v>1707</v>
      </c>
      <c r="C6">
        <v>2002</v>
      </c>
      <c r="D6">
        <v>17</v>
      </c>
      <c r="E6">
        <v>82</v>
      </c>
      <c r="F6">
        <v>52.3</v>
      </c>
      <c r="G6">
        <v>111349</v>
      </c>
      <c r="H6">
        <v>4.4067192472642533</v>
      </c>
      <c r="I6">
        <v>3.9569963710708773</v>
      </c>
      <c r="J6">
        <v>11.620424691953675</v>
      </c>
      <c r="K6" t="b">
        <f>Data_Completeness(ProductionLotsData[[#This Row],[Fiscal_Year]:[log Unit Cost]])</f>
        <v>1</v>
      </c>
    </row>
    <row r="7" spans="1:11" x14ac:dyDescent="0.25">
      <c r="A7" t="s">
        <v>1712</v>
      </c>
      <c r="B7" t="s">
        <v>1707</v>
      </c>
      <c r="C7">
        <v>2003</v>
      </c>
      <c r="D7">
        <v>15</v>
      </c>
      <c r="E7">
        <v>97</v>
      </c>
      <c r="F7">
        <v>59.2</v>
      </c>
      <c r="G7">
        <v>112030</v>
      </c>
      <c r="H7">
        <v>4.5747109785033828</v>
      </c>
      <c r="I7">
        <v>4.0809215418899605</v>
      </c>
      <c r="J7">
        <v>11.626521971552769</v>
      </c>
      <c r="K7" t="b">
        <f>Data_Completeness(ProductionLotsData[[#This Row],[Fiscal_Year]:[log Unit Cost]])</f>
        <v>1</v>
      </c>
    </row>
    <row r="8" spans="1:11" x14ac:dyDescent="0.25">
      <c r="A8" t="s">
        <v>1713</v>
      </c>
      <c r="B8" t="s">
        <v>1707</v>
      </c>
      <c r="C8">
        <v>2012</v>
      </c>
      <c r="D8">
        <v>9</v>
      </c>
      <c r="E8">
        <v>106</v>
      </c>
      <c r="F8">
        <v>20</v>
      </c>
      <c r="G8">
        <v>147393</v>
      </c>
      <c r="H8">
        <v>4.6634390941120669</v>
      </c>
      <c r="I8">
        <v>2.9957322735539909</v>
      </c>
      <c r="J8">
        <v>11.900857767786087</v>
      </c>
      <c r="K8" t="b">
        <f>Data_Completeness(ProductionLotsData[[#This Row],[Fiscal_Year]:[log Unit Cost]])</f>
        <v>1</v>
      </c>
    </row>
    <row r="9" spans="1:11" x14ac:dyDescent="0.25">
      <c r="A9" t="s">
        <v>1714</v>
      </c>
      <c r="B9" t="s">
        <v>1707</v>
      </c>
      <c r="C9">
        <v>2013</v>
      </c>
      <c r="D9">
        <v>20</v>
      </c>
      <c r="E9">
        <v>126</v>
      </c>
      <c r="F9">
        <v>30.8</v>
      </c>
      <c r="G9">
        <v>135356</v>
      </c>
      <c r="H9">
        <v>4.836281906951478</v>
      </c>
      <c r="I9">
        <v>3.427514689979529</v>
      </c>
      <c r="J9">
        <v>11.815663623575993</v>
      </c>
      <c r="K9" t="b">
        <f>Data_Completeness(ProductionLotsData[[#This Row],[Fiscal_Year]:[log Unit Cost]])</f>
        <v>1</v>
      </c>
    </row>
    <row r="10" spans="1:11" x14ac:dyDescent="0.25">
      <c r="A10" t="s">
        <v>1715</v>
      </c>
      <c r="B10" t="s">
        <v>1707</v>
      </c>
      <c r="C10">
        <v>2014</v>
      </c>
      <c r="D10">
        <v>13</v>
      </c>
      <c r="E10">
        <v>139</v>
      </c>
      <c r="F10">
        <v>41.2</v>
      </c>
      <c r="G10">
        <v>126320</v>
      </c>
      <c r="H10">
        <v>4.9344739331306915</v>
      </c>
      <c r="I10">
        <v>3.7184382563554808</v>
      </c>
      <c r="J10">
        <v>11.746573648929523</v>
      </c>
      <c r="K10" t="b">
        <f>Data_Completeness(ProductionLotsData[[#This Row],[Fiscal_Year]:[log Unit Cost]])</f>
        <v>1</v>
      </c>
    </row>
    <row r="11" spans="1:11" x14ac:dyDescent="0.25">
      <c r="A11" t="s">
        <v>1716</v>
      </c>
      <c r="B11" t="s">
        <v>1707</v>
      </c>
      <c r="C11">
        <v>2015</v>
      </c>
      <c r="D11">
        <v>21</v>
      </c>
      <c r="E11">
        <v>160</v>
      </c>
      <c r="F11">
        <v>51</v>
      </c>
      <c r="G11">
        <v>125929</v>
      </c>
      <c r="H11">
        <v>5.0751738152338266</v>
      </c>
      <c r="I11">
        <v>3.9318256327243257</v>
      </c>
      <c r="J11">
        <v>11.743473535048805</v>
      </c>
      <c r="K11" t="b">
        <f>Data_Completeness(ProductionLotsData[[#This Row],[Fiscal_Year]:[log Unit Cost]])</f>
        <v>1</v>
      </c>
    </row>
    <row r="12" spans="1:11" x14ac:dyDescent="0.25">
      <c r="A12" t="s">
        <v>1717</v>
      </c>
      <c r="B12" t="s">
        <v>1707</v>
      </c>
      <c r="C12">
        <v>2016</v>
      </c>
      <c r="D12">
        <v>23</v>
      </c>
      <c r="E12">
        <v>183</v>
      </c>
      <c r="F12">
        <v>63.8</v>
      </c>
      <c r="G12">
        <v>111123</v>
      </c>
      <c r="H12">
        <v>5.2094861528414214</v>
      </c>
      <c r="I12">
        <v>4.1557531903507439</v>
      </c>
      <c r="J12">
        <v>11.618392974903964</v>
      </c>
      <c r="K12" t="b">
        <f>Data_Completeness(ProductionLotsData[[#This Row],[Fiscal_Year]:[log Unit Cost]])</f>
        <v>1</v>
      </c>
    </row>
    <row r="13" spans="1:11" x14ac:dyDescent="0.25">
      <c r="A13" t="s">
        <v>1718</v>
      </c>
      <c r="B13" t="s">
        <v>1707</v>
      </c>
      <c r="C13">
        <v>2017</v>
      </c>
      <c r="D13">
        <v>8</v>
      </c>
      <c r="E13">
        <v>191</v>
      </c>
      <c r="F13">
        <v>68</v>
      </c>
      <c r="G13">
        <v>113720</v>
      </c>
      <c r="H13">
        <v>5.2522734280466299</v>
      </c>
      <c r="I13">
        <v>4.219507705176107</v>
      </c>
      <c r="J13">
        <v>11.641494565764937</v>
      </c>
      <c r="K13" t="b">
        <f>Data_Completeness(ProductionLotsData[[#This Row],[Fiscal_Year]:[log Unit Cost]])</f>
        <v>1</v>
      </c>
    </row>
    <row r="14" spans="1:11" x14ac:dyDescent="0.25">
      <c r="A14" t="s">
        <v>1719</v>
      </c>
      <c r="B14" t="s">
        <v>1707</v>
      </c>
      <c r="C14">
        <v>2018</v>
      </c>
      <c r="D14">
        <v>21</v>
      </c>
      <c r="E14">
        <v>212</v>
      </c>
      <c r="F14">
        <v>71.7</v>
      </c>
      <c r="G14">
        <v>104656</v>
      </c>
      <c r="H14">
        <v>5.3565862746720123</v>
      </c>
      <c r="I14">
        <v>4.2724907476055751</v>
      </c>
      <c r="J14">
        <v>11.558434060200995</v>
      </c>
      <c r="K14" t="b">
        <f>Data_Completeness(ProductionLotsData[[#This Row],[Fiscal_Year]:[log Unit Cost]])</f>
        <v>1</v>
      </c>
    </row>
    <row r="15" spans="1:11" x14ac:dyDescent="0.25">
      <c r="A15" t="s">
        <v>1720</v>
      </c>
      <c r="B15" t="s">
        <v>1707</v>
      </c>
      <c r="C15">
        <v>2019</v>
      </c>
      <c r="D15">
        <v>11</v>
      </c>
      <c r="E15">
        <v>223</v>
      </c>
      <c r="F15">
        <v>75.400000000000006</v>
      </c>
      <c r="G15">
        <v>99820</v>
      </c>
      <c r="H15">
        <v>5.4071717714601188</v>
      </c>
      <c r="I15">
        <v>4.3228072750139104</v>
      </c>
      <c r="J15">
        <v>11.511123843023601</v>
      </c>
      <c r="K15" t="b">
        <f>Data_Completeness(ProductionLotsData[[#This Row],[Fiscal_Year]:[log Unit Cost]])</f>
        <v>1</v>
      </c>
    </row>
    <row r="16" spans="1:11" x14ac:dyDescent="0.25">
      <c r="A16" t="s">
        <v>1721</v>
      </c>
      <c r="B16" t="s">
        <v>1707</v>
      </c>
      <c r="C16">
        <v>2020</v>
      </c>
      <c r="D16">
        <v>11</v>
      </c>
      <c r="E16">
        <v>234</v>
      </c>
      <c r="F16">
        <v>74.2</v>
      </c>
      <c r="G16">
        <v>103753</v>
      </c>
      <c r="H16">
        <v>5.4553211153577017</v>
      </c>
      <c r="I16">
        <v>4.3067641501733345</v>
      </c>
      <c r="J16">
        <v>11.549768353337546</v>
      </c>
      <c r="K16" t="b">
        <f>Data_Completeness(ProductionLotsData[[#This Row],[Fiscal_Year]:[log Unit Cost]])</f>
        <v>1</v>
      </c>
    </row>
    <row r="17" spans="1:11" x14ac:dyDescent="0.25">
      <c r="A17" t="s">
        <v>1722</v>
      </c>
      <c r="B17" t="s">
        <v>1707</v>
      </c>
      <c r="C17">
        <v>2021</v>
      </c>
      <c r="D17">
        <v>11</v>
      </c>
      <c r="E17">
        <v>245</v>
      </c>
      <c r="F17">
        <v>73.3</v>
      </c>
      <c r="G17">
        <v>105240</v>
      </c>
      <c r="H17">
        <v>5.5012582105447274</v>
      </c>
      <c r="I17">
        <v>4.2945606088926054</v>
      </c>
      <c r="J17">
        <v>11.563998735154229</v>
      </c>
      <c r="K17" t="b">
        <f>Data_Completeness(ProductionLotsData[[#This Row],[Fiscal_Year]:[log Unit Cost]])</f>
        <v>1</v>
      </c>
    </row>
    <row r="18" spans="1:11" x14ac:dyDescent="0.25">
      <c r="A18" t="s">
        <v>1723</v>
      </c>
      <c r="B18" t="s">
        <v>1707</v>
      </c>
      <c r="C18">
        <v>2022</v>
      </c>
      <c r="D18">
        <v>9</v>
      </c>
      <c r="E18">
        <v>254</v>
      </c>
      <c r="F18">
        <v>71.5</v>
      </c>
      <c r="G18">
        <v>105643</v>
      </c>
      <c r="H18">
        <v>5.5373342670185366</v>
      </c>
      <c r="I18">
        <v>4.2696974496999616</v>
      </c>
      <c r="J18">
        <v>11.567820764341809</v>
      </c>
      <c r="K18" t="b">
        <f>Data_Completeness(ProductionLotsData[[#This Row],[Fiscal_Year]:[log Unit Cost]])</f>
        <v>1</v>
      </c>
    </row>
    <row r="19" spans="1:11" x14ac:dyDescent="0.25">
      <c r="A19" t="s">
        <v>1724</v>
      </c>
      <c r="B19" t="s">
        <v>1707</v>
      </c>
      <c r="C19">
        <v>2023</v>
      </c>
      <c r="D19">
        <v>22</v>
      </c>
      <c r="E19">
        <v>276</v>
      </c>
      <c r="F19">
        <v>75.599999999999994</v>
      </c>
      <c r="G19">
        <v>109864</v>
      </c>
      <c r="H19">
        <v>5.6204008657171496</v>
      </c>
      <c r="I19">
        <v>4.3254562831854875</v>
      </c>
      <c r="J19">
        <v>11.606998516210117</v>
      </c>
      <c r="K19" t="b">
        <f>Data_Completeness(ProductionLotsData[[#This Row],[Fiscal_Year]:[log Unit Cost]])</f>
        <v>1</v>
      </c>
    </row>
    <row r="20" spans="1:11" x14ac:dyDescent="0.25">
      <c r="A20" t="s">
        <v>1725</v>
      </c>
      <c r="B20" t="s">
        <v>1726</v>
      </c>
      <c r="C20">
        <v>2001</v>
      </c>
      <c r="D20">
        <v>17</v>
      </c>
      <c r="E20">
        <v>17</v>
      </c>
      <c r="F20">
        <v>9.3000000000000007</v>
      </c>
      <c r="G20">
        <v>192948</v>
      </c>
      <c r="H20">
        <v>2.8332133440562162</v>
      </c>
      <c r="I20">
        <v>2.2300144001592104</v>
      </c>
      <c r="J20">
        <v>12.170176001532411</v>
      </c>
      <c r="K20" t="b">
        <f>Data_Completeness(ProductionLotsData[[#This Row],[Fiscal_Year]:[log Unit Cost]])</f>
        <v>1</v>
      </c>
    </row>
    <row r="21" spans="1:11" x14ac:dyDescent="0.25">
      <c r="A21" t="s">
        <v>1727</v>
      </c>
      <c r="B21" t="s">
        <v>1726</v>
      </c>
      <c r="C21">
        <v>2002</v>
      </c>
      <c r="D21">
        <v>20</v>
      </c>
      <c r="E21">
        <v>37</v>
      </c>
      <c r="F21">
        <v>25.2</v>
      </c>
      <c r="G21">
        <v>165341</v>
      </c>
      <c r="H21">
        <v>3.6109179126442243</v>
      </c>
      <c r="I21">
        <v>3.2268439945173775</v>
      </c>
      <c r="J21">
        <v>12.015765286931597</v>
      </c>
      <c r="K21" t="b">
        <f>Data_Completeness(ProductionLotsData[[#This Row],[Fiscal_Year]:[log Unit Cost]])</f>
        <v>1</v>
      </c>
    </row>
    <row r="22" spans="1:11" x14ac:dyDescent="0.25">
      <c r="A22" t="s">
        <v>1728</v>
      </c>
      <c r="B22" t="s">
        <v>1726</v>
      </c>
      <c r="C22">
        <v>2003</v>
      </c>
      <c r="D22">
        <v>9</v>
      </c>
      <c r="E22">
        <v>46</v>
      </c>
      <c r="F22">
        <v>34.4</v>
      </c>
      <c r="G22">
        <v>165018</v>
      </c>
      <c r="H22">
        <v>3.8286413964890951</v>
      </c>
      <c r="I22">
        <v>3.5380565643793527</v>
      </c>
      <c r="J22">
        <v>12.013809837841828</v>
      </c>
      <c r="K22" t="b">
        <f>Data_Completeness(ProductionLotsData[[#This Row],[Fiscal_Year]:[log Unit Cost]])</f>
        <v>1</v>
      </c>
    </row>
    <row r="23" spans="1:11" x14ac:dyDescent="0.25">
      <c r="A23" t="s">
        <v>1729</v>
      </c>
      <c r="B23" t="s">
        <v>1726</v>
      </c>
      <c r="C23">
        <v>2004</v>
      </c>
      <c r="D23">
        <v>18</v>
      </c>
      <c r="E23">
        <v>64</v>
      </c>
      <c r="F23">
        <v>42.1</v>
      </c>
      <c r="G23">
        <v>151613</v>
      </c>
      <c r="H23">
        <v>4.1588830833596715</v>
      </c>
      <c r="I23">
        <v>3.7400477406883357</v>
      </c>
      <c r="J23">
        <v>11.92908650049281</v>
      </c>
      <c r="K23" t="b">
        <f>Data_Completeness(ProductionLotsData[[#This Row],[Fiscal_Year]:[log Unit Cost]])</f>
        <v>1</v>
      </c>
    </row>
    <row r="24" spans="1:11" x14ac:dyDescent="0.25">
      <c r="A24" t="s">
        <v>1730</v>
      </c>
      <c r="B24" t="s">
        <v>1726</v>
      </c>
      <c r="C24">
        <v>2005</v>
      </c>
      <c r="D24">
        <v>17</v>
      </c>
      <c r="E24">
        <v>81</v>
      </c>
      <c r="F24">
        <v>51.9</v>
      </c>
      <c r="G24">
        <v>135420</v>
      </c>
      <c r="H24">
        <v>4.3944491546724391</v>
      </c>
      <c r="I24">
        <v>3.949318790171843</v>
      </c>
      <c r="J24">
        <v>11.816136339039636</v>
      </c>
      <c r="K24" t="b">
        <f>Data_Completeness(ProductionLotsData[[#This Row],[Fiscal_Year]:[log Unit Cost]])</f>
        <v>1</v>
      </c>
    </row>
    <row r="25" spans="1:11" x14ac:dyDescent="0.25">
      <c r="A25" t="s">
        <v>1731</v>
      </c>
      <c r="B25" t="s">
        <v>1726</v>
      </c>
      <c r="C25">
        <v>2006</v>
      </c>
      <c r="D25">
        <v>22</v>
      </c>
      <c r="E25">
        <v>103</v>
      </c>
      <c r="F25">
        <v>62.3</v>
      </c>
      <c r="G25">
        <v>142299</v>
      </c>
      <c r="H25">
        <v>4.6347289882296359</v>
      </c>
      <c r="I25">
        <v>4.1319614257934072</v>
      </c>
      <c r="J25">
        <v>11.865685756646364</v>
      </c>
      <c r="K25" t="b">
        <f>Data_Completeness(ProductionLotsData[[#This Row],[Fiscal_Year]:[log Unit Cost]])</f>
        <v>1</v>
      </c>
    </row>
    <row r="26" spans="1:11" x14ac:dyDescent="0.25">
      <c r="A26" t="s">
        <v>1732</v>
      </c>
      <c r="B26" t="s">
        <v>1726</v>
      </c>
      <c r="C26">
        <v>2007</v>
      </c>
      <c r="D26">
        <v>19</v>
      </c>
      <c r="E26">
        <v>122</v>
      </c>
      <c r="F26">
        <v>71.8</v>
      </c>
      <c r="G26">
        <v>136703</v>
      </c>
      <c r="H26">
        <v>4.8040210447332568</v>
      </c>
      <c r="I26">
        <v>4.2738844760541781</v>
      </c>
      <c r="J26">
        <v>11.825565968338095</v>
      </c>
      <c r="K26" t="b">
        <f>Data_Completeness(ProductionLotsData[[#This Row],[Fiscal_Year]:[log Unit Cost]])</f>
        <v>1</v>
      </c>
    </row>
    <row r="27" spans="1:11" x14ac:dyDescent="0.25">
      <c r="A27" t="s">
        <v>1733</v>
      </c>
      <c r="B27" t="s">
        <v>1726</v>
      </c>
      <c r="C27">
        <v>2008</v>
      </c>
      <c r="D27">
        <v>11</v>
      </c>
      <c r="E27">
        <v>133</v>
      </c>
      <c r="F27">
        <v>74.599999999999994</v>
      </c>
      <c r="G27">
        <v>124693</v>
      </c>
      <c r="H27">
        <v>4.8903491282217537</v>
      </c>
      <c r="I27">
        <v>4.3121405072097154</v>
      </c>
      <c r="J27">
        <v>11.733609995369179</v>
      </c>
      <c r="K27" t="b">
        <f>Data_Completeness(ProductionLotsData[[#This Row],[Fiscal_Year]:[log Unit Cost]])</f>
        <v>1</v>
      </c>
    </row>
    <row r="28" spans="1:11" x14ac:dyDescent="0.25">
      <c r="A28" t="s">
        <v>1734</v>
      </c>
      <c r="B28" t="s">
        <v>1726</v>
      </c>
      <c r="C28">
        <v>2009</v>
      </c>
      <c r="D28">
        <v>21</v>
      </c>
      <c r="E28">
        <v>154</v>
      </c>
      <c r="F28">
        <v>78.599999999999994</v>
      </c>
      <c r="G28">
        <v>135954</v>
      </c>
      <c r="H28">
        <v>5.0369526024136295</v>
      </c>
      <c r="I28">
        <v>4.3643716994351607</v>
      </c>
      <c r="J28">
        <v>11.820071872209613</v>
      </c>
      <c r="K28" t="b">
        <f>Data_Completeness(ProductionLotsData[[#This Row],[Fiscal_Year]:[log Unit Cost]])</f>
        <v>1</v>
      </c>
    </row>
    <row r="29" spans="1:11" x14ac:dyDescent="0.25">
      <c r="A29" t="s">
        <v>1735</v>
      </c>
      <c r="B29" t="s">
        <v>1726</v>
      </c>
      <c r="C29">
        <v>2010</v>
      </c>
      <c r="D29">
        <v>19</v>
      </c>
      <c r="E29">
        <v>173</v>
      </c>
      <c r="F29">
        <v>85.3</v>
      </c>
      <c r="G29">
        <v>115946</v>
      </c>
      <c r="H29">
        <v>5.1532915944977793</v>
      </c>
      <c r="I29">
        <v>4.4461744544976334</v>
      </c>
      <c r="J29">
        <v>11.660879844460332</v>
      </c>
      <c r="K29" t="b">
        <f>Data_Completeness(ProductionLotsData[[#This Row],[Fiscal_Year]:[log Unit Cost]])</f>
        <v>1</v>
      </c>
    </row>
    <row r="30" spans="1:11" x14ac:dyDescent="0.25">
      <c r="A30" t="s">
        <v>1736</v>
      </c>
      <c r="B30" t="s">
        <v>1726</v>
      </c>
      <c r="C30">
        <v>2011</v>
      </c>
      <c r="D30">
        <v>11</v>
      </c>
      <c r="E30">
        <v>184</v>
      </c>
      <c r="F30">
        <v>86</v>
      </c>
      <c r="G30">
        <v>117838</v>
      </c>
      <c r="H30">
        <v>5.2149357576089859</v>
      </c>
      <c r="I30">
        <v>4.4543472962535073</v>
      </c>
      <c r="J30">
        <v>11.677066078826835</v>
      </c>
      <c r="K30" t="b">
        <f>Data_Completeness(ProductionLotsData[[#This Row],[Fiscal_Year]:[log Unit Cost]])</f>
        <v>1</v>
      </c>
    </row>
    <row r="31" spans="1:11" x14ac:dyDescent="0.25">
      <c r="A31" t="s">
        <v>1737</v>
      </c>
      <c r="B31" t="s">
        <v>1726</v>
      </c>
      <c r="C31">
        <v>2012</v>
      </c>
      <c r="D31">
        <v>22</v>
      </c>
      <c r="E31">
        <v>206</v>
      </c>
      <c r="F31">
        <v>88.8</v>
      </c>
      <c r="G31">
        <v>128077</v>
      </c>
      <c r="H31">
        <v>5.3278761687895813</v>
      </c>
      <c r="I31">
        <v>4.4863866499981242</v>
      </c>
      <c r="J31">
        <v>11.760386924535565</v>
      </c>
      <c r="K31" t="b">
        <f>Data_Completeness(ProductionLotsData[[#This Row],[Fiscal_Year]:[log Unit Cost]])</f>
        <v>1</v>
      </c>
    </row>
    <row r="32" spans="1:11" x14ac:dyDescent="0.25">
      <c r="A32" t="s">
        <v>1738</v>
      </c>
      <c r="B32" t="s">
        <v>1726</v>
      </c>
      <c r="C32">
        <v>2013</v>
      </c>
      <c r="D32">
        <v>12</v>
      </c>
      <c r="E32">
        <v>218</v>
      </c>
      <c r="F32">
        <v>90.8</v>
      </c>
      <c r="G32">
        <v>127702</v>
      </c>
      <c r="H32">
        <v>5.3844950627890888</v>
      </c>
      <c r="I32">
        <v>4.5086592856072478</v>
      </c>
      <c r="J32">
        <v>11.757454703605113</v>
      </c>
      <c r="K32" t="b">
        <f>Data_Completeness(ProductionLotsData[[#This Row],[Fiscal_Year]:[log Unit Cost]])</f>
        <v>1</v>
      </c>
    </row>
    <row r="33" spans="1:11" x14ac:dyDescent="0.25">
      <c r="A33" t="s">
        <v>1739</v>
      </c>
      <c r="B33" t="s">
        <v>1726</v>
      </c>
      <c r="C33">
        <v>2014</v>
      </c>
      <c r="D33">
        <v>16</v>
      </c>
      <c r="E33">
        <v>234</v>
      </c>
      <c r="F33">
        <v>90.3</v>
      </c>
      <c r="G33">
        <v>127280</v>
      </c>
      <c r="H33">
        <v>5.4553211153577017</v>
      </c>
      <c r="I33">
        <v>4.5031374604229395</v>
      </c>
      <c r="J33">
        <v>11.754144663011669</v>
      </c>
      <c r="K33" t="b">
        <f>Data_Completeness(ProductionLotsData[[#This Row],[Fiscal_Year]:[log Unit Cost]])</f>
        <v>1</v>
      </c>
    </row>
    <row r="34" spans="1:11" x14ac:dyDescent="0.25">
      <c r="A34" t="s">
        <v>1740</v>
      </c>
      <c r="B34" t="s">
        <v>1726</v>
      </c>
      <c r="C34">
        <v>2015</v>
      </c>
      <c r="D34">
        <v>19</v>
      </c>
      <c r="E34">
        <v>253</v>
      </c>
      <c r="F34">
        <v>93.1</v>
      </c>
      <c r="G34">
        <v>125676</v>
      </c>
      <c r="H34">
        <v>5.5333894887275203</v>
      </c>
      <c r="I34">
        <v>4.5336741842830213</v>
      </c>
      <c r="J34">
        <v>11.741462445561146</v>
      </c>
      <c r="K34" t="b">
        <f>Data_Completeness(ProductionLotsData[[#This Row],[Fiscal_Year]:[log Unit Cost]])</f>
        <v>1</v>
      </c>
    </row>
    <row r="35" spans="1:11" x14ac:dyDescent="0.25">
      <c r="A35" t="s">
        <v>1741</v>
      </c>
      <c r="B35" t="s">
        <v>1726</v>
      </c>
      <c r="C35">
        <v>2016</v>
      </c>
      <c r="D35">
        <v>14</v>
      </c>
      <c r="E35">
        <v>267</v>
      </c>
      <c r="F35">
        <v>94.2</v>
      </c>
      <c r="G35">
        <v>123160</v>
      </c>
      <c r="H35">
        <v>5.5872486584002496</v>
      </c>
      <c r="I35">
        <v>4.5454201815823172</v>
      </c>
      <c r="J35">
        <v>11.721239602038438</v>
      </c>
      <c r="K35" t="b">
        <f>Data_Completeness(ProductionLotsData[[#This Row],[Fiscal_Year]:[log Unit Cost]])</f>
        <v>1</v>
      </c>
    </row>
    <row r="36" spans="1:11" x14ac:dyDescent="0.25">
      <c r="A36" t="s">
        <v>1742</v>
      </c>
      <c r="B36" t="s">
        <v>1726</v>
      </c>
      <c r="C36">
        <v>2017</v>
      </c>
      <c r="D36">
        <v>10</v>
      </c>
      <c r="E36">
        <v>277</v>
      </c>
      <c r="F36">
        <v>91</v>
      </c>
      <c r="G36">
        <v>117143</v>
      </c>
      <c r="H36">
        <v>5.6240175061873385</v>
      </c>
      <c r="I36">
        <v>4.5108595065168497</v>
      </c>
      <c r="J36">
        <v>11.671150689696574</v>
      </c>
      <c r="K36" t="b">
        <f>Data_Completeness(ProductionLotsData[[#This Row],[Fiscal_Year]:[log Unit Cost]])</f>
        <v>1</v>
      </c>
    </row>
    <row r="37" spans="1:11" x14ac:dyDescent="0.25">
      <c r="A37" t="s">
        <v>1743</v>
      </c>
      <c r="B37" t="s">
        <v>1726</v>
      </c>
      <c r="C37">
        <v>2018</v>
      </c>
      <c r="D37">
        <v>21</v>
      </c>
      <c r="E37">
        <v>298</v>
      </c>
      <c r="F37">
        <v>92.1</v>
      </c>
      <c r="G37">
        <v>126852</v>
      </c>
      <c r="H37">
        <v>5.6970934865054046</v>
      </c>
      <c r="I37">
        <v>4.5228749432612609</v>
      </c>
      <c r="J37">
        <v>11.750776331556663</v>
      </c>
      <c r="K37" t="b">
        <f>Data_Completeness(ProductionLotsData[[#This Row],[Fiscal_Year]:[log Unit Cost]])</f>
        <v>1</v>
      </c>
    </row>
    <row r="38" spans="1:11" x14ac:dyDescent="0.25">
      <c r="A38" t="s">
        <v>1744</v>
      </c>
      <c r="B38" t="s">
        <v>1726</v>
      </c>
      <c r="C38">
        <v>2019</v>
      </c>
      <c r="D38">
        <v>20</v>
      </c>
      <c r="E38">
        <v>318</v>
      </c>
      <c r="F38">
        <v>97.2</v>
      </c>
      <c r="G38">
        <v>124251</v>
      </c>
      <c r="H38">
        <v>5.7620513827801769</v>
      </c>
      <c r="I38">
        <v>4.5767707114663931</v>
      </c>
      <c r="J38">
        <v>11.730058992216227</v>
      </c>
      <c r="K38" t="b">
        <f>Data_Completeness(ProductionLotsData[[#This Row],[Fiscal_Year]:[log Unit Cost]])</f>
        <v>1</v>
      </c>
    </row>
    <row r="39" spans="1:11" x14ac:dyDescent="0.25">
      <c r="A39" t="s">
        <v>1745</v>
      </c>
      <c r="B39" t="s">
        <v>1726</v>
      </c>
      <c r="C39">
        <v>2020</v>
      </c>
      <c r="D39">
        <v>13</v>
      </c>
      <c r="E39">
        <v>331</v>
      </c>
      <c r="F39">
        <v>97.6</v>
      </c>
      <c r="G39">
        <v>111098</v>
      </c>
      <c r="H39">
        <v>5.8021183753770629</v>
      </c>
      <c r="I39">
        <v>4.580877493419047</v>
      </c>
      <c r="J39">
        <v>11.618167973665507</v>
      </c>
      <c r="K39" t="b">
        <f>Data_Completeness(ProductionLotsData[[#This Row],[Fiscal_Year]:[log Unit Cost]])</f>
        <v>1</v>
      </c>
    </row>
    <row r="40" spans="1:11" x14ac:dyDescent="0.25">
      <c r="A40" t="s">
        <v>1746</v>
      </c>
      <c r="B40" t="s">
        <v>1747</v>
      </c>
      <c r="C40">
        <v>2005</v>
      </c>
      <c r="D40">
        <v>22</v>
      </c>
      <c r="E40">
        <v>22</v>
      </c>
      <c r="F40">
        <v>11.8</v>
      </c>
      <c r="G40">
        <v>155282</v>
      </c>
      <c r="H40">
        <v>3.0910424533583161</v>
      </c>
      <c r="I40">
        <v>2.4680995314716192</v>
      </c>
      <c r="J40">
        <v>11.95299809771873</v>
      </c>
      <c r="K40" t="b">
        <f>Data_Completeness(ProductionLotsData[[#This Row],[Fiscal_Year]:[log Unit Cost]])</f>
        <v>1</v>
      </c>
    </row>
    <row r="41" spans="1:11" x14ac:dyDescent="0.25">
      <c r="A41" t="s">
        <v>1748</v>
      </c>
      <c r="B41" t="s">
        <v>1747</v>
      </c>
      <c r="C41">
        <v>2006</v>
      </c>
      <c r="D41">
        <v>15</v>
      </c>
      <c r="E41">
        <v>37</v>
      </c>
      <c r="F41">
        <v>26.9</v>
      </c>
      <c r="G41">
        <v>119380</v>
      </c>
      <c r="H41">
        <v>3.6109179126442243</v>
      </c>
      <c r="I41">
        <v>3.2921262866077932</v>
      </c>
      <c r="J41">
        <v>11.690066961722641</v>
      </c>
      <c r="K41" t="b">
        <f>Data_Completeness(ProductionLotsData[[#This Row],[Fiscal_Year]:[log Unit Cost]])</f>
        <v>1</v>
      </c>
    </row>
    <row r="42" spans="1:11" x14ac:dyDescent="0.25">
      <c r="A42" t="s">
        <v>1749</v>
      </c>
      <c r="B42" t="s">
        <v>1747</v>
      </c>
      <c r="C42">
        <v>2007</v>
      </c>
      <c r="D42">
        <v>17</v>
      </c>
      <c r="E42">
        <v>54</v>
      </c>
      <c r="F42">
        <v>37.799999999999997</v>
      </c>
      <c r="G42">
        <v>111090</v>
      </c>
      <c r="H42">
        <v>3.9889840465642745</v>
      </c>
      <c r="I42">
        <v>3.6323091026255421</v>
      </c>
      <c r="J42">
        <v>11.618095962575769</v>
      </c>
      <c r="K42" t="b">
        <f>Data_Completeness(ProductionLotsData[[#This Row],[Fiscal_Year]:[log Unit Cost]])</f>
        <v>1</v>
      </c>
    </row>
    <row r="43" spans="1:11" x14ac:dyDescent="0.25">
      <c r="A43" t="s">
        <v>1750</v>
      </c>
      <c r="B43" t="s">
        <v>1747</v>
      </c>
      <c r="C43">
        <v>2011</v>
      </c>
      <c r="D43">
        <v>22</v>
      </c>
      <c r="E43">
        <v>76</v>
      </c>
      <c r="F43">
        <v>35.1</v>
      </c>
      <c r="G43">
        <v>123261</v>
      </c>
      <c r="H43">
        <v>4.3307333402863311</v>
      </c>
      <c r="I43">
        <v>3.55820113047182</v>
      </c>
      <c r="J43">
        <v>11.722059337415338</v>
      </c>
      <c r="K43" t="b">
        <f>Data_Completeness(ProductionLotsData[[#This Row],[Fiscal_Year]:[log Unit Cost]])</f>
        <v>1</v>
      </c>
    </row>
    <row r="44" spans="1:11" x14ac:dyDescent="0.25">
      <c r="A44" t="s">
        <v>1751</v>
      </c>
      <c r="B44" t="s">
        <v>1747</v>
      </c>
      <c r="C44">
        <v>2012</v>
      </c>
      <c r="D44">
        <v>18</v>
      </c>
      <c r="E44">
        <v>94</v>
      </c>
      <c r="F44">
        <v>48.2</v>
      </c>
      <c r="G44">
        <v>117072</v>
      </c>
      <c r="H44">
        <v>4.5432947822700038</v>
      </c>
      <c r="I44">
        <v>3.8753590210565547</v>
      </c>
      <c r="J44">
        <v>11.670544409123812</v>
      </c>
      <c r="K44" t="b">
        <f>Data_Completeness(ProductionLotsData[[#This Row],[Fiscal_Year]:[log Unit Cost]])</f>
        <v>1</v>
      </c>
    </row>
    <row r="45" spans="1:11" x14ac:dyDescent="0.25">
      <c r="A45" t="s">
        <v>1752</v>
      </c>
      <c r="B45" t="s">
        <v>1747</v>
      </c>
      <c r="C45">
        <v>2013</v>
      </c>
      <c r="D45">
        <v>13</v>
      </c>
      <c r="E45">
        <v>107</v>
      </c>
      <c r="F45">
        <v>55.1</v>
      </c>
      <c r="G45">
        <v>97218</v>
      </c>
      <c r="H45">
        <v>4.6728288344619058</v>
      </c>
      <c r="I45">
        <v>4.0091497161588689</v>
      </c>
      <c r="J45">
        <v>11.484711158489056</v>
      </c>
      <c r="K45" t="b">
        <f>Data_Completeness(ProductionLotsData[[#This Row],[Fiscal_Year]:[log Unit Cost]])</f>
        <v>1</v>
      </c>
    </row>
    <row r="46" spans="1:11" x14ac:dyDescent="0.25">
      <c r="A46" t="s">
        <v>1753</v>
      </c>
      <c r="B46" t="s">
        <v>1747</v>
      </c>
      <c r="C46">
        <v>2014</v>
      </c>
      <c r="D46">
        <v>21</v>
      </c>
      <c r="E46">
        <v>128</v>
      </c>
      <c r="F46">
        <v>62.9</v>
      </c>
      <c r="G46">
        <v>96265</v>
      </c>
      <c r="H46">
        <v>4.8520302639196169</v>
      </c>
      <c r="I46">
        <v>4.1415461637063951</v>
      </c>
      <c r="J46">
        <v>11.474860084163437</v>
      </c>
      <c r="K46" t="b">
        <f>Data_Completeness(ProductionLotsData[[#This Row],[Fiscal_Year]:[log Unit Cost]])</f>
        <v>1</v>
      </c>
    </row>
    <row r="47" spans="1:11" x14ac:dyDescent="0.25">
      <c r="A47" t="s">
        <v>1754</v>
      </c>
      <c r="B47" t="s">
        <v>1747</v>
      </c>
      <c r="C47">
        <v>2019</v>
      </c>
      <c r="D47">
        <v>22</v>
      </c>
      <c r="E47">
        <v>150</v>
      </c>
      <c r="F47">
        <v>43.6</v>
      </c>
      <c r="G47">
        <v>110333</v>
      </c>
      <c r="H47">
        <v>5.0106352940962555</v>
      </c>
      <c r="I47">
        <v>3.7750571503549888</v>
      </c>
      <c r="J47">
        <v>11.61125834453849</v>
      </c>
      <c r="K47" t="b">
        <f>Data_Completeness(ProductionLotsData[[#This Row],[Fiscal_Year]:[log Unit Cost]])</f>
        <v>1</v>
      </c>
    </row>
    <row r="48" spans="1:11" x14ac:dyDescent="0.25">
      <c r="A48" t="s">
        <v>1755</v>
      </c>
      <c r="B48" t="s">
        <v>1747</v>
      </c>
      <c r="C48">
        <v>2020</v>
      </c>
      <c r="D48">
        <v>24</v>
      </c>
      <c r="E48">
        <v>174</v>
      </c>
      <c r="F48">
        <v>58.4</v>
      </c>
      <c r="G48">
        <v>105100</v>
      </c>
      <c r="H48">
        <v>5.1590552992145291</v>
      </c>
      <c r="I48">
        <v>4.0673158898341812</v>
      </c>
      <c r="J48">
        <v>11.562667556865042</v>
      </c>
      <c r="K48" t="b">
        <f>Data_Completeness(ProductionLotsData[[#This Row],[Fiscal_Year]:[log Unit Cost]])</f>
        <v>1</v>
      </c>
    </row>
    <row r="49" spans="1:11" x14ac:dyDescent="0.25">
      <c r="A49" t="s">
        <v>1756</v>
      </c>
      <c r="B49" t="s">
        <v>1747</v>
      </c>
      <c r="C49">
        <v>2021</v>
      </c>
      <c r="D49">
        <v>23</v>
      </c>
      <c r="E49">
        <v>197</v>
      </c>
      <c r="F49">
        <v>71.3</v>
      </c>
      <c r="G49">
        <v>95996</v>
      </c>
      <c r="H49">
        <v>5.2832037287379885</v>
      </c>
      <c r="I49">
        <v>4.26689632742025</v>
      </c>
      <c r="J49">
        <v>11.472061802915228</v>
      </c>
      <c r="K49" t="b">
        <f>Data_Completeness(ProductionLotsData[[#This Row],[Fiscal_Year]:[log Unit Cost]])</f>
        <v>1</v>
      </c>
    </row>
    <row r="50" spans="1:11" x14ac:dyDescent="0.25">
      <c r="A50" t="s">
        <v>1757</v>
      </c>
      <c r="B50" t="s">
        <v>1747</v>
      </c>
      <c r="C50">
        <v>2022</v>
      </c>
      <c r="D50">
        <v>10</v>
      </c>
      <c r="E50">
        <v>207</v>
      </c>
      <c r="F50">
        <v>75.400000000000006</v>
      </c>
      <c r="G50">
        <v>103898</v>
      </c>
      <c r="H50">
        <v>5.3327187932653688</v>
      </c>
      <c r="I50">
        <v>4.3228072750139104</v>
      </c>
      <c r="J50">
        <v>11.551164927623898</v>
      </c>
      <c r="K50" t="b">
        <f>Data_Completeness(ProductionLotsData[[#This Row],[Fiscal_Year]:[log Unit Cost]])</f>
        <v>1</v>
      </c>
    </row>
    <row r="51" spans="1:11" x14ac:dyDescent="0.25">
      <c r="A51" t="s">
        <v>1758</v>
      </c>
      <c r="B51" t="s">
        <v>1747</v>
      </c>
      <c r="C51">
        <v>2023</v>
      </c>
      <c r="D51">
        <v>19</v>
      </c>
      <c r="E51">
        <v>226</v>
      </c>
      <c r="F51">
        <v>77.8</v>
      </c>
      <c r="G51">
        <v>101933</v>
      </c>
      <c r="H51">
        <v>5.4205349992722862</v>
      </c>
      <c r="I51">
        <v>4.3541414311843463</v>
      </c>
      <c r="J51">
        <v>11.532071013692459</v>
      </c>
      <c r="K51" t="b">
        <f>Data_Completeness(ProductionLotsData[[#This Row],[Fiscal_Year]:[log Unit Cost]])</f>
        <v>1</v>
      </c>
    </row>
    <row r="52" spans="1:11" x14ac:dyDescent="0.25">
      <c r="A52" t="s">
        <v>1759</v>
      </c>
      <c r="B52" t="s">
        <v>1747</v>
      </c>
      <c r="C52">
        <v>2024</v>
      </c>
      <c r="D52">
        <v>15</v>
      </c>
      <c r="E52">
        <v>241</v>
      </c>
      <c r="F52">
        <v>81.7</v>
      </c>
      <c r="G52">
        <v>92856</v>
      </c>
      <c r="H52">
        <v>5.4847969334906548</v>
      </c>
      <c r="I52">
        <v>4.4030540018659572</v>
      </c>
      <c r="J52">
        <v>11.438805185048459</v>
      </c>
      <c r="K52" t="b">
        <f>Data_Completeness(ProductionLotsData[[#This Row],[Fiscal_Year]:[log Unit Cost]])</f>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D744-3038-45D2-A917-A56FBBB66446}">
  <sheetPr>
    <tabColor rgb="FF808080"/>
  </sheetPr>
  <dimension ref="A1:D6"/>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3" t="s">
        <v>644</v>
      </c>
      <c r="B1" s="6"/>
      <c r="C1" s="6"/>
      <c r="D1" s="6"/>
    </row>
    <row r="2" spans="1:4" x14ac:dyDescent="0.25">
      <c r="A2" s="5" t="s">
        <v>645</v>
      </c>
      <c r="B2" s="5" t="s">
        <v>646</v>
      </c>
      <c r="C2" s="5" t="s">
        <v>832</v>
      </c>
      <c r="D2" s="5" t="s">
        <v>647</v>
      </c>
    </row>
    <row r="3" spans="1:4" ht="105" x14ac:dyDescent="0.25">
      <c r="A3" t="s">
        <v>648</v>
      </c>
      <c r="B3" s="8">
        <v>46189</v>
      </c>
      <c r="C3" t="s">
        <v>834</v>
      </c>
      <c r="D3" s="2" t="s">
        <v>649</v>
      </c>
    </row>
    <row r="4" spans="1:4" ht="105" x14ac:dyDescent="0.25">
      <c r="A4" t="s">
        <v>833</v>
      </c>
      <c r="B4" s="8">
        <v>46202</v>
      </c>
      <c r="C4" t="s">
        <v>834</v>
      </c>
      <c r="D4" s="2" t="s">
        <v>794</v>
      </c>
    </row>
    <row r="5" spans="1:4" ht="105" x14ac:dyDescent="0.25">
      <c r="A5" t="s">
        <v>835</v>
      </c>
      <c r="B5" s="8">
        <v>46206</v>
      </c>
      <c r="C5" t="s">
        <v>834</v>
      </c>
      <c r="D5" s="2" t="s">
        <v>836</v>
      </c>
    </row>
    <row r="6" spans="1:4" ht="150" x14ac:dyDescent="0.25">
      <c r="A6" t="s">
        <v>793</v>
      </c>
      <c r="B6" s="8">
        <v>46208</v>
      </c>
      <c r="C6" t="s">
        <v>837</v>
      </c>
      <c r="D6" s="2" t="s">
        <v>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B432-9445-4242-A194-785D787BF8F2}">
  <sheetPr>
    <tabColor rgb="FFDCE6F1"/>
  </sheetPr>
  <dimension ref="A3:L15"/>
  <sheetViews>
    <sheetView zoomScaleNormal="100" workbookViewId="0">
      <pane ySplit="2" topLeftCell="A3" activePane="bottomLeft" state="frozenSplit"/>
      <selection pane="bottomLeft" activeCell="A3" sqref="A3"/>
    </sheetView>
  </sheetViews>
  <sheetFormatPr defaultRowHeight="15" x14ac:dyDescent="0.25"/>
  <cols>
    <col min="1" max="1" width="28.7109375" customWidth="1"/>
    <col min="2" max="2" width="20.7109375" customWidth="1"/>
    <col min="3" max="3" width="9.85546875" customWidth="1"/>
    <col min="4" max="4" width="11.7109375" customWidth="1"/>
    <col min="5" max="5" width="17.85546875" customWidth="1"/>
    <col min="6" max="6" width="8.42578125" customWidth="1"/>
    <col min="7" max="7" width="12.28515625" customWidth="1"/>
    <col min="8" max="8" width="12.140625" customWidth="1"/>
    <col min="9" max="9" width="38.7109375" customWidth="1"/>
    <col min="10" max="10" width="15" customWidth="1"/>
    <col min="11" max="11" width="9" customWidth="1"/>
    <col min="12" max="12" width="18.5703125" customWidth="1"/>
    <col min="13" max="13" width="10.7109375" customWidth="1"/>
    <col min="14" max="14" width="8.7109375" customWidth="1"/>
    <col min="15" max="15" width="2.7109375" customWidth="1"/>
    <col min="16" max="16" width="24.7109375" customWidth="1"/>
    <col min="17" max="22" width="9.7109375" customWidth="1"/>
    <col min="23" max="23" width="2.7109375" customWidth="1"/>
    <col min="24" max="24" width="22.7109375" customWidth="1"/>
    <col min="25" max="26" width="12.7109375" customWidth="1"/>
    <col min="27" max="27" width="24.7109375" customWidth="1"/>
    <col min="28" max="28" width="16.7109375" customWidth="1"/>
    <col min="29" max="29" width="14.7109375" customWidth="1"/>
    <col min="30" max="31" width="10.7109375" customWidth="1"/>
    <col min="32" max="32" width="2.7109375" customWidth="1"/>
    <col min="33" max="33" width="24.7109375" customWidth="1"/>
    <col min="34" max="34" width="16.7109375" customWidth="1"/>
    <col min="35" max="35" width="14.7109375" customWidth="1"/>
    <col min="36" max="36" width="2.7109375" customWidth="1"/>
    <col min="37" max="37" width="16.7109375" customWidth="1"/>
    <col min="38" max="39" width="10.7109375" customWidth="1"/>
    <col min="40" max="42" width="9.7109375" customWidth="1"/>
    <col min="43" max="43" width="12.7109375" customWidth="1"/>
    <col min="44" max="44" width="9.7109375" customWidth="1"/>
    <col min="45" max="45" width="14.7109375" customWidth="1"/>
    <col min="46" max="46" width="17.7109375" customWidth="1"/>
    <col min="47" max="47" width="14.7109375" customWidth="1"/>
    <col min="48" max="50" width="15.7109375" customWidth="1"/>
  </cols>
  <sheetData>
    <row r="3" spans="1:12" x14ac:dyDescent="0.25">
      <c r="A3" s="5" t="s">
        <v>896</v>
      </c>
      <c r="B3" s="5" t="s">
        <v>795</v>
      </c>
      <c r="C3" s="5" t="s">
        <v>792</v>
      </c>
      <c r="D3" s="5" t="s">
        <v>796</v>
      </c>
      <c r="E3" s="5" t="s">
        <v>797</v>
      </c>
      <c r="F3" s="5" t="s">
        <v>798</v>
      </c>
      <c r="G3" s="5" t="s">
        <v>799</v>
      </c>
      <c r="H3" s="5" t="s">
        <v>840</v>
      </c>
      <c r="I3" s="5" t="s">
        <v>902</v>
      </c>
      <c r="J3" s="5" t="s">
        <v>903</v>
      </c>
      <c r="K3" s="5" t="s">
        <v>800</v>
      </c>
      <c r="L3" s="5" t="s">
        <v>823</v>
      </c>
    </row>
    <row r="4" spans="1:12" x14ac:dyDescent="0.25">
      <c r="A4" t="e" cm="1">
        <f t="array" ref="A4">TRANSPOSE(Header_Names)</f>
        <v>#REF!</v>
      </c>
      <c r="B4" s="7" t="s">
        <v>822</v>
      </c>
      <c r="C4" s="7" t="b">
        <v>0</v>
      </c>
      <c r="D4" s="7" t="s">
        <v>801</v>
      </c>
      <c r="E4" s="7"/>
      <c r="F4" s="7"/>
      <c r="G4" s="7" t="s">
        <v>802</v>
      </c>
      <c r="H4" s="7"/>
      <c r="I4" s="7"/>
      <c r="J4" t="str">
        <f>IF(SpecTable[[#This Row],[Sequence]]&lt;&gt;TRUE,"",IF(N(SpecTable[[#This Row],[Sequence Period]])&lt;&gt;0,SpecTable[[#This Row],[Sequence Period]],IFERROR(Base_Period_Delta_Candidate(),"")))</f>
        <v/>
      </c>
      <c r="K4" t="str">
        <f>IF(OR(SpecTable[[#This Row],[Role]]&lt;&gt;"Predictor (x)",SpecTable[[#This Row],[Type]]&lt;&gt;"Categorical"),"",_xlfn.LET(_xlpm.col,INDEX(Source_Data,0,ROW()-3),_xlpm.x,IF(_xlpm.col="","",_xlpm.col),IFERROR(ROWS(_xlfn.UNIQUE(_xlfn._xlws.FILTER(_xlpm.x,(_xlpm.x&lt;&gt;"")*Sample_Include()))),0)))</f>
        <v/>
      </c>
      <c r="L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5" spans="1:12" x14ac:dyDescent="0.25">
      <c r="B5" s="7" t="s">
        <v>821</v>
      </c>
      <c r="C5" s="7" t="b">
        <v>0</v>
      </c>
      <c r="D5" s="7" t="s">
        <v>801</v>
      </c>
      <c r="E5" s="7"/>
      <c r="F5" s="7"/>
      <c r="G5" s="7" t="s">
        <v>802</v>
      </c>
      <c r="H5" s="7"/>
      <c r="I5" s="7"/>
      <c r="J5" t="str">
        <f>IF(SpecTable[[#This Row],[Sequence]]&lt;&gt;TRUE,"",IF(N(SpecTable[[#This Row],[Sequence Period]])&lt;&gt;0,SpecTable[[#This Row],[Sequence Period]],IFERROR(Base_Period_Delta_Candidate(),"")))</f>
        <v/>
      </c>
      <c r="K5" t="str">
        <f>IF(OR(SpecTable[[#This Row],[Role]]&lt;&gt;"Predictor (x)",SpecTable[[#This Row],[Type]]&lt;&gt;"Categorical"),"",_xlfn.LET(_xlpm.col,INDEX(Source_Data,0,ROW()-3),_xlpm.x,IF(_xlpm.col="","",_xlpm.col),IFERROR(ROWS(_xlfn.UNIQUE(_xlfn._xlws.FILTER(_xlpm.x,(_xlpm.x&lt;&gt;"")*Sample_Include()))),0)))</f>
        <v/>
      </c>
      <c r="L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6" spans="1:12" x14ac:dyDescent="0.25">
      <c r="B6" s="7" t="s">
        <v>821</v>
      </c>
      <c r="C6" s="7" t="b">
        <v>0</v>
      </c>
      <c r="D6" s="7" t="s">
        <v>801</v>
      </c>
      <c r="E6" s="7"/>
      <c r="F6" s="7"/>
      <c r="G6" s="7" t="s">
        <v>802</v>
      </c>
      <c r="H6" s="7"/>
      <c r="I6" s="7"/>
      <c r="J6" t="str">
        <f>IF(SpecTable[[#This Row],[Sequence]]&lt;&gt;TRUE,"",IF(N(SpecTable[[#This Row],[Sequence Period]])&lt;&gt;0,SpecTable[[#This Row],[Sequence Period]],IFERROR(Base_Period_Delta_Candidate(),"")))</f>
        <v/>
      </c>
      <c r="K6" t="str">
        <f>IF(OR(SpecTable[[#This Row],[Role]]&lt;&gt;"Predictor (x)",SpecTable[[#This Row],[Type]]&lt;&gt;"Categorical"),"",_xlfn.LET(_xlpm.col,INDEX(Source_Data,0,ROW()-3),_xlpm.x,IF(_xlpm.col="","",_xlpm.col),IFERROR(ROWS(_xlfn.UNIQUE(_xlfn._xlws.FILTER(_xlpm.x,(_xlpm.x&lt;&gt;"")*Sample_Include()))),0)))</f>
        <v/>
      </c>
      <c r="L6"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7" spans="1:12" x14ac:dyDescent="0.25">
      <c r="B7" s="7" t="s">
        <v>821</v>
      </c>
      <c r="C7" s="7" t="b">
        <v>1</v>
      </c>
      <c r="D7" s="7" t="s">
        <v>801</v>
      </c>
      <c r="E7" s="7"/>
      <c r="F7" s="7"/>
      <c r="G7" s="7" t="s">
        <v>802</v>
      </c>
      <c r="H7" s="7"/>
      <c r="I7" s="7"/>
      <c r="J7" t="str">
        <f>IF(SpecTable[[#This Row],[Sequence]]&lt;&gt;TRUE,"",IF(N(SpecTable[[#This Row],[Sequence Period]])&lt;&gt;0,SpecTable[[#This Row],[Sequence Period]],IFERROR(Base_Period_Delta_Candidate(),"")))</f>
        <v/>
      </c>
      <c r="K7" t="str">
        <f>IF(OR(SpecTable[[#This Row],[Role]]&lt;&gt;"Predictor (x)",SpecTable[[#This Row],[Type]]&lt;&gt;"Categorical"),"",_xlfn.LET(_xlpm.col,INDEX(Source_Data,0,ROW()-3),_xlpm.x,IF(_xlpm.col="","",_xlpm.col),IFERROR(ROWS(_xlfn.UNIQUE(_xlfn._xlws.FILTER(_xlpm.x,(_xlpm.x&lt;&gt;"")*Sample_Include()))),0)))</f>
        <v/>
      </c>
      <c r="L7"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8" spans="1:12" x14ac:dyDescent="0.25">
      <c r="B8" s="7" t="s">
        <v>821</v>
      </c>
      <c r="C8" s="7" t="b">
        <v>1</v>
      </c>
      <c r="D8" s="7" t="s">
        <v>801</v>
      </c>
      <c r="E8" s="7"/>
      <c r="F8" s="7"/>
      <c r="G8" s="7" t="s">
        <v>802</v>
      </c>
      <c r="H8" s="7"/>
      <c r="I8" s="7"/>
      <c r="J8" t="str">
        <f>IF(SpecTable[[#This Row],[Sequence]]&lt;&gt;TRUE,"",IF(N(SpecTable[[#This Row],[Sequence Period]])&lt;&gt;0,SpecTable[[#This Row],[Sequence Period]],IFERROR(Base_Period_Delta_Candidate(),"")))</f>
        <v/>
      </c>
      <c r="K8" t="str">
        <f>IF(OR(SpecTable[[#This Row],[Role]]&lt;&gt;"Predictor (x)",SpecTable[[#This Row],[Type]]&lt;&gt;"Categorical"),"",_xlfn.LET(_xlpm.col,INDEX(Source_Data,0,ROW()-3),_xlpm.x,IF(_xlpm.col="","",_xlpm.col),IFERROR(ROWS(_xlfn.UNIQUE(_xlfn._xlws.FILTER(_xlpm.x,(_xlpm.x&lt;&gt;"")*Sample_Include()))),0)))</f>
        <v/>
      </c>
      <c r="L8"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9" spans="1:12" x14ac:dyDescent="0.25">
      <c r="B9" s="7" t="s">
        <v>821</v>
      </c>
      <c r="C9" s="7" t="b">
        <v>0</v>
      </c>
      <c r="D9" s="7" t="s">
        <v>801</v>
      </c>
      <c r="E9" s="7"/>
      <c r="F9" s="7"/>
      <c r="G9" s="7" t="s">
        <v>802</v>
      </c>
      <c r="H9" s="7"/>
      <c r="I9" s="7"/>
      <c r="J9" t="str">
        <f>IF(SpecTable[[#This Row],[Sequence]]&lt;&gt;TRUE,"",IF(N(SpecTable[[#This Row],[Sequence Period]])&lt;&gt;0,SpecTable[[#This Row],[Sequence Period]],IFERROR(Base_Period_Delta_Candidate(),"")))</f>
        <v/>
      </c>
      <c r="K9" t="str">
        <f>IF(OR(SpecTable[[#This Row],[Role]]&lt;&gt;"Predictor (x)",SpecTable[[#This Row],[Type]]&lt;&gt;"Categorical"),"",_xlfn.LET(_xlpm.col,INDEX(Source_Data,0,ROW()-3),_xlpm.x,IF(_xlpm.col="","",_xlpm.col),IFERROR(ROWS(_xlfn.UNIQUE(_xlfn._xlws.FILTER(_xlpm.x,(_xlpm.x&lt;&gt;"")*Sample_Include()))),0)))</f>
        <v/>
      </c>
      <c r="L9"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10" spans="1:12" x14ac:dyDescent="0.25">
      <c r="B10" s="7" t="s">
        <v>821</v>
      </c>
      <c r="C10" s="7" t="b">
        <v>1</v>
      </c>
      <c r="D10" s="7" t="s">
        <v>803</v>
      </c>
      <c r="E10" s="7"/>
      <c r="F10" s="7"/>
      <c r="G10" s="7" t="s">
        <v>802</v>
      </c>
      <c r="H10" s="7" t="b">
        <v>1</v>
      </c>
      <c r="I10" s="7"/>
      <c r="J10" t="str">
        <f>IF(SpecTable[[#This Row],[Sequence]]&lt;&gt;TRUE,"",IF(N(SpecTable[[#This Row],[Sequence Period]])&lt;&gt;0,SpecTable[[#This Row],[Sequence Period]],IFERROR(Base_Period_Delta_Candidate(),"")))</f>
        <v/>
      </c>
      <c r="K10">
        <f>IF(OR(SpecTable[[#This Row],[Role]]&lt;&gt;"Predictor (x)",SpecTable[[#This Row],[Type]]&lt;&gt;"Categorical"),"",_xlfn.LET(_xlpm.col,INDEX(Source_Data,0,ROW()-3),_xlpm.x,IF(_xlpm.col="","",_xlpm.col),IFERROR(ROWS(_xlfn.UNIQUE(_xlfn._xlws.FILTER(_xlpm.x,(_xlpm.x&lt;&gt;"")*Sample_Include()))),0)))</f>
        <v>0</v>
      </c>
      <c r="L10"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11" spans="1:12" x14ac:dyDescent="0.25">
      <c r="B11" s="7" t="s">
        <v>821</v>
      </c>
      <c r="C11" t="b">
        <v>1</v>
      </c>
      <c r="J11" t="str">
        <f>IF(SpecTable[[#This Row],[Sequence]]&lt;&gt;TRUE,"",IF(N(SpecTable[[#This Row],[Sequence Period]])&lt;&gt;0,SpecTable[[#This Row],[Sequence Period]],IFERROR(Base_Period_Delta_Candidate(),"")))</f>
        <v/>
      </c>
      <c r="K11" t="str">
        <f>IF(OR(SpecTable[[#This Row],[Role]]&lt;&gt;"Predictor (x)",SpecTable[[#This Row],[Type]]&lt;&gt;"Categorical"),"",_xlfn.LET(_xlpm.col,INDEX(Source_Data,0,ROW()-3),_xlpm.x,IF(_xlpm.col="","",_xlpm.col),IFERROR(ROWS(_xlfn.UNIQUE(_xlfn._xlws.FILTER(_xlpm.x,(_xlpm.x&lt;&gt;"")*Sample_Include()))),0)))</f>
        <v/>
      </c>
      <c r="L11"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12" spans="1:12" x14ac:dyDescent="0.25">
      <c r="J12" t="str">
        <f>IF(SpecTable[[#This Row],[Sequence]]&lt;&gt;TRUE,"",IF(N(SpecTable[[#This Row],[Sequence Period]])&lt;&gt;0,SpecTable[[#This Row],[Sequence Period]],IFERROR(Base_Period_Delta_Candidate(),"")))</f>
        <v/>
      </c>
      <c r="K12" t="str">
        <f>IF(OR(SpecTable[[#This Row],[Role]]&lt;&gt;"Predictor (x)",SpecTable[[#This Row],[Type]]&lt;&gt;"Categorical"),"",_xlfn.LET(_xlpm.col,INDEX(Source_Data,0,ROW()-3),_xlpm.x,IF(_xlpm.col="","",_xlpm.col),IFERROR(ROWS(_xlfn.UNIQUE(_xlfn._xlws.FILTER(_xlpm.x,(_xlpm.x&lt;&gt;"")*Sample_Include()))),0)))</f>
        <v/>
      </c>
      <c r="L12"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13" spans="1:12" x14ac:dyDescent="0.25">
      <c r="J13" t="str">
        <f>IF(SpecTable[[#This Row],[Sequence]]&lt;&gt;TRUE,"",IF(N(SpecTable[[#This Row],[Sequence Period]])&lt;&gt;0,SpecTable[[#This Row],[Sequence Period]],IFERROR(Base_Period_Delta_Candidate(),"")))</f>
        <v/>
      </c>
      <c r="K13" t="str">
        <f>IF(OR(SpecTable[[#This Row],[Role]]&lt;&gt;"Predictor (x)",SpecTable[[#This Row],[Type]]&lt;&gt;"Categorical"),"",_xlfn.LET(_xlpm.col,INDEX(Source_Data,0,ROW()-3),_xlpm.x,IF(_xlpm.col="","",_xlpm.col),IFERROR(ROWS(_xlfn.UNIQUE(_xlfn._xlws.FILTER(_xlpm.x,(_xlpm.x&lt;&gt;"")*Sample_Include()))),0)))</f>
        <v/>
      </c>
      <c r="L13"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14" spans="1:12" x14ac:dyDescent="0.25">
      <c r="J14" t="str">
        <f>IF(SpecTable[[#This Row],[Sequence]]&lt;&gt;TRUE,"",IF(N(SpecTable[[#This Row],[Sequence Period]])&lt;&gt;0,SpecTable[[#This Row],[Sequence Period]],IFERROR(Base_Period_Delta_Candidate(),"")))</f>
        <v/>
      </c>
      <c r="K14" t="str">
        <f>IF(OR(SpecTable[[#This Row],[Role]]&lt;&gt;"Predictor (x)",SpecTable[[#This Row],[Type]]&lt;&gt;"Categorical"),"",_xlfn.LET(_xlpm.col,INDEX(Source_Data,0,ROW()-3),_xlpm.x,IF(_xlpm.col="","",_xlpm.col),IFERROR(ROWS(_xlfn.UNIQUE(_xlfn._xlws.FILTER(_xlpm.x,(_xlpm.x&lt;&gt;"")*Sample_Include()))),0)))</f>
        <v/>
      </c>
      <c r="L14"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row r="15" spans="1:12" x14ac:dyDescent="0.25">
      <c r="J15" t="str">
        <f>IF(SpecTable[[#This Row],[Sequence]]&lt;&gt;TRUE,"",IF(N(SpecTable[[#This Row],[Sequence Period]])&lt;&gt;0,SpecTable[[#This Row],[Sequence Period]],IFERROR(Base_Period_Delta_Candidate(),"")))</f>
        <v/>
      </c>
      <c r="K15" t="str">
        <f>IF(OR(SpecTable[[#This Row],[Role]]&lt;&gt;"Predictor (x)",SpecTable[[#This Row],[Type]]&lt;&gt;"Categorical"),"",_xlfn.LET(_xlpm.col,INDEX(Source_Data,0,ROW()-3),_xlpm.x,IF(_xlpm.col="","",_xlpm.col),IFERROR(ROWS(_xlfn.UNIQUE(_xlfn._xlws.FILTER(_xlpm.x,(_xlpm.x&lt;&gt;"")*Sample_Include()))),0)))</f>
        <v/>
      </c>
      <c r="L15" t="str">
        <f>IF(OR(SpecTable[[#This Row],[Role]]&lt;&gt;"Predictor (x)",SpecTable[[#This Row],[Type]]&lt;&gt;"Categorical"),"",IF(SpecTable[[#This Row],[Reference Level]]&lt;&gt;"",SpecTable[[#This Row],[Reference Level]],_xlfn.LET(_xlpm.col,INDEX(Source_Data,0,ROW()-3),_xlpm.x,IF(_xlpm.col="","",_xlpm.col),IFERROR(INDEX(_xlfn._xlws.SORT(_xlfn.UNIQUE(_xlfn._xlws.FILTER(_xlpm.x,(_xlpm.x&lt;&gt;"")*Sample_Include()))),1,1),""))))</f>
        <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775D-7513-427E-BA92-51439918266C}">
  <dimension ref="A1:G127"/>
  <sheetViews>
    <sheetView workbookViewId="0">
      <pane ySplit="1" topLeftCell="A2" activePane="bottomLeft" state="frozenSplit"/>
      <selection pane="bottomLeft" activeCell="B4" sqref="B4"/>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806</v>
      </c>
      <c r="C1" s="2" t="s">
        <v>1</v>
      </c>
      <c r="D1" s="2" t="s">
        <v>2</v>
      </c>
      <c r="E1" s="2" t="s">
        <v>3</v>
      </c>
      <c r="F1" s="2" t="s">
        <v>4</v>
      </c>
      <c r="G1" s="2" t="s">
        <v>5</v>
      </c>
    </row>
    <row r="2" spans="1:7" ht="90" x14ac:dyDescent="0.25">
      <c r="A2" s="2" t="s">
        <v>6</v>
      </c>
      <c r="B2" s="2" t="s">
        <v>807</v>
      </c>
      <c r="C2" s="1" t="s">
        <v>7</v>
      </c>
      <c r="D2" s="2" t="s">
        <v>8</v>
      </c>
      <c r="E2" s="2" t="s">
        <v>9</v>
      </c>
      <c r="F2" s="2" t="s">
        <v>10</v>
      </c>
      <c r="G2" s="2" t="s">
        <v>11</v>
      </c>
    </row>
    <row r="3" spans="1:7" ht="105" x14ac:dyDescent="0.25">
      <c r="A3" s="2" t="s">
        <v>728</v>
      </c>
      <c r="B3" s="2" t="s">
        <v>807</v>
      </c>
      <c r="C3" s="1" t="s">
        <v>12</v>
      </c>
      <c r="D3" s="2" t="s">
        <v>13</v>
      </c>
      <c r="E3" s="2" t="s">
        <v>14</v>
      </c>
      <c r="F3" s="2" t="s">
        <v>15</v>
      </c>
      <c r="G3" s="2" t="s">
        <v>16</v>
      </c>
    </row>
    <row r="4" spans="1:7" ht="105" x14ac:dyDescent="0.25">
      <c r="A4" s="2" t="s">
        <v>729</v>
      </c>
      <c r="B4" s="2" t="s">
        <v>807</v>
      </c>
      <c r="C4" s="1" t="s">
        <v>17</v>
      </c>
      <c r="D4" s="2" t="s">
        <v>18</v>
      </c>
      <c r="E4" s="2" t="s">
        <v>19</v>
      </c>
      <c r="F4" s="2" t="s">
        <v>20</v>
      </c>
      <c r="G4" s="2" t="s">
        <v>21</v>
      </c>
    </row>
    <row r="5" spans="1:7" ht="120" x14ac:dyDescent="0.25">
      <c r="A5" s="2" t="s">
        <v>730</v>
      </c>
      <c r="B5" s="2" t="s">
        <v>807</v>
      </c>
      <c r="C5" s="1" t="s">
        <v>22</v>
      </c>
      <c r="D5" s="2" t="s">
        <v>23</v>
      </c>
      <c r="E5" s="2" t="s">
        <v>24</v>
      </c>
      <c r="F5" s="2" t="s">
        <v>25</v>
      </c>
      <c r="G5" s="2" t="s">
        <v>731</v>
      </c>
    </row>
    <row r="6" spans="1:7" ht="240" x14ac:dyDescent="0.25">
      <c r="A6" s="2" t="s">
        <v>732</v>
      </c>
      <c r="B6" s="2" t="s">
        <v>807</v>
      </c>
      <c r="C6" s="1" t="s">
        <v>1580</v>
      </c>
      <c r="D6" s="2" t="s">
        <v>1581</v>
      </c>
      <c r="E6" s="2" t="s">
        <v>1582</v>
      </c>
      <c r="F6" s="2" t="s">
        <v>1583</v>
      </c>
      <c r="G6" s="2" t="s">
        <v>1584</v>
      </c>
    </row>
    <row r="7" spans="1:7" ht="120" x14ac:dyDescent="0.25">
      <c r="A7" s="2" t="s">
        <v>26</v>
      </c>
      <c r="B7" s="2" t="s">
        <v>807</v>
      </c>
      <c r="C7" s="1" t="s">
        <v>733</v>
      </c>
      <c r="D7" s="2" t="s">
        <v>23</v>
      </c>
      <c r="E7" s="2" t="s">
        <v>27</v>
      </c>
      <c r="F7" s="2" t="s">
        <v>28</v>
      </c>
      <c r="G7" s="2" t="s">
        <v>734</v>
      </c>
    </row>
    <row r="8" spans="1:7" ht="210" x14ac:dyDescent="0.25">
      <c r="A8" s="2" t="s">
        <v>735</v>
      </c>
      <c r="B8" s="2" t="s">
        <v>807</v>
      </c>
      <c r="C8" s="1" t="s">
        <v>1585</v>
      </c>
      <c r="D8" s="2" t="s">
        <v>1586</v>
      </c>
      <c r="E8" s="2" t="s">
        <v>29</v>
      </c>
      <c r="F8" s="2" t="s">
        <v>30</v>
      </c>
      <c r="G8" s="2" t="s">
        <v>1587</v>
      </c>
    </row>
    <row r="9" spans="1:7" ht="120" x14ac:dyDescent="0.25">
      <c r="A9" s="2" t="s">
        <v>31</v>
      </c>
      <c r="B9" s="2" t="s">
        <v>807</v>
      </c>
      <c r="C9" s="1" t="s">
        <v>32</v>
      </c>
      <c r="D9" s="2" t="s">
        <v>18</v>
      </c>
      <c r="E9" s="2" t="s">
        <v>33</v>
      </c>
      <c r="F9" s="2" t="s">
        <v>34</v>
      </c>
      <c r="G9" s="2" t="s">
        <v>35</v>
      </c>
    </row>
    <row r="10" spans="1:7" ht="120" x14ac:dyDescent="0.25">
      <c r="A10" s="2" t="s">
        <v>36</v>
      </c>
      <c r="B10" s="2" t="s">
        <v>807</v>
      </c>
      <c r="C10" s="1" t="s">
        <v>736</v>
      </c>
      <c r="D10" s="2" t="s">
        <v>23</v>
      </c>
      <c r="E10" s="2" t="s">
        <v>37</v>
      </c>
      <c r="F10" s="2" t="s">
        <v>38</v>
      </c>
      <c r="G10" s="2" t="s">
        <v>737</v>
      </c>
    </row>
    <row r="11" spans="1:7" ht="120" x14ac:dyDescent="0.25">
      <c r="A11" s="2" t="s">
        <v>39</v>
      </c>
      <c r="B11" s="2" t="s">
        <v>807</v>
      </c>
      <c r="C11" s="1" t="s">
        <v>738</v>
      </c>
      <c r="D11" s="2" t="s">
        <v>23</v>
      </c>
      <c r="E11" s="2" t="s">
        <v>40</v>
      </c>
      <c r="F11" s="2" t="s">
        <v>41</v>
      </c>
      <c r="G11" s="2" t="s">
        <v>739</v>
      </c>
    </row>
    <row r="12" spans="1:7" ht="120" x14ac:dyDescent="0.25">
      <c r="A12" s="2" t="s">
        <v>42</v>
      </c>
      <c r="B12" s="2" t="s">
        <v>807</v>
      </c>
      <c r="C12" s="1" t="s">
        <v>740</v>
      </c>
      <c r="D12" s="2" t="s">
        <v>23</v>
      </c>
      <c r="E12" s="2" t="s">
        <v>43</v>
      </c>
      <c r="F12" s="2" t="s">
        <v>44</v>
      </c>
      <c r="G12" s="2" t="s">
        <v>45</v>
      </c>
    </row>
    <row r="13" spans="1:7" ht="210" x14ac:dyDescent="0.25">
      <c r="A13" s="2" t="s">
        <v>46</v>
      </c>
      <c r="B13" s="2" t="s">
        <v>807</v>
      </c>
      <c r="C13" s="1" t="s">
        <v>1588</v>
      </c>
      <c r="D13" s="2" t="s">
        <v>1586</v>
      </c>
      <c r="E13" s="2" t="s">
        <v>47</v>
      </c>
      <c r="F13" s="2" t="s">
        <v>48</v>
      </c>
      <c r="G13" s="2" t="s">
        <v>1589</v>
      </c>
    </row>
    <row r="14" spans="1:7" ht="210" x14ac:dyDescent="0.25">
      <c r="A14" s="2" t="s">
        <v>49</v>
      </c>
      <c r="B14" s="2" t="s">
        <v>807</v>
      </c>
      <c r="C14" s="1" t="s">
        <v>1590</v>
      </c>
      <c r="D14" s="2" t="s">
        <v>1586</v>
      </c>
      <c r="E14" s="2" t="s">
        <v>50</v>
      </c>
      <c r="F14" s="2" t="s">
        <v>51</v>
      </c>
      <c r="G14" s="2" t="s">
        <v>1591</v>
      </c>
    </row>
    <row r="15" spans="1:7" ht="120" x14ac:dyDescent="0.25">
      <c r="A15" s="2" t="s">
        <v>52</v>
      </c>
      <c r="B15" s="2" t="s">
        <v>807</v>
      </c>
      <c r="C15" s="1" t="s">
        <v>775</v>
      </c>
      <c r="D15" s="2" t="s">
        <v>23</v>
      </c>
      <c r="E15" s="2" t="s">
        <v>53</v>
      </c>
      <c r="F15" s="2" t="s">
        <v>54</v>
      </c>
      <c r="G15" s="2" t="s">
        <v>780</v>
      </c>
    </row>
    <row r="16" spans="1:7" ht="240" x14ac:dyDescent="0.25">
      <c r="A16" s="2" t="s">
        <v>55</v>
      </c>
      <c r="B16" s="2" t="s">
        <v>807</v>
      </c>
      <c r="C16" s="1" t="s">
        <v>1592</v>
      </c>
      <c r="D16" s="2" t="s">
        <v>1593</v>
      </c>
      <c r="E16" s="2" t="s">
        <v>56</v>
      </c>
      <c r="F16" s="2" t="s">
        <v>57</v>
      </c>
      <c r="G16" s="2" t="s">
        <v>1594</v>
      </c>
    </row>
    <row r="17" spans="1:7" ht="240" x14ac:dyDescent="0.25">
      <c r="A17" s="2" t="s">
        <v>58</v>
      </c>
      <c r="B17" s="2" t="s">
        <v>807</v>
      </c>
      <c r="C17" s="1" t="s">
        <v>1595</v>
      </c>
      <c r="D17" s="2" t="s">
        <v>1593</v>
      </c>
      <c r="E17" s="2" t="s">
        <v>59</v>
      </c>
      <c r="F17" s="2" t="s">
        <v>60</v>
      </c>
      <c r="G17" s="2" t="s">
        <v>1596</v>
      </c>
    </row>
    <row r="18" spans="1:7" ht="240" x14ac:dyDescent="0.25">
      <c r="A18" s="2" t="s">
        <v>61</v>
      </c>
      <c r="B18" s="2" t="s">
        <v>807</v>
      </c>
      <c r="C18" s="1" t="s">
        <v>1597</v>
      </c>
      <c r="D18" s="2" t="s">
        <v>1598</v>
      </c>
      <c r="E18" s="2" t="s">
        <v>62</v>
      </c>
      <c r="F18" s="2" t="s">
        <v>63</v>
      </c>
      <c r="G18" s="2" t="s">
        <v>1599</v>
      </c>
    </row>
    <row r="19" spans="1:7" ht="135" x14ac:dyDescent="0.25">
      <c r="A19" s="2" t="s">
        <v>64</v>
      </c>
      <c r="B19" s="2" t="s">
        <v>807</v>
      </c>
      <c r="C19" s="1" t="s">
        <v>65</v>
      </c>
      <c r="D19" s="2" t="s">
        <v>23</v>
      </c>
      <c r="E19" s="2" t="s">
        <v>66</v>
      </c>
      <c r="F19" s="2" t="s">
        <v>67</v>
      </c>
      <c r="G19" s="2" t="s">
        <v>68</v>
      </c>
    </row>
    <row r="20" spans="1:7" ht="375" x14ac:dyDescent="0.25">
      <c r="A20" s="2" t="s">
        <v>841</v>
      </c>
      <c r="B20" s="2" t="s">
        <v>807</v>
      </c>
      <c r="C20" s="1" t="s">
        <v>842</v>
      </c>
      <c r="D20" s="2" t="s">
        <v>843</v>
      </c>
      <c r="E20" s="2" t="s">
        <v>844</v>
      </c>
      <c r="F20" s="2" t="s">
        <v>845</v>
      </c>
      <c r="G20" s="2" t="s">
        <v>846</v>
      </c>
    </row>
    <row r="21" spans="1:7" ht="409.5" x14ac:dyDescent="0.25">
      <c r="A21" s="2" t="s">
        <v>847</v>
      </c>
      <c r="B21" s="2" t="s">
        <v>807</v>
      </c>
      <c r="C21" s="1" t="s">
        <v>848</v>
      </c>
      <c r="D21" s="2" t="s">
        <v>849</v>
      </c>
      <c r="E21" s="2" t="s">
        <v>850</v>
      </c>
      <c r="F21" s="2" t="s">
        <v>851</v>
      </c>
      <c r="G21" s="2" t="s">
        <v>852</v>
      </c>
    </row>
    <row r="22" spans="1:7" ht="210" x14ac:dyDescent="0.25">
      <c r="A22" s="2" t="s">
        <v>69</v>
      </c>
      <c r="B22" s="2" t="s">
        <v>807</v>
      </c>
      <c r="C22" s="1" t="s">
        <v>1600</v>
      </c>
      <c r="D22" s="2" t="s">
        <v>1601</v>
      </c>
      <c r="E22" s="2" t="s">
        <v>70</v>
      </c>
      <c r="F22" s="2" t="s">
        <v>71</v>
      </c>
      <c r="G22" s="2" t="s">
        <v>72</v>
      </c>
    </row>
    <row r="23" spans="1:7" ht="165" x14ac:dyDescent="0.25">
      <c r="A23" s="2" t="s">
        <v>73</v>
      </c>
      <c r="B23" s="2" t="s">
        <v>807</v>
      </c>
      <c r="C23" s="1" t="s">
        <v>74</v>
      </c>
      <c r="D23" s="2" t="s">
        <v>23</v>
      </c>
      <c r="E23" s="2" t="s">
        <v>75</v>
      </c>
      <c r="F23" s="2" t="s">
        <v>76</v>
      </c>
      <c r="G23" s="2" t="s">
        <v>77</v>
      </c>
    </row>
    <row r="24" spans="1:7" ht="300" x14ac:dyDescent="0.25">
      <c r="A24" s="2" t="s">
        <v>78</v>
      </c>
      <c r="B24" s="2" t="s">
        <v>807</v>
      </c>
      <c r="C24" s="1" t="s">
        <v>1602</v>
      </c>
      <c r="D24" s="2" t="s">
        <v>1603</v>
      </c>
      <c r="E24" s="2" t="s">
        <v>79</v>
      </c>
      <c r="F24" s="2" t="s">
        <v>1604</v>
      </c>
      <c r="G24" s="2" t="s">
        <v>1605</v>
      </c>
    </row>
    <row r="25" spans="1:7" ht="225" x14ac:dyDescent="0.25">
      <c r="A25" s="2" t="s">
        <v>741</v>
      </c>
      <c r="B25" s="2" t="s">
        <v>807</v>
      </c>
      <c r="C25" s="1" t="s">
        <v>1606</v>
      </c>
      <c r="D25" s="2" t="s">
        <v>1607</v>
      </c>
      <c r="E25" s="2" t="s">
        <v>80</v>
      </c>
      <c r="F25" s="2" t="s">
        <v>81</v>
      </c>
      <c r="G25" s="2" t="s">
        <v>1608</v>
      </c>
    </row>
    <row r="26" spans="1:7" ht="225" x14ac:dyDescent="0.25">
      <c r="A26" s="2" t="s">
        <v>82</v>
      </c>
      <c r="B26" s="2" t="s">
        <v>807</v>
      </c>
      <c r="C26" s="1" t="s">
        <v>1609</v>
      </c>
      <c r="D26" s="2" t="s">
        <v>1610</v>
      </c>
      <c r="E26" s="2" t="s">
        <v>83</v>
      </c>
      <c r="F26" s="2" t="s">
        <v>84</v>
      </c>
      <c r="G26" s="2" t="s">
        <v>1611</v>
      </c>
    </row>
    <row r="27" spans="1:7" ht="270" x14ac:dyDescent="0.25">
      <c r="A27" s="2" t="s">
        <v>742</v>
      </c>
      <c r="B27" s="2" t="s">
        <v>807</v>
      </c>
      <c r="C27" s="1" t="s">
        <v>1612</v>
      </c>
      <c r="D27" s="2" t="s">
        <v>1613</v>
      </c>
      <c r="E27" s="2" t="s">
        <v>85</v>
      </c>
      <c r="F27" s="2" t="s">
        <v>86</v>
      </c>
      <c r="G27" s="2" t="s">
        <v>1614</v>
      </c>
    </row>
    <row r="28" spans="1:7" ht="270" x14ac:dyDescent="0.25">
      <c r="A28" s="2" t="s">
        <v>743</v>
      </c>
      <c r="B28" s="2" t="s">
        <v>807</v>
      </c>
      <c r="C28" s="1" t="s">
        <v>1615</v>
      </c>
      <c r="D28" s="2" t="s">
        <v>1613</v>
      </c>
      <c r="E28" s="2" t="s">
        <v>87</v>
      </c>
      <c r="F28" s="2" t="s">
        <v>88</v>
      </c>
      <c r="G28" s="2" t="s">
        <v>1616</v>
      </c>
    </row>
    <row r="29" spans="1:7" ht="225" x14ac:dyDescent="0.25">
      <c r="A29" s="2" t="s">
        <v>744</v>
      </c>
      <c r="B29" s="2" t="s">
        <v>807</v>
      </c>
      <c r="C29" s="1" t="s">
        <v>1617</v>
      </c>
      <c r="D29" s="2" t="s">
        <v>1610</v>
      </c>
      <c r="E29" s="2" t="s">
        <v>89</v>
      </c>
      <c r="F29" s="2" t="s">
        <v>90</v>
      </c>
      <c r="G29" s="2" t="s">
        <v>1618</v>
      </c>
    </row>
    <row r="30" spans="1:7" ht="225" x14ac:dyDescent="0.25">
      <c r="A30" s="2" t="s">
        <v>91</v>
      </c>
      <c r="B30" s="2" t="s">
        <v>807</v>
      </c>
      <c r="C30" s="1" t="s">
        <v>1619</v>
      </c>
      <c r="D30" s="2" t="s">
        <v>1610</v>
      </c>
      <c r="E30" s="2" t="s">
        <v>92</v>
      </c>
      <c r="F30" s="2" t="s">
        <v>93</v>
      </c>
      <c r="G30" s="2" t="s">
        <v>1620</v>
      </c>
    </row>
    <row r="31" spans="1:7" ht="180" x14ac:dyDescent="0.25">
      <c r="A31" s="2" t="s">
        <v>94</v>
      </c>
      <c r="B31" s="2" t="s">
        <v>807</v>
      </c>
      <c r="C31" s="1" t="s">
        <v>95</v>
      </c>
      <c r="D31" s="2" t="s">
        <v>23</v>
      </c>
      <c r="E31" s="2" t="s">
        <v>96</v>
      </c>
      <c r="F31" s="2" t="s">
        <v>97</v>
      </c>
      <c r="G31" s="2" t="s">
        <v>98</v>
      </c>
    </row>
    <row r="32" spans="1:7" ht="300" x14ac:dyDescent="0.25">
      <c r="A32" s="2" t="s">
        <v>99</v>
      </c>
      <c r="B32" s="2" t="s">
        <v>807</v>
      </c>
      <c r="C32" s="1" t="s">
        <v>745</v>
      </c>
      <c r="D32" s="2" t="s">
        <v>100</v>
      </c>
      <c r="E32" s="2" t="s">
        <v>101</v>
      </c>
      <c r="F32" s="2" t="s">
        <v>102</v>
      </c>
      <c r="G32" s="2" t="s">
        <v>103</v>
      </c>
    </row>
    <row r="33" spans="1:7" ht="120" x14ac:dyDescent="0.25">
      <c r="A33" s="2" t="s">
        <v>104</v>
      </c>
      <c r="B33" s="2" t="s">
        <v>807</v>
      </c>
      <c r="C33" s="1" t="s">
        <v>105</v>
      </c>
      <c r="D33" s="2" t="s">
        <v>106</v>
      </c>
      <c r="E33" s="2" t="s">
        <v>107</v>
      </c>
      <c r="F33" s="2" t="s">
        <v>108</v>
      </c>
      <c r="G33" s="2" t="s">
        <v>109</v>
      </c>
    </row>
    <row r="34" spans="1:7" ht="345" x14ac:dyDescent="0.25">
      <c r="A34" s="2" t="s">
        <v>1555</v>
      </c>
      <c r="B34" s="2" t="s">
        <v>807</v>
      </c>
      <c r="C34" s="1" t="s">
        <v>1556</v>
      </c>
      <c r="D34" s="2" t="s">
        <v>1557</v>
      </c>
      <c r="E34" s="2" t="s">
        <v>1558</v>
      </c>
      <c r="F34" s="2" t="s">
        <v>1559</v>
      </c>
      <c r="G34" s="2" t="s">
        <v>1560</v>
      </c>
    </row>
    <row r="35" spans="1:7" ht="255" x14ac:dyDescent="0.25">
      <c r="A35" s="2" t="s">
        <v>1561</v>
      </c>
      <c r="B35" s="2" t="s">
        <v>807</v>
      </c>
      <c r="C35" s="1" t="s">
        <v>1562</v>
      </c>
      <c r="D35" s="2" t="s">
        <v>1563</v>
      </c>
      <c r="E35" s="2" t="s">
        <v>1564</v>
      </c>
      <c r="F35" s="2" t="s">
        <v>1565</v>
      </c>
      <c r="G35" s="2" t="s">
        <v>1566</v>
      </c>
    </row>
    <row r="36" spans="1:7" ht="409.5" x14ac:dyDescent="0.25">
      <c r="A36" s="2" t="s">
        <v>110</v>
      </c>
      <c r="B36" s="2" t="s">
        <v>807</v>
      </c>
      <c r="C36" s="1" t="s">
        <v>1621</v>
      </c>
      <c r="D36" s="2" t="s">
        <v>1622</v>
      </c>
      <c r="E36" s="2" t="s">
        <v>111</v>
      </c>
      <c r="F36" s="2" t="s">
        <v>112</v>
      </c>
      <c r="G36" s="2" t="s">
        <v>1623</v>
      </c>
    </row>
    <row r="37" spans="1:7" ht="409.5" x14ac:dyDescent="0.25">
      <c r="A37" s="2" t="s">
        <v>1624</v>
      </c>
      <c r="B37" s="2" t="s">
        <v>807</v>
      </c>
      <c r="C37" s="1" t="s">
        <v>1692</v>
      </c>
      <c r="D37" s="2" t="s">
        <v>1625</v>
      </c>
      <c r="E37" s="2" t="s">
        <v>1626</v>
      </c>
      <c r="F37" s="2" t="s">
        <v>1627</v>
      </c>
      <c r="G37" s="2" t="s">
        <v>1628</v>
      </c>
    </row>
    <row r="38" spans="1:7" ht="60" x14ac:dyDescent="0.25">
      <c r="A38" s="2" t="s">
        <v>746</v>
      </c>
      <c r="B38" s="2" t="s">
        <v>807</v>
      </c>
      <c r="C38" s="1" t="s">
        <v>113</v>
      </c>
      <c r="D38" s="2" t="s">
        <v>8</v>
      </c>
      <c r="E38" s="2" t="s">
        <v>114</v>
      </c>
      <c r="F38" s="2" t="s">
        <v>115</v>
      </c>
      <c r="G38" s="2" t="s">
        <v>116</v>
      </c>
    </row>
    <row r="39" spans="1:7" ht="90" x14ac:dyDescent="0.25">
      <c r="A39" s="2" t="s">
        <v>117</v>
      </c>
      <c r="B39" s="2" t="s">
        <v>807</v>
      </c>
      <c r="C39" s="1" t="s">
        <v>118</v>
      </c>
      <c r="D39" s="2" t="s">
        <v>8</v>
      </c>
      <c r="E39" s="2" t="s">
        <v>119</v>
      </c>
      <c r="F39" s="2" t="s">
        <v>120</v>
      </c>
      <c r="G39" s="2" t="s">
        <v>121</v>
      </c>
    </row>
    <row r="40" spans="1:7" ht="60" x14ac:dyDescent="0.25">
      <c r="A40" s="2" t="s">
        <v>122</v>
      </c>
      <c r="B40" s="2" t="s">
        <v>807</v>
      </c>
      <c r="C40" s="1" t="s">
        <v>123</v>
      </c>
      <c r="D40" s="2" t="s">
        <v>8</v>
      </c>
      <c r="E40" s="2" t="s">
        <v>124</v>
      </c>
      <c r="F40" s="2" t="s">
        <v>125</v>
      </c>
      <c r="G40" s="2" t="s">
        <v>126</v>
      </c>
    </row>
    <row r="41" spans="1:7" ht="90" x14ac:dyDescent="0.25">
      <c r="A41" s="2" t="s">
        <v>747</v>
      </c>
      <c r="B41" s="2" t="s">
        <v>807</v>
      </c>
      <c r="C41" s="1" t="s">
        <v>127</v>
      </c>
      <c r="D41" s="2" t="s">
        <v>8</v>
      </c>
      <c r="E41" s="2" t="s">
        <v>128</v>
      </c>
      <c r="F41" s="2" t="s">
        <v>129</v>
      </c>
      <c r="G41" s="2" t="s">
        <v>130</v>
      </c>
    </row>
    <row r="42" spans="1:7" ht="120" x14ac:dyDescent="0.25">
      <c r="A42" s="2" t="s">
        <v>131</v>
      </c>
      <c r="B42" s="2" t="s">
        <v>807</v>
      </c>
      <c r="C42" s="1" t="s">
        <v>132</v>
      </c>
      <c r="D42" s="2" t="s">
        <v>8</v>
      </c>
      <c r="E42" s="2" t="s">
        <v>133</v>
      </c>
      <c r="F42" s="2" t="s">
        <v>134</v>
      </c>
      <c r="G42" s="2" t="s">
        <v>135</v>
      </c>
    </row>
    <row r="43" spans="1:7" ht="165" x14ac:dyDescent="0.25">
      <c r="A43" s="2" t="s">
        <v>136</v>
      </c>
      <c r="B43" s="2" t="s">
        <v>807</v>
      </c>
      <c r="C43" s="1" t="s">
        <v>137</v>
      </c>
      <c r="D43" s="2" t="s">
        <v>138</v>
      </c>
      <c r="E43" s="2" t="s">
        <v>139</v>
      </c>
      <c r="F43" s="2" t="s">
        <v>140</v>
      </c>
      <c r="G43" s="2" t="s">
        <v>141</v>
      </c>
    </row>
    <row r="44" spans="1:7" ht="105" x14ac:dyDescent="0.25">
      <c r="A44" s="2" t="s">
        <v>142</v>
      </c>
      <c r="B44" s="2" t="s">
        <v>807</v>
      </c>
      <c r="C44" s="1" t="s">
        <v>143</v>
      </c>
      <c r="D44" s="2" t="s">
        <v>144</v>
      </c>
      <c r="E44" s="2" t="s">
        <v>145</v>
      </c>
      <c r="F44" s="2" t="s">
        <v>146</v>
      </c>
      <c r="G44" s="2" t="s">
        <v>748</v>
      </c>
    </row>
    <row r="45" spans="1:7" ht="135" x14ac:dyDescent="0.25">
      <c r="A45" s="2" t="s">
        <v>147</v>
      </c>
      <c r="B45" s="2" t="s">
        <v>807</v>
      </c>
      <c r="C45" s="1" t="s">
        <v>148</v>
      </c>
      <c r="D45" s="2" t="s">
        <v>23</v>
      </c>
      <c r="E45" s="2" t="s">
        <v>149</v>
      </c>
      <c r="F45" s="2" t="s">
        <v>150</v>
      </c>
      <c r="G45" s="2" t="s">
        <v>151</v>
      </c>
    </row>
    <row r="46" spans="1:7" ht="120" x14ac:dyDescent="0.25">
      <c r="A46" s="2" t="s">
        <v>152</v>
      </c>
      <c r="B46" s="2" t="s">
        <v>807</v>
      </c>
      <c r="C46" s="1" t="s">
        <v>153</v>
      </c>
      <c r="D46" s="2" t="s">
        <v>23</v>
      </c>
      <c r="E46" s="2" t="s">
        <v>154</v>
      </c>
      <c r="F46" s="2" t="s">
        <v>155</v>
      </c>
      <c r="G46" s="2" t="s">
        <v>156</v>
      </c>
    </row>
    <row r="47" spans="1:7" ht="195" x14ac:dyDescent="0.25">
      <c r="A47" s="2" t="s">
        <v>157</v>
      </c>
      <c r="B47" s="2" t="s">
        <v>807</v>
      </c>
      <c r="C47" s="1" t="s">
        <v>1629</v>
      </c>
      <c r="D47" s="2" t="s">
        <v>1630</v>
      </c>
      <c r="E47" s="2" t="s">
        <v>158</v>
      </c>
      <c r="F47" s="2" t="s">
        <v>159</v>
      </c>
      <c r="G47" s="2" t="s">
        <v>160</v>
      </c>
    </row>
    <row r="48" spans="1:7" ht="105" x14ac:dyDescent="0.25">
      <c r="A48" s="2" t="s">
        <v>749</v>
      </c>
      <c r="B48" s="2" t="s">
        <v>807</v>
      </c>
      <c r="C48" s="1" t="s">
        <v>161</v>
      </c>
      <c r="D48" s="2" t="s">
        <v>162</v>
      </c>
      <c r="E48" s="2" t="s">
        <v>163</v>
      </c>
      <c r="F48" s="2" t="s">
        <v>164</v>
      </c>
      <c r="G48" s="2" t="s">
        <v>750</v>
      </c>
    </row>
    <row r="49" spans="1:7" ht="210" x14ac:dyDescent="0.25">
      <c r="A49" s="2" t="s">
        <v>751</v>
      </c>
      <c r="B49" s="2" t="s">
        <v>807</v>
      </c>
      <c r="C49" s="1" t="s">
        <v>165</v>
      </c>
      <c r="D49" s="2" t="s">
        <v>166</v>
      </c>
      <c r="E49" s="2" t="s">
        <v>167</v>
      </c>
      <c r="F49" s="2" t="s">
        <v>168</v>
      </c>
      <c r="G49" s="2" t="s">
        <v>169</v>
      </c>
    </row>
    <row r="50" spans="1:7" ht="195" x14ac:dyDescent="0.25">
      <c r="A50" s="2" t="s">
        <v>752</v>
      </c>
      <c r="B50" s="2" t="s">
        <v>807</v>
      </c>
      <c r="C50" s="1" t="s">
        <v>753</v>
      </c>
      <c r="D50" s="2" t="s">
        <v>170</v>
      </c>
      <c r="E50" s="2" t="s">
        <v>171</v>
      </c>
      <c r="F50" s="2" t="s">
        <v>172</v>
      </c>
      <c r="G50" s="2" t="s">
        <v>754</v>
      </c>
    </row>
    <row r="51" spans="1:7" ht="150" x14ac:dyDescent="0.25">
      <c r="A51" s="2" t="s">
        <v>755</v>
      </c>
      <c r="B51" s="2" t="s">
        <v>807</v>
      </c>
      <c r="C51" s="1" t="s">
        <v>756</v>
      </c>
      <c r="D51" s="2" t="s">
        <v>23</v>
      </c>
      <c r="E51" s="2" t="s">
        <v>173</v>
      </c>
      <c r="F51" s="2" t="s">
        <v>174</v>
      </c>
      <c r="G51" s="2" t="s">
        <v>776</v>
      </c>
    </row>
    <row r="52" spans="1:7" ht="135" x14ac:dyDescent="0.25">
      <c r="A52" s="2" t="s">
        <v>777</v>
      </c>
      <c r="B52" s="2" t="s">
        <v>807</v>
      </c>
      <c r="C52" s="1" t="s">
        <v>904</v>
      </c>
      <c r="D52" s="2" t="s">
        <v>23</v>
      </c>
      <c r="E52" s="2" t="s">
        <v>778</v>
      </c>
      <c r="F52" s="2" t="s">
        <v>779</v>
      </c>
      <c r="G52" s="2" t="s">
        <v>905</v>
      </c>
    </row>
    <row r="53" spans="1:7" ht="150" x14ac:dyDescent="0.25">
      <c r="A53" s="2" t="s">
        <v>757</v>
      </c>
      <c r="B53" s="2" t="s">
        <v>807</v>
      </c>
      <c r="C53" s="1" t="s">
        <v>175</v>
      </c>
      <c r="D53" s="2" t="s">
        <v>138</v>
      </c>
      <c r="E53" s="2" t="s">
        <v>176</v>
      </c>
      <c r="F53" s="2" t="s">
        <v>177</v>
      </c>
      <c r="G53" s="2" t="s">
        <v>758</v>
      </c>
    </row>
    <row r="54" spans="1:7" ht="195" x14ac:dyDescent="0.25">
      <c r="A54" s="2" t="s">
        <v>178</v>
      </c>
      <c r="B54" s="2" t="s">
        <v>807</v>
      </c>
      <c r="C54" s="1" t="s">
        <v>1631</v>
      </c>
      <c r="D54" s="2" t="s">
        <v>1630</v>
      </c>
      <c r="E54" s="2" t="s">
        <v>179</v>
      </c>
      <c r="F54" s="2" t="s">
        <v>180</v>
      </c>
      <c r="G54" s="2" t="s">
        <v>1632</v>
      </c>
    </row>
    <row r="55" spans="1:7" ht="210" x14ac:dyDescent="0.25">
      <c r="A55" s="2" t="s">
        <v>181</v>
      </c>
      <c r="B55" s="2" t="s">
        <v>807</v>
      </c>
      <c r="C55" s="1" t="s">
        <v>1633</v>
      </c>
      <c r="D55" s="2" t="s">
        <v>1634</v>
      </c>
      <c r="E55" s="2" t="s">
        <v>182</v>
      </c>
      <c r="F55" s="2" t="s">
        <v>183</v>
      </c>
      <c r="G55" s="2" t="s">
        <v>184</v>
      </c>
    </row>
    <row r="56" spans="1:7" ht="210" x14ac:dyDescent="0.25">
      <c r="A56" s="2" t="s">
        <v>185</v>
      </c>
      <c r="B56" s="2" t="s">
        <v>807</v>
      </c>
      <c r="C56" s="1" t="s">
        <v>1635</v>
      </c>
      <c r="D56" s="2" t="s">
        <v>1634</v>
      </c>
      <c r="E56" s="2" t="s">
        <v>186</v>
      </c>
      <c r="F56" s="2" t="s">
        <v>187</v>
      </c>
      <c r="G56" s="2" t="s">
        <v>188</v>
      </c>
    </row>
    <row r="57" spans="1:7" ht="210" x14ac:dyDescent="0.25">
      <c r="A57" s="2" t="s">
        <v>189</v>
      </c>
      <c r="B57" s="2" t="s">
        <v>807</v>
      </c>
      <c r="C57" s="1" t="s">
        <v>1636</v>
      </c>
      <c r="D57" s="2" t="s">
        <v>1637</v>
      </c>
      <c r="E57" s="2" t="s">
        <v>190</v>
      </c>
      <c r="F57" s="2" t="s">
        <v>191</v>
      </c>
      <c r="G57" s="2" t="s">
        <v>192</v>
      </c>
    </row>
    <row r="58" spans="1:7" ht="135" x14ac:dyDescent="0.25">
      <c r="A58" s="2" t="s">
        <v>759</v>
      </c>
      <c r="B58" s="2" t="s">
        <v>807</v>
      </c>
      <c r="C58" s="1" t="s">
        <v>193</v>
      </c>
      <c r="D58" s="2" t="s">
        <v>194</v>
      </c>
      <c r="E58" s="2" t="s">
        <v>195</v>
      </c>
      <c r="F58" s="2" t="s">
        <v>196</v>
      </c>
      <c r="G58" s="2" t="s">
        <v>760</v>
      </c>
    </row>
    <row r="59" spans="1:7" ht="150" x14ac:dyDescent="0.25">
      <c r="A59" s="2" t="s">
        <v>197</v>
      </c>
      <c r="B59" s="2" t="s">
        <v>807</v>
      </c>
      <c r="C59" s="1" t="s">
        <v>198</v>
      </c>
      <c r="D59" s="2" t="s">
        <v>761</v>
      </c>
      <c r="E59" s="2" t="s">
        <v>199</v>
      </c>
      <c r="F59" s="2" t="s">
        <v>200</v>
      </c>
      <c r="G59" s="2" t="s">
        <v>762</v>
      </c>
    </row>
    <row r="60" spans="1:7" ht="210" x14ac:dyDescent="0.25">
      <c r="A60" s="2" t="s">
        <v>201</v>
      </c>
      <c r="B60" s="2" t="s">
        <v>807</v>
      </c>
      <c r="C60" s="1" t="s">
        <v>202</v>
      </c>
      <c r="D60" s="2" t="s">
        <v>203</v>
      </c>
      <c r="E60" s="2" t="s">
        <v>204</v>
      </c>
      <c r="F60" s="2" t="s">
        <v>205</v>
      </c>
      <c r="G60" s="2" t="s">
        <v>206</v>
      </c>
    </row>
    <row r="61" spans="1:7" ht="150" x14ac:dyDescent="0.25">
      <c r="A61" s="2" t="s">
        <v>207</v>
      </c>
      <c r="B61" s="2" t="s">
        <v>807</v>
      </c>
      <c r="C61" s="1" t="s">
        <v>208</v>
      </c>
      <c r="D61" s="2" t="s">
        <v>209</v>
      </c>
      <c r="E61" s="2" t="s">
        <v>210</v>
      </c>
      <c r="F61" s="2" t="s">
        <v>211</v>
      </c>
      <c r="G61" s="2" t="s">
        <v>212</v>
      </c>
    </row>
    <row r="62" spans="1:7" ht="315" x14ac:dyDescent="0.25">
      <c r="A62" s="2" t="s">
        <v>213</v>
      </c>
      <c r="B62" s="2" t="s">
        <v>807</v>
      </c>
      <c r="C62" s="1" t="s">
        <v>214</v>
      </c>
      <c r="D62" s="2" t="s">
        <v>215</v>
      </c>
      <c r="E62" s="2" t="s">
        <v>216</v>
      </c>
      <c r="F62" s="2" t="s">
        <v>217</v>
      </c>
      <c r="G62" s="2" t="s">
        <v>218</v>
      </c>
    </row>
    <row r="63" spans="1:7" ht="135" x14ac:dyDescent="0.25">
      <c r="A63" s="2" t="s">
        <v>219</v>
      </c>
      <c r="B63" s="2" t="s">
        <v>807</v>
      </c>
      <c r="C63" s="1" t="s">
        <v>220</v>
      </c>
      <c r="D63" s="2" t="s">
        <v>221</v>
      </c>
      <c r="E63" s="2" t="s">
        <v>222</v>
      </c>
      <c r="F63" s="2" t="s">
        <v>223</v>
      </c>
      <c r="G63" s="2" t="s">
        <v>224</v>
      </c>
    </row>
    <row r="64" spans="1:7" ht="150" x14ac:dyDescent="0.25">
      <c r="A64" s="2" t="s">
        <v>225</v>
      </c>
      <c r="B64" s="2" t="s">
        <v>807</v>
      </c>
      <c r="C64" s="1" t="s">
        <v>226</v>
      </c>
      <c r="D64" s="2" t="s">
        <v>221</v>
      </c>
      <c r="E64" s="2" t="s">
        <v>227</v>
      </c>
      <c r="F64" s="2" t="s">
        <v>228</v>
      </c>
      <c r="G64" s="2" t="s">
        <v>229</v>
      </c>
    </row>
    <row r="65" spans="1:7" ht="270" x14ac:dyDescent="0.25">
      <c r="A65" s="2" t="s">
        <v>763</v>
      </c>
      <c r="B65" s="2" t="s">
        <v>807</v>
      </c>
      <c r="C65" s="1" t="s">
        <v>1638</v>
      </c>
      <c r="D65" s="2" t="s">
        <v>1639</v>
      </c>
      <c r="E65" s="2" t="s">
        <v>230</v>
      </c>
      <c r="F65" s="2" t="s">
        <v>231</v>
      </c>
      <c r="G65" s="2" t="s">
        <v>1640</v>
      </c>
    </row>
    <row r="66" spans="1:7" ht="225" x14ac:dyDescent="0.25">
      <c r="A66" s="2" t="s">
        <v>764</v>
      </c>
      <c r="B66" s="2" t="s">
        <v>807</v>
      </c>
      <c r="C66" s="1" t="s">
        <v>1641</v>
      </c>
      <c r="D66" s="2" t="s">
        <v>1642</v>
      </c>
      <c r="E66" s="2" t="s">
        <v>232</v>
      </c>
      <c r="F66" s="2" t="s">
        <v>233</v>
      </c>
      <c r="G66" s="2" t="s">
        <v>1643</v>
      </c>
    </row>
    <row r="67" spans="1:7" ht="150" x14ac:dyDescent="0.25">
      <c r="A67" s="2" t="s">
        <v>234</v>
      </c>
      <c r="B67" s="2" t="s">
        <v>807</v>
      </c>
      <c r="C67" s="1" t="s">
        <v>235</v>
      </c>
      <c r="D67" s="2" t="s">
        <v>236</v>
      </c>
      <c r="E67" s="2" t="s">
        <v>237</v>
      </c>
      <c r="F67" s="2" t="s">
        <v>238</v>
      </c>
      <c r="G67" s="2" t="s">
        <v>239</v>
      </c>
    </row>
    <row r="68" spans="1:7" ht="120" x14ac:dyDescent="0.25">
      <c r="A68" s="2" t="s">
        <v>240</v>
      </c>
      <c r="B68" s="2" t="s">
        <v>807</v>
      </c>
      <c r="C68" s="1" t="s">
        <v>241</v>
      </c>
      <c r="D68" s="2" t="s">
        <v>242</v>
      </c>
      <c r="E68" s="2" t="s">
        <v>243</v>
      </c>
      <c r="F68" s="2" t="s">
        <v>244</v>
      </c>
      <c r="G68" s="2" t="s">
        <v>245</v>
      </c>
    </row>
    <row r="69" spans="1:7" ht="330" x14ac:dyDescent="0.25">
      <c r="A69" s="2" t="s">
        <v>765</v>
      </c>
      <c r="B69" s="2" t="s">
        <v>807</v>
      </c>
      <c r="C69" s="1" t="s">
        <v>246</v>
      </c>
      <c r="D69" s="2" t="s">
        <v>247</v>
      </c>
      <c r="E69" s="2" t="s">
        <v>248</v>
      </c>
      <c r="F69" s="2" t="s">
        <v>249</v>
      </c>
      <c r="G69" s="2" t="s">
        <v>766</v>
      </c>
    </row>
    <row r="70" spans="1:7" ht="120" x14ac:dyDescent="0.25">
      <c r="A70" s="2" t="s">
        <v>250</v>
      </c>
      <c r="B70" s="2" t="s">
        <v>807</v>
      </c>
      <c r="C70" s="1" t="s">
        <v>251</v>
      </c>
      <c r="D70" s="2" t="s">
        <v>252</v>
      </c>
      <c r="E70" s="2" t="s">
        <v>253</v>
      </c>
      <c r="F70" s="2" t="s">
        <v>254</v>
      </c>
      <c r="G70" s="2" t="s">
        <v>255</v>
      </c>
    </row>
    <row r="71" spans="1:7" ht="150" x14ac:dyDescent="0.25">
      <c r="A71" s="2" t="s">
        <v>256</v>
      </c>
      <c r="B71" s="2" t="s">
        <v>807</v>
      </c>
      <c r="C71" s="1" t="s">
        <v>257</v>
      </c>
      <c r="D71" s="2" t="s">
        <v>252</v>
      </c>
      <c r="E71" s="2" t="s">
        <v>258</v>
      </c>
      <c r="F71" s="2" t="s">
        <v>259</v>
      </c>
      <c r="G71" s="2" t="s">
        <v>260</v>
      </c>
    </row>
    <row r="72" spans="1:7" ht="150" x14ac:dyDescent="0.25">
      <c r="A72" s="2" t="s">
        <v>767</v>
      </c>
      <c r="B72" s="2" t="s">
        <v>807</v>
      </c>
      <c r="C72" s="1" t="s">
        <v>261</v>
      </c>
      <c r="D72" s="2" t="s">
        <v>252</v>
      </c>
      <c r="E72" s="2" t="s">
        <v>262</v>
      </c>
      <c r="F72" s="2" t="s">
        <v>263</v>
      </c>
      <c r="G72" s="2" t="s">
        <v>768</v>
      </c>
    </row>
    <row r="73" spans="1:7" ht="330" x14ac:dyDescent="0.25">
      <c r="A73" s="2" t="s">
        <v>769</v>
      </c>
      <c r="B73" s="2" t="s">
        <v>807</v>
      </c>
      <c r="C73" s="1" t="s">
        <v>264</v>
      </c>
      <c r="D73" s="2" t="s">
        <v>265</v>
      </c>
      <c r="E73" s="2" t="s">
        <v>266</v>
      </c>
      <c r="F73" s="2" t="s">
        <v>267</v>
      </c>
      <c r="G73" s="2" t="s">
        <v>770</v>
      </c>
    </row>
    <row r="74" spans="1:7" ht="165" x14ac:dyDescent="0.25">
      <c r="A74" s="2" t="s">
        <v>268</v>
      </c>
      <c r="B74" s="2" t="s">
        <v>807</v>
      </c>
      <c r="C74" s="1" t="s">
        <v>804</v>
      </c>
      <c r="D74" s="2" t="s">
        <v>265</v>
      </c>
      <c r="E74" s="2" t="s">
        <v>706</v>
      </c>
      <c r="F74" s="2" t="s">
        <v>707</v>
      </c>
      <c r="G74" s="2" t="s">
        <v>805</v>
      </c>
    </row>
    <row r="75" spans="1:7" ht="105" x14ac:dyDescent="0.25">
      <c r="A75" s="2" t="s">
        <v>708</v>
      </c>
      <c r="B75" s="2" t="s">
        <v>807</v>
      </c>
      <c r="C75" s="1" t="s">
        <v>709</v>
      </c>
      <c r="D75" s="2" t="s">
        <v>265</v>
      </c>
      <c r="E75" s="2" t="s">
        <v>710</v>
      </c>
      <c r="F75" s="2" t="s">
        <v>711</v>
      </c>
      <c r="G75" s="2" t="s">
        <v>712</v>
      </c>
    </row>
    <row r="76" spans="1:7" ht="105" x14ac:dyDescent="0.25">
      <c r="A76" s="2" t="s">
        <v>269</v>
      </c>
      <c r="B76" s="2" t="s">
        <v>807</v>
      </c>
      <c r="C76" s="1" t="s">
        <v>713</v>
      </c>
      <c r="D76" s="2" t="s">
        <v>265</v>
      </c>
      <c r="E76" s="2" t="s">
        <v>714</v>
      </c>
      <c r="F76" s="2" t="s">
        <v>270</v>
      </c>
      <c r="G76" s="2" t="s">
        <v>715</v>
      </c>
    </row>
    <row r="77" spans="1:7" ht="90" x14ac:dyDescent="0.25">
      <c r="A77" s="2" t="s">
        <v>651</v>
      </c>
      <c r="B77" s="2" t="s">
        <v>807</v>
      </c>
      <c r="C77" s="1" t="s">
        <v>716</v>
      </c>
      <c r="D77" s="2" t="s">
        <v>265</v>
      </c>
      <c r="E77" s="2" t="s">
        <v>717</v>
      </c>
      <c r="F77" s="2" t="s">
        <v>652</v>
      </c>
      <c r="G77" s="2" t="s">
        <v>718</v>
      </c>
    </row>
    <row r="78" spans="1:7" ht="105" x14ac:dyDescent="0.25">
      <c r="A78" s="2" t="s">
        <v>653</v>
      </c>
      <c r="B78" s="2" t="s">
        <v>807</v>
      </c>
      <c r="C78" s="1" t="s">
        <v>719</v>
      </c>
      <c r="D78" s="2" t="s">
        <v>265</v>
      </c>
      <c r="E78" s="2" t="s">
        <v>720</v>
      </c>
      <c r="F78" s="2" t="s">
        <v>654</v>
      </c>
      <c r="G78" s="2" t="s">
        <v>721</v>
      </c>
    </row>
    <row r="79" spans="1:7" ht="120" x14ac:dyDescent="0.25">
      <c r="A79" s="2" t="s">
        <v>655</v>
      </c>
      <c r="B79" s="2" t="s">
        <v>807</v>
      </c>
      <c r="C79" s="1" t="s">
        <v>656</v>
      </c>
      <c r="D79" s="2" t="s">
        <v>657</v>
      </c>
      <c r="E79" s="2" t="s">
        <v>658</v>
      </c>
      <c r="F79" s="2" t="s">
        <v>659</v>
      </c>
      <c r="G79" s="2" t="s">
        <v>660</v>
      </c>
    </row>
    <row r="80" spans="1:7" ht="120" x14ac:dyDescent="0.25">
      <c r="A80" s="2" t="s">
        <v>661</v>
      </c>
      <c r="B80" s="2" t="s">
        <v>807</v>
      </c>
      <c r="C80" s="1" t="s">
        <v>662</v>
      </c>
      <c r="D80" s="2" t="s">
        <v>663</v>
      </c>
      <c r="E80" s="2" t="s">
        <v>664</v>
      </c>
      <c r="F80" s="2" t="s">
        <v>665</v>
      </c>
      <c r="G80" s="2" t="s">
        <v>666</v>
      </c>
    </row>
    <row r="81" spans="1:7" ht="105" x14ac:dyDescent="0.25">
      <c r="A81" s="2" t="s">
        <v>667</v>
      </c>
      <c r="B81" s="2" t="s">
        <v>807</v>
      </c>
      <c r="C81" s="1" t="s">
        <v>668</v>
      </c>
      <c r="D81" s="2" t="s">
        <v>669</v>
      </c>
      <c r="E81" s="2" t="s">
        <v>670</v>
      </c>
      <c r="F81" s="2" t="s">
        <v>671</v>
      </c>
      <c r="G81" s="2" t="s">
        <v>672</v>
      </c>
    </row>
    <row r="82" spans="1:7" ht="135" x14ac:dyDescent="0.25">
      <c r="A82" s="2" t="s">
        <v>673</v>
      </c>
      <c r="B82" s="2" t="s">
        <v>807</v>
      </c>
      <c r="C82" s="1" t="s">
        <v>674</v>
      </c>
      <c r="D82" s="2" t="s">
        <v>675</v>
      </c>
      <c r="E82" s="2" t="s">
        <v>676</v>
      </c>
      <c r="F82" s="2" t="s">
        <v>677</v>
      </c>
      <c r="G82" s="2" t="s">
        <v>678</v>
      </c>
    </row>
    <row r="83" spans="1:7" ht="135" x14ac:dyDescent="0.25">
      <c r="A83" s="2" t="s">
        <v>679</v>
      </c>
      <c r="B83" s="2" t="s">
        <v>807</v>
      </c>
      <c r="C83" s="1" t="s">
        <v>680</v>
      </c>
      <c r="D83" s="2" t="s">
        <v>681</v>
      </c>
      <c r="E83" s="2" t="s">
        <v>682</v>
      </c>
      <c r="F83" s="2" t="s">
        <v>683</v>
      </c>
      <c r="G83" s="2" t="s">
        <v>684</v>
      </c>
    </row>
    <row r="84" spans="1:7" ht="195" x14ac:dyDescent="0.25">
      <c r="A84" s="2" t="s">
        <v>685</v>
      </c>
      <c r="B84" s="2" t="s">
        <v>807</v>
      </c>
      <c r="C84" s="1" t="s">
        <v>686</v>
      </c>
      <c r="D84" s="2" t="s">
        <v>687</v>
      </c>
      <c r="E84" s="2" t="s">
        <v>688</v>
      </c>
      <c r="F84" s="2" t="s">
        <v>689</v>
      </c>
      <c r="G84" s="2" t="s">
        <v>690</v>
      </c>
    </row>
    <row r="85" spans="1:7" ht="255" x14ac:dyDescent="0.25">
      <c r="A85" s="2" t="s">
        <v>691</v>
      </c>
      <c r="B85" s="2" t="s">
        <v>807</v>
      </c>
      <c r="C85" s="1" t="s">
        <v>692</v>
      </c>
      <c r="D85" s="2" t="s">
        <v>693</v>
      </c>
      <c r="E85" s="2" t="s">
        <v>694</v>
      </c>
      <c r="F85" s="2" t="s">
        <v>695</v>
      </c>
      <c r="G85" s="2" t="s">
        <v>696</v>
      </c>
    </row>
    <row r="86" spans="1:7" ht="180" x14ac:dyDescent="0.25">
      <c r="A86" s="2" t="s">
        <v>697</v>
      </c>
      <c r="B86" s="2" t="s">
        <v>807</v>
      </c>
      <c r="C86" s="1" t="s">
        <v>838</v>
      </c>
      <c r="D86" s="2" t="s">
        <v>698</v>
      </c>
      <c r="E86" s="2" t="s">
        <v>699</v>
      </c>
      <c r="F86" s="2" t="s">
        <v>700</v>
      </c>
      <c r="G86" s="2" t="s">
        <v>839</v>
      </c>
    </row>
    <row r="87" spans="1:7" ht="240" x14ac:dyDescent="0.25">
      <c r="A87" s="2" t="s">
        <v>771</v>
      </c>
      <c r="B87" s="2" t="s">
        <v>807</v>
      </c>
      <c r="C87" s="1" t="s">
        <v>271</v>
      </c>
      <c r="D87" s="2" t="s">
        <v>272</v>
      </c>
      <c r="E87" s="2" t="s">
        <v>273</v>
      </c>
      <c r="F87" s="2" t="s">
        <v>274</v>
      </c>
      <c r="G87" s="2" t="s">
        <v>772</v>
      </c>
    </row>
    <row r="88" spans="1:7" ht="180" x14ac:dyDescent="0.25">
      <c r="A88" s="2" t="s">
        <v>275</v>
      </c>
      <c r="B88" s="2" t="s">
        <v>807</v>
      </c>
      <c r="C88" s="1" t="s">
        <v>773</v>
      </c>
      <c r="D88" s="2" t="s">
        <v>276</v>
      </c>
      <c r="E88" s="2" t="s">
        <v>277</v>
      </c>
      <c r="F88" s="2" t="s">
        <v>278</v>
      </c>
      <c r="G88" s="2" t="s">
        <v>774</v>
      </c>
    </row>
    <row r="89" spans="1:7" ht="150" x14ac:dyDescent="0.25">
      <c r="A89" s="2" t="s">
        <v>279</v>
      </c>
      <c r="B89" s="2" t="s">
        <v>807</v>
      </c>
      <c r="C89" s="1" t="s">
        <v>280</v>
      </c>
      <c r="D89" s="2" t="s">
        <v>281</v>
      </c>
      <c r="E89" s="2" t="s">
        <v>282</v>
      </c>
      <c r="F89" s="2" t="s">
        <v>283</v>
      </c>
      <c r="G89" s="2" t="s">
        <v>284</v>
      </c>
    </row>
    <row r="90" spans="1:7" ht="135" x14ac:dyDescent="0.25">
      <c r="A90" s="2" t="s">
        <v>285</v>
      </c>
      <c r="B90" s="2" t="s">
        <v>807</v>
      </c>
      <c r="C90" s="1" t="s">
        <v>286</v>
      </c>
      <c r="D90" s="2" t="s">
        <v>287</v>
      </c>
      <c r="E90" s="2" t="s">
        <v>288</v>
      </c>
      <c r="F90" s="2" t="s">
        <v>289</v>
      </c>
      <c r="G90" s="2" t="s">
        <v>290</v>
      </c>
    </row>
    <row r="91" spans="1:7" ht="120" x14ac:dyDescent="0.25">
      <c r="A91" s="2" t="s">
        <v>291</v>
      </c>
      <c r="B91" s="2" t="s">
        <v>807</v>
      </c>
      <c r="C91" s="1" t="s">
        <v>292</v>
      </c>
      <c r="D91" s="2" t="s">
        <v>293</v>
      </c>
      <c r="E91" s="2" t="s">
        <v>294</v>
      </c>
      <c r="F91" s="2" t="s">
        <v>295</v>
      </c>
      <c r="G91" s="2" t="s">
        <v>296</v>
      </c>
    </row>
    <row r="92" spans="1:7" ht="135" x14ac:dyDescent="0.25">
      <c r="A92" s="2" t="s">
        <v>297</v>
      </c>
      <c r="B92" s="2" t="s">
        <v>807</v>
      </c>
      <c r="C92" s="1" t="s">
        <v>298</v>
      </c>
      <c r="D92" s="2" t="s">
        <v>299</v>
      </c>
      <c r="E92" s="2" t="s">
        <v>300</v>
      </c>
      <c r="F92" s="2" t="s">
        <v>301</v>
      </c>
      <c r="G92" s="2" t="s">
        <v>302</v>
      </c>
    </row>
    <row r="93" spans="1:7" ht="120" x14ac:dyDescent="0.25">
      <c r="A93" s="2" t="s">
        <v>303</v>
      </c>
      <c r="B93" s="2" t="s">
        <v>807</v>
      </c>
      <c r="C93" s="1" t="s">
        <v>304</v>
      </c>
      <c r="D93" s="2" t="s">
        <v>305</v>
      </c>
      <c r="E93" s="2" t="s">
        <v>306</v>
      </c>
      <c r="F93" s="2" t="s">
        <v>307</v>
      </c>
      <c r="G93" s="2" t="s">
        <v>308</v>
      </c>
    </row>
    <row r="94" spans="1:7" ht="180" x14ac:dyDescent="0.25">
      <c r="A94" s="2" t="s">
        <v>309</v>
      </c>
      <c r="B94" s="2" t="s">
        <v>807</v>
      </c>
      <c r="C94" s="1" t="s">
        <v>310</v>
      </c>
      <c r="D94" s="2" t="s">
        <v>311</v>
      </c>
      <c r="E94" s="2" t="s">
        <v>312</v>
      </c>
      <c r="F94" s="2" t="s">
        <v>313</v>
      </c>
      <c r="G94" s="2" t="s">
        <v>314</v>
      </c>
    </row>
    <row r="95" spans="1:7" ht="135" x14ac:dyDescent="0.25">
      <c r="A95" s="2" t="s">
        <v>315</v>
      </c>
      <c r="B95" s="2" t="s">
        <v>807</v>
      </c>
      <c r="C95" s="1" t="s">
        <v>316</v>
      </c>
      <c r="D95" s="2" t="s">
        <v>317</v>
      </c>
      <c r="E95" s="2" t="s">
        <v>318</v>
      </c>
      <c r="F95" s="2" t="s">
        <v>319</v>
      </c>
      <c r="G95" s="2" t="s">
        <v>320</v>
      </c>
    </row>
    <row r="96" spans="1:7" ht="180" x14ac:dyDescent="0.25">
      <c r="A96" s="2" t="s">
        <v>321</v>
      </c>
      <c r="B96" s="2" t="s">
        <v>807</v>
      </c>
      <c r="C96" s="1" t="s">
        <v>322</v>
      </c>
      <c r="D96" s="2" t="s">
        <v>323</v>
      </c>
      <c r="E96" s="2" t="s">
        <v>324</v>
      </c>
      <c r="F96" s="2" t="s">
        <v>325</v>
      </c>
      <c r="G96" s="2" t="s">
        <v>326</v>
      </c>
    </row>
    <row r="97" spans="1:7" ht="150" x14ac:dyDescent="0.25">
      <c r="A97" s="2" t="s">
        <v>327</v>
      </c>
      <c r="B97" s="2" t="s">
        <v>807</v>
      </c>
      <c r="C97" s="1" t="s">
        <v>328</v>
      </c>
      <c r="D97" s="2" t="s">
        <v>329</v>
      </c>
      <c r="E97" s="2" t="s">
        <v>330</v>
      </c>
      <c r="F97" s="2" t="s">
        <v>331</v>
      </c>
      <c r="G97" s="2" t="s">
        <v>332</v>
      </c>
    </row>
    <row r="98" spans="1:7" ht="135" x14ac:dyDescent="0.25">
      <c r="A98" s="2" t="s">
        <v>333</v>
      </c>
      <c r="B98" s="2" t="s">
        <v>807</v>
      </c>
      <c r="C98" s="1" t="s">
        <v>334</v>
      </c>
      <c r="D98" s="2" t="s">
        <v>335</v>
      </c>
      <c r="E98" s="2" t="s">
        <v>336</v>
      </c>
      <c r="F98" s="2" t="s">
        <v>337</v>
      </c>
      <c r="G98" s="2" t="s">
        <v>338</v>
      </c>
    </row>
    <row r="99" spans="1:7" ht="240" x14ac:dyDescent="0.25">
      <c r="A99" s="2" t="s">
        <v>722</v>
      </c>
      <c r="B99" s="2" t="s">
        <v>807</v>
      </c>
      <c r="C99" s="1" t="s">
        <v>701</v>
      </c>
      <c r="D99" s="2" t="s">
        <v>702</v>
      </c>
      <c r="E99" s="2" t="s">
        <v>703</v>
      </c>
      <c r="F99" s="2" t="s">
        <v>723</v>
      </c>
      <c r="G99" s="2" t="s">
        <v>724</v>
      </c>
    </row>
    <row r="100" spans="1:7" ht="225" x14ac:dyDescent="0.25">
      <c r="A100" s="2" t="s">
        <v>725</v>
      </c>
      <c r="B100" s="2" t="s">
        <v>807</v>
      </c>
      <c r="C100" s="1" t="s">
        <v>704</v>
      </c>
      <c r="D100" s="2" t="s">
        <v>702</v>
      </c>
      <c r="E100" s="2" t="s">
        <v>705</v>
      </c>
      <c r="F100" s="2" t="s">
        <v>726</v>
      </c>
      <c r="G100" s="2" t="s">
        <v>727</v>
      </c>
    </row>
    <row r="101" spans="1:7" ht="360" x14ac:dyDescent="0.25">
      <c r="A101" s="2" t="s">
        <v>1760</v>
      </c>
      <c r="B101" s="2" t="s">
        <v>807</v>
      </c>
      <c r="C101" s="1" t="s">
        <v>1761</v>
      </c>
      <c r="D101" s="2" t="s">
        <v>1762</v>
      </c>
      <c r="E101" s="2" t="s">
        <v>1763</v>
      </c>
      <c r="F101" s="2" t="s">
        <v>1764</v>
      </c>
      <c r="G101" s="2" t="s">
        <v>1765</v>
      </c>
    </row>
    <row r="102" spans="1:7" ht="409.5" x14ac:dyDescent="0.25">
      <c r="A102" s="2" t="s">
        <v>781</v>
      </c>
      <c r="B102" s="2" t="s">
        <v>807</v>
      </c>
      <c r="C102" s="1" t="s">
        <v>782</v>
      </c>
      <c r="D102" s="2" t="s">
        <v>783</v>
      </c>
      <c r="E102" s="2" t="s">
        <v>784</v>
      </c>
      <c r="F102" s="2" t="s">
        <v>785</v>
      </c>
      <c r="G102" s="2" t="s">
        <v>786</v>
      </c>
    </row>
    <row r="103" spans="1:7" ht="390" x14ac:dyDescent="0.25">
      <c r="A103" s="2" t="s">
        <v>787</v>
      </c>
      <c r="B103" s="2" t="s">
        <v>807</v>
      </c>
      <c r="C103" s="1" t="s">
        <v>788</v>
      </c>
      <c r="D103" s="2" t="s">
        <v>783</v>
      </c>
      <c r="E103" s="2" t="s">
        <v>789</v>
      </c>
      <c r="F103" s="2" t="s">
        <v>790</v>
      </c>
      <c r="G103" s="2" t="s">
        <v>791</v>
      </c>
    </row>
    <row r="104" spans="1:7" ht="375" x14ac:dyDescent="0.25">
      <c r="A104" s="2" t="s">
        <v>853</v>
      </c>
      <c r="B104" s="2" t="s">
        <v>807</v>
      </c>
      <c r="C104" s="1" t="s">
        <v>897</v>
      </c>
      <c r="D104" s="2"/>
      <c r="E104" s="2" t="s">
        <v>898</v>
      </c>
      <c r="F104" s="2" t="s">
        <v>854</v>
      </c>
      <c r="G104" s="2" t="s">
        <v>899</v>
      </c>
    </row>
    <row r="105" spans="1:7" ht="409.5" x14ac:dyDescent="0.25">
      <c r="A105" s="2" t="s">
        <v>855</v>
      </c>
      <c r="B105" s="2" t="s">
        <v>807</v>
      </c>
      <c r="C105" s="1" t="s">
        <v>856</v>
      </c>
      <c r="D105" s="2" t="s">
        <v>857</v>
      </c>
      <c r="E105" s="2" t="s">
        <v>858</v>
      </c>
      <c r="F105" s="2" t="s">
        <v>859</v>
      </c>
      <c r="G105" s="2" t="s">
        <v>860</v>
      </c>
    </row>
    <row r="106" spans="1:7" ht="409.5" x14ac:dyDescent="0.25">
      <c r="A106" s="2" t="s">
        <v>861</v>
      </c>
      <c r="B106" s="2" t="s">
        <v>807</v>
      </c>
      <c r="C106" s="1" t="s">
        <v>862</v>
      </c>
      <c r="D106" s="2" t="s">
        <v>863</v>
      </c>
      <c r="E106" s="2" t="s">
        <v>864</v>
      </c>
      <c r="F106" s="2" t="s">
        <v>865</v>
      </c>
      <c r="G106" s="2" t="s">
        <v>866</v>
      </c>
    </row>
    <row r="107" spans="1:7" ht="285" x14ac:dyDescent="0.25">
      <c r="A107" s="2" t="s">
        <v>1644</v>
      </c>
      <c r="B107" s="2" t="s">
        <v>807</v>
      </c>
      <c r="C107" s="1" t="s">
        <v>1693</v>
      </c>
      <c r="D107" s="2" t="s">
        <v>1645</v>
      </c>
      <c r="E107" s="2" t="s">
        <v>1646</v>
      </c>
      <c r="F107" s="2" t="s">
        <v>1647</v>
      </c>
      <c r="G107" s="2" t="s">
        <v>1648</v>
      </c>
    </row>
    <row r="108" spans="1:7" ht="330" x14ac:dyDescent="0.25">
      <c r="A108" s="2" t="s">
        <v>1649</v>
      </c>
      <c r="B108" s="2" t="s">
        <v>807</v>
      </c>
      <c r="C108" s="1" t="s">
        <v>1650</v>
      </c>
      <c r="D108" s="2" t="s">
        <v>1651</v>
      </c>
      <c r="E108" s="2" t="s">
        <v>1652</v>
      </c>
      <c r="F108" s="2" t="s">
        <v>1653</v>
      </c>
      <c r="G108" s="2" t="s">
        <v>1654</v>
      </c>
    </row>
    <row r="109" spans="1:7" ht="285" x14ac:dyDescent="0.25">
      <c r="A109" s="2" t="s">
        <v>1655</v>
      </c>
      <c r="B109" s="2" t="s">
        <v>807</v>
      </c>
      <c r="C109" s="1" t="s">
        <v>1656</v>
      </c>
      <c r="D109" s="2" t="s">
        <v>1657</v>
      </c>
      <c r="E109" s="2" t="s">
        <v>1658</v>
      </c>
      <c r="F109" s="2" t="s">
        <v>1659</v>
      </c>
      <c r="G109" s="2" t="s">
        <v>1660</v>
      </c>
    </row>
    <row r="110" spans="1:7" ht="180" x14ac:dyDescent="0.25">
      <c r="A110" s="2" t="s">
        <v>1661</v>
      </c>
      <c r="B110" s="2" t="s">
        <v>807</v>
      </c>
      <c r="C110" s="1" t="s">
        <v>1662</v>
      </c>
      <c r="D110" s="2" t="s">
        <v>1663</v>
      </c>
      <c r="E110" s="2" t="s">
        <v>1664</v>
      </c>
      <c r="F110" s="2" t="s">
        <v>1665</v>
      </c>
      <c r="G110" s="2" t="s">
        <v>1666</v>
      </c>
    </row>
    <row r="111" spans="1:7" ht="135" x14ac:dyDescent="0.25">
      <c r="A111" s="2" t="s">
        <v>1667</v>
      </c>
      <c r="B111" s="2" t="s">
        <v>807</v>
      </c>
      <c r="C111" s="1" t="s">
        <v>1668</v>
      </c>
      <c r="D111" s="2" t="s">
        <v>1669</v>
      </c>
      <c r="E111" s="2" t="s">
        <v>1670</v>
      </c>
      <c r="F111" s="2" t="s">
        <v>1671</v>
      </c>
      <c r="G111" s="2" t="s">
        <v>1672</v>
      </c>
    </row>
    <row r="112" spans="1:7" ht="165" x14ac:dyDescent="0.25">
      <c r="A112" s="2" t="s">
        <v>808</v>
      </c>
      <c r="B112" s="2" t="s">
        <v>650</v>
      </c>
      <c r="C112" s="1" t="s">
        <v>819</v>
      </c>
      <c r="D112" s="2"/>
      <c r="E112" s="2" t="s">
        <v>809</v>
      </c>
      <c r="F112" s="2" t="s">
        <v>810</v>
      </c>
      <c r="G112" s="2" t="s">
        <v>811</v>
      </c>
    </row>
    <row r="113" spans="1:7" ht="345" x14ac:dyDescent="0.25">
      <c r="A113" s="2" t="s">
        <v>812</v>
      </c>
      <c r="B113" s="2" t="s">
        <v>650</v>
      </c>
      <c r="C113" s="1" t="s">
        <v>1766</v>
      </c>
      <c r="D113" s="2"/>
      <c r="E113" s="2" t="s">
        <v>1767</v>
      </c>
      <c r="F113" s="2" t="s">
        <v>1768</v>
      </c>
      <c r="G113" s="2" t="s">
        <v>1769</v>
      </c>
    </row>
    <row r="114" spans="1:7" ht="135" x14ac:dyDescent="0.25">
      <c r="A114" s="2" t="s">
        <v>813</v>
      </c>
      <c r="B114" s="2" t="s">
        <v>650</v>
      </c>
      <c r="C114" s="1" t="s">
        <v>820</v>
      </c>
      <c r="D114" s="2"/>
      <c r="E114" s="2" t="s">
        <v>814</v>
      </c>
      <c r="F114" s="2" t="s">
        <v>815</v>
      </c>
      <c r="G114" s="2" t="s">
        <v>816</v>
      </c>
    </row>
    <row r="115" spans="1:7" ht="315" x14ac:dyDescent="0.25">
      <c r="A115" s="2" t="s">
        <v>817</v>
      </c>
      <c r="B115" s="2" t="s">
        <v>650</v>
      </c>
      <c r="C115" s="1" t="s">
        <v>1770</v>
      </c>
      <c r="D115" s="2"/>
      <c r="E115" s="2" t="s">
        <v>1771</v>
      </c>
      <c r="F115" s="2" t="s">
        <v>1772</v>
      </c>
      <c r="G115" s="2" t="s">
        <v>1773</v>
      </c>
    </row>
    <row r="116" spans="1:7" ht="240" x14ac:dyDescent="0.25">
      <c r="A116" s="2" t="s">
        <v>818</v>
      </c>
      <c r="B116" s="2" t="s">
        <v>650</v>
      </c>
      <c r="C116" s="1" t="s">
        <v>1774</v>
      </c>
      <c r="D116" s="2"/>
      <c r="E116" s="2" t="s">
        <v>1775</v>
      </c>
      <c r="F116" s="2" t="s">
        <v>1776</v>
      </c>
      <c r="G116" s="2" t="s">
        <v>1777</v>
      </c>
    </row>
    <row r="117" spans="1:7" ht="409.5" x14ac:dyDescent="0.25">
      <c r="A117" s="2" t="s">
        <v>1778</v>
      </c>
      <c r="B117" s="2" t="s">
        <v>650</v>
      </c>
      <c r="C117" s="1" t="s">
        <v>1779</v>
      </c>
      <c r="D117" s="2"/>
      <c r="E117" s="2" t="s">
        <v>1780</v>
      </c>
      <c r="F117" s="2" t="s">
        <v>1781</v>
      </c>
      <c r="G117" s="2" t="s">
        <v>1782</v>
      </c>
    </row>
    <row r="118" spans="1:7" ht="255" x14ac:dyDescent="0.25">
      <c r="A118" s="2" t="s">
        <v>867</v>
      </c>
      <c r="B118" s="2" t="s">
        <v>650</v>
      </c>
      <c r="C118" s="1" t="s">
        <v>868</v>
      </c>
      <c r="D118" s="2"/>
      <c r="E118" s="2" t="s">
        <v>869</v>
      </c>
      <c r="F118" s="2" t="s">
        <v>870</v>
      </c>
      <c r="G118" s="2" t="s">
        <v>871</v>
      </c>
    </row>
    <row r="119" spans="1:7" ht="360" x14ac:dyDescent="0.25">
      <c r="A119" s="2" t="s">
        <v>872</v>
      </c>
      <c r="B119" s="2" t="s">
        <v>650</v>
      </c>
      <c r="C119" s="1" t="s">
        <v>873</v>
      </c>
      <c r="D119" s="2"/>
      <c r="E119" s="2" t="s">
        <v>874</v>
      </c>
      <c r="F119" s="2" t="s">
        <v>875</v>
      </c>
      <c r="G119" s="2" t="s">
        <v>876</v>
      </c>
    </row>
    <row r="120" spans="1:7" ht="390" x14ac:dyDescent="0.25">
      <c r="A120" s="2" t="s">
        <v>1673</v>
      </c>
      <c r="B120" s="2" t="s">
        <v>650</v>
      </c>
      <c r="C120" s="1" t="s">
        <v>1674</v>
      </c>
      <c r="D120" s="2"/>
      <c r="E120" s="2" t="s">
        <v>1675</v>
      </c>
      <c r="F120" s="2" t="s">
        <v>1676</v>
      </c>
      <c r="G120" s="2" t="s">
        <v>1677</v>
      </c>
    </row>
    <row r="121" spans="1:7" ht="315" x14ac:dyDescent="0.25">
      <c r="A121" s="2" t="s">
        <v>1678</v>
      </c>
      <c r="B121" s="2" t="s">
        <v>650</v>
      </c>
      <c r="C121" s="1" t="s">
        <v>1679</v>
      </c>
      <c r="D121" s="2"/>
      <c r="E121" s="2" t="s">
        <v>1680</v>
      </c>
      <c r="F121" s="2" t="s">
        <v>1681</v>
      </c>
      <c r="G121" s="2" t="s">
        <v>1682</v>
      </c>
    </row>
    <row r="122" spans="1:7" ht="390" x14ac:dyDescent="0.25">
      <c r="A122" s="2" t="s">
        <v>1683</v>
      </c>
      <c r="B122" s="2" t="s">
        <v>650</v>
      </c>
      <c r="C122" s="1" t="s">
        <v>1684</v>
      </c>
      <c r="D122" s="2"/>
      <c r="E122" s="2" t="s">
        <v>1685</v>
      </c>
      <c r="F122" s="2" t="s">
        <v>1686</v>
      </c>
      <c r="G122" s="2" t="s">
        <v>1687</v>
      </c>
    </row>
    <row r="123" spans="1:7" ht="390" x14ac:dyDescent="0.25">
      <c r="A123" s="2" t="s">
        <v>1688</v>
      </c>
      <c r="B123" s="2" t="s">
        <v>650</v>
      </c>
      <c r="C123" s="1" t="s">
        <v>1694</v>
      </c>
      <c r="D123" s="2"/>
      <c r="E123" s="2" t="s">
        <v>1689</v>
      </c>
      <c r="F123" s="2" t="s">
        <v>1690</v>
      </c>
      <c r="G123" s="2" t="s">
        <v>1695</v>
      </c>
    </row>
    <row r="124" spans="1:7" ht="409.5" x14ac:dyDescent="0.25">
      <c r="A124" s="2" t="s">
        <v>877</v>
      </c>
      <c r="B124" s="2" t="s">
        <v>650</v>
      </c>
      <c r="C124" s="1" t="s">
        <v>878</v>
      </c>
      <c r="D124" s="2"/>
      <c r="E124" s="2" t="s">
        <v>879</v>
      </c>
      <c r="F124" s="2" t="s">
        <v>880</v>
      </c>
      <c r="G124" s="2" t="s">
        <v>881</v>
      </c>
    </row>
    <row r="125" spans="1:7" ht="409.5" x14ac:dyDescent="0.25">
      <c r="A125" s="2" t="s">
        <v>882</v>
      </c>
      <c r="B125" s="2" t="s">
        <v>650</v>
      </c>
      <c r="C125" s="1" t="s">
        <v>883</v>
      </c>
      <c r="D125" s="2"/>
      <c r="E125" s="2" t="s">
        <v>884</v>
      </c>
      <c r="F125" s="2" t="s">
        <v>885</v>
      </c>
      <c r="G125" s="2" t="s">
        <v>886</v>
      </c>
    </row>
    <row r="126" spans="1:7" ht="315" x14ac:dyDescent="0.25">
      <c r="A126" s="2" t="s">
        <v>887</v>
      </c>
      <c r="B126" s="2" t="s">
        <v>650</v>
      </c>
      <c r="C126" s="1" t="s">
        <v>888</v>
      </c>
      <c r="D126" s="2"/>
      <c r="E126" s="2" t="s">
        <v>889</v>
      </c>
      <c r="F126" s="2" t="s">
        <v>890</v>
      </c>
      <c r="G126" s="2" t="s">
        <v>900</v>
      </c>
    </row>
    <row r="127" spans="1:7" ht="255" x14ac:dyDescent="0.25">
      <c r="A127" s="2" t="s">
        <v>891</v>
      </c>
      <c r="B127" s="2" t="s">
        <v>650</v>
      </c>
      <c r="C127" s="1" t="s">
        <v>892</v>
      </c>
      <c r="D127" s="2"/>
      <c r="E127" s="2" t="s">
        <v>893</v>
      </c>
      <c r="F127" s="2" t="s">
        <v>894</v>
      </c>
      <c r="G127" s="2" t="s">
        <v>895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E279-121F-4C50-B648-01C5ACB02C4C}">
  <dimension ref="A1:A20"/>
  <sheetViews>
    <sheetView workbookViewId="0"/>
  </sheetViews>
  <sheetFormatPr defaultRowHeight="15" x14ac:dyDescent="0.25"/>
  <cols>
    <col min="1" max="1" width="110.7109375" customWidth="1"/>
  </cols>
  <sheetData>
    <row r="1" spans="1:1" x14ac:dyDescent="0.25">
      <c r="A1" s="3" t="s">
        <v>557</v>
      </c>
    </row>
    <row r="2" spans="1:1" ht="30" x14ac:dyDescent="0.25">
      <c r="A2" s="2" t="s">
        <v>824</v>
      </c>
    </row>
    <row r="3" spans="1:1" ht="30" x14ac:dyDescent="0.25">
      <c r="A3" s="2" t="s">
        <v>558</v>
      </c>
    </row>
    <row r="5" spans="1:1" x14ac:dyDescent="0.25">
      <c r="A5" s="3" t="s">
        <v>825</v>
      </c>
    </row>
    <row r="6" spans="1:1" ht="75" x14ac:dyDescent="0.25">
      <c r="A6" s="2" t="s">
        <v>1568</v>
      </c>
    </row>
    <row r="8" spans="1:1" x14ac:dyDescent="0.25">
      <c r="A8" s="3" t="s">
        <v>1579</v>
      </c>
    </row>
    <row r="9" spans="1:1" ht="135" x14ac:dyDescent="0.25">
      <c r="A9" s="2" t="s">
        <v>826</v>
      </c>
    </row>
    <row r="10" spans="1:1" ht="90" x14ac:dyDescent="0.25">
      <c r="A10" s="2" t="s">
        <v>827</v>
      </c>
    </row>
    <row r="11" spans="1:1" ht="150" x14ac:dyDescent="0.25">
      <c r="A11" s="2" t="s">
        <v>906</v>
      </c>
    </row>
    <row r="13" spans="1:1" x14ac:dyDescent="0.25">
      <c r="A13" s="3" t="s">
        <v>828</v>
      </c>
    </row>
    <row r="14" spans="1:1" ht="45" x14ac:dyDescent="0.25">
      <c r="A14" s="2" t="s">
        <v>829</v>
      </c>
    </row>
    <row r="16" spans="1:1" x14ac:dyDescent="0.25">
      <c r="A16" s="3" t="s">
        <v>830</v>
      </c>
    </row>
    <row r="17" spans="1:1" ht="60" x14ac:dyDescent="0.25">
      <c r="A17" s="2" t="s">
        <v>831</v>
      </c>
    </row>
    <row r="19" spans="1:1" x14ac:dyDescent="0.25">
      <c r="A19" s="3" t="s">
        <v>559</v>
      </c>
    </row>
    <row r="20" spans="1:1" ht="120" x14ac:dyDescent="0.25">
      <c r="A20" s="2" t="s">
        <v>1691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22F9D-30BB-46D9-906E-C46170FDE3D1}">
  <dimension ref="A1:D37"/>
  <sheetViews>
    <sheetView tabSelected="1" workbookViewId="0"/>
  </sheetViews>
  <sheetFormatPr defaultRowHeight="15" x14ac:dyDescent="0.25"/>
  <cols>
    <col min="1" max="1" width="28.7109375" customWidth="1"/>
    <col min="2" max="3" width="22.7109375" customWidth="1"/>
    <col min="4" max="4" width="46.7109375" customWidth="1"/>
  </cols>
  <sheetData>
    <row r="1" spans="1:4" x14ac:dyDescent="0.25">
      <c r="A1" s="3" t="s">
        <v>560</v>
      </c>
      <c r="B1" s="6"/>
      <c r="C1" s="6"/>
      <c r="D1" s="6"/>
    </row>
    <row r="2" spans="1:4" ht="105" x14ac:dyDescent="0.25">
      <c r="A2" s="2" t="s">
        <v>561</v>
      </c>
    </row>
    <row r="4" spans="1:4" x14ac:dyDescent="0.25">
      <c r="A4" s="5" t="s">
        <v>562</v>
      </c>
      <c r="B4" s="4"/>
      <c r="C4" s="4"/>
      <c r="D4" s="4"/>
    </row>
    <row r="5" spans="1:4" x14ac:dyDescent="0.25">
      <c r="A5" s="5" t="s">
        <v>563</v>
      </c>
      <c r="B5" s="5" t="s">
        <v>564</v>
      </c>
      <c r="C5" s="5" t="s">
        <v>565</v>
      </c>
      <c r="D5" s="5" t="s">
        <v>566</v>
      </c>
    </row>
    <row r="6" spans="1:4" ht="45" x14ac:dyDescent="0.25">
      <c r="A6" s="2" t="s">
        <v>567</v>
      </c>
      <c r="B6" s="2" t="s">
        <v>568</v>
      </c>
      <c r="C6" s="2" t="s">
        <v>152</v>
      </c>
      <c r="D6" s="2" t="s">
        <v>569</v>
      </c>
    </row>
    <row r="7" spans="1:4" ht="60" x14ac:dyDescent="0.25">
      <c r="A7" s="2" t="s">
        <v>570</v>
      </c>
      <c r="B7" s="2" t="s">
        <v>571</v>
      </c>
      <c r="C7" s="2" t="s">
        <v>572</v>
      </c>
      <c r="D7" s="2" t="s">
        <v>573</v>
      </c>
    </row>
    <row r="8" spans="1:4" ht="45" x14ac:dyDescent="0.25">
      <c r="A8" s="2" t="s">
        <v>574</v>
      </c>
      <c r="B8" s="2" t="s">
        <v>568</v>
      </c>
      <c r="C8" s="2" t="s">
        <v>575</v>
      </c>
      <c r="D8" s="2" t="s">
        <v>576</v>
      </c>
    </row>
    <row r="10" spans="1:4" x14ac:dyDescent="0.25">
      <c r="A10" s="5" t="s">
        <v>577</v>
      </c>
      <c r="B10" s="4"/>
      <c r="C10" s="4"/>
      <c r="D10" s="4"/>
    </row>
    <row r="11" spans="1:4" x14ac:dyDescent="0.25">
      <c r="A11" s="5" t="s">
        <v>563</v>
      </c>
      <c r="B11" s="5" t="s">
        <v>564</v>
      </c>
      <c r="C11" s="5" t="s">
        <v>565</v>
      </c>
      <c r="D11" s="5" t="s">
        <v>566</v>
      </c>
    </row>
    <row r="12" spans="1:4" ht="60" x14ac:dyDescent="0.25">
      <c r="A12" s="2" t="s">
        <v>578</v>
      </c>
      <c r="B12" s="2" t="s">
        <v>568</v>
      </c>
      <c r="C12" s="2" t="s">
        <v>579</v>
      </c>
      <c r="D12" s="2" t="s">
        <v>580</v>
      </c>
    </row>
    <row r="13" spans="1:4" ht="180" x14ac:dyDescent="0.25">
      <c r="A13" s="2" t="s">
        <v>581</v>
      </c>
      <c r="B13" s="2" t="s">
        <v>582</v>
      </c>
      <c r="C13" s="2" t="s">
        <v>581</v>
      </c>
      <c r="D13" s="2" t="s">
        <v>583</v>
      </c>
    </row>
    <row r="14" spans="1:4" ht="60" x14ac:dyDescent="0.25">
      <c r="A14" s="2" t="s">
        <v>584</v>
      </c>
      <c r="B14" s="2" t="s">
        <v>585</v>
      </c>
      <c r="C14" s="2" t="s">
        <v>586</v>
      </c>
      <c r="D14" s="2" t="s">
        <v>587</v>
      </c>
    </row>
    <row r="15" spans="1:4" ht="75" x14ac:dyDescent="0.25">
      <c r="A15" s="2" t="s">
        <v>588</v>
      </c>
      <c r="B15" s="2" t="s">
        <v>582</v>
      </c>
      <c r="C15" s="2" t="s">
        <v>589</v>
      </c>
      <c r="D15" s="2" t="s">
        <v>590</v>
      </c>
    </row>
    <row r="17" spans="1:4" x14ac:dyDescent="0.25">
      <c r="A17" s="5" t="s">
        <v>591</v>
      </c>
      <c r="B17" s="4"/>
      <c r="C17" s="4"/>
      <c r="D17" s="4"/>
    </row>
    <row r="18" spans="1:4" x14ac:dyDescent="0.25">
      <c r="A18" s="5" t="s">
        <v>592</v>
      </c>
      <c r="B18" s="5" t="s">
        <v>593</v>
      </c>
      <c r="C18" s="5" t="s">
        <v>594</v>
      </c>
      <c r="D18" s="5" t="s">
        <v>595</v>
      </c>
    </row>
    <row r="19" spans="1:4" ht="30" x14ac:dyDescent="0.25">
      <c r="A19" s="2" t="s">
        <v>1569</v>
      </c>
      <c r="B19" s="2" t="s">
        <v>1570</v>
      </c>
      <c r="C19" s="2" t="s">
        <v>1571</v>
      </c>
      <c r="D19" s="2" t="s">
        <v>1572</v>
      </c>
    </row>
    <row r="20" spans="1:4" ht="30" x14ac:dyDescent="0.25">
      <c r="A20" s="2" t="s">
        <v>104</v>
      </c>
      <c r="B20" s="2" t="s">
        <v>1573</v>
      </c>
      <c r="C20" s="2" t="s">
        <v>596</v>
      </c>
      <c r="D20" s="2" t="s">
        <v>597</v>
      </c>
    </row>
    <row r="21" spans="1:4" x14ac:dyDescent="0.25">
      <c r="A21" s="2" t="s">
        <v>598</v>
      </c>
      <c r="B21" s="2" t="s">
        <v>599</v>
      </c>
      <c r="C21" s="2" t="s">
        <v>600</v>
      </c>
      <c r="D21" s="2" t="s">
        <v>601</v>
      </c>
    </row>
    <row r="22" spans="1:4" ht="30" x14ac:dyDescent="0.25">
      <c r="A22" s="2" t="s">
        <v>602</v>
      </c>
      <c r="B22" s="2" t="s">
        <v>603</v>
      </c>
      <c r="C22" s="2" t="s">
        <v>604</v>
      </c>
      <c r="D22" s="2" t="s">
        <v>605</v>
      </c>
    </row>
    <row r="23" spans="1:4" x14ac:dyDescent="0.25">
      <c r="A23" s="2" t="s">
        <v>606</v>
      </c>
      <c r="B23" s="2" t="s">
        <v>607</v>
      </c>
      <c r="C23" s="2" t="s">
        <v>600</v>
      </c>
      <c r="D23" s="2" t="s">
        <v>608</v>
      </c>
    </row>
    <row r="24" spans="1:4" x14ac:dyDescent="0.25">
      <c r="A24" s="2" t="s">
        <v>609</v>
      </c>
      <c r="B24" s="2" t="s">
        <v>610</v>
      </c>
      <c r="C24" s="2" t="s">
        <v>600</v>
      </c>
      <c r="D24" s="2" t="s">
        <v>611</v>
      </c>
    </row>
    <row r="25" spans="1:4" x14ac:dyDescent="0.25">
      <c r="A25" s="2" t="s">
        <v>585</v>
      </c>
      <c r="B25" s="2" t="s">
        <v>612</v>
      </c>
      <c r="C25" s="2" t="s">
        <v>600</v>
      </c>
      <c r="D25" s="2" t="s">
        <v>613</v>
      </c>
    </row>
    <row r="26" spans="1:4" ht="30" x14ac:dyDescent="0.25">
      <c r="A26" s="2" t="s">
        <v>586</v>
      </c>
      <c r="B26" s="2" t="s">
        <v>614</v>
      </c>
      <c r="C26" s="2" t="s">
        <v>615</v>
      </c>
      <c r="D26" s="2" t="s">
        <v>616</v>
      </c>
    </row>
    <row r="27" spans="1:4" x14ac:dyDescent="0.25">
      <c r="A27" s="2" t="s">
        <v>581</v>
      </c>
      <c r="B27" s="2" t="s">
        <v>617</v>
      </c>
      <c r="C27" s="2" t="s">
        <v>618</v>
      </c>
      <c r="D27" s="2" t="s">
        <v>619</v>
      </c>
    </row>
    <row r="28" spans="1:4" ht="30" x14ac:dyDescent="0.25">
      <c r="A28" s="2" t="s">
        <v>578</v>
      </c>
      <c r="B28" s="2" t="s">
        <v>620</v>
      </c>
      <c r="C28" s="2" t="s">
        <v>621</v>
      </c>
      <c r="D28" s="2" t="s">
        <v>622</v>
      </c>
    </row>
    <row r="29" spans="1:4" x14ac:dyDescent="0.25">
      <c r="A29" s="2" t="s">
        <v>623</v>
      </c>
      <c r="B29" s="2" t="s">
        <v>624</v>
      </c>
      <c r="C29" s="2" t="s">
        <v>625</v>
      </c>
      <c r="D29" s="2" t="s">
        <v>626</v>
      </c>
    </row>
    <row r="31" spans="1:4" x14ac:dyDescent="0.25">
      <c r="A31" s="5" t="s">
        <v>627</v>
      </c>
      <c r="B31" s="4"/>
      <c r="C31" s="4"/>
    </row>
    <row r="32" spans="1:4" x14ac:dyDescent="0.25">
      <c r="A32" s="5" t="s">
        <v>628</v>
      </c>
      <c r="B32" s="5" t="s">
        <v>629</v>
      </c>
      <c r="C32" s="5" t="s">
        <v>630</v>
      </c>
    </row>
    <row r="33" spans="1:3" ht="120" x14ac:dyDescent="0.25">
      <c r="A33" s="2" t="s">
        <v>631</v>
      </c>
      <c r="B33" s="2" t="s">
        <v>632</v>
      </c>
      <c r="C33" s="2" t="s">
        <v>633</v>
      </c>
    </row>
    <row r="34" spans="1:3" ht="105" x14ac:dyDescent="0.25">
      <c r="A34" s="2" t="s">
        <v>634</v>
      </c>
      <c r="B34" s="2" t="s">
        <v>635</v>
      </c>
      <c r="C34" s="2" t="s">
        <v>636</v>
      </c>
    </row>
    <row r="35" spans="1:3" ht="120" x14ac:dyDescent="0.25">
      <c r="A35" s="2" t="s">
        <v>637</v>
      </c>
      <c r="B35" s="2" t="s">
        <v>638</v>
      </c>
      <c r="C35" s="2" t="s">
        <v>639</v>
      </c>
    </row>
    <row r="36" spans="1:3" ht="255" x14ac:dyDescent="0.25">
      <c r="A36" s="2" t="s">
        <v>640</v>
      </c>
      <c r="B36" s="2" t="s">
        <v>641</v>
      </c>
      <c r="C36" s="2" t="s">
        <v>642</v>
      </c>
    </row>
    <row r="37" spans="1:3" ht="150" x14ac:dyDescent="0.25">
      <c r="A37" s="2" t="s">
        <v>1574</v>
      </c>
      <c r="B37" s="2" t="s">
        <v>1575</v>
      </c>
      <c r="C37" s="2" t="s">
        <v>643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Mileage Data</vt:lpstr>
      <vt:lpstr>Life Expectancy Data</vt:lpstr>
      <vt:lpstr>Production Lots</vt:lpstr>
      <vt:lpstr>Version History</vt:lpstr>
      <vt:lpstr>Regression</vt:lpstr>
      <vt:lpstr>LAMBDA_functions</vt:lpstr>
      <vt:lpstr>Regression Instructions</vt:lpstr>
      <vt:lpstr>Diagnostic Guide</vt:lpstr>
      <vt:lpstr>Regression!Allow_Intercept</vt:lpstr>
      <vt:lpstr>Regression!alpha</vt:lpstr>
      <vt:lpstr>Regression!Spec_Base_Period_Delta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Colodner, Stephen</dc:creator>
  <cp:lastModifiedBy>Colodner, Stephen</cp:lastModifiedBy>
  <dcterms:created xsi:type="dcterms:W3CDTF">2026-06-22T19:13:42Z</dcterms:created>
  <dcterms:modified xsi:type="dcterms:W3CDTF">2026-07-27T17:58:05Z</dcterms:modified>
</cp:coreProperties>
</file>