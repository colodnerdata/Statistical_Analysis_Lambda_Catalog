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A2474356-7817-490D-B46B-0B3F2A2504CA}"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56" r:id="rId5"/>
    <sheet name="Regression" sheetId="7" r:id="rId6"/>
    <sheet name="Diagnostic Guide" sheetId="5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D101" i="7" l="1"/>
  <c r="BC101" i="7"/>
  <c r="BD100" i="7"/>
  <c r="BC100" i="7"/>
  <c r="BD99" i="7"/>
  <c r="BC99" i="7"/>
  <c r="BD98" i="7"/>
  <c r="BC98" i="7"/>
  <c r="BB98" i="7"/>
  <c r="BD96" i="7"/>
  <c r="BC96" i="7"/>
  <c r="BD95" i="7"/>
  <c r="BC95" i="7"/>
  <c r="AB21" i="7" a="1"/>
  <c r="AB21" i="7" s="1"/>
  <c r="AA21" i="7" a="1"/>
  <c r="AA21" i="7" s="1"/>
  <c r="AL19" i="7" a="1"/>
  <c r="AK62" i="7" s="1" a="1"/>
  <c r="AK62" i="7" s="1"/>
  <c r="AJ19" i="7" a="1"/>
  <c r="AJ19" i="7" s="1"/>
  <c r="AC17" i="7" a="1"/>
  <c r="AC17" i="7" s="1"/>
  <c r="AB17" i="7" a="1"/>
  <c r="AB17" i="7" s="1"/>
  <c r="AC16" i="7" a="1"/>
  <c r="AC16" i="7" s="1"/>
  <c r="AC15" i="7" a="1"/>
  <c r="AC15" i="7" s="1"/>
  <c r="AB15" i="7" a="1"/>
  <c r="AB15" i="7" s="1"/>
  <c r="O15" i="7"/>
  <c r="L15" i="7"/>
  <c r="K15" i="7"/>
  <c r="J15" i="7"/>
  <c r="AK14" i="7" a="1"/>
  <c r="AK14" i="7" s="1"/>
  <c r="O14" i="7"/>
  <c r="O1" i="7" s="1"/>
  <c r="M2" i="7" s="1"/>
  <c r="L14" i="7"/>
  <c r="K14" i="7"/>
  <c r="J14" i="7"/>
  <c r="AK13" i="7" a="1"/>
  <c r="AK13" i="7" s="1"/>
  <c r="O13" i="7"/>
  <c r="L13" i="7"/>
  <c r="K13" i="7"/>
  <c r="J13" i="7"/>
  <c r="AK12" i="7"/>
  <c r="AE12" i="7" a="1"/>
  <c r="AE12" i="7"/>
  <c r="O12" i="7"/>
  <c r="L12" i="7"/>
  <c r="K12" i="7"/>
  <c r="J12" i="7"/>
  <c r="AE11" i="7" a="1"/>
  <c r="AE11" i="7"/>
  <c r="O11" i="7"/>
  <c r="L11" i="7"/>
  <c r="K11" i="7"/>
  <c r="J11" i="7"/>
  <c r="O10" i="7"/>
  <c r="L10" i="7"/>
  <c r="K10" i="7"/>
  <c r="J10" i="7"/>
  <c r="O9" i="7"/>
  <c r="L9" i="7"/>
  <c r="K9" i="7"/>
  <c r="J9" i="7"/>
  <c r="AB8" i="7" a="1"/>
  <c r="AB8" i="7"/>
  <c r="BB99" i="7" s="1"/>
  <c r="O8" i="7"/>
  <c r="L8" i="7"/>
  <c r="K8" i="7"/>
  <c r="J8" i="7"/>
  <c r="O7" i="7"/>
  <c r="L7" i="7"/>
  <c r="K7" i="7"/>
  <c r="J7" i="7"/>
  <c r="AE6" i="7" a="1"/>
  <c r="AE6" i="7"/>
  <c r="BB100" i="7" s="1"/>
  <c r="O6" i="7"/>
  <c r="L6" i="7"/>
  <c r="K6" i="7"/>
  <c r="J6" i="7"/>
  <c r="BS5" i="7" a="1"/>
  <c r="BS5" i="7"/>
  <c r="AE5" i="7" a="1"/>
  <c r="AE5" i="7" s="1"/>
  <c r="AB5" i="7" a="1"/>
  <c r="AB5" i="7" s="1"/>
  <c r="O5" i="7"/>
  <c r="L5" i="7"/>
  <c r="K5" i="7"/>
  <c r="J5" i="7"/>
  <c r="BS4" i="7" a="1"/>
  <c r="BS4" i="7"/>
  <c r="AE4" i="7" a="1"/>
  <c r="AE4" i="7" s="1"/>
  <c r="BB101" i="7" s="1"/>
  <c r="AB4" i="7" a="1"/>
  <c r="AB4" i="7" s="1"/>
  <c r="O4" i="7"/>
  <c r="L4" i="7"/>
  <c r="K4" i="7"/>
  <c r="J4" i="7"/>
  <c r="A4" i="7" a="1"/>
  <c r="A4" i="7"/>
  <c r="BS3" i="7" a="1"/>
  <c r="BS3" i="7" s="1"/>
  <c r="AX3" i="7" a="1"/>
  <c r="AX3" i="7" s="1"/>
  <c r="AU3" i="7" a="1"/>
  <c r="AU3" i="7" s="1"/>
  <c r="AR3" i="7" a="1"/>
  <c r="AR3" i="7"/>
  <c r="AQ3" i="7" a="1"/>
  <c r="AQ3" i="7"/>
  <c r="AP3" i="7" a="1"/>
  <c r="AP3" i="7" s="1"/>
  <c r="AO3" i="7" a="1"/>
  <c r="AO3" i="7" s="1"/>
  <c r="AN3" i="7" a="1"/>
  <c r="AN3" i="7"/>
  <c r="Y3" i="7" a="1"/>
  <c r="Y3" i="7" s="1"/>
  <c r="X3" i="7" a="1"/>
  <c r="X3" i="7" s="1"/>
  <c r="W3" i="7" a="1"/>
  <c r="W3" i="7" s="1"/>
  <c r="V3" i="7" a="1"/>
  <c r="V3" i="7" s="1"/>
  <c r="U3" i="7" a="1"/>
  <c r="U3" i="7" s="1"/>
  <c r="T3" i="7" a="1"/>
  <c r="T3" i="7"/>
  <c r="S3" i="7" a="1"/>
  <c r="S3" i="7" s="1"/>
  <c r="BS2" i="7"/>
  <c r="AE15" i="7" s="1" a="1"/>
  <c r="AE15" i="7" s="1"/>
  <c r="AY2" i="7" a="1"/>
  <c r="AY2" i="7"/>
  <c r="AX2" i="7" a="1"/>
  <c r="AX2" i="7"/>
  <c r="AW2" i="7" a="1"/>
  <c r="AW2" i="7"/>
  <c r="AV2" i="7" a="1"/>
  <c r="AV2" i="7"/>
  <c r="AU2" i="7" a="1"/>
  <c r="AU2" i="7"/>
  <c r="AT2" i="7" a="1"/>
  <c r="AT2" i="7"/>
  <c r="AS2" i="7" a="1"/>
  <c r="AS2" i="7"/>
  <c r="AR2" i="7" a="1"/>
  <c r="AR2" i="7" s="1"/>
  <c r="AQ2" i="7" a="1"/>
  <c r="AQ2" i="7"/>
  <c r="AP2" i="7" a="1"/>
  <c r="AP2" i="7"/>
  <c r="AO2" i="7" a="1"/>
  <c r="AO2" i="7"/>
  <c r="AF2" i="7" a="1"/>
  <c r="AF2" i="7"/>
  <c r="BB95" i="7" s="1"/>
  <c r="P2" i="7" a="1"/>
  <c r="P2" i="7" s="1"/>
  <c r="L2" i="7" a="1"/>
  <c r="L2" i="7"/>
  <c r="K2" i="7" a="1"/>
  <c r="K2" i="7" s="1"/>
  <c r="J2" i="7" a="1"/>
  <c r="J2" i="7"/>
  <c r="I2" i="7" a="1"/>
  <c r="I2" i="7" s="1"/>
  <c r="E1" i="7" a="1"/>
  <c r="E1" i="7"/>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B7" i="7" l="1" a="1"/>
  <c r="AB7" i="7" s="1"/>
  <c r="AW3" i="7" a="1"/>
  <c r="AW3" i="7" s="1"/>
  <c r="AE9" i="7" a="1"/>
  <c r="AE9" i="7" s="1"/>
  <c r="AT3" i="7" a="1"/>
  <c r="AV3" i="7" a="1"/>
  <c r="AV3" i="7" s="1"/>
  <c r="AG21" i="7" a="1"/>
  <c r="AG21" i="7" s="1"/>
  <c r="AF21" i="7" a="1"/>
  <c r="AF21" i="7" s="1"/>
  <c r="AE8" i="7" a="1"/>
  <c r="AE8" i="7" s="1"/>
  <c r="AB6" i="7" a="1"/>
  <c r="AB6" i="7" s="1"/>
  <c r="BB97" i="7" s="1"/>
  <c r="AE21" i="7" a="1"/>
  <c r="AE21" i="7" s="1"/>
  <c r="AS3" i="7" a="1"/>
  <c r="AS3" i="7" s="1"/>
  <c r="AD21" i="7" a="1"/>
  <c r="AD21" i="7" s="1"/>
  <c r="AD16" i="7" a="1"/>
  <c r="AD16" i="7" s="1"/>
  <c r="AC21" i="7" a="1"/>
  <c r="AC21" i="7" s="1"/>
  <c r="AB16" i="7" a="1"/>
  <c r="AB16" i="7" s="1"/>
  <c r="AE10" i="7" a="1"/>
  <c r="AE10" i="7" s="1"/>
  <c r="BB96" i="7" s="1"/>
  <c r="AE7" i="7" a="1"/>
  <c r="AE7" i="7" s="1"/>
  <c r="AF15" i="7" a="1"/>
  <c r="AF15" i="7" s="1"/>
  <c r="AK23" i="7" a="1"/>
  <c r="AK23" i="7" s="1"/>
  <c r="AK33" i="7" a="1"/>
  <c r="AK33" i="7" s="1"/>
  <c r="AK43" i="7" a="1"/>
  <c r="AK43" i="7" s="1"/>
  <c r="AK53" i="7" a="1"/>
  <c r="AK53"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BC97" i="7"/>
  <c r="BD97" i="7"/>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BS6" i="7" a="1"/>
  <c r="BS6" i="7" s="1"/>
  <c r="AH21" i="7" a="1"/>
  <c r="AH21" i="7" s="1"/>
  <c r="AK30" i="7" a="1"/>
  <c r="AK30" i="7" s="1"/>
  <c r="AK40" i="7" a="1"/>
  <c r="AK40" i="7" s="1"/>
  <c r="AK50" i="7" a="1"/>
  <c r="AK50" i="7" s="1"/>
  <c r="AK60" i="7" a="1"/>
  <c r="AK60" i="7" s="1"/>
  <c r="AL19" i="7"/>
  <c r="AK19" i="7" s="1" a="1"/>
  <c r="AK19" i="7" s="1"/>
  <c r="AK3" i="7" s="1" a="1"/>
  <c r="AK3" i="7" s="1"/>
  <c r="AD15" i="7" a="1"/>
  <c r="AD15"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T3" i="7" l="1"/>
  <c r="AY3" i="7" a="1"/>
  <c r="AY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AB3EEECF-9DED-4CAD-8B2A-AFE19E37F259}">
      <text>
        <r>
          <rPr>
            <b/>
            <sz val="9"/>
            <color indexed="81"/>
            <rFont val="Tahoma"/>
            <family val="2"/>
          </rPr>
          <t>Reserved §4b position. Sample_Include() is materialized here as a thunk over a spill in a follow-up (Excel-verified), not blind; the live closure remains the row mask until then.</t>
        </r>
      </text>
    </comment>
    <comment ref="BW1" authorId="0" shapeId="0" xr:uid="{840F8176-A935-4078-8FBA-5B9156239304}">
      <text>
        <r>
          <rPr>
            <b/>
            <sz val="9"/>
            <color indexed="81"/>
            <rFont val="Tahoma"/>
            <family val="2"/>
          </rPr>
          <t>Reserved §4b terminal position. Nothing may ever be placed to the right of this zone: the design matrix's width is unbounded and one dropdown away, so any zone after it would be displaced by an ordinary modelling choice. Design_Columns() is materialized here in a follow-up release; until then the constructor is evaluated per call site, and the pre-flight width guard in the spec block already reports what this zone would occupy.</t>
        </r>
      </text>
    </comment>
    <comment ref="T2" authorId="0" shapeId="0" xr:uid="{45E0C09B-B75D-4C75-A3A2-0F936423D3D3}">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704ED595-3CAD-4C3F-8152-532FB66C7772}">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9BF9B3BD-C0DD-4547-A5E4-202F326B3FFE}">
      <text>
        <r>
          <rPr>
            <b/>
            <sz val="9"/>
            <color indexed="81"/>
            <rFont val="Tahoma"/>
            <family val="2"/>
          </rPr>
          <t>Shows whether the data have a longer tail on one side. Positive means a longer right tail; negative means a longer left tail.</t>
        </r>
      </text>
    </comment>
    <comment ref="W2" authorId="0" shapeId="0" xr:uid="{067C9265-5622-4B0A-B13A-7C1CFE72F754}">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3A26425A-50F5-445D-A0DC-5DE235E3D1B4}">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91686EC2-C9D1-4F99-BBB5-2BC5A804D187}">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4CDC2901-41B0-4E31-AC83-7C27DA4B3970}">
      <text>
        <r>
          <rPr>
            <b/>
            <sz val="9"/>
            <color indexed="81"/>
            <rFont val="Tahoma"/>
            <family val="2"/>
          </rPr>
          <t>The actual observed outcome values.</t>
        </r>
      </text>
    </comment>
    <comment ref="AP2" authorId="0" shapeId="0" xr:uid="{E728814C-8D94-4D55-80E3-01892E428F9B}">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160C2FF0-BAA4-4BB5-B558-35F26DD29FAC}">
      <text>
        <r>
          <rPr>
            <b/>
            <sz val="9"/>
            <color indexed="81"/>
            <rFont val="Tahoma"/>
            <family val="2"/>
          </rPr>
          <t>Actual Y minus predicted Y. Positive means the row came in above the model's prediction; negative means below.</t>
        </r>
      </text>
    </comment>
    <comment ref="AR2" authorId="0" shapeId="0" xr:uid="{C40E8981-771D-43CB-B159-81D4D0591749}">
      <text>
        <r>
          <rPr>
            <b/>
            <sz val="9"/>
            <color indexed="81"/>
            <rFont val="Tahoma"/>
            <family val="2"/>
          </rPr>
          <t>Leverage. It shows how unusual a row's predictor values are relative to the rest of the data.</t>
        </r>
      </text>
    </comment>
    <comment ref="AS2" authorId="0" shapeId="0" xr:uid="{BB4956B3-1C4B-46F2-9F4C-E207A662EB3D}">
      <text>
        <r>
          <rPr>
            <b/>
            <sz val="9"/>
            <color indexed="81"/>
            <rFont val="Tahoma"/>
            <family val="2"/>
          </rPr>
          <t>Residuals scaled to account for overall error size and leverage, making outliers easier to compare fairly.</t>
        </r>
      </text>
    </comment>
    <comment ref="AT2" authorId="0" shapeId="0" xr:uid="{E0BB585E-3014-4875-A9BD-23F736CD347E}">
      <text>
        <r>
          <rPr>
            <b/>
            <sz val="9"/>
            <color indexed="81"/>
            <rFont val="Tahoma"/>
            <family val="2"/>
          </rPr>
          <t>How much a single row can pull the fitted coefficients and predictions around.</t>
        </r>
      </text>
    </comment>
    <comment ref="AU2" authorId="0" shapeId="0" xr:uid="{83C23667-8441-4B1E-B715-FA82E053D256}">
      <text>
        <r>
          <rPr>
            <b/>
            <sz val="9"/>
            <color indexed="81"/>
            <rFont val="Tahoma"/>
            <family val="2"/>
          </rPr>
          <t>Expected bell-curve quantiles used for the Q-Q comparison.</t>
        </r>
      </text>
    </comment>
    <comment ref="AV2" authorId="0" shapeId="0" xr:uid="{6D0474E0-4345-4AB2-AAAE-8B3D6C512C37}">
      <text>
        <r>
          <rPr>
            <b/>
            <sz val="9"/>
            <color indexed="81"/>
            <rFont val="Tahoma"/>
            <family val="2"/>
          </rPr>
          <t>Studentized residuals sorted from smallest to largest for the Q-Q plot.</t>
        </r>
      </text>
    </comment>
    <comment ref="AW2" authorId="0" shapeId="0" xr:uid="{FB4FFD9F-D2A4-4EBE-A268-9A81C5DBAEE7}">
      <text>
        <r>
          <rPr>
            <b/>
            <sz val="9"/>
            <color indexed="81"/>
            <rFont val="Tahoma"/>
            <family val="2"/>
          </rPr>
          <t>The square root of the absolute studentized residual. A flat pattern suggests stable error spread.</t>
        </r>
      </text>
    </comment>
    <comment ref="AX2" authorId="0" shapeId="0" xr:uid="{C18741C1-41AC-4EA2-98C6-3EF3483071F4}">
      <text>
        <r>
          <rPr>
            <b/>
            <sz val="9"/>
            <color indexed="81"/>
            <rFont val="Tahoma"/>
            <family val="2"/>
          </rPr>
          <t>The prediction error for a row when that row is left out of the fitting step (the leave-one-out / LOOCV residual). Summing its squares gives PRESS.</t>
        </r>
      </text>
    </comment>
    <comment ref="AY2" authorId="0" shapeId="0" xr:uid="{FB4C4ED7-63F4-4AB9-B183-5BAFB3FB912F}">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4C6B81F4-4F1D-46EF-8AE1-131FC0F1709F}">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252A9EBC-F1DD-499E-804D-4747B9737AC5}">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41EE595A-5A18-406F-B593-DC16E79B8322}">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6A7E262F-9DED-4099-BB71-F5F62714E845}">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A1989B85-082E-4672-92F7-E2107187FC37}">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CA9D121A-5D17-43D9-9299-7484EB3915D2}">
      <text>
        <r>
          <rPr>
            <b/>
            <sz val="9"/>
            <color indexed="81"/>
            <rFont val="Tahoma"/>
            <family val="2"/>
          </rPr>
          <t>Reserved for a future release — not yet used by any formula.</t>
        </r>
      </text>
    </comment>
    <comment ref="G3" authorId="0" shapeId="0" xr:uid="{44D53238-D202-4FAF-B57A-0015789825B6}">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12B2411C-863D-4114-AD45-B4C083CCEDBB}">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1A6F1C19-9440-49AC-AF75-8656B69D92FB}">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368BAACD-30B9-4B2B-ADE5-442C8B6BEC0A}">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0C32A12F-3A5B-4911-ACBE-775DCD4EEC1B}">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6D46CC70-AB75-457B-8D35-07B1FC3914EA}">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4F2419FA-8ACA-4265-8ACE-65E69BE237F1}">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7DF46C78-3F82-4FCD-8606-973063FA9A2D}">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D267658C-CC28-4432-83F7-39EBA9D1BDA1}">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5D00ACE3-2924-4B88-94DD-6F1CC9440568}">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0909FE8D-3B2B-4875-9495-A21EC76DBD02}">
      <text>
        <r>
          <rPr>
            <b/>
            <sz val="9"/>
            <color indexed="81"/>
            <rFont val="Tahoma"/>
            <family val="2"/>
          </rPr>
          <t>How closely the model's predicted Y values track the actual Y values overall.</t>
        </r>
      </text>
    </comment>
    <comment ref="AD4" authorId="0" shapeId="0" xr:uid="{83B69259-2DE7-4631-B42C-E18CA393B009}">
      <text>
        <r>
          <rPr>
            <b/>
            <sz val="9"/>
            <color indexed="81"/>
            <rFont val="Tahoma"/>
            <family val="2"/>
          </rPr>
          <t>A leave-one-out prediction error score. Lower is better because it means the model predicts unseen rows more accurately.</t>
        </r>
      </text>
    </comment>
    <comment ref="AJ4" authorId="0" shapeId="0" xr:uid="{F4025115-853B-4EC3-9F6F-B645BF0A40A0}">
      <text>
        <r>
          <rPr>
            <b/>
            <sz val="9"/>
            <color indexed="81"/>
            <rFont val="Tahoma"/>
            <family val="2"/>
          </rPr>
          <t>Standard error for the MEAN of Y at the chosen X values. Builds the confidence interval — the narrower band — for where the average response sits.</t>
        </r>
      </text>
    </comment>
    <comment ref="AA5" authorId="0" shapeId="0" xr:uid="{DC0DCB48-9264-4534-8642-B6A98E0C6786}">
      <text>
        <r>
          <rPr>
            <b/>
            <sz val="9"/>
            <color indexed="81"/>
            <rFont val="Tahoma"/>
            <family val="2"/>
          </rPr>
          <t>The share of the outcome's variation explained by the model.</t>
        </r>
      </text>
    </comment>
    <comment ref="AD5" authorId="0" shapeId="0" xr:uid="{DB4861BF-63FF-49C4-B6BF-3B5740E9D720}">
      <text>
        <r>
          <rPr>
            <b/>
            <sz val="9"/>
            <color indexed="81"/>
            <rFont val="Tahoma"/>
            <family val="2"/>
          </rPr>
          <t>An out-of-sample version of R Square based on leave-one-out prediction. Negative values mean the model predicts worse than just using the average Y.</t>
        </r>
      </text>
    </comment>
    <comment ref="AJ5" authorId="0" shapeId="0" xr:uid="{1864C708-2B57-47E2-AEB4-28B43E0ABC65}">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AA94425C-7E10-4B9F-810E-345D10A62F91}">
      <text>
        <r>
          <rPr>
            <b/>
            <sz val="9"/>
            <color indexed="81"/>
            <rFont val="Tahoma"/>
            <family val="2"/>
          </rPr>
          <t>R Square with a penalty for adding predictors that do not help enough.</t>
        </r>
      </text>
    </comment>
    <comment ref="AD6" authorId="0" shapeId="0" xr:uid="{962AB1A3-8C64-448D-8D51-1578812F93B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2D9255E4-3187-4D86-989E-CC2B3326947B}">
      <text>
        <r>
          <rPr>
            <b/>
            <sz val="9"/>
            <color indexed="81"/>
            <rFont val="Tahoma"/>
            <family val="2"/>
          </rPr>
          <t>The t-distribution cutoff at the chosen confidence level. Multiply by SE (Mean) to get the CI half-width and by SE (New Obs) to get the PI half-width.</t>
        </r>
      </text>
    </comment>
    <comment ref="AA7" authorId="0" shapeId="0" xr:uid="{E8310D50-629D-4F35-A927-09B72E3C7CE9}">
      <text>
        <r>
          <rPr>
            <b/>
            <sz val="9"/>
            <color indexed="81"/>
            <rFont val="Tahoma"/>
            <family val="2"/>
          </rPr>
          <t>The typical size of the model's prediction errors, measured in the same units as Y.</t>
        </r>
      </text>
    </comment>
    <comment ref="AD7" authorId="0" shapeId="0" xr:uid="{CF40C969-F7EB-4391-B051-A98F0B5493FF}">
      <text>
        <r>
          <rPr>
            <b/>
            <sz val="9"/>
            <color indexed="81"/>
            <rFont val="Tahoma"/>
            <family val="2"/>
          </rPr>
          <t>A model-comparison score that balances fit against complexity. Lower is better when comparing models on the same data.</t>
        </r>
      </text>
    </comment>
    <comment ref="AJ7" authorId="0" shapeId="0" xr:uid="{CB09F87D-0435-4D99-A2A6-1E7C5045AC54}">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D92EF59F-72CA-471E-8348-F0A1C9141699}">
      <text>
        <r>
          <rPr>
            <b/>
            <sz val="9"/>
            <color indexed="81"/>
            <rFont val="Tahoma"/>
            <family val="2"/>
          </rPr>
          <t>The number of rows actually used in the regression after filtering.</t>
        </r>
      </text>
    </comment>
    <comment ref="AD8" authorId="0" shapeId="0" xr:uid="{1A2EC96B-33A1-489F-BCE9-4CB7F7ED1A6B}">
      <text>
        <r>
          <rPr>
            <b/>
            <sz val="9"/>
            <color indexed="81"/>
            <rFont val="Tahoma"/>
            <family val="2"/>
          </rPr>
          <t>Another model-comparison score like AIC, but it penalizes extra predictors more strongly.</t>
        </r>
      </text>
    </comment>
    <comment ref="AJ8" authorId="0" shapeId="0" xr:uid="{06DED5FE-5E24-4A2B-9872-110E00427FE7}">
      <text>
        <r>
          <rPr>
            <b/>
            <sz val="9"/>
            <color indexed="81"/>
            <rFont val="Tahoma"/>
            <family val="2"/>
          </rPr>
          <t>Upper bound of the confidence interval for the MEAN response at the chosen X values.</t>
        </r>
      </text>
    </comment>
    <comment ref="AD9" authorId="0" shapeId="0" xr:uid="{0484408B-3094-4601-96A1-F32D5B0CB5C1}">
      <text>
        <r>
          <rPr>
            <b/>
            <sz val="9"/>
            <color indexed="81"/>
            <rFont val="Tahoma"/>
            <family val="2"/>
          </rPr>
          <t>AIC with an extra correction for small samples.</t>
        </r>
      </text>
    </comment>
    <comment ref="AJ9" authorId="0" shapeId="0" xr:uid="{05E6896C-BEE7-4373-9EA7-31A9E84B4CD5}">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417CFFF6-51B5-446F-903A-D460EE3982B0}">
      <text>
        <r>
          <rPr>
            <b/>
            <sz val="9"/>
            <color indexed="81"/>
            <rFont val="Tahoma"/>
            <family val="2"/>
          </rPr>
          <t>A numeric check of how close the residuals are to a normal bell shape. Values closer to 1 are better.</t>
        </r>
      </text>
    </comment>
    <comment ref="AJ10" authorId="0" shapeId="0" xr:uid="{1DD64A0D-5C09-4866-B08E-AA20DE9AAF9B}">
      <text>
        <r>
          <rPr>
            <b/>
            <sz val="9"/>
            <color indexed="81"/>
            <rFont val="Tahoma"/>
            <family val="2"/>
          </rPr>
          <t>Upper bound of the prediction interval for a SINGLE new observation at the chosen X values.</t>
        </r>
      </text>
    </comment>
    <comment ref="AD11" authorId="0" shapeId="0" xr:uid="{A1576F4F-9431-462E-BA8F-9668FD1EA4DD}">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E62CC40F-331D-4E29-9813-9D4B2B7E9467}">
      <text>
        <r>
          <rPr>
            <b/>
            <sz val="9"/>
            <color indexed="81"/>
            <rFont val="Tahoma"/>
            <family val="2"/>
          </rPr>
          <t>The probability level associated with the interval. With alpha 0.05, this is 95%.</t>
        </r>
      </text>
    </comment>
    <comment ref="AA12" authorId="0" shapeId="0" xr:uid="{12C6F464-87E5-4CF3-9BB5-FE95C21810E7}">
      <text>
        <r>
          <rPr>
            <b/>
            <sz val="9"/>
            <color indexed="81"/>
            <rFont val="Tahoma"/>
            <family val="2"/>
          </rPr>
          <t>The cutoff for statistical significance. At 0.05, results with p-values below 0.05 are treated as statistically significant.</t>
        </r>
      </text>
    </comment>
    <comment ref="AD12" authorId="0" shapeId="0" xr:uid="{71CC868D-1D1B-4CC7-A74C-26C4A8E3A330}">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70E41282-BA10-4B63-BDCE-480FD6EFE176}">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381A3F1F-84FA-43F7-A0BE-74D03B2C2009}">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D75092AE-0D3F-4304-8895-AA74991898C7}">
      <text>
        <r>
          <rPr>
            <b/>
            <sz val="9"/>
            <color indexed="81"/>
            <rFont val="Tahoma"/>
            <family val="2"/>
          </rPr>
          <t>The number of independent data points available to estimate each part of the model — total rows minus one for each estimated parameter.</t>
        </r>
      </text>
    </comment>
    <comment ref="AC14" authorId="0" shapeId="0" xr:uid="{1EF9E5C9-3CC5-48D0-8E78-E8E2BB12AFD9}">
      <text>
        <r>
          <rPr>
            <b/>
            <sz val="9"/>
            <color indexed="81"/>
            <rFont val="Tahoma"/>
            <family val="2"/>
          </rPr>
          <t>The total variation attributed to that source — regression, residual, or total. The raw material from which MS and F are calculated.</t>
        </r>
      </text>
    </comment>
    <comment ref="AD14" authorId="0" shapeId="0" xr:uid="{5B7EE558-AD25-4D23-BF40-22F0ACB5A0E0}">
      <text>
        <r>
          <rPr>
            <b/>
            <sz val="9"/>
            <color indexed="81"/>
            <rFont val="Tahoma"/>
            <family val="2"/>
          </rPr>
          <t>Sum of squares averaged over its degrees of freedom — a per-unit measure of variation for that source.</t>
        </r>
      </text>
    </comment>
    <comment ref="AE14" authorId="0" shapeId="0" xr:uid="{6720274B-AEF7-40A5-BB65-8D946F84B87A}">
      <text>
        <r>
          <rPr>
            <b/>
            <sz val="9"/>
            <color indexed="81"/>
            <rFont val="Tahoma"/>
            <family val="2"/>
          </rPr>
          <t>The model-vs-noise ratio used in the overall regression significance test.</t>
        </r>
      </text>
    </comment>
    <comment ref="AF14" authorId="0" shapeId="0" xr:uid="{661730F7-6045-42F5-9A35-3CC301120B44}">
      <text>
        <r>
          <rPr>
            <b/>
            <sz val="9"/>
            <color indexed="81"/>
            <rFont val="Tahoma"/>
            <family val="2"/>
          </rPr>
          <t>The p-value for the overall F test. Small values mean the model as a whole is unlikely to be pure noise.</t>
        </r>
      </text>
    </comment>
    <comment ref="AJ14" authorId="0" shapeId="0" xr:uid="{607AB4A9-7655-43DF-9C95-85C378A757F1}">
      <text>
        <r>
          <rPr>
            <b/>
            <sz val="9"/>
            <color indexed="81"/>
            <rFont val="Tahoma"/>
            <family val="2"/>
          </rPr>
          <t>Number of analysis-sample observations in the selected FE group. The Tᵢ used to scale the within-group mean's standard error.</t>
        </r>
      </text>
    </comment>
    <comment ref="AA15" authorId="0" shapeId="0" xr:uid="{80445F89-DAD5-4A91-BDEC-6F5E575FDFBD}">
      <text>
        <r>
          <rPr>
            <b/>
            <sz val="9"/>
            <color indexed="81"/>
            <rFont val="Tahoma"/>
            <family val="2"/>
          </rPr>
          <t>The variation explained by the predictors taken together.</t>
        </r>
      </text>
    </comment>
    <comment ref="AA16" authorId="0" shapeId="0" xr:uid="{C31054A0-A2B8-4AFE-BC16-D0A7A7940B0E}">
      <text>
        <r>
          <rPr>
            <b/>
            <sz val="9"/>
            <color indexed="81"/>
            <rFont val="Tahoma"/>
            <family val="2"/>
          </rPr>
          <t>The variation the model does not explain.</t>
        </r>
      </text>
    </comment>
    <comment ref="AA17" authorId="0" shapeId="0" xr:uid="{F82D26EF-3D47-4F8E-9B7F-79CB1E225154}">
      <text>
        <r>
          <rPr>
            <b/>
            <sz val="9"/>
            <color indexed="81"/>
            <rFont val="Tahoma"/>
            <family val="2"/>
          </rPr>
          <t>All variation in the outcome before splitting it into explained and unexplained parts.</t>
        </r>
      </text>
    </comment>
    <comment ref="AJ17" authorId="0" shapeId="0" xr:uid="{A26778E7-7433-4151-8CC0-8113DEE64A43}">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57219B35-1E1D-4139-A943-F20FBAAC445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87B142D3-5E89-4B9A-A9CF-AC8E3C4E0A66}">
      <text>
        <r>
          <rPr>
            <b/>
            <sz val="9"/>
            <color indexed="81"/>
            <rFont val="Tahoma"/>
            <family val="2"/>
          </rPr>
          <t>The fitted weights used to turn predictor values into predictions.</t>
        </r>
      </text>
    </comment>
    <comment ref="AC20" authorId="0" shapeId="0" xr:uid="{ED66FC27-0978-4CE6-A1DB-080003A7B806}">
      <text>
        <r>
          <rPr>
            <b/>
            <sz val="9"/>
            <color indexed="81"/>
            <rFont val="Tahoma"/>
            <family val="2"/>
          </rPr>
          <t>How uncertain each coefficient estimate is.</t>
        </r>
      </text>
    </comment>
    <comment ref="AD20" authorId="0" shapeId="0" xr:uid="{2AA1351B-2C4B-4F3B-8FA3-4FE90B8FCEBA}">
      <text>
        <r>
          <rPr>
            <b/>
            <sz val="9"/>
            <color indexed="81"/>
            <rFont val="Tahoma"/>
            <family val="2"/>
          </rPr>
          <t>How many standard errors the coefficient is away from zero.</t>
        </r>
      </text>
    </comment>
    <comment ref="AE20" authorId="0" shapeId="0" xr:uid="{F0CDCDDF-0AC0-4EAE-BC26-B55C123F39BC}">
      <text>
        <r>
          <rPr>
            <b/>
            <sz val="9"/>
            <color indexed="81"/>
            <rFont val="Tahoma"/>
            <family val="2"/>
          </rPr>
          <t>How surprising this coefficient would be if its true effect were zero. Smaller values mean stronger evidence of a real effect.</t>
        </r>
      </text>
    </comment>
    <comment ref="AF20" authorId="0" shapeId="0" xr:uid="{92BE7DAD-6774-45E6-8B18-CB370C2AA2B1}">
      <text>
        <r>
          <rPr>
            <b/>
            <sz val="9"/>
            <color indexed="81"/>
            <rFont val="Tahoma"/>
            <family val="2"/>
          </rPr>
          <t>The lower bound of the 95% confidence interval.</t>
        </r>
      </text>
    </comment>
    <comment ref="AG20" authorId="0" shapeId="0" xr:uid="{8D070D98-8B1B-4B32-B54D-1CACDAAC822C}">
      <text>
        <r>
          <rPr>
            <b/>
            <sz val="9"/>
            <color indexed="81"/>
            <rFont val="Tahoma"/>
            <family val="2"/>
          </rPr>
          <t>The upper bound of the 95% confidence interval.</t>
        </r>
      </text>
    </comment>
    <comment ref="AH20" authorId="0" shapeId="0" xr:uid="{FDB77CBB-C958-43C9-BACE-426784EE56AD}">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<sst xmlns="http://schemas.openxmlformats.org/spreadsheetml/2006/main" count="8818" uniqueCount="1877">
  <si>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</si>
  <si>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</si>
  <si>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</si>
  <si>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</si>
  <si>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</si>
  <si>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</si>
  <si>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</si>
  <si>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</si>
  <si>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</si>
  <si>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</si>
  <si>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</si>
  <si>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</si>
  <si>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</si>
  <si>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</si>
  <si>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</si>
  <si>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</si>
  <si>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</si>
  <si>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</si>
  <si>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</si>
  <si>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</si>
  <si>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</si>
  <si>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</si>
  <si>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</si>
  <si>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</si>
  <si>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</si>
  <si>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</si>
  <si>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</si>
  <si>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</si>
  <si>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</si>
  <si>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</si>
  <si>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</si>
  <si>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</si>
  <si>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</si>
  <si>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</si>
  <si>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</si>
  <si>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</si>
  <si>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</si>
  <si>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</si>
  <si>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</si>
  <si>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</si>
  <si>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</si>
  <si>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</si>
  <si>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</si>
  <si>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</si>
  <si>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</si>
  <si>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</si>
  <si>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</si>
  <si>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</si>
  <si>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</si>
  <si>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</si>
  <si>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</si>
  <si>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</si>
  <si>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</si>
  <si>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</si>
  <si>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</si>
  <si>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</si>
  <si>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</si>
  <si>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</si>
  <si>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</si>
  <si>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</si>
  <si>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</si>
  <si>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</si>
  <si>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</si>
  <si>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</si>
  <si>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</si>
  <si>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</si>
  <si>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</si>
  <si>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</si>
  <si>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</si>
  <si>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</si>
  <si>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</si>
  <si>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</si>
  <si>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</si>
  <si>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</si>
  <si>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</si>
  <si>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</si>
  <si>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</si>
  <si>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</si>
  <si>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</si>
  <si>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</si>
  <si>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</si>
  <si>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</si>
  <si>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</si>
  <si>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</si>
  <si>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</si>
  <si>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</si>
  <si>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</si>
  <si>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</si>
  <si>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</si>
  <si>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</si>
  <si>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</si>
  <si>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</si>
  <si>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</si>
  <si>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</si>
  <si>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</si>
  <si>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</si>
  <si>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</si>
  <si>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</si>
  <si>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</si>
  <si>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</si>
  <si>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</si>
  <si>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</si>
  <si>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</si>
  <si>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</si>
  <si>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</si>
  <si>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</si>
  <si>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</si>
  <si>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</si>
  <si>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</si>
  <si>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</si>
  <si>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</si>
  <si>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</si>
  <si>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</si>
  <si>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</si>
  <si>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</si>
  <si>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</si>
  <si>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</si>
  <si>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</si>
  <si>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</si>
  <si>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</si>
  <si>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</si>
  <si>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</si>
  <si>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</si>
  <si>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</si>
  <si>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</si>
  <si>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</si>
  <si>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</si>
  <si>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</si>
  <si>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</si>
  <si>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</si>
  <si>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</si>
  <si>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</si>
  <si>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</si>
  <si>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</si>
  <si>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</si>
  <si>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</si>
  <si>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</si>
  <si>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</si>
  <si>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</si>
  <si>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</si>
  <si>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</si>
  <si>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</si>
  <si>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</si>
  <si>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</si>
  <si>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</si>
  <si>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</si>
  <si>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</si>
  <si>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</si>
  <si>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</si>
  <si>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</si>
  <si>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</si>
  <si>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</si>
  <si>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</si>
  <si>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</si>
  <si>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</si>
  <si>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</si>
  <si>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</si>
  <si>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</si>
  <si>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</si>
  <si>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</si>
  <si>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</si>
  <si>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</si>
  <si>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</si>
  <si>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</si>
  <si>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</si>
  <si>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</si>
  <si>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</si>
  <si>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</si>
  <si>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</si>
  <si>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</si>
  <si>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</si>
  <si>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</si>
  <si>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</si>
  <si>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</si>
  <si>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</si>
  <si>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</si>
  <si>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</si>
  <si>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</si>
  <si>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</si>
  <si>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</si>
  <si>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</si>
  <si>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</si>
  <si>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</si>
  <si>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</si>
  <si>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</si>
  <si>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</si>
  <si>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</si>
  <si>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</si>
  <si>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</si>
  <si>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</si>
  <si>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</si>
  <si>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</si>
  <si>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</si>
  <si>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</si>
  <si>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</si>
  <si>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</si>
  <si>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</si>
  <si>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</si>
  <si>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</si>
  <si>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</si>
  <si>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</si>
  <si>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</si>
  <si>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</si>
  <si>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</si>
  <si>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</si>
  <si>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</si>
  <si>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</si>
  <si>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</si>
  <si>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</si>
  <si>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</si>
  <si>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</si>
  <si>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</si>
  <si>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</si>
  <si>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</si>
  <si>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</si>
  <si>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</si>
  <si>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</si>
  <si>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</si>
  <si>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</si>
  <si>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</si>
  <si>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</si>
  <si>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</si>
  <si>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</si>
  <si>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</si>
  <si>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</si>
  <si>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</si>
  <si>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</si>
  <si>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</si>
  <si>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</si>
  <si>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</si>
  <si>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</si>
  <si>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</si>
  <si>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</si>
  <si>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</si>
  <si>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</si>
  <si>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</si>
  <si>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</si>
  <si>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</si>
  <si>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</si>
  <si>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</si>
  <si>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</si>
  <si>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</si>
  <si>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</si>
  <si>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</si>
  <si>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</si>
  <si>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</si>
  <si>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</si>
  <si>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</si>
  <si>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</si>
  <si>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</si>
  <si>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</si>
  <si>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</si>
  <si>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</si>
  <si>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</si>
  <si>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</si>
  <si>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</si>
  <si>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</si>
  <si>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</si>
  <si>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</si>
  <si>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</si>
  <si>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</si>
  <si>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</si>
  <si>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</si>
  <si>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</si>
  <si>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</si>
  <si>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</si>
  <si>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</si>
  <si>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</si>
  <si>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</si>
  <si>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</si>
  <si>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</si>
  <si>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</si>
  <si>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</si>
  <si>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</si>
  <si>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</si>
  <si>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</si>
  <si>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</si>
  <si>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</si>
  <si>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</si>
  <si>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</si>
  <si>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</si>
  <si>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</si>
  <si>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</si>
  <si>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</si>
  <si>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</si>
  <si>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</si>
  <si>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</si>
  <si>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</si>
  <si>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</si>
  <si>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</si>
  <si>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</si>
  <si>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</si>
  <si>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</si>
  <si>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</si>
  <si>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</si>
  <si>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</si>
  <si>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</si>
  <si>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</si>
  <si>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</si>
  <si>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</si>
  <si>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</si>
  <si>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</si>
  <si>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</si>
  <si>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</si>
  <si>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</si>
  <si>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</si>
  <si>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</si>
  <si>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</si>
  <si>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</si>
  <si>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</si>
  <si>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</si>
  <si>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</si>
  <si>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</si>
  <si>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</si>
  <si>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</si>
  <si>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</si>
  <si>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</si>
  <si>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</si>
  <si>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</si>
  <si>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</si>
  <si>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</si>
  <si>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</si>
  <si>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</si>
  <si>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</si>
  <si>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</si>
  <si>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</si>
  <si>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</si>
  <si>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</si>
  <si>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</si>
  <si>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</si>
  <si>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</si>
  <si>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</si>
  <si>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</si>
  <si>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</si>
  <si>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</si>
  <si>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</si>
  <si>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</si>
  <si>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</si>
  <si>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</si>
  <si>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</si>
  <si>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</si>
  <si>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</si>
  <si>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</si>
  <si>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</si>
  <si>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</si>
  <si>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</si>
  <si>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</si>
  <si>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</si>
  <si>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</si>
  <si>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</si>
  <si>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</si>
  <si>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</si>
  <si>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</si>
  <si>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</si>
  <si>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</si>
  <si>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</si>
  <si>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</si>
  <si>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</si>
  <si>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</si>
  <si>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</si>
  <si>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</si>
  <si>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</si>
  <si>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</si>
  <si>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</si>
  <si>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</si>
  <si>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</si>
  <si>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</si>
  <si>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</si>
  <si>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</si>
  <si>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</si>
  <si>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</si>
  <si>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</si>
  <si>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</si>
  <si>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</si>
  <si>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</si>
  <si>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</si>
  <si>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</si>
  <si>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</si>
  <si>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</si>
  <si>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</si>
  <si>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</si>
  <si>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</si>
  <si>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</si>
  <si>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</si>
  <si>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</si>
  <si>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</si>
  <si>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</si>
  <si>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</si>
  <si>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</si>
  <si>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</si>
  <si>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</si>
  <si>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</si>
  <si>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</si>
  <si>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</si>
  <si>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</si>
  <si>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</si>
  <si>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</si>
  <si>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</si>
  <si>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</si>
  <si>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</si>
  <si>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</si>
  <si>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</si>
  <si>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</si>
  <si>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</si>
  <si>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</si>
  <si>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</si>
  <si>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</si>
  <si>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</si>
  <si>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</si>
  <si>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</si>
  <si>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</si>
  <si>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</si>
  <si>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</si>
  <si>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</si>
  <si>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</si>
  <si>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</si>
  <si>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</si>
  <si>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</si>
  <si>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</si>
  <si>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</si>
  <si>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</si>
  <si>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</si>
  <si>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</si>
  <si>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</si>
  <si>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</si>
  <si>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</si>
  <si>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</si>
  <si>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</si>
  <si>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</si>
  <si>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</si>
  <si>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</si>
  <si>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</si>
  <si>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</si>
  <si>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</si>
  <si>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</si>
  <si>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</si>
  <si>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</si>
  <si>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</si>
  <si>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</si>
  <si>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</si>
  <si>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</si>
  <si>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</si>
  <si>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</si>
  <si>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</si>
  <si>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</si>
  <si>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</si>
  <si>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</si>
  <si>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</si>
  <si>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</si>
  <si>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</si>
  <si>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</si>
  <si>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</si>
  <si>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</si>
  <si>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</si>
  <si>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</si>
  <si>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</si>
  <si>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</si>
  <si>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</si>
  <si>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</si>
  <si>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</si>
  <si>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</si>
  <si>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</si>
  <si>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</si>
  <si>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</si>
  <si>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</si>
  <si>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</si>
  <si>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</si>
  <si>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</si>
  <si>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</si>
  <si>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</si>
  <si>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</si>
  <si>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</si>
  <si>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</si>
  <si>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</si>
  <si>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</si>
  <si>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</si>
  <si>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</si>
  <si>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</si>
  <si>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</si>
  <si>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</si>
  <si>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</si>
  <si>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</si>
  <si>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</si>
  <si>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</si>
  <si>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</si>
  <si>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</si>
  <si>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</si>
  <si>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</si>
  <si>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</si>
  <si>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</si>
  <si>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</si>
  <si>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</si>
  <si>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</si>
  <si>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</si>
  <si>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</si>
  <si>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</si>
  <si>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</si>
  <si>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</si>
  <si>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</si>
  <si>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</si>
  <si>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</si>
  <si>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</si>
  <si>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</si>
  <si>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</si>
  <si>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</si>
  <si>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</si>
  <si>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</si>
  <si>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</si>
  <si>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</si>
  <si>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</si>
  <si>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</si>
  <si>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</si>
  <si>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</si>
  <si>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</si>
  <si>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</si>
  <si>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</si>
  <si>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</si>
  <si>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</si>
  <si>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</si>
  <si>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</si>
  <si>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</si>
  <si>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</si>
  <si>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</si>
  <si>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</si>
  <si>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</si>
  <si>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</si>
  <si>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</si>
  <si>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</si>
  <si>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</si>
  <si>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</si>
  <si>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</si>
  <si>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</si>
  <si>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</si>
  <si>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</si>
  <si>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</si>
  <si>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</si>
  <si>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</si>
  <si>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</si>
  <si>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</si>
  <si>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</si>
  <si>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</si>
  <si>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</si>
  <si>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</si>
  <si>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</si>
  <si>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</si>
  <si>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</si>
  <si>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</si>
  <si>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</si>
  <si>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</si>
  <si>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</si>
  <si>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</si>
  <si>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</si>
  <si>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</si>
  <si>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</si>
  <si>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</si>
  <si>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</si>
  <si>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</si>
  <si>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</si>
  <si>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</si>
  <si>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</si>
  <si>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</si>
  <si>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</si>
  <si>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</si>
  <si>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</si>
  <si>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</si>
  <si>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</si>
  <si>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</si>
  <si>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</si>
  <si>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</si>
  <si>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</si>
  <si>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</si>
  <si>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</si>
  <si>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</si>
  <si>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</si>
  <si>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</si>
  <si>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</si>
  <si>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</si>
  <si>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</si>
  <si>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</si>
  <si>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</si>
  <si>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</si>
  <si>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</si>
  <si>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</si>
  <si>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</si>
  <si>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</si>
  <si>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</si>
  <si>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</si>
  <si>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</si>
  <si>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</si>
  <si>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</si>
  <si>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</si>
  <si>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</si>
  <si>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</si>
  <si>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</si>
  <si>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</si>
  <si>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</si>
  <si>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</si>
  <si>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</si>
  <si>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</si>
  <si>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</si>
  <si>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</si>
  <si>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</si>
  <si>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</si>
  <si>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</si>
  <si>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</si>
  <si>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</si>
  <si>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</si>
  <si>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</si>
  <si>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</si>
  <si>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</si>
  <si>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</si>
  <si>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</si>
  <si>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</si>
  <si>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</si>
  <si>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</si>
  <si>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</si>
  <si>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</si>
  <si>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</si>
  <si>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</si>
  <si>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</si>
  <si>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</si>
  <si>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</si>
  <si>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</si>
  <si>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</si>
  <si>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</si>
  <si>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</si>
  <si>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</si>
  <si>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</si>
  <si>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</si>
  <si>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</si>
  <si>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</si>
  <si>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</si>
  <si>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</si>
  <si>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</si>
  <si>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</si>
  <si>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</si>
  <si>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</si>
  <si>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</si>
  <si>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</si>
  <si>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</si>
  <si>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</si>
  <si>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</si>
  <si>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</si>
  <si>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</si>
  <si>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</si>
  <si>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</si>
  <si>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</si>
  <si>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</si>
  <si>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</si>
  <si>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</si>
  <si>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</si>
  <si>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</si>
  <si>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</si>
  <si>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</si>
  <si>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</si>
  <si>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</si>
  <si>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</si>
  <si>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</si>
  <si>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</si>
  <si>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</si>
  <si>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</si>
  <si>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</si>
  <si>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</si>
  <si>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</si>
  <si>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</si>
  <si>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</si>
  <si>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</si>
  <si>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</si>
  <si>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</si>
  <si>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</si>
  <si>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</si>
  <si>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</si>
  <si>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</si>
  <si>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</si>
  <si>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</si>
  <si>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</si>
  <si>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</si>
  <si>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</si>
  <si>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</si>
  <si>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</si>
  <si>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</si>
  <si>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</si>
  <si>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</si>
  <si>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</si>
  <si>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</si>
  <si>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</si>
  <si>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</si>
  <si>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</si>
  <si>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</si>
  <si>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</si>
  <si>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</si>
  <si>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</si>
  <si>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</si>
  <si>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</si>
  <si>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</si>
  <si>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</si>
  <si>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</si>
  <si>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</si>
  <si>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</si>
  <si>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</si>
  <si>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</si>
  <si>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</si>
  <si>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</si>
  <si>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</si>
  <si>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</si>
  <si>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</si>
  <si>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</si>
  <si>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</si>
  <si>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</si>
  <si>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</si>
  <si>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</si>
  <si>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</si>
  <si>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</si>
  <si>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</si>
  <si>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</si>
  <si>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</si>
  <si>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</si>
  <si>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</si>
  <si>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</si>
  <si>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</si>
  <si>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</si>
  <si>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</si>
  <si>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</si>
  <si>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</si>
  <si>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</si>
  <si>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</si>
  <si>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</si>
  <si>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</si>
  <si>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</si>
  <si>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</si>
  <si>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</si>
  <si>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</si>
  <si>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</si>
  <si>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</si>
  <si>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</si>
  <si>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</si>
  <si>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</si>
  <si>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</si>
  <si>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</si>
  <si>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</si>
  <si>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</si>
  <si>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</si>
  <si>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</si>
  <si>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</si>
  <si>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</si>
  <si>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</si>
  <si>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</si>
  <si>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</si>
  <si>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</si>
  <si>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</si>
  <si>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</si>
  <si>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</si>
  <si>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</si>
  <si>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</si>
  <si>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</si>
  <si>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</si>
  <si>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</si>
  <si>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</si>
  <si>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</si>
  <si>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</si>
  <si>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</si>
  <si>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</si>
  <si>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</si>
  <si>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</si>
  <si>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</si>
  <si>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</si>
  <si>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</si>
  <si>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</si>
  <si>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</si>
  <si>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</si>
  <si>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</si>
  <si>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</si>
  <si>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</si>
  <si>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</si>
  <si>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</si>
  <si>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</si>
  <si>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</si>
  <si>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</si>
  <si>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</si>
  <si>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</si>
  <si>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</si>
  <si>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</si>
  <si>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</si>
  <si>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</si>
  <si>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</si>
  <si>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</si>
  <si>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</si>
  <si>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</si>
  <si>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</si>
  <si>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</si>
  <si>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</si>
  <si>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</si>
  <si>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</si>
  <si>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</si>
  <si>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</si>
  <si>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</si>
  <si>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</si>
  <si>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</si>
  <si>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</si>
  <si>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</si>
  <si>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</si>
  <si>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</si>
  <si>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</si>
  <si>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</si>
  <si>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</si>
  <si>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</si>
  <si>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</si>
  <si>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</si>
  <si>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</si>
  <si>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</si>
  <si>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</si>
  <si>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</si>
  <si>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</si>
  <si>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</si>
  <si>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</si>
  <si>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</si>
  <si>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</si>
  <si>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</si>
  <si>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</si>
  <si>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</si>
  <si>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</si>
  <si>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</si>
  <si>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</si>
  <si>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</si>
  <si>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</si>
  <si>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</si>
  <si>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</si>
  <si>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</si>
  <si>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</si>
  <si>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</si>
  <si>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</si>
  <si>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</si>
  <si>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</si>
  <si>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</si>
  <si>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</si>
  <si>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</si>
  <si>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</si>
  <si>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</si>
  <si>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</si>
  <si>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</si>
  <si>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</si>
  <si>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</si>
  <si>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</si>
  <si>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</si>
  <si>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</si>
  <si>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</si>
  <si>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</si>
  <si>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</si>
  <si>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</si>
  <si>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</si>
  <si>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</si>
  <si>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</si>
  <si>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</si>
  <si>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</si>
  <si>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</si>
  <si>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</si>
  <si>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</si>
  <si>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</si>
  <si>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</si>
  <si>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</si>
  <si>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</si>
  <si>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</si>
  <si>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</si>
  <si>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</si>
  <si>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</si>
  <si>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</si>
  <si>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</si>
  <si>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</si>
  <si>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</si>
  <si>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</si>
  <si>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</si>
  <si>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</si>
  <si>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</si>
  <si>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</si>
  <si>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</si>
  <si>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</si>
  <si>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</si>
  <si>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</si>
  <si>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</si>
  <si>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</si>
  <si>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</si>
  <si>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</si>
  <si>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</si>
  <si>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</si>
  <si>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</si>
  <si>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</si>
  <si>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</si>
  <si>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</si>
  <si>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</si>
  <si>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</si>
  <si>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</si>
  <si>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</si>
  <si>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</si>
  <si>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</si>
  <si>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</si>
  <si>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</si>
  <si>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</si>
  <si>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</si>
  <si>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</si>
  <si>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</si>
  <si>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</si>
  <si>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</si>
  <si>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</si>
  <si>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</si>
  <si>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</si>
  <si>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</si>
  <si>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</si>
  <si>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</si>
  <si>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</si>
  <si>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</si>
  <si>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</si>
  <si>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</si>
  <si>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</si>
  <si>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</si>
  <si>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</si>
  <si>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</si>
  <si>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</si>
  <si>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</si>
  <si>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</si>
  <si>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</si>
  <si>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</si>
  <si>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</si>
  <si>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</si>
  <si>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</si>
  <si>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</si>
  <si>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</si>
  <si>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</si>
  <si>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</si>
  <si>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</si>
  <si>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</si>
  <si>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</si>
  <si>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</si>
  <si>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</si>
  <si>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</si>
  <si>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</si>
  <si>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</si>
  <si>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</si>
  <si>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</si>
  <si>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</si>
  <si>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</si>
  <si>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</si>
  <si>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</si>
  <si>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</si>
  <si>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</si>
  <si>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</si>
  <si>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</si>
  <si>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</si>
  <si>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</si>
  <si>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</si>
  <si>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</si>
  <si>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</si>
  <si>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</si>
  <si>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</si>
  <si>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</si>
  <si>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</si>
  <si>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</si>
  <si>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</si>
  <si>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</si>
  <si>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</si>
  <si>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</si>
  <si>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</si>
  <si>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</si>
  <si>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</si>
  <si>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</si>
  <si>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</si>
  <si>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</si>
  <si>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</si>
  <si>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</si>
  <si>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</si>
  <si>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</si>
  <si>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</si>
  <si>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</si>
  <si>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</si>
  <si>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</si>
  <si>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</si>
  <si>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</si>
  <si>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</si>
  <si>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</si>
  <si>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</si>
  <si>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</si>
  <si>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</si>
  <si>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</si>
  <si>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</si>
  <si>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</si>
  <si>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</si>
  <si>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</si>
  <si>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</si>
  <si>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</si>
  <si>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</si>
  <si>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</si>
  <si>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</si>
  <si>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</si>
  <si>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</si>
  <si>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</si>
  <si>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</si>
  <si>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</si>
  <si>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</si>
  <si>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</si>
  <si>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</si>
  <si>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</si>
  <si>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</si>
  <si>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</si>
  <si>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</si>
  <si>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</si>
  <si>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</si>
  <si>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</si>
  <si>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</si>
  <si>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</si>
  <si>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</si>
  <si>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</si>
  <si>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</si>
  <si>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</si>
  <si>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</si>
  <si>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</si>
  <si>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</si>
  <si>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</si>
  <si>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</si>
  <si>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</si>
  <si>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</si>
  <si>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</si>
  <si>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</si>
  <si>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</si>
  <si>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</si>
  <si>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</si>
  <si>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</si>
  <si>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</si>
  <si>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</si>
  <si>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</si>
  <si>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</si>
  <si>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</si>
  <si>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</si>
  <si>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</si>
  <si>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</si>
  <si>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</si>
  <si>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</si>
  <si>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</si>
  <si>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</si>
  <si>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</si>
  <si>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</si>
  <si>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</si>
  <si>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</si>
  <si>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</si>
  <si>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</si>
  <si>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</si>
  <si>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</si>
  <si>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</si>
  <si>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</si>
  <si>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</si>
  <si>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</si>
  <si>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</si>
  <si>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</si>
  <si>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</si>
  <si>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</si>
  <si>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</si>
  <si>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</si>
  <si>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</si>
  <si>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</si>
  <si>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</si>
  <si>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</si>
  <si>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</si>
  <si>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</si>
  <si>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</si>
  <si>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</si>
  <si>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</si>
  <si>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</si>
  <si>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</si>
  <si>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</si>
  <si>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</si>
  <si>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</si>
  <si>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</si>
  <si>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</si>
  <si>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</si>
  <si>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</si>
  <si>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</si>
  <si>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</si>
  <si>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</si>
  <si>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</si>
  <si>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</si>
  <si>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</si>
  <si>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</si>
  <si>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</si>
  <si>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</si>
  <si>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</si>
  <si>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</si>
  <si>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</si>
  <si>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</si>
  <si>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</si>
  <si>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</si>
  <si>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</si>
  <si>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</si>
  <si>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</si>
  <si>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</si>
  <si>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</si>
  <si>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</si>
  <si>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</si>
  <si>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</si>
  <si>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</si>
  <si>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</si>
  <si>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</si>
  <si>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</si>
  <si>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</si>
  <si>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</si>
  <si>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</si>
  <si>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</si>
  <si>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</si>
  <si>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</si>
  <si>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</si>
  <si>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</si>
  <si>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</si>
  <si>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</si>
  <si>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</si>
  <si>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</si>
  <si>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</si>
  <si>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</si>
  <si>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</si>
  <si>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</si>
  <si>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</si>
  <si>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</si>
  <si>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</si>
  <si>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</si>
  <si>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</si>
  <si>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</si>
  <si>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</si>
  <si>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</si>
  <si>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</si>
  <si>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</si>
  <si>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</si>
  <si>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</si>
  <si>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</si>
  <si>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</si>
  <si>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</si>
  <si>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</si>
  <si>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</si>
  <si>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</si>
  <si>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</si>
  <si>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</si>
  <si>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</si>
  <si>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</si>
  <si>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</si>
  <si>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</si>
  <si>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</si>
  <si>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</si>
  <si>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</si>
  <si>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</si>
  <si>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</si>
  <si>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</si>
  <si>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</si>
  <si>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</si>
  <si>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</si>
  <si>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</si>
  <si>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</si>
  <si>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</si>
  <si>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</si>
  <si>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</si>
  <si>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</si>
  <si>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</si>
  <si>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</si>
  <si>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</si>
  <si>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</si>
  <si>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</si>
  <si>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</si>
  <si>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</si>
  <si>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</si>
  <si>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</si>
  <si>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</si>
  <si>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</si>
  <si>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</si>
  <si>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</si>
  <si>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</si>
  <si>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</si>
  <si>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</si>
  <si>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</si>
  <si>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</si>
  <si>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</si>
  <si>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</si>
  <si>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</si>
  <si>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</si>
  <si>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</si>
  <si>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</si>
  <si>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</si>
  <si>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</si>
  <si>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</si>
  <si>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</si>
  <si>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</si>
  <si>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</si>
  <si>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</si>
  <si>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</si>
  <si>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</si>
  <si>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</si>
  <si>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</si>
  <si>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</si>
  <si>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</si>
  <si>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</si>
  <si>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</si>
  <si>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</si>
  <si>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</si>
  <si>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</si>
  <si>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</si>
  <si>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</si>
  <si>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</si>
  <si>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</si>
  <si>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</si>
  <si>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</si>
  <si>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</si>
  <si>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</si>
  <si>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</si>
  <si>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</si>
  <si>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</si>
  <si>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</si>
  <si>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</si>
  <si>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</si>
  <si>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</si>
  <si>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</si>
  <si>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</si>
  <si>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</si>
  <si>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</si>
  <si>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</si>
  <si>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</si>
  <si>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</si>
  <si>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</si>
  <si>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</si>
  <si>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</si>
  <si>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</si>
  <si>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</si>
  <si>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</si>
  <si>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</si>
  <si>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</si>
  <si>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</si>
  <si>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</si>
  <si>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</si>
  <si>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</si>
  <si>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</si>
  <si>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</si>
  <si>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</si>
  <si>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</si>
  <si>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</si>
  <si>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</si>
  <si>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</si>
  <si>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</si>
  <si>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</si>
  <si>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</si>
  <si>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</si>
  <si>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</si>
  <si>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</si>
  <si>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</si>
  <si>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</si>
  <si>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</si>
  <si>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</si>
  <si>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</si>
  <si>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</si>
  <si>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</si>
  <si>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</si>
  <si>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</si>
  <si>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</si>
  <si>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</si>
  <si>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</si>
  <si>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</si>
  <si>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</si>
  <si>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</si>
  <si>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</si>
  <si>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</si>
  <si>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</si>
  <si>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</si>
  <si>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</si>
  <si>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</si>
  <si>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</si>
  <si>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</si>
  <si>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</si>
  <si>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</si>
  <si>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</si>
  <si>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</si>
  <si>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</si>
  <si>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</si>
  <si>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</si>
  <si>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</si>
  <si>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</si>
  <si>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</si>
  <si>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</si>
  <si>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</si>
  <si>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</si>
  <si>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</si>
  <si>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</si>
  <si>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</si>
  <si>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</si>
  <si>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</si>
  <si>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</si>
  <si>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</si>
  <si>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</si>
  <si>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</si>
  <si>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</si>
  <si>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</si>
  <si>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</si>
  <si>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</si>
  <si>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</si>
  <si>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</si>
  <si>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</si>
  <si>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</si>
  <si>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</si>
  <si>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</si>
  <si>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</si>
  <si>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</si>
  <si>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</si>
  <si>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</si>
  <si>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</si>
  <si>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</si>
  <si>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</si>
  <si>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</si>
  <si>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</si>
  <si>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</si>
  <si>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</si>
  <si>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</si>
  <si>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</si>
  <si>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</si>
  <si>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</si>
  <si>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</si>
  <si>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</si>
  <si>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</si>
  <si>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</si>
  <si>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</si>
  <si>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</si>
  <si>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</si>
  <si>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</si>
  <si>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</si>
  <si>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</si>
  <si>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</si>
  <si>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</si>
  <si>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</si>
  <si>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</si>
  <si>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</si>
  <si>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</si>
  <si>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</si>
  <si>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</si>
  <si>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</si>
  <si>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</si>
  <si>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</si>
  <si>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</si>
  <si>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</si>
  <si>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</si>
  <si>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</si>
  <si>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</si>
  <si>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</si>
  <si>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</si>
  <si>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</si>
  <si>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</si>
  <si>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</si>
  <si>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</si>
  <si>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</si>
  <si>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</si>
  <si>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</si>
  <si>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</si>
  <si>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</si>
  <si>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</si>
  <si>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</si>
  <si>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</si>
  <si>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</si>
  <si>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</si>
  <si>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</si>
  <si>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</si>
  <si>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</si>
  <si>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</si>
  <si>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</si>
  <si>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</si>
  <si>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</si>
  <si>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</si>
  <si>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</si>
  <si>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</si>
  <si>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</si>
  <si>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</si>
  <si>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</si>
  <si>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</si>
  <si>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</si>
  <si>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</si>
  <si>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</si>
  <si>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</si>
  <si>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</si>
  <si>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</si>
  <si>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</si>
  <si>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</si>
  <si>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</si>
  <si>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</si>
  <si>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</si>
  <si>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</si>
  <si>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</si>
  <si>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</si>
  <si>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</si>
  <si>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</si>
  <si>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</si>
  <si>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</si>
  <si>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</si>
  <si>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</si>
  <si>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</si>
  <si>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</si>
  <si>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</si>
  <si>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</si>
  <si>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</si>
  <si>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</si>
  <si>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</si>
  <si>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</si>
  <si>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</si>
  <si>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</si>
  <si>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</si>
  <si>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</si>
  <si>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</si>
  <si>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</si>
  <si>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</si>
  <si>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</si>
  <si>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</si>
  <si>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</si>
  <si>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</si>
  <si>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</si>
  <si>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</si>
  <si>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</si>
  <si>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</si>
  <si>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</si>
  <si>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</si>
  <si>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</si>
  <si>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</si>
  <si>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</si>
  <si>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</si>
  <si>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</si>
  <si>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</si>
  <si>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</si>
  <si>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</si>
  <si>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</si>
  <si>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</si>
  <si>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</si>
  <si>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</si>
  <si>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</si>
  <si>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</si>
  <si>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</si>
  <si>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</si>
  <si>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</si>
  <si>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</si>
  <si>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</si>
  <si>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</si>
  <si>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</si>
  <si>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</si>
  <si>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</si>
  <si>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</si>
  <si>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</si>
  <si>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</si>
  <si>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</si>
  <si>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</si>
  <si>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</si>
  <si>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</si>
  <si>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</si>
  <si>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</si>
  <si>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</si>
  <si>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</si>
  <si>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</si>
  <si>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</si>
  <si>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</si>
  <si>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</si>
  <si>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</si>
  <si>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</si>
  <si>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</si>
  <si>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</si>
  <si>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</si>
  <si>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</si>
  <si>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</si>
  <si>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</si>
  <si>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</si>
  <si>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</si>
  <si>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</si>
  <si>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</si>
  <si>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</si>
  <si>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</si>
  <si>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</si>
  <si>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</si>
  <si>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</si>
  <si>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</si>
  <si>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</si>
  <si>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</si>
  <si>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</si>
  <si>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</si>
  <si>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</si>
  <si>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</si>
  <si>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</si>
  <si>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</si>
  <si>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</si>
  <si>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</si>
  <si>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</si>
  <si>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</si>
  <si>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</si>
  <si>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</si>
  <si>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</si>
  <si>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</si>
  <si>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</si>
  <si>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</si>
  <si>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</si>
  <si>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</si>
  <si>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</si>
  <si>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</si>
  <si>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</si>
  <si>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</si>
  <si>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</si>
  <si>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</si>
  <si>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</si>
  <si>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</si>
  <si>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</si>
  <si>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</si>
  <si>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</si>
  <si>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</si>
  <si>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</si>
  <si>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</si>
  <si>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</si>
  <si>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</si>
  <si>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</si>
  <si>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</si>
  <si>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</si>
  <si>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</si>
  <si>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</si>
  <si>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</si>
  <si>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</si>
  <si>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</si>
  <si>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</si>
  <si>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</si>
  <si>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</si>
  <si>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</si>
  <si>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</si>
  <si>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</si>
  <si>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</si>
  <si>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</si>
  <si>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</si>
  <si>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</si>
  <si>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</si>
  <si>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</si>
  <si>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</si>
  <si>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</si>
  <si>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</si>
  <si>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</si>
  <si>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</si>
  <si>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</si>
  <si>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</si>
  <si>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</si>
  <si>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</si>
  <si>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</si>
  <si>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</si>
  <si>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</si>
  <si>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</si>
  <si>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</si>
  <si>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</si>
  <si>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</si>
  <si>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</si>
  <si>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</si>
  <si>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</si>
  <si>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</si>
  <si>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</si>
  <si>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</si>
  <si>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</si>
  <si>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</si>
  <si>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</si>
  <si>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</si>
  <si>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</si>
  <si>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</si>
  <si>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</si>
  <si>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</si>
  <si>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</si>
  <si>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</si>
  <si>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</si>
  <si>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</si>
  <si>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</si>
  <si>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</si>
  <si>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</si>
  <si>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</si>
  <si>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</si>
  <si>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</si>
  <si>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</si>
  <si>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</si>
  <si>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</si>
  <si>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</si>
  <si>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</si>
  <si>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</si>
  <si>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</si>
  <si>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</si>
  <si>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</si>
  <si>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</si>
  <si>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</si>
  <si>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</si>
  <si>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</si>
  <si>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</si>
  <si>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</si>
  <si>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</si>
  <si>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</si>
  <si>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</si>
  <si>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</si>
  <si>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</si>
  <si>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</si>
  <si>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</si>
  <si>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</si>
  <si>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</si>
  <si>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</si>
  <si>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</si>
  <si>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</si>
  <si>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</si>
  <si>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</si>
  <si>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</si>
  <si>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</si>
  <si>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</si>
  <si>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</si>
  <si>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</si>
  <si>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</si>
  <si>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</si>
  <si>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</si>
  <si>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</si>
  <si>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</si>
  <si>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</si>
  <si>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</si>
  <si>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</si>
  <si>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</si>
  <si>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</si>
  <si>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</si>
  <si>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</si>
  <si>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</si>
  <si>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</si>
  <si>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</si>
  <si>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</si>
  <si>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</si>
  <si>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</si>
  <si>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</si>
  <si>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</si>
  <si>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</si>
  <si>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</si>
  <si>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</si>
  <si>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</si>
  <si>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</si>
  <si>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</si>
  <si>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</si>
  <si>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</si>
  <si>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</si>
  <si>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</si>
  <si>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</si>
  <si>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</si>
  <si>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</si>
  <si>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</si>
  <si>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</si>
  <si>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</si>
  <si>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</si>
  <si>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</si>
  <si>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</si>
  <si>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</si>
  <si>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</si>
  <si>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</si>
  <si>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</si>
  <si>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</si>
  <si>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</si>
  <si>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</si>
  <si>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</si>
  <si>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</si>
  <si>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</si>
  <si>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</si>
  <si>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</si>
  <si>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</si>
  <si>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</si>
  <si>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</si>
  <si>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</si>
  <si>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</si>
  <si>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</si>
  <si>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</si>
  <si>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</si>
  <si>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</si>
  <si>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</si>
  <si>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</si>
  <si>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</si>
  <si>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</si>
  <si>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</si>
  <si>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</si>
  <si>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</si>
  <si>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</si>
  <si>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</si>
  <si>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</si>
  <si>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</si>
  <si>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</si>
  <si>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</si>
  <si>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</si>
  <si>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</si>
  <si>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</si>
  <si>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</si>
  <si>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</si>
  <si>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</si>
  <si>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</si>
  <si>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</si>
  <si>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</si>
  <si>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</si>
  <si>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</si>
  <si>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</si>
  <si>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</si>
  <si>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</si>
  <si>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</si>
  <si>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</si>
  <si>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</si>
  <si>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</si>
  <si>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</si>
  <si>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</si>
  <si>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</si>
  <si>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</si>
  <si>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</si>
  <si>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</si>
  <si>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</si>
  <si>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</si>
  <si>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</si>
  <si>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</si>
  <si>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</si>
  <si>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</si>
  <si>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</si>
  <si>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</si>
  <si>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</si>
  <si>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</si>
  <si>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</si>
  <si>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</si>
  <si>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</si>
  <si>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</si>
  <si>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</si>
  <si>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</si>
  <si>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</si>
  <si>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</si>
  <si>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</si>
  <si>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</si>
  <si>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</si>
  <si>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</si>
  <si>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</si>
  <si>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</si>
  <si>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</si>
  <si>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</si>
  <si>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</si>
  <si>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</si>
  <si>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</si>
  <si>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</si>
  <si>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</si>
  <si>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</si>
  <si>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</si>
  <si>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</si>
  <si>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</si>
  <si>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</si>
  <si>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</si>
  <si>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</si>
  <si>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</si>
  <si>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</si>
  <si>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</si>
  <si>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</si>
  <si>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</si>
  <si>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</si>
  <si>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</si>
  <si>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</si>
  <si>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</si>
  <si>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</si>
  <si>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</si>
  <si>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</si>
  <si>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</si>
  <si>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</si>
  <si>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</si>
  <si>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</si>
  <si>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</si>
  <si>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</si>
  <si>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</si>
  <si>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</si>
  <si>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</si>
  <si>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</si>
  <si>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</si>
  <si>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</si>
  <si>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</si>
  <si>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</si>
  <si>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</si>
  <si>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</si>
  <si>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</si>
  <si>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</si>
  <si>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</si>
  <si>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</si>
  <si>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</si>
  <si>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</si>
  <si>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</si>
  <si>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</si>
  <si>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</si>
  <si>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</si>
  <si>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</si>
  <si>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</si>
  <si>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</si>
  <si>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</si>
  <si>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</si>
  <si>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</si>
  <si>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</si>
  <si>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</si>
  <si>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</si>
  <si>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</si>
  <si>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</si>
  <si>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</si>
  <si>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</si>
  <si>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</si>
  <si>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</si>
  <si>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</si>
  <si>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</si>
  <si>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</si>
  <si>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</si>
  <si>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</si>
  <si>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</si>
  <si>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</si>
  <si>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</si>
  <si>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</si>
  <si>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</si>
  <si>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</si>
  <si>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</si>
  <si>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</si>
  <si>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</si>
  <si>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</si>
  <si>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</si>
  <si>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</si>
  <si>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</si>
  <si>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</si>
  <si>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</si>
  <si>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</si>
  <si>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</si>
  <si>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</si>
  <si>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</si>
  <si>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</si>
  <si>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</si>
  <si>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</si>
  <si>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</si>
  <si>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</si>
  <si>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</si>
  <si>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</si>
  <si>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</si>
  <si>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</si>
  <si>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</si>
  <si>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</si>
  <si>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</si>
  <si>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</si>
  <si>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</si>
  <si>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</si>
  <si>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</si>
  <si>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</si>
  <si>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</si>
  <si>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</si>
  <si>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</si>
  <si>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</si>
  <si>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</si>
  <si>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</si>
  <si>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</si>
  <si>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</si>
  <si>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</si>
  <si>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</si>
  <si>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</si>
  <si>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</si>
  <si>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</si>
  <si>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</si>
  <si>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</si>
  <si>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</si>
  <si>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</si>
  <si>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</si>
  <si>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</si>
  <si>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</si>
  <si>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</si>
  <si>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</si>
  <si>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</si>
  <si>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</si>
  <si>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</si>
  <si>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results are not converted back to raw units.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</si>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</sst>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4">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xf numFmtId="0" fontId="1" fillId="2" borderId="7" xfId="0" applyFont="1" applyFill="1"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A91E-4F57-9866-56DFADFF864F}"/>
            </c:ext>
          </c:extLst>
        </c:ser>
        <c:dLbls>
          <c:showLegendKey val="0"/>
          <c:showVal val="0"/>
          <c:showCatName val="0"/>
          <c:showSerName val="0"/>
          <c:showPercent val="0"/>
          <c:showBubbleSize val="0"/>
        </c:dLbls>
        <c:axId val="146915360"/>
        <c:axId val="146912000"/>
      </c:scatterChart>
      <c:valAx>
        <c:axId val="146915360"/>
        <c:scaling>
          <c:orientation val="minMax"/>
        </c:scaling>
        <c:delete val="0"/>
        <c:axPos val="b"/>
        <c:title>
          <c:tx>
            <c:strRef>
              <c:f>Regression!$BC$95</c:f>
              <c:strCache>
                <c:ptCount val="1"/>
                <c:pt idx="0">
                  <c:v>Fitted Values</c:v>
                </c:pt>
              </c:strCache>
            </c:strRef>
          </c:tx>
          <c:overlay val="0"/>
        </c:title>
        <c:numFmt formatCode="0" sourceLinked="0"/>
        <c:majorTickMark val="out"/>
        <c:minorTickMark val="none"/>
        <c:tickLblPos val="nextTo"/>
        <c:crossAx val="146912000"/>
        <c:crosses val="autoZero"/>
        <c:crossBetween val="midCat"/>
      </c:valAx>
      <c:valAx>
        <c:axId val="146912000"/>
        <c:scaling>
          <c:orientation val="minMax"/>
        </c:scaling>
        <c:delete val="0"/>
        <c:axPos val="l"/>
        <c:title>
          <c:tx>
            <c:strRef>
              <c:f>Regression!$BD$95</c:f>
              <c:strCache>
                <c:ptCount val="1"/>
                <c:pt idx="0">
                  <c:v>Residuals</c:v>
                </c:pt>
              </c:strCache>
            </c:strRef>
          </c:tx>
          <c:overlay val="0"/>
        </c:title>
        <c:numFmt formatCode="0" sourceLinked="0"/>
        <c:majorTickMark val="out"/>
        <c:minorTickMark val="none"/>
        <c:tickLblPos val="nextTo"/>
        <c:crossAx val="146915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BC98-4D72-B102-5535243A33DC}"/>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BC98-4D72-B102-5535243A33DC}"/>
            </c:ext>
          </c:extLst>
        </c:ser>
        <c:dLbls>
          <c:showLegendKey val="0"/>
          <c:showVal val="0"/>
          <c:showCatName val="0"/>
          <c:showSerName val="0"/>
          <c:showPercent val="0"/>
          <c:showBubbleSize val="0"/>
        </c:dLbls>
        <c:axId val="146912960"/>
        <c:axId val="146914880"/>
      </c:scatterChart>
      <c:valAx>
        <c:axId val="146912960"/>
        <c:scaling>
          <c:orientation val="minMax"/>
          <c:max val="4.2007262122566909"/>
          <c:min val="-3.4516826175693711"/>
        </c:scaling>
        <c:delete val="0"/>
        <c:axPos val="b"/>
        <c:majorGridlines/>
        <c:title>
          <c:tx>
            <c:strRef>
              <c:f>Regression!$BC$96</c:f>
              <c:strCache>
                <c:ptCount val="1"/>
                <c:pt idx="0">
                  <c:v>Theoretical Quantiles</c:v>
                </c:pt>
              </c:strCache>
            </c:strRef>
          </c:tx>
          <c:overlay val="0"/>
        </c:title>
        <c:numFmt formatCode="0" sourceLinked="0"/>
        <c:majorTickMark val="out"/>
        <c:minorTickMark val="none"/>
        <c:tickLblPos val="nextTo"/>
        <c:crossAx val="146914880"/>
        <c:crosses val="autoZero"/>
        <c:crossBetween val="midCat"/>
      </c:valAx>
      <c:valAx>
        <c:axId val="146914880"/>
        <c:scaling>
          <c:orientation val="minMax"/>
          <c:max val="4.2007262122566909"/>
          <c:min val="-3.4516826175693711"/>
        </c:scaling>
        <c:delete val="0"/>
        <c:axPos val="l"/>
        <c:majorGridlines/>
        <c:title>
          <c:tx>
            <c:strRef>
              <c:f>Regression!$BD$96</c:f>
              <c:strCache>
                <c:ptCount val="1"/>
                <c:pt idx="0">
                  <c:v>Studentized Residuals</c:v>
                </c:pt>
              </c:strCache>
            </c:strRef>
          </c:tx>
          <c:overlay val="0"/>
        </c:title>
        <c:numFmt formatCode="0" sourceLinked="0"/>
        <c:majorTickMark val="out"/>
        <c:minorTickMark val="none"/>
        <c:tickLblPos val="nextTo"/>
        <c:crossAx val="1469129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7DFA-4C2F-8FFC-1A446237BF4C}"/>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7DFA-4C2F-8FFC-1A446237BF4C}"/>
            </c:ext>
          </c:extLst>
        </c:ser>
        <c:dLbls>
          <c:showLegendKey val="0"/>
          <c:showVal val="0"/>
          <c:showCatName val="0"/>
          <c:showSerName val="0"/>
          <c:showPercent val="0"/>
          <c:showBubbleSize val="0"/>
        </c:dLbls>
        <c:axId val="146903360"/>
        <c:axId val="146920160"/>
      </c:scatterChart>
      <c:valAx>
        <c:axId val="146903360"/>
        <c:scaling>
          <c:orientation val="minMax"/>
        </c:scaling>
        <c:delete val="0"/>
        <c:axPos val="b"/>
        <c:majorGridlines/>
        <c:title>
          <c:tx>
            <c:strRef>
              <c:f>Regression!$BC$97</c:f>
              <c:strCache>
                <c:ptCount val="1"/>
                <c:pt idx="0">
                  <c:v>Predicted MPG</c:v>
                </c:pt>
              </c:strCache>
            </c:strRef>
          </c:tx>
          <c:overlay val="0"/>
        </c:title>
        <c:numFmt formatCode="0" sourceLinked="0"/>
        <c:majorTickMark val="out"/>
        <c:minorTickMark val="none"/>
        <c:tickLblPos val="nextTo"/>
        <c:crossAx val="146920160"/>
        <c:crosses val="autoZero"/>
        <c:crossBetween val="midCat"/>
      </c:valAx>
      <c:valAx>
        <c:axId val="146920160"/>
        <c:scaling>
          <c:orientation val="minMax"/>
        </c:scaling>
        <c:delete val="0"/>
        <c:axPos val="l"/>
        <c:majorGridlines/>
        <c:title>
          <c:tx>
            <c:strRef>
              <c:f>Regression!$BD$97</c:f>
              <c:strCache>
                <c:ptCount val="1"/>
                <c:pt idx="0">
                  <c:v>Actual MPG</c:v>
                </c:pt>
              </c:strCache>
            </c:strRef>
          </c:tx>
          <c:overlay val="0"/>
        </c:title>
        <c:numFmt formatCode="0" sourceLinked="0"/>
        <c:majorTickMark val="out"/>
        <c:minorTickMark val="none"/>
        <c:tickLblPos val="nextTo"/>
        <c:crossAx val="146903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D4E5-4976-B8A3-A7B0F3B5DD0D}"/>
            </c:ext>
          </c:extLst>
        </c:ser>
        <c:dLbls>
          <c:showLegendKey val="0"/>
          <c:showVal val="0"/>
          <c:showCatName val="0"/>
          <c:showSerName val="0"/>
          <c:showPercent val="0"/>
          <c:showBubbleSize val="0"/>
        </c:dLbls>
        <c:axId val="146926400"/>
        <c:axId val="146922560"/>
      </c:scatterChart>
      <c:valAx>
        <c:axId val="146926400"/>
        <c:scaling>
          <c:orientation val="minMax"/>
        </c:scaling>
        <c:delete val="0"/>
        <c:axPos val="b"/>
        <c:title>
          <c:tx>
            <c:strRef>
              <c:f>Regression!$BC$98</c:f>
              <c:strCache>
                <c:ptCount val="1"/>
                <c:pt idx="0">
                  <c:v>Fitted Values</c:v>
                </c:pt>
              </c:strCache>
            </c:strRef>
          </c:tx>
          <c:overlay val="0"/>
        </c:title>
        <c:numFmt formatCode="0" sourceLinked="0"/>
        <c:majorTickMark val="out"/>
        <c:minorTickMark val="none"/>
        <c:tickLblPos val="nextTo"/>
        <c:crossAx val="146922560"/>
        <c:crosses val="autoZero"/>
        <c:crossBetween val="midCat"/>
      </c:valAx>
      <c:valAx>
        <c:axId val="146922560"/>
        <c:scaling>
          <c:orientation val="minMax"/>
        </c:scaling>
        <c:delete val="0"/>
        <c:axPos val="l"/>
        <c:majorGridlines/>
        <c:title>
          <c:tx>
            <c:strRef>
              <c:f>Regression!$BD$98</c:f>
              <c:strCache>
                <c:ptCount val="1"/>
                <c:pt idx="0">
                  <c:v>√|Studentized Residual|</c:v>
                </c:pt>
              </c:strCache>
            </c:strRef>
          </c:tx>
          <c:overlay val="0"/>
        </c:title>
        <c:numFmt formatCode="0" sourceLinked="0"/>
        <c:majorTickMark val="out"/>
        <c:minorTickMark val="none"/>
        <c:tickLblPos val="nextTo"/>
        <c:crossAx val="1469264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D6E1-4231-9087-B461F2BB2609}"/>
            </c:ext>
          </c:extLst>
        </c:ser>
        <c:dLbls>
          <c:showLegendKey val="0"/>
          <c:showVal val="0"/>
          <c:showCatName val="0"/>
          <c:showSerName val="0"/>
          <c:showPercent val="0"/>
          <c:showBubbleSize val="0"/>
        </c:dLbls>
        <c:gapWidth val="150"/>
        <c:axId val="146933120"/>
        <c:axId val="146926400"/>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D6E1-4231-9087-B461F2BB2609}"/>
            </c:ext>
          </c:extLst>
        </c:ser>
        <c:dLbls>
          <c:showLegendKey val="0"/>
          <c:showVal val="0"/>
          <c:showCatName val="0"/>
          <c:showSerName val="0"/>
          <c:showPercent val="0"/>
          <c:showBubbleSize val="0"/>
        </c:dLbls>
        <c:marker val="1"/>
        <c:smooth val="0"/>
        <c:axId val="146933120"/>
        <c:axId val="146926400"/>
      </c:lineChart>
      <c:catAx>
        <c:axId val="146933120"/>
        <c:scaling>
          <c:orientation val="minMax"/>
        </c:scaling>
        <c:delete val="0"/>
        <c:axPos val="b"/>
        <c:title>
          <c:tx>
            <c:strRef>
              <c:f>Regression!$BC$99</c:f>
              <c:strCache>
                <c:ptCount val="1"/>
                <c:pt idx="0">
                  <c:v>Observation</c:v>
                </c:pt>
              </c:strCache>
            </c:strRef>
          </c:tx>
          <c:overlay val="0"/>
        </c:title>
        <c:numFmt formatCode="0" sourceLinked="0"/>
        <c:majorTickMark val="out"/>
        <c:minorTickMark val="none"/>
        <c:tickLblPos val="none"/>
        <c:crossAx val="146926400"/>
        <c:crosses val="autoZero"/>
        <c:auto val="1"/>
        <c:lblAlgn val="ctr"/>
        <c:lblOffset val="100"/>
        <c:noMultiLvlLbl val="0"/>
      </c:catAx>
      <c:valAx>
        <c:axId val="146926400"/>
        <c:scaling>
          <c:orientation val="minMax"/>
        </c:scaling>
        <c:delete val="0"/>
        <c:axPos val="l"/>
        <c:majorGridlines/>
        <c:title>
          <c:tx>
            <c:strRef>
              <c:f>Regression!$BD$99</c:f>
              <c:strCache>
                <c:ptCount val="1"/>
                <c:pt idx="0">
                  <c:v>Cook's Distance</c:v>
                </c:pt>
              </c:strCache>
            </c:strRef>
          </c:tx>
          <c:overlay val="0"/>
        </c:title>
        <c:numFmt formatCode="0.0E+00" sourceLinked="0"/>
        <c:majorTickMark val="out"/>
        <c:minorTickMark val="none"/>
        <c:tickLblPos val="nextTo"/>
        <c:crossAx val="14693312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6E2A-48BC-AD21-20777F5FF797}"/>
            </c:ext>
          </c:extLst>
        </c:ser>
        <c:dLbls>
          <c:showLegendKey val="0"/>
          <c:showVal val="0"/>
          <c:showCatName val="0"/>
          <c:showSerName val="0"/>
          <c:showPercent val="0"/>
          <c:showBubbleSize val="0"/>
        </c:dLbls>
        <c:axId val="146924000"/>
        <c:axId val="146932160"/>
      </c:scatterChart>
      <c:valAx>
        <c:axId val="146924000"/>
        <c:scaling>
          <c:orientation val="minMax"/>
        </c:scaling>
        <c:delete val="0"/>
        <c:axPos val="b"/>
        <c:majorGridlines/>
        <c:title>
          <c:tx>
            <c:strRef>
              <c:f>Regression!$BC$100</c:f>
              <c:strCache>
                <c:ptCount val="1"/>
                <c:pt idx="0">
                  <c:v>Leverage (Hat Diagonal)</c:v>
                </c:pt>
              </c:strCache>
            </c:strRef>
          </c:tx>
          <c:overlay val="0"/>
        </c:title>
        <c:numFmt formatCode="0.00" sourceLinked="0"/>
        <c:majorTickMark val="out"/>
        <c:minorTickMark val="none"/>
        <c:tickLblPos val="nextTo"/>
        <c:crossAx val="146932160"/>
        <c:crosses val="autoZero"/>
        <c:crossBetween val="midCat"/>
      </c:valAx>
      <c:valAx>
        <c:axId val="146932160"/>
        <c:scaling>
          <c:orientation val="minMax"/>
        </c:scaling>
        <c:delete val="0"/>
        <c:axPos val="l"/>
        <c:majorGridlines/>
        <c:title>
          <c:tx>
            <c:strRef>
              <c:f>Regression!$BD$100</c:f>
              <c:strCache>
                <c:ptCount val="1"/>
                <c:pt idx="0">
                  <c:v>Studentized Residuals</c:v>
                </c:pt>
              </c:strCache>
            </c:strRef>
          </c:tx>
          <c:overlay val="0"/>
        </c:title>
        <c:numFmt formatCode="0" sourceLinked="0"/>
        <c:majorTickMark val="out"/>
        <c:minorTickMark val="none"/>
        <c:tickLblPos val="nextTo"/>
        <c:crossAx val="146924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2E23-4D7F-A661-B107AB12C5FF}"/>
            </c:ext>
          </c:extLst>
        </c:ser>
        <c:dLbls>
          <c:showLegendKey val="0"/>
          <c:showVal val="0"/>
          <c:showCatName val="0"/>
          <c:showSerName val="0"/>
          <c:showPercent val="0"/>
          <c:showBubbleSize val="0"/>
        </c:dLbls>
        <c:gapWidth val="150"/>
        <c:axId val="146928320"/>
        <c:axId val="146925440"/>
      </c:barChart>
      <c:catAx>
        <c:axId val="146928320"/>
        <c:scaling>
          <c:orientation val="minMax"/>
        </c:scaling>
        <c:delete val="0"/>
        <c:axPos val="b"/>
        <c:title>
          <c:tx>
            <c:strRef>
              <c:f>Regression!$BC$101</c:f>
              <c:strCache>
                <c:ptCount val="1"/>
                <c:pt idx="0">
                  <c:v>Observation</c:v>
                </c:pt>
              </c:strCache>
            </c:strRef>
          </c:tx>
          <c:overlay val="0"/>
        </c:title>
        <c:numFmt formatCode="0" sourceLinked="0"/>
        <c:majorTickMark val="out"/>
        <c:minorTickMark val="none"/>
        <c:tickLblPos val="none"/>
        <c:crossAx val="146925440"/>
        <c:crosses val="autoZero"/>
        <c:auto val="1"/>
        <c:lblAlgn val="ctr"/>
        <c:lblOffset val="100"/>
        <c:noMultiLvlLbl val="0"/>
      </c:catAx>
      <c:valAx>
        <c:axId val="146925440"/>
        <c:scaling>
          <c:orientation val="minMax"/>
        </c:scaling>
        <c:delete val="0"/>
        <c:axPos val="l"/>
        <c:majorGridlines/>
        <c:title>
          <c:tx>
            <c:strRef>
              <c:f>Regression!$BD$101</c:f>
              <c:strCache>
                <c:ptCount val="1"/>
                <c:pt idx="0">
                  <c:v>PRESS Residual</c:v>
                </c:pt>
              </c:strCache>
            </c:strRef>
          </c:tx>
          <c:overlay val="0"/>
        </c:title>
        <c:numFmt formatCode="0" sourceLinked="0"/>
        <c:majorTickMark val="out"/>
        <c:minorTickMark val="none"/>
        <c:tickLblPos val="nextTo"/>
        <c:crossAx val="14692832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51</xdr:col>
      <xdr:colOff>0</xdr:colOff>
      <xdr:row>2</xdr:row>
      <xdr:rowOff>0</xdr:rowOff>
    </xdr:from>
    <xdr:to>
      <xdr:col>57</xdr:col>
      <xdr:colOff>279400</xdr:colOff>
      <xdr:row>22</xdr:row>
      <xdr:rowOff>127000</xdr:rowOff>
    </xdr:to>
    <xdr:graphicFrame macro="">
      <xdr:nvGraphicFramePr>
        <xdr:cNvPr id="9" name="Chart 8">
          <a:extLst>
            <a:ext uri="{FF2B5EF4-FFF2-40B4-BE49-F238E27FC236}">
              <a16:creationId xmlns:a16="http://schemas.microsoft.com/office/drawing/2014/main" id="{56FC5684-5DAD-8B6C-6D7E-2C27488B57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57</xdr:col>
      <xdr:colOff>406400</xdr:colOff>
      <xdr:row>2</xdr:row>
      <xdr:rowOff>0</xdr:rowOff>
    </xdr:from>
    <xdr:to>
      <xdr:col>64</xdr:col>
      <xdr:colOff>76200</xdr:colOff>
      <xdr:row>22</xdr:row>
      <xdr:rowOff>127000</xdr:rowOff>
    </xdr:to>
    <xdr:graphicFrame macro="">
      <xdr:nvGraphicFramePr>
        <xdr:cNvPr id="10" name="Chart 9">
          <a:extLst>
            <a:ext uri="{FF2B5EF4-FFF2-40B4-BE49-F238E27FC236}">
              <a16:creationId xmlns:a16="http://schemas.microsoft.com/office/drawing/2014/main" id="{E12C717F-B684-6514-D910-B9493E702E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51</xdr:col>
      <xdr:colOff>0</xdr:colOff>
      <xdr:row>23</xdr:row>
      <xdr:rowOff>63500</xdr:rowOff>
    </xdr:from>
    <xdr:to>
      <xdr:col>57</xdr:col>
      <xdr:colOff>279400</xdr:colOff>
      <xdr:row>44</xdr:row>
      <xdr:rowOff>0</xdr:rowOff>
    </xdr:to>
    <xdr:graphicFrame macro="">
      <xdr:nvGraphicFramePr>
        <xdr:cNvPr id="11" name="Chart 10">
          <a:extLst>
            <a:ext uri="{FF2B5EF4-FFF2-40B4-BE49-F238E27FC236}">
              <a16:creationId xmlns:a16="http://schemas.microsoft.com/office/drawing/2014/main" id="{4665F4AA-A96B-0250-6C01-7D149B22B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57</xdr:col>
      <xdr:colOff>406400</xdr:colOff>
      <xdr:row>23</xdr:row>
      <xdr:rowOff>63500</xdr:rowOff>
    </xdr:from>
    <xdr:to>
      <xdr:col>64</xdr:col>
      <xdr:colOff>76200</xdr:colOff>
      <xdr:row>44</xdr:row>
      <xdr:rowOff>0</xdr:rowOff>
    </xdr:to>
    <xdr:graphicFrame macro="">
      <xdr:nvGraphicFramePr>
        <xdr:cNvPr id="12" name="Chart 11">
          <a:extLst>
            <a:ext uri="{FF2B5EF4-FFF2-40B4-BE49-F238E27FC236}">
              <a16:creationId xmlns:a16="http://schemas.microsoft.com/office/drawing/2014/main" id="{02CAAE55-1AB0-C31C-3C91-16D95B5D1E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51</xdr:col>
      <xdr:colOff>0</xdr:colOff>
      <xdr:row>44</xdr:row>
      <xdr:rowOff>127000</xdr:rowOff>
    </xdr:from>
    <xdr:to>
      <xdr:col>57</xdr:col>
      <xdr:colOff>279400</xdr:colOff>
      <xdr:row>65</xdr:row>
      <xdr:rowOff>63500</xdr:rowOff>
    </xdr:to>
    <xdr:graphicFrame macro="">
      <xdr:nvGraphicFramePr>
        <xdr:cNvPr id="13" name="Chart 12">
          <a:extLst>
            <a:ext uri="{FF2B5EF4-FFF2-40B4-BE49-F238E27FC236}">
              <a16:creationId xmlns:a16="http://schemas.microsoft.com/office/drawing/2014/main" id="{A5F131B7-3999-1FB8-5291-73CDB5F17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57</xdr:col>
      <xdr:colOff>406400</xdr:colOff>
      <xdr:row>44</xdr:row>
      <xdr:rowOff>127000</xdr:rowOff>
    </xdr:from>
    <xdr:to>
      <xdr:col>64</xdr:col>
      <xdr:colOff>76200</xdr:colOff>
      <xdr:row>65</xdr:row>
      <xdr:rowOff>63500</xdr:rowOff>
    </xdr:to>
    <xdr:graphicFrame macro="">
      <xdr:nvGraphicFramePr>
        <xdr:cNvPr id="16" name="Chart 15">
          <a:extLst>
            <a:ext uri="{FF2B5EF4-FFF2-40B4-BE49-F238E27FC236}">
              <a16:creationId xmlns:a16="http://schemas.microsoft.com/office/drawing/2014/main" id="{668A9336-771E-6457-AE50-2B204BB3D4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0</xdr:colOff>
      <xdr:row>66</xdr:row>
      <xdr:rowOff>0</xdr:rowOff>
    </xdr:from>
    <xdr:to>
      <xdr:col>57</xdr:col>
      <xdr:colOff>279400</xdr:colOff>
      <xdr:row>86</xdr:row>
      <xdr:rowOff>127000</xdr:rowOff>
    </xdr:to>
    <xdr:graphicFrame macro="">
      <xdr:nvGraphicFramePr>
        <xdr:cNvPr id="17" name="Chart 16">
          <a:extLst>
            <a:ext uri="{FF2B5EF4-FFF2-40B4-BE49-F238E27FC236}">
              <a16:creationId xmlns:a16="http://schemas.microsoft.com/office/drawing/2014/main" id="{0E238DE8-4337-8F56-B14D-6459D234E7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6101A5-48C9-4B7A-BBC0-018CB704DA18}" name="MileageData" displayName="MileageData" ref="A1:L407" totalsRowShown="0">
  <autoFilter ref="A1:L407" xr:uid="{B26101A5-48C9-4B7A-BBC0-018CB704DA18}"/>
  <tableColumns count="12">
    <tableColumn id="1" xr3:uid="{D5C7C84A-B8C4-4623-A706-F43B41EBE148}" name="MPG"/>
    <tableColumn id="2" xr3:uid="{5BB20F41-DBA3-4E16-97C1-04D062BBEDD1}" name="Cylinders"/>
    <tableColumn id="3" xr3:uid="{8CECB983-DEA0-4415-94F0-BB4A90A1AAC3}" name="Displacement"/>
    <tableColumn id="4" xr3:uid="{1DEDA3F0-90E3-4CFF-9970-9B121688EE39}" name="Horsepower"/>
    <tableColumn id="5" xr3:uid="{BA04B1DB-05F9-4947-A911-5EEF3173EED6}" name="Weight"/>
    <tableColumn id="6" xr3:uid="{C71392A4-2AB1-44B1-97E4-93C0470FF149}" name="Acceleration"/>
    <tableColumn id="7" xr3:uid="{6A2D3C80-FF35-4DBD-A823-43494DD7D1EF}" name="Model Year"/>
    <tableColumn id="8" xr3:uid="{251D0CAC-B4E7-411E-BB86-C19D0F7A400C}" name="Origin"/>
    <tableColumn id="9" xr3:uid="{E875A01A-CC36-404C-8D42-3EF89EB45C26}" name="Car Name"/>
    <tableColumn id="10" xr3:uid="{90F09E96-521C-4339-BC1D-F9B09A7C2618}" name="Make"/>
    <tableColumn id="11" xr3:uid="{2C89F7F4-4F74-46AD-BF1A-3CEB9655E031}" name="Model?"/>
    <tableColumn id="12" xr3:uid="{83A7D427-C900-473D-9D15-0EE1F2104400}"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DD9DCAC-865A-4778-8203-D55439838372}" name="LifeExpectancyData" displayName="LifeExpectancyData" ref="A1:W2939" totalsRowShown="0">
  <autoFilter ref="A1:W2939" xr:uid="{EDD9DCAC-865A-4778-8203-D55439838372}"/>
  <tableColumns count="23">
    <tableColumn id="1" xr3:uid="{380F88A8-3EAA-4622-A01C-3EF36C9E10E5}" name="Country"/>
    <tableColumn id="2" xr3:uid="{6285940F-7AF8-4AA6-8F97-C138AF289D19}" name="Year"/>
    <tableColumn id="3" xr3:uid="{48F640C8-3358-4EC1-83F0-970BF2CD78BC}" name="Status"/>
    <tableColumn id="4" xr3:uid="{6FCE6698-0424-4204-917C-7ABCD51CE2CA}" name="Life expectancy"/>
    <tableColumn id="5" xr3:uid="{FF9D7037-3726-46E6-B0B4-5102E55461E3}" name="Adult Mortality"/>
    <tableColumn id="6" xr3:uid="{7B218AEA-F8D8-49AE-803D-53E4061DC1B1}" name="infant deaths"/>
    <tableColumn id="7" xr3:uid="{A233F00E-CF48-49D2-B8EC-A2A5A85ADF5E}" name="Alcohol"/>
    <tableColumn id="8" xr3:uid="{6D1FDCE3-63A1-4620-A99D-6E2A43D8D596}" name="percentage expenditure"/>
    <tableColumn id="9" xr3:uid="{A1D0A2D6-8AE3-474A-A6DF-B6083A255E4F}" name="Hepatitis B"/>
    <tableColumn id="10" xr3:uid="{DA4B1CFA-9901-4A21-9534-A987FE57394D}" name="Measles"/>
    <tableColumn id="11" xr3:uid="{708487B3-1E47-4548-8B09-532800225E53}" name="BMI"/>
    <tableColumn id="12" xr3:uid="{BB816444-56E5-4A86-807A-7F9DE5331CE5}" name="under-five deaths"/>
    <tableColumn id="13" xr3:uid="{9EB165F1-1C07-4846-BC1F-1476EE8CA03F}" name="Polio"/>
    <tableColumn id="14" xr3:uid="{0F832CAE-3EF8-403B-BF89-A40B8177B2E4}" name="Total expenditure"/>
    <tableColumn id="15" xr3:uid="{20C38EF4-85A7-432C-8A16-8B1978D40A63}" name="Diphtheria"/>
    <tableColumn id="16" xr3:uid="{F5313F00-D5DA-498B-B117-6455C3222BDF}" name="HIV/AIDS"/>
    <tableColumn id="17" xr3:uid="{FD91DC61-445B-4231-A843-B5CAE61B4059}" name="GDP"/>
    <tableColumn id="18" xr3:uid="{F52E3BB8-AEBC-4EA6-A0E0-F43D92AEF5E4}" name="Population"/>
    <tableColumn id="19" xr3:uid="{A5312368-6D84-4A2D-AF00-72C6F3AFC59B}" name="thinness 1-19 years"/>
    <tableColumn id="20" xr3:uid="{DD1552E0-F8D0-4278-8A19-7FD2791B7104}" name="thinness 5-9 years"/>
    <tableColumn id="21" xr3:uid="{FCBBA97D-44E3-4BDE-89F1-945E5EE3BDAC}" name="Income composition of resources"/>
    <tableColumn id="22" xr3:uid="{A002CF47-9EBC-4F29-BB19-EFAEE1970260}" name="Schooling"/>
    <tableColumn id="23" xr3:uid="{57892489-991B-4D09-9BFD-48DEF9DC475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536DCBD-782C-4316-ABDB-634D46BA84A8}" name="ProductionLotsData" displayName="ProductionLotsData" ref="A1:K52" totalsRowShown="0">
  <autoFilter ref="A1:K52" xr:uid="{3536DCBD-782C-4316-ABDB-634D46BA84A8}"/>
  <tableColumns count="11">
    <tableColumn id="1" xr3:uid="{53EFC500-DC40-408B-828F-075DBA9E2521}" name="Lot_ID"/>
    <tableColumn id="2" xr3:uid="{EE75964A-1A00-4FF6-B8FD-0AE381AB74B8}" name="Facility"/>
    <tableColumn id="3" xr3:uid="{E9BA10CB-8CAB-47AA-9C9D-FEF6EAEB5017}" name="Fiscal_Year"/>
    <tableColumn id="4" xr3:uid="{61F74870-4A74-4918-9BE1-A09EDE74799E}" name="Lot_Quantity"/>
    <tableColumn id="5" xr3:uid="{A6FA997D-D55B-49CC-ABF5-5C80D64BF41B}" name="Cumulative_Units"/>
    <tableColumn id="6" xr3:uid="{44433485-3D99-475B-9FA1-482181F519F3}" name="Experience_Stock"/>
    <tableColumn id="7" xr3:uid="{885C69BF-82F2-4016-9AF8-CBD11E4C7BBA}" name="Unit_Cost_BY"/>
    <tableColumn id="8" xr3:uid="{3698FE95-8E4E-431F-921D-634C3D7A7A9C}" name="log Cum Units"/>
    <tableColumn id="9" xr3:uid="{66593B2A-862E-4307-8E9C-274015129B4A}" name="log experience"/>
    <tableColumn id="10" xr3:uid="{88C587A8-4FA6-4C25-8036-3FAA00113E2A}" name="log Unit Cost"/>
    <tableColumn id="11" xr3:uid="{8CB5558D-BD94-4179-800B-8B698D93EC81}"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5EB52-A950-41DD-88C7-C8DBB9F2204E}" name="SpecTable" displayName="SpecTable" ref="B3:O15" totalsRowShown="0" headerRowDxfId="60">
  <autoFilter ref="B3:O15" xr:uid="{C6C5EB52-A950-41DD-88C7-C8DBB9F2204E}"/>
  <tableColumns count="14">
    <tableColumn id="1" xr3:uid="{0D31178C-E759-4488-BA9C-74E293EBCC3F}" name="Role"/>
    <tableColumn id="2" xr3:uid="{24BB97CE-64C8-4852-944E-91C5CB02AC3A}" name="Include"/>
    <tableColumn id="3" xr3:uid="{A7528F27-613E-49F9-9AC0-BD80A5064173}" name="Type"/>
    <tableColumn id="4" xr3:uid="{17BCFAD9-8DAB-4FB1-A9B4-D46222A03D4F}" name="Reference Level"/>
    <tableColumn id="5" xr3:uid="{9DE8A493-E7D6-42A8-92CE-1104105D5140}" name="Order"/>
    <tableColumn id="6" xr3:uid="{95957F5D-9E3B-4AD4-88D5-29F45666B11F}" name="Transform"/>
    <tableColumn id="7" xr3:uid="{1135C278-F63C-49DF-A57F-48CE51161294}" name="Sequence"/>
    <tableColumn id="8" xr3:uid="{F056F809-03F6-4C71-91CB-5E52C4C5F8A7}" name="Sequence Period"/>
    <tableColumn id="9" xr3:uid="{7FCF4A01-8C5B-4A00-AC2D-29DD8AD689C0}" name="Period In Use" dataDxfId="59">
      <calculatedColumnFormula>IF(SpecTable[[#This Row],[Sequence]]&lt;&gt;TRUE,"",IF(N(SpecTable[[#This Row],[Sequence Period]])&lt;&gt;0,SpecTable[[#This Row],[Sequence Period]],IFERROR(Base_Period_Delta_Candidate(),"")))</calculatedColumnFormula>
    </tableColumn>
    <tableColumn id="10" xr3:uid="{47A5FD7D-2DE9-4039-90E2-335EFAB3574A}"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4604CF29-E850-4385-B750-503A5816AE9F}"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C3CA7E63-5D71-493B-9CA2-56FBA5B66F22}" name="Interaction Term"/>
    <tableColumn id="13" xr3:uid="{AAA4086F-06D2-44B9-AB5A-6848343A5348}" name="Interaction Operation"/>
    <tableColumn id="14" xr3:uid="{C3C119F2-07E1-4E1C-915A-49B9D7F22773}"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D0FEA5-DF6F-419C-BEB0-E41DF28486E4}" name="LAMBDAFunctionsCatalog" displayName="LAMBDAFunctionsCatalog" ref="A1:G132" totalsRowShown="0" headerRowDxfId="55" dataDxfId="54">
  <autoFilter ref="A1:G132" xr:uid="{E6D0FEA5-DF6F-419C-BEB0-E41DF28486E4}"/>
  <tableColumns count="7">
    <tableColumn id="1" xr3:uid="{1F06F9CB-3D2E-4989-9568-B1CBD5BD130C}" name="Function Name" dataDxfId="53"/>
    <tableColumn id="2" xr3:uid="{FA2364F8-D67A-4082-9172-7DA98F700B63}" name="Scope" dataDxfId="52"/>
    <tableColumn id="3" xr3:uid="{D40229AF-D554-4FFA-AFF6-1BA4A2BC3511}" name="Definition" dataDxfId="51"/>
    <tableColumn id="4" xr3:uid="{4303132B-0EEB-46B2-B847-0140F00ED45F}" name="Arguments" dataDxfId="50"/>
    <tableColumn id="5" xr3:uid="{1BA15BA6-E2AE-4366-AC26-2A52EA2E7A96}" name="Yields" dataDxfId="49"/>
    <tableColumn id="6" xr3:uid="{17740254-218C-4C49-9E91-2975771965A5}" name="Plain-Language Summary" dataDxfId="48"/>
    <tableColumn id="7" xr3:uid="{858A3B6B-3071-4DD1-8EA7-11334AC42716}"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4"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0"/>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1871</v>
      </c>
      <c r="B7" s="18">
        <v>46236</v>
      </c>
      <c r="C7" t="s">
        <v>812</v>
      </c>
      <c r="D7" s="2" t="s">
        <v>1872</v>
      </c>
    </row>
    <row r="8" spans="1:4" ht="150" x14ac:dyDescent="0.25">
      <c r="A8" t="s">
        <v>1873</v>
      </c>
      <c r="B8" s="18">
        <v>46236</v>
      </c>
      <c r="C8" t="s">
        <v>812</v>
      </c>
      <c r="D8" s="2" t="s">
        <v>1874</v>
      </c>
    </row>
    <row r="9" spans="1:4" ht="300" x14ac:dyDescent="0.25">
      <c r="A9" t="s">
        <v>1848</v>
      </c>
      <c r="B9" s="18">
        <v>46236</v>
      </c>
      <c r="C9" t="s">
        <v>815</v>
      </c>
      <c r="D9" s="2" t="s">
        <v>1857</v>
      </c>
    </row>
    <row r="10" spans="1:4" ht="225" x14ac:dyDescent="0.25">
      <c r="A10" t="s">
        <v>1875</v>
      </c>
      <c r="B10" s="18">
        <v>46237</v>
      </c>
      <c r="C10" t="s">
        <v>812</v>
      </c>
      <c r="D10" s="2" t="s">
        <v>1876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CD4DF-5E58-47E4-9D8B-C0924E318740}">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1854</v>
      </c>
    </row>
    <row r="9" spans="1:1" ht="180" x14ac:dyDescent="0.25">
      <c r="A9" s="2" t="s">
        <v>1696</v>
      </c>
    </row>
    <row r="10" spans="1:1" ht="90" x14ac:dyDescent="0.25">
      <c r="A10" s="2" t="s">
        <v>805</v>
      </c>
    </row>
    <row r="11" spans="1:1" ht="300" x14ac:dyDescent="0.25">
      <c r="A11" s="2" t="s">
        <v>1855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394"/>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9.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style="7" customWidth="1" outlineLevel="1"/>
    <col min="51" max="51" width="9.140625" style="7" outlineLevel="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75"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1852</v>
      </c>
      <c r="O1" s="3">
        <f>SUM(_xlfn.TAKE(Spec_Design_Columns,COLUMNS(Source_Data)))+N(Allow_Intercept)</f>
        <v>17</v>
      </c>
      <c r="P1" s="3" t="s">
        <v>878</v>
      </c>
      <c r="Q1" s="3" t="s">
        <v>879</v>
      </c>
      <c r="S1" s="4" t="s">
        <v>607</v>
      </c>
      <c r="AA1" s="4" t="s">
        <v>610</v>
      </c>
      <c r="AJ1" s="36" t="s">
        <v>634</v>
      </c>
      <c r="AK1" s="37"/>
      <c r="AN1" s="4" t="s">
        <v>643</v>
      </c>
      <c r="BR1" s="36" t="s">
        <v>1858</v>
      </c>
      <c r="BS1" s="43"/>
      <c r="BU1" s="4" t="s">
        <v>1845</v>
      </c>
      <c r="BW1" s="4" t="s">
        <v>1853</v>
      </c>
    </row>
    <row r="2" spans="1:75"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
      <c r="AB2" s="2"/>
      <c r="AC2" s="2"/>
      <c r="AD2" s="2"/>
      <c r="AE2" s="30" t="s">
        <v>721</v>
      </c>
      <c r="AF2" s="30"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8"/>
      <c r="AL2" s="32"/>
      <c r="AM2" s="2"/>
      <c r="AN2" s="26" t="s">
        <v>801</v>
      </c>
      <c r="AO2" s="29"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9"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9"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9" t="str" cm="1">
        <f t="array" ref="AR2">IF(SUMPRODUCT(N(_xlfn.TAKE(Spec_Role,COLUMNS(Source_Data))="Fixed Effects"))&gt;0,"Hat Diagonal"&amp;" (Within "&amp;IFERROR(INDEX(_xlfn.TOROW(Header_Names),_xlfn.XMATCH("Fixed Effects",_xlfn.TAKE(Spec_Role,COLUMNS(Source_Data)))),"FE")&amp;")","Hat Diagonal")</f>
        <v>Hat Diagonal</v>
      </c>
      <c r="AS2" s="29"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9" t="str" cm="1">
        <f t="array" ref="AT2">IF(SUMPRODUCT(N(_xlfn.TAKE(Spec_Role,COLUMNS(Source_Data))="Fixed Effects"))&gt;0,"Cook's Distance"&amp;" (Within "&amp;IFERROR(INDEX(_xlfn.TOROW(Header_Names),_xlfn.XMATCH("Fixed Effects",_xlfn.TAKE(Spec_Role,COLUMNS(Source_Data)))),"FE")&amp;")","Cook's Distance")</f>
        <v>Cook's Distance</v>
      </c>
      <c r="AU2" s="29" t="str" cm="1">
        <f t="array" ref="AU2">IF(SUMPRODUCT(N(_xlfn.TAKE(Spec_Role,COLUMNS(Source_Data))="Fixed Effects"))&gt;0,"Normal Scores Ranked"&amp;" (Within "&amp;IFERROR(INDEX(_xlfn.TOROW(Header_Names),_xlfn.XMATCH("Fixed Effects",_xlfn.TAKE(Spec_Role,COLUMNS(Source_Data)))),"FE")&amp;")","Normal Scores Ranked")</f>
        <v>Normal Scores Ranked</v>
      </c>
      <c r="AV2" s="29"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9" t="str" cm="1">
        <f t="array" ref="AW2">IF(SUMPRODUCT(N(_xlfn.TAKE(Spec_Role,COLUMNS(Source_Data))="Fixed Effects"))&gt;0,"Scale-Location"&amp;" (Within "&amp;IFERROR(INDEX(_xlfn.TOROW(Header_Names),_xlfn.XMATCH("Fixed Effects",_xlfn.TAKE(Spec_Role,COLUMNS(Source_Data)))),"FE")&amp;")","Scale-Location")</f>
        <v>Scale-Location</v>
      </c>
      <c r="AX2" s="29"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9"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
      <c r="BR2" s="8" t="s">
        <v>1859</v>
      </c>
      <c r="BS2" s="24" t="b">
        <f>Allow_Intercept</f>
        <v>1</v>
      </c>
      <c r="BU2" t="s">
        <v>1846</v>
      </c>
      <c r="BW2" t="s">
        <v>1846</v>
      </c>
    </row>
    <row r="3" spans="1:75" x14ac:dyDescent="0.25">
      <c r="A3" s="6" t="s">
        <v>867</v>
      </c>
      <c r="B3" s="6" t="s">
        <v>775</v>
      </c>
      <c r="C3" s="6" t="s">
        <v>772</v>
      </c>
      <c r="D3" s="6" t="s">
        <v>776</v>
      </c>
      <c r="E3" s="6" t="s">
        <v>777</v>
      </c>
      <c r="F3" s="6" t="s">
        <v>778</v>
      </c>
      <c r="G3" s="6" t="s">
        <v>779</v>
      </c>
      <c r="H3" s="6" t="s">
        <v>818</v>
      </c>
      <c r="I3" s="6" t="s">
        <v>876</v>
      </c>
      <c r="J3" s="6" t="s">
        <v>877</v>
      </c>
      <c r="K3" s="6" t="s">
        <v>780</v>
      </c>
      <c r="L3" s="6" t="s">
        <v>799</v>
      </c>
      <c r="M3" s="6" t="s">
        <v>1849</v>
      </c>
      <c r="N3" s="6" t="s">
        <v>1850</v>
      </c>
      <c r="O3" s="6" t="s">
        <v>1851</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7"/>
      <c r="AD3" s="36" t="s">
        <v>616</v>
      </c>
      <c r="AE3" s="37"/>
      <c r="AJ3" s="8" t="s">
        <v>636</v>
      </c>
      <c r="AK3" s="11"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BR3" s="8" t="s">
        <v>1860</v>
      </c>
      <c r="BS3" s="24" cm="1">
        <f t="array" ref="BS3">Absorbed_Degrees_Of_Freedom()</f>
        <v>0</v>
      </c>
    </row>
    <row r="4" spans="1:75"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J4" s="8" t="s">
        <v>1609</v>
      </c>
      <c r="AK4" s="11">
        <v>0.15492024062955487</v>
      </c>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BR4" s="8" t="s">
        <v>1861</v>
      </c>
      <c r="BS4" s="24" t="str" cm="1">
        <f t="array" ref="BS4">IFERROR(INDEX(_xlfn.TAKE(Spec_Transform,COLUMNS(Source_Data)),_xlfn.XMATCH("Response (y)",_xlfn.TAKE(Spec_Role,COLUMNS(Source_Data)))),"None")</f>
        <v>None</v>
      </c>
    </row>
    <row r="5" spans="1:75"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J5" s="8" t="s">
        <v>1610</v>
      </c>
      <c r="AK5" s="11">
        <v>3.0711741103347818</v>
      </c>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BR5" s="8" t="s">
        <v>1862</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row>
    <row r="6" spans="1:75"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J6" s="8" t="s">
        <v>637</v>
      </c>
      <c r="AK6" s="11">
        <v>1.9663101608024118</v>
      </c>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BR6" s="9" t="s">
        <v>1863</v>
      </c>
      <c r="BS6" s="25" t="b" cm="1">
        <f t="array" ref="BS6">AND(ROWS(Fit_Context())=4,SUMPRODUCT(--ISERROR(Fit_Context()))=0)</f>
        <v>1</v>
      </c>
    </row>
    <row r="7" spans="1:75"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J7" s="8" t="s">
        <v>1611</v>
      </c>
      <c r="AK7" s="11">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row>
    <row r="8" spans="1:75"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J8" s="8" t="s">
        <v>1612</v>
      </c>
      <c r="AK8" s="11">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row>
    <row r="9" spans="1:75"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J9" s="8" t="s">
        <v>1613</v>
      </c>
      <c r="AK9" s="11">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row>
    <row r="10" spans="1:75"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11">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row>
    <row r="11" spans="1:75"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3"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11">
        <v>0.95</v>
      </c>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row>
    <row r="12" spans="1:75"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3"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35" t="str">
        <f>INDEX(_xlfn._xlws.SORT(_xlfn.UNIQUE(_xlfn._xlws.FILTER(Prediction_Group_Column(),Sample_Include()))),1,1)</f>
        <v>(all)</v>
      </c>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row>
    <row r="13" spans="1:75"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0" t="s">
        <v>619</v>
      </c>
      <c r="AB13" s="41"/>
      <c r="AC13" s="41"/>
      <c r="AD13" s="41"/>
      <c r="AE13" s="41"/>
      <c r="AF13" s="42"/>
      <c r="AJ13" s="8" t="s">
        <v>1615</v>
      </c>
      <c r="AK13" s="11" cm="1">
        <f t="array" ref="AK13">Group_Mean_At(Response_Column(),Prediction_Group_Column(),$AK$12,Sample_Include())</f>
        <v>23.445918367346941</v>
      </c>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row>
    <row r="14" spans="1:75"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1616</v>
      </c>
      <c r="AK14" s="12" cm="1">
        <f t="array" ref="AK14">Group_Count_At(Prediction_Group_Column(),$AK$12,Sample_Include())</f>
        <v>392</v>
      </c>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row>
    <row r="15" spans="1:75"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8" cm="1">
        <f t="array" ref="AB15">Regression_Degrees_Of_Freedom(Design_Columns(),Fit_Context())</f>
        <v>16</v>
      </c>
      <c r="AC15" s="39" cm="1">
        <f t="array" ref="AC15">SS_Regression(Design_Columns(),Design_Response(),Sample_Include(),Fit_Context())</f>
        <v>20290.952168750009</v>
      </c>
      <c r="AD15" s="39" cm="1">
        <f t="array" ref="AD15">MS_Regression(Design_Columns(),Design_Response(),Sample_Include(),Fit_Context())</f>
        <v>1268.1845105468756</v>
      </c>
      <c r="AE15" s="39"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row>
    <row r="16" spans="1:75"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8" cm="1">
        <f t="array" ref="AB16">Residual_Degrees_Of_Freedom(Design_Columns(),Design_Response(),Sample_Include(),Fit_Context())</f>
        <v>375</v>
      </c>
      <c r="AC16" s="39" cm="1">
        <f t="array" ref="AC16">SS_Residual(Design_Columns(),Design_Response(),Sample_Include())</f>
        <v>3528.0413006377198</v>
      </c>
      <c r="AD16" s="39"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row>
    <row r="17" spans="19:5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1"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row>
    <row r="18" spans="19:5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row>
    <row r="19" spans="19:5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row>
    <row r="20" spans="19:5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row>
    <row r="21" spans="19:5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row>
    <row r="22" spans="19:5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row>
    <row r="23" spans="19:5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row>
    <row r="24" spans="19:5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row>
    <row r="25" spans="19:5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row>
    <row r="26" spans="19:5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row>
    <row r="27" spans="19:5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row>
    <row r="28" spans="19:5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row>
    <row r="29" spans="19:5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row>
    <row r="30" spans="19:5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row>
    <row r="31" spans="19:5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row>
    <row r="32" spans="19:5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row>
    <row r="33" spans="20:5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row>
    <row r="34" spans="20:5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row>
    <row r="35" spans="20:5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row>
    <row r="36" spans="20:5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row>
    <row r="37" spans="20:5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row>
    <row r="38" spans="20:5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row>
    <row r="39" spans="20:5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row>
    <row r="40" spans="20:5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row>
    <row r="41" spans="20:5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row>
    <row r="42" spans="20:5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row>
    <row r="43" spans="20:5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row>
    <row r="44" spans="20:5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row>
    <row r="45" spans="20:5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row>
    <row r="46" spans="20:5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row>
    <row r="47" spans="20:5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row>
    <row r="48" spans="20:5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row>
    <row r="49" spans="20:5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row>
    <row r="50" spans="20:5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row>
    <row r="51" spans="20:5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row>
    <row r="52" spans="20:5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row>
    <row r="53" spans="20:5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row>
    <row r="54" spans="20:5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row>
    <row r="55" spans="20:5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row>
    <row r="56" spans="20:5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row>
    <row r="57" spans="20:5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row>
    <row r="58" spans="20:5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row>
    <row r="59" spans="20:5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row>
    <row r="60" spans="20:5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row>
    <row r="61" spans="20:5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row>
    <row r="62" spans="20:5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row>
    <row r="63" spans="20:5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row>
    <row r="64" spans="20:5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row>
    <row r="65" spans="40:5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row>
    <row r="66" spans="40:5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row>
    <row r="67" spans="40:5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row>
    <row r="68" spans="40:5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row>
    <row r="69" spans="40:5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row>
    <row r="70" spans="40:5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row>
    <row r="71" spans="40:5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row>
    <row r="72" spans="40:5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row>
    <row r="73" spans="40:5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row>
    <row r="74" spans="40:5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row>
    <row r="75" spans="40:5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row>
    <row r="76" spans="40:5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row>
    <row r="77" spans="40:5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row>
    <row r="78" spans="40:5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row>
    <row r="79" spans="40:5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row>
    <row r="80" spans="40:5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row>
    <row r="81" spans="40:56"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row>
    <row r="82" spans="40:56"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row>
    <row r="83" spans="40:56"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row>
    <row r="84" spans="40:56"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row>
    <row r="85" spans="40:56"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row>
    <row r="86" spans="40:56"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row>
    <row r="87" spans="40:56"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row>
    <row r="88" spans="40:56"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row>
    <row r="89" spans="40:56"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row>
    <row r="90" spans="40:56"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row>
    <row r="91" spans="40:56"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row>
    <row r="92" spans="40:56"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row>
    <row r="93" spans="40:56"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row>
    <row r="94" spans="40:56"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row>
    <row r="95" spans="40:56"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BA95" t="s">
        <v>524</v>
      </c>
      <c r="BB95" t="str">
        <f>"Residuals vs. Fitted — "&amp;$AF$2</f>
        <v>Residuals vs. Fitted — MPG</v>
      </c>
      <c r="BC95" t="str">
        <f>"Fitted Values"</f>
        <v>Fitted Values</v>
      </c>
      <c r="BD95" t="str">
        <f>"Residuals"</f>
        <v>Residuals</v>
      </c>
    </row>
    <row r="96" spans="40:56"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BA96" t="s">
        <v>527</v>
      </c>
      <c r="BB96" t="str">
        <f>"Normal Q-Q  (r = "&amp;TEXT($AE$10,"0.000")&amp;")"&amp;IF($AE$10&lt;0.95,"  — check normality","")</f>
        <v>Normal Q-Q  (r = 0.991)</v>
      </c>
      <c r="BC96" t="str">
        <f>"Theoretical Quantiles"</f>
        <v>Theoretical Quantiles</v>
      </c>
      <c r="BD96" t="str">
        <f>"Studentized Residuals"</f>
        <v>Studentized Residuals</v>
      </c>
    </row>
    <row r="97" spans="40:56"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BA97" t="s">
        <v>531</v>
      </c>
      <c r="BB97" t="str">
        <f>"Actual vs. Predicted — "&amp;$AF$2&amp;"  (Adj. R² = "&amp;TEXT($AB$6,"0.000")&amp;")"</f>
        <v>Actual vs. Predicted — MPG  (Adj. R² = 0.846)</v>
      </c>
      <c r="BC97" t="str">
        <f>"Predicted "&amp;$AF$2</f>
        <v>Predicted MPG</v>
      </c>
      <c r="BD97" t="str">
        <f>"Actual "&amp;$AF$2</f>
        <v>Actual MPG</v>
      </c>
    </row>
    <row r="98" spans="40:56"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BA98" t="s">
        <v>535</v>
      </c>
      <c r="BB98" t="str">
        <f>"Scale-Location"</f>
        <v>Scale-Location</v>
      </c>
      <c r="BC98" t="str">
        <f>"Fitted Values"</f>
        <v>Fitted Values</v>
      </c>
      <c r="BD98" t="str">
        <f>"√|Studentized Residual|"</f>
        <v>√|Studentized Residual|</v>
      </c>
    </row>
    <row r="99" spans="40:56"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BA99" t="s">
        <v>538</v>
      </c>
      <c r="BB99" t="str">
        <f>"Cook's Distance  (flag: D &gt; "&amp;TEXT(MIN(4/$AB$8,0.9),"0.000")&amp;")"</f>
        <v>Cook's Distance  (flag: D &gt; 0.010)</v>
      </c>
      <c r="BC99" t="str">
        <f>"Observation"</f>
        <v>Observation</v>
      </c>
      <c r="BD99" t="str">
        <f>"Cook's Distance"</f>
        <v>Cook's Distance</v>
      </c>
    </row>
    <row r="100" spans="40:56"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BA100" t="s">
        <v>541</v>
      </c>
      <c r="BB100" t="str">
        <f>"Studentized Residuals vs. Leverage  (mean leverage = "&amp;TEXT($AE$6,"0.000")&amp;")"</f>
        <v>Studentized Residuals vs. Leverage  (mean leverage = 0.043)</v>
      </c>
      <c r="BC100" t="str">
        <f>"Leverage (Hat Diagonal)"</f>
        <v>Leverage (Hat Diagonal)</v>
      </c>
      <c r="BD100" t="str">
        <f>"Studentized Residuals"</f>
        <v>Studentized Residuals</v>
      </c>
    </row>
    <row r="101" spans="40:56"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BA101" t="s">
        <v>545</v>
      </c>
      <c r="BB101" t="str">
        <f>"PRESS Residuals  (PRESS = "&amp;TEXT($AE$4,"#,##0.0000")&amp;")"</f>
        <v>PRESS Residuals  (PRESS = 3,865.0234)</v>
      </c>
      <c r="BC101" t="str">
        <f>"Observation"</f>
        <v>Observation</v>
      </c>
      <c r="BD101" t="str">
        <f>"PRESS Residual"</f>
        <v>PRESS Residual</v>
      </c>
    </row>
    <row r="102" spans="40:56"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row>
    <row r="103" spans="40:56"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row>
    <row r="104" spans="40:56"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row>
    <row r="105" spans="40:56"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row>
    <row r="106" spans="40:56"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row>
    <row r="107" spans="40:56"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row>
    <row r="108" spans="40:56"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row>
    <row r="109" spans="40:56"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row>
    <row r="110" spans="40:56"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row>
    <row r="111" spans="40:56"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row>
    <row r="112" spans="40:56"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row>
    <row r="113" spans="40:5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row>
    <row r="114" spans="40:5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row>
    <row r="115" spans="40:5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row>
    <row r="116" spans="40:5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row>
    <row r="117" spans="40:5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row>
    <row r="118" spans="40:5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row>
    <row r="119" spans="40:5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row>
    <row r="120" spans="40:5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row>
    <row r="121" spans="40:5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row>
    <row r="122" spans="40:5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row>
    <row r="123" spans="40:5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row>
    <row r="124" spans="40:5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row>
    <row r="125" spans="40:5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row>
    <row r="126" spans="40:5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row>
    <row r="127" spans="40:5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row>
    <row r="128" spans="40:5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row>
    <row r="129" spans="40:5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row>
    <row r="130" spans="40:5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row>
    <row r="131" spans="40:5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row>
    <row r="132" spans="40:5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row>
    <row r="133" spans="40:5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row>
    <row r="134" spans="40:5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row>
    <row r="135" spans="40:5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row>
    <row r="136" spans="40:5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row>
    <row r="137" spans="40:5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row>
    <row r="138" spans="40:5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row>
    <row r="139" spans="40:5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row>
    <row r="140" spans="40:5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row>
    <row r="141" spans="40:5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row>
    <row r="142" spans="40:5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row>
    <row r="143" spans="40:5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row>
    <row r="144" spans="40:5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row>
    <row r="145" spans="40:5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row>
    <row r="146" spans="40:5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row>
    <row r="147" spans="40:5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row>
    <row r="148" spans="40:5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row>
    <row r="149" spans="40:5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row>
    <row r="150" spans="40:5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row>
    <row r="151" spans="40:5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row>
    <row r="152" spans="40:5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row>
    <row r="153" spans="40:5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row>
    <row r="154" spans="40:5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row>
    <row r="155" spans="40:5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row>
    <row r="156" spans="40:5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row>
    <row r="157" spans="40:5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row>
    <row r="158" spans="40:5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row>
    <row r="159" spans="40:5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row>
    <row r="160" spans="40:5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row>
    <row r="161" spans="40:5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row>
    <row r="162" spans="40:5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row>
    <row r="163" spans="40:5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row>
    <row r="164" spans="40:5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row>
    <row r="165" spans="40:5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row>
    <row r="166" spans="40:5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row>
    <row r="167" spans="40:5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row>
    <row r="168" spans="40:5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row>
    <row r="169" spans="40:5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row>
    <row r="170" spans="40:5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row>
    <row r="171" spans="40:5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row>
    <row r="172" spans="40:5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row>
    <row r="173" spans="40:5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row>
    <row r="174" spans="40:5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row>
    <row r="175" spans="40:5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row>
    <row r="176" spans="40:5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row>
    <row r="177" spans="40:5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row>
    <row r="178" spans="40:5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row>
    <row r="179" spans="40:5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row>
    <row r="180" spans="40:5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row>
    <row r="181" spans="40:5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row>
    <row r="182" spans="40:5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row>
    <row r="183" spans="40:5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row>
    <row r="184" spans="40:5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row>
    <row r="185" spans="40:5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row>
    <row r="186" spans="40:5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row>
    <row r="187" spans="40:5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row>
    <row r="188" spans="40:5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row>
    <row r="189" spans="40:5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row>
    <row r="190" spans="40:5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row>
    <row r="191" spans="40:5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row>
    <row r="192" spans="40:5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row>
    <row r="193" spans="40:5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row>
    <row r="194" spans="40:5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row>
    <row r="195" spans="40:5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row>
    <row r="196" spans="40:5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row>
    <row r="197" spans="40:5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row>
    <row r="198" spans="40:5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row>
    <row r="199" spans="40:5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row>
    <row r="200" spans="40:5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row>
    <row r="201" spans="40:5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row>
    <row r="202" spans="40:5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row>
    <row r="203" spans="40:5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row>
    <row r="204" spans="40:5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row>
    <row r="205" spans="40:5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row>
    <row r="206" spans="40:5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row>
    <row r="207" spans="40:5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row>
    <row r="208" spans="40:5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row>
    <row r="209" spans="40:5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row>
    <row r="210" spans="40:5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row>
    <row r="211" spans="40:5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row>
    <row r="212" spans="40:5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row>
    <row r="213" spans="40:5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row>
    <row r="214" spans="40:5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row>
    <row r="215" spans="40:5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row>
    <row r="216" spans="40:5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row>
    <row r="217" spans="40:5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row>
    <row r="218" spans="40:5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row>
    <row r="219" spans="40:5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row>
    <row r="220" spans="40:5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row>
    <row r="221" spans="40:5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row>
    <row r="222" spans="40:5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row>
    <row r="223" spans="40:5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row>
    <row r="224" spans="40:5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row>
    <row r="225" spans="40:5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row>
    <row r="226" spans="40:5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row>
    <row r="227" spans="40:5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row>
    <row r="228" spans="40:5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row>
    <row r="229" spans="40:5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row>
    <row r="230" spans="40:5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row>
    <row r="231" spans="40:5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row>
    <row r="232" spans="40:5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row>
    <row r="233" spans="40:5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row>
    <row r="234" spans="40:5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row>
    <row r="235" spans="40:5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row>
    <row r="236" spans="40:5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row>
    <row r="237" spans="40:5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row>
    <row r="238" spans="40:5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row>
    <row r="239" spans="40:5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row>
    <row r="240" spans="40:5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row>
    <row r="241" spans="40:5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row>
    <row r="242" spans="40:5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row>
    <row r="243" spans="40:5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row>
    <row r="244" spans="40:5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row>
    <row r="245" spans="40:5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row>
    <row r="246" spans="40:5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row>
    <row r="247" spans="40:5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row>
    <row r="248" spans="40:5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row>
    <row r="249" spans="40:5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row>
    <row r="250" spans="40:5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row>
    <row r="251" spans="40:5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row>
    <row r="252" spans="40:5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row>
    <row r="253" spans="40:5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row>
    <row r="254" spans="40:5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row>
    <row r="255" spans="40:5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row>
    <row r="256" spans="40:5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row>
    <row r="257" spans="40:5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row>
    <row r="258" spans="40:5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row>
    <row r="259" spans="40:5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row>
    <row r="260" spans="40:5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row>
    <row r="261" spans="40:5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row>
    <row r="262" spans="40:5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row>
    <row r="263" spans="40:5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row>
    <row r="264" spans="40:5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row>
    <row r="265" spans="40:5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row>
    <row r="266" spans="40:5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row>
    <row r="267" spans="40:5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row>
    <row r="268" spans="40:5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row>
    <row r="269" spans="40:5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row>
    <row r="270" spans="40:5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row>
    <row r="271" spans="40:5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row>
    <row r="272" spans="40:5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row>
    <row r="273" spans="40:5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row>
    <row r="274" spans="40:5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row>
    <row r="275" spans="40:5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row>
    <row r="276" spans="40:5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row>
    <row r="277" spans="40:5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row>
    <row r="278" spans="40:5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row>
    <row r="279" spans="40:5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row>
    <row r="280" spans="40:5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row>
    <row r="281" spans="40:5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row>
    <row r="282" spans="40:5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row>
    <row r="283" spans="40:5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row>
    <row r="284" spans="40:5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row>
    <row r="285" spans="40:5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row>
    <row r="286" spans="40:5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row>
    <row r="287" spans="40:5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row>
    <row r="288" spans="40:5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row>
    <row r="289" spans="40:5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row>
    <row r="290" spans="40:5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row>
    <row r="291" spans="40:5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row>
    <row r="292" spans="40:5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row>
    <row r="293" spans="40:5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row>
    <row r="294" spans="40:5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row>
    <row r="295" spans="40:5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row>
    <row r="296" spans="40:5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row>
    <row r="297" spans="40:5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row>
    <row r="298" spans="40:5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row>
    <row r="299" spans="40:5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row>
    <row r="300" spans="40:5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row>
    <row r="301" spans="40:5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row>
    <row r="302" spans="40:5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row>
    <row r="303" spans="40:5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row>
    <row r="304" spans="40:5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row>
    <row r="305" spans="40:5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row>
    <row r="306" spans="40:5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row>
    <row r="307" spans="40:5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row>
    <row r="308" spans="40:5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row>
    <row r="309" spans="40:5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row>
    <row r="310" spans="40:5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row>
    <row r="311" spans="40:5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row>
    <row r="312" spans="40:5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row>
    <row r="313" spans="40:5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row>
    <row r="314" spans="40:5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row>
    <row r="315" spans="40:5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row>
    <row r="316" spans="40:5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row>
    <row r="317" spans="40:5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row>
    <row r="318" spans="40:5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row>
    <row r="319" spans="40:5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row>
    <row r="320" spans="40:5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row>
    <row r="321" spans="40:5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row>
    <row r="322" spans="40:5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row>
    <row r="323" spans="40:5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row>
    <row r="324" spans="40:5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row>
    <row r="325" spans="40:5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row>
    <row r="326" spans="40:5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row>
    <row r="327" spans="40:5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row>
    <row r="328" spans="40:5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row>
    <row r="329" spans="40:5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row>
    <row r="330" spans="40:5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row>
    <row r="331" spans="40:5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row>
    <row r="332" spans="40:5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row>
    <row r="333" spans="40:5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row>
    <row r="334" spans="40:5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row>
    <row r="335" spans="40:5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row>
    <row r="336" spans="40:5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row>
    <row r="337" spans="40:5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row>
    <row r="338" spans="40:5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row>
    <row r="339" spans="40:5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row>
    <row r="340" spans="40:5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row>
    <row r="341" spans="40:5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row>
    <row r="342" spans="40:5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row>
    <row r="343" spans="40:5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row>
    <row r="344" spans="40:5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row>
    <row r="345" spans="40:5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row>
    <row r="346" spans="40:5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row>
    <row r="347" spans="40:5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row>
    <row r="348" spans="40:5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row>
    <row r="349" spans="40:5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row>
    <row r="350" spans="40:5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row>
    <row r="351" spans="40:5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row>
    <row r="352" spans="40:5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row>
    <row r="353" spans="40:5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row>
    <row r="354" spans="40:5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row>
    <row r="355" spans="40:5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row>
    <row r="356" spans="40:5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row>
    <row r="357" spans="40:5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row>
    <row r="358" spans="40:5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row>
    <row r="359" spans="40:5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row>
    <row r="360" spans="40:5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row>
    <row r="361" spans="40:5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row>
    <row r="362" spans="40:5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row>
    <row r="363" spans="40:5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row>
    <row r="364" spans="40:5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row>
    <row r="365" spans="40:5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row>
    <row r="366" spans="40:5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row>
    <row r="367" spans="40:5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row>
    <row r="368" spans="40:5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row>
    <row r="369" spans="40:5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row>
    <row r="370" spans="40:5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row>
    <row r="371" spans="40:5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row>
    <row r="372" spans="40:5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row>
    <row r="373" spans="40:5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row>
    <row r="374" spans="40:5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row>
    <row r="375" spans="40:5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row>
    <row r="376" spans="40:5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row>
    <row r="377" spans="40:5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row>
    <row r="378" spans="40:5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row>
    <row r="379" spans="40:5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row>
    <row r="380" spans="40:5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row>
    <row r="381" spans="40:5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row>
    <row r="382" spans="40:5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row>
    <row r="383" spans="40:5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row>
    <row r="384" spans="40:5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row>
    <row r="385" spans="40:5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row>
    <row r="386" spans="40:5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row>
    <row r="387" spans="40:5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row>
    <row r="388" spans="40:5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row>
    <row r="389" spans="40:5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row>
    <row r="390" spans="40:5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row>
    <row r="391" spans="40:5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row>
    <row r="392" spans="40:5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row>
    <row r="393" spans="40:5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row>
    <row r="394" spans="40:5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7">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DA3D2-673A-4E7B-86B9-6595EE255D88}">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1864</v>
      </c>
      <c r="D115" s="2"/>
      <c r="E115" s="2" t="s">
        <v>1865</v>
      </c>
      <c r="F115" s="2" t="s">
        <v>1690</v>
      </c>
      <c r="G115" s="2" t="s">
        <v>1866</v>
      </c>
    </row>
    <row r="116" spans="1:7" ht="375" x14ac:dyDescent="0.25">
      <c r="A116" s="2" t="s">
        <v>794</v>
      </c>
      <c r="B116" s="2" t="s">
        <v>624</v>
      </c>
      <c r="C116" s="1" t="s">
        <v>1867</v>
      </c>
      <c r="D116" s="2"/>
      <c r="E116" s="2" t="s">
        <v>1868</v>
      </c>
      <c r="F116" s="2" t="s">
        <v>1691</v>
      </c>
      <c r="G116" s="2" t="s">
        <v>1765</v>
      </c>
    </row>
    <row r="117" spans="1:7" ht="409.5" x14ac:dyDescent="0.25">
      <c r="A117" s="2" t="s">
        <v>1692</v>
      </c>
      <c r="B117" s="2" t="s">
        <v>624</v>
      </c>
      <c r="C117" s="1" t="s">
        <v>1869</v>
      </c>
      <c r="D117" s="2"/>
      <c r="E117" s="2" t="s">
        <v>1870</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1847</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2026-08-03T14:35:16Z</dcterms:modified>
</cp:coreProperties>
</file>