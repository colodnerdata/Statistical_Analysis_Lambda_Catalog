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756318BC-030C-4194-94CB-0381DEA566A9}"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2">LifeExpectancyData[Full_Data]</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2">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Regression!$U$12:INDEX(Regression!$U:$U,12+COLUMNS(Regression!x_s))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2" i="2" l="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R21" i="3" a="1"/>
  <c r="Q21" i="3" a="1"/>
  <c r="P21" i="3" a="1"/>
  <c r="O21" i="3" a="1"/>
  <c r="N21" i="3" a="1"/>
  <c r="M21" i="3" a="1"/>
  <c r="L21" i="3" a="1"/>
  <c r="N17" i="3" a="1"/>
  <c r="M17" i="3" a="1"/>
  <c r="O16" i="3" a="1"/>
  <c r="N16" i="3" a="1"/>
  <c r="M16" i="3" a="1"/>
  <c r="Q15" i="3" a="1"/>
  <c r="P15" i="3" a="1"/>
  <c r="O15" i="3" a="1"/>
  <c r="N15" i="3" a="1"/>
  <c r="M15" i="3" a="1"/>
  <c r="T13" i="3" a="1"/>
  <c r="U12" i="3"/>
  <c r="P10" i="3" a="1"/>
  <c r="P9" i="3" a="1"/>
  <c r="P8" i="3" a="1"/>
  <c r="M8" i="3" a="1"/>
  <c r="P7" i="3" a="1"/>
  <c r="M7" i="3" a="1"/>
  <c r="P6" i="3" a="1"/>
  <c r="M6" i="3" a="1"/>
  <c r="P5" i="3" a="1"/>
  <c r="M5" i="3" a="1"/>
  <c r="P4" i="3" a="1"/>
  <c r="M4" i="3" a="1"/>
  <c r="AI3" i="3" a="1"/>
  <c r="AH3" i="3" a="1"/>
  <c r="AG3" i="3" a="1"/>
  <c r="AF3" i="3" a="1"/>
  <c r="AE3" i="3" a="1"/>
  <c r="AD3" i="3" a="1"/>
  <c r="AC3" i="3" a="1"/>
  <c r="AB3" i="3" a="1"/>
  <c r="AA3" i="3" a="1"/>
  <c r="Z3" i="3" a="1"/>
  <c r="Y3" i="3" a="1"/>
  <c r="X3" i="3" a="1"/>
  <c r="W3" i="3" a="1"/>
  <c r="J3" i="3" a="1"/>
  <c r="I3" i="3" a="1"/>
  <c r="H3" i="3" a="1"/>
  <c r="G3" i="3" a="1"/>
  <c r="F3" i="3" a="1"/>
  <c r="E3" i="3" a="1"/>
  <c r="D3" i="3" a="1"/>
  <c r="A3" i="3" a="1"/>
  <c r="U30" i="3" l="1"/>
  <c r="U29" i="3"/>
  <c r="U28" i="3"/>
  <c r="U27" i="3"/>
  <c r="U26" i="3"/>
  <c r="U25" i="3"/>
  <c r="U24" i="3"/>
  <c r="U23" i="3"/>
  <c r="U22" i="3"/>
  <c r="U21" i="3"/>
  <c r="U20" i="3"/>
  <c r="U19" i="3"/>
  <c r="U18" i="3"/>
  <c r="U17" i="3"/>
  <c r="U16" i="3"/>
  <c r="U15" i="3"/>
  <c r="U14" i="3"/>
  <c r="U13" i="3"/>
  <c r="R3" i="3" l="1" a="1"/>
  <c r="U3" i="3" a="1"/>
  <c r="U5" i="3" a="1"/>
  <c r="U6" i="3" a="1"/>
  <c r="U4" i="3" a="1"/>
  <c r="U8" i="3" a="1"/>
  <c r="U7" i="3"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<sst xmlns="http://schemas.openxmlformats.org/spreadsheetml/2006/main" count="6257" uniqueCount="524">
  <si>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</si>
  <si>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</si>
  <si>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</si>
  <si>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</si>
  <si>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</si>
  <si>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</si>
  <si>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</si>
  <si>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</si>
  <si>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</si>
  <si>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</si>
  <si>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</si>
  <si>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</si>
  <si>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</si>
  <si>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</si>
  <si>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</si>
  <si>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</si>
  <si>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</si>
  <si>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</si>
  <si>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</si>
  <si>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</si>
  <si>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</si>
  <si>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</si>
  <si>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</si>
  <si>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</si>
  <si>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</si>
  <si>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</si>
  <si>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</si>
  <si>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</si>
  <si>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</si>
  <si>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</si>
  <si>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</si>
  <si>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</si>
  <si>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</si>
  <si>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</si>
  <si>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</si>
  <si>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</si>
  <si>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</si>
  <si>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</si>
  <si>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</si>
  <si>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</si>
  <si>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</si>
  <si>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</si>
  <si>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</si>
  <si>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</si>
  <si>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</si>
  <si>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</si>
  <si>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</si>
  <si>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</si>
  <si>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</si>
  <si>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</si>
  <si>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</si>
  <si>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</si>
  <si>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</si>
  <si>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</si>
  <si>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</si>
  <si>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</si>
  <si>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</si>
  <si>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</si>
  <si>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</si>
  <si>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</si>
  <si>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</si>
  <si>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</si>
  <si>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</si>
  <si>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</si>
  <si>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</si>
  <si>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</si>
  <si>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</si>
  <si>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</si>
  <si>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</si>
  <si>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</si>
  <si>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</si>
  <si>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</si>
  <si>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</si>
  <si>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</si>
  <si>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</si>
  <si>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</si>
  <si>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</si>
  <si>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</si>
  <si>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</si>
  <si>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</si>
  <si>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</si>
  <si>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</si>
  <si>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</si>
  <si>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</si>
  <si>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</si>
  <si>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</si>
  <si>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</si>
  <si>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</si>
  <si>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</si>
  <si>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</si>
  <si>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</si>
  <si>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</si>
  <si>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</si>
  <si>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</si>
  <si>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</si>
  <si>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</si>
  <si>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</si>
  <si>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</si>
  <si>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</si>
  <si>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</si>
  <si>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</si>
  <si>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</si>
  <si>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</si>
  <si>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</si>
  <si>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</si>
  <si>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</si>
  <si>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</si>
  <si>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</si>
  <si>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</si>
  <si>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</si>
  <si>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</si>
  <si>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</si>
  <si>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</si>
  <si>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</si>
  <si>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</si>
  <si>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</si>
  <si>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</si>
  <si>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</si>
  <si>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</si>
  <si>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</si>
  <si>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</si>
  <si>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</si>
  <si>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</si>
  <si>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</si>
  <si>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</si>
  <si>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</si>
  <si>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</si>
  <si>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</si>
  <si>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</si>
  <si>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</si>
  <si>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</si>
  <si>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</si>
  <si>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</si>
  <si>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</si>
  <si>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</si>
  <si>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</si>
  <si>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</si>
  <si>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</si>
  <si>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</si>
  <si>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</si>
  <si>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</si>
  <si>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</si>
  <si>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</si>
  <si>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</si>
  <si>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</si>
  <si>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</si>
  <si>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</si>
  <si>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</si>
  <si>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</si>
  <si>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</si>
  <si>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</si>
  <si>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</si>
  <si>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</si>
  <si>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</si>
  <si>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</si>
  <si>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</si>
  <si>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</si>
  <si>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</si>
  <si>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</si>
  <si>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</si>
  <si>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</si>
  <si>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</si>
  <si>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</si>
  <si>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</si>
  <si>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</si>
  <si>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</si>
  <si>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</si>
  <si>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</si>
  <si>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</si>
  <si>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</si>
  <si>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</si>
  <si>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</si>
  <si>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</si>
  <si>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</si>
  <si>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</si>
  <si>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</si>
  <si>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</si>
  <si>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</si>
  <si>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</si>
  <si>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</si>
  <si>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</si>
  <si>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</si>
  <si>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</si>
  <si>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</si>
  <si>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</si>
  <si>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</si>
  <si>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</si>
  <si>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</si>
  <si>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</si>
  <si>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</si>
  <si>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</si>
  <si>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</si>
  <si>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</si>
  <si>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</si>
  <si>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</si>
  <si>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</si>
  <si>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</si>
  <si>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</si>
  <si>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</si>
  <si>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</si>
  <si>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</si>
  <si>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</si>
  <si>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</si>
  <si>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</si>
  <si>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</si>
  <si>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</si>
  <si>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</si>
  <si>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</si>
  <si>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</si>
  <si>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</si>
  <si>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</si>
  <si>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</si>
  <si>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</si>
  <si>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</si>
  <si>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</si>
  <si>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</si>
  <si>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</si>
  <si>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</si>
  <si>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</si>
  <si>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</si>
  <si>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</si>
  <si>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</si>
  <si>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</si>
  <si>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</si>
  <si>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</si>
  <si>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</si>
  <si>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</si>
  <si>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</si>
  <si>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</si>
  <si>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</si>
  <si>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</si>
  <si>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</si>
  <si>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</si>
  <si>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</si>
  <si>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</si>
  <si>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</si>
  <si>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</si>
  <si>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</si>
  <si>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</si>
  <si>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</si>
  <si>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</si>
  <si>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</si>
  <si>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</si>
  <si>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</si>
  <si>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</si>
  <si>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</si>
  <si>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</si>
  <si>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</si>
  <si>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</si>
  <si>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</si>
  <si>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</si>
  <si>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</si>
  <si>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</si>
  <si>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</si>
  <si>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</si>
  <si>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</si>
  <si>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</si>
  <si>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</si>
  <si>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</si>
  <si>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</si>
  <si>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</si>
  <si>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</si>
  <si>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</si>
  <si>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</si>
  <si>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</si>
  <si>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</si>
  <si>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</si>
  <si>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</si>
  <si>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</si>
  <si>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</si>
  <si>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</si>
  <si>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</si>
  <si>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</si>
  <si>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</si>
  <si>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</si>
  <si>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</si>
  <si>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</si>
  <si>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</si>
  <si>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</si>
  <si>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</si>
  <si>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</si>
  <si>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</si>
  <si>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</si>
  <si>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</si>
  <si>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</si>
  <si>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</si>
  <si>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</si>
  <si>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</si>
  <si>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</si>
  <si>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</si>
  <si>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</si>
  <si>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</si>
  <si>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</si>
  <si>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</si>
  <si>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</si>
  <si>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</si>
  <si>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</si>
  <si>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</si>
  <si>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</si>
  <si>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</si>
  <si>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</si>
  <si>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</si>
  <si>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</si>
  <si>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</si>
  <si>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</si>
  <si>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</si>
  <si>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</si>
  <si>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</si>
  <si>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</si>
  <si>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</si>
  <si>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</si>
  <si>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</si>
  <si>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</si>
  <si>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</si>
  <si>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</si>
  <si>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</si>
  <si>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</si>
  <si>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</si>
  <si>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</si>
  <si>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</si>
  <si>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</si>
  <si>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</si>
  <si>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</si>
  <si>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</si>
  <si>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</si>
  <si>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</si>
  <si>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</si>
  <si>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</si>
  <si>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</si>
  <si>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</si>
  <si>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</si>
  <si>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</si>
  <si>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</si>
  <si>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</si>
  <si>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</si>
  <si>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</si>
  <si>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</si>
  <si>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</si>
  <si>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</si>
  <si>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</si>
  <si>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</si>
  <si>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</si>
  <si>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</si>
  <si>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</si>
  <si>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</si>
  <si>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</si>
  <si>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</si>
  <si>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</si>
  <si>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</si>
  <si>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</si>
  <si>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</si>
  <si>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</si>
  <si>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</si>
  <si>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</si>
  <si>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</si>
  <si>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</si>
  <si>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</si>
  <si>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</si>
  <si>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</si>
  <si>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</si>
  <si>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</si>
  <si>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</si>
  <si>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</si>
  <si>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</si>
  <si>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</si>
  <si>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</si>
  <si>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</si>
  <si>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</si>
  <si>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</si>
  <si>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</si>
  <si>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</si>
  <si>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</si>
  <si>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</si>
  <si>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</si>
  <si>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</si>
  <si>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</si>
  <si>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</si>
  <si>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</si>
  <si>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</si>
  <si>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</si>
  <si>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</si>
  <si>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</si>
  <si>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</si>
  <si>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</si>
  <si>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</si>
  <si>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</si>
  <si>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</si>
  <si>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</si>
  <si>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</si>
  <si>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</si>
  <si>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</si>
  <si>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</si>
  <si>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</si>
  <si>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</si>
  <si>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</si>
  <si>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</si>
  <si>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</si>
  <si>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</si>
  <si>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</si>
  <si>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</si>
  <si>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</si>
  <si>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</si>
  <si>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</si>
  <si>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</si>
  <si>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</si>
  <si>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</si>
  <si>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</si>
  <si>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</si>
  <si>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</si>
  <si>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</si>
  <si>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</si>
  <si>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</si>
  <si>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</si>
  <si>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</si>
  <si>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</si>
  <si>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</si>
  <si>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</si>
  <si>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</si>
  <si>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</si>
  <si>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</si>
  <si>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</si>
  <si>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</si>
  <si>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</si>
  <si>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</si>
  <si>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</si>
  <si>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</si>
  <si>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</si>
  <si>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</si>
  <si>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</si>
  <si>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</si>
  <si>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</si>
  <si>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</si>
  <si>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</si>
  <si>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</si>
  <si>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</si>
  <si>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</si>
  <si>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</si>
  <si>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</si>
  <si>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</si>
  <si>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</si>
  <si>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</si>
  <si>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</si>
  <si>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</si>
  <si>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</si>
  <si>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</si>
  <si>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</si>
  <si>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</si>
  <si>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</si>
  <si>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</si>
  <si>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</si>
  <si>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</si>
  <si>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</si>
  <si>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</si>
  <si>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</si>
  <si>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</si>
  <si>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</si>
  <si>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</si>
  <si>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</si>
  <si>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</si>
  <si>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</si>
  <si>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</si>
  <si>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</si>
  <si>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</si>
  <si>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</si>
  <si>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</si>
  <si>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</si>
  <si>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</si>
  <si>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</si>
  <si>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</si>
  <si>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</si>
  <si>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</si>
  <si>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</si>
  <si>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</si>
  <si>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</si>
  <si>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</si>
  <si>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</si>
  <si>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</si>
  <si>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</si>
  <si>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</si>
  <si>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</si>
  <si>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</si>
  <si>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</si>
  <si>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</si>
  <si>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</si>
  <si>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</si>
  <si>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</si>
  <si>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</si>
  <si>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</si>
  <si>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</si>
  <si>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</si>
  <si>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</si>
  <si>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</si>
  <si>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</si>
  <si>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</si>
  <si>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</si>
  <si>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</si>
  <si>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</si>
  <si>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</si>
  <si>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</si>
  <si>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</si>
  <si>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</si>
  <si>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</si>
  <si>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</si>
  <si>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</si>
  <si>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</si>
  <si>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</si>
  <si>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</si>
  <si>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</si>
  <si>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</si>
  <si>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Observation</t>
  </si>
  <si>
    <t>Predicted Y</t>
  </si>
  <si>
    <t>LOOCV Prediction</t>
  </si>
  <si>
    <t>Rank Fraction</t>
  </si>
  <si>
    <t>Y Ranked</t>
  </si>
  <si>
    <t>Normal Scores</t>
  </si>
  <si>
    <t>Scaled Residuals</t>
  </si>
  <si>
    <t>Scaled Residuals Ranked</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</si>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</sst>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8" formatCode="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1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1" fillId="2" borderId="7" xfId="0" applyFont="1" applyFill="1" applyBorder="1"/>
    <xf numFmtId="0" fontId="0" fillId="0" borderId="8" xfId="0" applyBorder="1"/>
    <xf numFmtId="0" fontId="1" fillId="0" borderId="6" xfId="0" applyFont="1" applyBorder="1"/>
    <xf numFmtId="0" fontId="0" fillId="3" borderId="0" xfId="0" applyFill="1"/>
    <xf numFmtId="168" fontId="0" fillId="3" borderId="0" xfId="0" applyNumberFormat="1" applyFill="1"/>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ECEC55-9B84-47D8-A943-B6BB1B8BA373}" name="LAMBDAFunctionsCatalog" displayName="LAMBDAFunctionsCatalog" ref="A1:E58" totalsRowShown="0" headerRowDxfId="6" dataDxfId="5">
  <autoFilter ref="A1:E58" xr:uid="{52ECEC55-9B84-47D8-A943-B6BB1B8BA373}"/>
  <tableColumns count="5">
    <tableColumn id="1" xr3:uid="{B546C2D7-B94D-4D47-9531-AF68A8188F6C}" name="Function Name" dataDxfId="4"/>
    <tableColumn id="2" xr3:uid="{D3DE523A-79B5-4798-BB6B-26BE7FBFF1B9}" name="Definition" dataDxfId="3"/>
    <tableColumn id="3" xr3:uid="{B96A8B19-BFE8-4FFD-8ABE-64CBA83BB69F}" name="Arguments" dataDxfId="2"/>
    <tableColumn id="4" xr3:uid="{D07D733D-0E2D-43A8-A296-472550EF94E1}" name="Yields" dataDxfId="1"/>
    <tableColumn id="5" xr3:uid="{27B43B6A-AFB7-47A6-9B93-0AB02590F180}" name="Description"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4E7DB8-306F-4E35-B113-EDE71223E85A}" name="LifeExpectancyData" displayName="LifeExpectancyData" ref="A1:W2939" totalsRowShown="0">
  <autoFilter ref="A1:W2939" xr:uid="{C34E7DB8-306F-4E35-B113-EDE71223E85A}"/>
  <tableColumns count="23">
    <tableColumn id="1" xr3:uid="{4DA1333D-A1BD-47FC-874C-F09BCD71945F}" name="Country"/>
    <tableColumn id="2" xr3:uid="{4086E640-38C8-4EA7-A797-E062615E6655}" name="Year"/>
    <tableColumn id="3" xr3:uid="{CD804C74-ADE2-4310-A10F-D4B1B9E98D37}" name="Status"/>
    <tableColumn id="4" xr3:uid="{A4C056D8-DB01-48D8-80A2-D2D0F287A9F3}" name="Life expectancy"/>
    <tableColumn id="5" xr3:uid="{9838326F-936A-47BD-B1CE-39B75195EF39}" name="Adult Mortality"/>
    <tableColumn id="6" xr3:uid="{0AE38715-03FC-45B2-8C8F-026BDFA502F1}" name="infant deaths"/>
    <tableColumn id="7" xr3:uid="{45E49F41-C730-4344-8104-A951ECF007E3}" name="Alcohol"/>
    <tableColumn id="8" xr3:uid="{646B15CA-61D5-4D02-A276-4B1189ED73F5}" name="percentage expenditure"/>
    <tableColumn id="9" xr3:uid="{FCA9A003-149B-4162-8B1F-C2BDECEB9C89}" name="Hepatitis B"/>
    <tableColumn id="10" xr3:uid="{0DA59B2D-6731-435C-8791-AE578639D2C5}" name="Measles"/>
    <tableColumn id="11" xr3:uid="{528DFF52-AB30-4939-93EA-E2E570453F66}" name="BMI"/>
    <tableColumn id="12" xr3:uid="{CC48E6C8-4F3D-43B6-990D-CC4C089786CD}" name="under-five deaths"/>
    <tableColumn id="13" xr3:uid="{7894BD38-D31C-47C2-90B3-6C4B06C105B7}" name="Polio"/>
    <tableColumn id="14" xr3:uid="{9FF5FAA0-8D24-486F-8ABA-34D12C473345}" name="Total expenditure"/>
    <tableColumn id="15" xr3:uid="{0BF7F9D4-80B5-4CA7-976F-6C7FB4414DDE}" name="Diphtheria"/>
    <tableColumn id="16" xr3:uid="{7D8F3675-490B-48A3-81EE-0176C1B97BF6}" name="HIV/AIDS"/>
    <tableColumn id="17" xr3:uid="{279E40F5-55CB-4909-896F-62C5245D76B8}" name="GDP"/>
    <tableColumn id="18" xr3:uid="{5238F4E4-00C2-4C6E-8C18-DA1F9473FBAA}" name="Population"/>
    <tableColumn id="19" xr3:uid="{8253590B-FC4E-4066-83C6-0F265DFA4B63}" name="thinness 1-19 years"/>
    <tableColumn id="20" xr3:uid="{3A54E436-C246-4F7D-BA87-D620F24FD836}" name="thinness 5-9 years"/>
    <tableColumn id="21" xr3:uid="{EBEF891A-02A1-4622-80A8-5C33A5DD350B}" name="Income composition of resources"/>
    <tableColumn id="22" xr3:uid="{D0D3EF9A-30C2-44BF-9C39-74B16D8727CD}" name="Schooling"/>
    <tableColumn id="23" xr3:uid="{1C30E9DC-0AC6-4022-A071-7CD568A8E474}"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8"/>
  <sheetViews>
    <sheetView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120" x14ac:dyDescent="0.25">
      <c r="A35" s="2" t="s">
        <v>145</v>
      </c>
      <c r="B35" s="1" t="s">
        <v>146</v>
      </c>
      <c r="C35" s="2" t="s">
        <v>7</v>
      </c>
      <c r="D35" s="2" t="s">
        <v>147</v>
      </c>
      <c r="E35" s="2" t="s">
        <v>148</v>
      </c>
    </row>
    <row r="36" spans="1:5" ht="165" x14ac:dyDescent="0.25">
      <c r="A36" s="2" t="s">
        <v>149</v>
      </c>
      <c r="B36" s="1" t="s">
        <v>150</v>
      </c>
      <c r="C36" s="2" t="s">
        <v>151</v>
      </c>
      <c r="D36" s="2" t="s">
        <v>152</v>
      </c>
      <c r="E36" s="2" t="s">
        <v>153</v>
      </c>
    </row>
    <row r="37" spans="1:5" ht="105" x14ac:dyDescent="0.25">
      <c r="A37" s="2" t="s">
        <v>154</v>
      </c>
      <c r="B37" s="1" t="s">
        <v>155</v>
      </c>
      <c r="C37" s="2" t="s">
        <v>156</v>
      </c>
      <c r="D37" s="2" t="s">
        <v>157</v>
      </c>
      <c r="E37" s="2" t="s">
        <v>158</v>
      </c>
    </row>
    <row r="38" spans="1:5" ht="135" x14ac:dyDescent="0.25">
      <c r="A38" s="2" t="s">
        <v>159</v>
      </c>
      <c r="B38" s="1" t="s">
        <v>160</v>
      </c>
      <c r="C38" s="2" t="s">
        <v>22</v>
      </c>
      <c r="D38" s="2" t="s">
        <v>161</v>
      </c>
      <c r="E38" s="2" t="s">
        <v>162</v>
      </c>
    </row>
    <row r="39" spans="1:5" ht="120" x14ac:dyDescent="0.25">
      <c r="A39" s="2" t="s">
        <v>163</v>
      </c>
      <c r="B39" s="1" t="s">
        <v>164</v>
      </c>
      <c r="C39" s="2" t="s">
        <v>22</v>
      </c>
      <c r="D39" s="2" t="s">
        <v>165</v>
      </c>
      <c r="E39" s="2" t="s">
        <v>166</v>
      </c>
    </row>
    <row r="40" spans="1:5" ht="120" x14ac:dyDescent="0.25">
      <c r="A40" s="2" t="s">
        <v>167</v>
      </c>
      <c r="B40" s="1" t="s">
        <v>168</v>
      </c>
      <c r="C40" s="2" t="s">
        <v>22</v>
      </c>
      <c r="D40" s="2" t="s">
        <v>169</v>
      </c>
      <c r="E40" s="2" t="s">
        <v>170</v>
      </c>
    </row>
    <row r="41" spans="1:5" ht="105" x14ac:dyDescent="0.25">
      <c r="A41" s="2" t="s">
        <v>171</v>
      </c>
      <c r="B41" s="1" t="s">
        <v>172</v>
      </c>
      <c r="C41" s="2" t="s">
        <v>173</v>
      </c>
      <c r="D41" s="2" t="s">
        <v>174</v>
      </c>
      <c r="E41" s="2" t="s">
        <v>175</v>
      </c>
    </row>
    <row r="42" spans="1:5" ht="210" x14ac:dyDescent="0.25">
      <c r="A42" s="2" t="s">
        <v>176</v>
      </c>
      <c r="B42" s="1" t="s">
        <v>177</v>
      </c>
      <c r="C42" s="2" t="s">
        <v>178</v>
      </c>
      <c r="D42" s="2" t="s">
        <v>179</v>
      </c>
      <c r="E42" s="2" t="s">
        <v>180</v>
      </c>
    </row>
    <row r="43" spans="1:5" ht="195" x14ac:dyDescent="0.25">
      <c r="A43" s="2" t="s">
        <v>181</v>
      </c>
      <c r="B43" s="1" t="s">
        <v>182</v>
      </c>
      <c r="C43" s="2" t="s">
        <v>183</v>
      </c>
      <c r="D43" s="2" t="s">
        <v>184</v>
      </c>
      <c r="E43" s="2" t="s">
        <v>185</v>
      </c>
    </row>
    <row r="44" spans="1:5" ht="150" x14ac:dyDescent="0.25">
      <c r="A44" s="2" t="s">
        <v>186</v>
      </c>
      <c r="B44" s="1" t="s">
        <v>187</v>
      </c>
      <c r="C44" s="2" t="s">
        <v>22</v>
      </c>
      <c r="D44" s="2" t="s">
        <v>188</v>
      </c>
      <c r="E44" s="2" t="s">
        <v>189</v>
      </c>
    </row>
    <row r="45" spans="1:5" ht="150" x14ac:dyDescent="0.25">
      <c r="A45" s="2" t="s">
        <v>190</v>
      </c>
      <c r="B45" s="1" t="s">
        <v>191</v>
      </c>
      <c r="C45" s="2" t="s">
        <v>151</v>
      </c>
      <c r="D45" s="2" t="s">
        <v>192</v>
      </c>
      <c r="E45" s="2" t="s">
        <v>193</v>
      </c>
    </row>
    <row r="46" spans="1:5" ht="135" x14ac:dyDescent="0.25">
      <c r="A46" s="2" t="s">
        <v>194</v>
      </c>
      <c r="B46" s="1" t="s">
        <v>195</v>
      </c>
      <c r="C46" s="2" t="s">
        <v>22</v>
      </c>
      <c r="D46" s="2" t="s">
        <v>196</v>
      </c>
      <c r="E46" s="2" t="s">
        <v>197</v>
      </c>
    </row>
    <row r="47" spans="1:5" ht="120" x14ac:dyDescent="0.25">
      <c r="A47" s="2" t="s">
        <v>198</v>
      </c>
      <c r="B47" s="1" t="s">
        <v>199</v>
      </c>
      <c r="C47" s="2" t="s">
        <v>22</v>
      </c>
      <c r="D47" s="2" t="s">
        <v>200</v>
      </c>
      <c r="E47" s="2" t="s">
        <v>201</v>
      </c>
    </row>
    <row r="48" spans="1:5" ht="135" x14ac:dyDescent="0.25">
      <c r="A48" s="2" t="s">
        <v>202</v>
      </c>
      <c r="B48" s="1" t="s">
        <v>203</v>
      </c>
      <c r="C48" s="2" t="s">
        <v>22</v>
      </c>
      <c r="D48" s="2" t="s">
        <v>204</v>
      </c>
      <c r="E48" s="2" t="s">
        <v>205</v>
      </c>
    </row>
    <row r="49" spans="1:5" ht="120" x14ac:dyDescent="0.25">
      <c r="A49" s="2" t="s">
        <v>206</v>
      </c>
      <c r="B49" s="1" t="s">
        <v>207</v>
      </c>
      <c r="C49" s="2" t="s">
        <v>22</v>
      </c>
      <c r="D49" s="2" t="s">
        <v>208</v>
      </c>
      <c r="E49" s="2" t="s">
        <v>209</v>
      </c>
    </row>
    <row r="50" spans="1:5" ht="135" x14ac:dyDescent="0.25">
      <c r="A50" s="2" t="s">
        <v>210</v>
      </c>
      <c r="B50" s="1" t="s">
        <v>211</v>
      </c>
      <c r="C50" s="2" t="s">
        <v>212</v>
      </c>
      <c r="D50" s="2" t="s">
        <v>213</v>
      </c>
      <c r="E50" s="2" t="s">
        <v>214</v>
      </c>
    </row>
    <row r="51" spans="1:5" ht="150" x14ac:dyDescent="0.25">
      <c r="A51" s="2" t="s">
        <v>215</v>
      </c>
      <c r="B51" s="1" t="s">
        <v>216</v>
      </c>
      <c r="C51" s="2" t="s">
        <v>217</v>
      </c>
      <c r="D51" s="2" t="s">
        <v>218</v>
      </c>
      <c r="E51" s="2" t="s">
        <v>219</v>
      </c>
    </row>
    <row r="52" spans="1:5" ht="150" x14ac:dyDescent="0.25">
      <c r="A52" s="2" t="s">
        <v>220</v>
      </c>
      <c r="B52" s="1" t="s">
        <v>221</v>
      </c>
      <c r="C52" s="2" t="s">
        <v>222</v>
      </c>
      <c r="D52" s="2" t="s">
        <v>223</v>
      </c>
      <c r="E52" s="2" t="s">
        <v>224</v>
      </c>
    </row>
    <row r="53" spans="1:5" ht="315" x14ac:dyDescent="0.25">
      <c r="A53" s="2" t="s">
        <v>225</v>
      </c>
      <c r="B53" s="1" t="s">
        <v>521</v>
      </c>
      <c r="C53" s="2" t="s">
        <v>522</v>
      </c>
      <c r="D53" s="2" t="s">
        <v>226</v>
      </c>
      <c r="E53" s="2" t="s">
        <v>523</v>
      </c>
    </row>
    <row r="54" spans="1:5" ht="135" x14ac:dyDescent="0.25">
      <c r="A54" s="2" t="s">
        <v>227</v>
      </c>
      <c r="B54" s="1" t="s">
        <v>228</v>
      </c>
      <c r="C54" s="2" t="s">
        <v>229</v>
      </c>
      <c r="D54" s="2" t="s">
        <v>230</v>
      </c>
      <c r="E54" s="2" t="s">
        <v>231</v>
      </c>
    </row>
    <row r="55" spans="1:5" ht="150" x14ac:dyDescent="0.25">
      <c r="A55" s="2" t="s">
        <v>232</v>
      </c>
      <c r="B55" s="1" t="s">
        <v>233</v>
      </c>
      <c r="C55" s="2" t="s">
        <v>229</v>
      </c>
      <c r="D55" s="2" t="s">
        <v>234</v>
      </c>
      <c r="E55" s="2" t="s">
        <v>235</v>
      </c>
    </row>
    <row r="56" spans="1:5" ht="165" x14ac:dyDescent="0.25">
      <c r="A56" s="2" t="s">
        <v>236</v>
      </c>
      <c r="B56" s="1" t="s">
        <v>237</v>
      </c>
      <c r="C56" s="2" t="s">
        <v>22</v>
      </c>
      <c r="D56" s="2" t="s">
        <v>238</v>
      </c>
      <c r="E56" s="2" t="s">
        <v>239</v>
      </c>
    </row>
    <row r="57" spans="1:5" ht="150" x14ac:dyDescent="0.25">
      <c r="A57" s="2" t="s">
        <v>240</v>
      </c>
      <c r="B57" s="1" t="s">
        <v>241</v>
      </c>
      <c r="C57" s="2" t="s">
        <v>22</v>
      </c>
      <c r="D57" s="2" t="s">
        <v>242</v>
      </c>
      <c r="E57" s="2" t="s">
        <v>243</v>
      </c>
    </row>
    <row r="58" spans="1:5" ht="150" x14ac:dyDescent="0.25">
      <c r="A58" s="2" t="s">
        <v>244</v>
      </c>
      <c r="B58" s="1" t="s">
        <v>245</v>
      </c>
      <c r="C58" s="2" t="s">
        <v>246</v>
      </c>
      <c r="D58" s="2" t="s">
        <v>247</v>
      </c>
      <c r="E58"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I1651"/>
  <sheetViews>
    <sheetView tabSelected="1" topLeftCell="C1" zoomScaleNormal="100" workbookViewId="0">
      <pane ySplit="2" topLeftCell="A3" activePane="bottomLeft" state="frozenSplit"/>
      <selection pane="bottomLeft" activeCell="E21" sqref="E21:E3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31.140625" bestFit="1" customWidth="1"/>
    <col min="21" max="21" width="14.7109375" customWidth="1"/>
    <col min="22" max="22" width="2.7109375" customWidth="1"/>
    <col min="23" max="23" width="17.85546875" bestFit="1" customWidth="1"/>
    <col min="24" max="24" width="14.7109375" customWidth="1"/>
    <col min="25" max="25" width="12.7109375" customWidth="1"/>
    <col min="26" max="26" width="18.7109375" customWidth="1"/>
    <col min="27" max="28" width="12.7109375" customWidth="1"/>
    <col min="29" max="29" width="14.7109375" customWidth="1"/>
    <col min="30" max="30" width="16.7109375" customWidth="1"/>
    <col min="31" max="31" width="22.7109375" customWidth="1"/>
    <col min="32" max="32" width="14.7109375" customWidth="1"/>
    <col min="33" max="33" width="22.7109375" customWidth="1"/>
    <col min="34" max="34" width="26.7109375" customWidth="1"/>
    <col min="35" max="35" width="14.7109375" customWidth="1"/>
  </cols>
  <sheetData>
    <row r="1" spans="1:35" x14ac:dyDescent="0.25">
      <c r="A1" s="4" t="s">
        <v>467</v>
      </c>
      <c r="B1" s="3" t="s">
        <v>468</v>
      </c>
      <c r="D1" s="4" t="s">
        <v>470</v>
      </c>
      <c r="L1" s="4" t="s">
        <v>473</v>
      </c>
      <c r="T1" s="14" t="s">
        <v>499</v>
      </c>
      <c r="U1" s="9"/>
      <c r="W1" s="4" t="s">
        <v>508</v>
      </c>
    </row>
    <row r="2" spans="1:35" x14ac:dyDescent="0.25">
      <c r="A2" t="s">
        <v>469</v>
      </c>
      <c r="B2" s="17" t="b">
        <v>1</v>
      </c>
      <c r="D2" s="3"/>
      <c r="E2" s="3" t="s">
        <v>471</v>
      </c>
      <c r="F2" s="3" t="s">
        <v>472</v>
      </c>
      <c r="G2" s="3" t="s">
        <v>227</v>
      </c>
      <c r="H2" s="3" t="s">
        <v>232</v>
      </c>
      <c r="I2" s="3" t="s">
        <v>118</v>
      </c>
      <c r="J2" s="3" t="s">
        <v>123</v>
      </c>
      <c r="T2" s="16" t="s">
        <v>500</v>
      </c>
      <c r="U2" s="10"/>
      <c r="W2" s="3" t="s">
        <v>509</v>
      </c>
      <c r="X2" s="3" t="s">
        <v>510</v>
      </c>
      <c r="Y2" s="3" t="s">
        <v>163</v>
      </c>
      <c r="Z2" s="3" t="s">
        <v>511</v>
      </c>
      <c r="AA2" s="3" t="s">
        <v>512</v>
      </c>
      <c r="AB2" s="3" t="s">
        <v>513</v>
      </c>
      <c r="AC2" s="3" t="s">
        <v>514</v>
      </c>
      <c r="AD2" s="3" t="s">
        <v>515</v>
      </c>
      <c r="AE2" s="3" t="s">
        <v>516</v>
      </c>
      <c r="AF2" s="3" t="s">
        <v>517</v>
      </c>
      <c r="AG2" s="3" t="s">
        <v>518</v>
      </c>
      <c r="AH2" s="3" t="s">
        <v>519</v>
      </c>
      <c r="AI2" s="3" t="s">
        <v>520</v>
      </c>
    </row>
    <row r="3" spans="1:35" x14ac:dyDescent="0.25">
      <c r="A3" t="str" cm="1">
        <f t="array" aca="1" ref="A3:A20" ca="1">Coefficient_Name_Col(All_Xs)</f>
        <v>Adult Mortality</v>
      </c>
      <c r="B3" s="17" t="b">
        <v>0</v>
      </c>
      <c r="D3" t="str" cm="1">
        <f t="array" aca="1" ref="D3:D14" ca="1">Coefficient_Name_Col(All_Xs,Ind_Var_Filter)</f>
        <v>Alcohol</v>
      </c>
      <c r="E3" s="5" cm="1">
        <f t="array" ref="E3:E14">Pearson_R(x_s,y,fil)</f>
        <v>0.4027183217273525</v>
      </c>
      <c r="F3" s="5" cm="1">
        <f t="array" ref="F3:F14">Spearman_R(x_s,y,fil)</f>
        <v>0.45156709663151606</v>
      </c>
      <c r="G3" s="6" cm="1">
        <f t="array" ref="G3:G14">Skewness(x_s,fil)</f>
        <v>0.66251839935723011</v>
      </c>
      <c r="H3" s="6" cm="1">
        <f t="array" ref="H3:H14">Kurtosis(x_s,fil)</f>
        <v>-0.59110044260500194</v>
      </c>
      <c r="I3" s="6" cm="1">
        <f t="array" ref="I3:I14">VIF(x_s,Allow_Intercept,fil)</f>
        <v>1.6888539806635354</v>
      </c>
      <c r="J3" s="5" cm="1">
        <f t="array" ref="J3:J14">Tolerance(x_s,Allow_Intercept,fil)</f>
        <v>0.59211750183820455</v>
      </c>
      <c r="L3" s="14" t="s">
        <v>474</v>
      </c>
      <c r="M3" s="9"/>
      <c r="O3" s="14" t="s">
        <v>479</v>
      </c>
      <c r="P3" s="9"/>
      <c r="R3" cm="1">
        <f t="array" aca="1" ref="R3:R8" ca="1">Prediction_Interval(x_s,y,pred_input,Allow_Intercept,fil,alpha)</f>
        <v>490.04841006391746</v>
      </c>
      <c r="T3" s="13" t="s">
        <v>501</v>
      </c>
      <c r="U3" s="10" cm="1">
        <f t="array" aca="1" ref="U3" ca="1">INDEX(Prediction_Interval(x_s,y,pred_input,Allow_Intercept,fil,alpha),1)</f>
        <v>490.04841006391746</v>
      </c>
      <c r="W3" cm="1">
        <f t="array" ref="W3:W1651">_xlfn.SEQUENCE(Observations(y,fil))</f>
        <v>1</v>
      </c>
      <c r="X3" cm="1">
        <f t="array" ref="X3:X1651">Predictions(x_s,y,Allow_Intercept,fil)</f>
        <v>62.520324768197121</v>
      </c>
      <c r="Y3" cm="1">
        <f t="array" ref="Y3:Y1651">Residuals(x_s,y,Allow_Intercept,fil)</f>
        <v>2.4796752318028794</v>
      </c>
      <c r="Z3" cm="1">
        <f t="array" ref="Z3:Z1651">LOOCV_prediction(x_s,y,Allow_Intercept,fil)</f>
        <v>62.47970541505866</v>
      </c>
      <c r="AA3" cm="1">
        <f t="array" ref="AA3:AA1651">Rank_Fraction(y,fil)</f>
        <v>0.27289266221952696</v>
      </c>
      <c r="AB3" cm="1">
        <f t="array" ref="AB3:AB1651">Y_Ranked(y,fil)</f>
        <v>44</v>
      </c>
      <c r="AC3" cm="1">
        <f t="array" ref="AC3:AC1651">Normal_Scores(y,fil)</f>
        <v>-0.62335641379693996</v>
      </c>
      <c r="AD3" cm="1">
        <f t="array" ref="AD3:AD1651">Scaled_Residuals(x_s,y,Allow_Intercept,fil)</f>
        <v>0.5692777720634784</v>
      </c>
      <c r="AE3" cm="1">
        <f t="array" ref="AE3:AE1651">Scaled_Residuals_Ranked(x_s,y,Allow_Intercept,fil)</f>
        <v>-3.936557066806035</v>
      </c>
      <c r="AF3" cm="1">
        <f t="array" ref="AF3:AF1651">Hat_diagonal(x_s,Allow_Intercept,fil)</f>
        <v>1.6116906881107514E-2</v>
      </c>
      <c r="AG3" cm="1">
        <f t="array" ref="AG3:AG1651">Studentized_Residuals(x_s,y,Allow_Intercept,fil)</f>
        <v>0.57392147812070926</v>
      </c>
      <c r="AH3" cm="1">
        <f t="array" ref="AH3:AH1651">Studentized_Residuals_Ranked(x_s,y,Allow_Intercept,fil)</f>
        <v>-3.9511216007130483</v>
      </c>
      <c r="AI3" cm="1">
        <f t="array" ref="AI3:AI1651">Cooks_Distance(x_s,y,Allow_Intercept,fil)</f>
        <v>4.1504941138371726E-4</v>
      </c>
    </row>
    <row r="4" spans="1:35" x14ac:dyDescent="0.25">
      <c r="A4" t="str">
        <f ca="1"/>
        <v>infant deaths</v>
      </c>
      <c r="B4" s="17" t="b">
        <v>0</v>
      </c>
      <c r="D4" t="str">
        <f ca="1"/>
        <v>Hepatitis B</v>
      </c>
      <c r="E4" s="5">
        <v>0.19993527639757758</v>
      </c>
      <c r="F4" s="5">
        <v>0.29839199664291366</v>
      </c>
      <c r="G4" s="6">
        <v>-1.7933774066676584</v>
      </c>
      <c r="H4" s="6">
        <v>2.2314153470486389</v>
      </c>
      <c r="I4" s="6">
        <v>1.615056901904466</v>
      </c>
      <c r="J4" s="5">
        <v>0.61917323087552245</v>
      </c>
      <c r="L4" s="13" t="s">
        <v>475</v>
      </c>
      <c r="M4" s="10" cm="1">
        <f t="array" ref="M4">Multiple_R(x_s,y,Allow_Intercept,fil)</f>
        <v>0.86982954524138434</v>
      </c>
      <c r="O4" s="13" t="s">
        <v>61</v>
      </c>
      <c r="P4" s="10" cm="1">
        <f t="array" ref="P4">PRESS(x_s,y,Allow_Intercept,fil)</f>
        <v>31751.515909904851</v>
      </c>
      <c r="R4">
        <f ca="1"/>
        <v>118.39768969779217</v>
      </c>
      <c r="T4" s="13" t="s">
        <v>502</v>
      </c>
      <c r="U4" s="10" cm="1">
        <f t="array" aca="1" ref="U4" ca="1">INDEX(Prediction_Interval(x_s,y,pred_input,Allow_Intercept,fil,alpha),2)</f>
        <v>118.39768969779217</v>
      </c>
      <c r="W4">
        <v>2</v>
      </c>
      <c r="X4">
        <v>63.598206966164952</v>
      </c>
      <c r="Y4">
        <v>-3.6982069661649533</v>
      </c>
      <c r="Z4">
        <v>63.629682449662141</v>
      </c>
      <c r="AA4">
        <v>0.17404487568223165</v>
      </c>
      <c r="AB4">
        <v>44.3</v>
      </c>
      <c r="AC4">
        <v>-0.94897780985887348</v>
      </c>
      <c r="AD4">
        <v>-0.84902530594594439</v>
      </c>
      <c r="AE4">
        <v>-3.7268972743787439</v>
      </c>
      <c r="AF4">
        <v>8.4391858883434059E-3</v>
      </c>
      <c r="AG4">
        <v>-0.85263068308874657</v>
      </c>
      <c r="AH4">
        <v>-3.7456987263084138</v>
      </c>
      <c r="AI4">
        <v>4.759482781291411E-4</v>
      </c>
    </row>
    <row r="5" spans="1:35" x14ac:dyDescent="0.25">
      <c r="A5" t="str">
        <f ca="1"/>
        <v>Alcohol</v>
      </c>
      <c r="B5" s="17" t="b">
        <v>1</v>
      </c>
      <c r="D5" t="str">
        <f ca="1"/>
        <v>Measles</v>
      </c>
      <c r="E5" s="5">
        <v>-6.8881222111176282E-2</v>
      </c>
      <c r="F5" s="5">
        <v>-0.24957375369248747</v>
      </c>
      <c r="G5" s="6">
        <v>7.9578377460109904</v>
      </c>
      <c r="H5" s="6">
        <v>74.67143971345466</v>
      </c>
      <c r="I5" s="6">
        <v>1.0627579326002754</v>
      </c>
      <c r="J5" s="5">
        <v>0.94094804595179637</v>
      </c>
      <c r="L5" s="13" t="s">
        <v>476</v>
      </c>
      <c r="M5" s="10" cm="1">
        <f t="array" ref="M5">R_squared(x_s,y,Allow_Intercept,fil)</f>
        <v>0.75660343777483341</v>
      </c>
      <c r="O5" s="13" t="s">
        <v>480</v>
      </c>
      <c r="P5" s="10" cm="1">
        <f t="array" ref="P5">1-PRESS(x_s,y,Allow_Intercept,fil)/SS_Total(y,Allow_Intercept,fil)</f>
        <v>0.75102573988375187</v>
      </c>
      <c r="R5">
        <f ca="1"/>
        <v>1.961415083213164</v>
      </c>
      <c r="T5" s="13" t="s">
        <v>503</v>
      </c>
      <c r="U5" s="10" cm="1">
        <f t="array" aca="1" ref="U5" ca="1">INDEX(Prediction_Interval(x_s,y,pred_input,Allow_Intercept,fil,alpha),3)</f>
        <v>1.961415083213164</v>
      </c>
      <c r="W5">
        <v>3</v>
      </c>
      <c r="X5">
        <v>63.550243379009473</v>
      </c>
      <c r="Y5">
        <v>-3.6502433790094742</v>
      </c>
      <c r="Z5">
        <v>63.581040177728752</v>
      </c>
      <c r="AA5">
        <v>0.17404487568223165</v>
      </c>
      <c r="AB5">
        <v>44.5</v>
      </c>
      <c r="AC5">
        <v>-0.94897780985887348</v>
      </c>
      <c r="AD5">
        <v>-0.83801394297153131</v>
      </c>
      <c r="AE5">
        <v>-3.4960270146809167</v>
      </c>
      <c r="AF5">
        <v>8.3663305023426743E-3</v>
      </c>
      <c r="AG5">
        <v>-0.84154164471438475</v>
      </c>
      <c r="AH5">
        <v>-3.5096914628520381</v>
      </c>
      <c r="AI5">
        <v>4.5961228162785936E-4</v>
      </c>
    </row>
    <row r="6" spans="1:35" x14ac:dyDescent="0.25">
      <c r="A6" t="str">
        <f ca="1"/>
        <v>percentage expenditure</v>
      </c>
      <c r="B6" s="17" t="b">
        <v>0</v>
      </c>
      <c r="D6" t="str">
        <f ca="1"/>
        <v>BMI</v>
      </c>
      <c r="E6" s="5">
        <v>0.54204158769157829</v>
      </c>
      <c r="F6" s="5">
        <v>0.5836370658786586</v>
      </c>
      <c r="G6" s="6">
        <v>-0.23360071764187307</v>
      </c>
      <c r="H6" s="6">
        <v>-1.2702262093966004</v>
      </c>
      <c r="I6" s="6">
        <v>1.6913645896284468</v>
      </c>
      <c r="J6" s="5">
        <v>0.59123858104400573</v>
      </c>
      <c r="L6" s="13" t="s">
        <v>477</v>
      </c>
      <c r="M6" s="10" cm="1">
        <f t="array" ref="M6">Adjusted_R2(x_s,y,Allow_Intercept,fil)</f>
        <v>0.75481813291743605</v>
      </c>
      <c r="O6" s="13" t="s">
        <v>481</v>
      </c>
      <c r="P6" s="10" cm="1">
        <f t="array" ref="P6">(DF_Regression(x_s)+IF(Allow_Intercept,1,0))/Observations(y,fil)</f>
        <v>7.8835657974530016E-3</v>
      </c>
      <c r="R6">
        <f ca="1"/>
        <v>257.82139567307604</v>
      </c>
      <c r="T6" s="13" t="s">
        <v>497</v>
      </c>
      <c r="U6" s="10" cm="1">
        <f t="array" aca="1" ref="U6" ca="1">INDEX(Prediction_Interval(x_s,y,pred_input,Allow_Intercept,fil,alpha),4)</f>
        <v>257.82139567307604</v>
      </c>
      <c r="W6">
        <v>4</v>
      </c>
      <c r="X6">
        <v>63.602314776524238</v>
      </c>
      <c r="Y6">
        <v>-4.1023147765242385</v>
      </c>
      <c r="Z6">
        <v>63.637992564100045</v>
      </c>
      <c r="AA6">
        <v>0.16434202546998181</v>
      </c>
      <c r="AB6">
        <v>44.5</v>
      </c>
      <c r="AC6">
        <v>-0.98044852568054008</v>
      </c>
      <c r="AD6">
        <v>-0.94179938821458253</v>
      </c>
      <c r="AE6">
        <v>-3.4503330144338804</v>
      </c>
      <c r="AF6">
        <v>8.6220037912437611E-3</v>
      </c>
      <c r="AG6">
        <v>-0.94588593187782044</v>
      </c>
      <c r="AH6">
        <v>-3.4621063044092506</v>
      </c>
      <c r="AI6">
        <v>5.985536924370614E-4</v>
      </c>
    </row>
    <row r="7" spans="1:35" x14ac:dyDescent="0.25">
      <c r="A7" t="str">
        <f ca="1"/>
        <v>Hepatitis B</v>
      </c>
      <c r="B7" s="17" t="b">
        <v>1</v>
      </c>
      <c r="D7" t="str">
        <f ca="1"/>
        <v>Polio</v>
      </c>
      <c r="E7" s="5">
        <v>0.32729440310492808</v>
      </c>
      <c r="F7" s="5">
        <v>0.43534266254009202</v>
      </c>
      <c r="G7" s="6">
        <v>-2.3601768849724745</v>
      </c>
      <c r="H7" s="6">
        <v>5.0635507264435367</v>
      </c>
      <c r="I7" s="6">
        <v>1.6824947941626136</v>
      </c>
      <c r="J7" s="5">
        <v>0.59435547941633016</v>
      </c>
      <c r="L7" s="13" t="s">
        <v>478</v>
      </c>
      <c r="M7" s="10" cm="1">
        <f t="array" ref="M7">SE_Regression(x_s,y,Allow_Intercept,fil)</f>
        <v>4.3558265463531542</v>
      </c>
      <c r="O7" s="13" t="s">
        <v>65</v>
      </c>
      <c r="P7" s="10" cm="1">
        <f t="array" ref="P7">AIC(x_s,y,Allow_Intercept,fil)</f>
        <v>4866.0029269700508</v>
      </c>
      <c r="R7">
        <f ca="1"/>
        <v>722.27542445475888</v>
      </c>
      <c r="T7" s="13" t="s">
        <v>498</v>
      </c>
      <c r="U7" s="10" cm="1">
        <f t="array" aca="1" ref="U7" ca="1">INDEX(Prediction_Interval(x_s,y,pred_input,Allow_Intercept,fil,alpha),5)</f>
        <v>722.27542445475888</v>
      </c>
      <c r="W7">
        <v>5</v>
      </c>
      <c r="X7">
        <v>63.245187864257055</v>
      </c>
      <c r="Y7">
        <v>-4.045187864257052</v>
      </c>
      <c r="Z7">
        <v>63.278578542441174</v>
      </c>
      <c r="AA7">
        <v>0.15767131594906003</v>
      </c>
      <c r="AB7">
        <v>44.6</v>
      </c>
      <c r="AC7">
        <v>-1.0205681915260707</v>
      </c>
      <c r="AD7">
        <v>-0.92868433148326823</v>
      </c>
      <c r="AE7">
        <v>-3.2489517259079723</v>
      </c>
      <c r="AF7">
        <v>8.1868420177905327E-3</v>
      </c>
      <c r="AG7">
        <v>-0.93250932951628918</v>
      </c>
      <c r="AH7">
        <v>-3.2546567361668841</v>
      </c>
      <c r="AI7">
        <v>5.5214044756931441E-4</v>
      </c>
    </row>
    <row r="8" spans="1:35" x14ac:dyDescent="0.25">
      <c r="A8" t="str">
        <f ca="1"/>
        <v>Measles</v>
      </c>
      <c r="B8" s="17" t="b">
        <v>1</v>
      </c>
      <c r="D8" t="str">
        <f ca="1"/>
        <v>Total expenditure</v>
      </c>
      <c r="E8" s="5">
        <v>0.17471764064230411</v>
      </c>
      <c r="F8" s="5">
        <v>0.27107970455247493</v>
      </c>
      <c r="G8" s="6">
        <v>0.21336165862070411</v>
      </c>
      <c r="H8" s="6">
        <v>-1.0252562552346411E-2</v>
      </c>
      <c r="I8" s="6">
        <v>1.1062969419548274</v>
      </c>
      <c r="J8" s="5">
        <v>0.90391644600680121</v>
      </c>
      <c r="L8" s="15" t="s">
        <v>5</v>
      </c>
      <c r="M8" s="11" cm="1">
        <f t="array" ref="M8">Observations(y,fil)</f>
        <v>1649</v>
      </c>
      <c r="O8" s="13" t="s">
        <v>69</v>
      </c>
      <c r="P8" s="10" cm="1">
        <f t="array" ref="P8">BIC(x_s,y,Allow_Intercept,fil)</f>
        <v>4936.3059431633255</v>
      </c>
      <c r="R8">
        <f ca="1"/>
        <v>0.95</v>
      </c>
      <c r="T8" s="15" t="s">
        <v>504</v>
      </c>
      <c r="U8" s="11" cm="1">
        <f t="array" aca="1" ref="U8" ca="1">INDEX(Prediction_Interval(x_s,y,pred_input,Allow_Intercept,fil,alpha),6)</f>
        <v>0.95</v>
      </c>
      <c r="W8">
        <v>6</v>
      </c>
      <c r="X8">
        <v>63.242962430615705</v>
      </c>
      <c r="Y8">
        <v>-4.4429624306157081</v>
      </c>
      <c r="Z8">
        <v>63.287229954885625</v>
      </c>
      <c r="AA8">
        <v>0.14675560946027896</v>
      </c>
      <c r="AB8">
        <v>44.6</v>
      </c>
      <c r="AC8">
        <v>-1.0570712344634026</v>
      </c>
      <c r="AD8">
        <v>-1.0200044430914053</v>
      </c>
      <c r="AE8">
        <v>-3.1716642305984988</v>
      </c>
      <c r="AF8">
        <v>9.8652230251140664E-3</v>
      </c>
      <c r="AG8">
        <v>-1.025073263518204</v>
      </c>
      <c r="AH8">
        <v>-3.1777584446075355</v>
      </c>
      <c r="AI8">
        <v>8.0533959732729599E-4</v>
      </c>
    </row>
    <row r="9" spans="1:35" x14ac:dyDescent="0.25">
      <c r="A9" t="str">
        <f ca="1"/>
        <v>BMI</v>
      </c>
      <c r="B9" s="17" t="b">
        <v>1</v>
      </c>
      <c r="D9" t="str">
        <f ca="1"/>
        <v>Diphtheria</v>
      </c>
      <c r="E9" s="5">
        <v>0.34133123426064216</v>
      </c>
      <c r="F9" s="5">
        <v>0.44819623351132853</v>
      </c>
      <c r="G9" s="6">
        <v>-2.4874916081791545</v>
      </c>
      <c r="H9" s="6">
        <v>5.8556393600326784</v>
      </c>
      <c r="I9" s="6">
        <v>2.0619028076857999</v>
      </c>
      <c r="J9" s="5">
        <v>0.48498891231559133</v>
      </c>
      <c r="O9" s="13" t="s">
        <v>73</v>
      </c>
      <c r="P9" s="10" cm="1">
        <f t="array" ref="P9">AICc(x_s,y,Allow_Intercept,fil)</f>
        <v>4866.2255569394702</v>
      </c>
      <c r="W9">
        <v>7</v>
      </c>
      <c r="X9">
        <v>62.801437110021325</v>
      </c>
      <c r="Y9">
        <v>-4.2014371100213239</v>
      </c>
      <c r="Z9">
        <v>62.845927656882765</v>
      </c>
      <c r="AA9">
        <v>0.14432989690721648</v>
      </c>
      <c r="AB9">
        <v>44.8</v>
      </c>
      <c r="AC9">
        <v>-1.0704544602760233</v>
      </c>
      <c r="AD9">
        <v>-0.96455565099094898</v>
      </c>
      <c r="AE9">
        <v>-3.15063284601879</v>
      </c>
      <c r="AF9">
        <v>1.0478404357483987E-2</v>
      </c>
      <c r="AG9">
        <v>-0.96964921753450695</v>
      </c>
      <c r="AH9">
        <v>-3.1581671804907994</v>
      </c>
      <c r="AI9">
        <v>7.6587135642831059E-4</v>
      </c>
    </row>
    <row r="10" spans="1:35" x14ac:dyDescent="0.25">
      <c r="A10" t="str">
        <f ca="1"/>
        <v>under-five deaths</v>
      </c>
      <c r="B10" s="17" t="b">
        <v>0</v>
      </c>
      <c r="D10" t="str">
        <f ca="1"/>
        <v>HIV/AIDS</v>
      </c>
      <c r="E10" s="5">
        <v>-0.59223629259263988</v>
      </c>
      <c r="F10" s="5">
        <v>-0.72026469818695804</v>
      </c>
      <c r="G10" s="6">
        <v>4.9741755969625574</v>
      </c>
      <c r="H10" s="6">
        <v>27.751491599089142</v>
      </c>
      <c r="I10" s="6">
        <v>1.1259145813049503</v>
      </c>
      <c r="J10" s="5">
        <v>0.88816684374136667</v>
      </c>
      <c r="O10" s="15" t="s">
        <v>482</v>
      </c>
      <c r="P10" s="11" cm="1">
        <f t="array" ref="P10">QQ_Correlation(x_s,y,Allow_Intercept,fil)</f>
        <v>0.99099971259530539</v>
      </c>
      <c r="T10" s="4" t="s">
        <v>467</v>
      </c>
      <c r="W10">
        <v>8</v>
      </c>
      <c r="X10">
        <v>62.581551987940927</v>
      </c>
      <c r="Y10">
        <v>-4.4815519879409251</v>
      </c>
      <c r="Z10">
        <v>62.624361085097107</v>
      </c>
      <c r="AA10">
        <v>0.13523347483323225</v>
      </c>
      <c r="AB10">
        <v>44.8</v>
      </c>
      <c r="AC10">
        <v>-1.1174634002413726</v>
      </c>
      <c r="AD10">
        <v>-1.0288637392352165</v>
      </c>
      <c r="AE10">
        <v>-3.0693511086402134</v>
      </c>
      <c r="AF10">
        <v>9.4619099472822623E-3</v>
      </c>
      <c r="AG10">
        <v>-1.0337660638364063</v>
      </c>
      <c r="AH10">
        <v>-3.0782571307972377</v>
      </c>
      <c r="AI10">
        <v>7.8525158181039212E-4</v>
      </c>
    </row>
    <row r="11" spans="1:35" x14ac:dyDescent="0.25">
      <c r="A11" t="str">
        <f ca="1"/>
        <v>Polio</v>
      </c>
      <c r="B11" s="17" t="b">
        <v>1</v>
      </c>
      <c r="D11" t="str">
        <f ca="1"/>
        <v>GDP</v>
      </c>
      <c r="E11" s="5">
        <v>0.44132180991356607</v>
      </c>
      <c r="F11" s="5">
        <v>0.57079636904265585</v>
      </c>
      <c r="G11" s="6">
        <v>4.5172974225641669</v>
      </c>
      <c r="H11" s="6">
        <v>28.015318265499179</v>
      </c>
      <c r="I11" s="6">
        <v>1.3610681933555211</v>
      </c>
      <c r="J11" s="5">
        <v>0.73471704421704354</v>
      </c>
      <c r="T11" s="3" t="s">
        <v>505</v>
      </c>
      <c r="U11" s="3" t="s">
        <v>506</v>
      </c>
      <c r="W11">
        <v>9</v>
      </c>
      <c r="X11">
        <v>61.864671284710205</v>
      </c>
      <c r="Y11">
        <v>-4.3646712847102052</v>
      </c>
      <c r="Z11">
        <v>61.902024272131492</v>
      </c>
      <c r="AA11">
        <v>0.12067919951485749</v>
      </c>
      <c r="AB11">
        <v>45.1</v>
      </c>
      <c r="AC11">
        <v>-1.182232646923248</v>
      </c>
      <c r="AD11">
        <v>-1.0020305533893346</v>
      </c>
      <c r="AE11">
        <v>-3.0556064571521242</v>
      </c>
      <c r="AF11">
        <v>8.4854115089186988E-3</v>
      </c>
      <c r="AG11">
        <v>-1.0063091225858474</v>
      </c>
      <c r="AH11">
        <v>-3.0650264693806943</v>
      </c>
      <c r="AI11">
        <v>6.6664291436264035E-4</v>
      </c>
    </row>
    <row r="12" spans="1:35" x14ac:dyDescent="0.25">
      <c r="A12" t="str">
        <f ca="1"/>
        <v>Total expenditure</v>
      </c>
      <c r="B12" s="17" t="b">
        <v>1</v>
      </c>
      <c r="D12" t="str">
        <f ca="1"/>
        <v>thinness 1-19 years</v>
      </c>
      <c r="E12" s="5">
        <v>-0.45783819334984405</v>
      </c>
      <c r="F12" s="5">
        <v>-0.61960046774864874</v>
      </c>
      <c r="G12" s="6">
        <v>1.8210735142413568</v>
      </c>
      <c r="H12" s="6">
        <v>4.1593458501427047</v>
      </c>
      <c r="I12" s="6">
        <v>7.4523218402780467</v>
      </c>
      <c r="J12" s="5">
        <v>0.13418636787735538</v>
      </c>
      <c r="L12" s="3" t="s">
        <v>483</v>
      </c>
      <c r="M12" s="17">
        <v>0.05</v>
      </c>
      <c r="T12" t="s">
        <v>507</v>
      </c>
      <c r="U12" s="17">
        <f>IF(Allow_Intercept,1,0)</f>
        <v>1</v>
      </c>
      <c r="W12">
        <v>10</v>
      </c>
      <c r="X12">
        <v>61.458689041482117</v>
      </c>
      <c r="Y12">
        <v>-4.1586890414821198</v>
      </c>
      <c r="Z12">
        <v>61.498105143413014</v>
      </c>
      <c r="AA12">
        <v>0.11643420254699818</v>
      </c>
      <c r="AB12">
        <v>45.3</v>
      </c>
      <c r="AC12">
        <v>-1.207056068729359</v>
      </c>
      <c r="AD12">
        <v>-0.95474165401832067</v>
      </c>
      <c r="AE12">
        <v>-2.9631792434430744</v>
      </c>
      <c r="AF12">
        <v>9.3890220907737292E-3</v>
      </c>
      <c r="AG12">
        <v>-0.95925550976410257</v>
      </c>
      <c r="AH12">
        <v>-2.9687921160791744</v>
      </c>
      <c r="AI12">
        <v>6.7087634164956838E-4</v>
      </c>
    </row>
    <row r="13" spans="1:35" x14ac:dyDescent="0.25">
      <c r="A13" t="str">
        <f ca="1"/>
        <v>Diphtheria</v>
      </c>
      <c r="B13" s="17" t="b">
        <v>1</v>
      </c>
      <c r="D13" t="str">
        <f ca="1"/>
        <v>thinness 5-9 years</v>
      </c>
      <c r="E13" s="5">
        <v>-0.45750828676579908</v>
      </c>
      <c r="F13" s="5">
        <v>-0.62981654942690735</v>
      </c>
      <c r="G13" s="6">
        <v>1.8669799469852892</v>
      </c>
      <c r="H13" s="6">
        <v>4.5198333738580816</v>
      </c>
      <c r="I13" s="6">
        <v>7.4229275605367295</v>
      </c>
      <c r="J13" s="5">
        <v>0.134717736613301</v>
      </c>
      <c r="L13" s="14" t="s">
        <v>484</v>
      </c>
      <c r="M13" s="7"/>
      <c r="N13" s="7"/>
      <c r="O13" s="7"/>
      <c r="P13" s="7"/>
      <c r="Q13" s="9"/>
      <c r="T13" t="str" cm="1">
        <f t="array" aca="1" ref="T13:T30" ca="1">Coefficient_Name_Col(All_Xs)</f>
        <v>Adult Mortality</v>
      </c>
      <c r="U13" s="18">
        <f ca="1">AVERAGE(INDIRECT("LifeExpectancyData["&amp;T13&amp;"]"))</f>
        <v>164.79644808743168</v>
      </c>
      <c r="W13">
        <v>11</v>
      </c>
      <c r="X13">
        <v>61.39051461402557</v>
      </c>
      <c r="Y13">
        <v>-4.0905146140255724</v>
      </c>
      <c r="Z13">
        <v>61.435141498945228</v>
      </c>
      <c r="AA13">
        <v>0.11643420254699818</v>
      </c>
      <c r="AB13">
        <v>45.3</v>
      </c>
      <c r="AC13">
        <v>-1.207056068729359</v>
      </c>
      <c r="AD13">
        <v>-0.93909033578260592</v>
      </c>
      <c r="AE13">
        <v>-2.9126237728855546</v>
      </c>
      <c r="AF13">
        <v>1.0792105888285306E-2</v>
      </c>
      <c r="AG13">
        <v>-0.94419910512917082</v>
      </c>
      <c r="AH13">
        <v>-2.9204564641047357</v>
      </c>
      <c r="AI13">
        <v>7.4817370573507507E-4</v>
      </c>
    </row>
    <row r="14" spans="1:35" x14ac:dyDescent="0.25">
      <c r="A14" t="str">
        <f ca="1"/>
        <v>HIV/AIDS</v>
      </c>
      <c r="B14" s="17" t="b">
        <v>1</v>
      </c>
      <c r="D14" t="str">
        <f ca="1"/>
        <v>Income composition of resources</v>
      </c>
      <c r="E14" s="5">
        <v>0.72108259291729193</v>
      </c>
      <c r="F14" s="5">
        <v>0.84902333027593679</v>
      </c>
      <c r="G14" s="6">
        <v>-1.1552436094975105</v>
      </c>
      <c r="H14" s="6">
        <v>2.0611920694297563</v>
      </c>
      <c r="I14" s="6">
        <v>2.0647833029583809</v>
      </c>
      <c r="J14" s="5">
        <v>0.48431232399410618</v>
      </c>
      <c r="L14" s="16"/>
      <c r="M14" s="3" t="s">
        <v>485</v>
      </c>
      <c r="N14" s="3" t="s">
        <v>486</v>
      </c>
      <c r="O14" s="3" t="s">
        <v>487</v>
      </c>
      <c r="P14" s="3" t="s">
        <v>488</v>
      </c>
      <c r="Q14" s="12" t="s">
        <v>489</v>
      </c>
      <c r="T14" t="str">
        <f ca="1"/>
        <v>infant deaths</v>
      </c>
      <c r="U14" s="18">
        <f t="shared" ref="U14:U30" ca="1" si="0">AVERAGE(INDIRECT("LifeExpectancyData["&amp;T14&amp;"]"))</f>
        <v>30.303948264125257</v>
      </c>
      <c r="W14">
        <v>12</v>
      </c>
      <c r="X14">
        <v>58.430929351842202</v>
      </c>
      <c r="Y14">
        <v>-1.4309293518422024</v>
      </c>
      <c r="Z14">
        <v>58.464653858274538</v>
      </c>
      <c r="AA14">
        <v>0.11097634930260764</v>
      </c>
      <c r="AB14">
        <v>45.3</v>
      </c>
      <c r="AC14">
        <v>-1.2294035019788656</v>
      </c>
      <c r="AD14">
        <v>-0.32850925917613155</v>
      </c>
      <c r="AE14">
        <v>-2.861457431639324</v>
      </c>
      <c r="AF14">
        <v>2.3025581260590872E-2</v>
      </c>
      <c r="AG14">
        <v>-0.33235790957543171</v>
      </c>
      <c r="AH14">
        <v>-2.8673452044249541</v>
      </c>
      <c r="AI14">
        <v>2.0026086850886334E-4</v>
      </c>
    </row>
    <row r="15" spans="1:35" x14ac:dyDescent="0.25">
      <c r="A15" t="str">
        <f ca="1"/>
        <v>GDP</v>
      </c>
      <c r="B15" s="17" t="b">
        <v>1</v>
      </c>
      <c r="E15" s="5"/>
      <c r="F15" s="5"/>
      <c r="G15" s="6"/>
      <c r="H15" s="6"/>
      <c r="I15" s="6"/>
      <c r="J15" s="5"/>
      <c r="L15" s="13" t="s">
        <v>490</v>
      </c>
      <c r="M15" cm="1">
        <f t="array" ref="M15">DF_Regression(x_s)</f>
        <v>12</v>
      </c>
      <c r="N15" cm="1">
        <f t="array" ref="N15">SS_Regression(x_s,y,Allow_Intercept,fil)</f>
        <v>96489.115303644823</v>
      </c>
      <c r="O15" cm="1">
        <f t="array" ref="O15">MS_Regression(x_s,y,Allow_Intercept,fil)</f>
        <v>8040.7596086370686</v>
      </c>
      <c r="P15" cm="1">
        <f t="array" ref="P15">F_Stat(x_s,y,Allow_Intercept,fil)</f>
        <v>423.79509283240321</v>
      </c>
      <c r="Q15" s="10" cm="1">
        <f t="array" ref="Q15">P_Value_F(x_s,y,Allow_Intercept,fil)</f>
        <v>0</v>
      </c>
      <c r="T15" t="str">
        <f ca="1"/>
        <v>Alcohol</v>
      </c>
      <c r="U15" s="18">
        <f t="shared" ca="1" si="0"/>
        <v>4.6028607871720375</v>
      </c>
      <c r="W15">
        <v>13</v>
      </c>
      <c r="X15">
        <v>60.029641513996324</v>
      </c>
      <c r="Y15">
        <v>-3.3296415139963216</v>
      </c>
      <c r="Z15">
        <v>60.074971983209984</v>
      </c>
      <c r="AA15">
        <v>0.10491206791995149</v>
      </c>
      <c r="AB15">
        <v>45.4</v>
      </c>
      <c r="AC15">
        <v>-1.2726185683477402</v>
      </c>
      <c r="AD15">
        <v>-0.76441095130016379</v>
      </c>
      <c r="AE15">
        <v>-2.8148978830827804</v>
      </c>
      <c r="AF15">
        <v>1.343136163475527E-2</v>
      </c>
      <c r="AG15">
        <v>-0.76959678978324386</v>
      </c>
      <c r="AH15">
        <v>-2.8226247098351216</v>
      </c>
      <c r="AI15">
        <v>6.2026300574288384E-4</v>
      </c>
    </row>
    <row r="16" spans="1:35" x14ac:dyDescent="0.25">
      <c r="A16" t="str">
        <f ca="1"/>
        <v>Population</v>
      </c>
      <c r="B16" s="17" t="b">
        <v>0</v>
      </c>
      <c r="E16" s="5"/>
      <c r="F16" s="5"/>
      <c r="G16" s="6"/>
      <c r="H16" s="6"/>
      <c r="I16" s="6"/>
      <c r="J16" s="5"/>
      <c r="L16" s="13" t="s">
        <v>491</v>
      </c>
      <c r="M16" cm="1">
        <f t="array" ref="M16">DF_Residual(x_s,y,Allow_Intercept,fil)</f>
        <v>1636</v>
      </c>
      <c r="N16" cm="1">
        <f t="array" ref="N16">SS_Residual(x_s,y,Allow_Intercept,fil)</f>
        <v>31040.195939532696</v>
      </c>
      <c r="O16" cm="1">
        <f t="array" ref="O16">MS_Residual(x_s,y,Allow_Intercept,fil)</f>
        <v>18.97322490191485</v>
      </c>
      <c r="Q16" s="10"/>
      <c r="T16" t="str">
        <f ca="1"/>
        <v>percentage expenditure</v>
      </c>
      <c r="U16" s="18">
        <f t="shared" ca="1" si="0"/>
        <v>738.25129545338257</v>
      </c>
      <c r="W16">
        <v>14</v>
      </c>
      <c r="X16">
        <v>59.795856486357046</v>
      </c>
      <c r="Y16">
        <v>-3.595856486357043</v>
      </c>
      <c r="Z16">
        <v>60.064174039473052</v>
      </c>
      <c r="AA16">
        <v>9.5815645845967259E-2</v>
      </c>
      <c r="AB16">
        <v>45.5</v>
      </c>
      <c r="AC16">
        <v>-1.3147344895569</v>
      </c>
      <c r="AD16">
        <v>-0.82552793323866769</v>
      </c>
      <c r="AE16">
        <v>-2.8027331681951226</v>
      </c>
      <c r="AF16">
        <v>6.9437232996005765E-2</v>
      </c>
      <c r="AG16">
        <v>-0.85577370319991986</v>
      </c>
      <c r="AH16">
        <v>-2.8213748645831016</v>
      </c>
      <c r="AI16">
        <v>4.2035987695852916E-3</v>
      </c>
    </row>
    <row r="17" spans="1:35" x14ac:dyDescent="0.25">
      <c r="A17" t="str">
        <f ca="1"/>
        <v>thinness 1-19 years</v>
      </c>
      <c r="B17" s="17" t="b">
        <v>1</v>
      </c>
      <c r="E17" s="5"/>
      <c r="F17" s="5"/>
      <c r="G17" s="6"/>
      <c r="H17" s="6"/>
      <c r="I17" s="6"/>
      <c r="J17" s="5"/>
      <c r="L17" s="15" t="s">
        <v>492</v>
      </c>
      <c r="M17" s="8" cm="1">
        <f t="array" ref="M17">DF_Total(y,Allow_Intercept,fil)</f>
        <v>1648</v>
      </c>
      <c r="N17" s="8" cm="1">
        <f t="array" ref="N17">SS_Total(y,Allow_Intercept,fil)</f>
        <v>127529.31124317752</v>
      </c>
      <c r="O17" s="8"/>
      <c r="P17" s="8"/>
      <c r="Q17" s="11"/>
      <c r="T17" t="str">
        <f ca="1"/>
        <v>Hepatitis B</v>
      </c>
      <c r="U17" s="18">
        <f t="shared" ca="1" si="0"/>
        <v>80.940461215932913</v>
      </c>
      <c r="W17">
        <v>15</v>
      </c>
      <c r="X17">
        <v>60.708033801361523</v>
      </c>
      <c r="Y17">
        <v>-5.4080338013615261</v>
      </c>
      <c r="Z17">
        <v>60.76153155335389</v>
      </c>
      <c r="AA17">
        <v>8.6719223771983017E-2</v>
      </c>
      <c r="AB17">
        <v>45.6</v>
      </c>
      <c r="AC17">
        <v>-1.3946242806491973</v>
      </c>
      <c r="AD17">
        <v>-1.2415631669009675</v>
      </c>
      <c r="AE17">
        <v>-2.5572919776185725</v>
      </c>
      <c r="AF17">
        <v>9.7953754308195695E-3</v>
      </c>
      <c r="AG17">
        <v>-1.2476889960855426</v>
      </c>
      <c r="AH17">
        <v>-2.566611633885159</v>
      </c>
      <c r="AI17">
        <v>1.1845829382855703E-3</v>
      </c>
    </row>
    <row r="18" spans="1:35" x14ac:dyDescent="0.25">
      <c r="A18" t="str">
        <f ca="1"/>
        <v>thinness 5-9 years</v>
      </c>
      <c r="B18" s="17" t="b">
        <v>1</v>
      </c>
      <c r="E18" s="5"/>
      <c r="F18" s="5"/>
      <c r="G18" s="6"/>
      <c r="H18" s="6"/>
      <c r="I18" s="6"/>
      <c r="J18" s="5"/>
      <c r="T18" t="str">
        <f ca="1"/>
        <v>Measles</v>
      </c>
      <c r="U18" s="18">
        <f t="shared" ca="1" si="0"/>
        <v>2419.5922396187884</v>
      </c>
      <c r="W18">
        <v>16</v>
      </c>
      <c r="X18">
        <v>60.19051165196344</v>
      </c>
      <c r="Y18">
        <v>-5.3905116519634433</v>
      </c>
      <c r="Z18">
        <v>60.255648286608348</v>
      </c>
      <c r="AA18">
        <v>7.7622801697998789E-2</v>
      </c>
      <c r="AB18">
        <v>45.9</v>
      </c>
      <c r="AC18">
        <v>-1.4402815816722083</v>
      </c>
      <c r="AD18">
        <v>-1.2375404747180676</v>
      </c>
      <c r="AE18">
        <v>-2.3334568825210047</v>
      </c>
      <c r="AF18">
        <v>1.1939302393226736E-2</v>
      </c>
      <c r="AG18">
        <v>-1.244994977680608</v>
      </c>
      <c r="AH18">
        <v>-2.4290467736224737</v>
      </c>
      <c r="AI18">
        <v>1.4407451757492749E-3</v>
      </c>
    </row>
    <row r="19" spans="1:35" x14ac:dyDescent="0.25">
      <c r="A19" t="str">
        <f ca="1"/>
        <v>Income composition of resources</v>
      </c>
      <c r="B19" s="17" t="b">
        <v>1</v>
      </c>
      <c r="E19" s="5"/>
      <c r="F19" s="5"/>
      <c r="G19" s="6"/>
      <c r="H19" s="6"/>
      <c r="I19" s="6"/>
      <c r="J19" s="5"/>
      <c r="L19" s="4" t="s">
        <v>493</v>
      </c>
      <c r="T19" t="str">
        <f ca="1"/>
        <v>BMI</v>
      </c>
      <c r="U19" s="18">
        <f t="shared" ca="1" si="0"/>
        <v>38.321246556473731</v>
      </c>
      <c r="W19">
        <v>17</v>
      </c>
      <c r="X19">
        <v>75.255494222143511</v>
      </c>
      <c r="Y19">
        <v>2.5445057778564859</v>
      </c>
      <c r="Z19">
        <v>75.250658706534281</v>
      </c>
      <c r="AA19">
        <v>0.85203153426318978</v>
      </c>
      <c r="AB19">
        <v>46</v>
      </c>
      <c r="AC19">
        <v>1.0386467129748296</v>
      </c>
      <c r="AD19">
        <v>0.58416141018903345</v>
      </c>
      <c r="AE19">
        <v>-2.2501725192208357</v>
      </c>
      <c r="AF19">
        <v>1.8967705978086284E-3</v>
      </c>
      <c r="AG19">
        <v>0.58471620965299709</v>
      </c>
      <c r="AH19">
        <v>-2.2756126388317099</v>
      </c>
      <c r="AI19">
        <v>4.9978850485452878E-5</v>
      </c>
    </row>
    <row r="20" spans="1:35" x14ac:dyDescent="0.25">
      <c r="A20" t="str">
        <f ca="1"/>
        <v>Schooling</v>
      </c>
      <c r="B20" s="17" t="b">
        <v>0</v>
      </c>
      <c r="E20" s="5"/>
      <c r="F20" s="5"/>
      <c r="G20" s="6"/>
      <c r="H20" s="6"/>
      <c r="I20" s="6"/>
      <c r="J20" s="5"/>
      <c r="L20" s="3"/>
      <c r="M20" s="3" t="s">
        <v>85</v>
      </c>
      <c r="N20" s="3" t="s">
        <v>494</v>
      </c>
      <c r="O20" s="3" t="s">
        <v>495</v>
      </c>
      <c r="P20" s="3" t="s">
        <v>496</v>
      </c>
      <c r="Q20" s="3" t="s">
        <v>497</v>
      </c>
      <c r="R20" s="3" t="s">
        <v>498</v>
      </c>
      <c r="T20" t="str">
        <f ca="1"/>
        <v>under-five deaths</v>
      </c>
      <c r="U20" s="18">
        <f t="shared" ca="1" si="0"/>
        <v>42.035738597685501</v>
      </c>
      <c r="W20">
        <v>18</v>
      </c>
      <c r="X20">
        <v>75.185904140287604</v>
      </c>
      <c r="Y20">
        <v>2.3140958597123955</v>
      </c>
      <c r="Z20">
        <v>75.181682439806252</v>
      </c>
      <c r="AA20">
        <v>0.84596725288053365</v>
      </c>
      <c r="AB20">
        <v>46</v>
      </c>
      <c r="AC20">
        <v>1.0129215482717411</v>
      </c>
      <c r="AD20">
        <v>0.53126446498422553</v>
      </c>
      <c r="AE20">
        <v>-2.1598548471012267</v>
      </c>
      <c r="AF20">
        <v>1.821019067379617E-3</v>
      </c>
      <c r="AG20">
        <v>0.53174884799801558</v>
      </c>
      <c r="AH20">
        <v>-2.1804776297840287</v>
      </c>
      <c r="AI20">
        <v>3.968038121088118E-5</v>
      </c>
    </row>
    <row r="21" spans="1:35" x14ac:dyDescent="0.25">
      <c r="L21" t="str" cm="1">
        <f t="array" aca="1" ref="L21:L33" ca="1">IF(Allow_Intercept,_xlfn.VSTACK("Intercept",Coefficient_Name_Col(All_Xs,Ind_Var_Filter)),_xlfn.VSTACK("",Coefficient_Name_Col(All_Xs,Ind_Var_Filter)))</f>
        <v>Intercept</v>
      </c>
      <c r="M21" cm="1">
        <f t="array" ref="M21:M33">IF(Allow_Intercept,Coefficients(x_s,y,Allow_Intercept,fil),_xlfn.VSTACK("",Coefficients(x_s,y,Allow_Intercept,fil)))</f>
        <v>50.785901939169264</v>
      </c>
      <c r="N21" cm="1">
        <f t="array" ref="N21:N33">IF(Allow_Intercept,SE_Coefficients(x_s,y,Allow_Intercept,fil),_xlfn.VSTACK("",SE_Coefficients(x_s,y,Allow_Intercept,fil)))</f>
        <v>0.70965501335157666</v>
      </c>
      <c r="O21" cm="1">
        <f t="array" ref="O21:O33">IF(Allow_Intercept,T_Stats(x_s,y,Allow_Intercept,fil),_xlfn.VSTACK("",T_Stats(x_s,y,Allow_Intercept,fil)))</f>
        <v>71.564212164607028</v>
      </c>
      <c r="P21" cm="1">
        <f t="array" ref="P21:P33">IF(Allow_Intercept,P_Values(x_s,y,Allow_Intercept,fil),_xlfn.VSTACK("",P_Values(x_s,y,Allow_Intercept,fil)))</f>
        <v>0</v>
      </c>
      <c r="Q21" cm="1">
        <f t="array" ref="Q21:Q33">IF(Allow_Intercept,CI_Lower(x_s,y,Allow_Intercept,fil),_xlfn.VSTACK("",CI_Lower(x_s,y,Allow_Intercept,fil)))</f>
        <v>49.393973892103645</v>
      </c>
      <c r="R21" cm="1">
        <f t="array" ref="R21:R33">IF(Allow_Intercept,CI_Upper(x_s,y,Allow_Intercept,fil),_xlfn.VSTACK("",CI_Upper(x_s,y,Allow_Intercept,fil)))</f>
        <v>52.177829986234883</v>
      </c>
      <c r="T21" t="str">
        <f ca="1"/>
        <v>Polio</v>
      </c>
      <c r="U21" s="18">
        <f t="shared" ca="1" si="0"/>
        <v>82.550188420692024</v>
      </c>
      <c r="W21">
        <v>19</v>
      </c>
      <c r="X21">
        <v>75.070933706647651</v>
      </c>
      <c r="Y21">
        <v>2.1290662933523521</v>
      </c>
      <c r="Z21">
        <v>75.067070490653748</v>
      </c>
      <c r="AA21">
        <v>0.84111582777440874</v>
      </c>
      <c r="AB21">
        <v>46</v>
      </c>
      <c r="AC21">
        <v>0.99032898964496086</v>
      </c>
      <c r="AD21">
        <v>0.48878582989831831</v>
      </c>
      <c r="AE21">
        <v>-2.1446691212259097</v>
      </c>
      <c r="AF21">
        <v>1.8112253485073077E-3</v>
      </c>
      <c r="AG21">
        <v>0.48922908275494115</v>
      </c>
      <c r="AH21">
        <v>-2.1562436482550265</v>
      </c>
      <c r="AI21">
        <v>3.3407269928993844E-5</v>
      </c>
    </row>
    <row r="22" spans="1:35" x14ac:dyDescent="0.25">
      <c r="L22" t="str">
        <f ca="1"/>
        <v>Alcohol</v>
      </c>
      <c r="M22">
        <v>-3.1997489041234534E-2</v>
      </c>
      <c r="N22">
        <v>3.4607512549751737E-2</v>
      </c>
      <c r="O22">
        <v>-0.9245821697018809</v>
      </c>
      <c r="P22">
        <v>0.35531964285692497</v>
      </c>
      <c r="Q22">
        <v>-9.987718614880646E-2</v>
      </c>
      <c r="R22">
        <v>3.5882208066337393E-2</v>
      </c>
      <c r="T22" t="str">
        <f ca="1"/>
        <v>Total expenditure</v>
      </c>
      <c r="U22" s="18">
        <f t="shared" ca="1" si="0"/>
        <v>5.9381895280235915</v>
      </c>
      <c r="W22">
        <v>20</v>
      </c>
      <c r="X22">
        <v>74.842748066373559</v>
      </c>
      <c r="Y22">
        <v>2.0572519336264463</v>
      </c>
      <c r="Z22">
        <v>74.839172695086091</v>
      </c>
      <c r="AA22">
        <v>0.83080654942389331</v>
      </c>
      <c r="AB22">
        <v>46</v>
      </c>
      <c r="AC22">
        <v>0.94897780985887181</v>
      </c>
      <c r="AD22">
        <v>0.4722988649189549</v>
      </c>
      <c r="AE22">
        <v>-2.1400279848515771</v>
      </c>
      <c r="AF22">
        <v>1.7349203783068323E-3</v>
      </c>
      <c r="AG22">
        <v>0.47270909925182347</v>
      </c>
      <c r="AH22">
        <v>-2.1510641696798554</v>
      </c>
      <c r="AI22">
        <v>2.9872958877198987E-5</v>
      </c>
    </row>
    <row r="23" spans="1:35" x14ac:dyDescent="0.25">
      <c r="L23" t="str">
        <f ca="1"/>
        <v>Hepatitis B</v>
      </c>
      <c r="M23">
        <v>-6.8823504065232567E-3</v>
      </c>
      <c r="N23">
        <v>5.3255787200815197E-3</v>
      </c>
      <c r="O23">
        <v>-1.2923197211547193</v>
      </c>
      <c r="P23">
        <v>0.19642894689932677</v>
      </c>
      <c r="Q23">
        <v>-1.7328020834930208E-2</v>
      </c>
      <c r="R23">
        <v>3.5633200218836928E-3</v>
      </c>
      <c r="T23" t="str">
        <f ca="1"/>
        <v>Diphtheria</v>
      </c>
      <c r="U23" s="18">
        <f t="shared" ca="1" si="0"/>
        <v>82.324083590270646</v>
      </c>
      <c r="W23">
        <v>21</v>
      </c>
      <c r="X23">
        <v>74.53528708223466</v>
      </c>
      <c r="Y23">
        <v>2.0647129177653341</v>
      </c>
      <c r="Z23">
        <v>74.531940717879507</v>
      </c>
      <c r="AA23">
        <v>0.82413583990297146</v>
      </c>
      <c r="AB23">
        <v>46.2</v>
      </c>
      <c r="AC23">
        <v>0.91841998904288702</v>
      </c>
      <c r="AD23">
        <v>0.47401173940086794</v>
      </c>
      <c r="AE23">
        <v>-2.1324002003486138</v>
      </c>
      <c r="AF23">
        <v>1.618118196170511E-3</v>
      </c>
      <c r="AG23">
        <v>0.47439570895520672</v>
      </c>
      <c r="AH23">
        <v>-2.1482103418803895</v>
      </c>
      <c r="AI23">
        <v>2.8057676427294124E-5</v>
      </c>
    </row>
    <row r="24" spans="1:35" x14ac:dyDescent="0.25">
      <c r="L24" t="str">
        <f ca="1"/>
        <v>Measles</v>
      </c>
      <c r="M24">
        <v>4.0191171512857714E-6</v>
      </c>
      <c r="N24">
        <v>1.0967274472888186E-5</v>
      </c>
      <c r="O24">
        <v>0.36646453603593943</v>
      </c>
      <c r="P24">
        <v>0.7140658576091371</v>
      </c>
      <c r="Q24">
        <v>-1.7492260421575819E-5</v>
      </c>
      <c r="R24">
        <v>2.5530494724147365E-5</v>
      </c>
      <c r="T24" t="str">
        <f ca="1"/>
        <v>HIV/AIDS</v>
      </c>
      <c r="U24" s="18">
        <f t="shared" ca="1" si="0"/>
        <v>1.7421034717494939</v>
      </c>
      <c r="W24">
        <v>22</v>
      </c>
      <c r="X24">
        <v>73.759983031769693</v>
      </c>
      <c r="Y24">
        <v>2.4400169682303101</v>
      </c>
      <c r="Z24">
        <v>73.755298608826237</v>
      </c>
      <c r="AA24">
        <v>0.81322013341419042</v>
      </c>
      <c r="AB24">
        <v>46.2</v>
      </c>
      <c r="AC24">
        <v>0.88194836619248052</v>
      </c>
      <c r="AD24">
        <v>0.56017312495447624</v>
      </c>
      <c r="AE24">
        <v>-2.0994901403134127</v>
      </c>
      <c r="AF24">
        <v>1.9161534248612264E-3</v>
      </c>
      <c r="AG24">
        <v>0.56071058629767334</v>
      </c>
      <c r="AH24">
        <v>-2.1363263987955863</v>
      </c>
      <c r="AI24">
        <v>4.6429864052054575E-5</v>
      </c>
    </row>
    <row r="25" spans="1:35" x14ac:dyDescent="0.25">
      <c r="L25" t="str">
        <f ca="1"/>
        <v>BMI</v>
      </c>
      <c r="M25">
        <v>6.7601605641919207E-2</v>
      </c>
      <c r="N25">
        <v>7.0639897122713215E-3</v>
      </c>
      <c r="O25">
        <v>9.5698901605822009</v>
      </c>
      <c r="P25">
        <v>3.7837564125154493E-21</v>
      </c>
      <c r="Q25">
        <v>5.3746189672607622E-2</v>
      </c>
      <c r="R25">
        <v>8.1457021611230793E-2</v>
      </c>
      <c r="T25" t="str">
        <f ca="1"/>
        <v>GDP</v>
      </c>
      <c r="U25" s="18">
        <f t="shared" ca="1" si="0"/>
        <v>7483.1584691384815</v>
      </c>
      <c r="W25">
        <v>23</v>
      </c>
      <c r="X25">
        <v>73.998783032572931</v>
      </c>
      <c r="Y25">
        <v>2.1012169674270638</v>
      </c>
      <c r="Z25">
        <v>73.995653763556774</v>
      </c>
      <c r="AA25">
        <v>0.81079442086112796</v>
      </c>
      <c r="AB25">
        <v>46.4</v>
      </c>
      <c r="AC25">
        <v>0.873012700415573</v>
      </c>
      <c r="AD25">
        <v>0.48239224979843925</v>
      </c>
      <c r="AE25">
        <v>-2.0866509199030596</v>
      </c>
      <c r="AF25">
        <v>1.4870504491887378E-3</v>
      </c>
      <c r="AG25">
        <v>0.48275132112185609</v>
      </c>
      <c r="AH25">
        <v>-2.1253498873301595</v>
      </c>
      <c r="AI25">
        <v>2.6697807085833043E-5</v>
      </c>
    </row>
    <row r="26" spans="1:35" x14ac:dyDescent="0.25">
      <c r="L26" t="str">
        <f ca="1"/>
        <v>Polio</v>
      </c>
      <c r="M26">
        <v>2.4072974750164317E-2</v>
      </c>
      <c r="N26">
        <v>6.1992865111145032E-3</v>
      </c>
      <c r="O26">
        <v>3.8831847353731188</v>
      </c>
      <c r="P26">
        <v>1.0719989022393937E-4</v>
      </c>
      <c r="Q26">
        <v>1.1913600682104418E-2</v>
      </c>
      <c r="R26">
        <v>3.6232348818224215E-2</v>
      </c>
      <c r="T26" t="str">
        <f ca="1"/>
        <v>Population</v>
      </c>
      <c r="U26" s="18">
        <f t="shared" ca="1" si="0"/>
        <v>12753375.120052498</v>
      </c>
      <c r="W26">
        <v>24</v>
      </c>
      <c r="X26">
        <v>73.456239918634651</v>
      </c>
      <c r="Y26">
        <v>1.8437600813653461</v>
      </c>
      <c r="Z26">
        <v>73.453033192688849</v>
      </c>
      <c r="AA26">
        <v>0.77258944815039421</v>
      </c>
      <c r="AB26">
        <v>46.4</v>
      </c>
      <c r="AC26">
        <v>0.72844171022016913</v>
      </c>
      <c r="AD26">
        <v>0.42328592788181718</v>
      </c>
      <c r="AE26">
        <v>-2.0792669846378571</v>
      </c>
      <c r="AF26">
        <v>1.7362120061468825E-3</v>
      </c>
      <c r="AG26">
        <v>0.42365386411769079</v>
      </c>
      <c r="AH26">
        <v>-2.0830114833539701</v>
      </c>
      <c r="AI26">
        <v>2.4012447552031178E-5</v>
      </c>
    </row>
    <row r="27" spans="1:35" x14ac:dyDescent="0.25">
      <c r="L27" t="str">
        <f ca="1"/>
        <v>Total expenditure</v>
      </c>
      <c r="M27">
        <v>0.16000167213200489</v>
      </c>
      <c r="N27">
        <v>4.9081299904861618E-2</v>
      </c>
      <c r="O27">
        <v>3.2599314289179278</v>
      </c>
      <c r="P27">
        <v>1.1372862476217416E-3</v>
      </c>
      <c r="Q27">
        <v>6.3732870194900482E-2</v>
      </c>
      <c r="R27">
        <v>0.2562704740691093</v>
      </c>
      <c r="T27" t="str">
        <f ca="1"/>
        <v>thinness 1-19 years</v>
      </c>
      <c r="U27" s="18">
        <f t="shared" ca="1" si="0"/>
        <v>4.8397038567493205</v>
      </c>
      <c r="W27">
        <v>25</v>
      </c>
      <c r="X27">
        <v>73.20146147911619</v>
      </c>
      <c r="Y27">
        <v>2.6985385208838153</v>
      </c>
      <c r="Z27">
        <v>73.196968101983231</v>
      </c>
      <c r="AA27">
        <v>0.79866585809581569</v>
      </c>
      <c r="AB27">
        <v>46.6</v>
      </c>
      <c r="AC27">
        <v>0.82933781119598415</v>
      </c>
      <c r="AD27">
        <v>0.61952387042204959</v>
      </c>
      <c r="AE27">
        <v>-2.0678499519729243</v>
      </c>
      <c r="AF27">
        <v>1.6623470615578901E-3</v>
      </c>
      <c r="AG27">
        <v>0.62003944515205334</v>
      </c>
      <c r="AH27">
        <v>-2.0709372048889363</v>
      </c>
      <c r="AI27">
        <v>4.9242436615948366E-5</v>
      </c>
    </row>
    <row r="28" spans="1:35" x14ac:dyDescent="0.25">
      <c r="L28" t="str">
        <f ca="1"/>
        <v>Diphtheria</v>
      </c>
      <c r="M28">
        <v>2.5632655101986711E-2</v>
      </c>
      <c r="N28">
        <v>7.1398793407015677E-3</v>
      </c>
      <c r="O28">
        <v>3.5900683861511915</v>
      </c>
      <c r="P28">
        <v>3.4034698886004322E-4</v>
      </c>
      <c r="Q28">
        <v>1.1628388070812595E-2</v>
      </c>
      <c r="R28">
        <v>3.9636922133160828E-2</v>
      </c>
      <c r="T28" t="str">
        <f ca="1"/>
        <v>thinness 5-9 years</v>
      </c>
      <c r="U28" s="18">
        <f t="shared" ca="1" si="0"/>
        <v>4.870316804407711</v>
      </c>
      <c r="W28">
        <v>26</v>
      </c>
      <c r="X28">
        <v>69.810512105528019</v>
      </c>
      <c r="Y28">
        <v>4.3894878944719835</v>
      </c>
      <c r="Z28">
        <v>69.784512785745392</v>
      </c>
      <c r="AA28">
        <v>0.7010309278350515</v>
      </c>
      <c r="AB28">
        <v>46.7</v>
      </c>
      <c r="AC28">
        <v>0.5039283835636299</v>
      </c>
      <c r="AD28">
        <v>1.0077278899333151</v>
      </c>
      <c r="AE28">
        <v>-2.0415103536586439</v>
      </c>
      <c r="AF28">
        <v>5.8882108635027446E-3</v>
      </c>
      <c r="AG28">
        <v>1.0107079138211803</v>
      </c>
      <c r="AH28">
        <v>-2.0481108222921258</v>
      </c>
      <c r="AI28">
        <v>4.6543186181499256E-4</v>
      </c>
    </row>
    <row r="29" spans="1:35" x14ac:dyDescent="0.25">
      <c r="L29" t="str">
        <f ca="1"/>
        <v>HIV/AIDS</v>
      </c>
      <c r="M29">
        <v>-0.61555886067155008</v>
      </c>
      <c r="N29">
        <v>1.8873718196696896E-2</v>
      </c>
      <c r="O29">
        <v>-32.614604830715315</v>
      </c>
      <c r="P29">
        <v>3.5796313113198345E-180</v>
      </c>
      <c r="Q29">
        <v>-0.65257805621886611</v>
      </c>
      <c r="R29">
        <v>-0.57853966512423405</v>
      </c>
      <c r="T29" t="str">
        <f ca="1"/>
        <v>Income composition of resources</v>
      </c>
      <c r="U29" s="18">
        <f t="shared" ca="1" si="0"/>
        <v>0.62755106459761656</v>
      </c>
      <c r="W29">
        <v>27</v>
      </c>
      <c r="X29">
        <v>72.662043664266292</v>
      </c>
      <c r="Y29">
        <v>0.83795633573370765</v>
      </c>
      <c r="Z29">
        <v>72.66073356931139</v>
      </c>
      <c r="AA29">
        <v>0.64463311097634934</v>
      </c>
      <c r="AB29">
        <v>47.1</v>
      </c>
      <c r="AC29">
        <v>0.35220887014201224</v>
      </c>
      <c r="AD29">
        <v>0.19237596511625862</v>
      </c>
      <c r="AE29">
        <v>-2.0413855074273481</v>
      </c>
      <c r="AF29">
        <v>1.5610000674367759E-3</v>
      </c>
      <c r="AG29">
        <v>0.19252629057997442</v>
      </c>
      <c r="AH29">
        <v>-2.0448301985085471</v>
      </c>
      <c r="AI29">
        <v>4.457774746125269E-6</v>
      </c>
    </row>
    <row r="30" spans="1:35" x14ac:dyDescent="0.25">
      <c r="L30" t="str">
        <f ca="1"/>
        <v>GDP</v>
      </c>
      <c r="M30">
        <v>1.0247901432846518E-4</v>
      </c>
      <c r="N30">
        <v>1.0908000686916123E-5</v>
      </c>
      <c r="O30">
        <v>9.3948485400616288</v>
      </c>
      <c r="P30">
        <v>1.8562772567435672E-20</v>
      </c>
      <c r="Q30">
        <v>8.1083897253448334E-5</v>
      </c>
      <c r="R30">
        <v>1.2387413140348201E-4</v>
      </c>
      <c r="T30" t="str">
        <f ca="1"/>
        <v>Schooling</v>
      </c>
      <c r="U30" s="18">
        <f t="shared" ca="1" si="0"/>
        <v>11.992792792792786</v>
      </c>
      <c r="W30">
        <v>28</v>
      </c>
      <c r="X30">
        <v>72.78143241957973</v>
      </c>
      <c r="Y30">
        <v>0.21856758042027025</v>
      </c>
      <c r="Z30">
        <v>72.781116912080606</v>
      </c>
      <c r="AA30">
        <v>0.60946027895694366</v>
      </c>
      <c r="AB30">
        <v>47.1</v>
      </c>
      <c r="AC30">
        <v>0.22222871718700732</v>
      </c>
      <c r="AD30">
        <v>5.0178210287841335E-2</v>
      </c>
      <c r="AE30">
        <v>-2.0121525391227064</v>
      </c>
      <c r="AF30">
        <v>1.4414430192824445E-3</v>
      </c>
      <c r="AG30">
        <v>5.0214413947149865E-2</v>
      </c>
      <c r="AH30">
        <v>-2.0144511143070445</v>
      </c>
      <c r="AI30">
        <v>2.7998668985133044E-7</v>
      </c>
    </row>
    <row r="31" spans="1:35" x14ac:dyDescent="0.25">
      <c r="L31" t="str">
        <f ca="1"/>
        <v>thinness 1-19 years</v>
      </c>
      <c r="M31">
        <v>-5.8347359325927849E-2</v>
      </c>
      <c r="N31">
        <v>6.3687294543217227E-2</v>
      </c>
      <c r="O31">
        <v>-0.91615383797366712</v>
      </c>
      <c r="P31">
        <v>0.3597212353311886</v>
      </c>
      <c r="Q31">
        <v>-0.18326457945203356</v>
      </c>
      <c r="R31">
        <v>6.6569860800177849E-2</v>
      </c>
      <c r="W31">
        <v>29</v>
      </c>
      <c r="X31">
        <v>72.314647566356811</v>
      </c>
      <c r="Y31">
        <v>0.48535243364318603</v>
      </c>
      <c r="Z31">
        <v>72.313912829363886</v>
      </c>
      <c r="AA31">
        <v>0.58156458459672533</v>
      </c>
      <c r="AB31">
        <v>47.1</v>
      </c>
      <c r="AC31">
        <v>0.18343432307636306</v>
      </c>
      <c r="AD31">
        <v>0.11142602408021494</v>
      </c>
      <c r="AE31">
        <v>-1.9977886001290506</v>
      </c>
      <c r="AF31">
        <v>1.5115333983574447E-3</v>
      </c>
      <c r="AG31">
        <v>0.11151033174607405</v>
      </c>
      <c r="AH31">
        <v>-2.0020090630461964</v>
      </c>
      <c r="AI31">
        <v>1.4479766492847926E-6</v>
      </c>
    </row>
    <row r="32" spans="1:35" x14ac:dyDescent="0.25">
      <c r="L32" t="str">
        <f ca="1"/>
        <v>thinness 5-9 years</v>
      </c>
      <c r="M32">
        <v>-4.8158593075516593E-2</v>
      </c>
      <c r="N32">
        <v>6.2816814064360613E-2</v>
      </c>
      <c r="O32">
        <v>-0.76665131450592905</v>
      </c>
      <c r="P32">
        <v>0.44339946732309021</v>
      </c>
      <c r="Q32">
        <v>-0.17136843966075033</v>
      </c>
      <c r="R32">
        <v>7.5051253509717128E-2</v>
      </c>
      <c r="W32">
        <v>30</v>
      </c>
      <c r="X32">
        <v>72.365025708681983</v>
      </c>
      <c r="Y32">
        <v>0.93497429131801368</v>
      </c>
      <c r="Z32">
        <v>72.363636051186035</v>
      </c>
      <c r="AA32">
        <v>0.63007883565797451</v>
      </c>
      <c r="AB32">
        <v>47.8</v>
      </c>
      <c r="AC32">
        <v>0.3152427890443939</v>
      </c>
      <c r="AD32">
        <v>0.21464910996072739</v>
      </c>
      <c r="AE32">
        <v>-1.9592215273101425</v>
      </c>
      <c r="AF32">
        <v>1.4840997431754576E-3</v>
      </c>
      <c r="AG32">
        <v>0.21480856781569857</v>
      </c>
      <c r="AH32">
        <v>-1.9647895536461324</v>
      </c>
      <c r="AI32">
        <v>5.2755525307045725E-6</v>
      </c>
    </row>
    <row r="33" spans="12:35" x14ac:dyDescent="0.25">
      <c r="L33" t="str">
        <f ca="1"/>
        <v>Income composition of resources</v>
      </c>
      <c r="M33">
        <v>20.059483497678855</v>
      </c>
      <c r="N33">
        <v>0.84210764434930441</v>
      </c>
      <c r="O33">
        <v>23.820569296908346</v>
      </c>
      <c r="P33">
        <v>6.4573229432732095E-108</v>
      </c>
      <c r="Q33">
        <v>18.407760862363023</v>
      </c>
      <c r="R33">
        <v>21.711206132994686</v>
      </c>
      <c r="W33">
        <v>31</v>
      </c>
      <c r="X33">
        <v>72.010555918205995</v>
      </c>
      <c r="Y33">
        <v>1.5894440817939994</v>
      </c>
      <c r="Z33">
        <v>72.008361650157539</v>
      </c>
      <c r="AA33">
        <v>0.65433596118859916</v>
      </c>
      <c r="AB33">
        <v>47.8</v>
      </c>
      <c r="AC33">
        <v>0.3716850598056044</v>
      </c>
      <c r="AD33">
        <v>0.36490068300004647</v>
      </c>
      <c r="AE33">
        <v>-1.9455563635135673</v>
      </c>
      <c r="AF33">
        <v>1.3786222534011938E-3</v>
      </c>
      <c r="AG33">
        <v>0.36515247347387209</v>
      </c>
      <c r="AH33">
        <v>-1.9574144298579217</v>
      </c>
      <c r="AI33">
        <v>1.4159553767184944E-5</v>
      </c>
    </row>
    <row r="34" spans="12:35" x14ac:dyDescent="0.25">
      <c r="W34">
        <v>32</v>
      </c>
      <c r="X34">
        <v>71.865355587788358</v>
      </c>
      <c r="Y34">
        <v>0.73464441221163668</v>
      </c>
      <c r="Z34">
        <v>71.864296601900847</v>
      </c>
      <c r="AA34">
        <v>0.56458459672528805</v>
      </c>
      <c r="AB34">
        <v>47.8</v>
      </c>
      <c r="AC34">
        <v>0.14798710972583889</v>
      </c>
      <c r="AD34">
        <v>0.16865786651369438</v>
      </c>
      <c r="AE34">
        <v>-1.9404818151380263</v>
      </c>
      <c r="AF34">
        <v>1.4394195952439214E-3</v>
      </c>
      <c r="AG34">
        <v>0.16877938243271362</v>
      </c>
      <c r="AH34">
        <v>-1.9429601745913017</v>
      </c>
      <c r="AI34">
        <v>3.1587003426342575E-6</v>
      </c>
    </row>
    <row r="35" spans="12:35" x14ac:dyDescent="0.25">
      <c r="W35">
        <v>33</v>
      </c>
      <c r="X35">
        <v>74.184600029306822</v>
      </c>
      <c r="Y35">
        <v>1.2153999706931842</v>
      </c>
      <c r="Z35">
        <v>74.179533592732611</v>
      </c>
      <c r="AA35">
        <v>0.77986658580958157</v>
      </c>
      <c r="AB35">
        <v>48.1</v>
      </c>
      <c r="AC35">
        <v>0.74840704313415274</v>
      </c>
      <c r="AD35">
        <v>0.27902855124264719</v>
      </c>
      <c r="AE35">
        <v>-1.9261858011240844</v>
      </c>
      <c r="AF35">
        <v>4.151229844628161E-3</v>
      </c>
      <c r="AG35">
        <v>0.27960951648457388</v>
      </c>
      <c r="AH35">
        <v>-1.9414162002580795</v>
      </c>
      <c r="AI35">
        <v>2.5069399621940621E-5</v>
      </c>
    </row>
    <row r="36" spans="12:35" x14ac:dyDescent="0.25">
      <c r="W36">
        <v>34</v>
      </c>
      <c r="X36">
        <v>74.502744748116044</v>
      </c>
      <c r="Y36">
        <v>0.79725525188395352</v>
      </c>
      <c r="Z36">
        <v>74.499894437232584</v>
      </c>
      <c r="AA36">
        <v>0.77258944815039421</v>
      </c>
      <c r="AB36">
        <v>48.1</v>
      </c>
      <c r="AC36">
        <v>0.72844171022016913</v>
      </c>
      <c r="AD36">
        <v>0.18303190987975465</v>
      </c>
      <c r="AE36">
        <v>-1.92450408696122</v>
      </c>
      <c r="AF36">
        <v>3.5624185308751315E-3</v>
      </c>
      <c r="AG36">
        <v>0.18335880166727006</v>
      </c>
      <c r="AH36">
        <v>-1.9307843727851601</v>
      </c>
      <c r="AI36">
        <v>9.2460239475594498E-6</v>
      </c>
    </row>
    <row r="37" spans="12:35" x14ac:dyDescent="0.25">
      <c r="W37">
        <v>35</v>
      </c>
      <c r="X37">
        <v>74.176622454166932</v>
      </c>
      <c r="Y37">
        <v>0.92337754583306264</v>
      </c>
      <c r="Z37">
        <v>74.173669961626132</v>
      </c>
      <c r="AA37">
        <v>0.76288659793814428</v>
      </c>
      <c r="AB37">
        <v>48.1</v>
      </c>
      <c r="AC37">
        <v>0.70876261491573156</v>
      </c>
      <c r="AD37">
        <v>0.21198675750900725</v>
      </c>
      <c r="AE37">
        <v>-1.8764421850159299</v>
      </c>
      <c r="AF37">
        <v>3.1873008738684486E-3</v>
      </c>
      <c r="AG37">
        <v>0.21232540002979536</v>
      </c>
      <c r="AH37">
        <v>-1.8843362547432498</v>
      </c>
      <c r="AI37">
        <v>1.1088429748749676E-5</v>
      </c>
    </row>
    <row r="38" spans="12:35" x14ac:dyDescent="0.25">
      <c r="W38">
        <v>36</v>
      </c>
      <c r="X38">
        <v>73.795774957324511</v>
      </c>
      <c r="Y38">
        <v>1.1042250426754947</v>
      </c>
      <c r="Z38">
        <v>73.792293382769614</v>
      </c>
      <c r="AA38">
        <v>0.74833232261976956</v>
      </c>
      <c r="AB38">
        <v>48.2</v>
      </c>
      <c r="AC38">
        <v>0.64941472986293525</v>
      </c>
      <c r="AD38">
        <v>0.25350528330839744</v>
      </c>
      <c r="AE38">
        <v>-1.8590624223831265</v>
      </c>
      <c r="AF38">
        <v>3.1430475369088823E-3</v>
      </c>
      <c r="AG38">
        <v>0.25390461447110985</v>
      </c>
      <c r="AH38">
        <v>-1.8621806199000435</v>
      </c>
      <c r="AI38">
        <v>1.5635650087810605E-5</v>
      </c>
    </row>
    <row r="39" spans="12:35" x14ac:dyDescent="0.25">
      <c r="W39">
        <v>37</v>
      </c>
      <c r="X39">
        <v>73.397814049184745</v>
      </c>
      <c r="Y39">
        <v>1.3021859508152573</v>
      </c>
      <c r="Z39">
        <v>73.393811474822883</v>
      </c>
      <c r="AA39">
        <v>0.7362037598544573</v>
      </c>
      <c r="AB39">
        <v>48.2</v>
      </c>
      <c r="AC39">
        <v>0.61415241452626612</v>
      </c>
      <c r="AD39">
        <v>0.29895266419768057</v>
      </c>
      <c r="AE39">
        <v>-1.8565087614648859</v>
      </c>
      <c r="AF39">
        <v>3.0643159733187045E-3</v>
      </c>
      <c r="AG39">
        <v>0.29941176229583855</v>
      </c>
      <c r="AH39">
        <v>-1.8588139574387572</v>
      </c>
      <c r="AI39">
        <v>2.1196334590394648E-5</v>
      </c>
    </row>
    <row r="40" spans="12:35" x14ac:dyDescent="0.25">
      <c r="W40">
        <v>38</v>
      </c>
      <c r="X40">
        <v>73.090962039444619</v>
      </c>
      <c r="Y40">
        <v>1.3090379605553863</v>
      </c>
      <c r="Z40">
        <v>73.087232639052289</v>
      </c>
      <c r="AA40">
        <v>0.71376591873862949</v>
      </c>
      <c r="AB40">
        <v>48.4</v>
      </c>
      <c r="AC40">
        <v>0.54051528578164909</v>
      </c>
      <c r="AD40">
        <v>0.30052573182725961</v>
      </c>
      <c r="AE40">
        <v>-1.8193446815221122</v>
      </c>
      <c r="AF40">
        <v>2.8408692227366947E-3</v>
      </c>
      <c r="AG40">
        <v>0.30095352066354536</v>
      </c>
      <c r="AH40">
        <v>-1.8373928399127155</v>
      </c>
      <c r="AI40">
        <v>1.9849166538091151E-5</v>
      </c>
    </row>
    <row r="41" spans="12:35" x14ac:dyDescent="0.25">
      <c r="W41">
        <v>39</v>
      </c>
      <c r="X41">
        <v>72.254519639567164</v>
      </c>
      <c r="Y41">
        <v>1.8454803604328305</v>
      </c>
      <c r="Z41">
        <v>72.248982268715579</v>
      </c>
      <c r="AA41">
        <v>0.69254093389933291</v>
      </c>
      <c r="AB41">
        <v>48.5</v>
      </c>
      <c r="AC41">
        <v>0.48161589062349974</v>
      </c>
      <c r="AD41">
        <v>0.42368086534068472</v>
      </c>
      <c r="AE41">
        <v>-1.818743067003979</v>
      </c>
      <c r="AF41">
        <v>2.9915277190498508E-3</v>
      </c>
      <c r="AG41">
        <v>0.42431601727879531</v>
      </c>
      <c r="AH41">
        <v>-1.8285761237437377</v>
      </c>
      <c r="AI41">
        <v>4.1555611957938958E-5</v>
      </c>
    </row>
    <row r="42" spans="12:35" x14ac:dyDescent="0.25">
      <c r="W42">
        <v>40</v>
      </c>
      <c r="X42">
        <v>69.983754008976717</v>
      </c>
      <c r="Y42">
        <v>3.8162459910232798</v>
      </c>
      <c r="Z42">
        <v>69.928066149468805</v>
      </c>
      <c r="AA42">
        <v>0.66767738023044265</v>
      </c>
      <c r="AB42">
        <v>48.6</v>
      </c>
      <c r="AC42">
        <v>0.4143837514429769</v>
      </c>
      <c r="AD42">
        <v>0.87612441643673122</v>
      </c>
      <c r="AE42">
        <v>-1.808483321375578</v>
      </c>
      <c r="AF42">
        <v>1.4382440831284385E-2</v>
      </c>
      <c r="AG42">
        <v>0.88249360654278231</v>
      </c>
      <c r="AH42">
        <v>-1.8212654611446106</v>
      </c>
      <c r="AI42">
        <v>8.741862014942334E-4</v>
      </c>
    </row>
    <row r="43" spans="12:35" x14ac:dyDescent="0.25">
      <c r="W43">
        <v>41</v>
      </c>
      <c r="X43">
        <v>72.758748472154537</v>
      </c>
      <c r="Y43">
        <v>0.64125152784546913</v>
      </c>
      <c r="Z43">
        <v>72.750254510224863</v>
      </c>
      <c r="AA43">
        <v>0.63735597331716187</v>
      </c>
      <c r="AB43">
        <v>48.7</v>
      </c>
      <c r="AC43">
        <v>0.33286538375086522</v>
      </c>
      <c r="AD43">
        <v>0.14721695664909951</v>
      </c>
      <c r="AE43">
        <v>-1.8060209263930609</v>
      </c>
      <c r="AF43">
        <v>1.3072752428975392E-2</v>
      </c>
      <c r="AG43">
        <v>0.14818876062580427</v>
      </c>
      <c r="AH43">
        <v>-1.8096301621788582</v>
      </c>
      <c r="AI43">
        <v>2.2375310805533913E-5</v>
      </c>
    </row>
    <row r="44" spans="12:35" x14ac:dyDescent="0.25">
      <c r="W44">
        <v>42</v>
      </c>
      <c r="X44">
        <v>71.343351311810522</v>
      </c>
      <c r="Y44">
        <v>1.5566486881894832</v>
      </c>
      <c r="Z44">
        <v>71.338660139833749</v>
      </c>
      <c r="AA44">
        <v>0.58762886597938147</v>
      </c>
      <c r="AB44">
        <v>48.8</v>
      </c>
      <c r="AC44">
        <v>0.206674078513852</v>
      </c>
      <c r="AD44">
        <v>0.35737159678517555</v>
      </c>
      <c r="AE44">
        <v>-1.8024862809613966</v>
      </c>
      <c r="AF44">
        <v>3.0045809349155553E-3</v>
      </c>
      <c r="AG44">
        <v>0.35790968558092578</v>
      </c>
      <c r="AH44">
        <v>-1.8043561334624176</v>
      </c>
      <c r="AI44">
        <v>2.9695749733579794E-5</v>
      </c>
    </row>
    <row r="45" spans="12:35" x14ac:dyDescent="0.25">
      <c r="W45">
        <v>43</v>
      </c>
      <c r="X45">
        <v>71.355755166013566</v>
      </c>
      <c r="Y45">
        <v>0.94424483398643133</v>
      </c>
      <c r="Z45">
        <v>71.353203602470174</v>
      </c>
      <c r="AA45">
        <v>0.54578532443905392</v>
      </c>
      <c r="AB45">
        <v>48.9</v>
      </c>
      <c r="AC45">
        <v>9.896716322379942E-2</v>
      </c>
      <c r="AD45">
        <v>0.21677741846194154</v>
      </c>
      <c r="AE45">
        <v>-1.7952459902584756</v>
      </c>
      <c r="AF45">
        <v>2.6949442879746714E-3</v>
      </c>
      <c r="AG45">
        <v>0.21707011172182486</v>
      </c>
      <c r="AH45">
        <v>-1.8040829382003996</v>
      </c>
      <c r="AI45">
        <v>9.7944144707024215E-6</v>
      </c>
    </row>
    <row r="46" spans="12:35" x14ac:dyDescent="0.25">
      <c r="W46">
        <v>44</v>
      </c>
      <c r="X46">
        <v>63.961206924405275</v>
      </c>
      <c r="Y46">
        <v>-12.261206924405272</v>
      </c>
      <c r="Z46">
        <v>64.017697056547348</v>
      </c>
      <c r="AA46">
        <v>4.4269254093389936E-2</v>
      </c>
      <c r="AB46">
        <v>49.1</v>
      </c>
      <c r="AC46">
        <v>-1.7129636683890181</v>
      </c>
      <c r="AD46">
        <v>-2.8148978830827804</v>
      </c>
      <c r="AE46">
        <v>-1.7906038639731094</v>
      </c>
      <c r="AF46">
        <v>4.5860952646216225E-3</v>
      </c>
      <c r="AG46">
        <v>-2.8213748645831016</v>
      </c>
      <c r="AH46">
        <v>-1.7924225893692516</v>
      </c>
      <c r="AI46">
        <v>2.8210942931323605E-3</v>
      </c>
    </row>
    <row r="47" spans="12:35" x14ac:dyDescent="0.25">
      <c r="W47">
        <v>45</v>
      </c>
      <c r="X47">
        <v>64.007094810192001</v>
      </c>
      <c r="Y47">
        <v>-12.907094810192</v>
      </c>
      <c r="Z47">
        <v>64.05603852033083</v>
      </c>
      <c r="AA47">
        <v>3.8811400848999394E-2</v>
      </c>
      <c r="AB47">
        <v>49.2</v>
      </c>
      <c r="AC47">
        <v>-1.7755718253255368</v>
      </c>
      <c r="AD47">
        <v>-2.9631792434430744</v>
      </c>
      <c r="AE47">
        <v>-1.7864286492160897</v>
      </c>
      <c r="AF47">
        <v>3.7776755651063839E-3</v>
      </c>
      <c r="AG47">
        <v>-2.9687921160791744</v>
      </c>
      <c r="AH47">
        <v>-1.788153108302005</v>
      </c>
      <c r="AI47">
        <v>2.5708966072929187E-3</v>
      </c>
    </row>
    <row r="48" spans="12:35" x14ac:dyDescent="0.25">
      <c r="W48">
        <v>46</v>
      </c>
      <c r="X48">
        <v>63.866713894452211</v>
      </c>
      <c r="Y48">
        <v>-7.8667138944522108</v>
      </c>
      <c r="Z48">
        <v>63.898187722531461</v>
      </c>
      <c r="AA48">
        <v>9.2783505154639179E-2</v>
      </c>
      <c r="AB48">
        <v>49.2</v>
      </c>
      <c r="AC48">
        <v>-1.3329906577816031</v>
      </c>
      <c r="AD48">
        <v>-1.8060209263930609</v>
      </c>
      <c r="AE48">
        <v>-1.7815202635390524</v>
      </c>
      <c r="AF48">
        <v>3.9849430255330959E-3</v>
      </c>
      <c r="AG48">
        <v>-1.8096301621788582</v>
      </c>
      <c r="AH48">
        <v>-1.7836469508368573</v>
      </c>
      <c r="AI48">
        <v>1.0078421394916243E-3</v>
      </c>
    </row>
    <row r="49" spans="23:35" x14ac:dyDescent="0.25">
      <c r="W49">
        <v>47</v>
      </c>
      <c r="X49">
        <v>63.464012241994084</v>
      </c>
      <c r="Y49">
        <v>-12.464012241994084</v>
      </c>
      <c r="Z49">
        <v>63.515357245781857</v>
      </c>
      <c r="AA49">
        <v>3.7598544572468161E-2</v>
      </c>
      <c r="AB49">
        <v>49.3</v>
      </c>
      <c r="AC49">
        <v>-1.7980761038936304</v>
      </c>
      <c r="AD49">
        <v>-2.861457431639324</v>
      </c>
      <c r="AE49">
        <v>-1.7630189663516322</v>
      </c>
      <c r="AF49">
        <v>4.1025599812644737E-3</v>
      </c>
      <c r="AG49">
        <v>-2.8673452044249541</v>
      </c>
      <c r="AH49">
        <v>-1.7647561264892859</v>
      </c>
      <c r="AI49">
        <v>2.6052951685336806E-3</v>
      </c>
    </row>
    <row r="50" spans="23:35" x14ac:dyDescent="0.25">
      <c r="W50">
        <v>48</v>
      </c>
      <c r="X50">
        <v>62.286883949474181</v>
      </c>
      <c r="Y50">
        <v>-12.686883949474179</v>
      </c>
      <c r="Z50">
        <v>62.355211388607266</v>
      </c>
      <c r="AA50">
        <v>3.0927835051546393E-2</v>
      </c>
      <c r="AB50">
        <v>49.4</v>
      </c>
      <c r="AC50">
        <v>-1.8805262984826756</v>
      </c>
      <c r="AD50">
        <v>-2.9126237728855546</v>
      </c>
      <c r="AE50">
        <v>-1.7366204800551244</v>
      </c>
      <c r="AF50">
        <v>5.356825304684283E-3</v>
      </c>
      <c r="AG50">
        <v>-2.9204564641047357</v>
      </c>
      <c r="AH50">
        <v>-1.7421165958097302</v>
      </c>
      <c r="AI50">
        <v>3.533444688462339E-3</v>
      </c>
    </row>
    <row r="51" spans="23:35" x14ac:dyDescent="0.25">
      <c r="W51">
        <v>49</v>
      </c>
      <c r="X51">
        <v>61.308219536368796</v>
      </c>
      <c r="Y51">
        <v>-12.208219536368794</v>
      </c>
      <c r="Z51">
        <v>61.482122676657625</v>
      </c>
      <c r="AA51">
        <v>2.6682838083687082E-2</v>
      </c>
      <c r="AB51">
        <v>49.5</v>
      </c>
      <c r="AC51">
        <v>-1.9368862628682149</v>
      </c>
      <c r="AD51">
        <v>-2.8027331681951226</v>
      </c>
      <c r="AE51">
        <v>-1.7336925454722376</v>
      </c>
      <c r="AF51">
        <v>1.4044695310333767E-2</v>
      </c>
      <c r="AG51">
        <v>-2.8226247098351216</v>
      </c>
      <c r="AH51">
        <v>-1.7404369676192979</v>
      </c>
      <c r="AI51">
        <v>8.7300759077557719E-3</v>
      </c>
    </row>
    <row r="52" spans="23:35" x14ac:dyDescent="0.25">
      <c r="W52">
        <v>50</v>
      </c>
      <c r="X52">
        <v>62.515219251759696</v>
      </c>
      <c r="Y52">
        <v>-13.815219251759693</v>
      </c>
      <c r="Z52">
        <v>62.568360935786558</v>
      </c>
      <c r="AA52">
        <v>2.4863553668890235E-2</v>
      </c>
      <c r="AB52">
        <v>49.6</v>
      </c>
      <c r="AC52">
        <v>-1.9675426916276542</v>
      </c>
      <c r="AD52">
        <v>-3.1716642305984988</v>
      </c>
      <c r="AE52">
        <v>-1.7195690740365581</v>
      </c>
      <c r="AF52">
        <v>3.8318647944714001E-3</v>
      </c>
      <c r="AG52">
        <v>-3.1777584446075355</v>
      </c>
      <c r="AH52">
        <v>-1.7281241316414337</v>
      </c>
      <c r="AI52">
        <v>2.9879679983443766E-3</v>
      </c>
    </row>
    <row r="53" spans="23:35" x14ac:dyDescent="0.25">
      <c r="W53">
        <v>51</v>
      </c>
      <c r="X53">
        <v>62.351870175529847</v>
      </c>
      <c r="Y53">
        <v>-14.151870175529844</v>
      </c>
      <c r="Z53">
        <v>62.401613881318077</v>
      </c>
      <c r="AA53">
        <v>2.2437841115827774E-2</v>
      </c>
      <c r="AB53">
        <v>49.6</v>
      </c>
      <c r="AC53">
        <v>-2.0231624874260845</v>
      </c>
      <c r="AD53">
        <v>-3.2489517259079723</v>
      </c>
      <c r="AE53">
        <v>-1.7154986666571852</v>
      </c>
      <c r="AF53">
        <v>3.5026797801949953E-3</v>
      </c>
      <c r="AG53">
        <v>-3.2546567361668841</v>
      </c>
      <c r="AH53">
        <v>-1.7180332240245562</v>
      </c>
      <c r="AI53">
        <v>2.8641207899852438E-3</v>
      </c>
    </row>
    <row r="54" spans="23:35" x14ac:dyDescent="0.25">
      <c r="W54">
        <v>52</v>
      </c>
      <c r="X54">
        <v>77.121345786637079</v>
      </c>
      <c r="Y54">
        <v>-0.921345786637076</v>
      </c>
      <c r="Z54">
        <v>77.123446853460862</v>
      </c>
      <c r="AA54">
        <v>0.81322013341419042</v>
      </c>
      <c r="AB54">
        <v>49.7</v>
      </c>
      <c r="AC54">
        <v>0.88194836619248052</v>
      </c>
      <c r="AD54">
        <v>-0.21152031120441606</v>
      </c>
      <c r="AE54">
        <v>-1.708467490877327</v>
      </c>
      <c r="AF54">
        <v>2.2752439037613545E-3</v>
      </c>
      <c r="AG54">
        <v>-0.21176135275302321</v>
      </c>
      <c r="AH54">
        <v>-1.7102880009383221</v>
      </c>
      <c r="AI54">
        <v>7.866241292724688E-6</v>
      </c>
    </row>
    <row r="55" spans="23:35" x14ac:dyDescent="0.25">
      <c r="W55">
        <v>53</v>
      </c>
      <c r="X55">
        <v>77.304924972077714</v>
      </c>
      <c r="Y55">
        <v>-1.3049249720777141</v>
      </c>
      <c r="Z55">
        <v>77.307858570098929</v>
      </c>
      <c r="AA55">
        <v>0.80836870830806551</v>
      </c>
      <c r="AB55">
        <v>49.8</v>
      </c>
      <c r="AC55">
        <v>0.83794453378675593</v>
      </c>
      <c r="AD55">
        <v>-0.29958148199685353</v>
      </c>
      <c r="AE55">
        <v>-1.7039232460637983</v>
      </c>
      <c r="AF55">
        <v>2.2430544772120723E-3</v>
      </c>
      <c r="AG55">
        <v>-0.29991803707858267</v>
      </c>
      <c r="AH55">
        <v>-1.7076458986003757</v>
      </c>
      <c r="AI55">
        <v>1.5555245851469566E-5</v>
      </c>
    </row>
    <row r="56" spans="23:35" x14ac:dyDescent="0.25">
      <c r="W56">
        <v>54</v>
      </c>
      <c r="X56">
        <v>77.21871863527889</v>
      </c>
      <c r="Y56">
        <v>-1.3187186352788842</v>
      </c>
      <c r="Z56">
        <v>77.221557168717823</v>
      </c>
      <c r="AA56">
        <v>0.79866585809581569</v>
      </c>
      <c r="AB56">
        <v>49.8</v>
      </c>
      <c r="AC56">
        <v>0.82933781119598415</v>
      </c>
      <c r="AD56">
        <v>-0.30274819744210435</v>
      </c>
      <c r="AE56">
        <v>-1.6888315023512668</v>
      </c>
      <c r="AF56">
        <v>2.1478703351814551E-3</v>
      </c>
      <c r="AG56">
        <v>-0.30307385407342441</v>
      </c>
      <c r="AH56">
        <v>-1.6946995249749854</v>
      </c>
      <c r="AI56">
        <v>1.5208817990223227E-5</v>
      </c>
    </row>
    <row r="57" spans="23:35" x14ac:dyDescent="0.25">
      <c r="W57">
        <v>55</v>
      </c>
      <c r="X57">
        <v>73.356080154061999</v>
      </c>
      <c r="Y57">
        <v>2.3439198459380037</v>
      </c>
      <c r="Z57">
        <v>73.339481778727091</v>
      </c>
      <c r="AA57">
        <v>0.79199514857489384</v>
      </c>
      <c r="AB57">
        <v>49.8</v>
      </c>
      <c r="AC57">
        <v>0.80177968430189828</v>
      </c>
      <c r="AD57">
        <v>0.5381113827639471</v>
      </c>
      <c r="AE57">
        <v>-1.6749099200551616</v>
      </c>
      <c r="AF57">
        <v>7.0316658373244948E-3</v>
      </c>
      <c r="AG57">
        <v>0.54001332876218344</v>
      </c>
      <c r="AH57">
        <v>-1.6773071543539948</v>
      </c>
      <c r="AI57">
        <v>1.5885044328814966E-4</v>
      </c>
    </row>
    <row r="58" spans="23:35" x14ac:dyDescent="0.25">
      <c r="W58">
        <v>56</v>
      </c>
      <c r="X58">
        <v>75.720489106164663</v>
      </c>
      <c r="Y58">
        <v>-0.22048910616466344</v>
      </c>
      <c r="Z58">
        <v>75.721000629056647</v>
      </c>
      <c r="AA58">
        <v>0.78411158277744086</v>
      </c>
      <c r="AB58">
        <v>49.9</v>
      </c>
      <c r="AC58">
        <v>0.77276680816182786</v>
      </c>
      <c r="AD58">
        <v>-5.0619349466352007E-2</v>
      </c>
      <c r="AE58">
        <v>-1.6621520754414336</v>
      </c>
      <c r="AF58">
        <v>2.314576633383727E-3</v>
      </c>
      <c r="AG58">
        <v>-5.0678032537608657E-2</v>
      </c>
      <c r="AH58">
        <v>-1.6640456688014404</v>
      </c>
      <c r="AI58">
        <v>4.583255593417214E-7</v>
      </c>
    </row>
    <row r="59" spans="23:35" x14ac:dyDescent="0.25">
      <c r="W59">
        <v>57</v>
      </c>
      <c r="X59">
        <v>76.440162953638549</v>
      </c>
      <c r="Y59">
        <v>-0.8401629536385542</v>
      </c>
      <c r="Z59">
        <v>76.441722379654479</v>
      </c>
      <c r="AA59">
        <v>0.78835657974530016</v>
      </c>
      <c r="AB59">
        <v>50</v>
      </c>
      <c r="AC59">
        <v>0.78719041678006285</v>
      </c>
      <c r="AD59">
        <v>-0.19288255505535848</v>
      </c>
      <c r="AE59">
        <v>-1.6543162103595372</v>
      </c>
      <c r="AF59">
        <v>1.8526607508926869E-3</v>
      </c>
      <c r="AG59">
        <v>-0.19306147667421369</v>
      </c>
      <c r="AH59">
        <v>-1.6581293787731184</v>
      </c>
      <c r="AI59">
        <v>5.3216847337100074E-6</v>
      </c>
    </row>
    <row r="60" spans="23:35" x14ac:dyDescent="0.25">
      <c r="W60">
        <v>58</v>
      </c>
      <c r="X60">
        <v>76.770020065120832</v>
      </c>
      <c r="Y60">
        <v>-1.3700200651208263</v>
      </c>
      <c r="Z60">
        <v>76.784696598372719</v>
      </c>
      <c r="AA60">
        <v>0.77986658580958157</v>
      </c>
      <c r="AB60">
        <v>50</v>
      </c>
      <c r="AC60">
        <v>0.74840704313415274</v>
      </c>
      <c r="AD60">
        <v>-0.31452585417292467</v>
      </c>
      <c r="AE60">
        <v>-1.6472902252311306</v>
      </c>
      <c r="AF60">
        <v>1.0599096776245313E-2</v>
      </c>
      <c r="AG60">
        <v>-0.31620606757499509</v>
      </c>
      <c r="AH60">
        <v>-1.6578988944072728</v>
      </c>
      <c r="AI60">
        <v>8.239362321967275E-5</v>
      </c>
    </row>
    <row r="61" spans="23:35" x14ac:dyDescent="0.25">
      <c r="W61">
        <v>59</v>
      </c>
      <c r="X61">
        <v>75.821379040982606</v>
      </c>
      <c r="Y61">
        <v>-1.0213790409826089</v>
      </c>
      <c r="Z61">
        <v>75.823019154694151</v>
      </c>
      <c r="AA61">
        <v>0.74166161309884782</v>
      </c>
      <c r="AB61">
        <v>50</v>
      </c>
      <c r="AC61">
        <v>0.63261352584071384</v>
      </c>
      <c r="AD61">
        <v>-0.23448570096018678</v>
      </c>
      <c r="AE61">
        <v>-1.6437388291624471</v>
      </c>
      <c r="AF61">
        <v>1.6032091911621993E-3</v>
      </c>
      <c r="AG61">
        <v>-0.23467389208823988</v>
      </c>
      <c r="AH61">
        <v>-1.653169326162101</v>
      </c>
      <c r="AI61">
        <v>6.8025731056289237E-6</v>
      </c>
    </row>
    <row r="62" spans="23:35" x14ac:dyDescent="0.25">
      <c r="W62">
        <v>60</v>
      </c>
      <c r="X62">
        <v>75.582877791012976</v>
      </c>
      <c r="Y62">
        <v>-0.38287779101297303</v>
      </c>
      <c r="Z62">
        <v>75.583484592777097</v>
      </c>
      <c r="AA62">
        <v>0.76652516676773808</v>
      </c>
      <c r="AB62">
        <v>51</v>
      </c>
      <c r="AC62">
        <v>0.71660092108895201</v>
      </c>
      <c r="AD62">
        <v>-8.7900146376014746E-2</v>
      </c>
      <c r="AE62">
        <v>-1.6368685734631787</v>
      </c>
      <c r="AF62">
        <v>1.582336749776112E-3</v>
      </c>
      <c r="AG62">
        <v>-8.7969772832255086E-2</v>
      </c>
      <c r="AH62">
        <v>-1.6489351381333306</v>
      </c>
      <c r="AI62">
        <v>9.4343122849959955E-7</v>
      </c>
    </row>
    <row r="63" spans="23:35" x14ac:dyDescent="0.25">
      <c r="W63">
        <v>61</v>
      </c>
      <c r="X63">
        <v>75.212408667270736</v>
      </c>
      <c r="Y63">
        <v>-0.31240866727073069</v>
      </c>
      <c r="Z63">
        <v>75.213070090533776</v>
      </c>
      <c r="AA63">
        <v>0.74833232261976956</v>
      </c>
      <c r="AB63">
        <v>51</v>
      </c>
      <c r="AC63">
        <v>0.64941472986293525</v>
      </c>
      <c r="AD63">
        <v>-7.1722017382048836E-2</v>
      </c>
      <c r="AE63">
        <v>-1.6354268591425045</v>
      </c>
      <c r="AF63">
        <v>2.1127002643726986E-3</v>
      </c>
      <c r="AG63">
        <v>-7.1797901205613232E-2</v>
      </c>
      <c r="AH63">
        <v>-1.6459196291061666</v>
      </c>
      <c r="AI63">
        <v>8.3953061347848907E-7</v>
      </c>
    </row>
    <row r="64" spans="23:35" x14ac:dyDescent="0.25">
      <c r="W64">
        <v>62</v>
      </c>
      <c r="X64">
        <v>75.395213736966014</v>
      </c>
      <c r="Y64">
        <v>-0.69521373696601074</v>
      </c>
      <c r="Z64">
        <v>75.396489884798584</v>
      </c>
      <c r="AA64">
        <v>0.7362037598544573</v>
      </c>
      <c r="AB64">
        <v>51</v>
      </c>
      <c r="AC64">
        <v>0.61415241452626612</v>
      </c>
      <c r="AD64">
        <v>-0.15960546857589342</v>
      </c>
      <c r="AE64">
        <v>-1.6353531375259194</v>
      </c>
      <c r="AF64">
        <v>1.8322560893233343E-3</v>
      </c>
      <c r="AG64">
        <v>-0.15975188886208336</v>
      </c>
      <c r="AH64">
        <v>-1.6386685658439466</v>
      </c>
      <c r="AI64">
        <v>3.6035561510033546E-6</v>
      </c>
    </row>
    <row r="65" spans="23:35" x14ac:dyDescent="0.25">
      <c r="W65">
        <v>63</v>
      </c>
      <c r="X65">
        <v>75.168201502702161</v>
      </c>
      <c r="Y65">
        <v>-1.0682015027021663</v>
      </c>
      <c r="Z65">
        <v>75.171298787486847</v>
      </c>
      <c r="AA65">
        <v>0.69254093389933291</v>
      </c>
      <c r="AB65">
        <v>51.1</v>
      </c>
      <c r="AC65">
        <v>0.48161589062349974</v>
      </c>
      <c r="AD65">
        <v>-0.2452350871493037</v>
      </c>
      <c r="AE65">
        <v>-1.628948353679021</v>
      </c>
      <c r="AF65">
        <v>2.891149342147647E-3</v>
      </c>
      <c r="AG65">
        <v>-0.24559036333299658</v>
      </c>
      <c r="AH65">
        <v>-1.6371717486175936</v>
      </c>
      <c r="AI65">
        <v>1.345263148256123E-5</v>
      </c>
    </row>
    <row r="66" spans="23:35" x14ac:dyDescent="0.25">
      <c r="W66">
        <v>64</v>
      </c>
      <c r="X66">
        <v>75.433666397697962</v>
      </c>
      <c r="Y66">
        <v>-1.3336663976979679</v>
      </c>
      <c r="Z66">
        <v>75.437607602624482</v>
      </c>
      <c r="AA66">
        <v>0.69254093389933291</v>
      </c>
      <c r="AB66">
        <v>51.1</v>
      </c>
      <c r="AC66">
        <v>0.48161589062349974</v>
      </c>
      <c r="AD66">
        <v>-0.30617986816177489</v>
      </c>
      <c r="AE66">
        <v>-1.62727208808833</v>
      </c>
      <c r="AF66">
        <v>2.9464582279474685E-3</v>
      </c>
      <c r="AG66">
        <v>-0.30663194051254355</v>
      </c>
      <c r="AH66">
        <v>-1.631123424219306</v>
      </c>
      <c r="AI66">
        <v>2.1373381539450418E-5</v>
      </c>
    </row>
    <row r="67" spans="23:35" x14ac:dyDescent="0.25">
      <c r="W67">
        <v>65</v>
      </c>
      <c r="X67">
        <v>74.013723403204551</v>
      </c>
      <c r="Y67">
        <v>0.58627659679544308</v>
      </c>
      <c r="Z67">
        <v>74.012600081830215</v>
      </c>
      <c r="AA67">
        <v>0.73013947847180105</v>
      </c>
      <c r="AB67">
        <v>51.2</v>
      </c>
      <c r="AC67">
        <v>0.59589828697336056</v>
      </c>
      <c r="AD67">
        <v>0.1345959464998196</v>
      </c>
      <c r="AE67">
        <v>-1.6239126007239224</v>
      </c>
      <c r="AF67">
        <v>1.9123621566651666E-3</v>
      </c>
      <c r="AG67">
        <v>0.13472482947977016</v>
      </c>
      <c r="AH67">
        <v>-1.6256644453439058</v>
      </c>
      <c r="AI67">
        <v>2.6751823922498619E-6</v>
      </c>
    </row>
    <row r="68" spans="23:35" x14ac:dyDescent="0.25">
      <c r="W68">
        <v>66</v>
      </c>
      <c r="X68">
        <v>73.960578265045456</v>
      </c>
      <c r="Y68">
        <v>0.43942173495454995</v>
      </c>
      <c r="Z68">
        <v>73.9597333058354</v>
      </c>
      <c r="AA68">
        <v>0.71376591873862949</v>
      </c>
      <c r="AB68">
        <v>51.2</v>
      </c>
      <c r="AC68">
        <v>0.54051528578164909</v>
      </c>
      <c r="AD68">
        <v>0.1008813666656329</v>
      </c>
      <c r="AE68">
        <v>-1.6202394190613709</v>
      </c>
      <c r="AF68">
        <v>1.9191985704445089E-3</v>
      </c>
      <c r="AG68">
        <v>0.10097831191820909</v>
      </c>
      <c r="AH68">
        <v>-1.6220160778947523</v>
      </c>
      <c r="AI68">
        <v>1.508228245281365E-6</v>
      </c>
    </row>
    <row r="69" spans="23:35" x14ac:dyDescent="0.25">
      <c r="W69">
        <v>67</v>
      </c>
      <c r="X69">
        <v>73.808146048161447</v>
      </c>
      <c r="Y69">
        <v>0.5918539518385586</v>
      </c>
      <c r="Z69">
        <v>73.807017549126769</v>
      </c>
      <c r="AA69">
        <v>0.71376591873862949</v>
      </c>
      <c r="AB69">
        <v>51.3</v>
      </c>
      <c r="AC69">
        <v>0.54051528578164909</v>
      </c>
      <c r="AD69">
        <v>0.13587638202308097</v>
      </c>
      <c r="AE69">
        <v>-1.6012758832594918</v>
      </c>
      <c r="AF69">
        <v>1.9030901049589418E-3</v>
      </c>
      <c r="AG69">
        <v>0.13600585935675458</v>
      </c>
      <c r="AH69">
        <v>-1.6120622668102302</v>
      </c>
      <c r="AI69">
        <v>2.7130545478078237E-6</v>
      </c>
    </row>
    <row r="70" spans="23:35" x14ac:dyDescent="0.25">
      <c r="W70">
        <v>68</v>
      </c>
      <c r="X70">
        <v>73.554867330783722</v>
      </c>
      <c r="Y70">
        <v>0.34513266921628372</v>
      </c>
      <c r="Z70">
        <v>73.554085181963544</v>
      </c>
      <c r="AA70">
        <v>0.67919951485748942</v>
      </c>
      <c r="AB70">
        <v>51.4</v>
      </c>
      <c r="AC70">
        <v>0.43434378704136062</v>
      </c>
      <c r="AD70">
        <v>7.9234713674547139E-2</v>
      </c>
      <c r="AE70">
        <v>-1.5997739665833306</v>
      </c>
      <c r="AF70">
        <v>2.2611023853317666E-3</v>
      </c>
      <c r="AG70">
        <v>7.9324444771695604E-2</v>
      </c>
      <c r="AH70">
        <v>-1.6069183115672039</v>
      </c>
      <c r="AI70">
        <v>1.096917724076248E-6</v>
      </c>
    </row>
    <row r="71" spans="23:35" x14ac:dyDescent="0.25">
      <c r="W71">
        <v>69</v>
      </c>
      <c r="X71">
        <v>73.408165697825083</v>
      </c>
      <c r="Y71">
        <v>9.1834302174916616E-2</v>
      </c>
      <c r="Z71">
        <v>73.408006741529391</v>
      </c>
      <c r="AA71">
        <v>0.64463311097634934</v>
      </c>
      <c r="AB71">
        <v>51.5</v>
      </c>
      <c r="AC71">
        <v>0.35220887014201224</v>
      </c>
      <c r="AD71">
        <v>2.1083094378908041E-2</v>
      </c>
      <c r="AE71">
        <v>-1.5964857750023602</v>
      </c>
      <c r="AF71">
        <v>1.7279124398830825E-3</v>
      </c>
      <c r="AG71">
        <v>2.1101332888749685E-2</v>
      </c>
      <c r="AH71">
        <v>-1.598081086075267</v>
      </c>
      <c r="AI71">
        <v>5.9285601242147576E-8</v>
      </c>
    </row>
    <row r="72" spans="23:35" x14ac:dyDescent="0.25">
      <c r="W72">
        <v>70</v>
      </c>
      <c r="X72">
        <v>70.349713498600025</v>
      </c>
      <c r="Y72">
        <v>2.9502865013999724</v>
      </c>
      <c r="Z72">
        <v>70.331939959737156</v>
      </c>
      <c r="AA72">
        <v>0.63007883565797451</v>
      </c>
      <c r="AB72">
        <v>51.6</v>
      </c>
      <c r="AC72">
        <v>0.3152427890443939</v>
      </c>
      <c r="AD72">
        <v>0.6773195557729571</v>
      </c>
      <c r="AE72">
        <v>-1.5939683433523446</v>
      </c>
      <c r="AF72">
        <v>5.988267966876148E-3</v>
      </c>
      <c r="AG72">
        <v>0.67935669505384655</v>
      </c>
      <c r="AH72">
        <v>-1.5960876397188939</v>
      </c>
      <c r="AI72">
        <v>2.1387601473477755E-4</v>
      </c>
    </row>
    <row r="73" spans="23:35" x14ac:dyDescent="0.25">
      <c r="W73">
        <v>71</v>
      </c>
      <c r="X73">
        <v>69.659117503098415</v>
      </c>
      <c r="Y73">
        <v>3.5408824969015882</v>
      </c>
      <c r="Z73">
        <v>69.636000069506863</v>
      </c>
      <c r="AA73">
        <v>0.62340812613705276</v>
      </c>
      <c r="AB73">
        <v>51.6</v>
      </c>
      <c r="AC73">
        <v>0.29295400660571058</v>
      </c>
      <c r="AD73">
        <v>0.81290713925836533</v>
      </c>
      <c r="AE73">
        <v>-1.5889187760004475</v>
      </c>
      <c r="AF73">
        <v>6.486373188102355E-3</v>
      </c>
      <c r="AG73">
        <v>0.81555644406858707</v>
      </c>
      <c r="AH73">
        <v>-1.5924543709591816</v>
      </c>
      <c r="AI73">
        <v>3.340356339785012E-4</v>
      </c>
    </row>
    <row r="74" spans="23:35" x14ac:dyDescent="0.25">
      <c r="W74">
        <v>72</v>
      </c>
      <c r="X74">
        <v>70.819314880749531</v>
      </c>
      <c r="Y74">
        <v>2.6806851192504695</v>
      </c>
      <c r="Z74">
        <v>70.781709209548367</v>
      </c>
      <c r="AA74">
        <v>0.64463311097634934</v>
      </c>
      <c r="AB74">
        <v>51.7</v>
      </c>
      <c r="AC74">
        <v>0.35220887014201224</v>
      </c>
      <c r="AD74">
        <v>0.61542513016153733</v>
      </c>
      <c r="AE74">
        <v>-1.5738060080746745</v>
      </c>
      <c r="AF74">
        <v>1.3834307695579813E-2</v>
      </c>
      <c r="AG74">
        <v>0.61972680530644675</v>
      </c>
      <c r="AH74">
        <v>-1.5774741892387274</v>
      </c>
      <c r="AI74">
        <v>4.1444294514769644E-4</v>
      </c>
    </row>
    <row r="75" spans="23:35" x14ac:dyDescent="0.25">
      <c r="W75">
        <v>73</v>
      </c>
      <c r="X75">
        <v>72.327475032901262</v>
      </c>
      <c r="Y75">
        <v>0.57252496709874379</v>
      </c>
      <c r="Z75">
        <v>72.326616152668265</v>
      </c>
      <c r="AA75">
        <v>0.58762886597938147</v>
      </c>
      <c r="AB75">
        <v>51.7</v>
      </c>
      <c r="AC75">
        <v>0.206674078513852</v>
      </c>
      <c r="AD75">
        <v>0.13143888100367107</v>
      </c>
      <c r="AE75">
        <v>-1.5618728535381678</v>
      </c>
      <c r="AF75">
        <v>1.4979149429994168E-3</v>
      </c>
      <c r="AG75">
        <v>0.13153743386733058</v>
      </c>
      <c r="AH75">
        <v>-1.5631978268938858</v>
      </c>
      <c r="AI75">
        <v>1.9966114391218653E-6</v>
      </c>
    </row>
    <row r="76" spans="23:35" x14ac:dyDescent="0.25">
      <c r="W76">
        <v>74</v>
      </c>
      <c r="X76">
        <v>70.126617421989224</v>
      </c>
      <c r="Y76">
        <v>2.8733825780107765</v>
      </c>
      <c r="Z76">
        <v>70.069212327734448</v>
      </c>
      <c r="AA76">
        <v>0.60946027895694366</v>
      </c>
      <c r="AB76">
        <v>51.8</v>
      </c>
      <c r="AC76">
        <v>0.22222871718700732</v>
      </c>
      <c r="AD76">
        <v>0.65966414122170902</v>
      </c>
      <c r="AE76">
        <v>-1.5515395844797581</v>
      </c>
      <c r="AF76">
        <v>1.9586916786229199E-2</v>
      </c>
      <c r="AG76">
        <v>0.66622101502768538</v>
      </c>
      <c r="AH76">
        <v>-1.555225848054218</v>
      </c>
      <c r="AI76">
        <v>6.8210350856528525E-4</v>
      </c>
    </row>
    <row r="77" spans="23:35" x14ac:dyDescent="0.25">
      <c r="W77">
        <v>75</v>
      </c>
      <c r="X77">
        <v>72.010651289600816</v>
      </c>
      <c r="Y77">
        <v>0.98934871039918448</v>
      </c>
      <c r="Z77">
        <v>72.009304743867588</v>
      </c>
      <c r="AA77">
        <v>0.60946027895694366</v>
      </c>
      <c r="AB77">
        <v>52</v>
      </c>
      <c r="AC77">
        <v>0.22222871718700732</v>
      </c>
      <c r="AD77">
        <v>0.22713225604162332</v>
      </c>
      <c r="AE77">
        <v>-1.5408326607300826</v>
      </c>
      <c r="AF77">
        <v>1.3591926729174374E-3</v>
      </c>
      <c r="AG77">
        <v>0.22728677182111026</v>
      </c>
      <c r="AH77">
        <v>-1.5462375490400724</v>
      </c>
      <c r="AI77">
        <v>5.4084981374946294E-6</v>
      </c>
    </row>
    <row r="78" spans="23:35" x14ac:dyDescent="0.25">
      <c r="W78">
        <v>76</v>
      </c>
      <c r="X78">
        <v>71.819873303773846</v>
      </c>
      <c r="Y78">
        <v>0.88012669622615647</v>
      </c>
      <c r="Z78">
        <v>71.818443639342135</v>
      </c>
      <c r="AA78">
        <v>0.57246816252274102</v>
      </c>
      <c r="AB78">
        <v>52</v>
      </c>
      <c r="AC78">
        <v>0.16337348484333708</v>
      </c>
      <c r="AD78">
        <v>0.20205733328913852</v>
      </c>
      <c r="AE78">
        <v>-1.5398299651593534</v>
      </c>
      <c r="AF78">
        <v>1.6217504580676842E-3</v>
      </c>
      <c r="AG78">
        <v>0.20222137612994867</v>
      </c>
      <c r="AH78">
        <v>-1.5410925034667937</v>
      </c>
      <c r="AI78">
        <v>5.1097504302680408E-6</v>
      </c>
    </row>
    <row r="79" spans="23:35" x14ac:dyDescent="0.25">
      <c r="W79">
        <v>77</v>
      </c>
      <c r="X79">
        <v>71.617513289770287</v>
      </c>
      <c r="Y79">
        <v>0.98248671022970768</v>
      </c>
      <c r="Z79">
        <v>71.615930081460334</v>
      </c>
      <c r="AA79">
        <v>0.56458459672528805</v>
      </c>
      <c r="AB79">
        <v>52</v>
      </c>
      <c r="AC79">
        <v>0.14798710972583889</v>
      </c>
      <c r="AD79">
        <v>0.22555689483372079</v>
      </c>
      <c r="AE79">
        <v>-1.534694898065126</v>
      </c>
      <c r="AF79">
        <v>1.6088372178908257E-3</v>
      </c>
      <c r="AG79">
        <v>0.22573855622441724</v>
      </c>
      <c r="AH79">
        <v>-1.5386873270995178</v>
      </c>
      <c r="AI79">
        <v>6.3165437718007918E-6</v>
      </c>
    </row>
    <row r="80" spans="23:35" x14ac:dyDescent="0.25">
      <c r="W80">
        <v>78</v>
      </c>
      <c r="X80">
        <v>71.823312444693627</v>
      </c>
      <c r="Y80">
        <v>0.77668755530636702</v>
      </c>
      <c r="Z80">
        <v>71.821581869574999</v>
      </c>
      <c r="AA80">
        <v>0.56458459672528805</v>
      </c>
      <c r="AB80">
        <v>52.1</v>
      </c>
      <c r="AC80">
        <v>0.14798710972583889</v>
      </c>
      <c r="AD80">
        <v>0.17831002842770133</v>
      </c>
      <c r="AE80">
        <v>-1.5300882192155885</v>
      </c>
      <c r="AF80">
        <v>2.2231947728241544E-3</v>
      </c>
      <c r="AG80">
        <v>0.1785085684956032</v>
      </c>
      <c r="AH80">
        <v>-1.5367651546159262</v>
      </c>
      <c r="AI80">
        <v>5.4615874389383743E-6</v>
      </c>
    </row>
    <row r="81" spans="23:35" x14ac:dyDescent="0.25">
      <c r="W81">
        <v>79</v>
      </c>
      <c r="X81">
        <v>71.785322584971681</v>
      </c>
      <c r="Y81">
        <v>0.21467741502831927</v>
      </c>
      <c r="Z81">
        <v>71.784618128235635</v>
      </c>
      <c r="AA81">
        <v>0.52516676773802307</v>
      </c>
      <c r="AB81">
        <v>52.1</v>
      </c>
      <c r="AC81">
        <v>4.1053957112594373E-2</v>
      </c>
      <c r="AD81">
        <v>4.9285115636217076E-2</v>
      </c>
      <c r="AE81">
        <v>-1.5282636008006221</v>
      </c>
      <c r="AF81">
        <v>3.2707336521869538E-3</v>
      </c>
      <c r="AG81">
        <v>4.9365913133779679E-2</v>
      </c>
      <c r="AH81">
        <v>-1.5314423107046278</v>
      </c>
      <c r="AI81">
        <v>6.1514707891294782E-7</v>
      </c>
    </row>
    <row r="82" spans="23:35" x14ac:dyDescent="0.25">
      <c r="W82">
        <v>80</v>
      </c>
      <c r="X82">
        <v>85.424796091474164</v>
      </c>
      <c r="Y82">
        <v>-2.7247960914741611</v>
      </c>
      <c r="Z82">
        <v>85.471745792191285</v>
      </c>
      <c r="AA82">
        <v>0.9733171619163129</v>
      </c>
      <c r="AB82">
        <v>52.1</v>
      </c>
      <c r="AC82">
        <v>1.9270603903023944</v>
      </c>
      <c r="AD82">
        <v>-0.62555201922708625</v>
      </c>
      <c r="AE82">
        <v>-1.525248482413897</v>
      </c>
      <c r="AF82">
        <v>1.6938674841463431E-2</v>
      </c>
      <c r="AG82">
        <v>-0.63091830067875121</v>
      </c>
      <c r="AH82">
        <v>-1.5305934282443696</v>
      </c>
      <c r="AI82">
        <v>5.2759627187205771E-4</v>
      </c>
    </row>
    <row r="83" spans="23:35" x14ac:dyDescent="0.25">
      <c r="W83">
        <v>81</v>
      </c>
      <c r="X83">
        <v>85.830491677671489</v>
      </c>
      <c r="Y83">
        <v>-3.330491677671489</v>
      </c>
      <c r="Z83">
        <v>85.899532590091297</v>
      </c>
      <c r="AA83">
        <v>0.97210430563978167</v>
      </c>
      <c r="AB83">
        <v>52.1</v>
      </c>
      <c r="AC83">
        <v>1.898648757670367</v>
      </c>
      <c r="AD83">
        <v>-0.76460612979639642</v>
      </c>
      <c r="AE83">
        <v>-1.5235864554724361</v>
      </c>
      <c r="AF83">
        <v>2.0308942653187161E-2</v>
      </c>
      <c r="AG83">
        <v>-0.772490600097823</v>
      </c>
      <c r="AH83">
        <v>-1.5266071370596961</v>
      </c>
      <c r="AI83">
        <v>9.5157105720590062E-4</v>
      </c>
    </row>
    <row r="84" spans="23:35" x14ac:dyDescent="0.25">
      <c r="W84">
        <v>82</v>
      </c>
      <c r="X84">
        <v>85.769508504328172</v>
      </c>
      <c r="Y84">
        <v>-3.469508504328175</v>
      </c>
      <c r="Z84">
        <v>85.840755607969314</v>
      </c>
      <c r="AA84">
        <v>0.97028502122498483</v>
      </c>
      <c r="AB84">
        <v>52.2</v>
      </c>
      <c r="AC84">
        <v>1.8630011940066851</v>
      </c>
      <c r="AD84">
        <v>-0.79652127269231265</v>
      </c>
      <c r="AE84">
        <v>-1.5198901962440625</v>
      </c>
      <c r="AF84">
        <v>2.0122005450131358E-2</v>
      </c>
      <c r="AG84">
        <v>-0.80465808005671702</v>
      </c>
      <c r="AH84">
        <v>-1.5252482730441361</v>
      </c>
      <c r="AI84">
        <v>1.0227715963420396E-3</v>
      </c>
    </row>
    <row r="85" spans="23:35" x14ac:dyDescent="0.25">
      <c r="W85">
        <v>83</v>
      </c>
      <c r="X85">
        <v>85.070893141763548</v>
      </c>
      <c r="Y85">
        <v>-3.0708931417635483</v>
      </c>
      <c r="Z85">
        <v>85.122999719088369</v>
      </c>
      <c r="AA85">
        <v>0.96604002425712554</v>
      </c>
      <c r="AB85">
        <v>52.2</v>
      </c>
      <c r="AC85">
        <v>1.7539324289023792</v>
      </c>
      <c r="AD85">
        <v>-0.70500813314859934</v>
      </c>
      <c r="AE85">
        <v>-1.512031449788604</v>
      </c>
      <c r="AF85">
        <v>1.6684784505852188E-2</v>
      </c>
      <c r="AG85">
        <v>-0.71096422411040727</v>
      </c>
      <c r="AH85">
        <v>-1.5183601101450837</v>
      </c>
      <c r="AI85">
        <v>6.5975089060968275E-4</v>
      </c>
    </row>
    <row r="86" spans="23:35" x14ac:dyDescent="0.25">
      <c r="W86">
        <v>84</v>
      </c>
      <c r="X86">
        <v>83.960999686173537</v>
      </c>
      <c r="Y86">
        <v>-2.0609996861735311</v>
      </c>
      <c r="Z86">
        <v>83.984609380561622</v>
      </c>
      <c r="AA86">
        <v>0.95997574287446941</v>
      </c>
      <c r="AB86">
        <v>52.3</v>
      </c>
      <c r="AC86">
        <v>1.7330844772440364</v>
      </c>
      <c r="AD86">
        <v>-0.47315926477813264</v>
      </c>
      <c r="AE86">
        <v>-1.5037382924711995</v>
      </c>
      <c r="AF86">
        <v>1.132571627482888E-2</v>
      </c>
      <c r="AG86">
        <v>-0.47586167541180879</v>
      </c>
      <c r="AH86">
        <v>-1.5080380093556367</v>
      </c>
      <c r="AI86">
        <v>1.9954026569237509E-4</v>
      </c>
    </row>
    <row r="87" spans="23:35" x14ac:dyDescent="0.25">
      <c r="W87">
        <v>85</v>
      </c>
      <c r="X87">
        <v>82.98242973169684</v>
      </c>
      <c r="Y87">
        <v>-1.2824297316968369</v>
      </c>
      <c r="Z87">
        <v>82.992746855856865</v>
      </c>
      <c r="AA87">
        <v>0.95573074590661011</v>
      </c>
      <c r="AB87">
        <v>52.3</v>
      </c>
      <c r="AC87">
        <v>1.6624525291871317</v>
      </c>
      <c r="AD87">
        <v>-0.29441707975505377</v>
      </c>
      <c r="AE87">
        <v>-1.4996043852272334</v>
      </c>
      <c r="AF87">
        <v>7.9807768344446889E-3</v>
      </c>
      <c r="AG87">
        <v>-0.29559899744980633</v>
      </c>
      <c r="AH87">
        <v>-1.505206892736517</v>
      </c>
      <c r="AI87">
        <v>5.4073893355202519E-5</v>
      </c>
    </row>
    <row r="88" spans="23:35" x14ac:dyDescent="0.25">
      <c r="W88">
        <v>86</v>
      </c>
      <c r="X88">
        <v>83.457880998727774</v>
      </c>
      <c r="Y88">
        <v>-2.1578809987277765</v>
      </c>
      <c r="Z88">
        <v>83.480227682791451</v>
      </c>
      <c r="AA88">
        <v>0.94481503941782896</v>
      </c>
      <c r="AB88">
        <v>52.4</v>
      </c>
      <c r="AC88">
        <v>1.5725296242490356</v>
      </c>
      <c r="AD88">
        <v>-0.49540103945011943</v>
      </c>
      <c r="AE88">
        <v>-1.4982798450414059</v>
      </c>
      <c r="AF88">
        <v>1.0249702010512351E-2</v>
      </c>
      <c r="AG88">
        <v>-0.49795958106812188</v>
      </c>
      <c r="AH88">
        <v>-1.5039657315699253</v>
      </c>
      <c r="AI88">
        <v>1.9752880285084026E-4</v>
      </c>
    </row>
    <row r="89" spans="23:35" x14ac:dyDescent="0.25">
      <c r="W89">
        <v>87</v>
      </c>
      <c r="X89">
        <v>78.758829432813485</v>
      </c>
      <c r="Y89">
        <v>2.5411705671865121</v>
      </c>
      <c r="Z89">
        <v>78.749084471302382</v>
      </c>
      <c r="AA89">
        <v>0.94481503941782896</v>
      </c>
      <c r="AB89">
        <v>52.4</v>
      </c>
      <c r="AC89">
        <v>1.5725296242490356</v>
      </c>
      <c r="AD89">
        <v>0.58339572068453149</v>
      </c>
      <c r="AE89">
        <v>-1.4950500531481019</v>
      </c>
      <c r="AF89">
        <v>3.8201819705419382E-3</v>
      </c>
      <c r="AG89">
        <v>0.58451326252261737</v>
      </c>
      <c r="AH89">
        <v>-1.4984715786058533</v>
      </c>
      <c r="AI89">
        <v>1.0078402499291892E-4</v>
      </c>
    </row>
    <row r="90" spans="23:35" x14ac:dyDescent="0.25">
      <c r="W90">
        <v>88</v>
      </c>
      <c r="X90">
        <v>81.849315562152128</v>
      </c>
      <c r="Y90">
        <v>-0.64931556215212538</v>
      </c>
      <c r="Z90">
        <v>81.852972189822481</v>
      </c>
      <c r="AA90">
        <v>0.94178289872650089</v>
      </c>
      <c r="AB90">
        <v>52.6</v>
      </c>
      <c r="AC90">
        <v>1.5519290565282795</v>
      </c>
      <c r="AD90">
        <v>-0.14906827791289221</v>
      </c>
      <c r="AE90">
        <v>-1.4900978173303092</v>
      </c>
      <c r="AF90">
        <v>5.5999745890337608E-3</v>
      </c>
      <c r="AG90">
        <v>-0.14948742844514692</v>
      </c>
      <c r="AH90">
        <v>-1.4927165184604645</v>
      </c>
      <c r="AI90">
        <v>9.6803468678317603E-6</v>
      </c>
    </row>
    <row r="91" spans="23:35" x14ac:dyDescent="0.25">
      <c r="W91">
        <v>89</v>
      </c>
      <c r="X91">
        <v>78.357952884954699</v>
      </c>
      <c r="Y91">
        <v>2.6420471150453011</v>
      </c>
      <c r="Z91">
        <v>78.347740442810178</v>
      </c>
      <c r="AA91">
        <v>0.93571861734384476</v>
      </c>
      <c r="AB91">
        <v>52.6</v>
      </c>
      <c r="AC91">
        <v>1.4576525936309466</v>
      </c>
      <c r="AD91">
        <v>0.60655471170157416</v>
      </c>
      <c r="AE91">
        <v>-1.488130733314031</v>
      </c>
      <c r="AF91">
        <v>3.8504686001950158E-3</v>
      </c>
      <c r="AG91">
        <v>0.60772585481207053</v>
      </c>
      <c r="AH91">
        <v>-1.4894593991912122</v>
      </c>
      <c r="AI91">
        <v>1.0981486327379956E-4</v>
      </c>
    </row>
    <row r="92" spans="23:35" x14ac:dyDescent="0.25">
      <c r="W92">
        <v>90</v>
      </c>
      <c r="X92">
        <v>74.6666509307383</v>
      </c>
      <c r="Y92">
        <v>11.3333490692617</v>
      </c>
      <c r="Z92">
        <v>74.549988894482894</v>
      </c>
      <c r="AA92">
        <v>0.99029714978775019</v>
      </c>
      <c r="AB92">
        <v>52.6</v>
      </c>
      <c r="AC92">
        <v>2.190305027167327</v>
      </c>
      <c r="AD92">
        <v>2.6018825471253821</v>
      </c>
      <c r="AE92">
        <v>-1.4848292162812322</v>
      </c>
      <c r="AF92">
        <v>1.0188814244834327E-2</v>
      </c>
      <c r="AG92">
        <v>2.6152397537874625</v>
      </c>
      <c r="AH92">
        <v>-1.4881080255772174</v>
      </c>
      <c r="AI92">
        <v>5.4156545407953024E-3</v>
      </c>
    </row>
    <row r="93" spans="23:35" x14ac:dyDescent="0.25">
      <c r="W93">
        <v>91</v>
      </c>
      <c r="X93">
        <v>76.59151615240323</v>
      </c>
      <c r="Y93">
        <v>6.40848384759677</v>
      </c>
      <c r="Z93">
        <v>76.529001720989129</v>
      </c>
      <c r="AA93">
        <v>0.97877501516070342</v>
      </c>
      <c r="AB93">
        <v>52.6</v>
      </c>
      <c r="AC93">
        <v>1.9368862628682144</v>
      </c>
      <c r="AD93">
        <v>1.4712440404593636</v>
      </c>
      <c r="AE93">
        <v>-1.479014595267131</v>
      </c>
      <c r="AF93">
        <v>9.6607090156194796E-3</v>
      </c>
      <c r="AG93">
        <v>1.4784025801280891</v>
      </c>
      <c r="AH93">
        <v>-1.4817594949512876</v>
      </c>
      <c r="AI93">
        <v>1.6400876668011461E-3</v>
      </c>
    </row>
    <row r="94" spans="23:35" x14ac:dyDescent="0.25">
      <c r="W94">
        <v>92</v>
      </c>
      <c r="X94">
        <v>77.748164097077392</v>
      </c>
      <c r="Y94">
        <v>2.1518359029226133</v>
      </c>
      <c r="Z94">
        <v>77.739356822449125</v>
      </c>
      <c r="AA94">
        <v>0.92177077016373554</v>
      </c>
      <c r="AB94">
        <v>52.7</v>
      </c>
      <c r="AC94">
        <v>1.3946242806491955</v>
      </c>
      <c r="AD94">
        <v>0.49401322114724777</v>
      </c>
      <c r="AE94">
        <v>-1.4740629555684512</v>
      </c>
      <c r="AF94">
        <v>4.0762281897241195E-3</v>
      </c>
      <c r="AG94">
        <v>0.49502316507870564</v>
      </c>
      <c r="AH94">
        <v>-1.4754530820653076</v>
      </c>
      <c r="AI94">
        <v>7.7150737569794633E-5</v>
      </c>
    </row>
    <row r="95" spans="23:35" x14ac:dyDescent="0.25">
      <c r="W95">
        <v>93</v>
      </c>
      <c r="X95">
        <v>79.578279797322764</v>
      </c>
      <c r="Y95">
        <v>0.32172020267724122</v>
      </c>
      <c r="Z95">
        <v>79.577418308847868</v>
      </c>
      <c r="AA95">
        <v>0.92177077016373554</v>
      </c>
      <c r="AB95">
        <v>52.8</v>
      </c>
      <c r="AC95">
        <v>1.3946242806491955</v>
      </c>
      <c r="AD95">
        <v>7.3859736895766956E-2</v>
      </c>
      <c r="AE95">
        <v>-1.4570341104702444</v>
      </c>
      <c r="AF95">
        <v>2.6706056125296268E-3</v>
      </c>
      <c r="AG95">
        <v>7.3958559991960507E-2</v>
      </c>
      <c r="AH95">
        <v>-1.4605529501391605</v>
      </c>
      <c r="AI95">
        <v>1.1266906211041981E-6</v>
      </c>
    </row>
    <row r="96" spans="23:35" x14ac:dyDescent="0.25">
      <c r="W96">
        <v>94</v>
      </c>
      <c r="X96">
        <v>83.13216944109783</v>
      </c>
      <c r="Y96">
        <v>-1.7321694410978239</v>
      </c>
      <c r="Z96">
        <v>83.15432083179148</v>
      </c>
      <c r="AA96">
        <v>0.94724075197089141</v>
      </c>
      <c r="AB96">
        <v>52.8</v>
      </c>
      <c r="AC96">
        <v>1.5992570753291051</v>
      </c>
      <c r="AD96">
        <v>-0.39766722174648</v>
      </c>
      <c r="AE96">
        <v>-1.4535202248577421</v>
      </c>
      <c r="AF96">
        <v>1.2626761474996624E-2</v>
      </c>
      <c r="AG96">
        <v>-0.40020187508934746</v>
      </c>
      <c r="AH96">
        <v>-1.4548508486482958</v>
      </c>
      <c r="AI96">
        <v>1.5755257676547987E-4</v>
      </c>
    </row>
    <row r="97" spans="23:35" x14ac:dyDescent="0.25">
      <c r="W97">
        <v>95</v>
      </c>
      <c r="X97">
        <v>77.671282895582451</v>
      </c>
      <c r="Y97">
        <v>3.4287171044175437</v>
      </c>
      <c r="Z97">
        <v>77.647325048564539</v>
      </c>
      <c r="AA97">
        <v>0.93935718617343844</v>
      </c>
      <c r="AB97">
        <v>52.9</v>
      </c>
      <c r="AC97">
        <v>1.5222105313262397</v>
      </c>
      <c r="AD97">
        <v>0.78715648291555185</v>
      </c>
      <c r="AE97">
        <v>-1.4456008028171621</v>
      </c>
      <c r="AF97">
        <v>6.9389234013894595E-3</v>
      </c>
      <c r="AG97">
        <v>0.78990178756972096</v>
      </c>
      <c r="AH97">
        <v>-1.449863499609283</v>
      </c>
      <c r="AI97">
        <v>3.3536595636412045E-4</v>
      </c>
    </row>
    <row r="98" spans="23:35" x14ac:dyDescent="0.25">
      <c r="W98">
        <v>96</v>
      </c>
      <c r="X98">
        <v>82.336029860251941</v>
      </c>
      <c r="Y98">
        <v>5.6639701397480593</v>
      </c>
      <c r="Z98">
        <v>82.270713922892313</v>
      </c>
      <c r="AA98">
        <v>0.99575500303214071</v>
      </c>
      <c r="AB98">
        <v>53</v>
      </c>
      <c r="AC98">
        <v>2.428517260365656</v>
      </c>
      <c r="AD98">
        <v>1.3003204052030326</v>
      </c>
      <c r="AE98">
        <v>-1.442899285701817</v>
      </c>
      <c r="AF98">
        <v>1.1400362362879276E-2</v>
      </c>
      <c r="AG98">
        <v>1.3077964504015256</v>
      </c>
      <c r="AH98">
        <v>-1.4446500050804532</v>
      </c>
      <c r="AI98">
        <v>1.5171732086109008E-3</v>
      </c>
    </row>
    <row r="99" spans="23:35" x14ac:dyDescent="0.25">
      <c r="W99">
        <v>97</v>
      </c>
      <c r="X99">
        <v>80.922709978289618</v>
      </c>
      <c r="Y99">
        <v>7.0772900217103825</v>
      </c>
      <c r="Z99">
        <v>80.817066063006294</v>
      </c>
      <c r="AA99">
        <v>0.99575500303214071</v>
      </c>
      <c r="AB99">
        <v>53</v>
      </c>
      <c r="AC99">
        <v>2.428517260365656</v>
      </c>
      <c r="AD99">
        <v>1.6247869253737226</v>
      </c>
      <c r="AE99">
        <v>-1.4424810425347214</v>
      </c>
      <c r="AF99">
        <v>1.4707627302435796E-2</v>
      </c>
      <c r="AG99">
        <v>1.6368687413347653</v>
      </c>
      <c r="AH99">
        <v>-1.4438312873941188</v>
      </c>
      <c r="AI99">
        <v>3.0765349520315605E-3</v>
      </c>
    </row>
    <row r="100" spans="23:35" x14ac:dyDescent="0.25">
      <c r="W100">
        <v>98</v>
      </c>
      <c r="X100">
        <v>81.621620374369087</v>
      </c>
      <c r="Y100">
        <v>2.3783796256309131</v>
      </c>
      <c r="Z100">
        <v>81.595426463254597</v>
      </c>
      <c r="AA100">
        <v>0.9824135839902971</v>
      </c>
      <c r="AB100">
        <v>53.2</v>
      </c>
      <c r="AC100">
        <v>2.0350728680272758</v>
      </c>
      <c r="AD100">
        <v>0.54602257466431325</v>
      </c>
      <c r="AE100">
        <v>-1.4360197295487998</v>
      </c>
      <c r="AF100">
        <v>1.0893370784550096E-2</v>
      </c>
      <c r="AG100">
        <v>0.54902110831057416</v>
      </c>
      <c r="AH100">
        <v>-1.4411438890221175</v>
      </c>
      <c r="AI100">
        <v>2.5536060914733559E-4</v>
      </c>
    </row>
    <row r="101" spans="23:35" x14ac:dyDescent="0.25">
      <c r="W101">
        <v>99</v>
      </c>
      <c r="X101">
        <v>81.55014303662179</v>
      </c>
      <c r="Y101">
        <v>0.44985696337820968</v>
      </c>
      <c r="Z101">
        <v>81.545005796554406</v>
      </c>
      <c r="AA101">
        <v>0.96604002425712554</v>
      </c>
      <c r="AB101">
        <v>53.2</v>
      </c>
      <c r="AC101">
        <v>1.7539324289023792</v>
      </c>
      <c r="AD101">
        <v>0.10327706087260183</v>
      </c>
      <c r="AE101">
        <v>-1.4356474799640244</v>
      </c>
      <c r="AF101">
        <v>1.1290781351662916E-2</v>
      </c>
      <c r="AG101">
        <v>0.10386508437444997</v>
      </c>
      <c r="AH101">
        <v>-1.4406815649960398</v>
      </c>
      <c r="AI101">
        <v>9.4765709387799372E-6</v>
      </c>
    </row>
    <row r="102" spans="23:35" x14ac:dyDescent="0.25">
      <c r="W102">
        <v>100</v>
      </c>
      <c r="X102">
        <v>80.223245777581639</v>
      </c>
      <c r="Y102">
        <v>3.7767542224183615</v>
      </c>
      <c r="Z102">
        <v>80.164230153095502</v>
      </c>
      <c r="AA102">
        <v>0.9824135839902971</v>
      </c>
      <c r="AB102">
        <v>53.2</v>
      </c>
      <c r="AC102">
        <v>2.0350728680272758</v>
      </c>
      <c r="AD102">
        <v>0.86705799283499663</v>
      </c>
      <c r="AE102">
        <v>-1.4339613416214447</v>
      </c>
      <c r="AF102">
        <v>1.5385601024461001E-2</v>
      </c>
      <c r="AG102">
        <v>0.87380606497749314</v>
      </c>
      <c r="AH102">
        <v>-1.4381880364821187</v>
      </c>
      <c r="AI102">
        <v>9.1777250094600047E-4</v>
      </c>
    </row>
    <row r="103" spans="23:35" x14ac:dyDescent="0.25">
      <c r="W103">
        <v>101</v>
      </c>
      <c r="X103">
        <v>79.653263338632911</v>
      </c>
      <c r="Y103">
        <v>1.346736661367089</v>
      </c>
      <c r="Z103">
        <v>79.634525652019178</v>
      </c>
      <c r="AA103">
        <v>0.93571861734384476</v>
      </c>
      <c r="AB103">
        <v>53.3</v>
      </c>
      <c r="AC103">
        <v>1.4576525936309466</v>
      </c>
      <c r="AD103">
        <v>0.30918050731258401</v>
      </c>
      <c r="AE103">
        <v>-1.4271079432083922</v>
      </c>
      <c r="AF103">
        <v>1.372247427529256E-2</v>
      </c>
      <c r="AG103">
        <v>0.31132395353190812</v>
      </c>
      <c r="AH103">
        <v>-1.4353930671675983</v>
      </c>
      <c r="AI103">
        <v>1.0373253946359493E-4</v>
      </c>
    </row>
    <row r="104" spans="23:35" x14ac:dyDescent="0.25">
      <c r="W104">
        <v>102</v>
      </c>
      <c r="X104">
        <v>74.680016597041799</v>
      </c>
      <c r="Y104">
        <v>5.1199834029581979</v>
      </c>
      <c r="Z104">
        <v>74.637432457665639</v>
      </c>
      <c r="AA104">
        <v>0.91813220133414186</v>
      </c>
      <c r="AB104">
        <v>53.4</v>
      </c>
      <c r="AC104">
        <v>1.3748000243745633</v>
      </c>
      <c r="AD104">
        <v>1.1754332612819078</v>
      </c>
      <c r="AE104">
        <v>-1.4225489380481382</v>
      </c>
      <c r="AF104">
        <v>8.248635785771917E-3</v>
      </c>
      <c r="AG104">
        <v>1.1803113205438942</v>
      </c>
      <c r="AH104">
        <v>-1.4289648638158932</v>
      </c>
      <c r="AI104">
        <v>8.9131068771566347E-4</v>
      </c>
    </row>
    <row r="105" spans="23:35" x14ac:dyDescent="0.25">
      <c r="W105">
        <v>103</v>
      </c>
      <c r="X105">
        <v>78.556618777420425</v>
      </c>
      <c r="Y105">
        <v>0.84338122257958048</v>
      </c>
      <c r="Z105">
        <v>78.547653480818028</v>
      </c>
      <c r="AA105">
        <v>0.90661006670709521</v>
      </c>
      <c r="AB105">
        <v>53.4</v>
      </c>
      <c r="AC105">
        <v>1.2933897637306977</v>
      </c>
      <c r="AD105">
        <v>0.19362139736387984</v>
      </c>
      <c r="AE105">
        <v>-1.418182519774609</v>
      </c>
      <c r="AF105">
        <v>1.0518370639920917E-2</v>
      </c>
      <c r="AG105">
        <v>0.19464779231123086</v>
      </c>
      <c r="AH105">
        <v>-1.4231009182483534</v>
      </c>
      <c r="AI105">
        <v>3.0981065288649392E-5</v>
      </c>
    </row>
    <row r="106" spans="23:35" x14ac:dyDescent="0.25">
      <c r="W106">
        <v>104</v>
      </c>
      <c r="X106">
        <v>78.109615272642287</v>
      </c>
      <c r="Y106">
        <v>1.1903847273577099</v>
      </c>
      <c r="Z106">
        <v>78.0976711878006</v>
      </c>
      <c r="AA106">
        <v>0.9017586416009703</v>
      </c>
      <c r="AB106">
        <v>53.6</v>
      </c>
      <c r="AC106">
        <v>1.262435852359769</v>
      </c>
      <c r="AD106">
        <v>0.27328561288886499</v>
      </c>
      <c r="AE106">
        <v>-1.4166318219879179</v>
      </c>
      <c r="AF106">
        <v>9.9341251082860332E-3</v>
      </c>
      <c r="AG106">
        <v>0.27465323771791816</v>
      </c>
      <c r="AH106">
        <v>-1.4200203645921523</v>
      </c>
      <c r="AI106">
        <v>5.8222604241798922E-5</v>
      </c>
    </row>
    <row r="107" spans="23:35" x14ac:dyDescent="0.25">
      <c r="W107">
        <v>105</v>
      </c>
      <c r="X107">
        <v>74.59853603062507</v>
      </c>
      <c r="Y107">
        <v>4.2014639693749274</v>
      </c>
      <c r="Z107">
        <v>74.567433626631328</v>
      </c>
      <c r="AA107">
        <v>0.88174651303820495</v>
      </c>
      <c r="AB107">
        <v>53.6</v>
      </c>
      <c r="AC107">
        <v>1.1700898139672218</v>
      </c>
      <c r="AD107">
        <v>0.96456181729562573</v>
      </c>
      <c r="AE107">
        <v>-1.4141691808846701</v>
      </c>
      <c r="AF107">
        <v>7.3483558791741128E-3</v>
      </c>
      <c r="AG107">
        <v>0.96812544119985466</v>
      </c>
      <c r="AH107">
        <v>-1.4176515857947294</v>
      </c>
      <c r="AI107">
        <v>5.3371969408052948E-4</v>
      </c>
    </row>
    <row r="108" spans="23:35" x14ac:dyDescent="0.25">
      <c r="W108">
        <v>106</v>
      </c>
      <c r="X108">
        <v>77.032959383332482</v>
      </c>
      <c r="Y108">
        <v>1.6670406166675207</v>
      </c>
      <c r="Z108">
        <v>77.019174883920414</v>
      </c>
      <c r="AA108">
        <v>0.87871437234687688</v>
      </c>
      <c r="AB108">
        <v>53.6</v>
      </c>
      <c r="AC108">
        <v>1.1521925343545227</v>
      </c>
      <c r="AD108">
        <v>0.38271510560107669</v>
      </c>
      <c r="AE108">
        <v>-1.4080416882206854</v>
      </c>
      <c r="AF108">
        <v>8.2010313150326173E-3</v>
      </c>
      <c r="AG108">
        <v>0.38429415391745775</v>
      </c>
      <c r="AH108">
        <v>-1.4151834793397955</v>
      </c>
      <c r="AI108">
        <v>9.3935342058066849E-5</v>
      </c>
    </row>
    <row r="109" spans="23:35" x14ac:dyDescent="0.25">
      <c r="W109">
        <v>107</v>
      </c>
      <c r="X109">
        <v>73.842504376455707</v>
      </c>
      <c r="Y109">
        <v>4.7574956235442869</v>
      </c>
      <c r="Z109">
        <v>73.774585829808885</v>
      </c>
      <c r="AA109">
        <v>0.8750758035172832</v>
      </c>
      <c r="AB109">
        <v>53.6</v>
      </c>
      <c r="AC109">
        <v>1.1404631659072275</v>
      </c>
      <c r="AD109">
        <v>1.0922142038753639</v>
      </c>
      <c r="AE109">
        <v>-1.4069458246215292</v>
      </c>
      <c r="AF109">
        <v>1.4075174534526665E-2</v>
      </c>
      <c r="AG109">
        <v>1.0999828624423904</v>
      </c>
      <c r="AH109">
        <v>-1.4125744705635752</v>
      </c>
      <c r="AI109">
        <v>1.328735298143814E-3</v>
      </c>
    </row>
    <row r="110" spans="23:35" x14ac:dyDescent="0.25">
      <c r="W110">
        <v>108</v>
      </c>
      <c r="X110">
        <v>73.492422087222423</v>
      </c>
      <c r="Y110">
        <v>4.6075779127775718</v>
      </c>
      <c r="Z110">
        <v>73.421592483728332</v>
      </c>
      <c r="AA110">
        <v>0.86476652516676777</v>
      </c>
      <c r="AB110">
        <v>53.7</v>
      </c>
      <c r="AC110">
        <v>1.0950400512086551</v>
      </c>
      <c r="AD110">
        <v>1.0577964626794407</v>
      </c>
      <c r="AE110">
        <v>-1.3946416510862789</v>
      </c>
      <c r="AF110">
        <v>1.5139682305943269E-2</v>
      </c>
      <c r="AG110">
        <v>1.065895897947903</v>
      </c>
      <c r="AH110">
        <v>-1.4094991045110037</v>
      </c>
      <c r="AI110">
        <v>1.34347117329152E-3</v>
      </c>
    </row>
    <row r="111" spans="23:35" x14ac:dyDescent="0.25">
      <c r="W111">
        <v>109</v>
      </c>
      <c r="X111">
        <v>74.917518349592697</v>
      </c>
      <c r="Y111">
        <v>-2.4175183495926973</v>
      </c>
      <c r="Z111">
        <v>74.925881407739851</v>
      </c>
      <c r="AA111">
        <v>0.55852031534263191</v>
      </c>
      <c r="AB111">
        <v>53.8</v>
      </c>
      <c r="AC111">
        <v>0.12956927093944998</v>
      </c>
      <c r="AD111">
        <v>-0.55500794714076152</v>
      </c>
      <c r="AE111">
        <v>-1.3900766275587637</v>
      </c>
      <c r="AF111">
        <v>3.4474307443340185E-3</v>
      </c>
      <c r="AG111">
        <v>-0.55596710355359336</v>
      </c>
      <c r="AH111">
        <v>-1.3931579157586469</v>
      </c>
      <c r="AI111">
        <v>8.2252702369547679E-5</v>
      </c>
    </row>
    <row r="112" spans="23:35" x14ac:dyDescent="0.25">
      <c r="W112">
        <v>110</v>
      </c>
      <c r="X112">
        <v>71.429491078347297</v>
      </c>
      <c r="Y112">
        <v>0.77050892165270568</v>
      </c>
      <c r="Z112">
        <v>71.42466217987824</v>
      </c>
      <c r="AA112">
        <v>0.53911461491813217</v>
      </c>
      <c r="AB112">
        <v>53.8</v>
      </c>
      <c r="AC112">
        <v>7.9127168877726875E-2</v>
      </c>
      <c r="AD112">
        <v>0.17689155283233257</v>
      </c>
      <c r="AE112">
        <v>-1.3887973875362887</v>
      </c>
      <c r="AF112">
        <v>6.2281219150413444E-3</v>
      </c>
      <c r="AG112">
        <v>0.17744499041418965</v>
      </c>
      <c r="AH112">
        <v>-1.3916971655875476</v>
      </c>
      <c r="AI112">
        <v>1.5179397573914167E-5</v>
      </c>
    </row>
    <row r="113" spans="23:35" x14ac:dyDescent="0.25">
      <c r="W113">
        <v>111</v>
      </c>
      <c r="X113">
        <v>74.187545188316207</v>
      </c>
      <c r="Y113">
        <v>-2.2875451883162015</v>
      </c>
      <c r="Z113">
        <v>74.194850422040446</v>
      </c>
      <c r="AA113">
        <v>0.51607034566403887</v>
      </c>
      <c r="AB113">
        <v>54</v>
      </c>
      <c r="AC113">
        <v>2.7365033500434649E-2</v>
      </c>
      <c r="AD113">
        <v>-0.52516902681338673</v>
      </c>
      <c r="AE113">
        <v>-1.3838893788821798</v>
      </c>
      <c r="AF113">
        <v>3.1833158510359612E-3</v>
      </c>
      <c r="AG113">
        <v>-0.52600691724107973</v>
      </c>
      <c r="AH113">
        <v>-1.3850643236563511</v>
      </c>
      <c r="AI113">
        <v>6.7967921928189913E-5</v>
      </c>
    </row>
    <row r="114" spans="23:35" x14ac:dyDescent="0.25">
      <c r="W114">
        <v>112</v>
      </c>
      <c r="X114">
        <v>73.916359386211553</v>
      </c>
      <c r="Y114">
        <v>-2.316359386211559</v>
      </c>
      <c r="Z114">
        <v>73.920996811793302</v>
      </c>
      <c r="AA114">
        <v>0.49787750151607035</v>
      </c>
      <c r="AB114">
        <v>54</v>
      </c>
      <c r="AC114">
        <v>-2.1282865457297767E-2</v>
      </c>
      <c r="AD114">
        <v>-0.53178411985915597</v>
      </c>
      <c r="AE114">
        <v>-1.3809675079230237</v>
      </c>
      <c r="AF114">
        <v>1.9980318620812483E-3</v>
      </c>
      <c r="AG114">
        <v>-0.532316178101646</v>
      </c>
      <c r="AH114">
        <v>-1.3836208514096175</v>
      </c>
      <c r="AI114">
        <v>4.3638216266986746E-5</v>
      </c>
    </row>
    <row r="115" spans="23:35" x14ac:dyDescent="0.25">
      <c r="W115">
        <v>113</v>
      </c>
      <c r="X115">
        <v>73.905643245911151</v>
      </c>
      <c r="Y115">
        <v>-2.8056432459111562</v>
      </c>
      <c r="Z115">
        <v>73.932186795891681</v>
      </c>
      <c r="AA115">
        <v>0.47422680412371132</v>
      </c>
      <c r="AB115">
        <v>54</v>
      </c>
      <c r="AC115">
        <v>-7.6077819866612773E-2</v>
      </c>
      <c r="AD115">
        <v>-0.64411271111337887</v>
      </c>
      <c r="AE115">
        <v>-1.3799879365024827</v>
      </c>
      <c r="AF115">
        <v>9.3721042761123214E-3</v>
      </c>
      <c r="AG115">
        <v>-0.64715244011942863</v>
      </c>
      <c r="AH115">
        <v>-1.3830230730919677</v>
      </c>
      <c r="AI115">
        <v>3.0478696713828854E-4</v>
      </c>
    </row>
    <row r="116" spans="23:35" x14ac:dyDescent="0.25">
      <c r="W116">
        <v>114</v>
      </c>
      <c r="X116">
        <v>72.730826849404849</v>
      </c>
      <c r="Y116">
        <v>5.2691731505951509</v>
      </c>
      <c r="Z116">
        <v>72.720725909660985</v>
      </c>
      <c r="AA116">
        <v>0.86294724075197093</v>
      </c>
      <c r="AB116">
        <v>54</v>
      </c>
      <c r="AC116">
        <v>1.0491313979639725</v>
      </c>
      <c r="AD116">
        <v>1.2096838784837936</v>
      </c>
      <c r="AE116">
        <v>-1.3798694770914739</v>
      </c>
      <c r="AF116">
        <v>1.9133198184112493E-3</v>
      </c>
      <c r="AG116">
        <v>1.2108427978561178</v>
      </c>
      <c r="AH116">
        <v>-1.3825496291215222</v>
      </c>
      <c r="AI116">
        <v>2.1619790623392691E-4</v>
      </c>
    </row>
    <row r="117" spans="23:35" x14ac:dyDescent="0.25">
      <c r="W117">
        <v>115</v>
      </c>
      <c r="X117">
        <v>72.88151886790412</v>
      </c>
      <c r="Y117">
        <v>0.11848113209588007</v>
      </c>
      <c r="Z117">
        <v>72.881215759824258</v>
      </c>
      <c r="AA117">
        <v>0.60946027895694366</v>
      </c>
      <c r="AB117">
        <v>54</v>
      </c>
      <c r="AC117">
        <v>0.22222871718700732</v>
      </c>
      <c r="AD117">
        <v>2.7200608388567835E-2</v>
      </c>
      <c r="AE117">
        <v>-1.3781792833289856</v>
      </c>
      <c r="AF117">
        <v>2.5517533252540263E-3</v>
      </c>
      <c r="AG117">
        <v>2.7235379569796804E-2</v>
      </c>
      <c r="AH117">
        <v>-1.3794475058245861</v>
      </c>
      <c r="AI117">
        <v>1.4597276361405632E-7</v>
      </c>
    </row>
    <row r="118" spans="23:35" x14ac:dyDescent="0.25">
      <c r="W118">
        <v>116</v>
      </c>
      <c r="X118">
        <v>72.452589170620669</v>
      </c>
      <c r="Y118">
        <v>0.54741082937933072</v>
      </c>
      <c r="Z118">
        <v>72.451216396424883</v>
      </c>
      <c r="AA118">
        <v>0.60946027895694366</v>
      </c>
      <c r="AB118">
        <v>54.1</v>
      </c>
      <c r="AC118">
        <v>0.22222871718700732</v>
      </c>
      <c r="AD118">
        <v>0.12567323871921429</v>
      </c>
      <c r="AE118">
        <v>-1.3736982597049252</v>
      </c>
      <c r="AF118">
        <v>2.5014854431447118E-3</v>
      </c>
      <c r="AG118">
        <v>0.12583071912070376</v>
      </c>
      <c r="AH118">
        <v>-1.3748264623287829</v>
      </c>
      <c r="AI118">
        <v>3.0543283777309598E-6</v>
      </c>
    </row>
    <row r="119" spans="23:35" x14ac:dyDescent="0.25">
      <c r="W119">
        <v>117</v>
      </c>
      <c r="X119">
        <v>70.206871147161536</v>
      </c>
      <c r="Y119">
        <v>-1.006871147161533</v>
      </c>
      <c r="Z119">
        <v>70.219424701993177</v>
      </c>
      <c r="AA119">
        <v>0.42874469375379015</v>
      </c>
      <c r="AB119">
        <v>54.1</v>
      </c>
      <c r="AC119">
        <v>-0.1880739545732803</v>
      </c>
      <c r="AD119">
        <v>-0.2311550141969082</v>
      </c>
      <c r="AE119">
        <v>-1.3689349320067492</v>
      </c>
      <c r="AF119">
        <v>1.2314352209721109E-2</v>
      </c>
      <c r="AG119">
        <v>-0.23259155760255168</v>
      </c>
      <c r="AH119">
        <v>-1.370656129105384</v>
      </c>
      <c r="AI119">
        <v>5.188446820089262E-5</v>
      </c>
    </row>
    <row r="120" spans="23:35" x14ac:dyDescent="0.25">
      <c r="W120">
        <v>118</v>
      </c>
      <c r="X120">
        <v>71.860571001404978</v>
      </c>
      <c r="Y120">
        <v>-3.460571001404972</v>
      </c>
      <c r="Z120">
        <v>71.873500999664287</v>
      </c>
      <c r="AA120">
        <v>0.40024257125530627</v>
      </c>
      <c r="AB120">
        <v>54.1</v>
      </c>
      <c r="AC120">
        <v>-0.26293383539244392</v>
      </c>
      <c r="AD120">
        <v>-0.7944694226408715</v>
      </c>
      <c r="AE120">
        <v>-1.3686571235497165</v>
      </c>
      <c r="AF120">
        <v>3.7224685585393797E-3</v>
      </c>
      <c r="AG120">
        <v>-0.79595225750534515</v>
      </c>
      <c r="AH120">
        <v>-1.3698411378917461</v>
      </c>
      <c r="AI120">
        <v>1.8208802591561499E-4</v>
      </c>
    </row>
    <row r="121" spans="23:35" x14ac:dyDescent="0.25">
      <c r="W121">
        <v>119</v>
      </c>
      <c r="X121">
        <v>71.875129096305713</v>
      </c>
      <c r="Y121">
        <v>-3.4751290963057073</v>
      </c>
      <c r="Z121">
        <v>71.911811749106178</v>
      </c>
      <c r="AA121">
        <v>0.40024257125530627</v>
      </c>
      <c r="AB121">
        <v>54.2</v>
      </c>
      <c r="AC121">
        <v>-0.26293383539244392</v>
      </c>
      <c r="AD121">
        <v>-0.79781163444517855</v>
      </c>
      <c r="AE121">
        <v>-1.3636633603606976</v>
      </c>
      <c r="AF121">
        <v>1.0445506599206998E-2</v>
      </c>
      <c r="AG121">
        <v>-0.80201133760125609</v>
      </c>
      <c r="AH121">
        <v>-1.364892944764017</v>
      </c>
      <c r="AI121">
        <v>5.2228488287294264E-4</v>
      </c>
    </row>
    <row r="122" spans="23:35" x14ac:dyDescent="0.25">
      <c r="W122">
        <v>120</v>
      </c>
      <c r="X122">
        <v>71.226454533956186</v>
      </c>
      <c r="Y122">
        <v>-3.4264545339561892</v>
      </c>
      <c r="Z122">
        <v>71.237017104111345</v>
      </c>
      <c r="AA122">
        <v>0.37355973317161917</v>
      </c>
      <c r="AB122">
        <v>54.3</v>
      </c>
      <c r="AC122">
        <v>-0.337689309602062</v>
      </c>
      <c r="AD122">
        <v>-0.78663704752544228</v>
      </c>
      <c r="AE122">
        <v>-1.3530400993302822</v>
      </c>
      <c r="AF122">
        <v>3.0731793980665048E-3</v>
      </c>
      <c r="AG122">
        <v>-0.78784857906611616</v>
      </c>
      <c r="AH122">
        <v>-1.3540516863927701</v>
      </c>
      <c r="AI122">
        <v>1.4718609828133034E-4</v>
      </c>
    </row>
    <row r="123" spans="23:35" x14ac:dyDescent="0.25">
      <c r="W123">
        <v>121</v>
      </c>
      <c r="X123">
        <v>69.266155643832931</v>
      </c>
      <c r="Y123">
        <v>-1.4661556438329342</v>
      </c>
      <c r="Z123">
        <v>69.290606386402743</v>
      </c>
      <c r="AA123">
        <v>0.37355973317161917</v>
      </c>
      <c r="AB123">
        <v>54.3</v>
      </c>
      <c r="AC123">
        <v>-0.337689309602062</v>
      </c>
      <c r="AD123">
        <v>-0.33659642509421073</v>
      </c>
      <c r="AE123">
        <v>-1.3491903631829936</v>
      </c>
      <c r="AF123">
        <v>1.6403218712092774E-2</v>
      </c>
      <c r="AG123">
        <v>-0.33939149093368887</v>
      </c>
      <c r="AH123">
        <v>-1.3518970881149002</v>
      </c>
      <c r="AI123">
        <v>1.4776464126626439E-4</v>
      </c>
    </row>
    <row r="124" spans="23:35" x14ac:dyDescent="0.25">
      <c r="W124">
        <v>122</v>
      </c>
      <c r="X124">
        <v>66.027781486587088</v>
      </c>
      <c r="Y124">
        <v>5.3722185134129177</v>
      </c>
      <c r="Z124">
        <v>65.980725548545507</v>
      </c>
      <c r="AA124">
        <v>0.4887810794420861</v>
      </c>
      <c r="AB124">
        <v>54.3</v>
      </c>
      <c r="AC124">
        <v>-4.7140240828996732E-2</v>
      </c>
      <c r="AD124">
        <v>1.2333407807321257</v>
      </c>
      <c r="AE124">
        <v>-1.3469838472510163</v>
      </c>
      <c r="AF124">
        <v>8.6830697472695603E-3</v>
      </c>
      <c r="AG124">
        <v>1.2387304977175868</v>
      </c>
      <c r="AH124">
        <v>-1.3504858631702792</v>
      </c>
      <c r="AI124">
        <v>1.0338822376360752E-3</v>
      </c>
    </row>
    <row r="125" spans="23:35" x14ac:dyDescent="0.25">
      <c r="W125">
        <v>123</v>
      </c>
      <c r="X125">
        <v>65.904064191058325</v>
      </c>
      <c r="Y125">
        <v>5.0959358089416753</v>
      </c>
      <c r="Z125">
        <v>65.859055225323758</v>
      </c>
      <c r="AA125">
        <v>0.46937537901758641</v>
      </c>
      <c r="AB125">
        <v>54.5</v>
      </c>
      <c r="AC125">
        <v>-9.743972564826138E-2</v>
      </c>
      <c r="AD125">
        <v>1.1699124734909763</v>
      </c>
      <c r="AE125">
        <v>-1.3440839796707809</v>
      </c>
      <c r="AF125">
        <v>8.754998878080348E-3</v>
      </c>
      <c r="AG125">
        <v>1.1750676395976929</v>
      </c>
      <c r="AH125">
        <v>-1.3473789383044406</v>
      </c>
      <c r="AI125">
        <v>9.3811799118489298E-4</v>
      </c>
    </row>
    <row r="126" spans="23:35" x14ac:dyDescent="0.25">
      <c r="W126">
        <v>124</v>
      </c>
      <c r="X126">
        <v>65.740519063547481</v>
      </c>
      <c r="Y126">
        <v>11.259480936452519</v>
      </c>
      <c r="Z126">
        <v>65.646474705500594</v>
      </c>
      <c r="AA126">
        <v>0.83747725894481506</v>
      </c>
      <c r="AB126">
        <v>54.8</v>
      </c>
      <c r="AC126">
        <v>0.95855995741850497</v>
      </c>
      <c r="AD126">
        <v>2.5849240819470505</v>
      </c>
      <c r="AE126">
        <v>-1.3397931882639715</v>
      </c>
      <c r="AF126">
        <v>8.2832737504400199E-3</v>
      </c>
      <c r="AG126">
        <v>2.595696870702382</v>
      </c>
      <c r="AH126">
        <v>-1.3468255116100256</v>
      </c>
      <c r="AI126">
        <v>4.3289141303481859E-3</v>
      </c>
    </row>
    <row r="127" spans="23:35" x14ac:dyDescent="0.25">
      <c r="W127">
        <v>125</v>
      </c>
      <c r="X127">
        <v>65.433707859689534</v>
      </c>
      <c r="Y127">
        <v>7.5662921403104662</v>
      </c>
      <c r="Z127">
        <v>65.368253901725311</v>
      </c>
      <c r="AA127">
        <v>0.60946027895694366</v>
      </c>
      <c r="AB127">
        <v>54.8</v>
      </c>
      <c r="AC127">
        <v>0.22222871718700732</v>
      </c>
      <c r="AD127">
        <v>1.737050835195727</v>
      </c>
      <c r="AE127">
        <v>-1.3395317967942946</v>
      </c>
      <c r="AF127">
        <v>8.5765376784504143E-3</v>
      </c>
      <c r="AG127">
        <v>1.7445480357976049</v>
      </c>
      <c r="AH127">
        <v>-1.3455518362715924</v>
      </c>
      <c r="AI127">
        <v>2.0252345117211649E-3</v>
      </c>
    </row>
    <row r="128" spans="23:35" x14ac:dyDescent="0.25">
      <c r="W128">
        <v>126</v>
      </c>
      <c r="X128">
        <v>65.128559165043811</v>
      </c>
      <c r="Y128">
        <v>4.771440834956195</v>
      </c>
      <c r="Z128">
        <v>65.086710207475846</v>
      </c>
      <c r="AA128">
        <v>0.45724681625227409</v>
      </c>
      <c r="AB128">
        <v>54.8</v>
      </c>
      <c r="AC128">
        <v>-0.11731546960548965</v>
      </c>
      <c r="AD128">
        <v>1.0954157113880045</v>
      </c>
      <c r="AE128">
        <v>-1.3382738216333887</v>
      </c>
      <c r="AF128">
        <v>8.6944604151951016E-3</v>
      </c>
      <c r="AG128">
        <v>1.1002090147939092</v>
      </c>
      <c r="AH128">
        <v>-1.3409863646578839</v>
      </c>
      <c r="AI128">
        <v>8.1666162277463849E-4</v>
      </c>
    </row>
    <row r="129" spans="23:35" x14ac:dyDescent="0.25">
      <c r="W129">
        <v>127</v>
      </c>
      <c r="X129">
        <v>64.831110297748268</v>
      </c>
      <c r="Y129">
        <v>4.6688897022517324</v>
      </c>
      <c r="Z129">
        <v>64.786884943629062</v>
      </c>
      <c r="AA129">
        <v>0.44269254093389931</v>
      </c>
      <c r="AB129">
        <v>54.8</v>
      </c>
      <c r="AC129">
        <v>-0.15567569037416348</v>
      </c>
      <c r="AD129">
        <v>1.0718722732797259</v>
      </c>
      <c r="AE129">
        <v>-1.3380020761407139</v>
      </c>
      <c r="AF129">
        <v>9.3834658374024153E-3</v>
      </c>
      <c r="AG129">
        <v>1.0769368824014529</v>
      </c>
      <c r="AH129">
        <v>-1.3405917981272035</v>
      </c>
      <c r="AI129">
        <v>8.4507422129430029E-4</v>
      </c>
    </row>
    <row r="130" spans="23:35" x14ac:dyDescent="0.25">
      <c r="W130">
        <v>128</v>
      </c>
      <c r="X130">
        <v>64.657754658234822</v>
      </c>
      <c r="Y130">
        <v>4.4422453417651724</v>
      </c>
      <c r="Z130">
        <v>64.61575838799844</v>
      </c>
      <c r="AA130">
        <v>0.42510612492419647</v>
      </c>
      <c r="AB130">
        <v>54.8</v>
      </c>
      <c r="AC130">
        <v>-0.198915705174462</v>
      </c>
      <c r="AD130">
        <v>1.0198398155877835</v>
      </c>
      <c r="AE130">
        <v>-1.3360621258825711</v>
      </c>
      <c r="AF130">
        <v>9.365300505659974E-3</v>
      </c>
      <c r="AG130">
        <v>1.0246491760758991</v>
      </c>
      <c r="AH130">
        <v>-1.3377898866601705</v>
      </c>
      <c r="AI130">
        <v>7.6351086056349981E-4</v>
      </c>
    </row>
    <row r="131" spans="23:35" x14ac:dyDescent="0.25">
      <c r="W131">
        <v>129</v>
      </c>
      <c r="X131">
        <v>65.270172594065343</v>
      </c>
      <c r="Y131">
        <v>3.3298274059346511</v>
      </c>
      <c r="Z131">
        <v>65.040275032231193</v>
      </c>
      <c r="AA131">
        <v>0.40570042449969679</v>
      </c>
      <c r="AB131">
        <v>54.9</v>
      </c>
      <c r="AC131">
        <v>-0.24253103988010652</v>
      </c>
      <c r="AD131">
        <v>0.76445362791649629</v>
      </c>
      <c r="AE131">
        <v>-1.3321769205728555</v>
      </c>
      <c r="AF131">
        <v>6.4582956244016027E-2</v>
      </c>
      <c r="AG131">
        <v>0.79040286667998605</v>
      </c>
      <c r="AH131">
        <v>-1.3354273998451793</v>
      </c>
      <c r="AI131">
        <v>3.3179230006855913E-3</v>
      </c>
    </row>
    <row r="132" spans="23:35" x14ac:dyDescent="0.25">
      <c r="W132">
        <v>130</v>
      </c>
      <c r="X132">
        <v>65.120826334777192</v>
      </c>
      <c r="Y132">
        <v>3.079173665222811</v>
      </c>
      <c r="Z132">
        <v>64.908619894173796</v>
      </c>
      <c r="AA132">
        <v>0.39175257731958762</v>
      </c>
      <c r="AB132">
        <v>54.9</v>
      </c>
      <c r="AC132">
        <v>-0.28028330588569778</v>
      </c>
      <c r="AD132">
        <v>0.70690915546230826</v>
      </c>
      <c r="AE132">
        <v>-1.3320697520552141</v>
      </c>
      <c r="AF132">
        <v>6.4473392248972264E-2</v>
      </c>
      <c r="AG132">
        <v>0.7308622564729248</v>
      </c>
      <c r="AH132">
        <v>-1.3335677334956164</v>
      </c>
      <c r="AI132">
        <v>2.8317316418307787E-3</v>
      </c>
    </row>
    <row r="133" spans="23:35" x14ac:dyDescent="0.25">
      <c r="W133">
        <v>131</v>
      </c>
      <c r="X133">
        <v>65.216862304474375</v>
      </c>
      <c r="Y133">
        <v>2.5831376955256218</v>
      </c>
      <c r="Z133">
        <v>65.026018483794218</v>
      </c>
      <c r="AA133">
        <v>0.37355973317161917</v>
      </c>
      <c r="AB133">
        <v>54.9</v>
      </c>
      <c r="AC133">
        <v>-0.337689309602062</v>
      </c>
      <c r="AD133">
        <v>0.59303043131694766</v>
      </c>
      <c r="AE133">
        <v>-1.3315303062622008</v>
      </c>
      <c r="AF133">
        <v>6.8797798242431138E-2</v>
      </c>
      <c r="AG133">
        <v>0.61454682977533481</v>
      </c>
      <c r="AH133">
        <v>-1.3334561551449506</v>
      </c>
      <c r="AI133">
        <v>2.1463332742513754E-3</v>
      </c>
    </row>
    <row r="134" spans="23:35" x14ac:dyDescent="0.25">
      <c r="W134">
        <v>132</v>
      </c>
      <c r="X134">
        <v>66.175397210632383</v>
      </c>
      <c r="Y134">
        <v>1.1246027893676143</v>
      </c>
      <c r="Z134">
        <v>66.15850991562894</v>
      </c>
      <c r="AA134">
        <v>0.35112189205579136</v>
      </c>
      <c r="AB134">
        <v>55</v>
      </c>
      <c r="AC134">
        <v>-0.39787592189543292</v>
      </c>
      <c r="AD134">
        <v>0.25818355653054409</v>
      </c>
      <c r="AE134">
        <v>-1.3295183307032123</v>
      </c>
      <c r="AF134">
        <v>1.4794079453393009E-2</v>
      </c>
      <c r="AG134">
        <v>0.26011480545741889</v>
      </c>
      <c r="AH134">
        <v>-1.3318785261846822</v>
      </c>
      <c r="AI134">
        <v>7.8153373009094433E-5</v>
      </c>
    </row>
    <row r="135" spans="23:35" x14ac:dyDescent="0.25">
      <c r="W135">
        <v>133</v>
      </c>
      <c r="X135">
        <v>63.817718486909854</v>
      </c>
      <c r="Y135">
        <v>2.9822815130901432</v>
      </c>
      <c r="Z135">
        <v>63.753895439098798</v>
      </c>
      <c r="AA135">
        <v>0.33232261976955729</v>
      </c>
      <c r="AB135">
        <v>55</v>
      </c>
      <c r="AC135">
        <v>-0.44438857281516719</v>
      </c>
      <c r="AD135">
        <v>0.68466489226643112</v>
      </c>
      <c r="AE135">
        <v>-1.3215894099975165</v>
      </c>
      <c r="AF135">
        <v>2.0952349643628198E-2</v>
      </c>
      <c r="AG135">
        <v>0.69195227935451542</v>
      </c>
      <c r="AH135">
        <v>-1.3272880368952493</v>
      </c>
      <c r="AI135">
        <v>7.8820255723892839E-4</v>
      </c>
    </row>
    <row r="136" spans="23:35" x14ac:dyDescent="0.25">
      <c r="W136">
        <v>134</v>
      </c>
      <c r="X136">
        <v>76.126481098220623</v>
      </c>
      <c r="Y136">
        <v>-4.1264810982206228</v>
      </c>
      <c r="Z136">
        <v>76.148312514329064</v>
      </c>
      <c r="AA136">
        <v>0.52516676773802307</v>
      </c>
      <c r="AB136">
        <v>55</v>
      </c>
      <c r="AC136">
        <v>4.1053957112594373E-2</v>
      </c>
      <c r="AD136">
        <v>-0.94734743321573556</v>
      </c>
      <c r="AE136">
        <v>-1.3213796286291293</v>
      </c>
      <c r="AF136">
        <v>5.2627221389479097E-3</v>
      </c>
      <c r="AG136">
        <v>-0.94985012895862719</v>
      </c>
      <c r="AH136">
        <v>-1.3233659424871822</v>
      </c>
      <c r="AI136">
        <v>3.6717141824993009E-4</v>
      </c>
    </row>
    <row r="137" spans="23:35" x14ac:dyDescent="0.25">
      <c r="W137">
        <v>135</v>
      </c>
      <c r="X137">
        <v>76.226476989556247</v>
      </c>
      <c r="Y137">
        <v>-4.5264769895562438</v>
      </c>
      <c r="Z137">
        <v>76.252877572373166</v>
      </c>
      <c r="AA137">
        <v>0.50394178289872649</v>
      </c>
      <c r="AB137">
        <v>55.3</v>
      </c>
      <c r="AC137">
        <v>-4.5602855597810616E-3</v>
      </c>
      <c r="AD137">
        <v>-1.0391775111766017</v>
      </c>
      <c r="AE137">
        <v>-1.3176633188221138</v>
      </c>
      <c r="AF137">
        <v>5.7986586279235863E-3</v>
      </c>
      <c r="AG137">
        <v>-1.0422035957988491</v>
      </c>
      <c r="AH137">
        <v>-1.3228200406741804</v>
      </c>
      <c r="AI137">
        <v>4.8732083492203924E-4</v>
      </c>
    </row>
    <row r="138" spans="23:35" x14ac:dyDescent="0.25">
      <c r="W138">
        <v>136</v>
      </c>
      <c r="X138">
        <v>71.420698080734809</v>
      </c>
      <c r="Y138">
        <v>0.47930191926519683</v>
      </c>
      <c r="Z138">
        <v>71.413935203044261</v>
      </c>
      <c r="AA138">
        <v>0.51607034566403887</v>
      </c>
      <c r="AB138">
        <v>55.3</v>
      </c>
      <c r="AC138">
        <v>2.7365033500434649E-2</v>
      </c>
      <c r="AD138">
        <v>0.11003696179465287</v>
      </c>
      <c r="AE138">
        <v>-1.3111092274124712</v>
      </c>
      <c r="AF138">
        <v>1.3913531144208392E-2</v>
      </c>
      <c r="AG138">
        <v>0.11081054502326487</v>
      </c>
      <c r="AH138">
        <v>-1.3203332789941931</v>
      </c>
      <c r="AI138">
        <v>1.3327269951312915E-5</v>
      </c>
    </row>
    <row r="139" spans="23:35" x14ac:dyDescent="0.25">
      <c r="W139">
        <v>137</v>
      </c>
      <c r="X139">
        <v>75.441016238905078</v>
      </c>
      <c r="Y139">
        <v>-3.4410162389050782</v>
      </c>
      <c r="Z139">
        <v>75.474764887130917</v>
      </c>
      <c r="AA139">
        <v>0.52516676773802307</v>
      </c>
      <c r="AB139">
        <v>55.3</v>
      </c>
      <c r="AC139">
        <v>4.1053957112594373E-2</v>
      </c>
      <c r="AD139">
        <v>-0.78998008811577081</v>
      </c>
      <c r="AE139">
        <v>-1.3106332533528198</v>
      </c>
      <c r="AF139">
        <v>9.7124983479670336E-3</v>
      </c>
      <c r="AG139">
        <v>-0.79384460172334803</v>
      </c>
      <c r="AH139">
        <v>-1.3199587076992363</v>
      </c>
      <c r="AI139">
        <v>4.7544173210687865E-4</v>
      </c>
    </row>
    <row r="140" spans="23:35" x14ac:dyDescent="0.25">
      <c r="W140">
        <v>138</v>
      </c>
      <c r="X140">
        <v>74.823859410037599</v>
      </c>
      <c r="Y140">
        <v>-1.8238594100375991</v>
      </c>
      <c r="Z140">
        <v>74.836558338693195</v>
      </c>
      <c r="AA140">
        <v>0.60946027895694366</v>
      </c>
      <c r="AB140">
        <v>55.3</v>
      </c>
      <c r="AC140">
        <v>0.22222871718700732</v>
      </c>
      <c r="AD140">
        <v>-0.41871718045444123</v>
      </c>
      <c r="AE140">
        <v>-1.3092390365946067</v>
      </c>
      <c r="AF140">
        <v>6.9145250592107591E-3</v>
      </c>
      <c r="AG140">
        <v>-0.42017234637220696</v>
      </c>
      <c r="AH140">
        <v>-1.313406423457202</v>
      </c>
      <c r="AI140">
        <v>9.4555610849071621E-5</v>
      </c>
    </row>
    <row r="141" spans="23:35" x14ac:dyDescent="0.25">
      <c r="W141">
        <v>139</v>
      </c>
      <c r="X141">
        <v>75.258975785293444</v>
      </c>
      <c r="Y141">
        <v>-5.258975785293444</v>
      </c>
      <c r="Z141">
        <v>75.288612546497831</v>
      </c>
      <c r="AA141">
        <v>0.46088538508186777</v>
      </c>
      <c r="AB141">
        <v>55.3</v>
      </c>
      <c r="AC141">
        <v>-0.10660788786182936</v>
      </c>
      <c r="AD141">
        <v>-1.2073427923103222</v>
      </c>
      <c r="AE141">
        <v>-1.3089977293453583</v>
      </c>
      <c r="AF141">
        <v>5.6038821040153173E-3</v>
      </c>
      <c r="AG141">
        <v>-1.2107399804116175</v>
      </c>
      <c r="AH141">
        <v>-1.3123958390580508</v>
      </c>
      <c r="AI141">
        <v>6.3545965819393751E-4</v>
      </c>
    </row>
    <row r="142" spans="23:35" x14ac:dyDescent="0.25">
      <c r="W142">
        <v>140</v>
      </c>
      <c r="X142">
        <v>74.87745580376847</v>
      </c>
      <c r="Y142">
        <v>-4.8774558037684699</v>
      </c>
      <c r="Z142">
        <v>74.908134287840085</v>
      </c>
      <c r="AA142">
        <v>0.46088538508186777</v>
      </c>
      <c r="AB142">
        <v>55.3</v>
      </c>
      <c r="AC142">
        <v>-0.10660788786182936</v>
      </c>
      <c r="AD142">
        <v>-1.1197543685140634</v>
      </c>
      <c r="AE142">
        <v>-1.3088994735134767</v>
      </c>
      <c r="AF142">
        <v>6.2505388549823036E-3</v>
      </c>
      <c r="AG142">
        <v>-1.1232703940112332</v>
      </c>
      <c r="AH142">
        <v>-1.3120355629744285</v>
      </c>
      <c r="AI142">
        <v>6.1047210699559091E-4</v>
      </c>
    </row>
    <row r="143" spans="23:35" x14ac:dyDescent="0.25">
      <c r="W143">
        <v>141</v>
      </c>
      <c r="X143">
        <v>72.295951480200657</v>
      </c>
      <c r="Y143">
        <v>-2.4959514802006595</v>
      </c>
      <c r="Z143">
        <v>72.349070696062284</v>
      </c>
      <c r="AA143">
        <v>0.4530018192844148</v>
      </c>
      <c r="AB143">
        <v>55.3</v>
      </c>
      <c r="AC143">
        <v>-0.12344005334831042</v>
      </c>
      <c r="AD143">
        <v>-0.57301443334339264</v>
      </c>
      <c r="AE143">
        <v>-1.3077680829640177</v>
      </c>
      <c r="AF143">
        <v>2.0838659337180283E-2</v>
      </c>
      <c r="AG143">
        <v>-0.57907982191003826</v>
      </c>
      <c r="AH143">
        <v>-1.3115779957676617</v>
      </c>
      <c r="AI143">
        <v>5.4897052699137553E-4</v>
      </c>
    </row>
    <row r="144" spans="23:35" x14ac:dyDescent="0.25">
      <c r="W144">
        <v>142</v>
      </c>
      <c r="X144">
        <v>74.054663183738398</v>
      </c>
      <c r="Y144">
        <v>-5.1546631837383927</v>
      </c>
      <c r="Z144">
        <v>74.07868631397325</v>
      </c>
      <c r="AA144">
        <v>0.41479684657368104</v>
      </c>
      <c r="AB144">
        <v>55.3</v>
      </c>
      <c r="AC144">
        <v>-0.22378708008709278</v>
      </c>
      <c r="AD144">
        <v>-1.1833949604935605</v>
      </c>
      <c r="AE144">
        <v>-1.3069344483732352</v>
      </c>
      <c r="AF144">
        <v>4.6388463750021494E-3</v>
      </c>
      <c r="AG144">
        <v>-1.1861493407782187</v>
      </c>
      <c r="AH144">
        <v>-1.3101636970216606</v>
      </c>
      <c r="AI144">
        <v>5.0438794024880494E-4</v>
      </c>
    </row>
    <row r="145" spans="23:35" x14ac:dyDescent="0.25">
      <c r="W145">
        <v>143</v>
      </c>
      <c r="X145">
        <v>73.891151238740179</v>
      </c>
      <c r="Y145">
        <v>-5.7911512387401842</v>
      </c>
      <c r="Z145">
        <v>73.911730693397715</v>
      </c>
      <c r="AA145">
        <v>0.38932686476652517</v>
      </c>
      <c r="AB145">
        <v>55.3</v>
      </c>
      <c r="AC145">
        <v>-0.29295400660571042</v>
      </c>
      <c r="AD145">
        <v>-1.3295183307032123</v>
      </c>
      <c r="AE145">
        <v>-1.3029658501287444</v>
      </c>
      <c r="AF145">
        <v>3.5410200064692351E-3</v>
      </c>
      <c r="AG145">
        <v>-1.3318785261846822</v>
      </c>
      <c r="AH145">
        <v>-1.3091153822356238</v>
      </c>
      <c r="AI145">
        <v>4.8490296155147457E-4</v>
      </c>
    </row>
    <row r="146" spans="23:35" x14ac:dyDescent="0.25">
      <c r="W146">
        <v>144</v>
      </c>
      <c r="X146">
        <v>73.517026887857952</v>
      </c>
      <c r="Y146">
        <v>-5.3170268878579492</v>
      </c>
      <c r="Z146">
        <v>73.540943077222693</v>
      </c>
      <c r="AA146">
        <v>0.39175257731958762</v>
      </c>
      <c r="AB146">
        <v>55.5</v>
      </c>
      <c r="AC146">
        <v>-0.28028330588569778</v>
      </c>
      <c r="AD146">
        <v>-1.2206700223886426</v>
      </c>
      <c r="AE146">
        <v>-1.3010284974644504</v>
      </c>
      <c r="AF146">
        <v>4.4778963226051825E-3</v>
      </c>
      <c r="AG146">
        <v>-1.2234122523010971</v>
      </c>
      <c r="AH146">
        <v>-1.30526189467286</v>
      </c>
      <c r="AI146">
        <v>5.1787557174547442E-4</v>
      </c>
    </row>
    <row r="147" spans="23:35" x14ac:dyDescent="0.25">
      <c r="W147">
        <v>145</v>
      </c>
      <c r="X147">
        <v>70.068941915762167</v>
      </c>
      <c r="Y147">
        <v>-2.3689419157621643</v>
      </c>
      <c r="Z147">
        <v>70.107232963339342</v>
      </c>
      <c r="AA147">
        <v>0.36749545178896303</v>
      </c>
      <c r="AB147">
        <v>55.5</v>
      </c>
      <c r="AC147">
        <v>-0.35059197017921911</v>
      </c>
      <c r="AD147">
        <v>-0.54385588832629772</v>
      </c>
      <c r="AE147">
        <v>-1.2984155026389939</v>
      </c>
      <c r="AF147">
        <v>1.5906664689427235E-2</v>
      </c>
      <c r="AG147">
        <v>-0.54823365144685632</v>
      </c>
      <c r="AH147">
        <v>-1.3007958780448377</v>
      </c>
      <c r="AI147">
        <v>3.7370668161250712E-4</v>
      </c>
    </row>
    <row r="148" spans="23:35" x14ac:dyDescent="0.25">
      <c r="W148">
        <v>146</v>
      </c>
      <c r="X148">
        <v>73.002731595070244</v>
      </c>
      <c r="Y148">
        <v>-5.8027315950702416</v>
      </c>
      <c r="Z148">
        <v>73.031083189329593</v>
      </c>
      <c r="AA148">
        <v>0.34505761067313523</v>
      </c>
      <c r="AB148">
        <v>55.6</v>
      </c>
      <c r="AC148">
        <v>-0.40776731506460179</v>
      </c>
      <c r="AD148">
        <v>-1.3321769205728555</v>
      </c>
      <c r="AE148">
        <v>-1.2965192637304734</v>
      </c>
      <c r="AF148">
        <v>4.862148821890201E-3</v>
      </c>
      <c r="AG148">
        <v>-1.3354273998451793</v>
      </c>
      <c r="AH148">
        <v>-1.2998586711085847</v>
      </c>
      <c r="AI148">
        <v>6.7025832265852692E-4</v>
      </c>
    </row>
    <row r="149" spans="23:35" x14ac:dyDescent="0.25">
      <c r="W149">
        <v>147</v>
      </c>
      <c r="X149">
        <v>72.938510931706134</v>
      </c>
      <c r="Y149">
        <v>-5.2385109317061307</v>
      </c>
      <c r="Z149">
        <v>72.957666212872695</v>
      </c>
      <c r="AA149">
        <v>0.36749545178896303</v>
      </c>
      <c r="AB149">
        <v>55.6</v>
      </c>
      <c r="AC149">
        <v>-0.35059197017921911</v>
      </c>
      <c r="AD149">
        <v>-1.2026445213003236</v>
      </c>
      <c r="AE149">
        <v>-1.2889816285403666</v>
      </c>
      <c r="AF149">
        <v>3.6433049172387151E-3</v>
      </c>
      <c r="AG149">
        <v>-1.2048413261977657</v>
      </c>
      <c r="AH149">
        <v>-1.2913236953556446</v>
      </c>
      <c r="AI149">
        <v>4.0831659881892575E-4</v>
      </c>
    </row>
    <row r="150" spans="23:35" x14ac:dyDescent="0.25">
      <c r="W150">
        <v>148</v>
      </c>
      <c r="X150">
        <v>73.21868374763784</v>
      </c>
      <c r="Y150">
        <v>-5.21868374763784</v>
      </c>
      <c r="Z150">
        <v>73.304583609597117</v>
      </c>
      <c r="AA150">
        <v>0.38447543966040026</v>
      </c>
      <c r="AB150">
        <v>55.7</v>
      </c>
      <c r="AC150">
        <v>-0.31204933220437475</v>
      </c>
      <c r="AD150">
        <v>-1.1980926448981535</v>
      </c>
      <c r="AE150">
        <v>-1.285592128785731</v>
      </c>
      <c r="AF150">
        <v>1.61935164531802E-2</v>
      </c>
      <c r="AG150">
        <v>-1.2079127400428542</v>
      </c>
      <c r="AH150">
        <v>-1.2870216016549691</v>
      </c>
      <c r="AI150">
        <v>1.8473928479231646E-3</v>
      </c>
    </row>
    <row r="151" spans="23:35" x14ac:dyDescent="0.25">
      <c r="W151">
        <v>149</v>
      </c>
      <c r="X151">
        <v>81.716167490327223</v>
      </c>
      <c r="Y151">
        <v>7.2838325096727772</v>
      </c>
      <c r="Z151">
        <v>81.612089216059729</v>
      </c>
      <c r="AA151">
        <v>1</v>
      </c>
      <c r="AB151">
        <v>55.8</v>
      </c>
      <c r="AC151">
        <v>2.6570161854420777</v>
      </c>
      <c r="AD151">
        <v>1.6722044443599455</v>
      </c>
      <c r="AE151">
        <v>-1.2753115569630702</v>
      </c>
      <c r="AF151">
        <v>1.4087646333485223E-2</v>
      </c>
      <c r="AG151">
        <v>1.6841090867715713</v>
      </c>
      <c r="AH151">
        <v>-1.2798894436998083</v>
      </c>
      <c r="AI151">
        <v>3.1174336418001154E-3</v>
      </c>
    </row>
    <row r="152" spans="23:35" x14ac:dyDescent="0.25">
      <c r="W152">
        <v>150</v>
      </c>
      <c r="X152">
        <v>77.312243385916474</v>
      </c>
      <c r="Y152">
        <v>9.6877566140835256</v>
      </c>
      <c r="Z152">
        <v>77.240134266365047</v>
      </c>
      <c r="AA152">
        <v>0.99211643420254703</v>
      </c>
      <c r="AB152">
        <v>55.9</v>
      </c>
      <c r="AC152">
        <v>2.349487559997844</v>
      </c>
      <c r="AD152">
        <v>2.2240914579563422</v>
      </c>
      <c r="AE152">
        <v>-1.275197136088158</v>
      </c>
      <c r="AF152">
        <v>7.3883311020272163E-3</v>
      </c>
      <c r="AG152">
        <v>2.2323534299331227</v>
      </c>
      <c r="AH152">
        <v>-1.2769876550211705</v>
      </c>
      <c r="AI152">
        <v>2.853313748233739E-3</v>
      </c>
    </row>
    <row r="153" spans="23:35" x14ac:dyDescent="0.25">
      <c r="W153">
        <v>151</v>
      </c>
      <c r="X153">
        <v>77.262296270267257</v>
      </c>
      <c r="Y153">
        <v>5.7377037297327433</v>
      </c>
      <c r="Z153">
        <v>77.224671925366678</v>
      </c>
      <c r="AA153">
        <v>0.97877501516070342</v>
      </c>
      <c r="AB153">
        <v>56</v>
      </c>
      <c r="AC153">
        <v>1.9368862628682144</v>
      </c>
      <c r="AD153">
        <v>1.317247982368936</v>
      </c>
      <c r="AE153">
        <v>-1.2717440540957183</v>
      </c>
      <c r="AF153">
        <v>6.5146679832497299E-3</v>
      </c>
      <c r="AG153">
        <v>1.3215597779092607</v>
      </c>
      <c r="AH153">
        <v>-1.2729107977712468</v>
      </c>
      <c r="AI153">
        <v>8.8096996006546604E-4</v>
      </c>
    </row>
    <row r="154" spans="23:35" x14ac:dyDescent="0.25">
      <c r="W154">
        <v>152</v>
      </c>
      <c r="X154">
        <v>77.171349837662618</v>
      </c>
      <c r="Y154">
        <v>5.8286501623373823</v>
      </c>
      <c r="Z154">
        <v>77.132669065637302</v>
      </c>
      <c r="AA154">
        <v>0.97877501516070342</v>
      </c>
      <c r="AB154">
        <v>56</v>
      </c>
      <c r="AC154">
        <v>1.9368862628682144</v>
      </c>
      <c r="AD154">
        <v>1.3381272418244767</v>
      </c>
      <c r="AE154">
        <v>-1.2665220362138765</v>
      </c>
      <c r="AF154">
        <v>6.5925669538739375E-3</v>
      </c>
      <c r="AG154">
        <v>1.3425600181537194</v>
      </c>
      <c r="AH154">
        <v>-1.2675588583574524</v>
      </c>
      <c r="AI154">
        <v>9.201342800891258E-4</v>
      </c>
    </row>
    <row r="155" spans="23:35" x14ac:dyDescent="0.25">
      <c r="W155">
        <v>153</v>
      </c>
      <c r="X155">
        <v>76.943994910427293</v>
      </c>
      <c r="Y155">
        <v>3.0560050895727073</v>
      </c>
      <c r="Z155">
        <v>76.922520352666425</v>
      </c>
      <c r="AA155">
        <v>0.92722862340812617</v>
      </c>
      <c r="AB155">
        <v>56</v>
      </c>
      <c r="AC155">
        <v>1.4191611772342045</v>
      </c>
      <c r="AD155">
        <v>0.70159017055702055</v>
      </c>
      <c r="AE155">
        <v>-1.256992450939924</v>
      </c>
      <c r="AF155">
        <v>6.9779690596720092E-3</v>
      </c>
      <c r="AG155">
        <v>0.70405089345943217</v>
      </c>
      <c r="AH155">
        <v>-1.2625496965606267</v>
      </c>
      <c r="AI155">
        <v>2.6793837017975101E-4</v>
      </c>
    </row>
    <row r="156" spans="23:35" x14ac:dyDescent="0.25">
      <c r="W156">
        <v>154</v>
      </c>
      <c r="X156">
        <v>76.929364432065526</v>
      </c>
      <c r="Y156">
        <v>2.8706355679344711</v>
      </c>
      <c r="Z156">
        <v>76.910390386227874</v>
      </c>
      <c r="AA156">
        <v>0.91813220133414186</v>
      </c>
      <c r="AB156">
        <v>56.1</v>
      </c>
      <c r="AC156">
        <v>1.3748000243745633</v>
      </c>
      <c r="AD156">
        <v>0.65903348937020101</v>
      </c>
      <c r="AE156">
        <v>-1.2516637595201503</v>
      </c>
      <c r="AF156">
        <v>6.5663007719880175E-3</v>
      </c>
      <c r="AG156">
        <v>0.66120790972764154</v>
      </c>
      <c r="AH156">
        <v>-1.255604154281786</v>
      </c>
      <c r="AI156">
        <v>2.22287280134074E-4</v>
      </c>
    </row>
    <row r="157" spans="23:35" x14ac:dyDescent="0.25">
      <c r="W157">
        <v>155</v>
      </c>
      <c r="X157">
        <v>82.725395702862286</v>
      </c>
      <c r="Y157">
        <v>-3.2253957028622864</v>
      </c>
      <c r="Z157">
        <v>82.758339115500092</v>
      </c>
      <c r="AA157">
        <v>0.90964220739842327</v>
      </c>
      <c r="AB157">
        <v>56.1</v>
      </c>
      <c r="AC157">
        <v>1.3219841213691266</v>
      </c>
      <c r="AD157">
        <v>-0.74047845306482585</v>
      </c>
      <c r="AE157">
        <v>-1.2511372774756906</v>
      </c>
      <c r="AF157">
        <v>1.0110492330613617E-2</v>
      </c>
      <c r="AG157">
        <v>-0.74425038017625533</v>
      </c>
      <c r="AH157">
        <v>-1.2535400707484223</v>
      </c>
      <c r="AI157">
        <v>4.3519145674912482E-4</v>
      </c>
    </row>
    <row r="158" spans="23:35" x14ac:dyDescent="0.25">
      <c r="W158">
        <v>156</v>
      </c>
      <c r="X158">
        <v>74.433384139173086</v>
      </c>
      <c r="Y158">
        <v>5.0666158608269143</v>
      </c>
      <c r="Z158">
        <v>74.383439843230775</v>
      </c>
      <c r="AA158">
        <v>0.90964220739842327</v>
      </c>
      <c r="AB158">
        <v>56.2</v>
      </c>
      <c r="AC158">
        <v>1.3219841213691266</v>
      </c>
      <c r="AD158">
        <v>1.1631812715473846</v>
      </c>
      <c r="AE158">
        <v>-1.2473643235920489</v>
      </c>
      <c r="AF158">
        <v>9.7613033780572737E-3</v>
      </c>
      <c r="AG158">
        <v>1.1689002569737204</v>
      </c>
      <c r="AH158">
        <v>-1.2532537519665379</v>
      </c>
      <c r="AI158">
        <v>1.0360470367192847E-3</v>
      </c>
    </row>
    <row r="159" spans="23:35" x14ac:dyDescent="0.25">
      <c r="W159">
        <v>157</v>
      </c>
      <c r="X159">
        <v>77.782543756850004</v>
      </c>
      <c r="Y159">
        <v>1.6174562431500021</v>
      </c>
      <c r="Z159">
        <v>77.762013229009668</v>
      </c>
      <c r="AA159">
        <v>0.90661006670709521</v>
      </c>
      <c r="AB159">
        <v>56.2</v>
      </c>
      <c r="AC159">
        <v>1.2933897637306977</v>
      </c>
      <c r="AD159">
        <v>0.37133164645965788</v>
      </c>
      <c r="AE159">
        <v>-1.2468484545388403</v>
      </c>
      <c r="AF159">
        <v>1.2534001009009619E-2</v>
      </c>
      <c r="AG159">
        <v>0.37368088934740745</v>
      </c>
      <c r="AH159">
        <v>-1.2484924690259624</v>
      </c>
      <c r="AI159">
        <v>1.3634085028029101E-4</v>
      </c>
    </row>
    <row r="160" spans="23:35" x14ac:dyDescent="0.25">
      <c r="W160">
        <v>158</v>
      </c>
      <c r="X160">
        <v>77.49527312507152</v>
      </c>
      <c r="Y160">
        <v>1.4047268749284854</v>
      </c>
      <c r="Z160">
        <v>77.477718041793125</v>
      </c>
      <c r="AA160">
        <v>0.88599151000606424</v>
      </c>
      <c r="AB160">
        <v>56.2</v>
      </c>
      <c r="AC160">
        <v>1.1852957183684145</v>
      </c>
      <c r="AD160">
        <v>0.32249375864256358</v>
      </c>
      <c r="AE160">
        <v>-1.2450833159886809</v>
      </c>
      <c r="AF160">
        <v>1.2342899505335013E-2</v>
      </c>
      <c r="AG160">
        <v>0.32450262837430477</v>
      </c>
      <c r="AH160">
        <v>-1.2476889960855426</v>
      </c>
      <c r="AI160">
        <v>1.0122879985941046E-4</v>
      </c>
    </row>
    <row r="161" spans="23:35" x14ac:dyDescent="0.25">
      <c r="W161">
        <v>159</v>
      </c>
      <c r="X161">
        <v>81.392789882030769</v>
      </c>
      <c r="Y161">
        <v>-2.5927898820307718</v>
      </c>
      <c r="Z161">
        <v>81.4094113989389</v>
      </c>
      <c r="AA161">
        <v>0.88174651303820495</v>
      </c>
      <c r="AB161">
        <v>56.3</v>
      </c>
      <c r="AC161">
        <v>1.1700898139672218</v>
      </c>
      <c r="AD161">
        <v>-0.59524635667633352</v>
      </c>
      <c r="AE161">
        <v>-1.2424979347361009</v>
      </c>
      <c r="AF161">
        <v>6.369833792743659E-3</v>
      </c>
      <c r="AG161">
        <v>-0.59715127219782949</v>
      </c>
      <c r="AH161">
        <v>-1.2476189808283589</v>
      </c>
      <c r="AI161">
        <v>1.7584446548290532E-4</v>
      </c>
    </row>
    <row r="162" spans="23:35" x14ac:dyDescent="0.25">
      <c r="W162">
        <v>160</v>
      </c>
      <c r="X162">
        <v>78.083478293431796</v>
      </c>
      <c r="Y162">
        <v>0.21652170656820147</v>
      </c>
      <c r="Z162">
        <v>78.082352654464614</v>
      </c>
      <c r="AA162">
        <v>0.86901152213462707</v>
      </c>
      <c r="AB162">
        <v>56.3</v>
      </c>
      <c r="AC162">
        <v>1.1118051137279645</v>
      </c>
      <c r="AD162">
        <v>4.9708523575044739E-2</v>
      </c>
      <c r="AE162">
        <v>-1.2415631669009675</v>
      </c>
      <c r="AF162">
        <v>5.1718479010935507E-3</v>
      </c>
      <c r="AG162">
        <v>4.983756679692871E-2</v>
      </c>
      <c r="AH162">
        <v>-1.244994977680608</v>
      </c>
      <c r="AI162">
        <v>9.9327152831143044E-7</v>
      </c>
    </row>
    <row r="163" spans="23:35" x14ac:dyDescent="0.25">
      <c r="W163">
        <v>161</v>
      </c>
      <c r="X163">
        <v>78.138420837331978</v>
      </c>
      <c r="Y163">
        <v>-0.13842083733197796</v>
      </c>
      <c r="Z163">
        <v>78.140412835579625</v>
      </c>
      <c r="AA163">
        <v>0.86294724075197093</v>
      </c>
      <c r="AB163">
        <v>56.4</v>
      </c>
      <c r="AC163">
        <v>1.0491313979639725</v>
      </c>
      <c r="AD163">
        <v>-3.1778317125108799E-2</v>
      </c>
      <c r="AE163">
        <v>-1.2402783688567238</v>
      </c>
      <c r="AF163">
        <v>1.4186724735138413E-2</v>
      </c>
      <c r="AG163">
        <v>-3.2006159381972113E-2</v>
      </c>
      <c r="AH163">
        <v>-1.2440393199180977</v>
      </c>
      <c r="AI163">
        <v>1.133995300737771E-6</v>
      </c>
    </row>
    <row r="164" spans="23:35" x14ac:dyDescent="0.25">
      <c r="W164">
        <v>162</v>
      </c>
      <c r="X164">
        <v>80.154508446604325</v>
      </c>
      <c r="Y164">
        <v>-2.1545084466043249</v>
      </c>
      <c r="Z164">
        <v>80.1818371915532</v>
      </c>
      <c r="AA164">
        <v>0.86294724075197093</v>
      </c>
      <c r="AB164">
        <v>56.4</v>
      </c>
      <c r="AC164">
        <v>1.0491313979639725</v>
      </c>
      <c r="AD164">
        <v>-0.49462677718610087</v>
      </c>
      <c r="AE164">
        <v>-1.2375404747180676</v>
      </c>
      <c r="AF164">
        <v>1.2525565635548888E-2</v>
      </c>
      <c r="AG164">
        <v>-0.49775392509693572</v>
      </c>
      <c r="AH164">
        <v>-1.243596443269851</v>
      </c>
      <c r="AI164">
        <v>2.4174501146176692E-4</v>
      </c>
    </row>
    <row r="165" spans="23:35" x14ac:dyDescent="0.25">
      <c r="W165">
        <v>163</v>
      </c>
      <c r="X165">
        <v>77.882336886742209</v>
      </c>
      <c r="Y165">
        <v>-0.28233688674221469</v>
      </c>
      <c r="Z165">
        <v>77.886338074178056</v>
      </c>
      <c r="AA165">
        <v>0.8483929654335961</v>
      </c>
      <c r="AB165">
        <v>56.5</v>
      </c>
      <c r="AC165">
        <v>1.0205681915260707</v>
      </c>
      <c r="AD165">
        <v>-6.4818211592607311E-2</v>
      </c>
      <c r="AE165">
        <v>-1.2347123857138591</v>
      </c>
      <c r="AF165">
        <v>1.3973647924183982E-2</v>
      </c>
      <c r="AG165">
        <v>-6.5275887199698721E-2</v>
      </c>
      <c r="AH165">
        <v>-1.242975644547996</v>
      </c>
      <c r="AI165">
        <v>4.6449761571109878E-6</v>
      </c>
    </row>
    <row r="166" spans="23:35" x14ac:dyDescent="0.25">
      <c r="W166">
        <v>164</v>
      </c>
      <c r="X166">
        <v>70.068702833187984</v>
      </c>
      <c r="Y166">
        <v>-6.8702833187984425E-2</v>
      </c>
      <c r="Z166">
        <v>70.069054406445844</v>
      </c>
      <c r="AA166">
        <v>0.46088538508186777</v>
      </c>
      <c r="AB166">
        <v>56.5</v>
      </c>
      <c r="AC166">
        <v>-0.10660788786182936</v>
      </c>
      <c r="AD166">
        <v>-1.577262833055296E-2</v>
      </c>
      <c r="AE166">
        <v>-1.232268250624621</v>
      </c>
      <c r="AF166">
        <v>5.0912501598891578E-3</v>
      </c>
      <c r="AG166">
        <v>-1.5812933497035043E-2</v>
      </c>
      <c r="AH166">
        <v>-1.2411496775714503</v>
      </c>
      <c r="AI166">
        <v>9.8428920711459383E-8</v>
      </c>
    </row>
    <row r="167" spans="23:35" x14ac:dyDescent="0.25">
      <c r="W167">
        <v>165</v>
      </c>
      <c r="X167">
        <v>73.060618935526136</v>
      </c>
      <c r="Y167">
        <v>-3.2606189355261392</v>
      </c>
      <c r="Z167">
        <v>73.064545436168643</v>
      </c>
      <c r="AA167">
        <v>0.4530018192844148</v>
      </c>
      <c r="AB167">
        <v>56.5</v>
      </c>
      <c r="AC167">
        <v>-0.12344005334831042</v>
      </c>
      <c r="AD167">
        <v>-0.74856491663012614</v>
      </c>
      <c r="AE167">
        <v>-1.2301865246954311</v>
      </c>
      <c r="AF167">
        <v>1.2027710195120507E-3</v>
      </c>
      <c r="AG167">
        <v>-0.74901549922562949</v>
      </c>
      <c r="AH167">
        <v>-1.2406437290970973</v>
      </c>
      <c r="AI167">
        <v>5.1968942950133247E-5</v>
      </c>
    </row>
    <row r="168" spans="23:35" x14ac:dyDescent="0.25">
      <c r="W168">
        <v>166</v>
      </c>
      <c r="X168">
        <v>73.051363454542553</v>
      </c>
      <c r="Y168">
        <v>-3.6513634545425475</v>
      </c>
      <c r="Z168">
        <v>73.056429312853965</v>
      </c>
      <c r="AA168">
        <v>0.43784111582777441</v>
      </c>
      <c r="AB168">
        <v>56.5</v>
      </c>
      <c r="AC168">
        <v>-0.16799678341230881</v>
      </c>
      <c r="AD168">
        <v>-0.83827108717163978</v>
      </c>
      <c r="AE168">
        <v>-1.2214815201659446</v>
      </c>
      <c r="AF168">
        <v>1.3854659499632643E-3</v>
      </c>
      <c r="AG168">
        <v>-0.83885238929620953</v>
      </c>
      <c r="AH168">
        <v>-1.2239507304024</v>
      </c>
      <c r="AI168">
        <v>7.5097540472671368E-5</v>
      </c>
    </row>
    <row r="169" spans="23:35" x14ac:dyDescent="0.25">
      <c r="W169">
        <v>167</v>
      </c>
      <c r="X169">
        <v>72.599340848960438</v>
      </c>
      <c r="Y169">
        <v>-3.199340848960432</v>
      </c>
      <c r="Z169">
        <v>72.60322475363067</v>
      </c>
      <c r="AA169">
        <v>0.43784111582777441</v>
      </c>
      <c r="AB169">
        <v>56.6</v>
      </c>
      <c r="AC169">
        <v>-0.16799678341230881</v>
      </c>
      <c r="AD169">
        <v>-0.73449684346109434</v>
      </c>
      <c r="AE169">
        <v>-1.2210403826213949</v>
      </c>
      <c r="AF169">
        <v>1.2124983318235196E-3</v>
      </c>
      <c r="AG169">
        <v>-0.73494253690270051</v>
      </c>
      <c r="AH169">
        <v>-1.2234122523010971</v>
      </c>
      <c r="AI169">
        <v>5.0439580573911642E-5</v>
      </c>
    </row>
    <row r="170" spans="23:35" x14ac:dyDescent="0.25">
      <c r="W170">
        <v>168</v>
      </c>
      <c r="X170">
        <v>72.789675080799455</v>
      </c>
      <c r="Y170">
        <v>-3.289675080799455</v>
      </c>
      <c r="Z170">
        <v>72.793752977910856</v>
      </c>
      <c r="AA170">
        <v>0.44269254093389931</v>
      </c>
      <c r="AB170">
        <v>56.7</v>
      </c>
      <c r="AC170">
        <v>-0.15567569037416348</v>
      </c>
      <c r="AD170">
        <v>-0.75523555536289266</v>
      </c>
      <c r="AE170">
        <v>-1.2206700223886426</v>
      </c>
      <c r="AF170">
        <v>1.2380701099176414E-3</v>
      </c>
      <c r="AG170">
        <v>-0.7557035072091669</v>
      </c>
      <c r="AH170">
        <v>-1.2233075874124457</v>
      </c>
      <c r="AI170">
        <v>5.4455629420839226E-5</v>
      </c>
    </row>
    <row r="171" spans="23:35" x14ac:dyDescent="0.25">
      <c r="W171">
        <v>169</v>
      </c>
      <c r="X171">
        <v>72.729666551685483</v>
      </c>
      <c r="Y171">
        <v>-3.229666551685483</v>
      </c>
      <c r="Z171">
        <v>72.733878933756188</v>
      </c>
      <c r="AA171">
        <v>0.44269254093389931</v>
      </c>
      <c r="AB171">
        <v>56.7</v>
      </c>
      <c r="AC171">
        <v>-0.15567569037416348</v>
      </c>
      <c r="AD171">
        <v>-0.74145894408708024</v>
      </c>
      <c r="AE171">
        <v>-1.2196019272163146</v>
      </c>
      <c r="AF171">
        <v>1.3025787782996469E-3</v>
      </c>
      <c r="AG171">
        <v>-0.74194232070824362</v>
      </c>
      <c r="AH171">
        <v>-1.22142410434703</v>
      </c>
      <c r="AI171">
        <v>5.5228977879638992E-5</v>
      </c>
    </row>
    <row r="172" spans="23:35" x14ac:dyDescent="0.25">
      <c r="W172">
        <v>170</v>
      </c>
      <c r="X172">
        <v>72.251571164828889</v>
      </c>
      <c r="Y172">
        <v>-2.6515711648288942</v>
      </c>
      <c r="Z172">
        <v>72.255750661140524</v>
      </c>
      <c r="AA172">
        <v>0.44815039417828989</v>
      </c>
      <c r="AB172">
        <v>56.7</v>
      </c>
      <c r="AC172">
        <v>-0.14337818601426075</v>
      </c>
      <c r="AD172">
        <v>-0.60874121974596984</v>
      </c>
      <c r="AE172">
        <v>-1.2194885535966942</v>
      </c>
      <c r="AF172">
        <v>1.5737532791723333E-3</v>
      </c>
      <c r="AG172">
        <v>-0.60922079010970842</v>
      </c>
      <c r="AH172">
        <v>-1.2205366236100448</v>
      </c>
      <c r="AI172">
        <v>4.5001473839047004E-5</v>
      </c>
    </row>
    <row r="173" spans="23:35" x14ac:dyDescent="0.25">
      <c r="W173">
        <v>171</v>
      </c>
      <c r="X173">
        <v>72.23576950517446</v>
      </c>
      <c r="Y173">
        <v>-2.6357695051744656</v>
      </c>
      <c r="Z173">
        <v>72.2399893011046</v>
      </c>
      <c r="AA173">
        <v>0.44815039417828989</v>
      </c>
      <c r="AB173">
        <v>56.7</v>
      </c>
      <c r="AC173">
        <v>-0.14337818601426075</v>
      </c>
      <c r="AD173">
        <v>-0.60511351338845698</v>
      </c>
      <c r="AE173">
        <v>-1.2152222173949174</v>
      </c>
      <c r="AF173">
        <v>1.598414027045456E-3</v>
      </c>
      <c r="AG173">
        <v>-0.60559770488357156</v>
      </c>
      <c r="AH173">
        <v>-1.218070655059996</v>
      </c>
      <c r="AI173">
        <v>4.5165737773964946E-5</v>
      </c>
    </row>
    <row r="174" spans="23:35" x14ac:dyDescent="0.25">
      <c r="W174">
        <v>172</v>
      </c>
      <c r="X174">
        <v>72.043098339193207</v>
      </c>
      <c r="Y174">
        <v>-2.6430983391932017</v>
      </c>
      <c r="Z174">
        <v>72.04750596172498</v>
      </c>
      <c r="AA174">
        <v>0.43784111582777441</v>
      </c>
      <c r="AB174">
        <v>56.7</v>
      </c>
      <c r="AC174">
        <v>-0.16799678341230881</v>
      </c>
      <c r="AD174">
        <v>-0.60679604916915098</v>
      </c>
      <c r="AE174">
        <v>-1.2108798097759028</v>
      </c>
      <c r="AF174">
        <v>1.6648206257111552E-3</v>
      </c>
      <c r="AG174">
        <v>-0.60730178401431034</v>
      </c>
      <c r="AH174">
        <v>-1.2118047189641128</v>
      </c>
      <c r="AI174">
        <v>4.7310423343455207E-5</v>
      </c>
    </row>
    <row r="175" spans="23:35" x14ac:dyDescent="0.25">
      <c r="W175">
        <v>173</v>
      </c>
      <c r="X175">
        <v>71.843282608976807</v>
      </c>
      <c r="Y175">
        <v>-2.8432826089768071</v>
      </c>
      <c r="Z175">
        <v>71.847600421064385</v>
      </c>
      <c r="AA175">
        <v>0.42086112795633718</v>
      </c>
      <c r="AB175">
        <v>56.7</v>
      </c>
      <c r="AC175">
        <v>-0.21444491222324932</v>
      </c>
      <c r="AD175">
        <v>-0.65275386398416158</v>
      </c>
      <c r="AE175">
        <v>-1.2073427923103222</v>
      </c>
      <c r="AF175">
        <v>1.5162984439967277E-3</v>
      </c>
      <c r="AG175">
        <v>-0.65324931232520778</v>
      </c>
      <c r="AH175">
        <v>-1.2107399804116175</v>
      </c>
      <c r="AI175">
        <v>4.9849209902761666E-5</v>
      </c>
    </row>
    <row r="176" spans="23:35" x14ac:dyDescent="0.25">
      <c r="W176">
        <v>174</v>
      </c>
      <c r="X176">
        <v>71.74687501382418</v>
      </c>
      <c r="Y176">
        <v>-3.0468750138241774</v>
      </c>
      <c r="Z176">
        <v>71.75169511848776</v>
      </c>
      <c r="AA176">
        <v>0.40873256519102485</v>
      </c>
      <c r="AB176">
        <v>56.8</v>
      </c>
      <c r="AC176">
        <v>-0.23783731322627524</v>
      </c>
      <c r="AD176">
        <v>-0.69949411010755802</v>
      </c>
      <c r="AE176">
        <v>-1.2030817833505751</v>
      </c>
      <c r="AF176">
        <v>1.5794843444150741E-3</v>
      </c>
      <c r="AG176">
        <v>-0.70004718537211741</v>
      </c>
      <c r="AH176">
        <v>-1.2079127400428542</v>
      </c>
      <c r="AI176">
        <v>5.9636631453365531E-5</v>
      </c>
    </row>
    <row r="177" spans="23:35" x14ac:dyDescent="0.25">
      <c r="W177">
        <v>175</v>
      </c>
      <c r="X177">
        <v>71.087123280102958</v>
      </c>
      <c r="Y177">
        <v>-2.6871232801029521</v>
      </c>
      <c r="Z177">
        <v>71.090860713726798</v>
      </c>
      <c r="AA177">
        <v>0.40024257125530627</v>
      </c>
      <c r="AB177">
        <v>56.8</v>
      </c>
      <c r="AC177">
        <v>-0.26293383539244392</v>
      </c>
      <c r="AD177">
        <v>-0.61690318737616012</v>
      </c>
      <c r="AE177">
        <v>-1.2026445213003236</v>
      </c>
      <c r="AF177">
        <v>1.3889361142996549E-3</v>
      </c>
      <c r="AG177">
        <v>-0.61733205373687416</v>
      </c>
      <c r="AH177">
        <v>-1.207817735189016</v>
      </c>
      <c r="AI177">
        <v>4.0773707160638292E-5</v>
      </c>
    </row>
    <row r="178" spans="23:35" x14ac:dyDescent="0.25">
      <c r="W178">
        <v>176</v>
      </c>
      <c r="X178">
        <v>71.53280490716719</v>
      </c>
      <c r="Y178">
        <v>-3.0328049071671899</v>
      </c>
      <c r="Z178">
        <v>71.537305098160033</v>
      </c>
      <c r="AA178">
        <v>0.40388114008489995</v>
      </c>
      <c r="AB178">
        <v>56.8</v>
      </c>
      <c r="AC178">
        <v>-0.25193465741015014</v>
      </c>
      <c r="AD178">
        <v>-0.69626392945016535</v>
      </c>
      <c r="AE178">
        <v>-1.2009864777550616</v>
      </c>
      <c r="AF178">
        <v>1.4816394294964029E-3</v>
      </c>
      <c r="AG178">
        <v>-0.6967803093833238</v>
      </c>
      <c r="AH178">
        <v>-1.2068997254385418</v>
      </c>
      <c r="AI178">
        <v>5.5415959619700038E-5</v>
      </c>
    </row>
    <row r="179" spans="23:35" x14ac:dyDescent="0.25">
      <c r="W179">
        <v>177</v>
      </c>
      <c r="X179">
        <v>71.549241832991953</v>
      </c>
      <c r="Y179">
        <v>-3.3492418329919502</v>
      </c>
      <c r="Z179">
        <v>71.553832190451047</v>
      </c>
      <c r="AA179">
        <v>0.39175257731958762</v>
      </c>
      <c r="AB179">
        <v>56.8</v>
      </c>
      <c r="AC179">
        <v>-0.28028330588569778</v>
      </c>
      <c r="AD179">
        <v>-0.76891074457408071</v>
      </c>
      <c r="AE179">
        <v>-1.1986949349822014</v>
      </c>
      <c r="AF179">
        <v>1.368690261890973E-3</v>
      </c>
      <c r="AG179">
        <v>-0.76943748566903125</v>
      </c>
      <c r="AH179">
        <v>-1.2048413261977657</v>
      </c>
      <c r="AI179">
        <v>6.2417062796289933E-5</v>
      </c>
    </row>
    <row r="180" spans="23:35" x14ac:dyDescent="0.25">
      <c r="W180">
        <v>178</v>
      </c>
      <c r="X180">
        <v>68.75402539859499</v>
      </c>
      <c r="Y180">
        <v>-0.45402539859499313</v>
      </c>
      <c r="Z180">
        <v>68.756268114984124</v>
      </c>
      <c r="AA180">
        <v>0.39599757428744692</v>
      </c>
      <c r="AB180">
        <v>56.8</v>
      </c>
      <c r="AC180">
        <v>-0.27396491687072577</v>
      </c>
      <c r="AD180">
        <v>-0.10423404002969737</v>
      </c>
      <c r="AE180">
        <v>-1.1980926448981535</v>
      </c>
      <c r="AF180">
        <v>4.915347611370165E-3</v>
      </c>
      <c r="AG180">
        <v>-0.10449116157007209</v>
      </c>
      <c r="AH180">
        <v>-1.2022495519291327</v>
      </c>
      <c r="AI180">
        <v>4.148680309724249E-6</v>
      </c>
    </row>
    <row r="181" spans="23:35" x14ac:dyDescent="0.25">
      <c r="W181">
        <v>179</v>
      </c>
      <c r="X181">
        <v>64.671920466644949</v>
      </c>
      <c r="Y181">
        <v>-4.9719204666449457</v>
      </c>
      <c r="Z181">
        <v>64.680182811385848</v>
      </c>
      <c r="AA181">
        <v>0.16919345057610674</v>
      </c>
      <c r="AB181">
        <v>56.9</v>
      </c>
      <c r="AC181">
        <v>-0.96823093621551704</v>
      </c>
      <c r="AD181">
        <v>-1.1414413346664609</v>
      </c>
      <c r="AE181">
        <v>-1.1979223497982829</v>
      </c>
      <c r="AF181">
        <v>1.6590444676077799E-3</v>
      </c>
      <c r="AG181">
        <v>-1.1423893654142472</v>
      </c>
      <c r="AH181">
        <v>-1.201105484842631</v>
      </c>
      <c r="AI181">
        <v>1.6682613554757709E-4</v>
      </c>
    </row>
    <row r="182" spans="23:35" x14ac:dyDescent="0.25">
      <c r="W182">
        <v>180</v>
      </c>
      <c r="X182">
        <v>64.327467320227896</v>
      </c>
      <c r="Y182">
        <v>-4.8274673202278962</v>
      </c>
      <c r="Z182">
        <v>64.335597723554812</v>
      </c>
      <c r="AA182">
        <v>0.16434202546998181</v>
      </c>
      <c r="AB182">
        <v>56.9</v>
      </c>
      <c r="AC182">
        <v>-0.98044852568054008</v>
      </c>
      <c r="AD182">
        <v>-1.1082781347823907</v>
      </c>
      <c r="AE182">
        <v>-1.1972928497986297</v>
      </c>
      <c r="AF182">
        <v>1.6813647023015067E-3</v>
      </c>
      <c r="AG182">
        <v>-1.1092110212071651</v>
      </c>
      <c r="AH182">
        <v>-1.1983373521913956</v>
      </c>
      <c r="AI182">
        <v>1.5939612075785621E-4</v>
      </c>
    </row>
    <row r="183" spans="23:35" x14ac:dyDescent="0.25">
      <c r="W183">
        <v>181</v>
      </c>
      <c r="X183">
        <v>61.225694075415518</v>
      </c>
      <c r="Y183">
        <v>-1.925694075415521</v>
      </c>
      <c r="Z183">
        <v>61.246013605365725</v>
      </c>
      <c r="AA183">
        <v>0.16070345664038813</v>
      </c>
      <c r="AB183">
        <v>57</v>
      </c>
      <c r="AC183">
        <v>-1.0028172174115717</v>
      </c>
      <c r="AD183">
        <v>-0.44209613374705597</v>
      </c>
      <c r="AE183">
        <v>-1.1915691817105438</v>
      </c>
      <c r="AF183">
        <v>1.0441617619827341E-2</v>
      </c>
      <c r="AG183">
        <v>-0.44442246708475935</v>
      </c>
      <c r="AH183">
        <v>-1.1938832583861734</v>
      </c>
      <c r="AI183">
        <v>1.6031531861008334E-4</v>
      </c>
    </row>
    <row r="184" spans="23:35" x14ac:dyDescent="0.25">
      <c r="W184">
        <v>182</v>
      </c>
      <c r="X184">
        <v>63.975791744876446</v>
      </c>
      <c r="Y184">
        <v>-4.8757917448764445</v>
      </c>
      <c r="Z184">
        <v>63.982692252477285</v>
      </c>
      <c r="AA184">
        <v>0.15342631898120074</v>
      </c>
      <c r="AB184">
        <v>57</v>
      </c>
      <c r="AC184">
        <v>-1.0334469496720613</v>
      </c>
      <c r="AD184">
        <v>-1.1193723379455096</v>
      </c>
      <c r="AE184">
        <v>-1.1912276436912093</v>
      </c>
      <c r="AF184">
        <v>1.4132587605412419E-3</v>
      </c>
      <c r="AG184">
        <v>-1.1201641587116038</v>
      </c>
      <c r="AH184">
        <v>-1.192369314616081</v>
      </c>
      <c r="AI184">
        <v>1.3660163071893964E-4</v>
      </c>
    </row>
    <row r="185" spans="23:35" x14ac:dyDescent="0.25">
      <c r="W185">
        <v>183</v>
      </c>
      <c r="X185">
        <v>63.811986071076163</v>
      </c>
      <c r="Y185">
        <v>-5.11198607107616</v>
      </c>
      <c r="Z185">
        <v>63.819527938164995</v>
      </c>
      <c r="AA185">
        <v>0.14493632504548212</v>
      </c>
      <c r="AB185">
        <v>57</v>
      </c>
      <c r="AC185">
        <v>-1.0597326997110486</v>
      </c>
      <c r="AD185">
        <v>-1.1735972533975414</v>
      </c>
      <c r="AE185">
        <v>-1.1833949604935605</v>
      </c>
      <c r="AF185">
        <v>1.473156740216353E-3</v>
      </c>
      <c r="AG185">
        <v>-1.1744626560223617</v>
      </c>
      <c r="AH185">
        <v>-1.1878848845321739</v>
      </c>
      <c r="AI185">
        <v>1.5653962346661563E-4</v>
      </c>
    </row>
    <row r="186" spans="23:35" x14ac:dyDescent="0.25">
      <c r="W186">
        <v>184</v>
      </c>
      <c r="X186">
        <v>61.909643723799022</v>
      </c>
      <c r="Y186">
        <v>-3.509643723799023</v>
      </c>
      <c r="Z186">
        <v>61.95029052504303</v>
      </c>
      <c r="AA186">
        <v>0.1406913280776228</v>
      </c>
      <c r="AB186">
        <v>57.1</v>
      </c>
      <c r="AC186">
        <v>-1.0895196306228982</v>
      </c>
      <c r="AD186">
        <v>-0.80573541816935201</v>
      </c>
      <c r="AE186">
        <v>-1.1829652849710737</v>
      </c>
      <c r="AF186">
        <v>1.1448866214551968E-2</v>
      </c>
      <c r="AG186">
        <v>-0.81038778323498484</v>
      </c>
      <c r="AH186">
        <v>-1.1861493407782187</v>
      </c>
      <c r="AI186">
        <v>5.8506721192602207E-4</v>
      </c>
    </row>
    <row r="187" spans="23:35" x14ac:dyDescent="0.25">
      <c r="W187">
        <v>185</v>
      </c>
      <c r="X187">
        <v>63.116750306881656</v>
      </c>
      <c r="Y187">
        <v>-5.5167503068816544</v>
      </c>
      <c r="Z187">
        <v>63.12578643885923</v>
      </c>
      <c r="AA187">
        <v>0.12431776834445118</v>
      </c>
      <c r="AB187">
        <v>57.1</v>
      </c>
      <c r="AC187">
        <v>-1.1700898139672218</v>
      </c>
      <c r="AD187">
        <v>-1.2665220362138765</v>
      </c>
      <c r="AE187">
        <v>-1.182926072649843</v>
      </c>
      <c r="AF187">
        <v>1.6352662336034556E-3</v>
      </c>
      <c r="AG187">
        <v>-1.2675588583574524</v>
      </c>
      <c r="AH187">
        <v>-1.1848017287099741</v>
      </c>
      <c r="AI187">
        <v>2.024380543534406E-4</v>
      </c>
    </row>
    <row r="188" spans="23:35" x14ac:dyDescent="0.25">
      <c r="W188">
        <v>186</v>
      </c>
      <c r="X188">
        <v>63.127982093751179</v>
      </c>
      <c r="Y188">
        <v>-6.0279820937511772</v>
      </c>
      <c r="Z188">
        <v>63.138222150170201</v>
      </c>
      <c r="AA188">
        <v>0.11279563371740449</v>
      </c>
      <c r="AB188">
        <v>57.1</v>
      </c>
      <c r="AC188">
        <v>-1.2197514087080794</v>
      </c>
      <c r="AD188">
        <v>-1.3838893788821798</v>
      </c>
      <c r="AE188">
        <v>-1.181734943734136</v>
      </c>
      <c r="AF188">
        <v>1.6958727526668993E-3</v>
      </c>
      <c r="AG188">
        <v>-1.3850643236563511</v>
      </c>
      <c r="AH188">
        <v>-1.1841493829419918</v>
      </c>
      <c r="AI188">
        <v>2.506841809890138E-4</v>
      </c>
    </row>
    <row r="189" spans="23:35" x14ac:dyDescent="0.25">
      <c r="W189">
        <v>187</v>
      </c>
      <c r="X189">
        <v>62.78359134630184</v>
      </c>
      <c r="Y189">
        <v>-5.9835913463018429</v>
      </c>
      <c r="Z189">
        <v>62.79342389220038</v>
      </c>
      <c r="AA189">
        <v>0.10794420861127957</v>
      </c>
      <c r="AB189">
        <v>57.2</v>
      </c>
      <c r="AC189">
        <v>-1.2523823790942721</v>
      </c>
      <c r="AD189">
        <v>-1.3736982597049252</v>
      </c>
      <c r="AE189">
        <v>-1.1810118727072878</v>
      </c>
      <c r="AF189">
        <v>1.640555728310406E-3</v>
      </c>
      <c r="AG189">
        <v>-1.3748264623287829</v>
      </c>
      <c r="AH189">
        <v>-1.1838745991842046</v>
      </c>
      <c r="AI189">
        <v>2.3892218077814967E-4</v>
      </c>
    </row>
    <row r="190" spans="23:35" x14ac:dyDescent="0.25">
      <c r="W190">
        <v>188</v>
      </c>
      <c r="X190">
        <v>59.982431574808977</v>
      </c>
      <c r="Y190">
        <v>-3.4824315748089774</v>
      </c>
      <c r="Z190">
        <v>60.031845626319999</v>
      </c>
      <c r="AA190">
        <v>0.10066707095209218</v>
      </c>
      <c r="AB190">
        <v>57.3</v>
      </c>
      <c r="AC190">
        <v>-1.2898891601746336</v>
      </c>
      <c r="AD190">
        <v>-0.79948811959112265</v>
      </c>
      <c r="AE190">
        <v>-1.1804153838722438</v>
      </c>
      <c r="AF190">
        <v>1.3990999816860536E-2</v>
      </c>
      <c r="AG190">
        <v>-0.80514031822955157</v>
      </c>
      <c r="AH190">
        <v>-1.1826006331219889</v>
      </c>
      <c r="AI190">
        <v>7.0756716214633616E-4</v>
      </c>
    </row>
    <row r="191" spans="23:35" x14ac:dyDescent="0.25">
      <c r="W191">
        <v>189</v>
      </c>
      <c r="X191">
        <v>61.041700485825771</v>
      </c>
      <c r="Y191">
        <v>-4.9417004858257698</v>
      </c>
      <c r="Z191">
        <v>61.056870623029674</v>
      </c>
      <c r="AA191">
        <v>9.3996361431170405E-2</v>
      </c>
      <c r="AB191">
        <v>57.3</v>
      </c>
      <c r="AC191">
        <v>-1.3219841213691266</v>
      </c>
      <c r="AD191">
        <v>-1.1345035054169292</v>
      </c>
      <c r="AE191">
        <v>-1.1801397536869909</v>
      </c>
      <c r="AF191">
        <v>3.0604262966688316E-3</v>
      </c>
      <c r="AG191">
        <v>-1.1362435325364677</v>
      </c>
      <c r="AH191">
        <v>-1.182587165947407</v>
      </c>
      <c r="AI191">
        <v>3.0486852207663639E-4</v>
      </c>
    </row>
    <row r="192" spans="23:35" x14ac:dyDescent="0.25">
      <c r="W192">
        <v>190</v>
      </c>
      <c r="X192">
        <v>62.131281981096556</v>
      </c>
      <c r="Y192">
        <v>-6.3312819810965593</v>
      </c>
      <c r="Z192">
        <v>62.142879219869052</v>
      </c>
      <c r="AA192">
        <v>9.0357792601576711E-2</v>
      </c>
      <c r="AB192">
        <v>57.3</v>
      </c>
      <c r="AC192">
        <v>-1.3404190152831756</v>
      </c>
      <c r="AD192">
        <v>-1.4535202248577421</v>
      </c>
      <c r="AE192">
        <v>-1.1754956766145601</v>
      </c>
      <c r="AF192">
        <v>1.8283871362653988E-3</v>
      </c>
      <c r="AG192">
        <v>-1.4548508486482958</v>
      </c>
      <c r="AH192">
        <v>-1.1775711875533632</v>
      </c>
      <c r="AI192">
        <v>2.9823357428971855E-4</v>
      </c>
    </row>
    <row r="193" spans="23:35" x14ac:dyDescent="0.25">
      <c r="W193">
        <v>191</v>
      </c>
      <c r="X193">
        <v>62.311599807096059</v>
      </c>
      <c r="Y193">
        <v>-6.7115998070960572</v>
      </c>
      <c r="Z193">
        <v>62.35876790165706</v>
      </c>
      <c r="AA193">
        <v>8.9144936325045485E-2</v>
      </c>
      <c r="AB193">
        <v>57.3</v>
      </c>
      <c r="AC193">
        <v>-1.3517022399306602</v>
      </c>
      <c r="AD193">
        <v>-1.5408326607300826</v>
      </c>
      <c r="AE193">
        <v>-1.1736962978294441</v>
      </c>
      <c r="AF193">
        <v>6.9788007588535844E-3</v>
      </c>
      <c r="AG193">
        <v>-1.5462375490400724</v>
      </c>
      <c r="AH193">
        <v>-1.175731468746521</v>
      </c>
      <c r="AI193">
        <v>1.2925024004953017E-3</v>
      </c>
    </row>
    <row r="194" spans="23:35" x14ac:dyDescent="0.25">
      <c r="W194">
        <v>192</v>
      </c>
      <c r="X194">
        <v>67.377601231761773</v>
      </c>
      <c r="Y194">
        <v>2.0223987682382329</v>
      </c>
      <c r="Z194">
        <v>67.364018917666883</v>
      </c>
      <c r="AA194">
        <v>0.43784111582777441</v>
      </c>
      <c r="AB194">
        <v>57.3</v>
      </c>
      <c r="AC194">
        <v>-0.16799678341230881</v>
      </c>
      <c r="AD194">
        <v>0.46429736049325787</v>
      </c>
      <c r="AE194">
        <v>-1.1735972533975414</v>
      </c>
      <c r="AF194">
        <v>6.6711396352071859E-3</v>
      </c>
      <c r="AG194">
        <v>0.46585384876213254</v>
      </c>
      <c r="AH194">
        <v>-1.1744626560223617</v>
      </c>
      <c r="AI194">
        <v>1.1211481400134885E-4</v>
      </c>
    </row>
    <row r="195" spans="23:35" x14ac:dyDescent="0.25">
      <c r="W195">
        <v>193</v>
      </c>
      <c r="X195">
        <v>66.834336633505202</v>
      </c>
      <c r="Y195">
        <v>2.2656633664947918</v>
      </c>
      <c r="Z195">
        <v>66.819384654001155</v>
      </c>
      <c r="AA195">
        <v>0.42510612492419647</v>
      </c>
      <c r="AB195">
        <v>57.4</v>
      </c>
      <c r="AC195">
        <v>-0.198915705174462</v>
      </c>
      <c r="AD195">
        <v>0.52014545170346194</v>
      </c>
      <c r="AE195">
        <v>-1.1622198222372726</v>
      </c>
      <c r="AF195">
        <v>6.5561163263559725E-3</v>
      </c>
      <c r="AG195">
        <v>0.52185894878039729</v>
      </c>
      <c r="AH195">
        <v>-1.1646077900768566</v>
      </c>
      <c r="AI195">
        <v>1.3825034645993425E-4</v>
      </c>
    </row>
    <row r="196" spans="23:35" x14ac:dyDescent="0.25">
      <c r="W196">
        <v>194</v>
      </c>
      <c r="X196">
        <v>66.801796841887509</v>
      </c>
      <c r="Y196">
        <v>1.8982031581124943</v>
      </c>
      <c r="Z196">
        <v>66.788897563228076</v>
      </c>
      <c r="AA196">
        <v>0.40873256519102485</v>
      </c>
      <c r="AB196">
        <v>57.4</v>
      </c>
      <c r="AC196">
        <v>-0.23783731322627524</v>
      </c>
      <c r="AD196">
        <v>0.43578483622166597</v>
      </c>
      <c r="AE196">
        <v>-1.1581406128946601</v>
      </c>
      <c r="AF196">
        <v>6.7496531903408789E-3</v>
      </c>
      <c r="AG196">
        <v>0.43726302162905301</v>
      </c>
      <c r="AH196">
        <v>-1.1602247010546491</v>
      </c>
      <c r="AI196">
        <v>9.9945877195446156E-5</v>
      </c>
    </row>
    <row r="197" spans="23:35" x14ac:dyDescent="0.25">
      <c r="W197">
        <v>195</v>
      </c>
      <c r="X197">
        <v>66.678423667435922</v>
      </c>
      <c r="Y197">
        <v>1.6215763325640751</v>
      </c>
      <c r="Z197">
        <v>66.66775503595251</v>
      </c>
      <c r="AA197">
        <v>0.39599757428744692</v>
      </c>
      <c r="AB197">
        <v>57.4</v>
      </c>
      <c r="AC197">
        <v>-0.27396491687072577</v>
      </c>
      <c r="AD197">
        <v>0.37227752650566714</v>
      </c>
      <c r="AE197">
        <v>-1.1570233349648453</v>
      </c>
      <c r="AF197">
        <v>6.5361705616531198E-3</v>
      </c>
      <c r="AG197">
        <v>0.37350015798157349</v>
      </c>
      <c r="AH197">
        <v>-1.1582321096268426</v>
      </c>
      <c r="AI197">
        <v>7.060078733261109E-5</v>
      </c>
    </row>
    <row r="198" spans="23:35" x14ac:dyDescent="0.25">
      <c r="W198">
        <v>196</v>
      </c>
      <c r="X198">
        <v>53.7945152461755</v>
      </c>
      <c r="Y198">
        <v>14.105484753824506</v>
      </c>
      <c r="Z198">
        <v>53.591624245426353</v>
      </c>
      <c r="AA198">
        <v>0.37719830200121285</v>
      </c>
      <c r="AB198">
        <v>57.5</v>
      </c>
      <c r="AC198">
        <v>-0.32163939638952632</v>
      </c>
      <c r="AD198">
        <v>3.2383026742959027</v>
      </c>
      <c r="AE198">
        <v>-1.1548900823251047</v>
      </c>
      <c r="AF198">
        <v>1.4179876474399465E-2</v>
      </c>
      <c r="AG198">
        <v>3.2615091325002932</v>
      </c>
      <c r="AH198">
        <v>-1.1566356070158585</v>
      </c>
      <c r="AI198">
        <v>1.1769787286063193E-2</v>
      </c>
    </row>
    <row r="199" spans="23:35" x14ac:dyDescent="0.25">
      <c r="W199">
        <v>197</v>
      </c>
      <c r="X199">
        <v>55.03822157041941</v>
      </c>
      <c r="Y199">
        <v>12.361778429580596</v>
      </c>
      <c r="Z199">
        <v>54.840334635061119</v>
      </c>
      <c r="AA199">
        <v>0.3547604608853851</v>
      </c>
      <c r="AB199">
        <v>57.5</v>
      </c>
      <c r="AC199">
        <v>-0.38147581702590427</v>
      </c>
      <c r="AD199">
        <v>2.8379868431469788</v>
      </c>
      <c r="AE199">
        <v>-1.1519646977964404</v>
      </c>
      <c r="AF199">
        <v>1.575574902741465E-2</v>
      </c>
      <c r="AG199">
        <v>2.8606118567206886</v>
      </c>
      <c r="AH199">
        <v>-1.1544740630670496</v>
      </c>
      <c r="AI199">
        <v>1.0076522618025587E-2</v>
      </c>
    </row>
    <row r="200" spans="23:35" x14ac:dyDescent="0.25">
      <c r="W200">
        <v>198</v>
      </c>
      <c r="X200">
        <v>55.296748687619839</v>
      </c>
      <c r="Y200">
        <v>11.703251312380161</v>
      </c>
      <c r="Z200">
        <v>55.098954065029986</v>
      </c>
      <c r="AA200">
        <v>0.33959975742874471</v>
      </c>
      <c r="AB200">
        <v>57.5</v>
      </c>
      <c r="AC200">
        <v>-0.42600652312983872</v>
      </c>
      <c r="AD200">
        <v>2.6868037989663569</v>
      </c>
      <c r="AE200">
        <v>-1.1448044872979137</v>
      </c>
      <c r="AF200">
        <v>1.6619936068699284E-2</v>
      </c>
      <c r="AG200">
        <v>2.7094132722560103</v>
      </c>
      <c r="AH200">
        <v>-1.1512819549237414</v>
      </c>
      <c r="AI200">
        <v>9.5436632059576094E-3</v>
      </c>
    </row>
    <row r="201" spans="23:35" x14ac:dyDescent="0.25">
      <c r="W201">
        <v>199</v>
      </c>
      <c r="X201">
        <v>55.071213946063814</v>
      </c>
      <c r="Y201">
        <v>11.428786053936186</v>
      </c>
      <c r="Z201">
        <v>54.88169975319115</v>
      </c>
      <c r="AA201">
        <v>0.32383262583383871</v>
      </c>
      <c r="AB201">
        <v>57.5</v>
      </c>
      <c r="AC201">
        <v>-0.46123068213767926</v>
      </c>
      <c r="AD201">
        <v>2.6237927365369389</v>
      </c>
      <c r="AE201">
        <v>-1.144090338285098</v>
      </c>
      <c r="AF201">
        <v>1.63116969648563E-2</v>
      </c>
      <c r="AG201">
        <v>2.6454573963095722</v>
      </c>
      <c r="AH201">
        <v>-1.1456415333323344</v>
      </c>
      <c r="AI201">
        <v>8.9268827121821489E-3</v>
      </c>
    </row>
    <row r="202" spans="23:35" x14ac:dyDescent="0.25">
      <c r="W202">
        <v>200</v>
      </c>
      <c r="X202">
        <v>54.938199591223203</v>
      </c>
      <c r="Y202">
        <v>10.861800408776794</v>
      </c>
      <c r="Z202">
        <v>54.756935231930164</v>
      </c>
      <c r="AA202">
        <v>0.30078835657974529</v>
      </c>
      <c r="AB202">
        <v>57.6</v>
      </c>
      <c r="AC202">
        <v>-0.53349185558387491</v>
      </c>
      <c r="AD202">
        <v>2.4936255595096326</v>
      </c>
      <c r="AE202">
        <v>-1.142460921551677</v>
      </c>
      <c r="AF202">
        <v>1.6414316414873235E-2</v>
      </c>
      <c r="AG202">
        <v>2.5143465818719766</v>
      </c>
      <c r="AH202">
        <v>-1.1435451780931114</v>
      </c>
      <c r="AI202">
        <v>8.1155420545121273E-3</v>
      </c>
    </row>
    <row r="203" spans="23:35" x14ac:dyDescent="0.25">
      <c r="W203">
        <v>201</v>
      </c>
      <c r="X203">
        <v>54.813408932245977</v>
      </c>
      <c r="Y203">
        <v>10.186591067754023</v>
      </c>
      <c r="Z203">
        <v>54.640085639301589</v>
      </c>
      <c r="AA203">
        <v>0.27289266221952696</v>
      </c>
      <c r="AB203">
        <v>57.6</v>
      </c>
      <c r="AC203">
        <v>-0.62335641379693996</v>
      </c>
      <c r="AD203">
        <v>2.3386126512045302</v>
      </c>
      <c r="AE203">
        <v>-1.1414413346664609</v>
      </c>
      <c r="AF203">
        <v>1.6730185878940484E-2</v>
      </c>
      <c r="AG203">
        <v>2.3584243023447065</v>
      </c>
      <c r="AH203">
        <v>-1.1434951576555805</v>
      </c>
      <c r="AI203">
        <v>7.279953241398119E-3</v>
      </c>
    </row>
    <row r="204" spans="23:35" x14ac:dyDescent="0.25">
      <c r="W204">
        <v>202</v>
      </c>
      <c r="X204">
        <v>52.31455713565181</v>
      </c>
      <c r="Y204">
        <v>11.885442864348192</v>
      </c>
      <c r="Z204">
        <v>51.995402190851415</v>
      </c>
      <c r="AA204">
        <v>0.24560339599757428</v>
      </c>
      <c r="AB204">
        <v>57.6</v>
      </c>
      <c r="AC204">
        <v>-0.69708605805955215</v>
      </c>
      <c r="AD204">
        <v>2.7286308896526399</v>
      </c>
      <c r="AE204">
        <v>-1.1411008345349292</v>
      </c>
      <c r="AF204">
        <v>2.6150386091474367E-2</v>
      </c>
      <c r="AG204">
        <v>2.765023604041446</v>
      </c>
      <c r="AH204">
        <v>-1.1423893654142472</v>
      </c>
      <c r="AI204">
        <v>1.5792123901836659E-2</v>
      </c>
    </row>
    <row r="205" spans="23:35" x14ac:dyDescent="0.25">
      <c r="W205">
        <v>203</v>
      </c>
      <c r="X205">
        <v>54.684930859723401</v>
      </c>
      <c r="Y205">
        <v>8.6150691402765958</v>
      </c>
      <c r="Z205">
        <v>54.536432022966522</v>
      </c>
      <c r="AA205">
        <v>0.22741055184960582</v>
      </c>
      <c r="AB205">
        <v>57.6</v>
      </c>
      <c r="AC205">
        <v>-0.75647701124006039</v>
      </c>
      <c r="AD205">
        <v>1.9778264925377764</v>
      </c>
      <c r="AE205">
        <v>-1.1367598995627424</v>
      </c>
      <c r="AF205">
        <v>1.6945020241304308E-2</v>
      </c>
      <c r="AG205">
        <v>1.9947996627538038</v>
      </c>
      <c r="AH205">
        <v>-1.141306064913451</v>
      </c>
      <c r="AI205">
        <v>5.2761787979436784E-3</v>
      </c>
    </row>
    <row r="206" spans="23:35" x14ac:dyDescent="0.25">
      <c r="W206">
        <v>204</v>
      </c>
      <c r="X206">
        <v>54.809341931496014</v>
      </c>
      <c r="Y206">
        <v>7.6906580685039856</v>
      </c>
      <c r="Z206">
        <v>54.673229748786738</v>
      </c>
      <c r="AA206">
        <v>0.20800485142510614</v>
      </c>
      <c r="AB206">
        <v>57.6</v>
      </c>
      <c r="AC206">
        <v>-0.81866501502518862</v>
      </c>
      <c r="AD206">
        <v>1.7656024606725595</v>
      </c>
      <c r="AE206">
        <v>-1.1345035054169292</v>
      </c>
      <c r="AF206">
        <v>1.73905938644584E-2</v>
      </c>
      <c r="AG206">
        <v>1.781158086123783</v>
      </c>
      <c r="AH206">
        <v>-1.139614228162906</v>
      </c>
      <c r="AI206">
        <v>4.3191180768769348E-3</v>
      </c>
    </row>
    <row r="207" spans="23:35" x14ac:dyDescent="0.25">
      <c r="W207">
        <v>205</v>
      </c>
      <c r="X207">
        <v>54.365882464209214</v>
      </c>
      <c r="Y207">
        <v>7.3341175357907886</v>
      </c>
      <c r="Z207">
        <v>54.243936697987841</v>
      </c>
      <c r="AA207">
        <v>0.19102486355366888</v>
      </c>
      <c r="AB207">
        <v>57.6</v>
      </c>
      <c r="AC207">
        <v>-0.87970786716299942</v>
      </c>
      <c r="AD207">
        <v>1.6837487576109202</v>
      </c>
      <c r="AE207">
        <v>-1.1337323595975155</v>
      </c>
      <c r="AF207">
        <v>1.6355248243192989E-2</v>
      </c>
      <c r="AG207">
        <v>1.6976890548167272</v>
      </c>
      <c r="AH207">
        <v>-1.1362435325364677</v>
      </c>
      <c r="AI207">
        <v>3.6863095921888731E-3</v>
      </c>
    </row>
    <row r="208" spans="23:35" x14ac:dyDescent="0.25">
      <c r="W208">
        <v>206</v>
      </c>
      <c r="X208">
        <v>54.808605407103357</v>
      </c>
      <c r="Y208">
        <v>7.1913945928966427</v>
      </c>
      <c r="Z208">
        <v>54.676919449005389</v>
      </c>
      <c r="AA208">
        <v>0.19890842935112188</v>
      </c>
      <c r="AB208">
        <v>57.8</v>
      </c>
      <c r="AC208">
        <v>-0.85973834429501084</v>
      </c>
      <c r="AD208">
        <v>1.6509827736179077</v>
      </c>
      <c r="AE208">
        <v>-1.1308978208024747</v>
      </c>
      <c r="AF208">
        <v>1.7982317302256697E-2</v>
      </c>
      <c r="AG208">
        <v>1.6660302701881078</v>
      </c>
      <c r="AH208">
        <v>-1.135026606595062</v>
      </c>
      <c r="AI208">
        <v>3.9097480531387801E-3</v>
      </c>
    </row>
    <row r="209" spans="23:35" x14ac:dyDescent="0.25">
      <c r="W209">
        <v>207</v>
      </c>
      <c r="X209">
        <v>74.699986575425484</v>
      </c>
      <c r="Y209">
        <v>2.5000134245745187</v>
      </c>
      <c r="Z209">
        <v>74.692610514908409</v>
      </c>
      <c r="AA209">
        <v>0.84111582777440874</v>
      </c>
      <c r="AB209">
        <v>57.8</v>
      </c>
      <c r="AC209">
        <v>0.99032898964496086</v>
      </c>
      <c r="AD209">
        <v>0.57394696459334793</v>
      </c>
      <c r="AE209">
        <v>-1.1305325243546622</v>
      </c>
      <c r="AF209">
        <v>2.9417290616102479E-3</v>
      </c>
      <c r="AG209">
        <v>0.57479302995570769</v>
      </c>
      <c r="AH209">
        <v>-1.1331195613340772</v>
      </c>
      <c r="AI209">
        <v>7.4982819118526515E-5</v>
      </c>
    </row>
    <row r="210" spans="23:35" x14ac:dyDescent="0.25">
      <c r="W210">
        <v>208</v>
      </c>
      <c r="X210">
        <v>74.096322323988545</v>
      </c>
      <c r="Y210">
        <v>2.9036776760114549</v>
      </c>
      <c r="Z210">
        <v>74.087583413095828</v>
      </c>
      <c r="AA210">
        <v>0.83747725894481506</v>
      </c>
      <c r="AB210">
        <v>57.9</v>
      </c>
      <c r="AC210">
        <v>0.95855995741850497</v>
      </c>
      <c r="AD210">
        <v>0.66661921568996185</v>
      </c>
      <c r="AE210">
        <v>-1.1293767016528975</v>
      </c>
      <c r="AF210">
        <v>3.0005703620887714E-3</v>
      </c>
      <c r="AG210">
        <v>0.66762159095870155</v>
      </c>
      <c r="AH210">
        <v>-1.1316628041578733</v>
      </c>
      <c r="AI210">
        <v>1.0318731210798921E-4</v>
      </c>
    </row>
    <row r="211" spans="23:35" x14ac:dyDescent="0.25">
      <c r="W211">
        <v>209</v>
      </c>
      <c r="X211">
        <v>74.471125669792386</v>
      </c>
      <c r="Y211">
        <v>2.3288743302076114</v>
      </c>
      <c r="Z211">
        <v>74.464120867714087</v>
      </c>
      <c r="AA211">
        <v>0.82838083687083086</v>
      </c>
      <c r="AB211">
        <v>57.9</v>
      </c>
      <c r="AC211">
        <v>0.93712127394454448</v>
      </c>
      <c r="AD211">
        <v>0.53465727007826425</v>
      </c>
      <c r="AE211">
        <v>-1.1291171640055178</v>
      </c>
      <c r="AF211">
        <v>2.9987861878145159E-3</v>
      </c>
      <c r="AG211">
        <v>0.5354607390225703</v>
      </c>
      <c r="AH211">
        <v>-1.1309688016502293</v>
      </c>
      <c r="AI211">
        <v>6.633790141751081E-5</v>
      </c>
    </row>
    <row r="212" spans="23:35" x14ac:dyDescent="0.25">
      <c r="W212">
        <v>210</v>
      </c>
      <c r="X212">
        <v>73.548107488355797</v>
      </c>
      <c r="Y212">
        <v>3.3518925116442091</v>
      </c>
      <c r="Z212">
        <v>73.537883471446023</v>
      </c>
      <c r="AA212">
        <v>0.83080654942389331</v>
      </c>
      <c r="AB212">
        <v>57.9</v>
      </c>
      <c r="AC212">
        <v>0.94897780985887181</v>
      </c>
      <c r="AD212">
        <v>0.76951928089297472</v>
      </c>
      <c r="AE212">
        <v>-1.1197543685140634</v>
      </c>
      <c r="AF212">
        <v>3.040946624826174E-3</v>
      </c>
      <c r="AG212">
        <v>0.77069198971046127</v>
      </c>
      <c r="AH212">
        <v>-1.1232703940112332</v>
      </c>
      <c r="AI212">
        <v>1.3936374677913252E-4</v>
      </c>
    </row>
    <row r="213" spans="23:35" x14ac:dyDescent="0.25">
      <c r="W213">
        <v>211</v>
      </c>
      <c r="X213">
        <v>72.165466879569692</v>
      </c>
      <c r="Y213">
        <v>4.2345331204303136</v>
      </c>
      <c r="Z213">
        <v>72.098873295452165</v>
      </c>
      <c r="AA213">
        <v>0.81867798665858094</v>
      </c>
      <c r="AB213">
        <v>58</v>
      </c>
      <c r="AC213">
        <v>0.90460220385671419</v>
      </c>
      <c r="AD213">
        <v>0.97215375207619514</v>
      </c>
      <c r="AE213">
        <v>-1.1193723379455096</v>
      </c>
      <c r="AF213">
        <v>1.5482823151224517E-2</v>
      </c>
      <c r="AG213">
        <v>0.97976812839034455</v>
      </c>
      <c r="AH213">
        <v>-1.1201641587116038</v>
      </c>
      <c r="AI213">
        <v>1.1612617435690599E-3</v>
      </c>
    </row>
    <row r="214" spans="23:35" x14ac:dyDescent="0.25">
      <c r="W214">
        <v>212</v>
      </c>
      <c r="X214">
        <v>70.612576491485797</v>
      </c>
      <c r="Y214">
        <v>5.4874235085141976</v>
      </c>
      <c r="Z214">
        <v>70.530806574434706</v>
      </c>
      <c r="AA214">
        <v>0.81079442086112796</v>
      </c>
      <c r="AB214">
        <v>58</v>
      </c>
      <c r="AC214">
        <v>0.873012700415573</v>
      </c>
      <c r="AD214">
        <v>1.2597892616060331</v>
      </c>
      <c r="AE214">
        <v>-1.118045540701641</v>
      </c>
      <c r="AF214">
        <v>1.4682542121040726E-2</v>
      </c>
      <c r="AG214">
        <v>1.2691408214909667</v>
      </c>
      <c r="AH214">
        <v>-1.1199573772295728</v>
      </c>
      <c r="AI214">
        <v>1.8462960984559438E-3</v>
      </c>
    </row>
    <row r="215" spans="23:35" x14ac:dyDescent="0.25">
      <c r="W215">
        <v>213</v>
      </c>
      <c r="X215">
        <v>73.404517901745692</v>
      </c>
      <c r="Y215">
        <v>2.5954820982543083</v>
      </c>
      <c r="Z215">
        <v>73.399193307780706</v>
      </c>
      <c r="AA215">
        <v>0.80836870830806551</v>
      </c>
      <c r="AB215">
        <v>58</v>
      </c>
      <c r="AC215">
        <v>0.83794453378675593</v>
      </c>
      <c r="AD215">
        <v>0.59586442908920101</v>
      </c>
      <c r="AE215">
        <v>-1.116548817909889</v>
      </c>
      <c r="AF215">
        <v>2.047285552178351E-3</v>
      </c>
      <c r="AG215">
        <v>0.59647531956819888</v>
      </c>
      <c r="AH215">
        <v>-1.1180857024436068</v>
      </c>
      <c r="AI215">
        <v>5.6144867667606725E-5</v>
      </c>
    </row>
    <row r="216" spans="23:35" x14ac:dyDescent="0.25">
      <c r="W216">
        <v>214</v>
      </c>
      <c r="X216">
        <v>73.302163169183316</v>
      </c>
      <c r="Y216">
        <v>2.0978368308166893</v>
      </c>
      <c r="Z216">
        <v>73.29799222370319</v>
      </c>
      <c r="AA216">
        <v>0.77986658580958157</v>
      </c>
      <c r="AB216">
        <v>58</v>
      </c>
      <c r="AC216">
        <v>0.74840704313415274</v>
      </c>
      <c r="AD216">
        <v>0.48161624630647182</v>
      </c>
      <c r="AE216">
        <v>-1.1146087668660889</v>
      </c>
      <c r="AF216">
        <v>1.9842673881405749E-3</v>
      </c>
      <c r="AG216">
        <v>0.48209478629338881</v>
      </c>
      <c r="AH216">
        <v>-1.1170777688219597</v>
      </c>
      <c r="AI216">
        <v>3.5545475183517215E-5</v>
      </c>
    </row>
    <row r="217" spans="23:35" x14ac:dyDescent="0.25">
      <c r="W217">
        <v>215</v>
      </c>
      <c r="X217">
        <v>73.414117099833362</v>
      </c>
      <c r="Y217">
        <v>2.2858829001666408</v>
      </c>
      <c r="Z217">
        <v>73.389858825159436</v>
      </c>
      <c r="AA217">
        <v>0.79199514857489384</v>
      </c>
      <c r="AB217">
        <v>58</v>
      </c>
      <c r="AC217">
        <v>0.80177968430189828</v>
      </c>
      <c r="AD217">
        <v>0.52478740276755498</v>
      </c>
      <c r="AE217">
        <v>-1.1082781347823907</v>
      </c>
      <c r="AF217">
        <v>1.0500775856525887E-2</v>
      </c>
      <c r="AG217">
        <v>0.52756463174703883</v>
      </c>
      <c r="AH217">
        <v>-1.1092110212071651</v>
      </c>
      <c r="AI217">
        <v>2.2720292754476243E-4</v>
      </c>
    </row>
    <row r="218" spans="23:35" x14ac:dyDescent="0.25">
      <c r="W218">
        <v>216</v>
      </c>
      <c r="X218">
        <v>56.336396584434397</v>
      </c>
      <c r="Y218">
        <v>18.663603415565603</v>
      </c>
      <c r="Z218">
        <v>55.995976537941701</v>
      </c>
      <c r="AA218">
        <v>0.76046088538508183</v>
      </c>
      <c r="AB218">
        <v>58</v>
      </c>
      <c r="AC218">
        <v>0.67020216077934069</v>
      </c>
      <c r="AD218">
        <v>4.2847444031469539</v>
      </c>
      <c r="AE218">
        <v>-1.1035483834170778</v>
      </c>
      <c r="AF218">
        <v>1.7913051263715278E-2</v>
      </c>
      <c r="AG218">
        <v>4.3236442242833997</v>
      </c>
      <c r="AH218">
        <v>-1.1053584004851214</v>
      </c>
      <c r="AI218">
        <v>2.6228664479089579E-2</v>
      </c>
    </row>
    <row r="219" spans="23:35" x14ac:dyDescent="0.25">
      <c r="W219">
        <v>217</v>
      </c>
      <c r="X219">
        <v>59.173237257584596</v>
      </c>
      <c r="Y219">
        <v>16.326762742415404</v>
      </c>
      <c r="Z219">
        <v>58.798706292355185</v>
      </c>
      <c r="AA219">
        <v>0.78411158277744086</v>
      </c>
      <c r="AB219">
        <v>58</v>
      </c>
      <c r="AC219">
        <v>0.77276680816182786</v>
      </c>
      <c r="AD219">
        <v>3.7482582395492132</v>
      </c>
      <c r="AE219">
        <v>-1.0970444019416943</v>
      </c>
      <c r="AF219">
        <v>2.2425266676076364E-2</v>
      </c>
      <c r="AG219">
        <v>3.7910064232999159</v>
      </c>
      <c r="AH219">
        <v>-1.0991965928961442</v>
      </c>
      <c r="AI219">
        <v>2.5360238665240994E-2</v>
      </c>
    </row>
    <row r="220" spans="23:35" x14ac:dyDescent="0.25">
      <c r="W220">
        <v>218</v>
      </c>
      <c r="X220">
        <v>70.899915055290634</v>
      </c>
      <c r="Y220">
        <v>-5.79991505529064</v>
      </c>
      <c r="Z220">
        <v>70.916704515547011</v>
      </c>
      <c r="AA220">
        <v>0.27713765918738631</v>
      </c>
      <c r="AB220">
        <v>58.1</v>
      </c>
      <c r="AC220">
        <v>-0.60317578841021124</v>
      </c>
      <c r="AD220">
        <v>-1.3315303062622008</v>
      </c>
      <c r="AE220">
        <v>-1.0968049589635658</v>
      </c>
      <c r="AF220">
        <v>2.8864213768285351E-3</v>
      </c>
      <c r="AG220">
        <v>-1.3334561551449506</v>
      </c>
      <c r="AH220">
        <v>-1.0986261574302725</v>
      </c>
      <c r="AI220">
        <v>3.9593986461565169E-4</v>
      </c>
    </row>
    <row r="221" spans="23:35" x14ac:dyDescent="0.25">
      <c r="W221">
        <v>219</v>
      </c>
      <c r="X221">
        <v>69.754537537206318</v>
      </c>
      <c r="Y221">
        <v>-5.5545375372063148</v>
      </c>
      <c r="Z221">
        <v>69.770146867938692</v>
      </c>
      <c r="AA221">
        <v>0.24560339599757428</v>
      </c>
      <c r="AB221">
        <v>58.1</v>
      </c>
      <c r="AC221">
        <v>-0.69708605805955215</v>
      </c>
      <c r="AD221">
        <v>-1.275197136088158</v>
      </c>
      <c r="AE221">
        <v>-1.0907027906255327</v>
      </c>
      <c r="AF221">
        <v>2.8023194185805775E-3</v>
      </c>
      <c r="AG221">
        <v>-1.2769876550211705</v>
      </c>
      <c r="AH221">
        <v>-1.0923027087990611</v>
      </c>
      <c r="AI221">
        <v>3.5250592566433276E-4</v>
      </c>
    </row>
    <row r="222" spans="23:35" x14ac:dyDescent="0.25">
      <c r="W222">
        <v>220</v>
      </c>
      <c r="X222">
        <v>68.712374450552289</v>
      </c>
      <c r="Y222">
        <v>-5.3123744505522907</v>
      </c>
      <c r="Z222">
        <v>68.728260484195062</v>
      </c>
      <c r="AA222">
        <v>0.22922983626440266</v>
      </c>
      <c r="AB222">
        <v>58.1</v>
      </c>
      <c r="AC222">
        <v>-0.74639716414434454</v>
      </c>
      <c r="AD222">
        <v>-1.2196019272163146</v>
      </c>
      <c r="AE222">
        <v>-1.0851016251617831</v>
      </c>
      <c r="AF222">
        <v>2.9814671579764781E-3</v>
      </c>
      <c r="AG222">
        <v>-1.22142410434703</v>
      </c>
      <c r="AH222">
        <v>-1.0868251173252266</v>
      </c>
      <c r="AI222">
        <v>3.4317561375998959E-4</v>
      </c>
    </row>
    <row r="223" spans="23:35" x14ac:dyDescent="0.25">
      <c r="W223">
        <v>221</v>
      </c>
      <c r="X223">
        <v>68.139881065348277</v>
      </c>
      <c r="Y223">
        <v>-5.9398810653482741</v>
      </c>
      <c r="Z223">
        <v>68.150597607372745</v>
      </c>
      <c r="AA223">
        <v>0.20436628259551243</v>
      </c>
      <c r="AB223">
        <v>58.1</v>
      </c>
      <c r="AC223">
        <v>-0.8357870519497973</v>
      </c>
      <c r="AD223">
        <v>-1.3636633603606976</v>
      </c>
      <c r="AE223">
        <v>-1.0840693930708634</v>
      </c>
      <c r="AF223">
        <v>1.8009186188600646E-3</v>
      </c>
      <c r="AG223">
        <v>-1.364892944764017</v>
      </c>
      <c r="AH223">
        <v>-1.0857819636273049</v>
      </c>
      <c r="AI223">
        <v>2.5854178782403462E-4</v>
      </c>
    </row>
    <row r="224" spans="23:35" x14ac:dyDescent="0.25">
      <c r="W224">
        <v>222</v>
      </c>
      <c r="X224">
        <v>67.383197217683914</v>
      </c>
      <c r="Y224">
        <v>-6.283197217683913</v>
      </c>
      <c r="Z224">
        <v>67.394965587846727</v>
      </c>
      <c r="AA224">
        <v>0.17889630078835658</v>
      </c>
      <c r="AB224">
        <v>58.1</v>
      </c>
      <c r="AC224">
        <v>-0.9277300733017374</v>
      </c>
      <c r="AD224">
        <v>-1.4424810425347214</v>
      </c>
      <c r="AE224">
        <v>-1.0752069058470808</v>
      </c>
      <c r="AF224">
        <v>1.8694891971337423E-3</v>
      </c>
      <c r="AG224">
        <v>-1.4438312873941188</v>
      </c>
      <c r="AH224">
        <v>-1.0802525529616047</v>
      </c>
      <c r="AI224">
        <v>3.0034829682718E-4</v>
      </c>
    </row>
    <row r="225" spans="23:35" x14ac:dyDescent="0.25">
      <c r="W225">
        <v>223</v>
      </c>
      <c r="X225">
        <v>65.485019012373982</v>
      </c>
      <c r="Y225">
        <v>-6.2850190123739793</v>
      </c>
      <c r="Z225">
        <v>65.500279924945346</v>
      </c>
      <c r="AA225">
        <v>0.15767131594906003</v>
      </c>
      <c r="AB225">
        <v>58.1</v>
      </c>
      <c r="AC225">
        <v>-1.0205681915260707</v>
      </c>
      <c r="AD225">
        <v>-1.442899285701817</v>
      </c>
      <c r="AE225">
        <v>-1.0739546763686758</v>
      </c>
      <c r="AF225">
        <v>2.422259447701778E-3</v>
      </c>
      <c r="AG225">
        <v>-1.4446500050804532</v>
      </c>
      <c r="AH225">
        <v>-1.0759083766013793</v>
      </c>
      <c r="AI225">
        <v>3.8981257335318927E-4</v>
      </c>
    </row>
    <row r="226" spans="23:35" x14ac:dyDescent="0.25">
      <c r="W226">
        <v>224</v>
      </c>
      <c r="X226">
        <v>62.690268673511092</v>
      </c>
      <c r="Y226">
        <v>-5.1902686735110919</v>
      </c>
      <c r="Z226">
        <v>62.710447681966009</v>
      </c>
      <c r="AA226">
        <v>0.12067919951485749</v>
      </c>
      <c r="AB226">
        <v>58.2</v>
      </c>
      <c r="AC226">
        <v>-1.182232646923248</v>
      </c>
      <c r="AD226">
        <v>-1.1915691817105438</v>
      </c>
      <c r="AE226">
        <v>-1.0732673891870348</v>
      </c>
      <c r="AF226">
        <v>3.8727974421013537E-3</v>
      </c>
      <c r="AG226">
        <v>-1.1938832583861734</v>
      </c>
      <c r="AH226">
        <v>-1.0755629814408598</v>
      </c>
      <c r="AI226">
        <v>4.2627548263352103E-4</v>
      </c>
    </row>
    <row r="227" spans="23:35" x14ac:dyDescent="0.25">
      <c r="W227">
        <v>225</v>
      </c>
      <c r="X227">
        <v>61.755042455513262</v>
      </c>
      <c r="Y227">
        <v>-4.8550424555132636</v>
      </c>
      <c r="Z227">
        <v>61.776575366738513</v>
      </c>
      <c r="AA227">
        <v>0.1091570648878108</v>
      </c>
      <c r="AB227">
        <v>58.2</v>
      </c>
      <c r="AC227">
        <v>-1.2359023985485402</v>
      </c>
      <c r="AD227">
        <v>-1.1146087668660889</v>
      </c>
      <c r="AE227">
        <v>-1.0694814745247134</v>
      </c>
      <c r="AF227">
        <v>4.415580526474107E-3</v>
      </c>
      <c r="AG227">
        <v>-1.1170777688219597</v>
      </c>
      <c r="AH227">
        <v>-1.0751861242865461</v>
      </c>
      <c r="AI227">
        <v>4.257289498068605E-4</v>
      </c>
    </row>
    <row r="228" spans="23:35" x14ac:dyDescent="0.25">
      <c r="W228">
        <v>226</v>
      </c>
      <c r="X228">
        <v>60.654596679177978</v>
      </c>
      <c r="Y228">
        <v>-5.8545966791779804</v>
      </c>
      <c r="Z228">
        <v>60.68333639965963</v>
      </c>
      <c r="AA228">
        <v>7.7622801697998789E-2</v>
      </c>
      <c r="AB228">
        <v>58.3</v>
      </c>
      <c r="AC228">
        <v>-1.4402815816722083</v>
      </c>
      <c r="AD228">
        <v>-1.3440839796707809</v>
      </c>
      <c r="AE228">
        <v>-1.0680910478265124</v>
      </c>
      <c r="AF228">
        <v>4.8849357795206737E-3</v>
      </c>
      <c r="AG228">
        <v>-1.3473789383044406</v>
      </c>
      <c r="AH228">
        <v>-1.0707429126774739</v>
      </c>
      <c r="AI228">
        <v>6.8552250098948616E-4</v>
      </c>
    </row>
    <row r="229" spans="23:35" x14ac:dyDescent="0.25">
      <c r="W229">
        <v>227</v>
      </c>
      <c r="X229">
        <v>57.058479121234292</v>
      </c>
      <c r="Y229">
        <v>-5.3584791212342893</v>
      </c>
      <c r="Z229">
        <v>57.179839344077699</v>
      </c>
      <c r="AA229">
        <v>4.4269254093389936E-2</v>
      </c>
      <c r="AB229">
        <v>58.3</v>
      </c>
      <c r="AC229">
        <v>-1.7129636683890181</v>
      </c>
      <c r="AD229">
        <v>-1.2301865246954311</v>
      </c>
      <c r="AE229">
        <v>-1.0671882517154463</v>
      </c>
      <c r="AF229">
        <v>2.2146675335394404E-2</v>
      </c>
      <c r="AG229">
        <v>-1.2440393199180977</v>
      </c>
      <c r="AH229">
        <v>-1.0698718748084639</v>
      </c>
      <c r="AI229">
        <v>2.696247059013853E-3</v>
      </c>
    </row>
    <row r="230" spans="23:35" x14ac:dyDescent="0.25">
      <c r="W230">
        <v>228</v>
      </c>
      <c r="X230">
        <v>52.340428640795594</v>
      </c>
      <c r="Y230">
        <v>-4.2404286407955922</v>
      </c>
      <c r="Z230">
        <v>52.405172201609666</v>
      </c>
      <c r="AA230">
        <v>2.1224984839296544E-2</v>
      </c>
      <c r="AB230">
        <v>58.4</v>
      </c>
      <c r="AC230">
        <v>-2.0597982810364517</v>
      </c>
      <c r="AD230">
        <v>-0.97350723121558247</v>
      </c>
      <c r="AE230">
        <v>-1.0670861504027804</v>
      </c>
      <c r="AF230">
        <v>1.5038553112896903E-2</v>
      </c>
      <c r="AG230">
        <v>-0.9809109122491465</v>
      </c>
      <c r="AH230">
        <v>-1.0687720457283592</v>
      </c>
      <c r="AI230">
        <v>1.1300628595983123E-3</v>
      </c>
    </row>
    <row r="231" spans="23:35" x14ac:dyDescent="0.25">
      <c r="W231">
        <v>229</v>
      </c>
      <c r="X231">
        <v>50.166392497623761</v>
      </c>
      <c r="Y231">
        <v>-3.7663924976237624</v>
      </c>
      <c r="Z231">
        <v>50.273080260927934</v>
      </c>
      <c r="AA231">
        <v>1.4554275318374773E-2</v>
      </c>
      <c r="AB231">
        <v>58.4</v>
      </c>
      <c r="AC231">
        <v>-2.2073550198913567</v>
      </c>
      <c r="AD231">
        <v>-0.86467917341132738</v>
      </c>
      <c r="AE231">
        <v>-1.0665065120476718</v>
      </c>
      <c r="AF231">
        <v>2.7545972744343047E-2</v>
      </c>
      <c r="AG231">
        <v>-0.87684021344625696</v>
      </c>
      <c r="AH231">
        <v>-1.0685687957929249</v>
      </c>
      <c r="AI231">
        <v>1.675276899915155E-3</v>
      </c>
    </row>
    <row r="232" spans="23:35" x14ac:dyDescent="0.25">
      <c r="W232">
        <v>230</v>
      </c>
      <c r="X232">
        <v>46.65619281794207</v>
      </c>
      <c r="Y232">
        <v>-0.65619281794207041</v>
      </c>
      <c r="Z232">
        <v>46.670203274940064</v>
      </c>
      <c r="AA232">
        <v>1.2128562765312311E-2</v>
      </c>
      <c r="AB232">
        <v>58.4</v>
      </c>
      <c r="AC232">
        <v>-2.3261203997549518</v>
      </c>
      <c r="AD232">
        <v>-0.150647141468812</v>
      </c>
      <c r="AE232">
        <v>-1.0615902645049278</v>
      </c>
      <c r="AF232">
        <v>2.0904787430718174E-2</v>
      </c>
      <c r="AG232">
        <v>-0.15224689067326169</v>
      </c>
      <c r="AH232">
        <v>-1.0680334694856677</v>
      </c>
      <c r="AI232">
        <v>3.8069251687390395E-5</v>
      </c>
    </row>
    <row r="233" spans="23:35" x14ac:dyDescent="0.25">
      <c r="W233">
        <v>231</v>
      </c>
      <c r="X233">
        <v>43.385062007198044</v>
      </c>
      <c r="Y233">
        <v>3.3149379928019584</v>
      </c>
      <c r="Z233">
        <v>43.302830897845318</v>
      </c>
      <c r="AA233">
        <v>1.5767131594906003E-2</v>
      </c>
      <c r="AB233">
        <v>58.4</v>
      </c>
      <c r="AC233">
        <v>-2.1579999581558846</v>
      </c>
      <c r="AD233">
        <v>0.76103535288321733</v>
      </c>
      <c r="AE233">
        <v>-1.0504343329394417</v>
      </c>
      <c r="AF233">
        <v>2.4205774537562348E-2</v>
      </c>
      <c r="AG233">
        <v>0.7704167385137356</v>
      </c>
      <c r="AH233">
        <v>-1.0627487293025981</v>
      </c>
      <c r="AI233">
        <v>1.1325797898117211E-3</v>
      </c>
    </row>
    <row r="234" spans="23:35" x14ac:dyDescent="0.25">
      <c r="W234">
        <v>232</v>
      </c>
      <c r="X234">
        <v>43.985707106163787</v>
      </c>
      <c r="Y234">
        <v>3.8142928938362104</v>
      </c>
      <c r="Z234">
        <v>43.879974410520383</v>
      </c>
      <c r="AA234">
        <v>1.9405700424499697E-2</v>
      </c>
      <c r="AB234">
        <v>58.4</v>
      </c>
      <c r="AC234">
        <v>-2.0994271873972417</v>
      </c>
      <c r="AD234">
        <v>0.87567602916366494</v>
      </c>
      <c r="AE234">
        <v>-1.0472287446930966</v>
      </c>
      <c r="AF234">
        <v>2.6972450365416442E-2</v>
      </c>
      <c r="AG234">
        <v>0.88772999258478325</v>
      </c>
      <c r="AH234">
        <v>-1.0527462200052515</v>
      </c>
      <c r="AI234">
        <v>1.6804039729650876E-3</v>
      </c>
    </row>
    <row r="235" spans="23:35" x14ac:dyDescent="0.25">
      <c r="W235">
        <v>233</v>
      </c>
      <c r="X235">
        <v>74.419935379724748</v>
      </c>
      <c r="Y235">
        <v>0.3800646202752489</v>
      </c>
      <c r="Z235">
        <v>74.419050071043841</v>
      </c>
      <c r="AA235">
        <v>0.74166161309884782</v>
      </c>
      <c r="AB235">
        <v>58.5</v>
      </c>
      <c r="AC235">
        <v>0.63261352584071384</v>
      </c>
      <c r="AD235">
        <v>8.7254305521750383E-2</v>
      </c>
      <c r="AE235">
        <v>-1.0456914134508941</v>
      </c>
      <c r="AF235">
        <v>2.3239502454724444E-3</v>
      </c>
      <c r="AG235">
        <v>8.7355869911382042E-2</v>
      </c>
      <c r="AH235">
        <v>-1.0495825575717841</v>
      </c>
      <c r="AI235">
        <v>1.3673450180475593E-6</v>
      </c>
    </row>
    <row r="236" spans="23:35" x14ac:dyDescent="0.25">
      <c r="W236">
        <v>234</v>
      </c>
      <c r="X236">
        <v>75.353578127856366</v>
      </c>
      <c r="Y236">
        <v>-0.65357812785636327</v>
      </c>
      <c r="Z236">
        <v>75.354786957890397</v>
      </c>
      <c r="AA236">
        <v>0.7362037598544573</v>
      </c>
      <c r="AB236">
        <v>58.5</v>
      </c>
      <c r="AC236">
        <v>0.61415241452626612</v>
      </c>
      <c r="AD236">
        <v>-0.15004686731696446</v>
      </c>
      <c r="AE236">
        <v>-1.0391775111766017</v>
      </c>
      <c r="AF236">
        <v>1.8461425040042292E-3</v>
      </c>
      <c r="AG236">
        <v>-0.15018556333567082</v>
      </c>
      <c r="AH236">
        <v>-1.0487344695900456</v>
      </c>
      <c r="AI236">
        <v>3.2090815617204831E-6</v>
      </c>
    </row>
    <row r="237" spans="23:35" x14ac:dyDescent="0.25">
      <c r="W237">
        <v>235</v>
      </c>
      <c r="X237">
        <v>75.118058788991121</v>
      </c>
      <c r="Y237">
        <v>-0.61805878899112088</v>
      </c>
      <c r="Z237">
        <v>75.119150592849905</v>
      </c>
      <c r="AA237">
        <v>0.72407519708914492</v>
      </c>
      <c r="AB237">
        <v>58.6</v>
      </c>
      <c r="AC237">
        <v>0.56531175535073552</v>
      </c>
      <c r="AD237">
        <v>-0.14189242441450767</v>
      </c>
      <c r="AE237">
        <v>-1.0384682054766781</v>
      </c>
      <c r="AF237">
        <v>1.7633898301777254E-3</v>
      </c>
      <c r="AG237">
        <v>-0.14201769594487812</v>
      </c>
      <c r="AH237">
        <v>-1.0422035957988491</v>
      </c>
      <c r="AI237">
        <v>2.7406678862697157E-6</v>
      </c>
    </row>
    <row r="238" spans="23:35" x14ac:dyDescent="0.25">
      <c r="W238">
        <v>236</v>
      </c>
      <c r="X238">
        <v>75.266075901475574</v>
      </c>
      <c r="Y238">
        <v>-1.1660759014755797</v>
      </c>
      <c r="Z238">
        <v>75.268617629210283</v>
      </c>
      <c r="AA238">
        <v>0.69254093389933291</v>
      </c>
      <c r="AB238">
        <v>58.6</v>
      </c>
      <c r="AC238">
        <v>0.48161589062349974</v>
      </c>
      <c r="AD238">
        <v>-0.26770485212544975</v>
      </c>
      <c r="AE238">
        <v>-1.0344647118932948</v>
      </c>
      <c r="AF238">
        <v>2.1749866433394688E-3</v>
      </c>
      <c r="AG238">
        <v>-0.26799645512509623</v>
      </c>
      <c r="AH238">
        <v>-1.0355663090144041</v>
      </c>
      <c r="AI238">
        <v>1.204250830307771E-5</v>
      </c>
    </row>
    <row r="239" spans="23:35" x14ac:dyDescent="0.25">
      <c r="W239">
        <v>237</v>
      </c>
      <c r="X239">
        <v>74.786610516674486</v>
      </c>
      <c r="Y239">
        <v>-0.98661051667448874</v>
      </c>
      <c r="Z239">
        <v>74.78836539533846</v>
      </c>
      <c r="AA239">
        <v>0.66767738023044265</v>
      </c>
      <c r="AB239">
        <v>58.6</v>
      </c>
      <c r="AC239">
        <v>0.4143837514429769</v>
      </c>
      <c r="AD239">
        <v>-0.22650362822654463</v>
      </c>
      <c r="AE239">
        <v>-1.0337195123026988</v>
      </c>
      <c r="AF239">
        <v>1.7755363272024846E-3</v>
      </c>
      <c r="AG239">
        <v>-0.22670497910568269</v>
      </c>
      <c r="AH239">
        <v>-1.0347196938943912</v>
      </c>
      <c r="AI239">
        <v>7.0320203398192223E-6</v>
      </c>
    </row>
    <row r="240" spans="23:35" x14ac:dyDescent="0.25">
      <c r="W240">
        <v>238</v>
      </c>
      <c r="X240">
        <v>74.452077288465006</v>
      </c>
      <c r="Y240">
        <v>-0.85207728846501141</v>
      </c>
      <c r="Z240">
        <v>74.453760871184684</v>
      </c>
      <c r="AA240">
        <v>0.65433596118859916</v>
      </c>
      <c r="AB240">
        <v>58.6</v>
      </c>
      <c r="AC240">
        <v>0.3716850598056044</v>
      </c>
      <c r="AD240">
        <v>-0.19561781889097477</v>
      </c>
      <c r="AE240">
        <v>-1.0320547186003919</v>
      </c>
      <c r="AF240">
        <v>1.9719605061579637E-3</v>
      </c>
      <c r="AG240">
        <v>-0.19581097992399005</v>
      </c>
      <c r="AH240">
        <v>-1.0337660638364063</v>
      </c>
      <c r="AI240">
        <v>5.8275525597279667E-6</v>
      </c>
    </row>
    <row r="241" spans="23:35" x14ac:dyDescent="0.25">
      <c r="W241">
        <v>239</v>
      </c>
      <c r="X241">
        <v>71.133402682282266</v>
      </c>
      <c r="Y241">
        <v>2.2665973177177392</v>
      </c>
      <c r="Z241">
        <v>71.120013891919797</v>
      </c>
      <c r="AA241">
        <v>0.63735597331716187</v>
      </c>
      <c r="AB241">
        <v>58.7</v>
      </c>
      <c r="AC241">
        <v>0.33286538375086522</v>
      </c>
      <c r="AD241">
        <v>0.52035986593988948</v>
      </c>
      <c r="AE241">
        <v>-1.0292505659585638</v>
      </c>
      <c r="AF241">
        <v>5.872312254455548E-3</v>
      </c>
      <c r="AG241">
        <v>0.52189448589153498</v>
      </c>
      <c r="AH241">
        <v>-1.0336010570410994</v>
      </c>
      <c r="AI241">
        <v>1.2376248913619945E-4</v>
      </c>
    </row>
    <row r="242" spans="23:35" x14ac:dyDescent="0.25">
      <c r="W242">
        <v>240</v>
      </c>
      <c r="X242">
        <v>73.863894002394716</v>
      </c>
      <c r="Y242">
        <v>-0.56389400239471854</v>
      </c>
      <c r="Z242">
        <v>73.864903708196508</v>
      </c>
      <c r="AA242">
        <v>0.63007883565797451</v>
      </c>
      <c r="AB242">
        <v>58.8</v>
      </c>
      <c r="AC242">
        <v>0.3152427890443939</v>
      </c>
      <c r="AD242">
        <v>-0.12945740524650362</v>
      </c>
      <c r="AE242">
        <v>-1.0288637392352165</v>
      </c>
      <c r="AF242">
        <v>1.7873945366991249E-3</v>
      </c>
      <c r="AG242">
        <v>-0.1295732563027519</v>
      </c>
      <c r="AH242">
        <v>-1.0321804656511242</v>
      </c>
      <c r="AI242">
        <v>2.3125161280142648E-6</v>
      </c>
    </row>
    <row r="243" spans="23:35" x14ac:dyDescent="0.25">
      <c r="W243">
        <v>241</v>
      </c>
      <c r="X243">
        <v>73.091368339630904</v>
      </c>
      <c r="Y243">
        <v>-9.1368339630903961E-2</v>
      </c>
      <c r="Z243">
        <v>73.091575243135807</v>
      </c>
      <c r="AA243">
        <v>0.60946027895694366</v>
      </c>
      <c r="AB243">
        <v>58.8</v>
      </c>
      <c r="AC243">
        <v>0.22222871718700732</v>
      </c>
      <c r="AD243">
        <v>-2.0976119838243015E-2</v>
      </c>
      <c r="AE243">
        <v>-1.0200044430914053</v>
      </c>
      <c r="AF243">
        <v>2.2593825342392738E-3</v>
      </c>
      <c r="AG243">
        <v>-2.0999856608056484E-2</v>
      </c>
      <c r="AH243">
        <v>-1.025073263518204</v>
      </c>
      <c r="AI243">
        <v>7.6817721433616455E-8</v>
      </c>
    </row>
    <row r="244" spans="23:35" x14ac:dyDescent="0.25">
      <c r="W244">
        <v>242</v>
      </c>
      <c r="X244">
        <v>72.936484839403391</v>
      </c>
      <c r="Y244">
        <v>-0.23648483940338849</v>
      </c>
      <c r="Z244">
        <v>72.937000170069865</v>
      </c>
      <c r="AA244">
        <v>0.57246816252274102</v>
      </c>
      <c r="AB244">
        <v>58.8</v>
      </c>
      <c r="AC244">
        <v>0.16337348484333708</v>
      </c>
      <c r="AD244">
        <v>-5.4291610762458302E-2</v>
      </c>
      <c r="AE244">
        <v>-1.0154307070936837</v>
      </c>
      <c r="AF244">
        <v>2.1743894374597508E-3</v>
      </c>
      <c r="AG244">
        <v>-5.4350732748105882E-2</v>
      </c>
      <c r="AH244">
        <v>-1.01747178798046</v>
      </c>
      <c r="AI244">
        <v>4.9516522617220942E-7</v>
      </c>
    </row>
    <row r="245" spans="23:35" x14ac:dyDescent="0.25">
      <c r="W245">
        <v>243</v>
      </c>
      <c r="X245">
        <v>73.139695450314804</v>
      </c>
      <c r="Y245">
        <v>-1.1396954503148038</v>
      </c>
      <c r="Z245">
        <v>73.141504869900231</v>
      </c>
      <c r="AA245">
        <v>0.52516676773802307</v>
      </c>
      <c r="AB245">
        <v>58.9</v>
      </c>
      <c r="AC245">
        <v>4.1053957112594373E-2</v>
      </c>
      <c r="AD245">
        <v>-0.261648492699737</v>
      </c>
      <c r="AE245">
        <v>-1.0100575963361766</v>
      </c>
      <c r="AF245">
        <v>1.5851177100914137E-3</v>
      </c>
      <c r="AG245">
        <v>-0.2618561113872091</v>
      </c>
      <c r="AH245">
        <v>-1.017342520033762</v>
      </c>
      <c r="AI245">
        <v>8.3739921313974949E-6</v>
      </c>
    </row>
    <row r="246" spans="23:35" x14ac:dyDescent="0.25">
      <c r="W246">
        <v>244</v>
      </c>
      <c r="X246">
        <v>72.689046036039485</v>
      </c>
      <c r="Y246">
        <v>-0.88904603603948829</v>
      </c>
      <c r="Z246">
        <v>72.690553601034196</v>
      </c>
      <c r="AA246">
        <v>0.51061249241964823</v>
      </c>
      <c r="AB246">
        <v>58.9</v>
      </c>
      <c r="AC246">
        <v>1.0640830227304372E-2</v>
      </c>
      <c r="AD246">
        <v>-0.20410501349825966</v>
      </c>
      <c r="AE246">
        <v>-1.0094228892685762</v>
      </c>
      <c r="AF246">
        <v>1.6928402658360881E-3</v>
      </c>
      <c r="AG246">
        <v>-0.20427799174032185</v>
      </c>
      <c r="AH246">
        <v>-1.013740709194471</v>
      </c>
      <c r="AI246">
        <v>5.4431662829231483E-6</v>
      </c>
    </row>
    <row r="247" spans="23:35" x14ac:dyDescent="0.25">
      <c r="W247">
        <v>245</v>
      </c>
      <c r="X247">
        <v>72.809861266931165</v>
      </c>
      <c r="Y247">
        <v>-1.4098612669311592</v>
      </c>
      <c r="Z247">
        <v>72.811951275853829</v>
      </c>
      <c r="AA247">
        <v>0.4887810794420861</v>
      </c>
      <c r="AB247">
        <v>58.9</v>
      </c>
      <c r="AC247">
        <v>-4.7140240828996732E-2</v>
      </c>
      <c r="AD247">
        <v>-0.32367249979491097</v>
      </c>
      <c r="AE247">
        <v>-1.0087953711665913</v>
      </c>
      <c r="AF247">
        <v>1.4802273693192403E-3</v>
      </c>
      <c r="AG247">
        <v>-0.32391232051611951</v>
      </c>
      <c r="AH247">
        <v>-1.0109763895739008</v>
      </c>
      <c r="AI247">
        <v>1.1964191157871575E-5</v>
      </c>
    </row>
    <row r="248" spans="23:35" x14ac:dyDescent="0.25">
      <c r="W248">
        <v>246</v>
      </c>
      <c r="X248">
        <v>72.624944735591043</v>
      </c>
      <c r="Y248">
        <v>-1.6249447355910434</v>
      </c>
      <c r="Z248">
        <v>72.62736902391228</v>
      </c>
      <c r="AA248">
        <v>0.46937537901758641</v>
      </c>
      <c r="AB248">
        <v>58.9</v>
      </c>
      <c r="AC248">
        <v>-9.743972564826138E-2</v>
      </c>
      <c r="AD248">
        <v>-0.37305083623026775</v>
      </c>
      <c r="AE248">
        <v>-1.0040644911873622</v>
      </c>
      <c r="AF248">
        <v>1.4896979637777624E-3</v>
      </c>
      <c r="AG248">
        <v>-0.37332901360463977</v>
      </c>
      <c r="AH248">
        <v>-1.0108376649793671</v>
      </c>
      <c r="AI248">
        <v>1.5995057567091832E-5</v>
      </c>
    </row>
    <row r="249" spans="23:35" x14ac:dyDescent="0.25">
      <c r="W249">
        <v>247</v>
      </c>
      <c r="X249">
        <v>72.46400646227643</v>
      </c>
      <c r="Y249">
        <v>2.5359935377235701</v>
      </c>
      <c r="Z249">
        <v>72.460107897329507</v>
      </c>
      <c r="AA249">
        <v>0.76046088538508183</v>
      </c>
      <c r="AB249">
        <v>59</v>
      </c>
      <c r="AC249">
        <v>0.67020216077934069</v>
      </c>
      <c r="AD249">
        <v>0.58220719092838757</v>
      </c>
      <c r="AE249">
        <v>-1.0020305533893346</v>
      </c>
      <c r="AF249">
        <v>1.5349332921780567E-3</v>
      </c>
      <c r="AG249">
        <v>0.58265453057184402</v>
      </c>
      <c r="AH249">
        <v>-1.0063091225858474</v>
      </c>
      <c r="AI249">
        <v>4.0145376411081499E-5</v>
      </c>
    </row>
    <row r="250" spans="23:35" x14ac:dyDescent="0.25">
      <c r="W250">
        <v>248</v>
      </c>
      <c r="X250">
        <v>76.200221291063926</v>
      </c>
      <c r="Y250">
        <v>-1.9002212910639287</v>
      </c>
      <c r="Z250">
        <v>76.208525720299875</v>
      </c>
      <c r="AA250">
        <v>0.7052759248029109</v>
      </c>
      <c r="AB250">
        <v>59</v>
      </c>
      <c r="AC250">
        <v>0.52824151828033117</v>
      </c>
      <c r="AD250">
        <v>-0.4362481542463757</v>
      </c>
      <c r="AE250">
        <v>-0.99866122861918705</v>
      </c>
      <c r="AF250">
        <v>4.3512273099724132E-3</v>
      </c>
      <c r="AG250">
        <v>-0.43720037029832221</v>
      </c>
      <c r="AH250">
        <v>-1.0050888639873534</v>
      </c>
      <c r="AI250">
        <v>6.4257422159437296E-5</v>
      </c>
    </row>
    <row r="251" spans="23:35" x14ac:dyDescent="0.25">
      <c r="W251">
        <v>249</v>
      </c>
      <c r="X251">
        <v>76.286448937041257</v>
      </c>
      <c r="Y251">
        <v>-2.1864489370412628</v>
      </c>
      <c r="Z251">
        <v>76.295177466928266</v>
      </c>
      <c r="AA251">
        <v>0.69254093389933291</v>
      </c>
      <c r="AB251">
        <v>59.1</v>
      </c>
      <c r="AC251">
        <v>0.48161589062349974</v>
      </c>
      <c r="AD251">
        <v>-0.50195959682366875</v>
      </c>
      <c r="AE251">
        <v>-0.99779894023388804</v>
      </c>
      <c r="AF251">
        <v>3.9762297210617524E-3</v>
      </c>
      <c r="AG251">
        <v>-0.50296053612198988</v>
      </c>
      <c r="AH251">
        <v>-1.0002030837253661</v>
      </c>
      <c r="AI251">
        <v>7.7683043529532634E-5</v>
      </c>
    </row>
    <row r="252" spans="23:35" x14ac:dyDescent="0.25">
      <c r="W252">
        <v>250</v>
      </c>
      <c r="X252">
        <v>76.05829689583021</v>
      </c>
      <c r="Y252">
        <v>-2.1582968958302047</v>
      </c>
      <c r="Z252">
        <v>76.065103664161981</v>
      </c>
      <c r="AA252">
        <v>0.67919951485748942</v>
      </c>
      <c r="AB252">
        <v>59.1</v>
      </c>
      <c r="AC252">
        <v>0.43434378704136062</v>
      </c>
      <c r="AD252">
        <v>-0.49549652008921341</v>
      </c>
      <c r="AE252">
        <v>-0.99439515664297062</v>
      </c>
      <c r="AF252">
        <v>3.1438533149408185E-3</v>
      </c>
      <c r="AG252">
        <v>-0.49627724562579378</v>
      </c>
      <c r="AH252">
        <v>-0.99880442853019835</v>
      </c>
      <c r="AI252">
        <v>5.9749621384044161E-5</v>
      </c>
    </row>
    <row r="253" spans="23:35" x14ac:dyDescent="0.25">
      <c r="W253">
        <v>251</v>
      </c>
      <c r="X253">
        <v>75.958728098553379</v>
      </c>
      <c r="Y253">
        <v>-2.2587280985533766</v>
      </c>
      <c r="Z253">
        <v>75.965349602812822</v>
      </c>
      <c r="AA253">
        <v>0.66040024257125529</v>
      </c>
      <c r="AB253">
        <v>59.1</v>
      </c>
      <c r="AC253">
        <v>0.39787592189543292</v>
      </c>
      <c r="AD253">
        <v>-0.51855326985976069</v>
      </c>
      <c r="AE253">
        <v>-0.98969128982896726</v>
      </c>
      <c r="AF253">
        <v>2.9229502815931781E-3</v>
      </c>
      <c r="AG253">
        <v>-0.51931278800432978</v>
      </c>
      <c r="AH253">
        <v>-0.99730066105439485</v>
      </c>
      <c r="AI253">
        <v>6.0814534983704984E-5</v>
      </c>
    </row>
    <row r="254" spans="23:35" x14ac:dyDescent="0.25">
      <c r="W254">
        <v>252</v>
      </c>
      <c r="X254">
        <v>75.816829787776925</v>
      </c>
      <c r="Y254">
        <v>-2.4168297877769191</v>
      </c>
      <c r="Z254">
        <v>75.831456586274015</v>
      </c>
      <c r="AA254">
        <v>0.63735597331716187</v>
      </c>
      <c r="AB254">
        <v>59.1</v>
      </c>
      <c r="AC254">
        <v>0.33286538375086522</v>
      </c>
      <c r="AD254">
        <v>-0.55484986880397502</v>
      </c>
      <c r="AE254">
        <v>-0.98410306918453572</v>
      </c>
      <c r="AF254">
        <v>6.0156527489186673E-3</v>
      </c>
      <c r="AG254">
        <v>-0.55652632842561611</v>
      </c>
      <c r="AH254">
        <v>-0.99145121292663807</v>
      </c>
      <c r="AI254">
        <v>1.4418872151807528E-4</v>
      </c>
    </row>
    <row r="255" spans="23:35" x14ac:dyDescent="0.25">
      <c r="W255">
        <v>253</v>
      </c>
      <c r="X255">
        <v>75.578845435514452</v>
      </c>
      <c r="Y255">
        <v>-2.3788454355144495</v>
      </c>
      <c r="Z255">
        <v>75.586238531801158</v>
      </c>
      <c r="AA255">
        <v>0.62340812613705276</v>
      </c>
      <c r="AB255">
        <v>59.1</v>
      </c>
      <c r="AC255">
        <v>0.29295400660571058</v>
      </c>
      <c r="AD255">
        <v>-0.54612951415755973</v>
      </c>
      <c r="AE255">
        <v>-0.9837138487310868</v>
      </c>
      <c r="AF255">
        <v>3.098221819894581E-3</v>
      </c>
      <c r="AG255">
        <v>-0.54697750029257242</v>
      </c>
      <c r="AH255">
        <v>-0.98570289613307738</v>
      </c>
      <c r="AI255">
        <v>7.1524644779642345E-5</v>
      </c>
    </row>
    <row r="256" spans="23:35" x14ac:dyDescent="0.25">
      <c r="W256">
        <v>254</v>
      </c>
      <c r="X256">
        <v>75.462833495753614</v>
      </c>
      <c r="Y256">
        <v>-2.5628334957536083</v>
      </c>
      <c r="Z256">
        <v>75.470728475610926</v>
      </c>
      <c r="AA256">
        <v>0.58762886597938147</v>
      </c>
      <c r="AB256">
        <v>59.2</v>
      </c>
      <c r="AC256">
        <v>0.206674078513852</v>
      </c>
      <c r="AD256">
        <v>-0.58836904281675295</v>
      </c>
      <c r="AE256">
        <v>-0.98154823043043038</v>
      </c>
      <c r="AF256">
        <v>3.0711060822681832E-3</v>
      </c>
      <c r="AG256">
        <v>-0.58927460102337703</v>
      </c>
      <c r="AH256">
        <v>-0.98476826901268977</v>
      </c>
      <c r="AI256">
        <v>8.2285389171322192E-5</v>
      </c>
    </row>
    <row r="257" spans="23:35" x14ac:dyDescent="0.25">
      <c r="W257">
        <v>255</v>
      </c>
      <c r="X257">
        <v>71.46060015359582</v>
      </c>
      <c r="Y257">
        <v>1.1393998464041744</v>
      </c>
      <c r="Z257">
        <v>71.452344290720688</v>
      </c>
      <c r="AA257">
        <v>0.56458459672528805</v>
      </c>
      <c r="AB257">
        <v>59.2</v>
      </c>
      <c r="AC257">
        <v>0.14798710972583889</v>
      </c>
      <c r="AD257">
        <v>0.26158062867726417</v>
      </c>
      <c r="AE257">
        <v>-0.97753982555714425</v>
      </c>
      <c r="AF257">
        <v>7.1936756018171257E-3</v>
      </c>
      <c r="AG257">
        <v>0.26252659859161054</v>
      </c>
      <c r="AH257">
        <v>-0.98236088226387142</v>
      </c>
      <c r="AI257">
        <v>3.841400472609489E-5</v>
      </c>
    </row>
    <row r="258" spans="23:35" x14ac:dyDescent="0.25">
      <c r="W258">
        <v>256</v>
      </c>
      <c r="X258">
        <v>71.243200886904077</v>
      </c>
      <c r="Y258">
        <v>0.95679911309592569</v>
      </c>
      <c r="Z258">
        <v>71.23629479219673</v>
      </c>
      <c r="AA258">
        <v>0.53911461491813217</v>
      </c>
      <c r="AB258">
        <v>59.2</v>
      </c>
      <c r="AC258">
        <v>7.9127168877726875E-2</v>
      </c>
      <c r="AD258">
        <v>0.2196595991401426</v>
      </c>
      <c r="AE258">
        <v>-0.97362836836656685</v>
      </c>
      <c r="AF258">
        <v>7.1661900874146903E-3</v>
      </c>
      <c r="AG258">
        <v>0.22045091595514674</v>
      </c>
      <c r="AH258">
        <v>-0.9809109122491465</v>
      </c>
      <c r="AI258">
        <v>2.6983123968977572E-5</v>
      </c>
    </row>
    <row r="259" spans="23:35" x14ac:dyDescent="0.25">
      <c r="W259">
        <v>257</v>
      </c>
      <c r="X259">
        <v>74.912168888715115</v>
      </c>
      <c r="Y259">
        <v>-2.8121688887151208</v>
      </c>
      <c r="Z259">
        <v>74.92120184241405</v>
      </c>
      <c r="AA259">
        <v>0.5312310491206792</v>
      </c>
      <c r="AB259">
        <v>59.2</v>
      </c>
      <c r="AC259">
        <v>6.3887210036911155E-2</v>
      </c>
      <c r="AD259">
        <v>-0.64561085222035852</v>
      </c>
      <c r="AE259">
        <v>-0.97350723121558247</v>
      </c>
      <c r="AF259">
        <v>3.2018105061220143E-3</v>
      </c>
      <c r="AG259">
        <v>-0.64664690261778446</v>
      </c>
      <c r="AH259">
        <v>-0.97514613263421202</v>
      </c>
      <c r="AI259">
        <v>1.0331881962652682E-4</v>
      </c>
    </row>
    <row r="260" spans="23:35" x14ac:dyDescent="0.25">
      <c r="W260">
        <v>258</v>
      </c>
      <c r="X260">
        <v>74.58941854847717</v>
      </c>
      <c r="Y260">
        <v>-2.3894185484771668</v>
      </c>
      <c r="Z260">
        <v>74.597916451302822</v>
      </c>
      <c r="AA260">
        <v>0.53911461491813217</v>
      </c>
      <c r="AB260">
        <v>59.2</v>
      </c>
      <c r="AC260">
        <v>7.9127168877726875E-2</v>
      </c>
      <c r="AD260">
        <v>-0.5485568635596082</v>
      </c>
      <c r="AE260">
        <v>-0.9729037457934554</v>
      </c>
      <c r="AF260">
        <v>3.5438694375852287E-3</v>
      </c>
      <c r="AG260">
        <v>-0.54953146166406652</v>
      </c>
      <c r="AH260">
        <v>-0.97391368627557617</v>
      </c>
      <c r="AI260">
        <v>8.2615455332668333E-5</v>
      </c>
    </row>
    <row r="261" spans="23:35" x14ac:dyDescent="0.25">
      <c r="W261">
        <v>259</v>
      </c>
      <c r="X261">
        <v>74.028999209701908</v>
      </c>
      <c r="Y261">
        <v>-2.0289992097019081</v>
      </c>
      <c r="Z261">
        <v>74.037266552164041</v>
      </c>
      <c r="AA261">
        <v>0.52516676773802307</v>
      </c>
      <c r="AB261">
        <v>59.2</v>
      </c>
      <c r="AC261">
        <v>4.1053957112594373E-2</v>
      </c>
      <c r="AD261">
        <v>-0.46581267369350488</v>
      </c>
      <c r="AE261">
        <v>-0.96908541206038334</v>
      </c>
      <c r="AF261">
        <v>4.0580563467970746E-3</v>
      </c>
      <c r="AG261">
        <v>-0.46676070708939715</v>
      </c>
      <c r="AH261">
        <v>-0.97329253785864134</v>
      </c>
      <c r="AI261">
        <v>6.8285622990566836E-5</v>
      </c>
    </row>
    <row r="262" spans="23:35" x14ac:dyDescent="0.25">
      <c r="W262">
        <v>260</v>
      </c>
      <c r="X262">
        <v>73.829145628755413</v>
      </c>
      <c r="Y262">
        <v>-2.0291456287554155</v>
      </c>
      <c r="Z262">
        <v>73.835885027217302</v>
      </c>
      <c r="AA262">
        <v>0.51061249241964823</v>
      </c>
      <c r="AB262">
        <v>59.2</v>
      </c>
      <c r="AC262">
        <v>1.0640830227304372E-2</v>
      </c>
      <c r="AD262">
        <v>-0.46584628822152824</v>
      </c>
      <c r="AE262">
        <v>-0.96637796359531059</v>
      </c>
      <c r="AF262">
        <v>3.3103040553817331E-3</v>
      </c>
      <c r="AG262">
        <v>-0.46661925424476003</v>
      </c>
      <c r="AH262">
        <v>-0.97146481142681429</v>
      </c>
      <c r="AI262">
        <v>5.5627542707971866E-5</v>
      </c>
    </row>
    <row r="263" spans="23:35" x14ac:dyDescent="0.25">
      <c r="W263">
        <v>261</v>
      </c>
      <c r="X263">
        <v>73.68039452702466</v>
      </c>
      <c r="Y263">
        <v>-2.0803945270246658</v>
      </c>
      <c r="Z263">
        <v>73.687600939328732</v>
      </c>
      <c r="AA263">
        <v>0.49787750151607035</v>
      </c>
      <c r="AB263">
        <v>59.3</v>
      </c>
      <c r="AC263">
        <v>-2.1282865457297767E-2</v>
      </c>
      <c r="AD263">
        <v>-0.47761188488243239</v>
      </c>
      <c r="AE263">
        <v>-0.96540380393056979</v>
      </c>
      <c r="AF263">
        <v>3.4520066399209293E-3</v>
      </c>
      <c r="AG263">
        <v>-0.47843838501095948</v>
      </c>
      <c r="AH263">
        <v>-0.97038055359233388</v>
      </c>
      <c r="AI263">
        <v>6.0993293171887405E-5</v>
      </c>
    </row>
    <row r="264" spans="23:35" x14ac:dyDescent="0.25">
      <c r="W264">
        <v>262</v>
      </c>
      <c r="X264">
        <v>73.3127907682656</v>
      </c>
      <c r="Y264">
        <v>-2.2127907682656058</v>
      </c>
      <c r="Z264">
        <v>73.319408345979582</v>
      </c>
      <c r="AA264">
        <v>0.47422680412371132</v>
      </c>
      <c r="AB264">
        <v>59.3</v>
      </c>
      <c r="AC264">
        <v>-7.6077819866612773E-2</v>
      </c>
      <c r="AD264">
        <v>-0.50800708997887656</v>
      </c>
      <c r="AE264">
        <v>-0.96455565099094898</v>
      </c>
      <c r="AF264">
        <v>2.9816855136050439E-3</v>
      </c>
      <c r="AG264">
        <v>-0.50876614654274832</v>
      </c>
      <c r="AH264">
        <v>-0.96964921753450695</v>
      </c>
      <c r="AI264">
        <v>5.9545885500412626E-5</v>
      </c>
    </row>
    <row r="265" spans="23:35" x14ac:dyDescent="0.25">
      <c r="W265">
        <v>263</v>
      </c>
      <c r="X265">
        <v>63.5211679635362</v>
      </c>
      <c r="Y265">
        <v>-4.2211679635362032</v>
      </c>
      <c r="Z265">
        <v>63.532458326776087</v>
      </c>
      <c r="AA265">
        <v>0.16070345664038813</v>
      </c>
      <c r="AB265">
        <v>59.3</v>
      </c>
      <c r="AC265">
        <v>-1.0028172174115717</v>
      </c>
      <c r="AD265">
        <v>-0.96908541206038334</v>
      </c>
      <c r="AE265">
        <v>-0.96312298202744018</v>
      </c>
      <c r="AF265">
        <v>2.6675663097397518E-3</v>
      </c>
      <c r="AG265">
        <v>-0.97038055359233388</v>
      </c>
      <c r="AH265">
        <v>-0.96570477232358565</v>
      </c>
      <c r="AI265">
        <v>1.9373857371685594E-4</v>
      </c>
    </row>
    <row r="266" spans="23:35" x14ac:dyDescent="0.25">
      <c r="W266">
        <v>264</v>
      </c>
      <c r="X266">
        <v>63.2409562932136</v>
      </c>
      <c r="Y266">
        <v>-4.2409562932135998</v>
      </c>
      <c r="Z266">
        <v>63.254188834891778</v>
      </c>
      <c r="AA266">
        <v>0.15039417828987264</v>
      </c>
      <c r="AB266">
        <v>59.3</v>
      </c>
      <c r="AC266">
        <v>-1.0386467129748296</v>
      </c>
      <c r="AD266">
        <v>-0.97362836836656685</v>
      </c>
      <c r="AE266">
        <v>-0.96290677693405224</v>
      </c>
      <c r="AF266">
        <v>3.1104735101671619E-3</v>
      </c>
      <c r="AG266">
        <v>-0.97514613263421202</v>
      </c>
      <c r="AH266">
        <v>-0.96386059355672538</v>
      </c>
      <c r="AI266">
        <v>2.2823146973441257E-4</v>
      </c>
    </row>
    <row r="267" spans="23:35" x14ac:dyDescent="0.25">
      <c r="W267">
        <v>265</v>
      </c>
      <c r="X267">
        <v>59.4858448206123</v>
      </c>
      <c r="Y267">
        <v>-0.88584482061229863</v>
      </c>
      <c r="Z267">
        <v>59.496025783406076</v>
      </c>
      <c r="AA267">
        <v>0.14432989690721648</v>
      </c>
      <c r="AB267">
        <v>59.3</v>
      </c>
      <c r="AC267">
        <v>-1.0704544602760233</v>
      </c>
      <c r="AD267">
        <v>-0.2033700862937157</v>
      </c>
      <c r="AE267">
        <v>-0.957901358999935</v>
      </c>
      <c r="AF267">
        <v>1.1362354724964144E-2</v>
      </c>
      <c r="AG267">
        <v>-0.20453540787880412</v>
      </c>
      <c r="AH267">
        <v>-0.96009179424198665</v>
      </c>
      <c r="AI267">
        <v>3.6984934175068326E-5</v>
      </c>
    </row>
    <row r="268" spans="23:35" x14ac:dyDescent="0.25">
      <c r="W268">
        <v>266</v>
      </c>
      <c r="X268">
        <v>60.709951057013249</v>
      </c>
      <c r="Y268">
        <v>-2.609951057013248</v>
      </c>
      <c r="Z268">
        <v>60.75071202196316</v>
      </c>
      <c r="AA268">
        <v>0.13523347483323225</v>
      </c>
      <c r="AB268">
        <v>59.4</v>
      </c>
      <c r="AC268">
        <v>-1.1174634002413726</v>
      </c>
      <c r="AD268">
        <v>-0.59918617723618672</v>
      </c>
      <c r="AE268">
        <v>-0.9562108954545262</v>
      </c>
      <c r="AF268">
        <v>1.5377364501377135E-2</v>
      </c>
      <c r="AG268">
        <v>-0.60384695159776736</v>
      </c>
      <c r="AH268">
        <v>-0.95925550976410257</v>
      </c>
      <c r="AI268">
        <v>4.3804880249000345E-4</v>
      </c>
    </row>
    <row r="269" spans="23:35" x14ac:dyDescent="0.25">
      <c r="W269">
        <v>267</v>
      </c>
      <c r="X269">
        <v>60.668572176949461</v>
      </c>
      <c r="Y269">
        <v>-3.1685721769494606</v>
      </c>
      <c r="Z269">
        <v>60.719826619250043</v>
      </c>
      <c r="AA269">
        <v>0.12067919951485749</v>
      </c>
      <c r="AB269">
        <v>59.4</v>
      </c>
      <c r="AC269">
        <v>-1.182232646923248</v>
      </c>
      <c r="AD269">
        <v>-0.72743304703037281</v>
      </c>
      <c r="AE269">
        <v>-0.95474165401832067</v>
      </c>
      <c r="AF269">
        <v>1.5918385789518926E-2</v>
      </c>
      <c r="AG269">
        <v>-0.73329287982840985</v>
      </c>
      <c r="AH269">
        <v>-0.95741665588650693</v>
      </c>
      <c r="AI269">
        <v>6.69082223977735E-4</v>
      </c>
    </row>
    <row r="270" spans="23:35" x14ac:dyDescent="0.25">
      <c r="W270">
        <v>268</v>
      </c>
      <c r="X270">
        <v>62.601767058598512</v>
      </c>
      <c r="Y270">
        <v>-5.701767058598513</v>
      </c>
      <c r="Z270">
        <v>62.722817999579036</v>
      </c>
      <c r="AA270">
        <v>0.1091570648878108</v>
      </c>
      <c r="AB270">
        <v>59.4</v>
      </c>
      <c r="AC270">
        <v>-1.2359023985485402</v>
      </c>
      <c r="AD270">
        <v>-1.3089977293453583</v>
      </c>
      <c r="AE270">
        <v>-0.95442233484594463</v>
      </c>
      <c r="AF270">
        <v>2.0789064846140275E-2</v>
      </c>
      <c r="AG270">
        <v>-1.3228200406741804</v>
      </c>
      <c r="AH270">
        <v>-0.95639846627065328</v>
      </c>
      <c r="AI270">
        <v>2.85770160379342E-3</v>
      </c>
    </row>
    <row r="271" spans="23:35" x14ac:dyDescent="0.25">
      <c r="W271">
        <v>269</v>
      </c>
      <c r="X271">
        <v>61.802818151120618</v>
      </c>
      <c r="Y271">
        <v>-5.7028181511206171</v>
      </c>
      <c r="Z271">
        <v>61.827206537738597</v>
      </c>
      <c r="AA271">
        <v>9.3996361431170405E-2</v>
      </c>
      <c r="AB271">
        <v>59.4</v>
      </c>
      <c r="AC271">
        <v>-1.3219841213691266</v>
      </c>
      <c r="AD271">
        <v>-1.3092390365946067</v>
      </c>
      <c r="AE271">
        <v>-0.95319787687822821</v>
      </c>
      <c r="AF271">
        <v>4.2583389401581514E-3</v>
      </c>
      <c r="AG271">
        <v>-1.3120355629744285</v>
      </c>
      <c r="AH271">
        <v>-0.95463482021388069</v>
      </c>
      <c r="AI271">
        <v>5.6629328153623632E-4</v>
      </c>
    </row>
    <row r="272" spans="23:35" x14ac:dyDescent="0.25">
      <c r="W272">
        <v>270</v>
      </c>
      <c r="X272">
        <v>61.310988087464622</v>
      </c>
      <c r="Y272">
        <v>-6.0109880874646251</v>
      </c>
      <c r="Z272">
        <v>61.337458221666587</v>
      </c>
      <c r="AA272">
        <v>8.6719223771983017E-2</v>
      </c>
      <c r="AB272">
        <v>59.5</v>
      </c>
      <c r="AC272">
        <v>-1.3946242806491973</v>
      </c>
      <c r="AD272">
        <v>-1.3799879365024827</v>
      </c>
      <c r="AE272">
        <v>-0.95164074490112216</v>
      </c>
      <c r="AF272">
        <v>4.3843175770510228E-3</v>
      </c>
      <c r="AG272">
        <v>-1.3830230730919677</v>
      </c>
      <c r="AH272">
        <v>-0.95249393534137972</v>
      </c>
      <c r="AI272">
        <v>6.4792654747146796E-4</v>
      </c>
    </row>
    <row r="273" spans="23:35" x14ac:dyDescent="0.25">
      <c r="W273">
        <v>271</v>
      </c>
      <c r="X273">
        <v>61.42991558518213</v>
      </c>
      <c r="Y273">
        <v>-7.1299155851821325</v>
      </c>
      <c r="Z273">
        <v>61.572629173593825</v>
      </c>
      <c r="AA273">
        <v>7.3984232868405095E-2</v>
      </c>
      <c r="AB273">
        <v>59.5</v>
      </c>
      <c r="AC273">
        <v>-1.4576525936309461</v>
      </c>
      <c r="AD273">
        <v>-1.6368685734631787</v>
      </c>
      <c r="AE273">
        <v>-0.94734743321573556</v>
      </c>
      <c r="AF273">
        <v>1.9623383099178833E-2</v>
      </c>
      <c r="AG273">
        <v>-1.653169326162101</v>
      </c>
      <c r="AH273">
        <v>-0.95224844597695868</v>
      </c>
      <c r="AI273">
        <v>4.2079663960326698E-3</v>
      </c>
    </row>
    <row r="274" spans="23:35" x14ac:dyDescent="0.25">
      <c r="W274">
        <v>272</v>
      </c>
      <c r="X274">
        <v>64.212417491441911</v>
      </c>
      <c r="Y274">
        <v>-5.11241749144191</v>
      </c>
      <c r="Z274">
        <v>64.230162565968911</v>
      </c>
      <c r="AA274">
        <v>0.15342631898120074</v>
      </c>
      <c r="AB274">
        <v>59.6</v>
      </c>
      <c r="AC274">
        <v>-1.0334469496720613</v>
      </c>
      <c r="AD274">
        <v>-1.1736962978294441</v>
      </c>
      <c r="AE274">
        <v>-0.9465982701590373</v>
      </c>
      <c r="AF274">
        <v>3.4589692429460978E-3</v>
      </c>
      <c r="AG274">
        <v>-1.175731468746521</v>
      </c>
      <c r="AH274">
        <v>-0.94985012895862719</v>
      </c>
      <c r="AI274">
        <v>3.6908334503922509E-4</v>
      </c>
    </row>
    <row r="275" spans="23:35" x14ac:dyDescent="0.25">
      <c r="W275">
        <v>273</v>
      </c>
      <c r="X275">
        <v>64.02336696020491</v>
      </c>
      <c r="Y275">
        <v>-5.423366960204909</v>
      </c>
      <c r="Z275">
        <v>64.045479286086646</v>
      </c>
      <c r="AA275">
        <v>0.14432989690721648</v>
      </c>
      <c r="AB275">
        <v>59.6</v>
      </c>
      <c r="AC275">
        <v>-1.0704544602760233</v>
      </c>
      <c r="AD275">
        <v>-1.2450833159886809</v>
      </c>
      <c r="AE275">
        <v>-0.94268735821455329</v>
      </c>
      <c r="AF275">
        <v>4.0606757862851261E-3</v>
      </c>
      <c r="AG275">
        <v>-1.2476189808283589</v>
      </c>
      <c r="AH275">
        <v>-0.94808124203072752</v>
      </c>
      <c r="AI275">
        <v>4.8818679675272894E-4</v>
      </c>
    </row>
    <row r="276" spans="23:35" x14ac:dyDescent="0.25">
      <c r="W276">
        <v>274</v>
      </c>
      <c r="X276">
        <v>63.739512863281163</v>
      </c>
      <c r="Y276">
        <v>-5.7395128632811634</v>
      </c>
      <c r="Z276">
        <v>63.762796195518938</v>
      </c>
      <c r="AA276">
        <v>0.13159490600363857</v>
      </c>
      <c r="AB276">
        <v>59.6</v>
      </c>
      <c r="AC276">
        <v>-1.1375552391677688</v>
      </c>
      <c r="AD276">
        <v>-1.3176633188221138</v>
      </c>
      <c r="AE276">
        <v>-0.94179938821458253</v>
      </c>
      <c r="AF276">
        <v>4.0402838219196274E-3</v>
      </c>
      <c r="AG276">
        <v>-1.3203332789941931</v>
      </c>
      <c r="AH276">
        <v>-0.94588593187782044</v>
      </c>
      <c r="AI276">
        <v>5.4399372367559774E-4</v>
      </c>
    </row>
    <row r="277" spans="23:35" x14ac:dyDescent="0.25">
      <c r="W277">
        <v>275</v>
      </c>
      <c r="X277">
        <v>63.228104962329354</v>
      </c>
      <c r="Y277">
        <v>-5.8281049623293555</v>
      </c>
      <c r="Z277">
        <v>63.254132041769708</v>
      </c>
      <c r="AA277">
        <v>0.11825348696179502</v>
      </c>
      <c r="AB277">
        <v>59.7</v>
      </c>
      <c r="AC277">
        <v>-1.1914554566319386</v>
      </c>
      <c r="AD277">
        <v>-1.3380020761407139</v>
      </c>
      <c r="AE277">
        <v>-0.93909033578260592</v>
      </c>
      <c r="AF277">
        <v>4.4459331041137896E-3</v>
      </c>
      <c r="AG277">
        <v>-1.3409863646578839</v>
      </c>
      <c r="AH277">
        <v>-0.94419910512917082</v>
      </c>
      <c r="AI277">
        <v>6.1773675795622244E-4</v>
      </c>
    </row>
    <row r="278" spans="23:35" x14ac:dyDescent="0.25">
      <c r="W278">
        <v>276</v>
      </c>
      <c r="X278">
        <v>62.492779764567551</v>
      </c>
      <c r="Y278">
        <v>-5.692779764567554</v>
      </c>
      <c r="Z278">
        <v>62.520946613738957</v>
      </c>
      <c r="AA278">
        <v>0.10794420861127957</v>
      </c>
      <c r="AB278">
        <v>59.7</v>
      </c>
      <c r="AC278">
        <v>-1.2523823790942721</v>
      </c>
      <c r="AD278">
        <v>-1.3069344483732352</v>
      </c>
      <c r="AE278">
        <v>-0.93147923471434602</v>
      </c>
      <c r="AF278">
        <v>4.9234595379313642E-3</v>
      </c>
      <c r="AG278">
        <v>-1.3101636970216606</v>
      </c>
      <c r="AH278">
        <v>-0.93621182323431207</v>
      </c>
      <c r="AI278">
        <v>6.533135357444077E-4</v>
      </c>
    </row>
    <row r="279" spans="23:35" x14ac:dyDescent="0.25">
      <c r="W279">
        <v>277</v>
      </c>
      <c r="X279">
        <v>61.340484067516471</v>
      </c>
      <c r="Y279">
        <v>-5.1404840675164678</v>
      </c>
      <c r="Z279">
        <v>61.361944747530359</v>
      </c>
      <c r="AA279">
        <v>9.5815645845967259E-2</v>
      </c>
      <c r="AB279">
        <v>59.7</v>
      </c>
      <c r="AC279">
        <v>-1.3147344895569</v>
      </c>
      <c r="AD279">
        <v>-1.1801397536869909</v>
      </c>
      <c r="AE279">
        <v>-0.92942569546495701</v>
      </c>
      <c r="AF279">
        <v>4.1574796057548971E-3</v>
      </c>
      <c r="AG279">
        <v>-1.1826006331219889</v>
      </c>
      <c r="AH279">
        <v>-0.93336448521589643</v>
      </c>
      <c r="AI279">
        <v>4.4913026747642019E-4</v>
      </c>
    </row>
    <row r="280" spans="23:35" x14ac:dyDescent="0.25">
      <c r="W280">
        <v>278</v>
      </c>
      <c r="X280">
        <v>60.593297194246922</v>
      </c>
      <c r="Y280">
        <v>-5.2932971942469251</v>
      </c>
      <c r="Z280">
        <v>60.618140877312221</v>
      </c>
      <c r="AA280">
        <v>8.6719223771983017E-2</v>
      </c>
      <c r="AB280">
        <v>59.7</v>
      </c>
      <c r="AC280">
        <v>-1.3946242806491973</v>
      </c>
      <c r="AD280">
        <v>-1.2152222173949174</v>
      </c>
      <c r="AE280">
        <v>-0.92868433148326823</v>
      </c>
      <c r="AF280">
        <v>4.6714977354742285E-3</v>
      </c>
      <c r="AG280">
        <v>-1.218070655059996</v>
      </c>
      <c r="AH280">
        <v>-0.93250932951628918</v>
      </c>
      <c r="AI280">
        <v>5.356625825465273E-4</v>
      </c>
    </row>
    <row r="281" spans="23:35" x14ac:dyDescent="0.25">
      <c r="W281">
        <v>279</v>
      </c>
      <c r="X281">
        <v>59.199635691466774</v>
      </c>
      <c r="Y281">
        <v>-4.3996356914667771</v>
      </c>
      <c r="Z281">
        <v>59.231780192804386</v>
      </c>
      <c r="AA281">
        <v>7.7622801697998789E-2</v>
      </c>
      <c r="AB281">
        <v>59.7</v>
      </c>
      <c r="AC281">
        <v>-1.4402815816722083</v>
      </c>
      <c r="AD281">
        <v>-1.0100575963361766</v>
      </c>
      <c r="AE281">
        <v>-0.92400968236140513</v>
      </c>
      <c r="AF281">
        <v>7.2531804239304087E-3</v>
      </c>
      <c r="AG281">
        <v>-1.013740709194471</v>
      </c>
      <c r="AH281">
        <v>-0.92853439276497829</v>
      </c>
      <c r="AI281">
        <v>5.7756437567659945E-4</v>
      </c>
    </row>
    <row r="282" spans="23:35" x14ac:dyDescent="0.25">
      <c r="W282">
        <v>280</v>
      </c>
      <c r="X282">
        <v>59.934768160160729</v>
      </c>
      <c r="Y282">
        <v>-5.8347681601607277</v>
      </c>
      <c r="Z282">
        <v>59.987330502066555</v>
      </c>
      <c r="AA282">
        <v>7.1558520315342627E-2</v>
      </c>
      <c r="AB282">
        <v>59.8</v>
      </c>
      <c r="AC282">
        <v>-1.4754749432056431</v>
      </c>
      <c r="AD282">
        <v>-1.3395317967942946</v>
      </c>
      <c r="AE282">
        <v>-0.92067565653852779</v>
      </c>
      <c r="AF282">
        <v>8.9280433444962198E-3</v>
      </c>
      <c r="AG282">
        <v>-1.3455518362715924</v>
      </c>
      <c r="AH282">
        <v>-0.92188352671999496</v>
      </c>
      <c r="AI282">
        <v>1.2546096299956922E-3</v>
      </c>
    </row>
    <row r="283" spans="23:35" x14ac:dyDescent="0.25">
      <c r="W283">
        <v>281</v>
      </c>
      <c r="X283">
        <v>58.955035934690713</v>
      </c>
      <c r="Y283">
        <v>-5.5550359346907143</v>
      </c>
      <c r="Z283">
        <v>58.994988474631562</v>
      </c>
      <c r="AA283">
        <v>6.2462098241358399E-2</v>
      </c>
      <c r="AB283">
        <v>59.8</v>
      </c>
      <c r="AC283">
        <v>-1.5418711328403236</v>
      </c>
      <c r="AD283">
        <v>-1.2753115569630702</v>
      </c>
      <c r="AE283">
        <v>-0.91901328645460056</v>
      </c>
      <c r="AF283">
        <v>7.1407725184775067E-3</v>
      </c>
      <c r="AG283">
        <v>-1.2798894436998083</v>
      </c>
      <c r="AH283">
        <v>-0.92032275634697036</v>
      </c>
      <c r="AI283">
        <v>9.0627308769997941E-4</v>
      </c>
    </row>
    <row r="284" spans="23:35" x14ac:dyDescent="0.25">
      <c r="W284">
        <v>282</v>
      </c>
      <c r="X284">
        <v>57.817941971721112</v>
      </c>
      <c r="Y284">
        <v>-5.2179419717211104</v>
      </c>
      <c r="Z284">
        <v>57.845709182724569</v>
      </c>
      <c r="AA284">
        <v>5.5184960582171011E-2</v>
      </c>
      <c r="AB284">
        <v>59.8</v>
      </c>
      <c r="AC284">
        <v>-1.6158584342289828</v>
      </c>
      <c r="AD284">
        <v>-1.1979223497982829</v>
      </c>
      <c r="AE284">
        <v>-0.90995194176829863</v>
      </c>
      <c r="AF284">
        <v>5.293318793749403E-3</v>
      </c>
      <c r="AG284">
        <v>-1.201105484842631</v>
      </c>
      <c r="AH284">
        <v>-0.91407927339695494</v>
      </c>
      <c r="AI284">
        <v>5.9054359495676345E-4</v>
      </c>
    </row>
    <row r="285" spans="23:35" x14ac:dyDescent="0.25">
      <c r="W285">
        <v>283</v>
      </c>
      <c r="X285">
        <v>68.255665707408426</v>
      </c>
      <c r="Y285">
        <v>4.7443342925915744</v>
      </c>
      <c r="Z285">
        <v>68.231587106771016</v>
      </c>
      <c r="AA285">
        <v>0.60946027895694366</v>
      </c>
      <c r="AB285">
        <v>59.9</v>
      </c>
      <c r="AC285">
        <v>0.22222871718700732</v>
      </c>
      <c r="AD285">
        <v>1.0891926577204256</v>
      </c>
      <c r="AE285">
        <v>-0.90709826946693628</v>
      </c>
      <c r="AF285">
        <v>5.0496048007084389E-3</v>
      </c>
      <c r="AG285">
        <v>1.0919531127727597</v>
      </c>
      <c r="AH285">
        <v>-0.90810471354150657</v>
      </c>
      <c r="AI285">
        <v>4.6550096993525043E-4</v>
      </c>
    </row>
    <row r="286" spans="23:35" x14ac:dyDescent="0.25">
      <c r="W286">
        <v>284</v>
      </c>
      <c r="X286">
        <v>69.860386447084736</v>
      </c>
      <c r="Y286">
        <v>2.9396135529152616</v>
      </c>
      <c r="Z286">
        <v>69.85308635687079</v>
      </c>
      <c r="AA286">
        <v>0.58156458459672533</v>
      </c>
      <c r="AB286">
        <v>59.9</v>
      </c>
      <c r="AC286">
        <v>0.18343432307636306</v>
      </c>
      <c r="AD286">
        <v>0.67486928637606236</v>
      </c>
      <c r="AE286">
        <v>-0.89842473747229523</v>
      </c>
      <c r="AF286">
        <v>2.4771985534672043E-3</v>
      </c>
      <c r="AG286">
        <v>0.67570673520291125</v>
      </c>
      <c r="AH286">
        <v>-0.89961671339952454</v>
      </c>
      <c r="AI286">
        <v>8.7219005320084671E-5</v>
      </c>
    </row>
    <row r="287" spans="23:35" x14ac:dyDescent="0.25">
      <c r="W287">
        <v>285</v>
      </c>
      <c r="X287">
        <v>69.361708258544311</v>
      </c>
      <c r="Y287">
        <v>3.3382917414556914</v>
      </c>
      <c r="Z287">
        <v>69.353767681506042</v>
      </c>
      <c r="AA287">
        <v>0.57246816252274102</v>
      </c>
      <c r="AB287">
        <v>59.9</v>
      </c>
      <c r="AC287">
        <v>0.16337348484333708</v>
      </c>
      <c r="AD287">
        <v>0.76639684935356811</v>
      </c>
      <c r="AE287">
        <v>-0.8884966820905118</v>
      </c>
      <c r="AF287">
        <v>2.3729903612458567E-3</v>
      </c>
      <c r="AG287">
        <v>0.7673077970954113</v>
      </c>
      <c r="AH287">
        <v>-0.89419061594913896</v>
      </c>
      <c r="AI287">
        <v>1.07726771847947E-4</v>
      </c>
    </row>
    <row r="288" spans="23:35" x14ac:dyDescent="0.25">
      <c r="W288">
        <v>286</v>
      </c>
      <c r="X288">
        <v>65.409359282937473</v>
      </c>
      <c r="Y288">
        <v>7.1906407170625215</v>
      </c>
      <c r="Z288">
        <v>65.321666353148956</v>
      </c>
      <c r="AA288">
        <v>0.56458459672528805</v>
      </c>
      <c r="AB288">
        <v>59.9</v>
      </c>
      <c r="AC288">
        <v>0.14798710972583889</v>
      </c>
      <c r="AD288">
        <v>1.6508097006486104</v>
      </c>
      <c r="AE288">
        <v>-0.88712529778939264</v>
      </c>
      <c r="AF288">
        <v>1.2048489948858269E-2</v>
      </c>
      <c r="AG288">
        <v>1.6608453602039854</v>
      </c>
      <c r="AH288">
        <v>-0.88808981170395218</v>
      </c>
      <c r="AI288">
        <v>2.5876887227631578E-3</v>
      </c>
    </row>
    <row r="289" spans="23:35" x14ac:dyDescent="0.25">
      <c r="W289">
        <v>287</v>
      </c>
      <c r="X289">
        <v>69.394576815887291</v>
      </c>
      <c r="Y289">
        <v>3.1054231841127091</v>
      </c>
      <c r="Z289">
        <v>69.389077364811598</v>
      </c>
      <c r="AA289">
        <v>0.55852031534263191</v>
      </c>
      <c r="AB289">
        <v>59.9</v>
      </c>
      <c r="AC289">
        <v>0.12956927093944998</v>
      </c>
      <c r="AD289">
        <v>0.71293545577765827</v>
      </c>
      <c r="AE289">
        <v>-0.88552427581772108</v>
      </c>
      <c r="AF289">
        <v>1.767787798220017E-3</v>
      </c>
      <c r="AG289">
        <v>0.71356645180113598</v>
      </c>
      <c r="AH289">
        <v>-0.8864318279618657</v>
      </c>
      <c r="AI289">
        <v>6.9362389614139553E-5</v>
      </c>
    </row>
    <row r="290" spans="23:35" x14ac:dyDescent="0.25">
      <c r="W290">
        <v>288</v>
      </c>
      <c r="X290">
        <v>69.134295484208138</v>
      </c>
      <c r="Y290">
        <v>3.2657045157918674</v>
      </c>
      <c r="Z290">
        <v>69.127819385771119</v>
      </c>
      <c r="AA290">
        <v>0.55124317768344455</v>
      </c>
      <c r="AB290">
        <v>60</v>
      </c>
      <c r="AC290">
        <v>0.11578501997911882</v>
      </c>
      <c r="AD290">
        <v>0.74973245170334568</v>
      </c>
      <c r="AE290">
        <v>-0.8851304696442216</v>
      </c>
      <c r="AF290">
        <v>1.9791384402390259E-3</v>
      </c>
      <c r="AG290">
        <v>0.75047546694046829</v>
      </c>
      <c r="AH290">
        <v>-0.88606224470463002</v>
      </c>
      <c r="AI290">
        <v>8.5914447539878249E-5</v>
      </c>
    </row>
    <row r="291" spans="23:35" x14ac:dyDescent="0.25">
      <c r="W291">
        <v>289</v>
      </c>
      <c r="X291">
        <v>68.936477446457076</v>
      </c>
      <c r="Y291">
        <v>3.4635225535429299</v>
      </c>
      <c r="Z291">
        <v>68.929110168892535</v>
      </c>
      <c r="AA291">
        <v>0.55124317768344455</v>
      </c>
      <c r="AB291">
        <v>60</v>
      </c>
      <c r="AC291">
        <v>0.11578501997911882</v>
      </c>
      <c r="AD291">
        <v>0.79514703275838849</v>
      </c>
      <c r="AE291">
        <v>-0.88340707946492236</v>
      </c>
      <c r="AF291">
        <v>2.1225904373331989E-3</v>
      </c>
      <c r="AG291">
        <v>0.79599226430094328</v>
      </c>
      <c r="AH291">
        <v>-0.88431156058712213</v>
      </c>
      <c r="AI291">
        <v>1.0367244818349432E-4</v>
      </c>
    </row>
    <row r="292" spans="23:35" x14ac:dyDescent="0.25">
      <c r="W292">
        <v>290</v>
      </c>
      <c r="X292">
        <v>68.406784783682582</v>
      </c>
      <c r="Y292">
        <v>3.8932152163174152</v>
      </c>
      <c r="Z292">
        <v>68.398429657059964</v>
      </c>
      <c r="AA292">
        <v>0.54578532443905392</v>
      </c>
      <c r="AB292">
        <v>61</v>
      </c>
      <c r="AC292">
        <v>9.896716322379942E-2</v>
      </c>
      <c r="AD292">
        <v>0.89379482283952449</v>
      </c>
      <c r="AE292">
        <v>-0.88025942530688939</v>
      </c>
      <c r="AF292">
        <v>2.141477889215042E-3</v>
      </c>
      <c r="AG292">
        <v>0.89475338359235823</v>
      </c>
      <c r="AH292">
        <v>-0.88149680419870202</v>
      </c>
      <c r="AI292">
        <v>1.3216241637220883E-4</v>
      </c>
    </row>
    <row r="293" spans="23:35" x14ac:dyDescent="0.25">
      <c r="W293">
        <v>291</v>
      </c>
      <c r="X293">
        <v>68.018918531109676</v>
      </c>
      <c r="Y293">
        <v>4.0810814688903179</v>
      </c>
      <c r="Z293">
        <v>68.011431627113311</v>
      </c>
      <c r="AA293">
        <v>0.5312310491206792</v>
      </c>
      <c r="AB293">
        <v>61</v>
      </c>
      <c r="AC293">
        <v>6.3887210036911155E-2</v>
      </c>
      <c r="AD293">
        <v>0.93692469740493634</v>
      </c>
      <c r="AE293">
        <v>-0.87824251666975006</v>
      </c>
      <c r="AF293">
        <v>1.8311798442733063E-3</v>
      </c>
      <c r="AG293">
        <v>0.93778371615924772</v>
      </c>
      <c r="AH293">
        <v>-0.88104201626902245</v>
      </c>
      <c r="AI293">
        <v>1.2410492660301496E-4</v>
      </c>
    </row>
    <row r="294" spans="23:35" x14ac:dyDescent="0.25">
      <c r="W294">
        <v>292</v>
      </c>
      <c r="X294">
        <v>67.454196327565043</v>
      </c>
      <c r="Y294">
        <v>4.345803672434954</v>
      </c>
      <c r="Z294">
        <v>67.446223336284135</v>
      </c>
      <c r="AA294">
        <v>0.51061249241964823</v>
      </c>
      <c r="AB294">
        <v>61.1</v>
      </c>
      <c r="AC294">
        <v>1.0640830227304372E-2</v>
      </c>
      <c r="AD294">
        <v>0.99769897313138156</v>
      </c>
      <c r="AE294">
        <v>-0.87623873958666287</v>
      </c>
      <c r="AF294">
        <v>1.8312816427520683E-3</v>
      </c>
      <c r="AG294">
        <v>0.99861376365986743</v>
      </c>
      <c r="AH294">
        <v>-0.88008661660126319</v>
      </c>
      <c r="AI294">
        <v>1.407352630970449E-4</v>
      </c>
    </row>
    <row r="295" spans="23:35" x14ac:dyDescent="0.25">
      <c r="W295">
        <v>293</v>
      </c>
      <c r="X295">
        <v>67.468042720073512</v>
      </c>
      <c r="Y295">
        <v>3.9319572799264932</v>
      </c>
      <c r="Z295">
        <v>67.461422833886331</v>
      </c>
      <c r="AA295">
        <v>0.4887810794420861</v>
      </c>
      <c r="AB295">
        <v>61.1</v>
      </c>
      <c r="AC295">
        <v>-4.7140240828996732E-2</v>
      </c>
      <c r="AD295">
        <v>0.90268913100280845</v>
      </c>
      <c r="AE295">
        <v>-0.8757444926913126</v>
      </c>
      <c r="AF295">
        <v>1.6807811318623109E-3</v>
      </c>
      <c r="AG295">
        <v>0.90344870006871303</v>
      </c>
      <c r="AH295">
        <v>-0.87684021344625696</v>
      </c>
      <c r="AI295">
        <v>1.057073960153228E-4</v>
      </c>
    </row>
    <row r="296" spans="23:35" x14ac:dyDescent="0.25">
      <c r="W296">
        <v>294</v>
      </c>
      <c r="X296">
        <v>67.317309713621057</v>
      </c>
      <c r="Y296">
        <v>3.7826902863789371</v>
      </c>
      <c r="Z296">
        <v>67.308580404008993</v>
      </c>
      <c r="AA296">
        <v>0.47422680412371132</v>
      </c>
      <c r="AB296">
        <v>61.1</v>
      </c>
      <c r="AC296">
        <v>-7.6077819866612773E-2</v>
      </c>
      <c r="AD296">
        <v>0.86842077987378397</v>
      </c>
      <c r="AE296">
        <v>-0.8692491364337076</v>
      </c>
      <c r="AF296">
        <v>2.3023855289707336E-3</v>
      </c>
      <c r="AG296">
        <v>0.86942222921613266</v>
      </c>
      <c r="AH296">
        <v>-0.87666456313763852</v>
      </c>
      <c r="AI296">
        <v>1.341829207039689E-4</v>
      </c>
    </row>
    <row r="297" spans="23:35" x14ac:dyDescent="0.25">
      <c r="W297">
        <v>295</v>
      </c>
      <c r="X297">
        <v>67.625549000529702</v>
      </c>
      <c r="Y297">
        <v>9.374450999470298</v>
      </c>
      <c r="Z297">
        <v>67.515772078978145</v>
      </c>
      <c r="AA297">
        <v>0.83747725894481506</v>
      </c>
      <c r="AB297">
        <v>61.1</v>
      </c>
      <c r="AC297">
        <v>0.95855995741850497</v>
      </c>
      <c r="AD297">
        <v>2.1521635215981929</v>
      </c>
      <c r="AE297">
        <v>-0.86819092810680487</v>
      </c>
      <c r="AF297">
        <v>1.1574681931487628E-2</v>
      </c>
      <c r="AG297">
        <v>2.1647280039466801</v>
      </c>
      <c r="AH297">
        <v>-0.87492940344199377</v>
      </c>
      <c r="AI297">
        <v>4.2211280120580553E-3</v>
      </c>
    </row>
    <row r="298" spans="23:35" x14ac:dyDescent="0.25">
      <c r="W298">
        <v>296</v>
      </c>
      <c r="X298">
        <v>67.06597678114295</v>
      </c>
      <c r="Y298">
        <v>1.2340232188570468</v>
      </c>
      <c r="Z298">
        <v>67.042641054514277</v>
      </c>
      <c r="AA298">
        <v>0.39599757428744692</v>
      </c>
      <c r="AB298">
        <v>61.2</v>
      </c>
      <c r="AC298">
        <v>-0.27396491687072577</v>
      </c>
      <c r="AD298">
        <v>0.28330403098585571</v>
      </c>
      <c r="AE298">
        <v>-0.8661842729744782</v>
      </c>
      <c r="AF298">
        <v>1.8559319685486287E-2</v>
      </c>
      <c r="AG298">
        <v>0.28597016518870411</v>
      </c>
      <c r="AH298">
        <v>-0.87017481286703546</v>
      </c>
      <c r="AI298">
        <v>1.1895866929747039E-4</v>
      </c>
    </row>
    <row r="299" spans="23:35" x14ac:dyDescent="0.25">
      <c r="W299">
        <v>297</v>
      </c>
      <c r="X299">
        <v>65.775977918562916</v>
      </c>
      <c r="Y299">
        <v>2.0240220814370815</v>
      </c>
      <c r="Z299">
        <v>65.769706232622767</v>
      </c>
      <c r="AA299">
        <v>0.37355973317161917</v>
      </c>
      <c r="AB299">
        <v>61.2</v>
      </c>
      <c r="AC299">
        <v>-0.337689309602062</v>
      </c>
      <c r="AD299">
        <v>0.46467003676527513</v>
      </c>
      <c r="AE299">
        <v>-0.86467917341132738</v>
      </c>
      <c r="AF299">
        <v>3.089053436955124E-3</v>
      </c>
      <c r="AG299">
        <v>0.46538939909352434</v>
      </c>
      <c r="AH299">
        <v>-0.8691449932252322</v>
      </c>
      <c r="AI299">
        <v>5.1624835042545682E-5</v>
      </c>
    </row>
    <row r="300" spans="23:35" x14ac:dyDescent="0.25">
      <c r="W300">
        <v>298</v>
      </c>
      <c r="X300">
        <v>66.084513787543329</v>
      </c>
      <c r="Y300">
        <v>1.3154862124566762</v>
      </c>
      <c r="Z300">
        <v>66.080886321657047</v>
      </c>
      <c r="AA300">
        <v>0.3547604608853851</v>
      </c>
      <c r="AB300">
        <v>61.2</v>
      </c>
      <c r="AC300">
        <v>-0.38147581702590427</v>
      </c>
      <c r="AD300">
        <v>0.30200610572017517</v>
      </c>
      <c r="AE300">
        <v>-0.86295100653063705</v>
      </c>
      <c r="AF300">
        <v>2.7499266710960596E-3</v>
      </c>
      <c r="AG300">
        <v>0.3024222114347393</v>
      </c>
      <c r="AH300">
        <v>-0.86366288384129075</v>
      </c>
      <c r="AI300">
        <v>1.9399969787607856E-5</v>
      </c>
    </row>
    <row r="301" spans="23:35" x14ac:dyDescent="0.25">
      <c r="W301">
        <v>299</v>
      </c>
      <c r="X301">
        <v>65.933258114396708</v>
      </c>
      <c r="Y301">
        <v>1.0667418856032924</v>
      </c>
      <c r="Z301">
        <v>65.930738254661009</v>
      </c>
      <c r="AA301">
        <v>0.33959975742874471</v>
      </c>
      <c r="AB301">
        <v>61.3</v>
      </c>
      <c r="AC301">
        <v>-0.42600652312983872</v>
      </c>
      <c r="AD301">
        <v>0.24489999182736166</v>
      </c>
      <c r="AE301">
        <v>-0.85974038611666348</v>
      </c>
      <c r="AF301">
        <v>2.3566350771315899E-3</v>
      </c>
      <c r="AG301">
        <v>0.24518907282720551</v>
      </c>
      <c r="AH301">
        <v>-0.86321918952655363</v>
      </c>
      <c r="AI301">
        <v>1.0923854062497152E-5</v>
      </c>
    </row>
    <row r="302" spans="23:35" x14ac:dyDescent="0.25">
      <c r="W302">
        <v>300</v>
      </c>
      <c r="X302">
        <v>65.565625223277507</v>
      </c>
      <c r="Y302">
        <v>1.0343747767224869</v>
      </c>
      <c r="Z302">
        <v>65.563099181664128</v>
      </c>
      <c r="AA302">
        <v>0.32686476652516677</v>
      </c>
      <c r="AB302">
        <v>61.3</v>
      </c>
      <c r="AC302">
        <v>-0.45616451589519369</v>
      </c>
      <c r="AD302">
        <v>0.23746923017136679</v>
      </c>
      <c r="AE302">
        <v>-0.85142025730995385</v>
      </c>
      <c r="AF302">
        <v>2.436145838359357E-3</v>
      </c>
      <c r="AG302">
        <v>0.23775901458521687</v>
      </c>
      <c r="AH302">
        <v>-0.85577370319991986</v>
      </c>
      <c r="AI302">
        <v>1.0619234492514837E-5</v>
      </c>
    </row>
    <row r="303" spans="23:35" x14ac:dyDescent="0.25">
      <c r="W303">
        <v>301</v>
      </c>
      <c r="X303">
        <v>65.833242565309803</v>
      </c>
      <c r="Y303">
        <v>0.26675743469019153</v>
      </c>
      <c r="Z303">
        <v>65.832507266742766</v>
      </c>
      <c r="AA303">
        <v>0.31412977562158884</v>
      </c>
      <c r="AB303">
        <v>61.3</v>
      </c>
      <c r="AC303">
        <v>-0.4918835074548818</v>
      </c>
      <c r="AD303">
        <v>6.124151911272268E-2</v>
      </c>
      <c r="AE303">
        <v>-0.84902530594594439</v>
      </c>
      <c r="AF303">
        <v>2.7488543635620466E-3</v>
      </c>
      <c r="AG303">
        <v>6.132586505216079E-2</v>
      </c>
      <c r="AH303">
        <v>-0.85263068308874657</v>
      </c>
      <c r="AI303">
        <v>7.9742748601370515E-7</v>
      </c>
    </row>
    <row r="304" spans="23:35" x14ac:dyDescent="0.25">
      <c r="W304">
        <v>302</v>
      </c>
      <c r="X304">
        <v>65.243818418920327</v>
      </c>
      <c r="Y304">
        <v>0.35618158107966735</v>
      </c>
      <c r="Z304">
        <v>65.242930853591133</v>
      </c>
      <c r="AA304">
        <v>0.29411764705882354</v>
      </c>
      <c r="AB304">
        <v>61.4</v>
      </c>
      <c r="AC304">
        <v>-0.55287102664223609</v>
      </c>
      <c r="AD304">
        <v>8.1771295823952095E-2</v>
      </c>
      <c r="AE304">
        <v>-0.84602753350687632</v>
      </c>
      <c r="AF304">
        <v>2.485695944682299E-3</v>
      </c>
      <c r="AG304">
        <v>8.1873114971111716E-2</v>
      </c>
      <c r="AH304">
        <v>-0.8522213094039538</v>
      </c>
      <c r="AI304">
        <v>1.2848965039207347E-6</v>
      </c>
    </row>
    <row r="305" spans="23:35" x14ac:dyDescent="0.25">
      <c r="W305">
        <v>303</v>
      </c>
      <c r="X305">
        <v>64.059975530885083</v>
      </c>
      <c r="Y305">
        <v>0.94002446911491688</v>
      </c>
      <c r="Z305">
        <v>64.057515802579857</v>
      </c>
      <c r="AA305">
        <v>0.27289266221952696</v>
      </c>
      <c r="AB305">
        <v>61.4</v>
      </c>
      <c r="AC305">
        <v>-0.62335641379693996</v>
      </c>
      <c r="AD305">
        <v>0.21580851742178239</v>
      </c>
      <c r="AE305">
        <v>-0.84475681006484749</v>
      </c>
      <c r="AF305">
        <v>2.6098350634996461E-3</v>
      </c>
      <c r="AG305">
        <v>0.21609068216251776</v>
      </c>
      <c r="AH305">
        <v>-0.85063612059070171</v>
      </c>
      <c r="AI305">
        <v>9.3988930741277681E-6</v>
      </c>
    </row>
    <row r="306" spans="23:35" x14ac:dyDescent="0.25">
      <c r="W306">
        <v>304</v>
      </c>
      <c r="X306">
        <v>60.590941807930136</v>
      </c>
      <c r="Y306">
        <v>3.5090581920698583</v>
      </c>
      <c r="Z306">
        <v>60.550005242661108</v>
      </c>
      <c r="AA306">
        <v>0.24257125530624621</v>
      </c>
      <c r="AB306">
        <v>61.4</v>
      </c>
      <c r="AC306">
        <v>-0.70291235686137066</v>
      </c>
      <c r="AD306">
        <v>0.80560099322774015</v>
      </c>
      <c r="AE306">
        <v>-0.84184401425249489</v>
      </c>
      <c r="AF306">
        <v>1.1531443866050218E-2</v>
      </c>
      <c r="AG306">
        <v>0.8102864260642203</v>
      </c>
      <c r="AH306">
        <v>-0.84694552497495057</v>
      </c>
      <c r="AI306">
        <v>5.8918896675864984E-4</v>
      </c>
    </row>
    <row r="307" spans="23:35" x14ac:dyDescent="0.25">
      <c r="W307">
        <v>305</v>
      </c>
      <c r="X307">
        <v>64.499559844696606</v>
      </c>
      <c r="Y307">
        <v>-7.7995598446966028</v>
      </c>
      <c r="Z307">
        <v>64.51541199588732</v>
      </c>
      <c r="AA307">
        <v>0.10491206791995149</v>
      </c>
      <c r="AB307">
        <v>61.4</v>
      </c>
      <c r="AC307">
        <v>-1.2726185683477402</v>
      </c>
      <c r="AD307">
        <v>-1.7906038639731094</v>
      </c>
      <c r="AE307">
        <v>-0.83827108717163978</v>
      </c>
      <c r="AF307">
        <v>2.0283193258467656E-3</v>
      </c>
      <c r="AG307">
        <v>-1.7924225893692516</v>
      </c>
      <c r="AH307">
        <v>-0.84269060055052281</v>
      </c>
      <c r="AI307">
        <v>5.022912074048963E-4</v>
      </c>
    </row>
    <row r="308" spans="23:35" x14ac:dyDescent="0.25">
      <c r="W308">
        <v>306</v>
      </c>
      <c r="X308">
        <v>64.25131759204902</v>
      </c>
      <c r="Y308">
        <v>-7.8513175920490212</v>
      </c>
      <c r="Z308">
        <v>64.267615547528052</v>
      </c>
      <c r="AA308">
        <v>9.8241358399029713E-2</v>
      </c>
      <c r="AB308">
        <v>61.4</v>
      </c>
      <c r="AC308">
        <v>-1.2969062889401866</v>
      </c>
      <c r="AD308">
        <v>-1.8024862809613966</v>
      </c>
      <c r="AE308">
        <v>-0.83801394297153131</v>
      </c>
      <c r="AF308">
        <v>2.0715241334018811E-3</v>
      </c>
      <c r="AG308">
        <v>-1.8043561334624176</v>
      </c>
      <c r="AH308">
        <v>-0.84154164471438475</v>
      </c>
      <c r="AI308">
        <v>5.1986640113446995E-4</v>
      </c>
    </row>
    <row r="309" spans="23:35" x14ac:dyDescent="0.25">
      <c r="W309">
        <v>307</v>
      </c>
      <c r="X309">
        <v>63.579404815358536</v>
      </c>
      <c r="Y309">
        <v>-7.6794048153585379</v>
      </c>
      <c r="Z309">
        <v>63.594545807628009</v>
      </c>
      <c r="AA309">
        <v>9.0964220739842325E-2</v>
      </c>
      <c r="AB309">
        <v>61.4</v>
      </c>
      <c r="AC309">
        <v>-1.3366956165977166</v>
      </c>
      <c r="AD309">
        <v>-1.7630189663516322</v>
      </c>
      <c r="AE309">
        <v>-0.83576961304436415</v>
      </c>
      <c r="AF309">
        <v>1.9677564664647633E-3</v>
      </c>
      <c r="AG309">
        <v>-1.7647561264892859</v>
      </c>
      <c r="AH309">
        <v>-0.83997751728206682</v>
      </c>
      <c r="AI309">
        <v>4.7233792800382485E-4</v>
      </c>
    </row>
    <row r="310" spans="23:35" x14ac:dyDescent="0.25">
      <c r="W310">
        <v>308</v>
      </c>
      <c r="X310">
        <v>60.978192986803464</v>
      </c>
      <c r="Y310">
        <v>-5.3781929868034624</v>
      </c>
      <c r="Z310">
        <v>61.05042051492191</v>
      </c>
      <c r="AA310">
        <v>8.9144936325045485E-2</v>
      </c>
      <c r="AB310">
        <v>61.5</v>
      </c>
      <c r="AC310">
        <v>-1.3517022399306602</v>
      </c>
      <c r="AD310">
        <v>-1.2347123857138591</v>
      </c>
      <c r="AE310">
        <v>-0.83349874989133765</v>
      </c>
      <c r="AF310">
        <v>1.3251734966266639E-2</v>
      </c>
      <c r="AG310">
        <v>-1.242975644547996</v>
      </c>
      <c r="AH310">
        <v>-0.83885238929620953</v>
      </c>
      <c r="AI310">
        <v>1.5960564793241698E-3</v>
      </c>
    </row>
    <row r="311" spans="23:35" x14ac:dyDescent="0.25">
      <c r="W311">
        <v>309</v>
      </c>
      <c r="X311">
        <v>62.475310492609822</v>
      </c>
      <c r="Y311">
        <v>-7.1753104926098246</v>
      </c>
      <c r="Z311">
        <v>62.48964755779653</v>
      </c>
      <c r="AA311">
        <v>8.6719223771983017E-2</v>
      </c>
      <c r="AB311">
        <v>61.6</v>
      </c>
      <c r="AC311">
        <v>-1.3946242806491973</v>
      </c>
      <c r="AD311">
        <v>-1.6472902252311306</v>
      </c>
      <c r="AE311">
        <v>-0.83329262881499488</v>
      </c>
      <c r="AF311">
        <v>1.9941262866439262E-3</v>
      </c>
      <c r="AG311">
        <v>-1.6489351381333306</v>
      </c>
      <c r="AH311">
        <v>-0.83880749030178492</v>
      </c>
      <c r="AI311">
        <v>4.179105686625435E-4</v>
      </c>
    </row>
    <row r="312" spans="23:35" x14ac:dyDescent="0.25">
      <c r="W312">
        <v>310</v>
      </c>
      <c r="X312">
        <v>60.231055597559681</v>
      </c>
      <c r="Y312">
        <v>-5.4310555975596841</v>
      </c>
      <c r="Z312">
        <v>60.307600033603293</v>
      </c>
      <c r="AA312">
        <v>7.7622801697998789E-2</v>
      </c>
      <c r="AB312">
        <v>61.6</v>
      </c>
      <c r="AC312">
        <v>-1.4402815816722083</v>
      </c>
      <c r="AD312">
        <v>-1.2468484545388403</v>
      </c>
      <c r="AE312">
        <v>-0.82988432285118952</v>
      </c>
      <c r="AF312">
        <v>1.3897965643218945E-2</v>
      </c>
      <c r="AG312">
        <v>-1.255604154281786</v>
      </c>
      <c r="AH312">
        <v>-0.83714831071851337</v>
      </c>
      <c r="AI312">
        <v>1.7091946097940978E-3</v>
      </c>
    </row>
    <row r="313" spans="23:35" x14ac:dyDescent="0.25">
      <c r="W313">
        <v>311</v>
      </c>
      <c r="X313">
        <v>61.323635727671885</v>
      </c>
      <c r="Y313">
        <v>-7.123635727671882</v>
      </c>
      <c r="Z313">
        <v>61.338844708613294</v>
      </c>
      <c r="AA313">
        <v>7.2164948453608241E-2</v>
      </c>
      <c r="AB313">
        <v>61.6</v>
      </c>
      <c r="AC313">
        <v>-1.462064744247453</v>
      </c>
      <c r="AD313">
        <v>-1.6354268591425045</v>
      </c>
      <c r="AE313">
        <v>-0.82908077125060708</v>
      </c>
      <c r="AF313">
        <v>2.1304540947721718E-3</v>
      </c>
      <c r="AG313">
        <v>-1.6371717486175936</v>
      </c>
      <c r="AH313">
        <v>-0.83683615848447968</v>
      </c>
      <c r="AI313">
        <v>4.4019341701169944E-4</v>
      </c>
    </row>
    <row r="314" spans="23:35" x14ac:dyDescent="0.25">
      <c r="W314">
        <v>312</v>
      </c>
      <c r="X314">
        <v>60.657481872995334</v>
      </c>
      <c r="Y314">
        <v>-7.0574818729953321</v>
      </c>
      <c r="Z314">
        <v>60.672967994346187</v>
      </c>
      <c r="AA314">
        <v>6.4887810794420867E-2</v>
      </c>
      <c r="AB314">
        <v>61.6</v>
      </c>
      <c r="AC314">
        <v>-1.5319668124298669</v>
      </c>
      <c r="AD314">
        <v>-1.6202394190613709</v>
      </c>
      <c r="AE314">
        <v>-0.82628294570279948</v>
      </c>
      <c r="AF314">
        <v>2.1894799132742672E-3</v>
      </c>
      <c r="AG314">
        <v>-1.6220160778947523</v>
      </c>
      <c r="AH314">
        <v>-0.83156756725803249</v>
      </c>
      <c r="AI314">
        <v>4.4407859876783987E-4</v>
      </c>
    </row>
    <row r="315" spans="23:35" x14ac:dyDescent="0.25">
      <c r="W315">
        <v>313</v>
      </c>
      <c r="X315">
        <v>60.373481615190649</v>
      </c>
      <c r="Y315">
        <v>-7.0734816151906514</v>
      </c>
      <c r="Z315">
        <v>60.388751309673452</v>
      </c>
      <c r="AA315">
        <v>6.1249241964827165E-2</v>
      </c>
      <c r="AB315">
        <v>61.7</v>
      </c>
      <c r="AC315">
        <v>-1.5468805340999257</v>
      </c>
      <c r="AD315">
        <v>-1.6239126007239224</v>
      </c>
      <c r="AE315">
        <v>-0.82552793323866769</v>
      </c>
      <c r="AF315">
        <v>2.1540739427499361E-3</v>
      </c>
      <c r="AG315">
        <v>-1.6256644453439058</v>
      </c>
      <c r="AH315">
        <v>-0.83068175659018939</v>
      </c>
      <c r="AI315">
        <v>4.3884947308988839E-4</v>
      </c>
    </row>
    <row r="316" spans="23:35" x14ac:dyDescent="0.25">
      <c r="W316">
        <v>314</v>
      </c>
      <c r="X316">
        <v>58.475493238982388</v>
      </c>
      <c r="Y316">
        <v>-5.6754932389823907</v>
      </c>
      <c r="Z316">
        <v>58.566812298513753</v>
      </c>
      <c r="AA316">
        <v>5.7004244996967858E-2</v>
      </c>
      <c r="AB316">
        <v>61.7</v>
      </c>
      <c r="AC316">
        <v>-1.5884297017318656</v>
      </c>
      <c r="AD316">
        <v>-1.3029658501287444</v>
      </c>
      <c r="AE316">
        <v>-0.82435753812469992</v>
      </c>
      <c r="AF316">
        <v>1.5835275157976034E-2</v>
      </c>
      <c r="AG316">
        <v>-1.313406423457202</v>
      </c>
      <c r="AH316">
        <v>-0.82619389050606085</v>
      </c>
      <c r="AI316">
        <v>2.1350730521022096E-3</v>
      </c>
    </row>
    <row r="317" spans="23:35" x14ac:dyDescent="0.25">
      <c r="W317">
        <v>315</v>
      </c>
      <c r="X317">
        <v>77.629067475013485</v>
      </c>
      <c r="Y317">
        <v>4.3709325249865145</v>
      </c>
      <c r="Z317">
        <v>77.593645244363174</v>
      </c>
      <c r="AA317">
        <v>0.96604002425712554</v>
      </c>
      <c r="AB317">
        <v>61.7</v>
      </c>
      <c r="AC317">
        <v>1.7539324289023792</v>
      </c>
      <c r="AD317">
        <v>1.0034679936109963</v>
      </c>
      <c r="AE317">
        <v>-0.82027425585755187</v>
      </c>
      <c r="AF317">
        <v>8.0388966877894506E-3</v>
      </c>
      <c r="AG317">
        <v>1.0075258634291591</v>
      </c>
      <c r="AH317">
        <v>-0.82114485840003804</v>
      </c>
      <c r="AI317">
        <v>6.3280639422608404E-4</v>
      </c>
    </row>
    <row r="318" spans="23:35" x14ac:dyDescent="0.25">
      <c r="W318">
        <v>316</v>
      </c>
      <c r="X318">
        <v>82.874495722526405</v>
      </c>
      <c r="Y318">
        <v>-1.0744957225264073</v>
      </c>
      <c r="Z318">
        <v>82.892608815857358</v>
      </c>
      <c r="AA318">
        <v>0.95815645845967257</v>
      </c>
      <c r="AB318">
        <v>61.8</v>
      </c>
      <c r="AC318">
        <v>1.7064083338107217</v>
      </c>
      <c r="AD318">
        <v>-0.24668009873487998</v>
      </c>
      <c r="AE318">
        <v>-0.81569711441882464</v>
      </c>
      <c r="AF318">
        <v>1.6577839266969683E-2</v>
      </c>
      <c r="AG318">
        <v>-0.24875058930513694</v>
      </c>
      <c r="AH318">
        <v>-0.81647103144216215</v>
      </c>
      <c r="AI318">
        <v>8.0236655595376742E-5</v>
      </c>
    </row>
    <row r="319" spans="23:35" x14ac:dyDescent="0.25">
      <c r="W319">
        <v>317</v>
      </c>
      <c r="X319">
        <v>83.448653294126814</v>
      </c>
      <c r="Y319">
        <v>-1.8486532941268194</v>
      </c>
      <c r="Z319">
        <v>83.493929240504769</v>
      </c>
      <c r="AA319">
        <v>0.95148574893875071</v>
      </c>
      <c r="AB319">
        <v>61.8</v>
      </c>
      <c r="AC319">
        <v>1.6445597025796697</v>
      </c>
      <c r="AD319">
        <v>-0.42440929969412455</v>
      </c>
      <c r="AE319">
        <v>-0.80959201751173315</v>
      </c>
      <c r="AF319">
        <v>2.3905827847022897E-2</v>
      </c>
      <c r="AG319">
        <v>-0.42957503261186986</v>
      </c>
      <c r="AH319">
        <v>-0.8118547262895448</v>
      </c>
      <c r="AI319">
        <v>3.4765363854354997E-4</v>
      </c>
    </row>
    <row r="320" spans="23:35" x14ac:dyDescent="0.25">
      <c r="W320">
        <v>318</v>
      </c>
      <c r="X320">
        <v>78.008211341960134</v>
      </c>
      <c r="Y320">
        <v>3.4917886580398658</v>
      </c>
      <c r="Z320">
        <v>77.959972880013751</v>
      </c>
      <c r="AA320">
        <v>0.94966646452395387</v>
      </c>
      <c r="AB320">
        <v>61.8</v>
      </c>
      <c r="AC320">
        <v>1.6214924498394727</v>
      </c>
      <c r="AD320">
        <v>0.80163629586290797</v>
      </c>
      <c r="AE320">
        <v>-0.8075759962320066</v>
      </c>
      <c r="AF320">
        <v>1.3626579772240802E-2</v>
      </c>
      <c r="AG320">
        <v>0.8071545368738946</v>
      </c>
      <c r="AH320">
        <v>-0.81091420874434239</v>
      </c>
      <c r="AI320">
        <v>6.9233379954135798E-4</v>
      </c>
    </row>
    <row r="321" spans="23:35" x14ac:dyDescent="0.25">
      <c r="W321">
        <v>319</v>
      </c>
      <c r="X321">
        <v>83.422912803976914</v>
      </c>
      <c r="Y321">
        <v>-2.2229128039769108</v>
      </c>
      <c r="Z321">
        <v>83.450006338759607</v>
      </c>
      <c r="AA321">
        <v>0.94178289872650089</v>
      </c>
      <c r="AB321">
        <v>61.8</v>
      </c>
      <c r="AC321">
        <v>1.5519290565282795</v>
      </c>
      <c r="AD321">
        <v>-0.51033088216931155</v>
      </c>
      <c r="AE321">
        <v>-0.807085398956919</v>
      </c>
      <c r="AF321">
        <v>1.2041537090795239E-2</v>
      </c>
      <c r="AG321">
        <v>-0.51343149668545962</v>
      </c>
      <c r="AH321">
        <v>-0.81038778323498484</v>
      </c>
      <c r="AI321">
        <v>2.4715244089670401E-4</v>
      </c>
    </row>
    <row r="322" spans="23:35" x14ac:dyDescent="0.25">
      <c r="W322">
        <v>320</v>
      </c>
      <c r="X322">
        <v>79.182469821085007</v>
      </c>
      <c r="Y322">
        <v>1.8175301789149927</v>
      </c>
      <c r="Z322">
        <v>79.167290868437803</v>
      </c>
      <c r="AA322">
        <v>0.93571861734384476</v>
      </c>
      <c r="AB322">
        <v>61.9</v>
      </c>
      <c r="AC322">
        <v>1.4576525936309466</v>
      </c>
      <c r="AD322">
        <v>0.4172641310606573</v>
      </c>
      <c r="AE322">
        <v>-0.80573541816935201</v>
      </c>
      <c r="AF322">
        <v>8.2822486044308447E-3</v>
      </c>
      <c r="AG322">
        <v>0.41900288175381212</v>
      </c>
      <c r="AH322">
        <v>-0.80847973884081525</v>
      </c>
      <c r="AI322">
        <v>1.1278486988456475E-4</v>
      </c>
    </row>
    <row r="323" spans="23:35" x14ac:dyDescent="0.25">
      <c r="W323">
        <v>321</v>
      </c>
      <c r="X323">
        <v>81.953978783398455</v>
      </c>
      <c r="Y323">
        <v>5.0460212166015452</v>
      </c>
      <c r="Z323">
        <v>81.865699770692714</v>
      </c>
      <c r="AA323">
        <v>0.99211643420254703</v>
      </c>
      <c r="AB323">
        <v>61.9</v>
      </c>
      <c r="AC323">
        <v>2.349487559997844</v>
      </c>
      <c r="AD323">
        <v>1.158453203520293</v>
      </c>
      <c r="AE323">
        <v>-0.80101028277235131</v>
      </c>
      <c r="AF323">
        <v>1.719397167345928E-2</v>
      </c>
      <c r="AG323">
        <v>1.1685427063167109</v>
      </c>
      <c r="AH323">
        <v>-0.80514031822955157</v>
      </c>
      <c r="AI323">
        <v>1.8376137040944721E-3</v>
      </c>
    </row>
    <row r="324" spans="23:35" x14ac:dyDescent="0.25">
      <c r="W324">
        <v>322</v>
      </c>
      <c r="X324">
        <v>81.236483391440231</v>
      </c>
      <c r="Y324">
        <v>3.7635166085597689</v>
      </c>
      <c r="Z324">
        <v>81.130536249332891</v>
      </c>
      <c r="AA324">
        <v>0.98544572468162528</v>
      </c>
      <c r="AB324">
        <v>62</v>
      </c>
      <c r="AC324">
        <v>2.1134016615055304</v>
      </c>
      <c r="AD324">
        <v>0.86401893383718709</v>
      </c>
      <c r="AE324">
        <v>-0.79948811959112265</v>
      </c>
      <c r="AF324">
        <v>2.7380316481597364E-2</v>
      </c>
      <c r="AG324">
        <v>0.8760960703878049</v>
      </c>
      <c r="AH324">
        <v>-0.80465808005671702</v>
      </c>
      <c r="AI324">
        <v>1.6620937703626382E-3</v>
      </c>
    </row>
    <row r="325" spans="23:35" x14ac:dyDescent="0.25">
      <c r="W325">
        <v>323</v>
      </c>
      <c r="X325">
        <v>79.106363832676109</v>
      </c>
      <c r="Y325">
        <v>5.8936361673238906</v>
      </c>
      <c r="Z325">
        <v>79.032911055656911</v>
      </c>
      <c r="AA325">
        <v>0.98544572468162528</v>
      </c>
      <c r="AB325">
        <v>62</v>
      </c>
      <c r="AC325">
        <v>2.1134016615055304</v>
      </c>
      <c r="AD325">
        <v>1.3530465698314462</v>
      </c>
      <c r="AE325">
        <v>-0.79838050087297929</v>
      </c>
      <c r="AF325">
        <v>1.2309650099790525E-2</v>
      </c>
      <c r="AG325">
        <v>1.3614520159256385</v>
      </c>
      <c r="AH325">
        <v>-0.80222834105129459</v>
      </c>
      <c r="AI325">
        <v>1.7769950749355616E-3</v>
      </c>
    </row>
    <row r="326" spans="23:35" x14ac:dyDescent="0.25">
      <c r="W326">
        <v>324</v>
      </c>
      <c r="X326">
        <v>82.10279396237236</v>
      </c>
      <c r="Y326">
        <v>-1.1027939623723597</v>
      </c>
      <c r="Z326">
        <v>82.117643696000997</v>
      </c>
      <c r="AA326">
        <v>0.93571861734384476</v>
      </c>
      <c r="AB326">
        <v>62</v>
      </c>
      <c r="AC326">
        <v>1.4576525936309466</v>
      </c>
      <c r="AD326">
        <v>-0.25317673939419288</v>
      </c>
      <c r="AE326">
        <v>-0.79781163444517855</v>
      </c>
      <c r="AF326">
        <v>1.3286643750393103E-2</v>
      </c>
      <c r="AG326">
        <v>-0.25487562217306986</v>
      </c>
      <c r="AH326">
        <v>-0.80201133760125609</v>
      </c>
      <c r="AI326">
        <v>6.7287985946756958E-5</v>
      </c>
    </row>
    <row r="327" spans="23:35" x14ac:dyDescent="0.25">
      <c r="W327">
        <v>325</v>
      </c>
      <c r="X327">
        <v>77.778673366422026</v>
      </c>
      <c r="Y327">
        <v>2.2213266335779736</v>
      </c>
      <c r="Z327">
        <v>77.738424500390465</v>
      </c>
      <c r="AA327">
        <v>0.92722862340812617</v>
      </c>
      <c r="AB327">
        <v>62</v>
      </c>
      <c r="AC327">
        <v>1.4191611772342045</v>
      </c>
      <c r="AD327">
        <v>0.50996673305041118</v>
      </c>
      <c r="AE327">
        <v>-0.79721139105467032</v>
      </c>
      <c r="AF327">
        <v>1.7796826167645718E-2</v>
      </c>
      <c r="AG327">
        <v>0.51456611030418764</v>
      </c>
      <c r="AH327">
        <v>-0.80176154400362332</v>
      </c>
      <c r="AI327">
        <v>3.6904577077437854E-4</v>
      </c>
    </row>
    <row r="328" spans="23:35" x14ac:dyDescent="0.25">
      <c r="W328">
        <v>326</v>
      </c>
      <c r="X328">
        <v>77.195475701021039</v>
      </c>
      <c r="Y328">
        <v>2.5045242989789642</v>
      </c>
      <c r="Z328">
        <v>77.151802423820399</v>
      </c>
      <c r="AA328">
        <v>0.9151000606428138</v>
      </c>
      <c r="AB328">
        <v>62</v>
      </c>
      <c r="AC328">
        <v>1.3555018111021329</v>
      </c>
      <c r="AD328">
        <v>0.57498256010121362</v>
      </c>
      <c r="AE328">
        <v>-0.79652127269231265</v>
      </c>
      <c r="AF328">
        <v>1.7138889703407632E-2</v>
      </c>
      <c r="AG328">
        <v>0.57997409590959181</v>
      </c>
      <c r="AH328">
        <v>-0.79896047616053822</v>
      </c>
      <c r="AI328">
        <v>4.5119509884949846E-4</v>
      </c>
    </row>
    <row r="329" spans="23:35" x14ac:dyDescent="0.25">
      <c r="W329">
        <v>327</v>
      </c>
      <c r="X329">
        <v>58.264443556989583</v>
      </c>
      <c r="Y329">
        <v>-0.26444355698958333</v>
      </c>
      <c r="Z329">
        <v>58.265395376211785</v>
      </c>
      <c r="AA329">
        <v>0.13159490600363857</v>
      </c>
      <c r="AB329">
        <v>62</v>
      </c>
      <c r="AC329">
        <v>-1.1375552391677688</v>
      </c>
      <c r="AD329">
        <v>-6.0710304732171774E-2</v>
      </c>
      <c r="AE329">
        <v>-0.7944694226408715</v>
      </c>
      <c r="AF329">
        <v>3.5864197627966023E-3</v>
      </c>
      <c r="AG329">
        <v>-6.0819464758689018E-2</v>
      </c>
      <c r="AH329">
        <v>-0.79595225750534515</v>
      </c>
      <c r="AI329">
        <v>1.0241494035267889E-6</v>
      </c>
    </row>
    <row r="330" spans="23:35" x14ac:dyDescent="0.25">
      <c r="W330">
        <v>328</v>
      </c>
      <c r="X330">
        <v>57.256257090259126</v>
      </c>
      <c r="Y330">
        <v>-7.3562570902591276</v>
      </c>
      <c r="Z330">
        <v>57.307466078912832</v>
      </c>
      <c r="AA330">
        <v>3.3959975742874467E-2</v>
      </c>
      <c r="AB330">
        <v>62</v>
      </c>
      <c r="AC330">
        <v>-1.8295749434197282</v>
      </c>
      <c r="AD330">
        <v>-1.6888315023512668</v>
      </c>
      <c r="AE330">
        <v>-0.78998008811577081</v>
      </c>
      <c r="AF330">
        <v>6.9131587115175801E-3</v>
      </c>
      <c r="AG330">
        <v>-1.6946995249749854</v>
      </c>
      <c r="AH330">
        <v>-0.79384460172334803</v>
      </c>
      <c r="AI330">
        <v>1.5379115664666731E-3</v>
      </c>
    </row>
    <row r="331" spans="23:35" x14ac:dyDescent="0.25">
      <c r="W331">
        <v>329</v>
      </c>
      <c r="X331">
        <v>58.141684664794369</v>
      </c>
      <c r="Y331">
        <v>-5.1416846647943686</v>
      </c>
      <c r="Z331">
        <v>58.16062188159281</v>
      </c>
      <c r="AA331">
        <v>5.8823529411764705E-2</v>
      </c>
      <c r="AB331">
        <v>62.1</v>
      </c>
      <c r="AC331">
        <v>-1.5725296242490356</v>
      </c>
      <c r="AD331">
        <v>-1.1804153838722438</v>
      </c>
      <c r="AE331">
        <v>-0.78962413087626804</v>
      </c>
      <c r="AF331">
        <v>3.6695610011626056E-3</v>
      </c>
      <c r="AG331">
        <v>-1.182587165947407</v>
      </c>
      <c r="AH331">
        <v>-0.7923168945237562</v>
      </c>
      <c r="AI331">
        <v>3.96217527561209E-4</v>
      </c>
    </row>
    <row r="332" spans="23:35" x14ac:dyDescent="0.25">
      <c r="W332">
        <v>330</v>
      </c>
      <c r="X332">
        <v>56.312178709629194</v>
      </c>
      <c r="Y332">
        <v>-6.5121787096291968</v>
      </c>
      <c r="Z332">
        <v>56.342019960319043</v>
      </c>
      <c r="AA332">
        <v>3.3353547604608853E-2</v>
      </c>
      <c r="AB332">
        <v>62.1</v>
      </c>
      <c r="AC332">
        <v>-1.8544489690938102</v>
      </c>
      <c r="AD332">
        <v>-1.4950500531481019</v>
      </c>
      <c r="AE332">
        <v>-0.78663704752544228</v>
      </c>
      <c r="AF332">
        <v>4.561473500669929E-3</v>
      </c>
      <c r="AG332">
        <v>-1.4984715786058533</v>
      </c>
      <c r="AH332">
        <v>-0.78784857906611616</v>
      </c>
      <c r="AI332">
        <v>7.9148808047254879E-4</v>
      </c>
    </row>
    <row r="333" spans="23:35" x14ac:dyDescent="0.25">
      <c r="W333">
        <v>331</v>
      </c>
      <c r="X333">
        <v>55.546587857328348</v>
      </c>
      <c r="Y333">
        <v>-6.3465878573283447</v>
      </c>
      <c r="Z333">
        <v>55.577279784693282</v>
      </c>
      <c r="AA333">
        <v>2.7895694360218316E-2</v>
      </c>
      <c r="AB333">
        <v>62.1</v>
      </c>
      <c r="AC333">
        <v>-1.9270603903023944</v>
      </c>
      <c r="AD333">
        <v>-1.4570341104702444</v>
      </c>
      <c r="AE333">
        <v>-0.78328678551797515</v>
      </c>
      <c r="AF333">
        <v>4.8126988937513514E-3</v>
      </c>
      <c r="AG333">
        <v>-1.4605529501391605</v>
      </c>
      <c r="AH333">
        <v>-0.78546485656230214</v>
      </c>
      <c r="AI333">
        <v>7.9355151576273035E-4</v>
      </c>
    </row>
    <row r="334" spans="23:35" x14ac:dyDescent="0.25">
      <c r="W334">
        <v>332</v>
      </c>
      <c r="X334">
        <v>56.021994108152931</v>
      </c>
      <c r="Y334">
        <v>-7.4219941081529299</v>
      </c>
      <c r="Z334">
        <v>56.054459991916509</v>
      </c>
      <c r="AA334">
        <v>2.4257125530624622E-2</v>
      </c>
      <c r="AB334">
        <v>62.1</v>
      </c>
      <c r="AC334">
        <v>-1.9781851538562727</v>
      </c>
      <c r="AD334">
        <v>-1.7039232460637983</v>
      </c>
      <c r="AE334">
        <v>-0.78246205146164316</v>
      </c>
      <c r="AF334">
        <v>4.3552294597841452E-3</v>
      </c>
      <c r="AG334">
        <v>-1.7076458986003757</v>
      </c>
      <c r="AH334">
        <v>-0.78473760153291361</v>
      </c>
      <c r="AI334">
        <v>9.8120309772135698E-4</v>
      </c>
    </row>
    <row r="335" spans="23:35" x14ac:dyDescent="0.25">
      <c r="W335">
        <v>333</v>
      </c>
      <c r="X335">
        <v>59.521054584501712</v>
      </c>
      <c r="Y335">
        <v>-6.9210545845017108</v>
      </c>
      <c r="Z335">
        <v>59.551889729663628</v>
      </c>
      <c r="AA335">
        <v>5.5184960582171011E-2</v>
      </c>
      <c r="AB335">
        <v>62.2</v>
      </c>
      <c r="AC335">
        <v>-1.6158584342289828</v>
      </c>
      <c r="AD335">
        <v>-1.5889187760004475</v>
      </c>
      <c r="AE335">
        <v>-0.77852936235140335</v>
      </c>
      <c r="AF335">
        <v>4.4355055044017593E-3</v>
      </c>
      <c r="AG335">
        <v>-1.5924543709591816</v>
      </c>
      <c r="AH335">
        <v>-0.78261740584669715</v>
      </c>
      <c r="AI335">
        <v>8.690892239012533E-4</v>
      </c>
    </row>
    <row r="336" spans="23:35" x14ac:dyDescent="0.25">
      <c r="W336">
        <v>334</v>
      </c>
      <c r="X336">
        <v>59.405914465146424</v>
      </c>
      <c r="Y336">
        <v>-7.2059144651464209</v>
      </c>
      <c r="Z336">
        <v>59.437159362004486</v>
      </c>
      <c r="AA336">
        <v>5.033353547604609E-2</v>
      </c>
      <c r="AB336">
        <v>62.2</v>
      </c>
      <c r="AC336">
        <v>-1.6504653896281696</v>
      </c>
      <c r="AD336">
        <v>-1.6543162103595372</v>
      </c>
      <c r="AE336">
        <v>-0.77593967131363006</v>
      </c>
      <c r="AF336">
        <v>4.3172873906992138E-3</v>
      </c>
      <c r="AG336">
        <v>-1.6578988944072728</v>
      </c>
      <c r="AH336">
        <v>-0.77980933821983156</v>
      </c>
      <c r="AI336">
        <v>9.1677492069108845E-4</v>
      </c>
    </row>
    <row r="337" spans="23:35" x14ac:dyDescent="0.25">
      <c r="W337">
        <v>335</v>
      </c>
      <c r="X337">
        <v>58.332016590200382</v>
      </c>
      <c r="Y337">
        <v>-6.5320165902003851</v>
      </c>
      <c r="Z337">
        <v>58.405693994135227</v>
      </c>
      <c r="AA337">
        <v>4.4875682231655549E-2</v>
      </c>
      <c r="AB337">
        <v>62.2</v>
      </c>
      <c r="AC337">
        <v>-1.6999255180307868</v>
      </c>
      <c r="AD337">
        <v>-1.4996043852272334</v>
      </c>
      <c r="AE337">
        <v>-0.77560246657913157</v>
      </c>
      <c r="AF337">
        <v>1.1153620497749298E-2</v>
      </c>
      <c r="AG337">
        <v>-1.5080380093556367</v>
      </c>
      <c r="AH337">
        <v>-0.77637409200723861</v>
      </c>
      <c r="AI337">
        <v>1.9731870618561491E-3</v>
      </c>
    </row>
    <row r="338" spans="23:35" x14ac:dyDescent="0.25">
      <c r="W338">
        <v>336</v>
      </c>
      <c r="X338">
        <v>57.355700464193035</v>
      </c>
      <c r="Y338">
        <v>-5.7557004641930334</v>
      </c>
      <c r="Z338">
        <v>57.407287543127381</v>
      </c>
      <c r="AA338">
        <v>4.3056397816858702E-2</v>
      </c>
      <c r="AB338">
        <v>62.2</v>
      </c>
      <c r="AC338">
        <v>-1.7262996894247766</v>
      </c>
      <c r="AD338">
        <v>-1.3213796286291293</v>
      </c>
      <c r="AE338">
        <v>-0.76891074457408071</v>
      </c>
      <c r="AF338">
        <v>8.883162500778273E-3</v>
      </c>
      <c r="AG338">
        <v>-1.3272880368952493</v>
      </c>
      <c r="AH338">
        <v>-0.772490600097823</v>
      </c>
      <c r="AI338">
        <v>1.2145901655966733E-3</v>
      </c>
    </row>
    <row r="339" spans="23:35" x14ac:dyDescent="0.25">
      <c r="W339">
        <v>337</v>
      </c>
      <c r="X339">
        <v>57.958237309794676</v>
      </c>
      <c r="Y339">
        <v>-6.7582373097946729</v>
      </c>
      <c r="Z339">
        <v>57.990388908028983</v>
      </c>
      <c r="AA339">
        <v>4.0024257125530621E-2</v>
      </c>
      <c r="AB339">
        <v>62.2</v>
      </c>
      <c r="AC339">
        <v>-1.7610542000458449</v>
      </c>
      <c r="AD339">
        <v>-1.5515395844797581</v>
      </c>
      <c r="AE339">
        <v>-0.76740844232100103</v>
      </c>
      <c r="AF339">
        <v>4.7348684544845782E-3</v>
      </c>
      <c r="AG339">
        <v>-1.555225848054218</v>
      </c>
      <c r="AH339">
        <v>-0.76959678978324386</v>
      </c>
      <c r="AI339">
        <v>8.8514150925155801E-4</v>
      </c>
    </row>
    <row r="340" spans="23:35" x14ac:dyDescent="0.25">
      <c r="W340">
        <v>338</v>
      </c>
      <c r="X340">
        <v>56.813378657708839</v>
      </c>
      <c r="Y340">
        <v>0.18662134229116134</v>
      </c>
      <c r="Z340">
        <v>56.812136361146187</v>
      </c>
      <c r="AA340">
        <v>0.11097634930260764</v>
      </c>
      <c r="AB340">
        <v>62.3</v>
      </c>
      <c r="AC340">
        <v>-1.2294035019788656</v>
      </c>
      <c r="AD340">
        <v>4.2844071109169178E-2</v>
      </c>
      <c r="AE340">
        <v>-0.76697123053989136</v>
      </c>
      <c r="AF340">
        <v>6.6127568390961077E-3</v>
      </c>
      <c r="AG340">
        <v>4.2986436281370465E-2</v>
      </c>
      <c r="AH340">
        <v>-0.76943748566903125</v>
      </c>
      <c r="AI340">
        <v>9.462012266928065E-7</v>
      </c>
    </row>
    <row r="341" spans="23:35" x14ac:dyDescent="0.25">
      <c r="W341">
        <v>339</v>
      </c>
      <c r="X341">
        <v>55.733185363923575</v>
      </c>
      <c r="Y341">
        <v>-6.1331853639235732</v>
      </c>
      <c r="Z341">
        <v>55.795559956935499</v>
      </c>
      <c r="AA341">
        <v>3.0927835051546393E-2</v>
      </c>
      <c r="AB341">
        <v>62.3</v>
      </c>
      <c r="AC341">
        <v>-1.8805262984826756</v>
      </c>
      <c r="AD341">
        <v>-1.4080416882206854</v>
      </c>
      <c r="AE341">
        <v>-0.76460612979639642</v>
      </c>
      <c r="AF341">
        <v>1.0067628018368227E-2</v>
      </c>
      <c r="AG341">
        <v>-1.4151834793397955</v>
      </c>
      <c r="AH341">
        <v>-0.76825382742259596</v>
      </c>
      <c r="AI341">
        <v>1.5667647142531655E-3</v>
      </c>
    </row>
    <row r="342" spans="23:35" x14ac:dyDescent="0.25">
      <c r="W342">
        <v>340</v>
      </c>
      <c r="X342">
        <v>78.378821050268584</v>
      </c>
      <c r="Y342">
        <v>4.6211789497314157</v>
      </c>
      <c r="Z342">
        <v>78.369177634285734</v>
      </c>
      <c r="AA342">
        <v>0.97877501516070342</v>
      </c>
      <c r="AB342">
        <v>62.4</v>
      </c>
      <c r="AC342">
        <v>1.9368862628682144</v>
      </c>
      <c r="AD342">
        <v>1.0609189554621783</v>
      </c>
      <c r="AE342">
        <v>-0.76441095130016379</v>
      </c>
      <c r="AF342">
        <v>2.0824413508587171E-3</v>
      </c>
      <c r="AG342">
        <v>1.0620253344908197</v>
      </c>
      <c r="AH342">
        <v>-0.76811302601388065</v>
      </c>
      <c r="AI342">
        <v>1.8105249592560523E-4</v>
      </c>
    </row>
    <row r="343" spans="23:35" x14ac:dyDescent="0.25">
      <c r="W343">
        <v>341</v>
      </c>
      <c r="X343">
        <v>76.629049007926824</v>
      </c>
      <c r="Y343">
        <v>4.3709509920731762</v>
      </c>
      <c r="Z343">
        <v>76.537383365088957</v>
      </c>
      <c r="AA343">
        <v>0.93571861734384476</v>
      </c>
      <c r="AB343">
        <v>62.5</v>
      </c>
      <c r="AC343">
        <v>1.4576525936309466</v>
      </c>
      <c r="AD343">
        <v>1.0034722332395638</v>
      </c>
      <c r="AE343">
        <v>-0.76274226459021766</v>
      </c>
      <c r="AF343">
        <v>2.054078365611129E-2</v>
      </c>
      <c r="AG343">
        <v>1.0139398245648759</v>
      </c>
      <c r="AH343">
        <v>-0.76735009722735292</v>
      </c>
      <c r="AI343">
        <v>1.6584854332389466E-3</v>
      </c>
    </row>
    <row r="344" spans="23:35" x14ac:dyDescent="0.25">
      <c r="W344">
        <v>342</v>
      </c>
      <c r="X344">
        <v>74.295021388112474</v>
      </c>
      <c r="Y344">
        <v>5.6049786118875318</v>
      </c>
      <c r="Z344">
        <v>74.211737117738437</v>
      </c>
      <c r="AA344">
        <v>0.92177077016373554</v>
      </c>
      <c r="AB344">
        <v>62.5</v>
      </c>
      <c r="AC344">
        <v>1.3946242806491955</v>
      </c>
      <c r="AD344">
        <v>1.2867772745864294</v>
      </c>
      <c r="AE344">
        <v>-0.76115156092735992</v>
      </c>
      <c r="AF344">
        <v>1.4641424297345825E-2</v>
      </c>
      <c r="AG344">
        <v>1.2963021221730455</v>
      </c>
      <c r="AH344">
        <v>-0.76334724185605507</v>
      </c>
      <c r="AI344">
        <v>1.920693812926655E-3</v>
      </c>
    </row>
    <row r="345" spans="23:35" x14ac:dyDescent="0.25">
      <c r="W345">
        <v>343</v>
      </c>
      <c r="X345">
        <v>76.265412871543077</v>
      </c>
      <c r="Y345">
        <v>3.5345871284569199</v>
      </c>
      <c r="Z345">
        <v>76.257230838108299</v>
      </c>
      <c r="AA345">
        <v>0.91813220133414186</v>
      </c>
      <c r="AB345">
        <v>62.5</v>
      </c>
      <c r="AC345">
        <v>1.3748000243745633</v>
      </c>
      <c r="AD345">
        <v>0.81146186397532205</v>
      </c>
      <c r="AE345">
        <v>-0.75965824814981531</v>
      </c>
      <c r="AF345">
        <v>2.3095022737568806E-3</v>
      </c>
      <c r="AG345">
        <v>0.81240052668129825</v>
      </c>
      <c r="AH345">
        <v>-0.76086495068182958</v>
      </c>
      <c r="AI345">
        <v>1.1752211495683721E-4</v>
      </c>
    </row>
    <row r="346" spans="23:35" x14ac:dyDescent="0.25">
      <c r="W346">
        <v>344</v>
      </c>
      <c r="X346">
        <v>72.361994572177679</v>
      </c>
      <c r="Y346">
        <v>6.7380054278223156</v>
      </c>
      <c r="Z346">
        <v>72.309722281564348</v>
      </c>
      <c r="AA346">
        <v>0.89326864766525171</v>
      </c>
      <c r="AB346">
        <v>62.6</v>
      </c>
      <c r="AC346">
        <v>1.2294035019788656</v>
      </c>
      <c r="AD346">
        <v>1.5468947985230501</v>
      </c>
      <c r="AE346">
        <v>-0.75713581872148628</v>
      </c>
      <c r="AF346">
        <v>7.6981079096970148E-3</v>
      </c>
      <c r="AG346">
        <v>1.552883478460019</v>
      </c>
      <c r="AH346">
        <v>-0.7578531947770718</v>
      </c>
      <c r="AI346">
        <v>1.4390456189556054E-3</v>
      </c>
    </row>
    <row r="347" spans="23:35" x14ac:dyDescent="0.25">
      <c r="W347">
        <v>345</v>
      </c>
      <c r="X347">
        <v>76.14199909956767</v>
      </c>
      <c r="Y347">
        <v>3.1580009004323273</v>
      </c>
      <c r="Z347">
        <v>76.13447161407008</v>
      </c>
      <c r="AA347">
        <v>0.9017586416009703</v>
      </c>
      <c r="AB347">
        <v>62.6</v>
      </c>
      <c r="AC347">
        <v>1.262435852359769</v>
      </c>
      <c r="AD347">
        <v>0.7250061192350078</v>
      </c>
      <c r="AE347">
        <v>-0.75523555536289266</v>
      </c>
      <c r="AF347">
        <v>2.3779554563638969E-3</v>
      </c>
      <c r="AG347">
        <v>0.72586967579340533</v>
      </c>
      <c r="AH347">
        <v>-0.75631124307749986</v>
      </c>
      <c r="AI347">
        <v>9.6607675535083837E-5</v>
      </c>
    </row>
    <row r="348" spans="23:35" x14ac:dyDescent="0.25">
      <c r="W348">
        <v>346</v>
      </c>
      <c r="X348">
        <v>75.881164746451958</v>
      </c>
      <c r="Y348">
        <v>3.7188352535480362</v>
      </c>
      <c r="Z348">
        <v>75.87329290491806</v>
      </c>
      <c r="AA348">
        <v>0.91206791995148573</v>
      </c>
      <c r="AB348">
        <v>62.7</v>
      </c>
      <c r="AC348">
        <v>1.3404190152831756</v>
      </c>
      <c r="AD348">
        <v>0.8537610976868607</v>
      </c>
      <c r="AE348">
        <v>-0.75167251083448505</v>
      </c>
      <c r="AF348">
        <v>2.1122780334121567E-3</v>
      </c>
      <c r="AG348">
        <v>0.85466421907778867</v>
      </c>
      <c r="AH348">
        <v>-0.7557035072091669</v>
      </c>
      <c r="AI348">
        <v>1.1893703180063864E-4</v>
      </c>
    </row>
    <row r="349" spans="23:35" x14ac:dyDescent="0.25">
      <c r="W349">
        <v>347</v>
      </c>
      <c r="X349">
        <v>75.634626619552364</v>
      </c>
      <c r="Y349">
        <v>3.2653733804476417</v>
      </c>
      <c r="Z349">
        <v>75.627916651733926</v>
      </c>
      <c r="AA349">
        <v>0.88599151000606424</v>
      </c>
      <c r="AB349">
        <v>62.7</v>
      </c>
      <c r="AC349">
        <v>1.1852957183684145</v>
      </c>
      <c r="AD349">
        <v>0.74965643046129171</v>
      </c>
      <c r="AE349">
        <v>-0.74856491663012614</v>
      </c>
      <c r="AF349">
        <v>2.0506714237568495E-3</v>
      </c>
      <c r="AG349">
        <v>0.75042626418063174</v>
      </c>
      <c r="AH349">
        <v>-0.75369237757058427</v>
      </c>
      <c r="AI349">
        <v>8.9014403920104502E-5</v>
      </c>
    </row>
    <row r="350" spans="23:35" x14ac:dyDescent="0.25">
      <c r="W350">
        <v>348</v>
      </c>
      <c r="X350">
        <v>76.268248287837366</v>
      </c>
      <c r="Y350">
        <v>2.6317517121626395</v>
      </c>
      <c r="Z350">
        <v>76.264157066710752</v>
      </c>
      <c r="AA350">
        <v>0.88599151000606424</v>
      </c>
      <c r="AB350">
        <v>62.7</v>
      </c>
      <c r="AC350">
        <v>1.1852957183684145</v>
      </c>
      <c r="AD350">
        <v>0.60419111830016081</v>
      </c>
      <c r="AE350">
        <v>-0.74797883543235122</v>
      </c>
      <c r="AF350">
        <v>1.5521490582554444E-3</v>
      </c>
      <c r="AG350">
        <v>0.60466056219371211</v>
      </c>
      <c r="AH350">
        <v>-0.74946166743033416</v>
      </c>
      <c r="AI350">
        <v>4.3720787303234605E-5</v>
      </c>
    </row>
    <row r="351" spans="23:35" x14ac:dyDescent="0.25">
      <c r="W351">
        <v>349</v>
      </c>
      <c r="X351">
        <v>72.964969334991267</v>
      </c>
      <c r="Y351">
        <v>2.8350306650087305</v>
      </c>
      <c r="Z351">
        <v>72.913153049102959</v>
      </c>
      <c r="AA351">
        <v>0.79624014554275313</v>
      </c>
      <c r="AB351">
        <v>62.7</v>
      </c>
      <c r="AC351">
        <v>0.81442193874053515</v>
      </c>
      <c r="AD351">
        <v>0.65085940288010646</v>
      </c>
      <c r="AE351">
        <v>-0.74707259048053054</v>
      </c>
      <c r="AF351">
        <v>1.7949093516094566E-2</v>
      </c>
      <c r="AG351">
        <v>0.65678039871012883</v>
      </c>
      <c r="AH351">
        <v>-0.74901549922562949</v>
      </c>
      <c r="AI351">
        <v>6.0646470809731085E-4</v>
      </c>
    </row>
    <row r="352" spans="23:35" x14ac:dyDescent="0.25">
      <c r="W352">
        <v>350</v>
      </c>
      <c r="X352">
        <v>70.018976440107963</v>
      </c>
      <c r="Y352">
        <v>5.5810235598920315</v>
      </c>
      <c r="Z352">
        <v>69.967258617416761</v>
      </c>
      <c r="AA352">
        <v>0.78835657974530016</v>
      </c>
      <c r="AB352">
        <v>62.8</v>
      </c>
      <c r="AC352">
        <v>0.78719041678006285</v>
      </c>
      <c r="AD352">
        <v>1.2812777323662379</v>
      </c>
      <c r="AE352">
        <v>-0.74693946984135262</v>
      </c>
      <c r="AF352">
        <v>9.1816433914601678E-3</v>
      </c>
      <c r="AG352">
        <v>1.2872006680421617</v>
      </c>
      <c r="AH352">
        <v>-0.74777662067103357</v>
      </c>
      <c r="AI352">
        <v>1.1810697264812017E-3</v>
      </c>
    </row>
    <row r="353" spans="23:35" x14ac:dyDescent="0.25">
      <c r="W353">
        <v>351</v>
      </c>
      <c r="X353">
        <v>70.214287787208761</v>
      </c>
      <c r="Y353">
        <v>5.1857122127912447</v>
      </c>
      <c r="Z353">
        <v>70.185060796970191</v>
      </c>
      <c r="AA353">
        <v>0.77986658580958157</v>
      </c>
      <c r="AB353">
        <v>62.8</v>
      </c>
      <c r="AC353">
        <v>0.74840704313415274</v>
      </c>
      <c r="AD353">
        <v>1.1905231206079359</v>
      </c>
      <c r="AE353">
        <v>-0.74573845758636448</v>
      </c>
      <c r="AF353">
        <v>5.6044738204400636E-3</v>
      </c>
      <c r="AG353">
        <v>1.1938733371852144</v>
      </c>
      <c r="AH353">
        <v>-0.7468101138158747</v>
      </c>
      <c r="AI353">
        <v>6.1794359792496131E-4</v>
      </c>
    </row>
    <row r="354" spans="23:35" x14ac:dyDescent="0.25">
      <c r="W354">
        <v>352</v>
      </c>
      <c r="X354">
        <v>71.843327439446497</v>
      </c>
      <c r="Y354">
        <v>3.3566725605535055</v>
      </c>
      <c r="Z354">
        <v>71.836015596342378</v>
      </c>
      <c r="AA354">
        <v>0.76652516676773808</v>
      </c>
      <c r="AB354">
        <v>62.8</v>
      </c>
      <c r="AC354">
        <v>0.71660092108895201</v>
      </c>
      <c r="AD354">
        <v>0.77061667282500623</v>
      </c>
      <c r="AE354">
        <v>-0.7430245686242537</v>
      </c>
      <c r="AF354">
        <v>2.1735662912607204E-3</v>
      </c>
      <c r="AG354">
        <v>0.77145553377465037</v>
      </c>
      <c r="AH354">
        <v>-0.74651968570968064</v>
      </c>
      <c r="AI354">
        <v>9.9723228559432211E-5</v>
      </c>
    </row>
    <row r="355" spans="23:35" x14ac:dyDescent="0.25">
      <c r="W355">
        <v>353</v>
      </c>
      <c r="X355">
        <v>71.104700145223234</v>
      </c>
      <c r="Y355">
        <v>3.8952998547767663</v>
      </c>
      <c r="Z355">
        <v>71.064643093359237</v>
      </c>
      <c r="AA355">
        <v>0.76046088538508183</v>
      </c>
      <c r="AB355">
        <v>62.8</v>
      </c>
      <c r="AC355">
        <v>0.67020216077934069</v>
      </c>
      <c r="AD355">
        <v>0.89427340903600572</v>
      </c>
      <c r="AE355">
        <v>-0.7423313133880689</v>
      </c>
      <c r="AF355">
        <v>1.0178759592655382E-2</v>
      </c>
      <c r="AG355">
        <v>0.89885974834095461</v>
      </c>
      <c r="AH355">
        <v>-0.74491489091312679</v>
      </c>
      <c r="AI355">
        <v>6.391143978607427E-4</v>
      </c>
    </row>
    <row r="356" spans="23:35" x14ac:dyDescent="0.25">
      <c r="W356">
        <v>354</v>
      </c>
      <c r="X356">
        <v>71.426279082466323</v>
      </c>
      <c r="Y356">
        <v>3.473720917533683</v>
      </c>
      <c r="Z356">
        <v>71.363537698151575</v>
      </c>
      <c r="AA356">
        <v>0.74833232261976956</v>
      </c>
      <c r="AB356">
        <v>62.8</v>
      </c>
      <c r="AC356">
        <v>0.64941472986293525</v>
      </c>
      <c r="AD356">
        <v>0.79748834820844738</v>
      </c>
      <c r="AE356">
        <v>-0.74230148954699138</v>
      </c>
      <c r="AF356">
        <v>1.7741284639725168E-2</v>
      </c>
      <c r="AG356">
        <v>0.80465812520005509</v>
      </c>
      <c r="AH356">
        <v>-0.74425038017625533</v>
      </c>
      <c r="AI356">
        <v>8.995775789787903E-4</v>
      </c>
    </row>
    <row r="357" spans="23:35" x14ac:dyDescent="0.25">
      <c r="W357">
        <v>355</v>
      </c>
      <c r="X357">
        <v>71.238117981792328</v>
      </c>
      <c r="Y357">
        <v>3.2618820182076718</v>
      </c>
      <c r="Z357">
        <v>70.847939562041987</v>
      </c>
      <c r="AA357">
        <v>0.72407519708914492</v>
      </c>
      <c r="AB357">
        <v>62.9</v>
      </c>
      <c r="AC357">
        <v>0.56531175535073552</v>
      </c>
      <c r="AD357">
        <v>0.74885489206144584</v>
      </c>
      <c r="AE357">
        <v>-0.74145894408708024</v>
      </c>
      <c r="AF357">
        <v>0.10683788682547088</v>
      </c>
      <c r="AG357">
        <v>0.79237821151373367</v>
      </c>
      <c r="AH357">
        <v>-0.74341181266989664</v>
      </c>
      <c r="AI357">
        <v>5.7771905809440444E-3</v>
      </c>
    </row>
    <row r="358" spans="23:35" x14ac:dyDescent="0.25">
      <c r="W358">
        <v>356</v>
      </c>
      <c r="X358">
        <v>70.504196085330577</v>
      </c>
      <c r="Y358">
        <v>3.895803914669429</v>
      </c>
      <c r="Z358">
        <v>70.196698545006385</v>
      </c>
      <c r="AA358">
        <v>0.71376591873862949</v>
      </c>
      <c r="AB358">
        <v>62.9</v>
      </c>
      <c r="AC358">
        <v>0.54051528578164909</v>
      </c>
      <c r="AD358">
        <v>0.89438912987275132</v>
      </c>
      <c r="AE358">
        <v>-0.74047845306482585</v>
      </c>
      <c r="AF358">
        <v>7.3156194866507901E-2</v>
      </c>
      <c r="AG358">
        <v>0.92901609160786536</v>
      </c>
      <c r="AH358">
        <v>-0.74291639008664878</v>
      </c>
      <c r="AI358">
        <v>5.2401977618193596E-3</v>
      </c>
    </row>
    <row r="359" spans="23:35" x14ac:dyDescent="0.25">
      <c r="W359">
        <v>357</v>
      </c>
      <c r="X359">
        <v>69.948538424841928</v>
      </c>
      <c r="Y359">
        <v>4.2514615751580749</v>
      </c>
      <c r="Z359">
        <v>69.672273221799003</v>
      </c>
      <c r="AA359">
        <v>0.7010309278350515</v>
      </c>
      <c r="AB359">
        <v>62.9</v>
      </c>
      <c r="AC359">
        <v>0.5039283835636299</v>
      </c>
      <c r="AD359">
        <v>0.97604014528942684</v>
      </c>
      <c r="AE359">
        <v>-0.73818775547645099</v>
      </c>
      <c r="AF359">
        <v>6.1016314936010244E-2</v>
      </c>
      <c r="AG359">
        <v>1.0072532043958813</v>
      </c>
      <c r="AH359">
        <v>-0.74194232070824362</v>
      </c>
      <c r="AI359">
        <v>5.0713302325495618E-3</v>
      </c>
    </row>
    <row r="360" spans="23:35" x14ac:dyDescent="0.25">
      <c r="W360">
        <v>358</v>
      </c>
      <c r="X360">
        <v>69.645009408828315</v>
      </c>
      <c r="Y360">
        <v>4.2549905911716905</v>
      </c>
      <c r="Z360">
        <v>69.200976452869483</v>
      </c>
      <c r="AA360">
        <v>0.67919951485748942</v>
      </c>
      <c r="AB360">
        <v>62.9</v>
      </c>
      <c r="AC360">
        <v>0.43434378704136062</v>
      </c>
      <c r="AD360">
        <v>0.97685032815048911</v>
      </c>
      <c r="AE360">
        <v>-0.73704294772234336</v>
      </c>
      <c r="AF360">
        <v>9.4494728852760834E-2</v>
      </c>
      <c r="AG360">
        <v>1.0265557391448807</v>
      </c>
      <c r="AH360">
        <v>-0.73956828640898864</v>
      </c>
      <c r="AI360">
        <v>8.4593758047465471E-3</v>
      </c>
    </row>
    <row r="361" spans="23:35" x14ac:dyDescent="0.25">
      <c r="W361">
        <v>359</v>
      </c>
      <c r="X361">
        <v>69.002545824265994</v>
      </c>
      <c r="Y361">
        <v>4.4974541757340063</v>
      </c>
      <c r="Z361">
        <v>68.862888716392519</v>
      </c>
      <c r="AA361">
        <v>0.64463311097634934</v>
      </c>
      <c r="AB361">
        <v>63</v>
      </c>
      <c r="AC361">
        <v>0.35220887014201224</v>
      </c>
      <c r="AD361">
        <v>1.0325145245968133</v>
      </c>
      <c r="AE361">
        <v>-0.73575761775617554</v>
      </c>
      <c r="AF361">
        <v>3.0117264678802932E-2</v>
      </c>
      <c r="AG361">
        <v>1.0484230375852006</v>
      </c>
      <c r="AH361">
        <v>-0.7383766135287535</v>
      </c>
      <c r="AI361">
        <v>2.6255848362179038E-3</v>
      </c>
    </row>
    <row r="362" spans="23:35" x14ac:dyDescent="0.25">
      <c r="W362">
        <v>360</v>
      </c>
      <c r="X362">
        <v>68.832866214361488</v>
      </c>
      <c r="Y362">
        <v>4.2671337856385065</v>
      </c>
      <c r="Z362">
        <v>68.695825367327529</v>
      </c>
      <c r="AA362">
        <v>0.61491813220133418</v>
      </c>
      <c r="AB362">
        <v>63</v>
      </c>
      <c r="AC362">
        <v>0.27870266916975811</v>
      </c>
      <c r="AD362">
        <v>0.97963813302232972</v>
      </c>
      <c r="AE362">
        <v>-0.73449684346109434</v>
      </c>
      <c r="AF362">
        <v>3.1116124691633388E-2</v>
      </c>
      <c r="AG362">
        <v>0.99524457249230702</v>
      </c>
      <c r="AH362">
        <v>-0.73742993304968918</v>
      </c>
      <c r="AI362">
        <v>2.4469779640564223E-3</v>
      </c>
    </row>
    <row r="363" spans="23:35" x14ac:dyDescent="0.25">
      <c r="W363">
        <v>361</v>
      </c>
      <c r="X363">
        <v>68.935612007877396</v>
      </c>
      <c r="Y363">
        <v>3.7643879921226073</v>
      </c>
      <c r="Z363">
        <v>68.834183340170839</v>
      </c>
      <c r="AA363">
        <v>0.57246816252274102</v>
      </c>
      <c r="AB363">
        <v>63</v>
      </c>
      <c r="AC363">
        <v>0.16337348484333708</v>
      </c>
      <c r="AD363">
        <v>0.8642189839433071</v>
      </c>
      <c r="AE363">
        <v>-0.73120473016384591</v>
      </c>
      <c r="AF363">
        <v>2.6237319726135914E-2</v>
      </c>
      <c r="AG363">
        <v>0.87578446856900161</v>
      </c>
      <c r="AH363">
        <v>-0.73669346542865866</v>
      </c>
      <c r="AI363">
        <v>1.5897083934428944E-3</v>
      </c>
    </row>
    <row r="364" spans="23:35" x14ac:dyDescent="0.25">
      <c r="W364">
        <v>362</v>
      </c>
      <c r="X364">
        <v>68.298654238084282</v>
      </c>
      <c r="Y364">
        <v>3.9013457619157208</v>
      </c>
      <c r="Z364">
        <v>68.104557906273556</v>
      </c>
      <c r="AA364">
        <v>0.53911461491813217</v>
      </c>
      <c r="AB364">
        <v>63</v>
      </c>
      <c r="AC364">
        <v>7.9127168877726875E-2</v>
      </c>
      <c r="AD364">
        <v>0.89566141360290386</v>
      </c>
      <c r="AE364">
        <v>-0.72977144436673924</v>
      </c>
      <c r="AF364">
        <v>4.739325507935966E-2</v>
      </c>
      <c r="AG364">
        <v>0.91767106554040523</v>
      </c>
      <c r="AH364">
        <v>-0.73494253690270051</v>
      </c>
      <c r="AI364">
        <v>3.2228018964171965E-3</v>
      </c>
    </row>
    <row r="365" spans="23:35" x14ac:dyDescent="0.25">
      <c r="W365">
        <v>363</v>
      </c>
      <c r="X365">
        <v>67.228070097849866</v>
      </c>
      <c r="Y365">
        <v>4.4719299021501371</v>
      </c>
      <c r="Z365">
        <v>67.056846578321185</v>
      </c>
      <c r="AA365">
        <v>0.50394178289872649</v>
      </c>
      <c r="AB365">
        <v>63</v>
      </c>
      <c r="AC365">
        <v>-4.5602855597810616E-3</v>
      </c>
      <c r="AD365">
        <v>1.0266547243241788</v>
      </c>
      <c r="AE365">
        <v>-0.72743304703037281</v>
      </c>
      <c r="AF365">
        <v>3.6876558661456005E-2</v>
      </c>
      <c r="AG365">
        <v>1.0461246446841288</v>
      </c>
      <c r="AH365">
        <v>-0.73329287982840985</v>
      </c>
      <c r="AI365">
        <v>3.2232348264926154E-3</v>
      </c>
    </row>
    <row r="366" spans="23:35" x14ac:dyDescent="0.25">
      <c r="W366">
        <v>364</v>
      </c>
      <c r="X366">
        <v>71.028183519195778</v>
      </c>
      <c r="Y366">
        <v>3.5718164808042161</v>
      </c>
      <c r="Z366">
        <v>70.980931952173535</v>
      </c>
      <c r="AA366">
        <v>0.73013947847180105</v>
      </c>
      <c r="AB366">
        <v>63</v>
      </c>
      <c r="AC366">
        <v>0.59589828697336056</v>
      </c>
      <c r="AD366">
        <v>0.82000888758866264</v>
      </c>
      <c r="AE366">
        <v>-0.72568960237725788</v>
      </c>
      <c r="AF366">
        <v>1.3056280345603645E-2</v>
      </c>
      <c r="AG366">
        <v>0.82541501647738125</v>
      </c>
      <c r="AH366">
        <v>-0.7322789346266726</v>
      </c>
      <c r="AI366">
        <v>6.9331158596861039E-4</v>
      </c>
    </row>
    <row r="367" spans="23:35" x14ac:dyDescent="0.25">
      <c r="W367">
        <v>365</v>
      </c>
      <c r="X367">
        <v>73.464188881241469</v>
      </c>
      <c r="Y367">
        <v>0.93581111875853651</v>
      </c>
      <c r="Z367">
        <v>73.462599496439793</v>
      </c>
      <c r="AA367">
        <v>0.71376591873862949</v>
      </c>
      <c r="AB367">
        <v>63</v>
      </c>
      <c r="AC367">
        <v>0.54051528578164909</v>
      </c>
      <c r="AD367">
        <v>0.2148412267568435</v>
      </c>
      <c r="AE367">
        <v>-0.72404304772333339</v>
      </c>
      <c r="AF367">
        <v>1.6955237336048314E-3</v>
      </c>
      <c r="AG367">
        <v>0.21502359289368436</v>
      </c>
      <c r="AH367">
        <v>-0.72942369267502727</v>
      </c>
      <c r="AI367">
        <v>6.0404560846120029E-6</v>
      </c>
    </row>
    <row r="368" spans="23:35" x14ac:dyDescent="0.25">
      <c r="W368">
        <v>366</v>
      </c>
      <c r="X368">
        <v>74.122607805861691</v>
      </c>
      <c r="Y368">
        <v>0.17739219413830654</v>
      </c>
      <c r="Z368">
        <v>74.12236661899172</v>
      </c>
      <c r="AA368">
        <v>0.7052759248029109</v>
      </c>
      <c r="AB368">
        <v>63</v>
      </c>
      <c r="AC368">
        <v>0.52824151828033117</v>
      </c>
      <c r="AD368">
        <v>4.0725265859547437E-2</v>
      </c>
      <c r="AE368">
        <v>-0.72042119250077685</v>
      </c>
      <c r="AF368">
        <v>1.3577789749192205E-3</v>
      </c>
      <c r="AG368">
        <v>4.075294200116697E-2</v>
      </c>
      <c r="AH368">
        <v>-0.72649012568163751</v>
      </c>
      <c r="AI368">
        <v>1.7369756749426658E-7</v>
      </c>
    </row>
    <row r="369" spans="23:35" x14ac:dyDescent="0.25">
      <c r="W369">
        <v>367</v>
      </c>
      <c r="X369">
        <v>73.562668016771511</v>
      </c>
      <c r="Y369">
        <v>0.63733198322849205</v>
      </c>
      <c r="Z369">
        <v>73.561882303325888</v>
      </c>
      <c r="AA369">
        <v>0.7010309278350515</v>
      </c>
      <c r="AB369">
        <v>63.1</v>
      </c>
      <c r="AC369">
        <v>0.5039283835636299</v>
      </c>
      <c r="AD369">
        <v>0.14631711718688339</v>
      </c>
      <c r="AE369">
        <v>-0.71823773280939973</v>
      </c>
      <c r="AF369">
        <v>1.2312986298855489E-3</v>
      </c>
      <c r="AG369">
        <v>0.14640728049185808</v>
      </c>
      <c r="AH369">
        <v>-0.72410793030734566</v>
      </c>
      <c r="AI369">
        <v>2.0327336052910328E-6</v>
      </c>
    </row>
    <row r="370" spans="23:35" x14ac:dyDescent="0.25">
      <c r="W370">
        <v>368</v>
      </c>
      <c r="X370">
        <v>72.88223992764442</v>
      </c>
      <c r="Y370">
        <v>0.71776007235557415</v>
      </c>
      <c r="Z370">
        <v>72.881180372644266</v>
      </c>
      <c r="AA370">
        <v>0.65433596118859916</v>
      </c>
      <c r="AB370">
        <v>63.2</v>
      </c>
      <c r="AC370">
        <v>0.3716850598056044</v>
      </c>
      <c r="AD370">
        <v>0.1647816010847602</v>
      </c>
      <c r="AE370">
        <v>-0.71430496542645272</v>
      </c>
      <c r="AF370">
        <v>1.4740206858932761E-3</v>
      </c>
      <c r="AG370">
        <v>0.164903181254373</v>
      </c>
      <c r="AH370">
        <v>-0.72146426746711079</v>
      </c>
      <c r="AI370">
        <v>3.0878694107372239E-6</v>
      </c>
    </row>
    <row r="371" spans="23:35" x14ac:dyDescent="0.25">
      <c r="W371">
        <v>369</v>
      </c>
      <c r="X371">
        <v>73.44194337735594</v>
      </c>
      <c r="Y371">
        <v>0.15805662264405385</v>
      </c>
      <c r="Z371">
        <v>73.44173418140322</v>
      </c>
      <c r="AA371">
        <v>0.65433596118859916</v>
      </c>
      <c r="AB371">
        <v>63.2</v>
      </c>
      <c r="AC371">
        <v>0.3716850598056044</v>
      </c>
      <c r="AD371">
        <v>3.6286252669171182E-2</v>
      </c>
      <c r="AE371">
        <v>-0.71371102826653587</v>
      </c>
      <c r="AF371">
        <v>1.3218012238529356E-3</v>
      </c>
      <c r="AG371">
        <v>3.6310258076170082E-2</v>
      </c>
      <c r="AH371">
        <v>-0.71565252113680888</v>
      </c>
      <c r="AI371">
        <v>1.3423195004367975E-7</v>
      </c>
    </row>
    <row r="372" spans="23:35" x14ac:dyDescent="0.25">
      <c r="W372">
        <v>370</v>
      </c>
      <c r="X372">
        <v>73.177228630480002</v>
      </c>
      <c r="Y372">
        <v>0.32277136951999807</v>
      </c>
      <c r="Z372">
        <v>73.176837688045751</v>
      </c>
      <c r="AA372">
        <v>0.64463311097634934</v>
      </c>
      <c r="AB372">
        <v>63.2</v>
      </c>
      <c r="AC372">
        <v>0.35220887014201224</v>
      </c>
      <c r="AD372">
        <v>7.4101061207369062E-2</v>
      </c>
      <c r="AE372">
        <v>-0.71305994357277913</v>
      </c>
      <c r="AF372">
        <v>1.2097401825442559E-3</v>
      </c>
      <c r="AG372">
        <v>7.4145923430856644E-2</v>
      </c>
      <c r="AH372">
        <v>-0.7154094010070271</v>
      </c>
      <c r="AI372">
        <v>5.1221113132598103E-7</v>
      </c>
    </row>
    <row r="373" spans="23:35" x14ac:dyDescent="0.25">
      <c r="W373">
        <v>371</v>
      </c>
      <c r="X373">
        <v>72.856925494230751</v>
      </c>
      <c r="Y373">
        <v>0.64307450576924907</v>
      </c>
      <c r="Z373">
        <v>72.856163860321203</v>
      </c>
      <c r="AA373">
        <v>0.64463311097634934</v>
      </c>
      <c r="AB373">
        <v>63.3</v>
      </c>
      <c r="AC373">
        <v>0.35220887014201224</v>
      </c>
      <c r="AD373">
        <v>0.14763547146009587</v>
      </c>
      <c r="AE373">
        <v>-0.70992915811668489</v>
      </c>
      <c r="AF373">
        <v>1.1829623449395644E-3</v>
      </c>
      <c r="AG373">
        <v>0.14772287261370728</v>
      </c>
      <c r="AH373">
        <v>-0.71536782308366975</v>
      </c>
      <c r="AI373">
        <v>1.9880949184118321E-6</v>
      </c>
    </row>
    <row r="374" spans="23:35" x14ac:dyDescent="0.25">
      <c r="W374">
        <v>372</v>
      </c>
      <c r="X374">
        <v>72.254990740433612</v>
      </c>
      <c r="Y374">
        <v>0.84500925956638184</v>
      </c>
      <c r="Z374">
        <v>72.253807447167006</v>
      </c>
      <c r="AA374">
        <v>0.61491813220133418</v>
      </c>
      <c r="AB374">
        <v>63.3</v>
      </c>
      <c r="AC374">
        <v>0.27870266916975811</v>
      </c>
      <c r="AD374">
        <v>0.19399515811157639</v>
      </c>
      <c r="AE374">
        <v>-0.70741074898793088</v>
      </c>
      <c r="AF374">
        <v>1.3983735293463355E-3</v>
      </c>
      <c r="AG374">
        <v>0.19413093937984338</v>
      </c>
      <c r="AH374">
        <v>-0.71096422411040727</v>
      </c>
      <c r="AI374">
        <v>4.0595424308995869E-6</v>
      </c>
    </row>
    <row r="375" spans="23:35" x14ac:dyDescent="0.25">
      <c r="W375">
        <v>373</v>
      </c>
      <c r="X375">
        <v>69.174774213159438</v>
      </c>
      <c r="Y375">
        <v>3.9252257868405565</v>
      </c>
      <c r="Z375">
        <v>69.154741631678434</v>
      </c>
      <c r="AA375">
        <v>0.61491813220133418</v>
      </c>
      <c r="AB375">
        <v>63.3</v>
      </c>
      <c r="AC375">
        <v>0.27870266916975811</v>
      </c>
      <c r="AD375">
        <v>0.90114373129180014</v>
      </c>
      <c r="AE375">
        <v>-0.70500813314859934</v>
      </c>
      <c r="AF375">
        <v>5.0776348747780375E-3</v>
      </c>
      <c r="AG375">
        <v>0.90344032035106836</v>
      </c>
      <c r="AH375">
        <v>-0.70797966352456976</v>
      </c>
      <c r="AI375">
        <v>3.2042608277058434E-4</v>
      </c>
    </row>
    <row r="376" spans="23:35" x14ac:dyDescent="0.25">
      <c r="W376">
        <v>374</v>
      </c>
      <c r="X376">
        <v>71.606339947584388</v>
      </c>
      <c r="Y376">
        <v>1.1936600524156091</v>
      </c>
      <c r="Z376">
        <v>71.604750608487606</v>
      </c>
      <c r="AA376">
        <v>0.58156458459672533</v>
      </c>
      <c r="AB376">
        <v>63.3</v>
      </c>
      <c r="AC376">
        <v>0.18343432307636306</v>
      </c>
      <c r="AD376">
        <v>0.27403755400108432</v>
      </c>
      <c r="AE376">
        <v>-0.70079217552474482</v>
      </c>
      <c r="AF376">
        <v>1.329713370341984E-3</v>
      </c>
      <c r="AG376">
        <v>0.2742199316034698</v>
      </c>
      <c r="AH376">
        <v>-0.70194276380036291</v>
      </c>
      <c r="AI376">
        <v>7.7017708179747189E-6</v>
      </c>
    </row>
    <row r="377" spans="23:35" x14ac:dyDescent="0.25">
      <c r="W377">
        <v>375</v>
      </c>
      <c r="X377">
        <v>71.985363582698042</v>
      </c>
      <c r="Y377">
        <v>0.41463641730196343</v>
      </c>
      <c r="Z377">
        <v>71.984868134770267</v>
      </c>
      <c r="AA377">
        <v>0.55124317768344455</v>
      </c>
      <c r="AB377">
        <v>63.3</v>
      </c>
      <c r="AC377">
        <v>0.11578501997911882</v>
      </c>
      <c r="AD377">
        <v>9.5191214087510231E-2</v>
      </c>
      <c r="AE377">
        <v>-0.69949411010755802</v>
      </c>
      <c r="AF377">
        <v>1.1934712058303703E-3</v>
      </c>
      <c r="AG377">
        <v>9.5248068970104377E-2</v>
      </c>
      <c r="AH377">
        <v>-0.7006755223569987</v>
      </c>
      <c r="AI377">
        <v>8.3387236261970834E-7</v>
      </c>
    </row>
    <row r="378" spans="23:35" x14ac:dyDescent="0.25">
      <c r="W378">
        <v>376</v>
      </c>
      <c r="X378">
        <v>71.429401868839633</v>
      </c>
      <c r="Y378">
        <v>0.37059813116036366</v>
      </c>
      <c r="Z378">
        <v>71.429004148725667</v>
      </c>
      <c r="AA378">
        <v>0.51061249241964823</v>
      </c>
      <c r="AB378">
        <v>63.4</v>
      </c>
      <c r="AC378">
        <v>1.0640830227304372E-2</v>
      </c>
      <c r="AD378">
        <v>8.5081012114828353E-2</v>
      </c>
      <c r="AE378">
        <v>-0.69934087112835197</v>
      </c>
      <c r="AF378">
        <v>1.0720338586178006E-3</v>
      </c>
      <c r="AG378">
        <v>8.5126653677940534E-2</v>
      </c>
      <c r="AH378">
        <v>-0.70004718537211741</v>
      </c>
      <c r="AI378">
        <v>5.9822161540020422E-7</v>
      </c>
    </row>
    <row r="379" spans="23:35" x14ac:dyDescent="0.25">
      <c r="W379">
        <v>377</v>
      </c>
      <c r="X379">
        <v>69.983089389140829</v>
      </c>
      <c r="Y379">
        <v>1.5169106108591706</v>
      </c>
      <c r="Z379">
        <v>69.96018970670039</v>
      </c>
      <c r="AA379">
        <v>0.49120679199514855</v>
      </c>
      <c r="AB379">
        <v>63.4</v>
      </c>
      <c r="AC379">
        <v>-2.7365033500434788E-2</v>
      </c>
      <c r="AD379">
        <v>0.34824862622897129</v>
      </c>
      <c r="AE379">
        <v>-0.69713786815617329</v>
      </c>
      <c r="AF379">
        <v>1.4871755657231004E-2</v>
      </c>
      <c r="AG379">
        <v>0.35086740633223901</v>
      </c>
      <c r="AH379">
        <v>-0.69783775139617255</v>
      </c>
      <c r="AI379">
        <v>1.4295922043735022E-4</v>
      </c>
    </row>
    <row r="380" spans="23:35" x14ac:dyDescent="0.25">
      <c r="W380">
        <v>378</v>
      </c>
      <c r="X380">
        <v>71.169531762042496</v>
      </c>
      <c r="Y380">
        <v>0.23046823795750981</v>
      </c>
      <c r="Z380">
        <v>71.169287918528596</v>
      </c>
      <c r="AA380">
        <v>0.4887810794420861</v>
      </c>
      <c r="AB380">
        <v>63.4</v>
      </c>
      <c r="AC380">
        <v>-4.7140240828996732E-2</v>
      </c>
      <c r="AD380">
        <v>5.2910334124866759E-2</v>
      </c>
      <c r="AE380">
        <v>-0.69626392945016535</v>
      </c>
      <c r="AF380">
        <v>1.056916969188703E-3</v>
      </c>
      <c r="AG380">
        <v>5.2938317223671483E-2</v>
      </c>
      <c r="AH380">
        <v>-0.69697946362447982</v>
      </c>
      <c r="AI380">
        <v>2.2808516469889594E-7</v>
      </c>
    </row>
    <row r="381" spans="23:35" x14ac:dyDescent="0.25">
      <c r="W381">
        <v>379</v>
      </c>
      <c r="X381">
        <v>66.036411642367966</v>
      </c>
      <c r="Y381">
        <v>-2.8364116423679633</v>
      </c>
      <c r="Z381">
        <v>66.042132668881408</v>
      </c>
      <c r="AA381">
        <v>0.22437841115827775</v>
      </c>
      <c r="AB381">
        <v>63.5</v>
      </c>
      <c r="AC381">
        <v>-0.7625619542054235</v>
      </c>
      <c r="AD381">
        <v>-0.65117644428304966</v>
      </c>
      <c r="AE381">
        <v>-0.69580788111667591</v>
      </c>
      <c r="AF381">
        <v>2.0129343630151727E-3</v>
      </c>
      <c r="AG381">
        <v>-0.65183282310559809</v>
      </c>
      <c r="AH381">
        <v>-0.6967803093833238</v>
      </c>
      <c r="AI381">
        <v>6.5922519913197709E-5</v>
      </c>
    </row>
    <row r="382" spans="23:35" x14ac:dyDescent="0.25">
      <c r="W382">
        <v>380</v>
      </c>
      <c r="X382">
        <v>65.773740720770576</v>
      </c>
      <c r="Y382">
        <v>-2.8737407207705772</v>
      </c>
      <c r="Z382">
        <v>65.779369508519594</v>
      </c>
      <c r="AA382">
        <v>0.21710127349909036</v>
      </c>
      <c r="AB382">
        <v>63.5</v>
      </c>
      <c r="AC382">
        <v>-0.78926429572475043</v>
      </c>
      <c r="AD382">
        <v>-0.65974636276014487</v>
      </c>
      <c r="AE382">
        <v>-0.69261416180572266</v>
      </c>
      <c r="AF382">
        <v>1.9548681516422697E-3</v>
      </c>
      <c r="AG382">
        <v>-0.66039216833947312</v>
      </c>
      <c r="AH382">
        <v>-0.69534367235664352</v>
      </c>
      <c r="AI382">
        <v>6.5709440127939117E-5</v>
      </c>
    </row>
    <row r="383" spans="23:35" x14ac:dyDescent="0.25">
      <c r="W383">
        <v>381</v>
      </c>
      <c r="X383">
        <v>65.660978034447325</v>
      </c>
      <c r="Y383">
        <v>-3.1609780344473251</v>
      </c>
      <c r="Z383">
        <v>65.667955762284521</v>
      </c>
      <c r="AA383">
        <v>0.20800485142510614</v>
      </c>
      <c r="AB383">
        <v>63.5</v>
      </c>
      <c r="AC383">
        <v>-0.81866501502518862</v>
      </c>
      <c r="AD383">
        <v>-0.72568960237725788</v>
      </c>
      <c r="AE383">
        <v>-0.69192753885192371</v>
      </c>
      <c r="AF383">
        <v>2.2025963620673104E-3</v>
      </c>
      <c r="AG383">
        <v>-0.72649012568163751</v>
      </c>
      <c r="AH383">
        <v>-0.69451252735999902</v>
      </c>
      <c r="AI383">
        <v>8.9620761012835362E-5</v>
      </c>
    </row>
    <row r="384" spans="23:35" x14ac:dyDescent="0.25">
      <c r="W384">
        <v>382</v>
      </c>
      <c r="X384">
        <v>65.689061853601658</v>
      </c>
      <c r="Y384">
        <v>-3.4890618536016547</v>
      </c>
      <c r="Z384">
        <v>65.695609649954548</v>
      </c>
      <c r="AA384">
        <v>0.20436628259551243</v>
      </c>
      <c r="AB384">
        <v>63.5</v>
      </c>
      <c r="AC384">
        <v>-0.8357870519497973</v>
      </c>
      <c r="AD384">
        <v>-0.80101028277235131</v>
      </c>
      <c r="AE384">
        <v>-0.69168912455024012</v>
      </c>
      <c r="AF384">
        <v>1.8731486088467849E-3</v>
      </c>
      <c r="AG384">
        <v>-0.80176154400362332</v>
      </c>
      <c r="AH384">
        <v>-0.69306674475506402</v>
      </c>
      <c r="AI384">
        <v>9.2796925203010474E-5</v>
      </c>
    </row>
    <row r="385" spans="23:35" x14ac:dyDescent="0.25">
      <c r="W385">
        <v>383</v>
      </c>
      <c r="X385">
        <v>65.35303514476918</v>
      </c>
      <c r="Y385">
        <v>-3.5530351447691828</v>
      </c>
      <c r="Z385">
        <v>65.3597804397819</v>
      </c>
      <c r="AA385">
        <v>0.19345057610673136</v>
      </c>
      <c r="AB385">
        <v>63.5</v>
      </c>
      <c r="AC385">
        <v>-0.873012700415573</v>
      </c>
      <c r="AD385">
        <v>-0.81569711441882464</v>
      </c>
      <c r="AE385">
        <v>-0.68853482964716839</v>
      </c>
      <c r="AF385">
        <v>1.8948626542646897E-3</v>
      </c>
      <c r="AG385">
        <v>-0.81647103144216215</v>
      </c>
      <c r="AH385">
        <v>-0.69135556560260758</v>
      </c>
      <c r="AI385">
        <v>9.7350828991050686E-5</v>
      </c>
    </row>
    <row r="386" spans="23:35" x14ac:dyDescent="0.25">
      <c r="W386">
        <v>384</v>
      </c>
      <c r="X386">
        <v>64.985149189394932</v>
      </c>
      <c r="Y386">
        <v>-3.6851491893949344</v>
      </c>
      <c r="Z386">
        <v>64.993150751344302</v>
      </c>
      <c r="AA386">
        <v>0.18253486961795026</v>
      </c>
      <c r="AB386">
        <v>63.7</v>
      </c>
      <c r="AC386">
        <v>-0.91148934236618206</v>
      </c>
      <c r="AD386">
        <v>-0.84602753350687632</v>
      </c>
      <c r="AE386">
        <v>-0.68678311750728815</v>
      </c>
      <c r="AF386">
        <v>2.1665949992588336E-3</v>
      </c>
      <c r="AG386">
        <v>-0.84694552497495057</v>
      </c>
      <c r="AH386">
        <v>-0.68744788898224984</v>
      </c>
      <c r="AI386">
        <v>1.1980840886613062E-4</v>
      </c>
    </row>
    <row r="387" spans="23:35" x14ac:dyDescent="0.25">
      <c r="W387">
        <v>385</v>
      </c>
      <c r="X387">
        <v>63.752730389567411</v>
      </c>
      <c r="Y387">
        <v>-2.7527303895674109</v>
      </c>
      <c r="Z387">
        <v>63.762381655628829</v>
      </c>
      <c r="AA387">
        <v>0.17647058823529413</v>
      </c>
      <c r="AB387">
        <v>63.7</v>
      </c>
      <c r="AC387">
        <v>-0.93241539434320697</v>
      </c>
      <c r="AD387">
        <v>-0.63196510702936282</v>
      </c>
      <c r="AE387">
        <v>-0.68223954908284212</v>
      </c>
      <c r="AF387">
        <v>3.4938206463079142E-3</v>
      </c>
      <c r="AG387">
        <v>-0.63307199469488917</v>
      </c>
      <c r="AH387">
        <v>-0.68369536864467639</v>
      </c>
      <c r="AI387">
        <v>1.0808948869740428E-4</v>
      </c>
    </row>
    <row r="388" spans="23:35" x14ac:dyDescent="0.25">
      <c r="W388">
        <v>386</v>
      </c>
      <c r="X388">
        <v>63.303825663627478</v>
      </c>
      <c r="Y388">
        <v>2.6961743363725219</v>
      </c>
      <c r="Z388">
        <v>63.294370753957359</v>
      </c>
      <c r="AA388">
        <v>0.31109763493026077</v>
      </c>
      <c r="AB388">
        <v>63.7</v>
      </c>
      <c r="AC388">
        <v>-0.50738317096904828</v>
      </c>
      <c r="AD388">
        <v>0.61898110672700002</v>
      </c>
      <c r="AE388">
        <v>-0.68213646424025332</v>
      </c>
      <c r="AF388">
        <v>3.4945326245077431E-3</v>
      </c>
      <c r="AG388">
        <v>0.62006547441046744</v>
      </c>
      <c r="AH388">
        <v>-0.68260157793522702</v>
      </c>
      <c r="AI388">
        <v>1.0371490210105201E-4</v>
      </c>
    </row>
    <row r="389" spans="23:35" x14ac:dyDescent="0.25">
      <c r="W389">
        <v>387</v>
      </c>
      <c r="X389">
        <v>64.057638646847721</v>
      </c>
      <c r="Y389">
        <v>-1.057638646847721</v>
      </c>
      <c r="Z389">
        <v>64.059759032672943</v>
      </c>
      <c r="AA389">
        <v>0.22195269860521527</v>
      </c>
      <c r="AB389">
        <v>63.8</v>
      </c>
      <c r="AC389">
        <v>-0.78098898173722842</v>
      </c>
      <c r="AD389">
        <v>-0.2428100925490736</v>
      </c>
      <c r="AE389">
        <v>-0.67658852698293181</v>
      </c>
      <c r="AF389">
        <v>2.0008188275335548E-3</v>
      </c>
      <c r="AG389">
        <v>-0.24305336717368362</v>
      </c>
      <c r="AH389">
        <v>-0.67987123934218263</v>
      </c>
      <c r="AI389">
        <v>9.1104013992435581E-6</v>
      </c>
    </row>
    <row r="390" spans="23:35" x14ac:dyDescent="0.25">
      <c r="W390">
        <v>388</v>
      </c>
      <c r="X390">
        <v>63.572972378954404</v>
      </c>
      <c r="Y390">
        <v>-3.5729723789544039</v>
      </c>
      <c r="Z390">
        <v>63.580560791151541</v>
      </c>
      <c r="AA390">
        <v>0.17525773195876287</v>
      </c>
      <c r="AB390">
        <v>63.8</v>
      </c>
      <c r="AC390">
        <v>-0.93712127394454381</v>
      </c>
      <c r="AD390">
        <v>-0.82027425585755187</v>
      </c>
      <c r="AE390">
        <v>-0.67364531268413674</v>
      </c>
      <c r="AF390">
        <v>2.1193362268532487E-3</v>
      </c>
      <c r="AG390">
        <v>-0.82114485840003804</v>
      </c>
      <c r="AH390">
        <v>-0.6779523737703318</v>
      </c>
      <c r="AI390">
        <v>1.1015835907476253E-4</v>
      </c>
    </row>
    <row r="391" spans="23:35" x14ac:dyDescent="0.25">
      <c r="W391">
        <v>389</v>
      </c>
      <c r="X391">
        <v>55.060066944658814</v>
      </c>
      <c r="Y391">
        <v>4.7399330553411829</v>
      </c>
      <c r="Z391">
        <v>55.006538042029938</v>
      </c>
      <c r="AA391">
        <v>0.17101273499090358</v>
      </c>
      <c r="AB391">
        <v>63.8</v>
      </c>
      <c r="AC391">
        <v>-0.95615619123390583</v>
      </c>
      <c r="AD391">
        <v>1.0881822324421104</v>
      </c>
      <c r="AE391">
        <v>-0.67170721807795619</v>
      </c>
      <c r="AF391">
        <v>1.116706528563804E-2</v>
      </c>
      <c r="AG391">
        <v>1.0943094991731808</v>
      </c>
      <c r="AH391">
        <v>-0.67207126175992138</v>
      </c>
      <c r="AI391">
        <v>1.0402868728061532E-3</v>
      </c>
    </row>
    <row r="392" spans="23:35" x14ac:dyDescent="0.25">
      <c r="W392">
        <v>390</v>
      </c>
      <c r="X392">
        <v>51.995202983048848</v>
      </c>
      <c r="Y392">
        <v>7.604797016951153</v>
      </c>
      <c r="Z392">
        <v>51.870961745160329</v>
      </c>
      <c r="AA392">
        <v>0.16616130988477865</v>
      </c>
      <c r="AB392">
        <v>63.8</v>
      </c>
      <c r="AC392">
        <v>-0.97554401628441823</v>
      </c>
      <c r="AD392">
        <v>1.7458906905551936</v>
      </c>
      <c r="AE392">
        <v>-0.6709003913611763</v>
      </c>
      <c r="AF392">
        <v>1.6074605118006968E-2</v>
      </c>
      <c r="AG392">
        <v>1.7600944129377123</v>
      </c>
      <c r="AH392">
        <v>-0.67194840970137781</v>
      </c>
      <c r="AI392">
        <v>3.8932000446914548E-3</v>
      </c>
    </row>
    <row r="393" spans="23:35" x14ac:dyDescent="0.25">
      <c r="W393">
        <v>391</v>
      </c>
      <c r="X393">
        <v>75.416239685759905</v>
      </c>
      <c r="Y393">
        <v>4.0837603142400951</v>
      </c>
      <c r="Z393">
        <v>75.402559281336536</v>
      </c>
      <c r="AA393">
        <v>0.90964220739842327</v>
      </c>
      <c r="AB393">
        <v>63.9</v>
      </c>
      <c r="AC393">
        <v>1.3219841213691266</v>
      </c>
      <c r="AD393">
        <v>0.93753970016532406</v>
      </c>
      <c r="AE393">
        <v>-0.66614453418858266</v>
      </c>
      <c r="AF393">
        <v>3.3387681147064754E-3</v>
      </c>
      <c r="AG393">
        <v>0.9391087440942949</v>
      </c>
      <c r="AH393">
        <v>-0.67112773092215827</v>
      </c>
      <c r="AI393">
        <v>2.2726214855974986E-4</v>
      </c>
    </row>
    <row r="394" spans="23:35" x14ac:dyDescent="0.25">
      <c r="W394">
        <v>392</v>
      </c>
      <c r="X394">
        <v>75.425042465886847</v>
      </c>
      <c r="Y394">
        <v>3.9749575341131589</v>
      </c>
      <c r="Z394">
        <v>75.411318760081002</v>
      </c>
      <c r="AA394">
        <v>0.90661006670709521</v>
      </c>
      <c r="AB394">
        <v>63.9</v>
      </c>
      <c r="AC394">
        <v>1.2933897637306977</v>
      </c>
      <c r="AD394">
        <v>0.91256102413929407</v>
      </c>
      <c r="AE394">
        <v>-0.66415748933507246</v>
      </c>
      <c r="AF394">
        <v>3.4406624596868074E-3</v>
      </c>
      <c r="AG394">
        <v>0.91413499415949406</v>
      </c>
      <c r="AH394">
        <v>-0.66472035131352991</v>
      </c>
      <c r="AI394">
        <v>2.2193010726728163E-4</v>
      </c>
    </row>
    <row r="395" spans="23:35" x14ac:dyDescent="0.25">
      <c r="W395">
        <v>393</v>
      </c>
      <c r="X395">
        <v>73.998601719249521</v>
      </c>
      <c r="Y395">
        <v>5.2013982807504817</v>
      </c>
      <c r="Z395">
        <v>73.911093537733521</v>
      </c>
      <c r="AA395">
        <v>0.89630078835657978</v>
      </c>
      <c r="AB395">
        <v>64</v>
      </c>
      <c r="AC395">
        <v>1.2457497672431228</v>
      </c>
      <c r="AD395">
        <v>1.1941242897069142</v>
      </c>
      <c r="AE395">
        <v>-0.66199994428339293</v>
      </c>
      <c r="AF395">
        <v>1.6545609596297983E-2</v>
      </c>
      <c r="AG395">
        <v>1.2041273494830658</v>
      </c>
      <c r="AH395">
        <v>-0.66261922076910984</v>
      </c>
      <c r="AI395">
        <v>1.8764199351527053E-3</v>
      </c>
    </row>
    <row r="396" spans="23:35" x14ac:dyDescent="0.25">
      <c r="W396">
        <v>394</v>
      </c>
      <c r="X396">
        <v>75.405453861438815</v>
      </c>
      <c r="Y396">
        <v>3.594546138561185</v>
      </c>
      <c r="Z396">
        <v>75.393700974675752</v>
      </c>
      <c r="AA396">
        <v>0.89023650697392354</v>
      </c>
      <c r="AB396">
        <v>64</v>
      </c>
      <c r="AC396">
        <v>1.2070560687293583</v>
      </c>
      <c r="AD396">
        <v>0.82522710679805678</v>
      </c>
      <c r="AE396">
        <v>-0.66067823688514293</v>
      </c>
      <c r="AF396">
        <v>3.2589884201297539E-3</v>
      </c>
      <c r="AG396">
        <v>0.82657510532053391</v>
      </c>
      <c r="AH396">
        <v>-0.66178550707681005</v>
      </c>
      <c r="AI396">
        <v>1.7183901685531745E-4</v>
      </c>
    </row>
    <row r="397" spans="23:35" x14ac:dyDescent="0.25">
      <c r="W397">
        <v>395</v>
      </c>
      <c r="X397">
        <v>75.462341776685065</v>
      </c>
      <c r="Y397">
        <v>2.6376582233149293</v>
      </c>
      <c r="Z397">
        <v>75.454198933593929</v>
      </c>
      <c r="AA397">
        <v>0.86476652516676777</v>
      </c>
      <c r="AB397">
        <v>64</v>
      </c>
      <c r="AC397">
        <v>1.0950400512086551</v>
      </c>
      <c r="AD397">
        <v>0.60554712067753624</v>
      </c>
      <c r="AE397">
        <v>-0.66000861275245126</v>
      </c>
      <c r="AF397">
        <v>3.077647520264383E-3</v>
      </c>
      <c r="AG397">
        <v>0.60648110738989902</v>
      </c>
      <c r="AH397">
        <v>-0.66118668058126029</v>
      </c>
      <c r="AI397">
        <v>8.734715143814836E-5</v>
      </c>
    </row>
    <row r="398" spans="23:35" x14ac:dyDescent="0.25">
      <c r="W398">
        <v>396</v>
      </c>
      <c r="X398">
        <v>72.477824842016659</v>
      </c>
      <c r="Y398">
        <v>6.7221751579833438</v>
      </c>
      <c r="Z398">
        <v>72.368846962624431</v>
      </c>
      <c r="AA398">
        <v>0.89630078835657978</v>
      </c>
      <c r="AB398">
        <v>64</v>
      </c>
      <c r="AC398">
        <v>1.2457497672431228</v>
      </c>
      <c r="AD398">
        <v>1.5432605239093775</v>
      </c>
      <c r="AE398">
        <v>-0.65974636276014487</v>
      </c>
      <c r="AF398">
        <v>1.5953072460239026E-2</v>
      </c>
      <c r="AG398">
        <v>1.5557196683922918</v>
      </c>
      <c r="AH398">
        <v>-0.66054521764870233</v>
      </c>
      <c r="AI398">
        <v>3.0181989281678578E-3</v>
      </c>
    </row>
    <row r="399" spans="23:35" x14ac:dyDescent="0.25">
      <c r="W399">
        <v>397</v>
      </c>
      <c r="X399">
        <v>72.770635826664062</v>
      </c>
      <c r="Y399">
        <v>6.1293641733359436</v>
      </c>
      <c r="Z399">
        <v>72.643499283631598</v>
      </c>
      <c r="AA399">
        <v>0.88599151000606424</v>
      </c>
      <c r="AB399">
        <v>64</v>
      </c>
      <c r="AC399">
        <v>1.1852957183684145</v>
      </c>
      <c r="AD399">
        <v>1.4071644286358591</v>
      </c>
      <c r="AE399">
        <v>-0.65725639605093522</v>
      </c>
      <c r="AF399">
        <v>2.0320711016598252E-2</v>
      </c>
      <c r="AG399">
        <v>1.4216833745314537</v>
      </c>
      <c r="AH399">
        <v>-0.66045767537386457</v>
      </c>
      <c r="AI399">
        <v>3.224908448094645E-3</v>
      </c>
    </row>
    <row r="400" spans="23:35" x14ac:dyDescent="0.25">
      <c r="W400">
        <v>398</v>
      </c>
      <c r="X400">
        <v>73.866847222935959</v>
      </c>
      <c r="Y400">
        <v>5.0331527770640463</v>
      </c>
      <c r="Z400">
        <v>73.856050688737909</v>
      </c>
      <c r="AA400">
        <v>0.88599151000606424</v>
      </c>
      <c r="AB400">
        <v>64.099999999999994</v>
      </c>
      <c r="AC400">
        <v>1.1852957183684145</v>
      </c>
      <c r="AD400">
        <v>1.155498898659767</v>
      </c>
      <c r="AE400">
        <v>-0.65560102635068385</v>
      </c>
      <c r="AF400">
        <v>2.1404922079498764E-3</v>
      </c>
      <c r="AG400">
        <v>1.1567375557111079</v>
      </c>
      <c r="AH400">
        <v>-0.66039216833947312</v>
      </c>
      <c r="AI400">
        <v>2.2078551186576175E-4</v>
      </c>
    </row>
    <row r="401" spans="23:35" x14ac:dyDescent="0.25">
      <c r="W401">
        <v>399</v>
      </c>
      <c r="X401">
        <v>74.048216389883166</v>
      </c>
      <c r="Y401">
        <v>3.9517836101168342</v>
      </c>
      <c r="Z401">
        <v>74.042149138800625</v>
      </c>
      <c r="AA401">
        <v>0.86294724075197093</v>
      </c>
      <c r="AB401">
        <v>64.099999999999994</v>
      </c>
      <c r="AC401">
        <v>1.0491313979639725</v>
      </c>
      <c r="AD401">
        <v>0.90724081137376822</v>
      </c>
      <c r="AE401">
        <v>-0.65363331008530678</v>
      </c>
      <c r="AF401">
        <v>1.5329660705548124E-3</v>
      </c>
      <c r="AG401">
        <v>0.90793699658816196</v>
      </c>
      <c r="AH401">
        <v>-0.65432217713267482</v>
      </c>
      <c r="AI401">
        <v>9.735693344482749E-5</v>
      </c>
    </row>
    <row r="402" spans="23:35" x14ac:dyDescent="0.25">
      <c r="W402">
        <v>400</v>
      </c>
      <c r="X402">
        <v>71.422482987599082</v>
      </c>
      <c r="Y402">
        <v>7.1775170124009122</v>
      </c>
      <c r="Z402">
        <v>71.316550558180609</v>
      </c>
      <c r="AA402">
        <v>0.8750758035172832</v>
      </c>
      <c r="AB402">
        <v>64.099999999999994</v>
      </c>
      <c r="AC402">
        <v>1.1404631659072275</v>
      </c>
      <c r="AD402">
        <v>1.6477967926455137</v>
      </c>
      <c r="AE402">
        <v>-0.65275386398416158</v>
      </c>
      <c r="AF402">
        <v>1.4544266458451078E-2</v>
      </c>
      <c r="AG402">
        <v>1.6599121080902339</v>
      </c>
      <c r="AH402">
        <v>-0.65381960059426625</v>
      </c>
      <c r="AI402">
        <v>3.1281065327475382E-3</v>
      </c>
    </row>
    <row r="403" spans="23:35" x14ac:dyDescent="0.25">
      <c r="W403">
        <v>401</v>
      </c>
      <c r="X403">
        <v>69.666520530302734</v>
      </c>
      <c r="Y403">
        <v>8.0334794696972693</v>
      </c>
      <c r="Z403">
        <v>69.506589241404228</v>
      </c>
      <c r="AA403">
        <v>0.85021224984839294</v>
      </c>
      <c r="AB403">
        <v>64.2</v>
      </c>
      <c r="AC403">
        <v>1.0308575175648222</v>
      </c>
      <c r="AD403">
        <v>1.8443065590899552</v>
      </c>
      <c r="AE403">
        <v>-0.65257351119655171</v>
      </c>
      <c r="AF403">
        <v>1.9519500927097873E-2</v>
      </c>
      <c r="AG403">
        <v>1.8625744046194639</v>
      </c>
      <c r="AH403">
        <v>-0.65324931232520778</v>
      </c>
      <c r="AI403">
        <v>5.3126800039015537E-3</v>
      </c>
    </row>
    <row r="404" spans="23:35" x14ac:dyDescent="0.25">
      <c r="W404">
        <v>402</v>
      </c>
      <c r="X404">
        <v>73.534601895550225</v>
      </c>
      <c r="Y404">
        <v>4.4653981044497755</v>
      </c>
      <c r="Z404">
        <v>73.526579731087722</v>
      </c>
      <c r="AA404">
        <v>0.86294724075197093</v>
      </c>
      <c r="AB404">
        <v>64.2</v>
      </c>
      <c r="AC404">
        <v>1.0491313979639725</v>
      </c>
      <c r="AD404">
        <v>1.025155170191145</v>
      </c>
      <c r="AE404">
        <v>-0.65117644428304966</v>
      </c>
      <c r="AF404">
        <v>1.793295505512085E-3</v>
      </c>
      <c r="AG404">
        <v>1.0260756114232361</v>
      </c>
      <c r="AH404">
        <v>-0.65183282310559809</v>
      </c>
      <c r="AI404">
        <v>1.4549455996602505E-4</v>
      </c>
    </row>
    <row r="405" spans="23:35" x14ac:dyDescent="0.25">
      <c r="W405">
        <v>403</v>
      </c>
      <c r="X405">
        <v>73.226074295866766</v>
      </c>
      <c r="Y405">
        <v>5.0739257041332309</v>
      </c>
      <c r="Z405">
        <v>73.216096284988694</v>
      </c>
      <c r="AA405">
        <v>0.86901152213462707</v>
      </c>
      <c r="AB405">
        <v>64.2</v>
      </c>
      <c r="AC405">
        <v>1.1118051137279645</v>
      </c>
      <c r="AD405">
        <v>1.1648594474867906</v>
      </c>
      <c r="AE405">
        <v>-0.64746345007926243</v>
      </c>
      <c r="AF405">
        <v>1.9626671623646625E-3</v>
      </c>
      <c r="AG405">
        <v>1.1660042486035225</v>
      </c>
      <c r="AH405">
        <v>-0.64900840385590619</v>
      </c>
      <c r="AI405">
        <v>2.0566329183815851E-4</v>
      </c>
    </row>
    <row r="406" spans="23:35" x14ac:dyDescent="0.25">
      <c r="W406">
        <v>404</v>
      </c>
      <c r="X406">
        <v>73.746019536168191</v>
      </c>
      <c r="Y406">
        <v>3.7539804638318088</v>
      </c>
      <c r="Z406">
        <v>73.706402558137157</v>
      </c>
      <c r="AA406">
        <v>0.84596725288053365</v>
      </c>
      <c r="AB406">
        <v>64.2</v>
      </c>
      <c r="AC406">
        <v>1.0129215482717411</v>
      </c>
      <c r="AD406">
        <v>0.86182964906505943</v>
      </c>
      <c r="AE406">
        <v>-0.64687346629864106</v>
      </c>
      <c r="AF406">
        <v>1.0443115970569674E-2</v>
      </c>
      <c r="AG406">
        <v>0.86636529836303844</v>
      </c>
      <c r="AH406">
        <v>-0.64750702978772523</v>
      </c>
      <c r="AI406">
        <v>6.0932371514961785E-4</v>
      </c>
    </row>
    <row r="407" spans="23:35" x14ac:dyDescent="0.25">
      <c r="W407">
        <v>405</v>
      </c>
      <c r="X407">
        <v>70.50028813014606</v>
      </c>
      <c r="Y407">
        <v>7.0997118698539339</v>
      </c>
      <c r="Z407">
        <v>70.397862592986996</v>
      </c>
      <c r="AA407">
        <v>0.8483929654335961</v>
      </c>
      <c r="AB407">
        <v>64.2</v>
      </c>
      <c r="AC407">
        <v>1.0205681915260707</v>
      </c>
      <c r="AD407">
        <v>1.6299344784052647</v>
      </c>
      <c r="AE407">
        <v>-0.64561085222035852</v>
      </c>
      <c r="AF407">
        <v>1.4221547211710171E-2</v>
      </c>
      <c r="AG407">
        <v>1.6416496788322568</v>
      </c>
      <c r="AH407">
        <v>-0.64715244011942863</v>
      </c>
      <c r="AI407">
        <v>2.9907846712334792E-3</v>
      </c>
    </row>
    <row r="408" spans="23:35" x14ac:dyDescent="0.25">
      <c r="W408">
        <v>406</v>
      </c>
      <c r="X408">
        <v>77.586932855414872</v>
      </c>
      <c r="Y408">
        <v>0.21306714458512488</v>
      </c>
      <c r="Z408">
        <v>77.586206257314075</v>
      </c>
      <c r="AA408">
        <v>0.85203153426318978</v>
      </c>
      <c r="AB408">
        <v>64.3</v>
      </c>
      <c r="AC408">
        <v>1.0386467129748296</v>
      </c>
      <c r="AD408">
        <v>4.8915433688127896E-2</v>
      </c>
      <c r="AE408">
        <v>-0.64411271111337887</v>
      </c>
      <c r="AF408">
        <v>3.3985938580988499E-3</v>
      </c>
      <c r="AG408">
        <v>4.8998768009272962E-2</v>
      </c>
      <c r="AH408">
        <v>-0.64664690261778446</v>
      </c>
      <c r="AI408">
        <v>6.2980302383586307E-7</v>
      </c>
    </row>
    <row r="409" spans="23:35" x14ac:dyDescent="0.25">
      <c r="W409">
        <v>407</v>
      </c>
      <c r="X409">
        <v>77.536811422352798</v>
      </c>
      <c r="Y409">
        <v>0.16318857764720462</v>
      </c>
      <c r="Z409">
        <v>77.536231736812255</v>
      </c>
      <c r="AA409">
        <v>0.85021224984839294</v>
      </c>
      <c r="AB409">
        <v>64.3</v>
      </c>
      <c r="AC409">
        <v>1.0308575175648222</v>
      </c>
      <c r="AD409">
        <v>3.7464434341131336E-2</v>
      </c>
      <c r="AE409">
        <v>-0.64080732648286642</v>
      </c>
      <c r="AF409">
        <v>3.5396695871561792E-3</v>
      </c>
      <c r="AG409">
        <v>3.7530916747015947E-2</v>
      </c>
      <c r="AH409">
        <v>-0.64166867064354793</v>
      </c>
      <c r="AI409">
        <v>3.8489095376500471E-7</v>
      </c>
    </row>
    <row r="410" spans="23:35" x14ac:dyDescent="0.25">
      <c r="W410">
        <v>408</v>
      </c>
      <c r="X410">
        <v>77.43165555713766</v>
      </c>
      <c r="Y410">
        <v>-0.33165555713766537</v>
      </c>
      <c r="Z410">
        <v>77.43266947766746</v>
      </c>
      <c r="AA410">
        <v>0.83869011522134629</v>
      </c>
      <c r="AB410">
        <v>64.3</v>
      </c>
      <c r="AC410">
        <v>0.98537673313779217</v>
      </c>
      <c r="AD410">
        <v>-7.6140671261425374E-2</v>
      </c>
      <c r="AE410">
        <v>-0.63776073815153111</v>
      </c>
      <c r="AF410">
        <v>3.0478315501322522E-3</v>
      </c>
      <c r="AG410">
        <v>-7.6256969141368869E-2</v>
      </c>
      <c r="AH410">
        <v>-0.63886957384388188</v>
      </c>
      <c r="AI410">
        <v>1.36751584156062E-6</v>
      </c>
    </row>
    <row r="411" spans="23:35" x14ac:dyDescent="0.25">
      <c r="W411">
        <v>409</v>
      </c>
      <c r="X411">
        <v>77.362919104518838</v>
      </c>
      <c r="Y411">
        <v>-0.3629191045188378</v>
      </c>
      <c r="Z411">
        <v>77.364157026173046</v>
      </c>
      <c r="AA411">
        <v>0.83747725894481506</v>
      </c>
      <c r="AB411">
        <v>64.3</v>
      </c>
      <c r="AC411">
        <v>0.95855995741850497</v>
      </c>
      <c r="AD411">
        <v>-8.3318079968699846E-2</v>
      </c>
      <c r="AE411">
        <v>-0.63383684010413299</v>
      </c>
      <c r="AF411">
        <v>3.3994171888539321E-3</v>
      </c>
      <c r="AG411">
        <v>-8.3460058511236265E-2</v>
      </c>
      <c r="AH411">
        <v>-0.63471977795454904</v>
      </c>
      <c r="AI411">
        <v>1.8276681625918342E-6</v>
      </c>
    </row>
    <row r="412" spans="23:35" x14ac:dyDescent="0.25">
      <c r="W412">
        <v>410</v>
      </c>
      <c r="X412">
        <v>72.333538292281332</v>
      </c>
      <c r="Y412">
        <v>4.266461707718662</v>
      </c>
      <c r="Z412">
        <v>72.291584847257909</v>
      </c>
      <c r="AA412">
        <v>0.82413583990297146</v>
      </c>
      <c r="AB412">
        <v>64.3</v>
      </c>
      <c r="AC412">
        <v>0.91841998904288702</v>
      </c>
      <c r="AD412">
        <v>0.97948383901803626</v>
      </c>
      <c r="AE412">
        <v>-0.63275109697714915</v>
      </c>
      <c r="AF412">
        <v>9.7375586001079359E-3</v>
      </c>
      <c r="AG412">
        <v>0.98428784271804604</v>
      </c>
      <c r="AH412">
        <v>-0.63329253737702096</v>
      </c>
      <c r="AI412">
        <v>7.3282565778905369E-4</v>
      </c>
    </row>
    <row r="413" spans="23:35" x14ac:dyDescent="0.25">
      <c r="W413">
        <v>411</v>
      </c>
      <c r="X413">
        <v>73.534571706491988</v>
      </c>
      <c r="Y413">
        <v>2.765428293508009</v>
      </c>
      <c r="Z413">
        <v>73.510146141570715</v>
      </c>
      <c r="AA413">
        <v>0.8168587022437841</v>
      </c>
      <c r="AB413">
        <v>64.3</v>
      </c>
      <c r="AC413">
        <v>0.89095501331493132</v>
      </c>
      <c r="AD413">
        <v>0.63488026074484516</v>
      </c>
      <c r="AE413">
        <v>-0.63217919922783017</v>
      </c>
      <c r="AF413">
        <v>8.7551413660898331E-3</v>
      </c>
      <c r="AG413">
        <v>0.63767787757139405</v>
      </c>
      <c r="AH413">
        <v>-0.63307199469488917</v>
      </c>
      <c r="AI413">
        <v>2.7627498505120978E-4</v>
      </c>
    </row>
    <row r="414" spans="23:35" x14ac:dyDescent="0.25">
      <c r="W414">
        <v>412</v>
      </c>
      <c r="X414">
        <v>77.185676396777438</v>
      </c>
      <c r="Y414">
        <v>-1.1856763967774384</v>
      </c>
      <c r="Z414">
        <v>77.189554407592567</v>
      </c>
      <c r="AA414">
        <v>0.80836870830806551</v>
      </c>
      <c r="AB414">
        <v>64.3</v>
      </c>
      <c r="AC414">
        <v>0.83794453378675593</v>
      </c>
      <c r="AD414">
        <v>-0.27220468587531954</v>
      </c>
      <c r="AE414">
        <v>-0.63196510702936282</v>
      </c>
      <c r="AF414">
        <v>3.2600533362572119E-3</v>
      </c>
      <c r="AG414">
        <v>-0.27264947459462913</v>
      </c>
      <c r="AH414">
        <v>-0.63299709745598443</v>
      </c>
      <c r="AI414">
        <v>1.8702894298026154E-5</v>
      </c>
    </row>
    <row r="415" spans="23:35" x14ac:dyDescent="0.25">
      <c r="W415">
        <v>413</v>
      </c>
      <c r="X415">
        <v>76.707529350648329</v>
      </c>
      <c r="Y415">
        <v>-0.90752935064833196</v>
      </c>
      <c r="Z415">
        <v>76.710719080489611</v>
      </c>
      <c r="AA415">
        <v>0.79624014554275313</v>
      </c>
      <c r="AB415">
        <v>64.400000000000006</v>
      </c>
      <c r="AC415">
        <v>0.81442193874053515</v>
      </c>
      <c r="AD415">
        <v>-0.20834836763831799</v>
      </c>
      <c r="AE415">
        <v>-0.62610808899147863</v>
      </c>
      <c r="AF415">
        <v>3.5024300133971046E-3</v>
      </c>
      <c r="AG415">
        <v>-0.20871419166209304</v>
      </c>
      <c r="AH415">
        <v>-0.63091830067875121</v>
      </c>
      <c r="AI415">
        <v>1.1777519445990967E-5</v>
      </c>
    </row>
    <row r="416" spans="23:35" x14ac:dyDescent="0.25">
      <c r="W416">
        <v>414</v>
      </c>
      <c r="X416">
        <v>77.436164281454211</v>
      </c>
      <c r="Y416">
        <v>5.5638357185457892</v>
      </c>
      <c r="Z416">
        <v>77.405957011319558</v>
      </c>
      <c r="AA416">
        <v>0.97877501516070342</v>
      </c>
      <c r="AB416">
        <v>64.400000000000006</v>
      </c>
      <c r="AC416">
        <v>1.9368862628682144</v>
      </c>
      <c r="AD416">
        <v>1.2773317898078429</v>
      </c>
      <c r="AE416">
        <v>-0.62555201922708625</v>
      </c>
      <c r="AF416">
        <v>5.3998995352348769E-3</v>
      </c>
      <c r="AG416">
        <v>1.2807945517295183</v>
      </c>
      <c r="AH416">
        <v>-0.6287458980738696</v>
      </c>
      <c r="AI416">
        <v>6.8509811377933294E-4</v>
      </c>
    </row>
    <row r="417" spans="23:35" x14ac:dyDescent="0.25">
      <c r="W417">
        <v>415</v>
      </c>
      <c r="X417">
        <v>77.127490690346633</v>
      </c>
      <c r="Y417">
        <v>3.8725093096533669</v>
      </c>
      <c r="Z417">
        <v>77.117210581891655</v>
      </c>
      <c r="AA417">
        <v>0.93571861734384476</v>
      </c>
      <c r="AB417">
        <v>64.400000000000006</v>
      </c>
      <c r="AC417">
        <v>1.4576525936309466</v>
      </c>
      <c r="AD417">
        <v>0.88904121145401516</v>
      </c>
      <c r="AE417">
        <v>-0.62441009892744292</v>
      </c>
      <c r="AF417">
        <v>2.6476090634831883E-3</v>
      </c>
      <c r="AG417">
        <v>0.8902204704185207</v>
      </c>
      <c r="AH417">
        <v>-0.62660950825678485</v>
      </c>
      <c r="AI417">
        <v>1.6182925202125697E-4</v>
      </c>
    </row>
    <row r="418" spans="23:35" x14ac:dyDescent="0.25">
      <c r="W418">
        <v>416</v>
      </c>
      <c r="X418">
        <v>79.722330613030763</v>
      </c>
      <c r="Y418">
        <v>0.2776693869692366</v>
      </c>
      <c r="Z418">
        <v>79.721316809418582</v>
      </c>
      <c r="AA418">
        <v>0.92722862340812617</v>
      </c>
      <c r="AB418">
        <v>64.400000000000006</v>
      </c>
      <c r="AC418">
        <v>1.4191611772342045</v>
      </c>
      <c r="AD418">
        <v>6.3746658415889126E-2</v>
      </c>
      <c r="AE418">
        <v>-0.62429270153508043</v>
      </c>
      <c r="AF418">
        <v>3.6378355295580852E-3</v>
      </c>
      <c r="AG418">
        <v>6.3862925662509368E-2</v>
      </c>
      <c r="AH418">
        <v>-0.6249519013015663</v>
      </c>
      <c r="AI418">
        <v>1.1454604569902683E-6</v>
      </c>
    </row>
    <row r="419" spans="23:35" x14ac:dyDescent="0.25">
      <c r="W419">
        <v>417</v>
      </c>
      <c r="X419">
        <v>79.983034226236001</v>
      </c>
      <c r="Y419">
        <v>-0.28303422623599772</v>
      </c>
      <c r="Z419">
        <v>79.984265608761831</v>
      </c>
      <c r="AA419">
        <v>0.9151000606428138</v>
      </c>
      <c r="AB419">
        <v>64.5</v>
      </c>
      <c r="AC419">
        <v>1.3555018111021329</v>
      </c>
      <c r="AD419">
        <v>-6.4978305087231625E-2</v>
      </c>
      <c r="AE419">
        <v>-0.62416625919376212</v>
      </c>
      <c r="AF419">
        <v>4.3318026798863313E-3</v>
      </c>
      <c r="AG419">
        <v>-6.5119500574481015E-2</v>
      </c>
      <c r="AH419">
        <v>-0.62491213415918745</v>
      </c>
      <c r="AI419">
        <v>1.4191646999490359E-6</v>
      </c>
    </row>
    <row r="420" spans="23:35" x14ac:dyDescent="0.25">
      <c r="W420">
        <v>418</v>
      </c>
      <c r="X420">
        <v>77.087924063138885</v>
      </c>
      <c r="Y420">
        <v>2.4120759368611147</v>
      </c>
      <c r="Z420">
        <v>77.079768617559822</v>
      </c>
      <c r="AA420">
        <v>0.90964220739842327</v>
      </c>
      <c r="AB420">
        <v>64.5</v>
      </c>
      <c r="AC420">
        <v>1.3219841213691266</v>
      </c>
      <c r="AD420">
        <v>0.55375849134318411</v>
      </c>
      <c r="AE420">
        <v>-0.62367668284296729</v>
      </c>
      <c r="AF420">
        <v>3.3696966489379573E-3</v>
      </c>
      <c r="AG420">
        <v>0.55469385499323021</v>
      </c>
      <c r="AH420">
        <v>-0.62483665204396921</v>
      </c>
      <c r="AI420">
        <v>8.0023966690188038E-5</v>
      </c>
    </row>
    <row r="421" spans="23:35" x14ac:dyDescent="0.25">
      <c r="W421">
        <v>419</v>
      </c>
      <c r="X421">
        <v>76.955893181606612</v>
      </c>
      <c r="Y421">
        <v>2.3441068183933851</v>
      </c>
      <c r="Z421">
        <v>76.948394579064086</v>
      </c>
      <c r="AA421">
        <v>0.9017586416009703</v>
      </c>
      <c r="AB421">
        <v>64.5</v>
      </c>
      <c r="AC421">
        <v>1.262435852359769</v>
      </c>
      <c r="AD421">
        <v>0.53815430744274029</v>
      </c>
      <c r="AE421">
        <v>-0.6218176508599943</v>
      </c>
      <c r="AF421">
        <v>3.188716302387653E-3</v>
      </c>
      <c r="AG421">
        <v>0.53901437558182563</v>
      </c>
      <c r="AH421">
        <v>-0.62283036018416371</v>
      </c>
      <c r="AI421">
        <v>7.1492466477194057E-5</v>
      </c>
    </row>
    <row r="422" spans="23:35" x14ac:dyDescent="0.25">
      <c r="W422">
        <v>420</v>
      </c>
      <c r="X422">
        <v>76.655913281703008</v>
      </c>
      <c r="Y422">
        <v>2.4440867182969868</v>
      </c>
      <c r="Z422">
        <v>76.646802368925222</v>
      </c>
      <c r="AA422">
        <v>0.89326864766525171</v>
      </c>
      <c r="AB422">
        <v>64.599999999999994</v>
      </c>
      <c r="AC422">
        <v>1.2294035019788656</v>
      </c>
      <c r="AD422">
        <v>0.56110744821628833</v>
      </c>
      <c r="AE422">
        <v>-0.6199730703531211</v>
      </c>
      <c r="AF422">
        <v>3.7138927016629789E-3</v>
      </c>
      <c r="AG422">
        <v>0.5621523059141208</v>
      </c>
      <c r="AH422">
        <v>-0.62230533752255113</v>
      </c>
      <c r="AI422">
        <v>9.0617049751137011E-5</v>
      </c>
    </row>
    <row r="423" spans="23:35" x14ac:dyDescent="0.25">
      <c r="W423">
        <v>421</v>
      </c>
      <c r="X423">
        <v>79.267352018787804</v>
      </c>
      <c r="Y423">
        <v>-0.36735201878779833</v>
      </c>
      <c r="Z423">
        <v>79.268961407823525</v>
      </c>
      <c r="AA423">
        <v>0.88599151000606424</v>
      </c>
      <c r="AB423">
        <v>64.599999999999994</v>
      </c>
      <c r="AC423">
        <v>1.1852957183684145</v>
      </c>
      <c r="AD423">
        <v>-8.4335777579425855E-2</v>
      </c>
      <c r="AE423">
        <v>-0.61839100217037113</v>
      </c>
      <c r="AF423">
        <v>4.3619440992757356E-3</v>
      </c>
      <c r="AG423">
        <v>-8.4520315481044314E-2</v>
      </c>
      <c r="AH423">
        <v>-0.62018961287237628</v>
      </c>
      <c r="AI423">
        <v>2.4074510970200329E-6</v>
      </c>
    </row>
    <row r="424" spans="23:35" x14ac:dyDescent="0.25">
      <c r="W424">
        <v>422</v>
      </c>
      <c r="X424">
        <v>78.628697117426668</v>
      </c>
      <c r="Y424">
        <v>0.17130288257332893</v>
      </c>
      <c r="Z424">
        <v>78.62807609044583</v>
      </c>
      <c r="AA424">
        <v>0.88174651303820495</v>
      </c>
      <c r="AB424">
        <v>64.599999999999994</v>
      </c>
      <c r="AC424">
        <v>1.1700898139672218</v>
      </c>
      <c r="AD424">
        <v>3.9327296610731553E-2</v>
      </c>
      <c r="AE424">
        <v>-0.6174362813153933</v>
      </c>
      <c r="AF424">
        <v>3.612219978307657E-3</v>
      </c>
      <c r="AG424">
        <v>3.9398519045500568E-2</v>
      </c>
      <c r="AH424">
        <v>-0.61909200728144931</v>
      </c>
      <c r="AI424">
        <v>4.3287473647997303E-7</v>
      </c>
    </row>
    <row r="425" spans="23:35" x14ac:dyDescent="0.25">
      <c r="W425">
        <v>423</v>
      </c>
      <c r="X425">
        <v>78.446033639379579</v>
      </c>
      <c r="Y425">
        <v>0.25396636062042433</v>
      </c>
      <c r="Z425">
        <v>78.445206669662142</v>
      </c>
      <c r="AA425">
        <v>0.87871437234687688</v>
      </c>
      <c r="AB425">
        <v>64.599999999999994</v>
      </c>
      <c r="AC425">
        <v>1.1521925343545227</v>
      </c>
      <c r="AD425">
        <v>5.8304975626968798E-2</v>
      </c>
      <c r="AE425">
        <v>-0.61690318737616012</v>
      </c>
      <c r="AF425">
        <v>3.2456489985198643E-3</v>
      </c>
      <c r="AG425">
        <v>5.8399825319000578E-2</v>
      </c>
      <c r="AH425">
        <v>-0.61733205373687416</v>
      </c>
      <c r="AI425">
        <v>8.5426606536536253E-7</v>
      </c>
    </row>
    <row r="426" spans="23:35" x14ac:dyDescent="0.25">
      <c r="W426">
        <v>424</v>
      </c>
      <c r="X426">
        <v>78.165564203816061</v>
      </c>
      <c r="Y426">
        <v>0.43443579618393358</v>
      </c>
      <c r="Z426">
        <v>78.163870981565239</v>
      </c>
      <c r="AA426">
        <v>0.8750758035172832</v>
      </c>
      <c r="AB426">
        <v>64.599999999999994</v>
      </c>
      <c r="AC426">
        <v>1.1404631659072275</v>
      </c>
      <c r="AD426">
        <v>9.9736707043042827E-2</v>
      </c>
      <c r="AE426">
        <v>-0.61659718516326412</v>
      </c>
      <c r="AF426">
        <v>3.8823884200575743E-3</v>
      </c>
      <c r="AG426">
        <v>9.9930880938423478E-2</v>
      </c>
      <c r="AH426">
        <v>-0.61691181116849114</v>
      </c>
      <c r="AI426">
        <v>2.9939493156624159E-6</v>
      </c>
    </row>
    <row r="427" spans="23:35" x14ac:dyDescent="0.25">
      <c r="W427">
        <v>425</v>
      </c>
      <c r="X427">
        <v>75.896457507433311</v>
      </c>
      <c r="Y427">
        <v>2.6035424925666888</v>
      </c>
      <c r="Z427">
        <v>75.888653623890065</v>
      </c>
      <c r="AA427">
        <v>0.87265009096422075</v>
      </c>
      <c r="AB427">
        <v>64.599999999999994</v>
      </c>
      <c r="AC427">
        <v>1.128888636463274</v>
      </c>
      <c r="AD427">
        <v>0.59771491469201476</v>
      </c>
      <c r="AE427">
        <v>-0.61624252966431758</v>
      </c>
      <c r="AF427">
        <v>2.9884520930031403E-3</v>
      </c>
      <c r="AG427">
        <v>0.59861004267163165</v>
      </c>
      <c r="AH427">
        <v>-0.61688871390476863</v>
      </c>
      <c r="AI427">
        <v>8.2621058463579037E-5</v>
      </c>
    </row>
    <row r="428" spans="23:35" x14ac:dyDescent="0.25">
      <c r="W428">
        <v>426</v>
      </c>
      <c r="X428">
        <v>76.957326184250888</v>
      </c>
      <c r="Y428">
        <v>1.4426738157491172</v>
      </c>
      <c r="Z428">
        <v>76.953359898937919</v>
      </c>
      <c r="AA428">
        <v>0.87022437841115829</v>
      </c>
      <c r="AB428">
        <v>64.7</v>
      </c>
      <c r="AC428">
        <v>1.1231576917613038</v>
      </c>
      <c r="AD428">
        <v>0.33120552446170581</v>
      </c>
      <c r="AE428">
        <v>-0.61225889907318931</v>
      </c>
      <c r="AF428">
        <v>2.741722222452489E-3</v>
      </c>
      <c r="AG428">
        <v>0.3316604970053102</v>
      </c>
      <c r="AH428">
        <v>-0.61276194916010074</v>
      </c>
      <c r="AI428">
        <v>2.3262690593890733E-5</v>
      </c>
    </row>
    <row r="429" spans="23:35" x14ac:dyDescent="0.25">
      <c r="W429">
        <v>427</v>
      </c>
      <c r="X429">
        <v>75.243226246041147</v>
      </c>
      <c r="Y429">
        <v>2.9567737539588563</v>
      </c>
      <c r="Z429">
        <v>75.2346857607712</v>
      </c>
      <c r="AA429">
        <v>0.86658580958156461</v>
      </c>
      <c r="AB429">
        <v>64.7</v>
      </c>
      <c r="AC429">
        <v>1.1033838166983498</v>
      </c>
      <c r="AD429">
        <v>0.67880888334141032</v>
      </c>
      <c r="AE429">
        <v>-0.61038337597379699</v>
      </c>
      <c r="AF429">
        <v>2.880128236312598E-3</v>
      </c>
      <c r="AG429">
        <v>0.67978852829333758</v>
      </c>
      <c r="AH429">
        <v>-0.61077789981325326</v>
      </c>
      <c r="AI429">
        <v>1.0267595808063389E-4</v>
      </c>
    </row>
    <row r="430" spans="23:35" x14ac:dyDescent="0.25">
      <c r="W430">
        <v>428</v>
      </c>
      <c r="X430">
        <v>76.530400554325169</v>
      </c>
      <c r="Y430">
        <v>1.5695994456748252</v>
      </c>
      <c r="Z430">
        <v>76.527440471510815</v>
      </c>
      <c r="AA430">
        <v>0.86476652516676777</v>
      </c>
      <c r="AB430">
        <v>64.7</v>
      </c>
      <c r="AC430">
        <v>1.0950400512086551</v>
      </c>
      <c r="AD430">
        <v>0.36034479999873897</v>
      </c>
      <c r="AE430">
        <v>-0.60961789191400217</v>
      </c>
      <c r="AF430">
        <v>1.8823343477450249E-3</v>
      </c>
      <c r="AG430">
        <v>0.36068442423582875</v>
      </c>
      <c r="AH430">
        <v>-0.61015719822420511</v>
      </c>
      <c r="AI430">
        <v>1.8872370280044204E-5</v>
      </c>
    </row>
    <row r="431" spans="23:35" x14ac:dyDescent="0.25">
      <c r="W431">
        <v>429</v>
      </c>
      <c r="X431">
        <v>64.196885248658575</v>
      </c>
      <c r="Y431">
        <v>-1.1968852486585746</v>
      </c>
      <c r="Z431">
        <v>64.201167640666981</v>
      </c>
      <c r="AA431">
        <v>0.22195269860521527</v>
      </c>
      <c r="AB431">
        <v>64.7</v>
      </c>
      <c r="AC431">
        <v>-0.78098898173722842</v>
      </c>
      <c r="AD431">
        <v>-0.27477798666263409</v>
      </c>
      <c r="AE431">
        <v>-0.60933031667945847</v>
      </c>
      <c r="AF431">
        <v>3.5651909553838369E-3</v>
      </c>
      <c r="AG431">
        <v>-0.27526911828339512</v>
      </c>
      <c r="AH431">
        <v>-0.60996537615414492</v>
      </c>
      <c r="AI431">
        <v>2.085477634824796E-5</v>
      </c>
    </row>
    <row r="432" spans="23:35" x14ac:dyDescent="0.25">
      <c r="W432">
        <v>430</v>
      </c>
      <c r="X432">
        <v>65.622325734649735</v>
      </c>
      <c r="Y432">
        <v>-2.922325734649732</v>
      </c>
      <c r="Z432">
        <v>65.631462837862088</v>
      </c>
      <c r="AA432">
        <v>0.21164342025469982</v>
      </c>
      <c r="AB432">
        <v>64.7</v>
      </c>
      <c r="AC432">
        <v>-0.80808466725232064</v>
      </c>
      <c r="AD432">
        <v>-0.6709003913611763</v>
      </c>
      <c r="AE432">
        <v>-0.60874121974596984</v>
      </c>
      <c r="AF432">
        <v>3.1169091056999446E-3</v>
      </c>
      <c r="AG432">
        <v>-0.67194840970137781</v>
      </c>
      <c r="AH432">
        <v>-0.60922079010970842</v>
      </c>
      <c r="AI432">
        <v>1.0859464669166425E-4</v>
      </c>
    </row>
    <row r="433" spans="23:35" x14ac:dyDescent="0.25">
      <c r="W433">
        <v>431</v>
      </c>
      <c r="X433">
        <v>65.540793646274807</v>
      </c>
      <c r="Y433">
        <v>-3.340793646274804</v>
      </c>
      <c r="Z433">
        <v>65.550747976376485</v>
      </c>
      <c r="AA433">
        <v>0.20436628259551243</v>
      </c>
      <c r="AB433">
        <v>64.7</v>
      </c>
      <c r="AC433">
        <v>-0.8357870519497973</v>
      </c>
      <c r="AD433">
        <v>-0.76697123053989136</v>
      </c>
      <c r="AE433">
        <v>-0.60679604916915098</v>
      </c>
      <c r="AF433">
        <v>2.9707785162758757E-3</v>
      </c>
      <c r="AG433">
        <v>-0.76811302601388065</v>
      </c>
      <c r="AH433">
        <v>-0.60755585195479644</v>
      </c>
      <c r="AI433">
        <v>1.3522883154793626E-4</v>
      </c>
    </row>
    <row r="434" spans="23:35" x14ac:dyDescent="0.25">
      <c r="W434">
        <v>432</v>
      </c>
      <c r="X434">
        <v>64.911388530596412</v>
      </c>
      <c r="Y434">
        <v>-3.1113885305964146</v>
      </c>
      <c r="Z434">
        <v>64.920654666490606</v>
      </c>
      <c r="AA434">
        <v>0.19345057610673136</v>
      </c>
      <c r="AB434">
        <v>64.7</v>
      </c>
      <c r="AC434">
        <v>-0.873012700415573</v>
      </c>
      <c r="AD434">
        <v>-0.71430496542645272</v>
      </c>
      <c r="AE434">
        <v>-0.6061132106771524</v>
      </c>
      <c r="AF434">
        <v>2.969292307055932E-3</v>
      </c>
      <c r="AG434">
        <v>-0.71536782308366975</v>
      </c>
      <c r="AH434">
        <v>-0.60730178401431034</v>
      </c>
      <c r="AI434">
        <v>1.1723569709834713E-4</v>
      </c>
    </row>
    <row r="435" spans="23:35" x14ac:dyDescent="0.25">
      <c r="W435">
        <v>433</v>
      </c>
      <c r="X435">
        <v>64.608939563447095</v>
      </c>
      <c r="Y435">
        <v>-3.3089395634470975</v>
      </c>
      <c r="Z435">
        <v>64.619460286644028</v>
      </c>
      <c r="AA435">
        <v>0.18253486961795026</v>
      </c>
      <c r="AB435">
        <v>64.8</v>
      </c>
      <c r="AC435">
        <v>-0.91148934236618206</v>
      </c>
      <c r="AD435">
        <v>-0.75965824814981531</v>
      </c>
      <c r="AE435">
        <v>-0.60511351338845698</v>
      </c>
      <c r="AF435">
        <v>3.1694077616380512E-3</v>
      </c>
      <c r="AG435">
        <v>-0.76086495068182958</v>
      </c>
      <c r="AH435">
        <v>-0.60559770488357156</v>
      </c>
      <c r="AI435">
        <v>1.4158869029525726E-4</v>
      </c>
    </row>
    <row r="436" spans="23:35" x14ac:dyDescent="0.25">
      <c r="W436">
        <v>434</v>
      </c>
      <c r="X436">
        <v>64.366224811709685</v>
      </c>
      <c r="Y436">
        <v>4.6337751882903149</v>
      </c>
      <c r="Z436">
        <v>64.352846468846892</v>
      </c>
      <c r="AA436">
        <v>0.42086112795633718</v>
      </c>
      <c r="AB436">
        <v>64.8</v>
      </c>
      <c r="AC436">
        <v>-0.21444491222324932</v>
      </c>
      <c r="AD436">
        <v>1.0638107690881007</v>
      </c>
      <c r="AE436">
        <v>-0.59918617723618672</v>
      </c>
      <c r="AF436">
        <v>2.8788252363754407E-3</v>
      </c>
      <c r="AG436">
        <v>1.0653453458622706</v>
      </c>
      <c r="AH436">
        <v>-0.60384695159776736</v>
      </c>
      <c r="AI436">
        <v>2.5206052455182767E-4</v>
      </c>
    </row>
    <row r="437" spans="23:35" x14ac:dyDescent="0.25">
      <c r="W437">
        <v>435</v>
      </c>
      <c r="X437">
        <v>64.121172291146308</v>
      </c>
      <c r="Y437">
        <v>-2.1211722911463085</v>
      </c>
      <c r="Z437">
        <v>64.127633351561244</v>
      </c>
      <c r="AA437">
        <v>0.19890842935112188</v>
      </c>
      <c r="AB437">
        <v>64.8</v>
      </c>
      <c r="AC437">
        <v>-0.85973834429501084</v>
      </c>
      <c r="AD437">
        <v>-0.48697354418812333</v>
      </c>
      <c r="AE437">
        <v>-0.59524635667633352</v>
      </c>
      <c r="AF437">
        <v>3.0367358220761108E-3</v>
      </c>
      <c r="AG437">
        <v>-0.48771463749737937</v>
      </c>
      <c r="AH437">
        <v>-0.59715127219782949</v>
      </c>
      <c r="AI437">
        <v>5.5733470137413337E-5</v>
      </c>
    </row>
    <row r="438" spans="23:35" x14ac:dyDescent="0.25">
      <c r="W438">
        <v>436</v>
      </c>
      <c r="X438">
        <v>62.064990383294131</v>
      </c>
      <c r="Y438">
        <v>-2.2649903832941334</v>
      </c>
      <c r="Z438">
        <v>62.086925643238388</v>
      </c>
      <c r="AA438">
        <v>0.17101273499090358</v>
      </c>
      <c r="AB438">
        <v>64.8</v>
      </c>
      <c r="AC438">
        <v>-0.95615619123390583</v>
      </c>
      <c r="AD438">
        <v>-0.51999094986701433</v>
      </c>
      <c r="AE438">
        <v>-0.5910597548238764</v>
      </c>
      <c r="AF438">
        <v>9.5915929794715849E-3</v>
      </c>
      <c r="AG438">
        <v>-0.52250280466837729</v>
      </c>
      <c r="AH438">
        <v>-0.59506996971079051</v>
      </c>
      <c r="AI438">
        <v>2.033809738843844E-4</v>
      </c>
    </row>
    <row r="439" spans="23:35" x14ac:dyDescent="0.25">
      <c r="W439">
        <v>437</v>
      </c>
      <c r="X439">
        <v>71.541556493822</v>
      </c>
      <c r="Y439">
        <v>2.0584435061779942</v>
      </c>
      <c r="Z439">
        <v>71.510096044310799</v>
      </c>
      <c r="AA439">
        <v>0.65433596118859916</v>
      </c>
      <c r="AB439">
        <v>64.900000000000006</v>
      </c>
      <c r="AC439">
        <v>0.3716850598056044</v>
      </c>
      <c r="AD439">
        <v>0.47257242322961479</v>
      </c>
      <c r="AE439">
        <v>-0.58990302420701268</v>
      </c>
      <c r="AF439">
        <v>1.5053538429627707E-2</v>
      </c>
      <c r="AG439">
        <v>0.47617003573550865</v>
      </c>
      <c r="AH439">
        <v>-0.59106626329719192</v>
      </c>
      <c r="AI439">
        <v>2.6656722107932054E-4</v>
      </c>
    </row>
    <row r="440" spans="23:35" x14ac:dyDescent="0.25">
      <c r="W440">
        <v>438</v>
      </c>
      <c r="X440">
        <v>72.896734039489104</v>
      </c>
      <c r="Y440">
        <v>0.50326596051090178</v>
      </c>
      <c r="Z440">
        <v>72.891795691369495</v>
      </c>
      <c r="AA440">
        <v>0.63735597331716187</v>
      </c>
      <c r="AB440">
        <v>64.900000000000006</v>
      </c>
      <c r="AC440">
        <v>0.33286538375086522</v>
      </c>
      <c r="AD440">
        <v>0.11553856774491011</v>
      </c>
      <c r="AE440">
        <v>-0.58836904281675295</v>
      </c>
      <c r="AF440">
        <v>9.7172496095361809E-3</v>
      </c>
      <c r="AG440">
        <v>0.1161040508550063</v>
      </c>
      <c r="AH440">
        <v>-0.58927460102337703</v>
      </c>
      <c r="AI440">
        <v>1.0175026223187015E-5</v>
      </c>
    </row>
    <row r="441" spans="23:35" x14ac:dyDescent="0.25">
      <c r="W441">
        <v>439</v>
      </c>
      <c r="X441">
        <v>72.946420783811959</v>
      </c>
      <c r="Y441">
        <v>-0.84642078381196484</v>
      </c>
      <c r="Z441">
        <v>72.947895575720622</v>
      </c>
      <c r="AA441">
        <v>0.5312310491206792</v>
      </c>
      <c r="AB441">
        <v>64.900000000000006</v>
      </c>
      <c r="AC441">
        <v>6.3887210036911155E-2</v>
      </c>
      <c r="AD441">
        <v>-0.19431921239394095</v>
      </c>
      <c r="AE441">
        <v>-0.5873895299094527</v>
      </c>
      <c r="AF441">
        <v>1.7393555891706289E-3</v>
      </c>
      <c r="AG441">
        <v>-0.19448842827498661</v>
      </c>
      <c r="AH441">
        <v>-0.58917029838731316</v>
      </c>
      <c r="AI441">
        <v>5.0697740993840027E-6</v>
      </c>
    </row>
    <row r="442" spans="23:35" x14ac:dyDescent="0.25">
      <c r="W442">
        <v>440</v>
      </c>
      <c r="X442">
        <v>73.004548256813194</v>
      </c>
      <c r="Y442">
        <v>9.5451743186799831E-2</v>
      </c>
      <c r="Z442">
        <v>73.003655543085301</v>
      </c>
      <c r="AA442">
        <v>0.61491813220133418</v>
      </c>
      <c r="AB442">
        <v>65</v>
      </c>
      <c r="AC442">
        <v>0.27870266916975811</v>
      </c>
      <c r="AD442">
        <v>2.1913577634700643E-2</v>
      </c>
      <c r="AE442">
        <v>-0.58569573327262359</v>
      </c>
      <c r="AF442">
        <v>9.2658545855058561E-3</v>
      </c>
      <c r="AG442">
        <v>2.2015812668977168E-2</v>
      </c>
      <c r="AH442">
        <v>-0.58821604449569276</v>
      </c>
      <c r="AI442">
        <v>3.4870200075910891E-7</v>
      </c>
    </row>
    <row r="443" spans="23:35" x14ac:dyDescent="0.25">
      <c r="W443">
        <v>441</v>
      </c>
      <c r="X443">
        <v>72.31804133575794</v>
      </c>
      <c r="Y443">
        <v>0.38195866424206315</v>
      </c>
      <c r="Z443">
        <v>72.317497788986628</v>
      </c>
      <c r="AA443">
        <v>0.57246816252274102</v>
      </c>
      <c r="AB443">
        <v>65</v>
      </c>
      <c r="AC443">
        <v>0.16337348484333708</v>
      </c>
      <c r="AD443">
        <v>8.7689135501011151E-2</v>
      </c>
      <c r="AE443">
        <v>-0.58558190481484229</v>
      </c>
      <c r="AF443">
        <v>1.4210290964698511E-3</v>
      </c>
      <c r="AG443">
        <v>8.7751506388518488E-2</v>
      </c>
      <c r="AH443">
        <v>-0.58710019200841568</v>
      </c>
      <c r="AI443">
        <v>8.42920009205781E-7</v>
      </c>
    </row>
    <row r="444" spans="23:35" x14ac:dyDescent="0.25">
      <c r="W444">
        <v>442</v>
      </c>
      <c r="X444">
        <v>72.299702260996298</v>
      </c>
      <c r="Y444">
        <v>1.3002977390036961</v>
      </c>
      <c r="Z444">
        <v>72.288008713823331</v>
      </c>
      <c r="AA444">
        <v>0.65433596118859916</v>
      </c>
      <c r="AB444">
        <v>65</v>
      </c>
      <c r="AC444">
        <v>0.3716850598056044</v>
      </c>
      <c r="AD444">
        <v>0.29851917315035176</v>
      </c>
      <c r="AE444">
        <v>-0.57680710303391269</v>
      </c>
      <c r="AF444">
        <v>8.9128238092545681E-3</v>
      </c>
      <c r="AG444">
        <v>0.29985845682612361</v>
      </c>
      <c r="AH444">
        <v>-0.57907982191003826</v>
      </c>
      <c r="AI444">
        <v>6.2200333829725413E-5</v>
      </c>
    </row>
    <row r="445" spans="23:35" x14ac:dyDescent="0.25">
      <c r="W445">
        <v>443</v>
      </c>
      <c r="X445">
        <v>71.072731634080583</v>
      </c>
      <c r="Y445">
        <v>2.2272683659194144</v>
      </c>
      <c r="Z445">
        <v>71.068662708431447</v>
      </c>
      <c r="AA445">
        <v>0.63007883565797451</v>
      </c>
      <c r="AB445">
        <v>65</v>
      </c>
      <c r="AC445">
        <v>0.3152427890443939</v>
      </c>
      <c r="AD445">
        <v>0.5113308214222072</v>
      </c>
      <c r="AE445">
        <v>-0.57510458291237865</v>
      </c>
      <c r="AF445">
        <v>1.8235367931638941E-3</v>
      </c>
      <c r="AG445">
        <v>0.51179767529640574</v>
      </c>
      <c r="AH445">
        <v>-0.57905614000661443</v>
      </c>
      <c r="AI445">
        <v>3.6809546831910542E-5</v>
      </c>
    </row>
    <row r="446" spans="23:35" x14ac:dyDescent="0.25">
      <c r="W446">
        <v>444</v>
      </c>
      <c r="X446">
        <v>68.213338083892793</v>
      </c>
      <c r="Y446">
        <v>4.6866619161072123</v>
      </c>
      <c r="Z446">
        <v>68.190623340495833</v>
      </c>
      <c r="AA446">
        <v>0.58762886597938147</v>
      </c>
      <c r="AB446">
        <v>65</v>
      </c>
      <c r="AC446">
        <v>0.206674078513852</v>
      </c>
      <c r="AD446">
        <v>1.0759523746488584</v>
      </c>
      <c r="AE446">
        <v>-0.57301443334339264</v>
      </c>
      <c r="AF446">
        <v>4.8233014768792257E-3</v>
      </c>
      <c r="AG446">
        <v>1.0785566205809156</v>
      </c>
      <c r="AH446">
        <v>-0.57671761728742821</v>
      </c>
      <c r="AI446">
        <v>4.336973365738534E-4</v>
      </c>
    </row>
    <row r="447" spans="23:35" x14ac:dyDescent="0.25">
      <c r="W447">
        <v>445</v>
      </c>
      <c r="X447">
        <v>70.933761513032763</v>
      </c>
      <c r="Y447">
        <v>1.3662384869672337</v>
      </c>
      <c r="Z447">
        <v>70.931785801017156</v>
      </c>
      <c r="AA447">
        <v>0.54578532443905392</v>
      </c>
      <c r="AB447">
        <v>65</v>
      </c>
      <c r="AC447">
        <v>9.896716322379942E-2</v>
      </c>
      <c r="AD447">
        <v>0.31365768871377464</v>
      </c>
      <c r="AE447">
        <v>-0.56989556182692669</v>
      </c>
      <c r="AF447">
        <v>1.4440078293825476E-3</v>
      </c>
      <c r="AG447">
        <v>0.31388439634816473</v>
      </c>
      <c r="AH447">
        <v>-0.57077400593777827</v>
      </c>
      <c r="AI447">
        <v>1.0959562739372277E-5</v>
      </c>
    </row>
    <row r="448" spans="23:35" x14ac:dyDescent="0.25">
      <c r="W448">
        <v>446</v>
      </c>
      <c r="X448">
        <v>70.422702077411358</v>
      </c>
      <c r="Y448">
        <v>-0.7227020774113555</v>
      </c>
      <c r="Z448">
        <v>70.423725081984614</v>
      </c>
      <c r="AA448">
        <v>0.45057610673135234</v>
      </c>
      <c r="AB448">
        <v>65</v>
      </c>
      <c r="AC448">
        <v>-0.12956927093944987</v>
      </c>
      <c r="AD448">
        <v>-0.16591617451260227</v>
      </c>
      <c r="AE448">
        <v>-0.56963416598205063</v>
      </c>
      <c r="AF448">
        <v>1.4135264877719184E-3</v>
      </c>
      <c r="AG448">
        <v>-0.16603356242918063</v>
      </c>
      <c r="AH448">
        <v>-0.57018959120993773</v>
      </c>
      <c r="AI448">
        <v>3.0016959019215852E-6</v>
      </c>
    </row>
    <row r="449" spans="23:35" x14ac:dyDescent="0.25">
      <c r="W449">
        <v>447</v>
      </c>
      <c r="X449">
        <v>69.482378733592014</v>
      </c>
      <c r="Y449">
        <v>-0.18237873359201728</v>
      </c>
      <c r="Z449">
        <v>69.482731525282702</v>
      </c>
      <c r="AA449">
        <v>0.4329896907216495</v>
      </c>
      <c r="AB449">
        <v>65</v>
      </c>
      <c r="AC449">
        <v>-0.17879863688351211</v>
      </c>
      <c r="AD449">
        <v>-4.1870063385492463E-2</v>
      </c>
      <c r="AE449">
        <v>-0.56907414205492246</v>
      </c>
      <c r="AF449">
        <v>1.9306558632675801E-3</v>
      </c>
      <c r="AG449">
        <v>-4.1910540346928753E-2</v>
      </c>
      <c r="AH449">
        <v>-0.56947288181284483</v>
      </c>
      <c r="AI449">
        <v>2.6136493392573243E-7</v>
      </c>
    </row>
    <row r="450" spans="23:35" x14ac:dyDescent="0.25">
      <c r="W450">
        <v>448</v>
      </c>
      <c r="X450">
        <v>69.419248745745904</v>
      </c>
      <c r="Y450">
        <v>3.5807512542540962</v>
      </c>
      <c r="Z450">
        <v>69.41309979952598</v>
      </c>
      <c r="AA450">
        <v>0.60946027895694366</v>
      </c>
      <c r="AB450">
        <v>65</v>
      </c>
      <c r="AC450">
        <v>0.22222871718700732</v>
      </c>
      <c r="AD450">
        <v>0.8220601110142971</v>
      </c>
      <c r="AE450">
        <v>-0.56640505553088183</v>
      </c>
      <c r="AF450">
        <v>1.7142785904954642E-3</v>
      </c>
      <c r="AG450">
        <v>0.82276563827090321</v>
      </c>
      <c r="AH450">
        <v>-0.56692267813208608</v>
      </c>
      <c r="AI450">
        <v>8.9420167886152349E-5</v>
      </c>
    </row>
    <row r="451" spans="23:35" x14ac:dyDescent="0.25">
      <c r="W451">
        <v>449</v>
      </c>
      <c r="X451">
        <v>69.3816935684914</v>
      </c>
      <c r="Y451">
        <v>2.0183064315086057</v>
      </c>
      <c r="Z451">
        <v>69.378257767788853</v>
      </c>
      <c r="AA451">
        <v>0.4887810794420861</v>
      </c>
      <c r="AB451">
        <v>65</v>
      </c>
      <c r="AC451">
        <v>-4.7140240828996732E-2</v>
      </c>
      <c r="AD451">
        <v>0.46335785184063405</v>
      </c>
      <c r="AE451">
        <v>-0.56328622939153405</v>
      </c>
      <c r="AF451">
        <v>1.6994256972066935E-3</v>
      </c>
      <c r="AG451">
        <v>0.46375207549742292</v>
      </c>
      <c r="AH451">
        <v>-0.56379832820425468</v>
      </c>
      <c r="AI451">
        <v>2.8162372613598629E-5</v>
      </c>
    </row>
    <row r="452" spans="23:35" x14ac:dyDescent="0.25">
      <c r="W452">
        <v>450</v>
      </c>
      <c r="X452">
        <v>69.084692824122115</v>
      </c>
      <c r="Y452">
        <v>2.1153071758778879</v>
      </c>
      <c r="Z452">
        <v>69.081877146673961</v>
      </c>
      <c r="AA452">
        <v>0.47907822922983628</v>
      </c>
      <c r="AB452">
        <v>65</v>
      </c>
      <c r="AC452">
        <v>-6.3887210036911155E-2</v>
      </c>
      <c r="AD452">
        <v>0.48562704537647278</v>
      </c>
      <c r="AE452">
        <v>-0.56155438939852864</v>
      </c>
      <c r="AF452">
        <v>1.3293267875070008E-3</v>
      </c>
      <c r="AG452">
        <v>0.48595014606205683</v>
      </c>
      <c r="AH452">
        <v>-0.56305413796023751</v>
      </c>
      <c r="AI452">
        <v>2.4179623902663094E-5</v>
      </c>
    </row>
    <row r="453" spans="23:35" x14ac:dyDescent="0.25">
      <c r="W453">
        <v>451</v>
      </c>
      <c r="X453">
        <v>68.823405243366452</v>
      </c>
      <c r="Y453">
        <v>3.1765947566335484</v>
      </c>
      <c r="Z453">
        <v>68.818571030674605</v>
      </c>
      <c r="AA453">
        <v>0.52516676773802307</v>
      </c>
      <c r="AB453">
        <v>65.099999999999994</v>
      </c>
      <c r="AC453">
        <v>4.1053957112594373E-2</v>
      </c>
      <c r="AD453">
        <v>0.72927485124335389</v>
      </c>
      <c r="AE453">
        <v>-0.56132629039883108</v>
      </c>
      <c r="AF453">
        <v>1.5195098612785457E-3</v>
      </c>
      <c r="AG453">
        <v>0.72982955364431168</v>
      </c>
      <c r="AH453">
        <v>-0.56200127912552611</v>
      </c>
      <c r="AI453">
        <v>6.2353879383795523E-5</v>
      </c>
    </row>
    <row r="454" spans="23:35" x14ac:dyDescent="0.25">
      <c r="W454">
        <v>452</v>
      </c>
      <c r="X454">
        <v>74.582837297147847</v>
      </c>
      <c r="Y454">
        <v>1.4171627028521527</v>
      </c>
      <c r="Z454">
        <v>74.579166815895505</v>
      </c>
      <c r="AA454">
        <v>0.80836870830806551</v>
      </c>
      <c r="AB454">
        <v>65.099999999999994</v>
      </c>
      <c r="AC454">
        <v>0.83794453378675593</v>
      </c>
      <c r="AD454">
        <v>0.32534874558736721</v>
      </c>
      <c r="AE454">
        <v>-0.55818460180638385</v>
      </c>
      <c r="AF454">
        <v>2.5833301849966174E-3</v>
      </c>
      <c r="AG454">
        <v>0.32576980317887005</v>
      </c>
      <c r="AH454">
        <v>-0.56196507620834335</v>
      </c>
      <c r="AI454">
        <v>2.1143729536760965E-5</v>
      </c>
    </row>
    <row r="455" spans="23:35" x14ac:dyDescent="0.25">
      <c r="W455">
        <v>453</v>
      </c>
      <c r="X455">
        <v>73.548588897512886</v>
      </c>
      <c r="Y455">
        <v>2.4514111024871141</v>
      </c>
      <c r="Z455">
        <v>73.544086873795962</v>
      </c>
      <c r="AA455">
        <v>0.80836870830806551</v>
      </c>
      <c r="AB455">
        <v>65.099999999999994</v>
      </c>
      <c r="AC455">
        <v>0.83794453378675593</v>
      </c>
      <c r="AD455">
        <v>0.56278896241621901</v>
      </c>
      <c r="AE455">
        <v>-0.55790686853105631</v>
      </c>
      <c r="AF455">
        <v>1.8331363878002914E-3</v>
      </c>
      <c r="AG455">
        <v>0.56330550716035899</v>
      </c>
      <c r="AH455">
        <v>-0.55948274150594601</v>
      </c>
      <c r="AI455">
        <v>4.4826648719757201E-5</v>
      </c>
    </row>
    <row r="456" spans="23:35" x14ac:dyDescent="0.25">
      <c r="W456">
        <v>454</v>
      </c>
      <c r="X456">
        <v>73.136297226756128</v>
      </c>
      <c r="Y456">
        <v>2.3637027732438725</v>
      </c>
      <c r="Z456">
        <v>73.132458737549101</v>
      </c>
      <c r="AA456">
        <v>0.78411158277744086</v>
      </c>
      <c r="AB456">
        <v>65.099999999999994</v>
      </c>
      <c r="AC456">
        <v>0.77276680816182786</v>
      </c>
      <c r="AD456">
        <v>0.5426530988068945</v>
      </c>
      <c r="AE456">
        <v>-0.55500794714076152</v>
      </c>
      <c r="AF456">
        <v>1.6212977015055974E-3</v>
      </c>
      <c r="AG456">
        <v>0.54309353554952589</v>
      </c>
      <c r="AH456">
        <v>-0.55652632842561611</v>
      </c>
      <c r="AI456">
        <v>3.6844559920218888E-5</v>
      </c>
    </row>
    <row r="457" spans="23:35" x14ac:dyDescent="0.25">
      <c r="W457">
        <v>455</v>
      </c>
      <c r="X457">
        <v>73.359746425617075</v>
      </c>
      <c r="Y457">
        <v>1.9402535743829219</v>
      </c>
      <c r="Z457">
        <v>73.357147920652096</v>
      </c>
      <c r="AA457">
        <v>0.77258944815039421</v>
      </c>
      <c r="AB457">
        <v>65.099999999999994</v>
      </c>
      <c r="AC457">
        <v>0.72844171022016913</v>
      </c>
      <c r="AD457">
        <v>0.44543866789355235</v>
      </c>
      <c r="AE457">
        <v>-0.55484986880397502</v>
      </c>
      <c r="AF457">
        <v>1.3374692765373746E-3</v>
      </c>
      <c r="AG457">
        <v>0.44573684729770024</v>
      </c>
      <c r="AH457">
        <v>-0.55596898353222457</v>
      </c>
      <c r="AI457">
        <v>2.0468158926857105E-5</v>
      </c>
    </row>
    <row r="458" spans="23:35" x14ac:dyDescent="0.25">
      <c r="W458">
        <v>456</v>
      </c>
      <c r="X458">
        <v>70.761800180778934</v>
      </c>
      <c r="Y458">
        <v>4.2381998192210659</v>
      </c>
      <c r="Z458">
        <v>70.701655677513813</v>
      </c>
      <c r="AA458">
        <v>0.76046088538508183</v>
      </c>
      <c r="AB458">
        <v>65.099999999999994</v>
      </c>
      <c r="AC458">
        <v>0.67020216077934069</v>
      </c>
      <c r="AD458">
        <v>0.97299554381232889</v>
      </c>
      <c r="AE458">
        <v>-0.5547619555400225</v>
      </c>
      <c r="AF458">
        <v>1.3992481465592255E-2</v>
      </c>
      <c r="AG458">
        <v>0.97987513657817282</v>
      </c>
      <c r="AH458">
        <v>-0.55596710355359336</v>
      </c>
      <c r="AI458">
        <v>1.048123932034416E-3</v>
      </c>
    </row>
    <row r="459" spans="23:35" x14ac:dyDescent="0.25">
      <c r="W459">
        <v>457</v>
      </c>
      <c r="X459">
        <v>70.189371240003851</v>
      </c>
      <c r="Y459">
        <v>4.9106287599961433</v>
      </c>
      <c r="Z459">
        <v>70.159481289778142</v>
      </c>
      <c r="AA459">
        <v>0.76288659793814428</v>
      </c>
      <c r="AB459">
        <v>65.099999999999994</v>
      </c>
      <c r="AC459">
        <v>0.70876261491573156</v>
      </c>
      <c r="AD459">
        <v>1.1273701346320799</v>
      </c>
      <c r="AE459">
        <v>-0.5485568635596082</v>
      </c>
      <c r="AF459">
        <v>6.0499619531568655E-3</v>
      </c>
      <c r="AG459">
        <v>1.1307959602898803</v>
      </c>
      <c r="AH459">
        <v>-0.54953146166406652</v>
      </c>
      <c r="AI459">
        <v>5.9870547980151747E-4</v>
      </c>
    </row>
    <row r="460" spans="23:35" x14ac:dyDescent="0.25">
      <c r="W460">
        <v>458</v>
      </c>
      <c r="X460">
        <v>73.231914600775866</v>
      </c>
      <c r="Y460">
        <v>1.3680853992241282</v>
      </c>
      <c r="Z460">
        <v>73.229865891746599</v>
      </c>
      <c r="AA460">
        <v>0.73013947847180105</v>
      </c>
      <c r="AB460">
        <v>65.2</v>
      </c>
      <c r="AC460">
        <v>0.59589828697336056</v>
      </c>
      <c r="AD460">
        <v>0.31408169831040122</v>
      </c>
      <c r="AE460">
        <v>-0.54785041766358378</v>
      </c>
      <c r="AF460">
        <v>1.4952616805317986E-3</v>
      </c>
      <c r="AG460">
        <v>0.31431677913781025</v>
      </c>
      <c r="AH460">
        <v>-0.54850234929095831</v>
      </c>
      <c r="AI460">
        <v>1.1380434729582271E-5</v>
      </c>
    </row>
    <row r="461" spans="23:35" x14ac:dyDescent="0.25">
      <c r="W461">
        <v>459</v>
      </c>
      <c r="X461">
        <v>72.737185475857984</v>
      </c>
      <c r="Y461">
        <v>1.9628145241420185</v>
      </c>
      <c r="Z461">
        <v>72.733907225370658</v>
      </c>
      <c r="AA461">
        <v>0.7362037598544573</v>
      </c>
      <c r="AB461">
        <v>65.2</v>
      </c>
      <c r="AC461">
        <v>0.61415241452626612</v>
      </c>
      <c r="AD461">
        <v>0.45061815553361589</v>
      </c>
      <c r="AE461">
        <v>-0.54612951415755973</v>
      </c>
      <c r="AF461">
        <v>1.6673935887590733E-3</v>
      </c>
      <c r="AG461">
        <v>0.45099430490257342</v>
      </c>
      <c r="AH461">
        <v>-0.54823365144685632</v>
      </c>
      <c r="AI461">
        <v>2.6131337227026053E-5</v>
      </c>
    </row>
    <row r="462" spans="23:35" x14ac:dyDescent="0.25">
      <c r="W462">
        <v>460</v>
      </c>
      <c r="X462">
        <v>72.470413419847176</v>
      </c>
      <c r="Y462">
        <v>1.9295865801528294</v>
      </c>
      <c r="Z462">
        <v>72.467140993494709</v>
      </c>
      <c r="AA462">
        <v>0.71376591873862949</v>
      </c>
      <c r="AB462">
        <v>65.2</v>
      </c>
      <c r="AC462">
        <v>0.54051528578164909</v>
      </c>
      <c r="AD462">
        <v>0.44298976545986313</v>
      </c>
      <c r="AE462">
        <v>-0.54385588832629772</v>
      </c>
      <c r="AF462">
        <v>1.6930496955335956E-3</v>
      </c>
      <c r="AG462">
        <v>0.44336524414901596</v>
      </c>
      <c r="AH462">
        <v>-0.54697750029257242</v>
      </c>
      <c r="AI462">
        <v>2.5643987093155225E-5</v>
      </c>
    </row>
    <row r="463" spans="23:35" x14ac:dyDescent="0.25">
      <c r="W463">
        <v>461</v>
      </c>
      <c r="X463">
        <v>72.175116083458079</v>
      </c>
      <c r="Y463">
        <v>2.0248839165419241</v>
      </c>
      <c r="Z463">
        <v>72.171949677436345</v>
      </c>
      <c r="AA463">
        <v>0.7010309278350515</v>
      </c>
      <c r="AB463">
        <v>65.2</v>
      </c>
      <c r="AC463">
        <v>0.5039283835636299</v>
      </c>
      <c r="AD463">
        <v>0.46486789475977314</v>
      </c>
      <c r="AE463">
        <v>-0.54132808817936662</v>
      </c>
      <c r="AF463">
        <v>1.5613054501197432E-3</v>
      </c>
      <c r="AG463">
        <v>0.46523122065102845</v>
      </c>
      <c r="AH463">
        <v>-0.54194007947108713</v>
      </c>
      <c r="AI463">
        <v>2.6035194280143369E-5</v>
      </c>
    </row>
    <row r="464" spans="23:35" x14ac:dyDescent="0.25">
      <c r="W464">
        <v>462</v>
      </c>
      <c r="X464">
        <v>70.048798968565364</v>
      </c>
      <c r="Y464">
        <v>4.3512010314346412</v>
      </c>
      <c r="Z464">
        <v>69.988104170123563</v>
      </c>
      <c r="AA464">
        <v>0.71376591873862949</v>
      </c>
      <c r="AB464">
        <v>65.2</v>
      </c>
      <c r="AC464">
        <v>0.54051528578164909</v>
      </c>
      <c r="AD464">
        <v>0.99893808560343489</v>
      </c>
      <c r="AE464">
        <v>-0.54119564001884368</v>
      </c>
      <c r="AF464">
        <v>1.3757078766635679E-2</v>
      </c>
      <c r="AG464">
        <v>1.0058810393328124</v>
      </c>
      <c r="AH464">
        <v>-0.54182684382779744</v>
      </c>
      <c r="AI464">
        <v>1.0856559482554356E-3</v>
      </c>
    </row>
    <row r="465" spans="23:35" x14ac:dyDescent="0.25">
      <c r="W465">
        <v>463</v>
      </c>
      <c r="X465">
        <v>72.104193863815794</v>
      </c>
      <c r="Y465">
        <v>2.2958061361842113</v>
      </c>
      <c r="Z465">
        <v>72.100325988627219</v>
      </c>
      <c r="AA465">
        <v>0.71376591873862949</v>
      </c>
      <c r="AB465">
        <v>65.2</v>
      </c>
      <c r="AC465">
        <v>0.54051528578164909</v>
      </c>
      <c r="AD465">
        <v>0.52706555501075636</v>
      </c>
      <c r="AE465">
        <v>-0.54048024159307251</v>
      </c>
      <c r="AF465">
        <v>1.6819232506174939E-3</v>
      </c>
      <c r="AG465">
        <v>0.52750935682551758</v>
      </c>
      <c r="AH465">
        <v>-0.54101005466641394</v>
      </c>
      <c r="AI465">
        <v>3.6062366415215899E-5</v>
      </c>
    </row>
    <row r="466" spans="23:35" x14ac:dyDescent="0.25">
      <c r="W466">
        <v>464</v>
      </c>
      <c r="X466">
        <v>71.732062365907069</v>
      </c>
      <c r="Y466">
        <v>1.8679376340929252</v>
      </c>
      <c r="Z466">
        <v>71.728993950061351</v>
      </c>
      <c r="AA466">
        <v>0.65433596118859916</v>
      </c>
      <c r="AB466">
        <v>65.3</v>
      </c>
      <c r="AC466">
        <v>0.3716850598056044</v>
      </c>
      <c r="AD466">
        <v>0.42883655127563008</v>
      </c>
      <c r="AE466">
        <v>-0.54009096831182235</v>
      </c>
      <c r="AF466">
        <v>1.6399817872426066E-3</v>
      </c>
      <c r="AG466">
        <v>0.42918862644941375</v>
      </c>
      <c r="AH466">
        <v>-0.54041738776454007</v>
      </c>
      <c r="AI466">
        <v>2.3275815263753093E-5</v>
      </c>
    </row>
    <row r="467" spans="23:35" x14ac:dyDescent="0.25">
      <c r="W467">
        <v>465</v>
      </c>
      <c r="X467">
        <v>69.398645896747169</v>
      </c>
      <c r="Y467">
        <v>4.0013541032528366</v>
      </c>
      <c r="Z467">
        <v>69.342747355887283</v>
      </c>
      <c r="AA467">
        <v>0.63735597331716187</v>
      </c>
      <c r="AB467">
        <v>65.3</v>
      </c>
      <c r="AC467">
        <v>0.33286538375086522</v>
      </c>
      <c r="AD467">
        <v>0.91862108389116315</v>
      </c>
      <c r="AE467">
        <v>-0.53606755179548682</v>
      </c>
      <c r="AF467">
        <v>1.3777436547116498E-2</v>
      </c>
      <c r="AG467">
        <v>0.92501535461890172</v>
      </c>
      <c r="AH467">
        <v>-0.53963754239065886</v>
      </c>
      <c r="AI467">
        <v>9.1949212996515913E-4</v>
      </c>
    </row>
    <row r="468" spans="23:35" x14ac:dyDescent="0.25">
      <c r="W468">
        <v>466</v>
      </c>
      <c r="X468">
        <v>71.325002116845397</v>
      </c>
      <c r="Y468">
        <v>1.4749978831546002</v>
      </c>
      <c r="Z468">
        <v>71.317213384137546</v>
      </c>
      <c r="AA468">
        <v>0.58156458459672533</v>
      </c>
      <c r="AB468">
        <v>65.3</v>
      </c>
      <c r="AC468">
        <v>0.18343432307636306</v>
      </c>
      <c r="AD468">
        <v>0.33862640476111672</v>
      </c>
      <c r="AE468">
        <v>-0.53570403108534725</v>
      </c>
      <c r="AF468">
        <v>5.2527670701413105E-3</v>
      </c>
      <c r="AG468">
        <v>0.33951928669454229</v>
      </c>
      <c r="AH468">
        <v>-0.53874584000706516</v>
      </c>
      <c r="AI468">
        <v>4.6823184831954913E-5</v>
      </c>
    </row>
    <row r="469" spans="23:35" x14ac:dyDescent="0.25">
      <c r="W469">
        <v>467</v>
      </c>
      <c r="X469">
        <v>73.217261141402204</v>
      </c>
      <c r="Y469">
        <v>8.2738858597792841E-2</v>
      </c>
      <c r="Z469">
        <v>73.217102689964648</v>
      </c>
      <c r="AA469">
        <v>0.63007883565797451</v>
      </c>
      <c r="AB469">
        <v>65.3</v>
      </c>
      <c r="AC469">
        <v>0.3152427890443939</v>
      </c>
      <c r="AD469">
        <v>1.8994984698613545E-2</v>
      </c>
      <c r="AE469">
        <v>-0.53488803655804207</v>
      </c>
      <c r="AF469">
        <v>1.9114183257124924E-3</v>
      </c>
      <c r="AG469">
        <v>1.9013164445519596E-2</v>
      </c>
      <c r="AH469">
        <v>-0.53697240178837713</v>
      </c>
      <c r="AI469">
        <v>5.3253985398049872E-8</v>
      </c>
    </row>
    <row r="470" spans="23:35" x14ac:dyDescent="0.25">
      <c r="W470">
        <v>468</v>
      </c>
      <c r="X470">
        <v>73.103883096766339</v>
      </c>
      <c r="Y470">
        <v>-0.10388309676633867</v>
      </c>
      <c r="Z470">
        <v>73.104081579225593</v>
      </c>
      <c r="AA470">
        <v>0.60946027895694366</v>
      </c>
      <c r="AB470">
        <v>65.3</v>
      </c>
      <c r="AC470">
        <v>0.22222871718700732</v>
      </c>
      <c r="AD470">
        <v>-2.3849227158347964E-2</v>
      </c>
      <c r="AE470">
        <v>-0.53475344336859298</v>
      </c>
      <c r="AF470">
        <v>1.906989312930069E-3</v>
      </c>
      <c r="AG470">
        <v>-2.3871999844637205E-2</v>
      </c>
      <c r="AH470">
        <v>-0.53652080380462353</v>
      </c>
      <c r="AI470">
        <v>8.3755145696717138E-8</v>
      </c>
    </row>
    <row r="471" spans="23:35" x14ac:dyDescent="0.25">
      <c r="W471">
        <v>469</v>
      </c>
      <c r="X471">
        <v>72.876665443710436</v>
      </c>
      <c r="Y471">
        <v>0.12333455628956358</v>
      </c>
      <c r="Z471">
        <v>72.876439343502724</v>
      </c>
      <c r="AA471">
        <v>0.60946027895694366</v>
      </c>
      <c r="AB471">
        <v>65.400000000000006</v>
      </c>
      <c r="AC471">
        <v>0.22222871718700732</v>
      </c>
      <c r="AD471">
        <v>2.8314845638842862E-2</v>
      </c>
      <c r="AE471">
        <v>-0.53412120121657292</v>
      </c>
      <c r="AF471">
        <v>1.8298721787466878E-3</v>
      </c>
      <c r="AG471">
        <v>2.8340787521163428E-2</v>
      </c>
      <c r="AH471">
        <v>-0.53620577046584383</v>
      </c>
      <c r="AI471">
        <v>1.1326524308900262E-7</v>
      </c>
    </row>
    <row r="472" spans="23:35" x14ac:dyDescent="0.25">
      <c r="W472">
        <v>470</v>
      </c>
      <c r="X472">
        <v>70.676664766799277</v>
      </c>
      <c r="Y472">
        <v>1.3233352332007229</v>
      </c>
      <c r="Z472">
        <v>70.657660287422061</v>
      </c>
      <c r="AA472">
        <v>0.52516676773802307</v>
      </c>
      <c r="AB472">
        <v>65.400000000000006</v>
      </c>
      <c r="AC472">
        <v>4.1053957112594373E-2</v>
      </c>
      <c r="AD472">
        <v>0.30380806469639249</v>
      </c>
      <c r="AE472">
        <v>-0.53329052641478369</v>
      </c>
      <c r="AF472">
        <v>1.4157727138031899E-2</v>
      </c>
      <c r="AG472">
        <v>0.30598178921246683</v>
      </c>
      <c r="AH472">
        <v>-0.53384373205706226</v>
      </c>
      <c r="AI472">
        <v>1.0342699541791587E-4</v>
      </c>
    </row>
    <row r="473" spans="23:35" x14ac:dyDescent="0.25">
      <c r="W473">
        <v>471</v>
      </c>
      <c r="X473">
        <v>72.471154538659206</v>
      </c>
      <c r="Y473">
        <v>-0.47115453865920642</v>
      </c>
      <c r="Z473">
        <v>72.471985135721894</v>
      </c>
      <c r="AA473">
        <v>0.52516676773802307</v>
      </c>
      <c r="AB473">
        <v>65.400000000000006</v>
      </c>
      <c r="AC473">
        <v>4.1053957112594373E-2</v>
      </c>
      <c r="AD473">
        <v>-0.1081665060914037</v>
      </c>
      <c r="AE473">
        <v>-0.53178411985915597</v>
      </c>
      <c r="AF473">
        <v>1.7597949592598953E-3</v>
      </c>
      <c r="AG473">
        <v>-0.10826180732893424</v>
      </c>
      <c r="AH473">
        <v>-0.532316178101646</v>
      </c>
      <c r="AI473">
        <v>1.5894036480361138E-6</v>
      </c>
    </row>
    <row r="474" spans="23:35" x14ac:dyDescent="0.25">
      <c r="W474">
        <v>472</v>
      </c>
      <c r="X474">
        <v>72.47954177450309</v>
      </c>
      <c r="Y474">
        <v>-1.0795417745030846</v>
      </c>
      <c r="Z474">
        <v>72.481379941647319</v>
      </c>
      <c r="AA474">
        <v>0.4887810794420861</v>
      </c>
      <c r="AB474">
        <v>65.400000000000006</v>
      </c>
      <c r="AC474">
        <v>-4.7140240828996732E-2</v>
      </c>
      <c r="AD474">
        <v>-0.2478385590002232</v>
      </c>
      <c r="AE474">
        <v>-0.53096136953108397</v>
      </c>
      <c r="AF474">
        <v>1.699834695875099E-3</v>
      </c>
      <c r="AG474">
        <v>-0.24804947021477633</v>
      </c>
      <c r="AH474">
        <v>-0.53146381163797329</v>
      </c>
      <c r="AI474">
        <v>8.0589563184939358E-6</v>
      </c>
    </row>
    <row r="475" spans="23:35" x14ac:dyDescent="0.25">
      <c r="W475">
        <v>473</v>
      </c>
      <c r="X475">
        <v>72.249420717302627</v>
      </c>
      <c r="Y475">
        <v>-0.54942071730262398</v>
      </c>
      <c r="Z475">
        <v>72.250492444392933</v>
      </c>
      <c r="AA475">
        <v>0.50394178289872649</v>
      </c>
      <c r="AB475">
        <v>65.400000000000006</v>
      </c>
      <c r="AC475">
        <v>-4.5602855597810616E-3</v>
      </c>
      <c r="AD475">
        <v>-0.12613466387053857</v>
      </c>
      <c r="AE475">
        <v>-0.53086174689941845</v>
      </c>
      <c r="AF475">
        <v>1.9468515893852685E-3</v>
      </c>
      <c r="AG475">
        <v>-0.12625762617713343</v>
      </c>
      <c r="AH475">
        <v>-0.53139508063592644</v>
      </c>
      <c r="AI475">
        <v>2.3919443106612565E-6</v>
      </c>
    </row>
    <row r="476" spans="23:35" x14ac:dyDescent="0.25">
      <c r="W476">
        <v>474</v>
      </c>
      <c r="X476">
        <v>69.179985621276757</v>
      </c>
      <c r="Y476">
        <v>2.0200143787232463</v>
      </c>
      <c r="Z476">
        <v>69.16803358945036</v>
      </c>
      <c r="AA476">
        <v>0.47907822922983628</v>
      </c>
      <c r="AB476">
        <v>65.5</v>
      </c>
      <c r="AC476">
        <v>-6.3887210036911155E-2</v>
      </c>
      <c r="AD476">
        <v>0.46374995818290121</v>
      </c>
      <c r="AE476">
        <v>-0.52883008846516011</v>
      </c>
      <c r="AF476">
        <v>5.8820026572963639E-3</v>
      </c>
      <c r="AG476">
        <v>0.46511989387115177</v>
      </c>
      <c r="AH476">
        <v>-0.52987171607951089</v>
      </c>
      <c r="AI476">
        <v>9.8463157482332983E-5</v>
      </c>
    </row>
    <row r="477" spans="23:35" x14ac:dyDescent="0.25">
      <c r="W477">
        <v>475</v>
      </c>
      <c r="X477">
        <v>69.007795149193882</v>
      </c>
      <c r="Y477">
        <v>5.9922048508061181</v>
      </c>
      <c r="Z477">
        <v>68.97213977699235</v>
      </c>
      <c r="AA477">
        <v>0.76046088538508183</v>
      </c>
      <c r="AB477">
        <v>65.5</v>
      </c>
      <c r="AC477">
        <v>0.67020216077934069</v>
      </c>
      <c r="AD477">
        <v>1.3756757269921585</v>
      </c>
      <c r="AE477">
        <v>-0.52631274120763982</v>
      </c>
      <c r="AF477">
        <v>5.9150960510722557E-3</v>
      </c>
      <c r="AG477">
        <v>1.3797624931966379</v>
      </c>
      <c r="AH477">
        <v>-0.52695908207523467</v>
      </c>
      <c r="AI477">
        <v>8.7137208007282395E-4</v>
      </c>
    </row>
    <row r="478" spans="23:35" x14ac:dyDescent="0.25">
      <c r="W478">
        <v>476</v>
      </c>
      <c r="X478">
        <v>71.886679083153268</v>
      </c>
      <c r="Y478">
        <v>-0.88667908315326827</v>
      </c>
      <c r="Z478">
        <v>71.888071743042914</v>
      </c>
      <c r="AA478">
        <v>0.46937537901758641</v>
      </c>
      <c r="AB478">
        <v>65.5</v>
      </c>
      <c r="AC478">
        <v>-9.743972564826138E-2</v>
      </c>
      <c r="AD478">
        <v>-0.20356161424646857</v>
      </c>
      <c r="AE478">
        <v>-0.52516902681338673</v>
      </c>
      <c r="AF478">
        <v>1.5681839902621821E-3</v>
      </c>
      <c r="AG478">
        <v>-0.20372141324897364</v>
      </c>
      <c r="AH478">
        <v>-0.52600691724107973</v>
      </c>
      <c r="AI478">
        <v>5.0142803550223773E-6</v>
      </c>
    </row>
    <row r="479" spans="23:35" x14ac:dyDescent="0.25">
      <c r="W479">
        <v>477</v>
      </c>
      <c r="X479">
        <v>68.177394062274502</v>
      </c>
      <c r="Y479">
        <v>1.8226059377254984</v>
      </c>
      <c r="Z479">
        <v>68.154700626166559</v>
      </c>
      <c r="AA479">
        <v>0.46088538508186777</v>
      </c>
      <c r="AB479">
        <v>65.5</v>
      </c>
      <c r="AC479">
        <v>-0.10660788786182936</v>
      </c>
      <c r="AD479">
        <v>0.41842941134821954</v>
      </c>
      <c r="AE479">
        <v>-0.52459056859901609</v>
      </c>
      <c r="AF479">
        <v>1.2297969874015255E-2</v>
      </c>
      <c r="AG479">
        <v>0.42102630458111256</v>
      </c>
      <c r="AH479">
        <v>-0.52579391822272792</v>
      </c>
      <c r="AI479">
        <v>1.6977845867856856E-4</v>
      </c>
    </row>
    <row r="480" spans="23:35" x14ac:dyDescent="0.25">
      <c r="W480">
        <v>478</v>
      </c>
      <c r="X480">
        <v>71.599706627520447</v>
      </c>
      <c r="Y480">
        <v>-1.6997066275204418</v>
      </c>
      <c r="Z480">
        <v>71.602635464295616</v>
      </c>
      <c r="AA480">
        <v>0.45724681625227409</v>
      </c>
      <c r="AB480">
        <v>65.5</v>
      </c>
      <c r="AC480">
        <v>-0.11731546960548965</v>
      </c>
      <c r="AD480">
        <v>-0.39021448844043016</v>
      </c>
      <c r="AE480">
        <v>-0.5214603520065203</v>
      </c>
      <c r="AF480">
        <v>1.7201784155120351E-3</v>
      </c>
      <c r="AG480">
        <v>-0.39055054132604067</v>
      </c>
      <c r="AH480">
        <v>-0.52521740623229418</v>
      </c>
      <c r="AI480">
        <v>2.0217727424230046E-5</v>
      </c>
    </row>
    <row r="481" spans="23:35" x14ac:dyDescent="0.25">
      <c r="W481">
        <v>479</v>
      </c>
      <c r="X481">
        <v>70.628820437267166</v>
      </c>
      <c r="Y481">
        <v>2.3711795627328343</v>
      </c>
      <c r="Z481">
        <v>70.624492776475279</v>
      </c>
      <c r="AA481">
        <v>0.60946027895694366</v>
      </c>
      <c r="AB481">
        <v>65.599999999999994</v>
      </c>
      <c r="AC481">
        <v>0.22222871718700732</v>
      </c>
      <c r="AD481">
        <v>0.54436960184240257</v>
      </c>
      <c r="AE481">
        <v>-0.51999094986701433</v>
      </c>
      <c r="AF481">
        <v>1.8217838906290995E-3</v>
      </c>
      <c r="AG481">
        <v>0.54486614227310504</v>
      </c>
      <c r="AH481">
        <v>-0.52250280466837729</v>
      </c>
      <c r="AI481">
        <v>4.167974576012945E-5</v>
      </c>
    </row>
    <row r="482" spans="23:35" x14ac:dyDescent="0.25">
      <c r="W482">
        <v>480</v>
      </c>
      <c r="X482">
        <v>71.345039956885174</v>
      </c>
      <c r="Y482">
        <v>-2.445039956885168</v>
      </c>
      <c r="Z482">
        <v>71.350608003657726</v>
      </c>
      <c r="AA482">
        <v>0.41479684657368104</v>
      </c>
      <c r="AB482">
        <v>65.599999999999994</v>
      </c>
      <c r="AC482">
        <v>-0.22378708008709278</v>
      </c>
      <c r="AD482">
        <v>-0.56132629039883108</v>
      </c>
      <c r="AE482">
        <v>-0.51978358552292891</v>
      </c>
      <c r="AF482">
        <v>2.2721082948570794E-3</v>
      </c>
      <c r="AG482">
        <v>-0.56196507620834335</v>
      </c>
      <c r="AH482">
        <v>-0.52023128194115287</v>
      </c>
      <c r="AI482">
        <v>5.532127939444048E-5</v>
      </c>
    </row>
    <row r="483" spans="23:35" x14ac:dyDescent="0.25">
      <c r="W483">
        <v>481</v>
      </c>
      <c r="X483">
        <v>71.222053544524982</v>
      </c>
      <c r="Y483">
        <v>-2.2220535445249823</v>
      </c>
      <c r="Z483">
        <v>71.227120793366296</v>
      </c>
      <c r="AA483">
        <v>0.42086112795633718</v>
      </c>
      <c r="AB483">
        <v>65.599999999999994</v>
      </c>
      <c r="AC483">
        <v>-0.21444491222324932</v>
      </c>
      <c r="AD483">
        <v>-0.51013361548690705</v>
      </c>
      <c r="AE483">
        <v>-0.51855326985976069</v>
      </c>
      <c r="AF483">
        <v>2.2752465229605359E-3</v>
      </c>
      <c r="AG483">
        <v>-0.51071494754796321</v>
      </c>
      <c r="AH483">
        <v>-0.51931278800432978</v>
      </c>
      <c r="AI483">
        <v>4.5754255994580903E-5</v>
      </c>
    </row>
    <row r="484" spans="23:35" x14ac:dyDescent="0.25">
      <c r="W484">
        <v>482</v>
      </c>
      <c r="X484">
        <v>61.716743962834613</v>
      </c>
      <c r="Y484">
        <v>-3.8167439628346145</v>
      </c>
      <c r="Z484">
        <v>61.762687833502092</v>
      </c>
      <c r="AA484">
        <v>0.12734990903577925</v>
      </c>
      <c r="AB484">
        <v>65.599999999999994</v>
      </c>
      <c r="AC484">
        <v>-1.1463081367501964</v>
      </c>
      <c r="AD484">
        <v>-0.87623873958666287</v>
      </c>
      <c r="AE484">
        <v>-0.51194046803273641</v>
      </c>
      <c r="AF484">
        <v>1.1894274828267741E-2</v>
      </c>
      <c r="AG484">
        <v>-0.88149680419870202</v>
      </c>
      <c r="AH484">
        <v>-0.51409626901471528</v>
      </c>
      <c r="AI484">
        <v>7.1950312639446165E-4</v>
      </c>
    </row>
    <row r="485" spans="23:35" x14ac:dyDescent="0.25">
      <c r="W485">
        <v>483</v>
      </c>
      <c r="X485">
        <v>63.389209107492903</v>
      </c>
      <c r="Y485">
        <v>-0.48920910749290414</v>
      </c>
      <c r="Z485">
        <v>63.39084786420009</v>
      </c>
      <c r="AA485">
        <v>0.21710127349909036</v>
      </c>
      <c r="AB485">
        <v>65.599999999999994</v>
      </c>
      <c r="AC485">
        <v>-0.78926429572475043</v>
      </c>
      <c r="AD485">
        <v>-0.11231142982552568</v>
      </c>
      <c r="AE485">
        <v>-0.51033088216931155</v>
      </c>
      <c r="AF485">
        <v>3.3386245040712449E-3</v>
      </c>
      <c r="AG485">
        <v>-0.11249938343242234</v>
      </c>
      <c r="AH485">
        <v>-0.51343149668545962</v>
      </c>
      <c r="AI485">
        <v>3.2611958484650046E-6</v>
      </c>
    </row>
    <row r="486" spans="23:35" x14ac:dyDescent="0.25">
      <c r="W486">
        <v>484</v>
      </c>
      <c r="X486">
        <v>59.40838056082017</v>
      </c>
      <c r="Y486">
        <v>2.6916194391798314</v>
      </c>
      <c r="Z486">
        <v>59.379712994475469</v>
      </c>
      <c r="AA486">
        <v>0.20133414190418436</v>
      </c>
      <c r="AB486">
        <v>65.599999999999994</v>
      </c>
      <c r="AC486">
        <v>-0.84444052159937644</v>
      </c>
      <c r="AD486">
        <v>0.61793540457513085</v>
      </c>
      <c r="AE486">
        <v>-0.51013361548690705</v>
      </c>
      <c r="AF486">
        <v>1.0538434469039144E-2</v>
      </c>
      <c r="AG486">
        <v>0.62121740371006973</v>
      </c>
      <c r="AH486">
        <v>-0.51071494754796321</v>
      </c>
      <c r="AI486">
        <v>3.1617028170628688E-4</v>
      </c>
    </row>
    <row r="487" spans="23:35" x14ac:dyDescent="0.25">
      <c r="W487">
        <v>485</v>
      </c>
      <c r="X487">
        <v>62.780744909150947</v>
      </c>
      <c r="Y487">
        <v>-1.3807449091509483</v>
      </c>
      <c r="Z487">
        <v>62.785175849708089</v>
      </c>
      <c r="AA487">
        <v>0.18617343844754397</v>
      </c>
      <c r="AB487">
        <v>65.599999999999994</v>
      </c>
      <c r="AC487">
        <v>-0.90460220385671419</v>
      </c>
      <c r="AD487">
        <v>-0.31698803762214883</v>
      </c>
      <c r="AE487">
        <v>-0.50934051697709326</v>
      </c>
      <c r="AF487">
        <v>3.1988289126450211E-3</v>
      </c>
      <c r="AG487">
        <v>-0.31749625246679752</v>
      </c>
      <c r="AH487">
        <v>-0.51057283735416281</v>
      </c>
      <c r="AI487">
        <v>2.4883778559511744E-5</v>
      </c>
    </row>
    <row r="488" spans="23:35" x14ac:dyDescent="0.25">
      <c r="W488">
        <v>486</v>
      </c>
      <c r="X488">
        <v>62.938126008903339</v>
      </c>
      <c r="Y488">
        <v>4.061873991096661</v>
      </c>
      <c r="Z488">
        <v>62.925206078794403</v>
      </c>
      <c r="AA488">
        <v>0.33959975742874471</v>
      </c>
      <c r="AB488">
        <v>65.7</v>
      </c>
      <c r="AC488">
        <v>-0.42600652312983872</v>
      </c>
      <c r="AD488">
        <v>0.93251509165290336</v>
      </c>
      <c r="AE488">
        <v>-0.50800708997887656</v>
      </c>
      <c r="AF488">
        <v>3.1706953428241287E-3</v>
      </c>
      <c r="AG488">
        <v>0.933996977170238</v>
      </c>
      <c r="AH488">
        <v>-0.50931664822137912</v>
      </c>
      <c r="AI488">
        <v>2.1344270044699765E-4</v>
      </c>
    </row>
    <row r="489" spans="23:35" x14ac:dyDescent="0.25">
      <c r="W489">
        <v>487</v>
      </c>
      <c r="X489">
        <v>62.540362756060858</v>
      </c>
      <c r="Y489">
        <v>-0.54036275606085837</v>
      </c>
      <c r="Z489">
        <v>62.542052672194103</v>
      </c>
      <c r="AA489">
        <v>0.19890842935112188</v>
      </c>
      <c r="AB489">
        <v>65.7</v>
      </c>
      <c r="AC489">
        <v>-0.85973834429501084</v>
      </c>
      <c r="AD489">
        <v>-0.124055159293078</v>
      </c>
      <c r="AE489">
        <v>-0.50753807139249063</v>
      </c>
      <c r="AF489">
        <v>3.117623470806383E-3</v>
      </c>
      <c r="AG489">
        <v>-0.1242489912704947</v>
      </c>
      <c r="AH489">
        <v>-0.50876614654274832</v>
      </c>
      <c r="AI489">
        <v>3.7138309808255815E-6</v>
      </c>
    </row>
    <row r="490" spans="23:35" x14ac:dyDescent="0.25">
      <c r="W490">
        <v>488</v>
      </c>
      <c r="X490">
        <v>62.577799802822106</v>
      </c>
      <c r="Y490">
        <v>-2.8777998028221035</v>
      </c>
      <c r="Z490">
        <v>62.587454039894979</v>
      </c>
      <c r="AA490">
        <v>0.16919345057610674</v>
      </c>
      <c r="AB490">
        <v>65.7</v>
      </c>
      <c r="AC490">
        <v>-0.96823093621551704</v>
      </c>
      <c r="AD490">
        <v>-0.66067823688514293</v>
      </c>
      <c r="AE490">
        <v>-0.50412288422252427</v>
      </c>
      <c r="AF490">
        <v>3.3435119449472372E-3</v>
      </c>
      <c r="AG490">
        <v>-0.66178550707681005</v>
      </c>
      <c r="AH490">
        <v>-0.50540354100674334</v>
      </c>
      <c r="AI490">
        <v>1.1301823807897378E-4</v>
      </c>
    </row>
    <row r="491" spans="23:35" x14ac:dyDescent="0.25">
      <c r="W491">
        <v>489</v>
      </c>
      <c r="X491">
        <v>54.315139097027775</v>
      </c>
      <c r="Y491">
        <v>5.084860902972224</v>
      </c>
      <c r="Z491">
        <v>54.247653416644944</v>
      </c>
      <c r="AA491">
        <v>0.16312916919345058</v>
      </c>
      <c r="AB491">
        <v>65.7</v>
      </c>
      <c r="AC491">
        <v>-0.99032898964496086</v>
      </c>
      <c r="AD491">
        <v>1.1673699236783068</v>
      </c>
      <c r="AE491">
        <v>-0.50195959682366875</v>
      </c>
      <c r="AF491">
        <v>1.3098047518939837E-2</v>
      </c>
      <c r="AG491">
        <v>1.1750909885355911</v>
      </c>
      <c r="AH491">
        <v>-0.50296053612198988</v>
      </c>
      <c r="AI491">
        <v>1.4097178302720163E-3</v>
      </c>
    </row>
    <row r="492" spans="23:35" x14ac:dyDescent="0.25">
      <c r="W492">
        <v>490</v>
      </c>
      <c r="X492">
        <v>54.379333037561658</v>
      </c>
      <c r="Y492">
        <v>4.7206669624383437</v>
      </c>
      <c r="Z492">
        <v>54.316579253053568</v>
      </c>
      <c r="AA492">
        <v>0.15342631898120074</v>
      </c>
      <c r="AB492">
        <v>65.8</v>
      </c>
      <c r="AC492">
        <v>-1.0334469496720613</v>
      </c>
      <c r="AD492">
        <v>1.0837591699767399</v>
      </c>
      <c r="AE492">
        <v>-0.49786778428639328</v>
      </c>
      <c r="AF492">
        <v>1.3119018340201861E-2</v>
      </c>
      <c r="AG492">
        <v>1.0909388183855007</v>
      </c>
      <c r="AH492">
        <v>-0.50079061711806039</v>
      </c>
      <c r="AI492">
        <v>1.2170095827033682E-3</v>
      </c>
    </row>
    <row r="493" spans="23:35" x14ac:dyDescent="0.25">
      <c r="W493">
        <v>491</v>
      </c>
      <c r="X493">
        <v>54.094264361646268</v>
      </c>
      <c r="Y493">
        <v>4.7057356383537297</v>
      </c>
      <c r="Z493">
        <v>54.035993718684736</v>
      </c>
      <c r="AA493">
        <v>0.14675560946027896</v>
      </c>
      <c r="AB493">
        <v>65.8</v>
      </c>
      <c r="AC493">
        <v>-1.0570712344634026</v>
      </c>
      <c r="AD493">
        <v>1.080331273129673</v>
      </c>
      <c r="AE493">
        <v>-0.49635668840162384</v>
      </c>
      <c r="AF493">
        <v>1.2231437055419923E-2</v>
      </c>
      <c r="AG493">
        <v>1.0869995094329059</v>
      </c>
      <c r="AH493">
        <v>-0.49795958106812188</v>
      </c>
      <c r="AI493">
        <v>1.1254796025619018E-3</v>
      </c>
    </row>
    <row r="494" spans="23:35" x14ac:dyDescent="0.25">
      <c r="W494">
        <v>492</v>
      </c>
      <c r="X494">
        <v>51.95056639291235</v>
      </c>
      <c r="Y494">
        <v>6.54943360708765</v>
      </c>
      <c r="Z494">
        <v>51.78634233645608</v>
      </c>
      <c r="AA494">
        <v>0.14190418435415403</v>
      </c>
      <c r="AB494">
        <v>65.8</v>
      </c>
      <c r="AC494">
        <v>-1.0758617643853021</v>
      </c>
      <c r="AD494">
        <v>1.5036029413455543</v>
      </c>
      <c r="AE494">
        <v>-0.49612931160408597</v>
      </c>
      <c r="AF494">
        <v>2.4461190112213451E-2</v>
      </c>
      <c r="AG494">
        <v>1.5223373080339024</v>
      </c>
      <c r="AH494">
        <v>-0.49775392509693572</v>
      </c>
      <c r="AI494">
        <v>4.4700405272152738E-3</v>
      </c>
    </row>
    <row r="495" spans="23:35" x14ac:dyDescent="0.25">
      <c r="W495">
        <v>493</v>
      </c>
      <c r="X495">
        <v>78.835312293897061</v>
      </c>
      <c r="Y495">
        <v>-1.5353122938970643</v>
      </c>
      <c r="Z495">
        <v>78.844914799609469</v>
      </c>
      <c r="AA495">
        <v>0.84414796846573681</v>
      </c>
      <c r="AB495">
        <v>65.8</v>
      </c>
      <c r="AC495">
        <v>1.0003070916314494</v>
      </c>
      <c r="AD495">
        <v>-0.35247323959271976</v>
      </c>
      <c r="AE495">
        <v>-0.49549652008921341</v>
      </c>
      <c r="AF495">
        <v>6.2155568157168106E-3</v>
      </c>
      <c r="AG495">
        <v>-0.35357378134152734</v>
      </c>
      <c r="AH495">
        <v>-0.49726846048431067</v>
      </c>
      <c r="AI495">
        <v>6.0145702350127121E-5</v>
      </c>
    </row>
    <row r="496" spans="23:35" x14ac:dyDescent="0.25">
      <c r="W496">
        <v>494</v>
      </c>
      <c r="X496">
        <v>76.947928266364627</v>
      </c>
      <c r="Y496">
        <v>-4.7928266364621663E-2</v>
      </c>
      <c r="Z496">
        <v>76.948172596953</v>
      </c>
      <c r="AA496">
        <v>0.83080654942389331</v>
      </c>
      <c r="AB496">
        <v>65.8</v>
      </c>
      <c r="AC496">
        <v>0.94897780985887181</v>
      </c>
      <c r="AD496">
        <v>-1.1003254113676504E-2</v>
      </c>
      <c r="AE496">
        <v>-0.49540103945011943</v>
      </c>
      <c r="AF496">
        <v>5.0719829078190691E-3</v>
      </c>
      <c r="AG496">
        <v>-1.103126486978177E-2</v>
      </c>
      <c r="AH496">
        <v>-0.49722666924652426</v>
      </c>
      <c r="AI496">
        <v>4.7719226264797512E-8</v>
      </c>
    </row>
    <row r="497" spans="23:35" x14ac:dyDescent="0.25">
      <c r="W497">
        <v>495</v>
      </c>
      <c r="X497">
        <v>78.355312991238179</v>
      </c>
      <c r="Y497">
        <v>-2.055312991238182</v>
      </c>
      <c r="Z497">
        <v>78.367036050007115</v>
      </c>
      <c r="AA497">
        <v>0.8168587022437841</v>
      </c>
      <c r="AB497">
        <v>65.8</v>
      </c>
      <c r="AC497">
        <v>0.89095501331493132</v>
      </c>
      <c r="AD497">
        <v>-0.47185372726996205</v>
      </c>
      <c r="AE497">
        <v>-0.49462677718610087</v>
      </c>
      <c r="AF497">
        <v>5.6714341140266366E-3</v>
      </c>
      <c r="AG497">
        <v>-0.47319748943582168</v>
      </c>
      <c r="AH497">
        <v>-0.49708836821772695</v>
      </c>
      <c r="AI497">
        <v>9.8243649292451986E-5</v>
      </c>
    </row>
    <row r="498" spans="23:35" x14ac:dyDescent="0.25">
      <c r="W498">
        <v>496</v>
      </c>
      <c r="X498">
        <v>77.944864876953403</v>
      </c>
      <c r="Y498">
        <v>-1.8448648769534088</v>
      </c>
      <c r="Z498">
        <v>77.955144842903351</v>
      </c>
      <c r="AA498">
        <v>0.81079442086112796</v>
      </c>
      <c r="AB498">
        <v>65.8</v>
      </c>
      <c r="AC498">
        <v>0.873012700415573</v>
      </c>
      <c r="AD498">
        <v>-0.42353956414953947</v>
      </c>
      <c r="AE498">
        <v>-0.49305121144416397</v>
      </c>
      <c r="AF498">
        <v>5.5413279395777138E-3</v>
      </c>
      <c r="AG498">
        <v>-0.42471794959262305</v>
      </c>
      <c r="AH498">
        <v>-0.49627724562579378</v>
      </c>
      <c r="AI498">
        <v>7.7318779960262331E-5</v>
      </c>
    </row>
    <row r="499" spans="23:35" x14ac:dyDescent="0.25">
      <c r="W499">
        <v>497</v>
      </c>
      <c r="X499">
        <v>77.167121669176765</v>
      </c>
      <c r="Y499">
        <v>-1.5671216691767711</v>
      </c>
      <c r="Z499">
        <v>77.175540833044295</v>
      </c>
      <c r="AA499">
        <v>0.78835657974530016</v>
      </c>
      <c r="AB499">
        <v>65.900000000000006</v>
      </c>
      <c r="AC499">
        <v>0.78719041678006285</v>
      </c>
      <c r="AD499">
        <v>-0.35977595813332341</v>
      </c>
      <c r="AE499">
        <v>-0.4869756953857669</v>
      </c>
      <c r="AF499">
        <v>5.3436659278874336E-3</v>
      </c>
      <c r="AG499">
        <v>-0.36074108912816888</v>
      </c>
      <c r="AH499">
        <v>-0.48771463749737937</v>
      </c>
      <c r="AI499">
        <v>5.3779172905160223E-5</v>
      </c>
    </row>
    <row r="500" spans="23:35" x14ac:dyDescent="0.25">
      <c r="W500">
        <v>498</v>
      </c>
      <c r="X500">
        <v>77.346033516563253</v>
      </c>
      <c r="Y500">
        <v>-2.4460335165632472</v>
      </c>
      <c r="Z500">
        <v>77.359116252554188</v>
      </c>
      <c r="AA500">
        <v>0.74833232261976956</v>
      </c>
      <c r="AB500">
        <v>65.900000000000006</v>
      </c>
      <c r="AC500">
        <v>0.64941472986293525</v>
      </c>
      <c r="AD500">
        <v>-0.56155438939852864</v>
      </c>
      <c r="AE500">
        <v>-0.48697354418812333</v>
      </c>
      <c r="AF500">
        <v>5.3200965905343851E-3</v>
      </c>
      <c r="AG500">
        <v>-0.56305413796023751</v>
      </c>
      <c r="AH500">
        <v>-0.48740014248645891</v>
      </c>
      <c r="AI500">
        <v>1.304346960580883E-4</v>
      </c>
    </row>
    <row r="501" spans="23:35" x14ac:dyDescent="0.25">
      <c r="W501">
        <v>499</v>
      </c>
      <c r="X501">
        <v>75.870817107329628</v>
      </c>
      <c r="Y501">
        <v>-1.6708171073296256</v>
      </c>
      <c r="Z501">
        <v>75.886175362326284</v>
      </c>
      <c r="AA501">
        <v>0.7010309278350515</v>
      </c>
      <c r="AB501">
        <v>65.900000000000006</v>
      </c>
      <c r="AC501">
        <v>0.5039283835636299</v>
      </c>
      <c r="AD501">
        <v>-0.38358210308637986</v>
      </c>
      <c r="AE501">
        <v>-0.48395924310209448</v>
      </c>
      <c r="AF501">
        <v>9.1083379225004226E-3</v>
      </c>
      <c r="AG501">
        <v>-0.38534102560182082</v>
      </c>
      <c r="AH501">
        <v>-0.4844942525617445</v>
      </c>
      <c r="AI501">
        <v>1.0499294225080147E-4</v>
      </c>
    </row>
    <row r="502" spans="23:35" x14ac:dyDescent="0.25">
      <c r="W502">
        <v>500</v>
      </c>
      <c r="X502">
        <v>76.963592823859955</v>
      </c>
      <c r="Y502">
        <v>-3.9635928238599547</v>
      </c>
      <c r="Z502">
        <v>76.999630248989789</v>
      </c>
      <c r="AA502">
        <v>0.60946027895694366</v>
      </c>
      <c r="AB502">
        <v>65.900000000000006</v>
      </c>
      <c r="AC502">
        <v>0.22222871718700732</v>
      </c>
      <c r="AD502">
        <v>-0.90995194176829863</v>
      </c>
      <c r="AE502">
        <v>-0.47761188488243239</v>
      </c>
      <c r="AF502">
        <v>9.0101891640957804E-3</v>
      </c>
      <c r="AG502">
        <v>-0.91407927339695494</v>
      </c>
      <c r="AH502">
        <v>-0.47843838501095948</v>
      </c>
      <c r="AI502">
        <v>5.8437158514023106E-4</v>
      </c>
    </row>
    <row r="503" spans="23:35" x14ac:dyDescent="0.25">
      <c r="W503">
        <v>501</v>
      </c>
      <c r="X503">
        <v>76.408268975270573</v>
      </c>
      <c r="Y503">
        <v>-3.4082689752705733</v>
      </c>
      <c r="Z503">
        <v>76.434478566742513</v>
      </c>
      <c r="AA503">
        <v>0.60946027895694366</v>
      </c>
      <c r="AB503">
        <v>65.900000000000006</v>
      </c>
      <c r="AC503">
        <v>0.22222871718700732</v>
      </c>
      <c r="AD503">
        <v>-0.78246205146164316</v>
      </c>
      <c r="AE503">
        <v>-0.47580592353137507</v>
      </c>
      <c r="AF503">
        <v>7.6313160681027691E-3</v>
      </c>
      <c r="AG503">
        <v>-0.78546485656230214</v>
      </c>
      <c r="AH503">
        <v>-0.47756664560195639</v>
      </c>
      <c r="AI503">
        <v>3.6495267822782057E-4</v>
      </c>
    </row>
    <row r="504" spans="23:35" x14ac:dyDescent="0.25">
      <c r="W504">
        <v>502</v>
      </c>
      <c r="X504">
        <v>75.12653930722918</v>
      </c>
      <c r="Y504">
        <v>-2.3265393072291829</v>
      </c>
      <c r="Z504">
        <v>75.144734788904131</v>
      </c>
      <c r="AA504">
        <v>0.58156458459672533</v>
      </c>
      <c r="AB504">
        <v>65.900000000000006</v>
      </c>
      <c r="AC504">
        <v>0.18343432307636306</v>
      </c>
      <c r="AD504">
        <v>-0.53412120121657292</v>
      </c>
      <c r="AE504">
        <v>-0.47315926477813264</v>
      </c>
      <c r="AF504">
        <v>7.7601448833589911E-3</v>
      </c>
      <c r="AG504">
        <v>-0.53620577046584383</v>
      </c>
      <c r="AH504">
        <v>-0.47586167541180879</v>
      </c>
      <c r="AI504">
        <v>1.7297079317209855E-4</v>
      </c>
    </row>
    <row r="505" spans="23:35" x14ac:dyDescent="0.25">
      <c r="W505">
        <v>503</v>
      </c>
      <c r="X505">
        <v>75.428518983163684</v>
      </c>
      <c r="Y505">
        <v>-3.128518983163687</v>
      </c>
      <c r="Z505">
        <v>75.479867088824548</v>
      </c>
      <c r="AA505">
        <v>0.54578532443905392</v>
      </c>
      <c r="AB505">
        <v>65.900000000000006</v>
      </c>
      <c r="AC505">
        <v>9.896716322379942E-2</v>
      </c>
      <c r="AD505">
        <v>-0.71823773280939973</v>
      </c>
      <c r="AE505">
        <v>-0.47301923795236395</v>
      </c>
      <c r="AF505">
        <v>1.6147877954183168E-2</v>
      </c>
      <c r="AG505">
        <v>-0.72410793030734566</v>
      </c>
      <c r="AH505">
        <v>-0.47353210071794138</v>
      </c>
      <c r="AI505">
        <v>6.6198612521903288E-4</v>
      </c>
    </row>
    <row r="506" spans="23:35" x14ac:dyDescent="0.25">
      <c r="W506">
        <v>504</v>
      </c>
      <c r="X506">
        <v>64.29452878468345</v>
      </c>
      <c r="Y506">
        <v>-9.4528784683447498E-2</v>
      </c>
      <c r="Z506">
        <v>64.295007770408731</v>
      </c>
      <c r="AA506">
        <v>0.24560339599757428</v>
      </c>
      <c r="AB506">
        <v>65.900000000000006</v>
      </c>
      <c r="AC506">
        <v>-0.69708605805955215</v>
      </c>
      <c r="AD506">
        <v>-2.1701687079938983E-2</v>
      </c>
      <c r="AE506">
        <v>-0.47197895070194512</v>
      </c>
      <c r="AF506">
        <v>5.0415426361738597E-3</v>
      </c>
      <c r="AG506">
        <v>-2.1756599791319348E-2</v>
      </c>
      <c r="AH506">
        <v>-0.47319748943582168</v>
      </c>
      <c r="AI506">
        <v>1.8450034822167176E-7</v>
      </c>
    </row>
    <row r="507" spans="23:35" x14ac:dyDescent="0.25">
      <c r="W507">
        <v>505</v>
      </c>
      <c r="X507">
        <v>62.088110768463082</v>
      </c>
      <c r="Y507">
        <v>1.6118892315369209</v>
      </c>
      <c r="Z507">
        <v>62.067285038420387</v>
      </c>
      <c r="AA507">
        <v>0.23408126137052759</v>
      </c>
      <c r="AB507">
        <v>66</v>
      </c>
      <c r="AC507">
        <v>-0.73042509746273321</v>
      </c>
      <c r="AD507">
        <v>0.37005358555575385</v>
      </c>
      <c r="AE507">
        <v>-0.47185372726996205</v>
      </c>
      <c r="AF507">
        <v>1.2755276048030782E-2</v>
      </c>
      <c r="AG507">
        <v>0.37243647355592507</v>
      </c>
      <c r="AH507">
        <v>-0.47245662333914373</v>
      </c>
      <c r="AI507">
        <v>1.3785613553315068E-4</v>
      </c>
    </row>
    <row r="508" spans="23:35" x14ac:dyDescent="0.25">
      <c r="W508">
        <v>506</v>
      </c>
      <c r="X508">
        <v>61.841676802128696</v>
      </c>
      <c r="Y508">
        <v>1.4583231978713016</v>
      </c>
      <c r="Z508">
        <v>61.823574109564696</v>
      </c>
      <c r="AA508">
        <v>0.22741055184960582</v>
      </c>
      <c r="AB508">
        <v>66</v>
      </c>
      <c r="AC508">
        <v>-0.75647701124006039</v>
      </c>
      <c r="AD508">
        <v>0.33479827131598233</v>
      </c>
      <c r="AE508">
        <v>-0.46843895633054861</v>
      </c>
      <c r="AF508">
        <v>1.2261158979449819E-2</v>
      </c>
      <c r="AG508">
        <v>0.33686984826684785</v>
      </c>
      <c r="AH508">
        <v>-0.46945491966963454</v>
      </c>
      <c r="AI508">
        <v>1.0836033055998147E-4</v>
      </c>
    </row>
    <row r="509" spans="23:35" x14ac:dyDescent="0.25">
      <c r="W509">
        <v>507</v>
      </c>
      <c r="X509">
        <v>61.504780636756593</v>
      </c>
      <c r="Y509">
        <v>1.0952193632434088</v>
      </c>
      <c r="Z509">
        <v>61.491613365709178</v>
      </c>
      <c r="AA509">
        <v>0.20921770770163736</v>
      </c>
      <c r="AB509">
        <v>66</v>
      </c>
      <c r="AC509">
        <v>-0.81230589119800856</v>
      </c>
      <c r="AD509">
        <v>0.25143778146087192</v>
      </c>
      <c r="AE509">
        <v>-0.46835609104288367</v>
      </c>
      <c r="AF509">
        <v>1.187967324762898E-2</v>
      </c>
      <c r="AG509">
        <v>0.25294472063390966</v>
      </c>
      <c r="AH509">
        <v>-0.4686518477743416</v>
      </c>
      <c r="AI509">
        <v>5.9170133435961219E-5</v>
      </c>
    </row>
    <row r="510" spans="23:35" x14ac:dyDescent="0.25">
      <c r="W510">
        <v>508</v>
      </c>
      <c r="X510">
        <v>62.018862863514705</v>
      </c>
      <c r="Y510">
        <v>-0.21886286351470829</v>
      </c>
      <c r="Z510">
        <v>62.023268431198083</v>
      </c>
      <c r="AA510">
        <v>0.19345057610673136</v>
      </c>
      <c r="AB510">
        <v>66</v>
      </c>
      <c r="AC510">
        <v>-0.873012700415573</v>
      </c>
      <c r="AD510">
        <v>-5.0246000658117969E-2</v>
      </c>
      <c r="AE510">
        <v>-0.46592938201445389</v>
      </c>
      <c r="AF510">
        <v>1.973215675738748E-2</v>
      </c>
      <c r="AG510">
        <v>-5.0749190775929987E-2</v>
      </c>
      <c r="AH510">
        <v>-0.4668296536145663</v>
      </c>
      <c r="AI510">
        <v>3.9879039674613416E-6</v>
      </c>
    </row>
    <row r="511" spans="23:35" x14ac:dyDescent="0.25">
      <c r="W511">
        <v>509</v>
      </c>
      <c r="X511">
        <v>61.115964254284179</v>
      </c>
      <c r="Y511">
        <v>6.8840357457158206</v>
      </c>
      <c r="Z511">
        <v>60.975544091561652</v>
      </c>
      <c r="AA511">
        <v>0.38447543966040026</v>
      </c>
      <c r="AB511">
        <v>66</v>
      </c>
      <c r="AC511">
        <v>-0.31204933220437475</v>
      </c>
      <c r="AD511">
        <v>1.5804200815754175</v>
      </c>
      <c r="AE511">
        <v>-0.46584628822152824</v>
      </c>
      <c r="AF511">
        <v>1.9990183517820989E-2</v>
      </c>
      <c r="AG511">
        <v>1.5964573711729382</v>
      </c>
      <c r="AH511">
        <v>-0.46676070708939715</v>
      </c>
      <c r="AI511">
        <v>3.9990575658362983E-3</v>
      </c>
    </row>
    <row r="512" spans="23:35" x14ac:dyDescent="0.25">
      <c r="W512">
        <v>510</v>
      </c>
      <c r="X512">
        <v>60.392302169950185</v>
      </c>
      <c r="Y512">
        <v>-0.59230216995018736</v>
      </c>
      <c r="Z512">
        <v>60.404532185055217</v>
      </c>
      <c r="AA512">
        <v>0.17101273499090358</v>
      </c>
      <c r="AB512">
        <v>66</v>
      </c>
      <c r="AC512">
        <v>-0.95615619123390583</v>
      </c>
      <c r="AD512">
        <v>-0.13597928284037913</v>
      </c>
      <c r="AE512">
        <v>-0.46581267369350488</v>
      </c>
      <c r="AF512">
        <v>2.0230544224729752E-2</v>
      </c>
      <c r="AG512">
        <v>-0.13737597831315207</v>
      </c>
      <c r="AH512">
        <v>-0.46672925943205545</v>
      </c>
      <c r="AI512">
        <v>2.9975187880349957E-5</v>
      </c>
    </row>
    <row r="513" spans="23:35" x14ac:dyDescent="0.25">
      <c r="W513">
        <v>511</v>
      </c>
      <c r="X513">
        <v>58.135406059400594</v>
      </c>
      <c r="Y513">
        <v>0.36459394059940564</v>
      </c>
      <c r="Z513">
        <v>58.13116957612155</v>
      </c>
      <c r="AA513">
        <v>0.14190418435415403</v>
      </c>
      <c r="AB513">
        <v>66</v>
      </c>
      <c r="AC513">
        <v>-1.0758617643853021</v>
      </c>
      <c r="AD513">
        <v>8.3702584737828017E-2</v>
      </c>
      <c r="AE513">
        <v>-0.46575802768624647</v>
      </c>
      <c r="AF513">
        <v>1.148626307584028E-2</v>
      </c>
      <c r="AG513">
        <v>8.418748094764443E-2</v>
      </c>
      <c r="AH513">
        <v>-0.46661925424476003</v>
      </c>
      <c r="AI513">
        <v>6.3350161635294928E-6</v>
      </c>
    </row>
    <row r="514" spans="23:35" x14ac:dyDescent="0.25">
      <c r="W514">
        <v>512</v>
      </c>
      <c r="X514">
        <v>74.094137657565625</v>
      </c>
      <c r="Y514">
        <v>-4.3941376575656221</v>
      </c>
      <c r="Z514">
        <v>74.113158472643505</v>
      </c>
      <c r="AA514">
        <v>0.45057610673135234</v>
      </c>
      <c r="AB514">
        <v>66</v>
      </c>
      <c r="AC514">
        <v>-0.12956927093944987</v>
      </c>
      <c r="AD514">
        <v>-1.0087953711665913</v>
      </c>
      <c r="AE514">
        <v>-0.4648235636695689</v>
      </c>
      <c r="AF514">
        <v>4.3100231264729116E-3</v>
      </c>
      <c r="AG514">
        <v>-1.0109763895739008</v>
      </c>
      <c r="AH514">
        <v>-0.465812708931995</v>
      </c>
      <c r="AI514">
        <v>3.4032522410476815E-4</v>
      </c>
    </row>
    <row r="515" spans="23:35" x14ac:dyDescent="0.25">
      <c r="W515">
        <v>513</v>
      </c>
      <c r="X515">
        <v>74.274966585156022</v>
      </c>
      <c r="Y515">
        <v>-4.674966585156028</v>
      </c>
      <c r="Z515">
        <v>74.294986375625712</v>
      </c>
      <c r="AA515">
        <v>0.44815039417828989</v>
      </c>
      <c r="AB515">
        <v>66</v>
      </c>
      <c r="AC515">
        <v>-0.14337818601426075</v>
      </c>
      <c r="AD515">
        <v>-1.0732673891870348</v>
      </c>
      <c r="AE515">
        <v>-0.46247016641046595</v>
      </c>
      <c r="AF515">
        <v>4.2640785016156242E-3</v>
      </c>
      <c r="AG515">
        <v>-1.0755629814408598</v>
      </c>
      <c r="AH515">
        <v>-0.46289254852908335</v>
      </c>
      <c r="AI515">
        <v>3.8107403371758533E-4</v>
      </c>
    </row>
    <row r="516" spans="23:35" x14ac:dyDescent="0.25">
      <c r="W516">
        <v>514</v>
      </c>
      <c r="X516">
        <v>70.425107924025909</v>
      </c>
      <c r="Y516">
        <v>-1.0251079240259031</v>
      </c>
      <c r="Z516">
        <v>70.432107502155787</v>
      </c>
      <c r="AA516">
        <v>0.43784111582777441</v>
      </c>
      <c r="AB516">
        <v>66.099999999999994</v>
      </c>
      <c r="AC516">
        <v>-0.16799678341230881</v>
      </c>
      <c r="AD516">
        <v>-0.23534176880485708</v>
      </c>
      <c r="AE516">
        <v>-0.46166467472507244</v>
      </c>
      <c r="AF516">
        <v>6.7818304927126458E-3</v>
      </c>
      <c r="AG516">
        <v>-0.2361438749211576</v>
      </c>
      <c r="AH516">
        <v>-0.46271460187483038</v>
      </c>
      <c r="AI516">
        <v>2.9289522622292245E-5</v>
      </c>
    </row>
    <row r="517" spans="23:35" x14ac:dyDescent="0.25">
      <c r="W517">
        <v>515</v>
      </c>
      <c r="X517">
        <v>73.978535128505754</v>
      </c>
      <c r="Y517">
        <v>-4.7785351285057516</v>
      </c>
      <c r="Z517">
        <v>73.997302660601591</v>
      </c>
      <c r="AA517">
        <v>0.42874469375379015</v>
      </c>
      <c r="AB517">
        <v>66.099999999999994</v>
      </c>
      <c r="AC517">
        <v>-0.1880739545732803</v>
      </c>
      <c r="AD517">
        <v>-1.0970444019416943</v>
      </c>
      <c r="AE517">
        <v>-0.45891538417972377</v>
      </c>
      <c r="AF517">
        <v>3.9121009082806156E-3</v>
      </c>
      <c r="AG517">
        <v>-1.0991965928961442</v>
      </c>
      <c r="AH517">
        <v>-0.46231602151759882</v>
      </c>
      <c r="AI517">
        <v>3.6502262093322395E-4</v>
      </c>
    </row>
    <row r="518" spans="23:35" x14ac:dyDescent="0.25">
      <c r="W518">
        <v>516</v>
      </c>
      <c r="X518">
        <v>73.661546766238274</v>
      </c>
      <c r="Y518">
        <v>-4.5615467662382798</v>
      </c>
      <c r="Z518">
        <v>73.674673549380131</v>
      </c>
      <c r="AA518">
        <v>0.42510612492419647</v>
      </c>
      <c r="AB518">
        <v>66.099999999999994</v>
      </c>
      <c r="AC518">
        <v>-0.198915705174462</v>
      </c>
      <c r="AD518">
        <v>-1.0472287446930966</v>
      </c>
      <c r="AE518">
        <v>-0.45734096221449122</v>
      </c>
      <c r="AF518">
        <v>2.8694469671258997E-3</v>
      </c>
      <c r="AG518">
        <v>-1.0487344695900456</v>
      </c>
      <c r="AH518">
        <v>-0.45832063645673576</v>
      </c>
      <c r="AI518">
        <v>2.4346352836272301E-4</v>
      </c>
    </row>
    <row r="519" spans="23:35" x14ac:dyDescent="0.25">
      <c r="W519">
        <v>517</v>
      </c>
      <c r="X519">
        <v>73.548042181170231</v>
      </c>
      <c r="Y519">
        <v>-4.6480421811702257</v>
      </c>
      <c r="Z519">
        <v>73.560967446634152</v>
      </c>
      <c r="AA519">
        <v>0.41479684657368104</v>
      </c>
      <c r="AB519">
        <v>66.099999999999994</v>
      </c>
      <c r="AC519">
        <v>-0.22378708008709278</v>
      </c>
      <c r="AD519">
        <v>-1.0670861504027804</v>
      </c>
      <c r="AE519">
        <v>-0.45363140373522265</v>
      </c>
      <c r="AF519">
        <v>2.7730864057545807E-3</v>
      </c>
      <c r="AG519">
        <v>-1.0685687957929249</v>
      </c>
      <c r="AH519">
        <v>-0.45430301116576688</v>
      </c>
      <c r="AI519">
        <v>2.4424801013778907E-4</v>
      </c>
    </row>
    <row r="520" spans="23:35" x14ac:dyDescent="0.25">
      <c r="W520">
        <v>518</v>
      </c>
      <c r="X520">
        <v>73.422018240427022</v>
      </c>
      <c r="Y520">
        <v>-4.722018240427019</v>
      </c>
      <c r="Z520">
        <v>73.436949345491982</v>
      </c>
      <c r="AA520">
        <v>0.40873256519102485</v>
      </c>
      <c r="AB520">
        <v>66.099999999999994</v>
      </c>
      <c r="AC520">
        <v>-0.23783731322627524</v>
      </c>
      <c r="AD520">
        <v>-1.0840693930708634</v>
      </c>
      <c r="AE520">
        <v>-0.45065840406077834</v>
      </c>
      <c r="AF520">
        <v>3.1520508191985475E-3</v>
      </c>
      <c r="AG520">
        <v>-1.0857819636273049</v>
      </c>
      <c r="AH520">
        <v>-0.45309097060418829</v>
      </c>
      <c r="AI520">
        <v>2.8675182133921546E-4</v>
      </c>
    </row>
    <row r="521" spans="23:35" x14ac:dyDescent="0.25">
      <c r="W521">
        <v>519</v>
      </c>
      <c r="X521">
        <v>72.949995090433106</v>
      </c>
      <c r="Y521">
        <v>-4.3499950904331115</v>
      </c>
      <c r="Z521">
        <v>72.963437566300399</v>
      </c>
      <c r="AA521">
        <v>0.40570042449969679</v>
      </c>
      <c r="AB521">
        <v>66.2</v>
      </c>
      <c r="AC521">
        <v>-0.24253103988010652</v>
      </c>
      <c r="AD521">
        <v>-0.99866122861918705</v>
      </c>
      <c r="AE521">
        <v>-0.44975699400934438</v>
      </c>
      <c r="AF521">
        <v>3.0807077362824649E-3</v>
      </c>
      <c r="AG521">
        <v>-1.0002030837253661</v>
      </c>
      <c r="AH521">
        <v>-0.45071529349043415</v>
      </c>
      <c r="AI521">
        <v>2.3780639249677834E-4</v>
      </c>
    </row>
    <row r="522" spans="23:35" x14ac:dyDescent="0.25">
      <c r="W522">
        <v>520</v>
      </c>
      <c r="X522">
        <v>73.145517377035759</v>
      </c>
      <c r="Y522">
        <v>-4.645517377035759</v>
      </c>
      <c r="Z522">
        <v>73.158829223241042</v>
      </c>
      <c r="AA522">
        <v>0.40388114008489995</v>
      </c>
      <c r="AB522">
        <v>66.2</v>
      </c>
      <c r="AC522">
        <v>-0.25193465741015014</v>
      </c>
      <c r="AD522">
        <v>-1.0665065120476718</v>
      </c>
      <c r="AE522">
        <v>-0.44876790060729771</v>
      </c>
      <c r="AF522">
        <v>2.8573372337558716E-3</v>
      </c>
      <c r="AG522">
        <v>-1.0680334694856677</v>
      </c>
      <c r="AH522">
        <v>-0.45013510100762183</v>
      </c>
      <c r="AI522">
        <v>2.5143780425408312E-4</v>
      </c>
    </row>
    <row r="523" spans="23:35" x14ac:dyDescent="0.25">
      <c r="W523">
        <v>521</v>
      </c>
      <c r="X523">
        <v>73.050912169588159</v>
      </c>
      <c r="Y523">
        <v>-4.7509121695881618</v>
      </c>
      <c r="Z523">
        <v>73.064860324253317</v>
      </c>
      <c r="AA523">
        <v>0.39599757428744692</v>
      </c>
      <c r="AB523">
        <v>66.2</v>
      </c>
      <c r="AC523">
        <v>-0.27396491687072577</v>
      </c>
      <c r="AD523">
        <v>-1.0907027906255327</v>
      </c>
      <c r="AE523">
        <v>-0.4463412084591809</v>
      </c>
      <c r="AF523">
        <v>2.9272956007037015E-3</v>
      </c>
      <c r="AG523">
        <v>-1.0923027087990611</v>
      </c>
      <c r="AH523">
        <v>-0.44732900302981732</v>
      </c>
      <c r="AI523">
        <v>2.6945262683080075E-4</v>
      </c>
    </row>
    <row r="524" spans="23:35" x14ac:dyDescent="0.25">
      <c r="W524">
        <v>522</v>
      </c>
      <c r="X524">
        <v>72.748486916778347</v>
      </c>
      <c r="Y524">
        <v>-4.6484869167783529</v>
      </c>
      <c r="Z524">
        <v>72.762294619067575</v>
      </c>
      <c r="AA524">
        <v>0.38932686476652517</v>
      </c>
      <c r="AB524">
        <v>66.2</v>
      </c>
      <c r="AC524">
        <v>-0.29295400660571042</v>
      </c>
      <c r="AD524">
        <v>-1.0671882517154463</v>
      </c>
      <c r="AE524">
        <v>-0.44336275960594168</v>
      </c>
      <c r="AF524">
        <v>2.9615679439804329E-3</v>
      </c>
      <c r="AG524">
        <v>-1.0687720457283592</v>
      </c>
      <c r="AH524">
        <v>-0.44606926660142976</v>
      </c>
      <c r="AI524">
        <v>2.6099766469502055E-4</v>
      </c>
    </row>
    <row r="525" spans="23:35" x14ac:dyDescent="0.25">
      <c r="W525">
        <v>523</v>
      </c>
      <c r="X525">
        <v>72.495451340568621</v>
      </c>
      <c r="Y525">
        <v>-4.4954513405686214</v>
      </c>
      <c r="Z525">
        <v>72.508932596621392</v>
      </c>
      <c r="AA525">
        <v>0.38447543966040026</v>
      </c>
      <c r="AB525">
        <v>66.2</v>
      </c>
      <c r="AC525">
        <v>-0.31204933220437475</v>
      </c>
      <c r="AD525">
        <v>-1.0320547186003919</v>
      </c>
      <c r="AE525">
        <v>-0.44209613374705597</v>
      </c>
      <c r="AF525">
        <v>2.9898996633630666E-3</v>
      </c>
      <c r="AG525">
        <v>-1.0336010570410994</v>
      </c>
      <c r="AH525">
        <v>-0.44442246708475935</v>
      </c>
      <c r="AI525">
        <v>2.464447628939247E-4</v>
      </c>
    </row>
    <row r="526" spans="23:35" x14ac:dyDescent="0.25">
      <c r="W526">
        <v>524</v>
      </c>
      <c r="X526">
        <v>72.29687101757257</v>
      </c>
      <c r="Y526">
        <v>-4.3968710175725647</v>
      </c>
      <c r="Z526">
        <v>72.309204689961874</v>
      </c>
      <c r="AA526">
        <v>0.37719830200121285</v>
      </c>
      <c r="AB526">
        <v>66.3</v>
      </c>
      <c r="AC526">
        <v>-0.32163939638952632</v>
      </c>
      <c r="AD526">
        <v>-1.0094228892685762</v>
      </c>
      <c r="AE526">
        <v>-0.43725482876524507</v>
      </c>
      <c r="AF526">
        <v>2.7972555725026714E-3</v>
      </c>
      <c r="AG526">
        <v>-1.0108376649793671</v>
      </c>
      <c r="AH526">
        <v>-0.43973580479887686</v>
      </c>
      <c r="AI526">
        <v>2.2047947294347249E-4</v>
      </c>
    </row>
    <row r="527" spans="23:35" x14ac:dyDescent="0.25">
      <c r="W527">
        <v>525</v>
      </c>
      <c r="X527">
        <v>71.803062469590202</v>
      </c>
      <c r="Y527">
        <v>-4.0030624695902048</v>
      </c>
      <c r="Z527">
        <v>71.814478244206811</v>
      </c>
      <c r="AA527">
        <v>0.37355973317161917</v>
      </c>
      <c r="AB527">
        <v>66.3</v>
      </c>
      <c r="AC527">
        <v>-0.337689309602062</v>
      </c>
      <c r="AD527">
        <v>-0.91901328645460056</v>
      </c>
      <c r="AE527">
        <v>-0.43655420867930628</v>
      </c>
      <c r="AF527">
        <v>2.8436508861614564E-3</v>
      </c>
      <c r="AG527">
        <v>-0.92032275634697036</v>
      </c>
      <c r="AH527">
        <v>-0.43722006138444419</v>
      </c>
      <c r="AI527">
        <v>1.8580183015431563E-4</v>
      </c>
    </row>
    <row r="528" spans="23:35" x14ac:dyDescent="0.25">
      <c r="W528">
        <v>526</v>
      </c>
      <c r="X528">
        <v>66.621628443562486</v>
      </c>
      <c r="Y528">
        <v>1.0783715564375171</v>
      </c>
      <c r="Z528">
        <v>66.593757074169957</v>
      </c>
      <c r="AA528">
        <v>0.36749545178896303</v>
      </c>
      <c r="AB528">
        <v>66.3</v>
      </c>
      <c r="AC528">
        <v>-0.35059197017921911</v>
      </c>
      <c r="AD528">
        <v>0.2475699032002012</v>
      </c>
      <c r="AE528">
        <v>-0.4362481542463757</v>
      </c>
      <c r="AF528">
        <v>2.5194619320716823E-2</v>
      </c>
      <c r="AG528">
        <v>0.25074881425512036</v>
      </c>
      <c r="AH528">
        <v>-0.43720037029832221</v>
      </c>
      <c r="AI528">
        <v>1.2500411412993864E-4</v>
      </c>
    </row>
    <row r="529" spans="23:35" x14ac:dyDescent="0.25">
      <c r="W529">
        <v>527</v>
      </c>
      <c r="X529">
        <v>82.886131212429746</v>
      </c>
      <c r="Y529">
        <v>-0.68613121242974273</v>
      </c>
      <c r="Z529">
        <v>82.892650262291824</v>
      </c>
      <c r="AA529">
        <v>0.96846573681018799</v>
      </c>
      <c r="AB529">
        <v>66.400000000000006</v>
      </c>
      <c r="AC529">
        <v>1.8460302671294702</v>
      </c>
      <c r="AD529">
        <v>-0.15752032481738629</v>
      </c>
      <c r="AE529">
        <v>-0.4336664128811682</v>
      </c>
      <c r="AF529">
        <v>9.41174820393402E-3</v>
      </c>
      <c r="AG529">
        <v>-0.15826686950511568</v>
      </c>
      <c r="AH529">
        <v>-0.43453915196995996</v>
      </c>
      <c r="AI529">
        <v>1.8306857407279606E-5</v>
      </c>
    </row>
    <row r="530" spans="23:35" x14ac:dyDescent="0.25">
      <c r="W530">
        <v>528</v>
      </c>
      <c r="X530">
        <v>82.885471607691031</v>
      </c>
      <c r="Y530">
        <v>-0.88547160769103073</v>
      </c>
      <c r="Z530">
        <v>82.893997080629873</v>
      </c>
      <c r="AA530">
        <v>0.96604002425712554</v>
      </c>
      <c r="AB530">
        <v>66.400000000000006</v>
      </c>
      <c r="AC530">
        <v>1.7539324289023792</v>
      </c>
      <c r="AD530">
        <v>-0.20328440498448627</v>
      </c>
      <c r="AE530">
        <v>-0.43068140717448017</v>
      </c>
      <c r="AF530">
        <v>9.5363543389141298E-3</v>
      </c>
      <c r="AG530">
        <v>-0.20426068926355437</v>
      </c>
      <c r="AH530">
        <v>-0.43163614167169001</v>
      </c>
      <c r="AI530">
        <v>3.0900824948821736E-5</v>
      </c>
    </row>
    <row r="531" spans="23:35" x14ac:dyDescent="0.25">
      <c r="W531">
        <v>529</v>
      </c>
      <c r="X531">
        <v>78.88584402789057</v>
      </c>
      <c r="Y531">
        <v>2.6141559721094296</v>
      </c>
      <c r="Z531">
        <v>78.868781870090572</v>
      </c>
      <c r="AA531">
        <v>0.94966646452395387</v>
      </c>
      <c r="AB531">
        <v>66.400000000000006</v>
      </c>
      <c r="AC531">
        <v>1.6214924498394727</v>
      </c>
      <c r="AD531">
        <v>0.60015153135472987</v>
      </c>
      <c r="AE531">
        <v>-0.43059987951069939</v>
      </c>
      <c r="AF531">
        <v>6.4845090591513516E-3</v>
      </c>
      <c r="AG531">
        <v>0.60210689018776342</v>
      </c>
      <c r="AH531">
        <v>-0.43113115166873273</v>
      </c>
      <c r="AI531">
        <v>1.8201463122911491E-4</v>
      </c>
    </row>
    <row r="532" spans="23:35" x14ac:dyDescent="0.25">
      <c r="W532">
        <v>530</v>
      </c>
      <c r="X532">
        <v>75.154961381723638</v>
      </c>
      <c r="Y532">
        <v>6.5450386182763651</v>
      </c>
      <c r="Z532">
        <v>75.061960355480892</v>
      </c>
      <c r="AA532">
        <v>0.95573074590661011</v>
      </c>
      <c r="AB532">
        <v>66.400000000000006</v>
      </c>
      <c r="AC532">
        <v>1.6624525291871317</v>
      </c>
      <c r="AD532">
        <v>1.5025939505685995</v>
      </c>
      <c r="AE532">
        <v>-0.43024896307095167</v>
      </c>
      <c r="AF532">
        <v>1.40103149759776E-2</v>
      </c>
      <c r="AG532">
        <v>1.5132317686469461</v>
      </c>
      <c r="AH532">
        <v>-0.43097792981279415</v>
      </c>
      <c r="AI532">
        <v>2.5028975645404986E-3</v>
      </c>
    </row>
    <row r="533" spans="23:35" x14ac:dyDescent="0.25">
      <c r="W533">
        <v>531</v>
      </c>
      <c r="X533">
        <v>74.665047161509989</v>
      </c>
      <c r="Y533">
        <v>6.6349528384900083</v>
      </c>
      <c r="Z533">
        <v>74.568837810312701</v>
      </c>
      <c r="AA533">
        <v>0.94481503941782896</v>
      </c>
      <c r="AB533">
        <v>66.400000000000006</v>
      </c>
      <c r="AC533">
        <v>1.5725296242490356</v>
      </c>
      <c r="AD533">
        <v>1.5232362372291928</v>
      </c>
      <c r="AE533">
        <v>-0.42651673227339854</v>
      </c>
      <c r="AF533">
        <v>1.4293126281325888E-2</v>
      </c>
      <c r="AG533">
        <v>1.5342402439358769</v>
      </c>
      <c r="AH533">
        <v>-0.42957503261186986</v>
      </c>
      <c r="AI533">
        <v>2.6255653606652297E-3</v>
      </c>
    </row>
    <row r="534" spans="23:35" x14ac:dyDescent="0.25">
      <c r="W534">
        <v>532</v>
      </c>
      <c r="X534">
        <v>82.541695289925656</v>
      </c>
      <c r="Y534">
        <v>-1.4416952899256614</v>
      </c>
      <c r="Z534">
        <v>82.557198105479827</v>
      </c>
      <c r="AA534">
        <v>0.93935718617343844</v>
      </c>
      <c r="AB534">
        <v>66.5</v>
      </c>
      <c r="AC534">
        <v>1.5222105313262397</v>
      </c>
      <c r="AD534">
        <v>-0.33098087689756556</v>
      </c>
      <c r="AE534">
        <v>-0.42584976187241058</v>
      </c>
      <c r="AF534">
        <v>1.0638783769940621E-2</v>
      </c>
      <c r="AG534">
        <v>-0.33275566772215032</v>
      </c>
      <c r="AH534">
        <v>-0.42749153447416688</v>
      </c>
      <c r="AI534">
        <v>9.1589285475560515E-5</v>
      </c>
    </row>
    <row r="535" spans="23:35" x14ac:dyDescent="0.25">
      <c r="W535">
        <v>533</v>
      </c>
      <c r="X535">
        <v>81.32235252804206</v>
      </c>
      <c r="Y535">
        <v>7.6776474719579397</v>
      </c>
      <c r="Z535">
        <v>81.209905568218744</v>
      </c>
      <c r="AA535">
        <v>1</v>
      </c>
      <c r="AB535">
        <v>66.5</v>
      </c>
      <c r="AC535">
        <v>2.6570161854420777</v>
      </c>
      <c r="AD535">
        <v>1.7626155197538631</v>
      </c>
      <c r="AE535">
        <v>-0.42440929969412455</v>
      </c>
      <c r="AF535">
        <v>1.4434608053603078E-2</v>
      </c>
      <c r="AG535">
        <v>1.7754762502421286</v>
      </c>
      <c r="AH535">
        <v>-0.4266028039466907</v>
      </c>
      <c r="AI535">
        <v>3.5514518693452045E-3</v>
      </c>
    </row>
    <row r="536" spans="23:35" x14ac:dyDescent="0.25">
      <c r="W536">
        <v>534</v>
      </c>
      <c r="X536">
        <v>76.62447256742621</v>
      </c>
      <c r="Y536">
        <v>12.37552743257379</v>
      </c>
      <c r="Z536">
        <v>76.483319318934278</v>
      </c>
      <c r="AA536">
        <v>1</v>
      </c>
      <c r="AB536">
        <v>66.5</v>
      </c>
      <c r="AC536">
        <v>2.6570161854420777</v>
      </c>
      <c r="AD536">
        <v>2.8411433056109643</v>
      </c>
      <c r="AE536">
        <v>-0.42353956414953947</v>
      </c>
      <c r="AF536">
        <v>1.1277210954614428E-2</v>
      </c>
      <c r="AG536">
        <v>2.8573001742796742</v>
      </c>
      <c r="AH536">
        <v>-0.42471794959262305</v>
      </c>
      <c r="AI536">
        <v>7.1630097660991326E-3</v>
      </c>
    </row>
    <row r="537" spans="23:35" x14ac:dyDescent="0.25">
      <c r="W537">
        <v>535</v>
      </c>
      <c r="X537">
        <v>80.27877948090493</v>
      </c>
      <c r="Y537">
        <v>5.7212205190950698</v>
      </c>
      <c r="Z537">
        <v>80.203845405308087</v>
      </c>
      <c r="AA537">
        <v>0.99029714978775019</v>
      </c>
      <c r="AB537">
        <v>66.599999999999994</v>
      </c>
      <c r="AC537">
        <v>2.190305027167327</v>
      </c>
      <c r="AD537">
        <v>1.3134638072044145</v>
      </c>
      <c r="AE537">
        <v>-0.41937595781632281</v>
      </c>
      <c r="AF537">
        <v>1.2928239641065428E-2</v>
      </c>
      <c r="AG537">
        <v>1.3220374160316346</v>
      </c>
      <c r="AH537">
        <v>-0.42026325416815752</v>
      </c>
      <c r="AI537">
        <v>1.7609004625240541E-3</v>
      </c>
    </row>
    <row r="538" spans="23:35" x14ac:dyDescent="0.25">
      <c r="W538">
        <v>536</v>
      </c>
      <c r="X538">
        <v>79.869178047028498</v>
      </c>
      <c r="Y538">
        <v>1.1308219529715018</v>
      </c>
      <c r="Z538">
        <v>79.854525588523558</v>
      </c>
      <c r="AA538">
        <v>0.93571861734384476</v>
      </c>
      <c r="AB538">
        <v>66.599999999999994</v>
      </c>
      <c r="AC538">
        <v>1.4576525936309466</v>
      </c>
      <c r="AD538">
        <v>0.25961133689271082</v>
      </c>
      <c r="AE538">
        <v>-0.41871718045444123</v>
      </c>
      <c r="AF538">
        <v>1.2791607004169921E-2</v>
      </c>
      <c r="AG538">
        <v>0.26128786132731063</v>
      </c>
      <c r="AH538">
        <v>-0.42017234637220696</v>
      </c>
      <c r="AI538">
        <v>6.8047376355956661E-5</v>
      </c>
    </row>
    <row r="539" spans="23:35" x14ac:dyDescent="0.25">
      <c r="W539">
        <v>537</v>
      </c>
      <c r="X539">
        <v>79.671456709836008</v>
      </c>
      <c r="Y539">
        <v>2.3285432901639922</v>
      </c>
      <c r="Z539">
        <v>79.640772631797446</v>
      </c>
      <c r="AA539">
        <v>0.96604002425712554</v>
      </c>
      <c r="AB539">
        <v>66.599999999999994</v>
      </c>
      <c r="AC539">
        <v>1.7539324289023792</v>
      </c>
      <c r="AD539">
        <v>0.53458127071509021</v>
      </c>
      <c r="AE539">
        <v>-0.41765152484026818</v>
      </c>
      <c r="AF539">
        <v>1.3005985964777134E-2</v>
      </c>
      <c r="AG539">
        <v>0.53809193102495279</v>
      </c>
      <c r="AH539">
        <v>-0.41855457563626985</v>
      </c>
      <c r="AI539">
        <v>2.9349342013394107E-4</v>
      </c>
    </row>
    <row r="540" spans="23:35" x14ac:dyDescent="0.25">
      <c r="W540">
        <v>538</v>
      </c>
      <c r="X540">
        <v>79.008399575962102</v>
      </c>
      <c r="Y540">
        <v>0.29160042403789532</v>
      </c>
      <c r="Z540">
        <v>79.004398838283663</v>
      </c>
      <c r="AA540">
        <v>0.9017586416009703</v>
      </c>
      <c r="AB540">
        <v>66.599999999999994</v>
      </c>
      <c r="AC540">
        <v>1.262435852359769</v>
      </c>
      <c r="AD540">
        <v>6.6944911817490321E-2</v>
      </c>
      <c r="AE540">
        <v>-0.41449074494714971</v>
      </c>
      <c r="AF540">
        <v>1.3534242068649978E-2</v>
      </c>
      <c r="AG540">
        <v>6.7402587130192579E-2</v>
      </c>
      <c r="AH540">
        <v>-0.41521448870288424</v>
      </c>
      <c r="AI540">
        <v>4.7947029466072798E-6</v>
      </c>
    </row>
    <row r="541" spans="23:35" x14ac:dyDescent="0.25">
      <c r="W541">
        <v>539</v>
      </c>
      <c r="X541">
        <v>78.382074428616534</v>
      </c>
      <c r="Y541">
        <v>0.81792557138346922</v>
      </c>
      <c r="Z541">
        <v>78.371280341209371</v>
      </c>
      <c r="AA541">
        <v>0.89630078835657978</v>
      </c>
      <c r="AB541">
        <v>66.599999999999994</v>
      </c>
      <c r="AC541">
        <v>1.2457497672431228</v>
      </c>
      <c r="AD541">
        <v>0.18777735125111084</v>
      </c>
      <c r="AE541">
        <v>-0.4120993092456029</v>
      </c>
      <c r="AF541">
        <v>1.3025016714243061E-2</v>
      </c>
      <c r="AG541">
        <v>0.18901233021736805</v>
      </c>
      <c r="AH541">
        <v>-0.41334258675372004</v>
      </c>
      <c r="AI541">
        <v>3.6266785589734156E-5</v>
      </c>
    </row>
    <row r="542" spans="23:35" x14ac:dyDescent="0.25">
      <c r="W542">
        <v>540</v>
      </c>
      <c r="X542">
        <v>79.516079858805014</v>
      </c>
      <c r="Y542">
        <v>-0.51607985880501417</v>
      </c>
      <c r="Z542">
        <v>79.52149399618267</v>
      </c>
      <c r="AA542">
        <v>0.89023650697392354</v>
      </c>
      <c r="AB542">
        <v>66.7</v>
      </c>
      <c r="AC542">
        <v>1.2070560687293583</v>
      </c>
      <c r="AD542">
        <v>-0.11848035116023932</v>
      </c>
      <c r="AE542">
        <v>-0.40887551408090561</v>
      </c>
      <c r="AF542">
        <v>1.0381974514164689E-2</v>
      </c>
      <c r="AG542">
        <v>-0.11910021188457226</v>
      </c>
      <c r="AH542">
        <v>-0.41170875531037371</v>
      </c>
      <c r="AI542">
        <v>1.1447063109494427E-5</v>
      </c>
    </row>
    <row r="543" spans="23:35" x14ac:dyDescent="0.25">
      <c r="W543">
        <v>541</v>
      </c>
      <c r="X543">
        <v>79.411976010287646</v>
      </c>
      <c r="Y543">
        <v>-0.61197601028764836</v>
      </c>
      <c r="Z543">
        <v>79.41863060497829</v>
      </c>
      <c r="AA543">
        <v>0.88174651303820495</v>
      </c>
      <c r="AB543">
        <v>66.7</v>
      </c>
      <c r="AC543">
        <v>1.1700898139672218</v>
      </c>
      <c r="AD543">
        <v>-0.14049595496405048</v>
      </c>
      <c r="AE543">
        <v>-0.40590321233878851</v>
      </c>
      <c r="AF543">
        <v>1.075697619402103E-2</v>
      </c>
      <c r="AG543">
        <v>-0.14125776238295482</v>
      </c>
      <c r="AH543">
        <v>-0.40701783131997982</v>
      </c>
      <c r="AI543">
        <v>1.6690467591691256E-5</v>
      </c>
    </row>
    <row r="544" spans="23:35" x14ac:dyDescent="0.25">
      <c r="W544">
        <v>542</v>
      </c>
      <c r="X544">
        <v>67.930145548340334</v>
      </c>
      <c r="Y544">
        <v>-2.4301455483403345</v>
      </c>
      <c r="Z544">
        <v>67.965945518593841</v>
      </c>
      <c r="AA544">
        <v>0.28987265009096425</v>
      </c>
      <c r="AB544">
        <v>66.8</v>
      </c>
      <c r="AC544">
        <v>-0.56174840893422073</v>
      </c>
      <c r="AD544">
        <v>-0.55790686853105631</v>
      </c>
      <c r="AE544">
        <v>-0.40587332924419101</v>
      </c>
      <c r="AF544">
        <v>1.4517745823484658E-2</v>
      </c>
      <c r="AG544">
        <v>-0.56200127912552611</v>
      </c>
      <c r="AH544">
        <v>-0.40682146758794685</v>
      </c>
      <c r="AI544">
        <v>3.5791643089267913E-4</v>
      </c>
    </row>
    <row r="545" spans="23:35" x14ac:dyDescent="0.25">
      <c r="W545">
        <v>543</v>
      </c>
      <c r="X545">
        <v>68.513382321382181</v>
      </c>
      <c r="Y545">
        <v>-3.913382321382187</v>
      </c>
      <c r="Z545">
        <v>68.523773290642097</v>
      </c>
      <c r="AA545">
        <v>0.25773195876288657</v>
      </c>
      <c r="AB545">
        <v>66.8</v>
      </c>
      <c r="AC545">
        <v>-0.66071795340131467</v>
      </c>
      <c r="AD545">
        <v>-0.89842473747229523</v>
      </c>
      <c r="AE545">
        <v>-0.40306025019066249</v>
      </c>
      <c r="AF545">
        <v>2.6482083673622053E-3</v>
      </c>
      <c r="AG545">
        <v>-0.89961671339952454</v>
      </c>
      <c r="AH545">
        <v>-0.40390125187347642</v>
      </c>
      <c r="AI545">
        <v>1.6530099190061983E-4</v>
      </c>
    </row>
    <row r="546" spans="23:35" x14ac:dyDescent="0.25">
      <c r="W546">
        <v>544</v>
      </c>
      <c r="X546">
        <v>65.829293244378675</v>
      </c>
      <c r="Y546">
        <v>-2.3292932443786754</v>
      </c>
      <c r="Z546">
        <v>65.864203451679657</v>
      </c>
      <c r="AA546">
        <v>0.23226197695573075</v>
      </c>
      <c r="AB546">
        <v>66.8</v>
      </c>
      <c r="AC546">
        <v>-0.74038552290047832</v>
      </c>
      <c r="AD546">
        <v>-0.53475344336859298</v>
      </c>
      <c r="AE546">
        <v>-0.40244394997569516</v>
      </c>
      <c r="AF546">
        <v>1.4766160364151593E-2</v>
      </c>
      <c r="AG546">
        <v>-0.53874584000706516</v>
      </c>
      <c r="AH546">
        <v>-0.40312188696112627</v>
      </c>
      <c r="AI546">
        <v>3.3462067253889257E-4</v>
      </c>
    </row>
    <row r="547" spans="23:35" x14ac:dyDescent="0.25">
      <c r="W547">
        <v>545</v>
      </c>
      <c r="X547">
        <v>65.642497023516825</v>
      </c>
      <c r="Y547">
        <v>-2.8424970235168274</v>
      </c>
      <c r="Z547">
        <v>65.653362886361776</v>
      </c>
      <c r="AA547">
        <v>0.21467556094602788</v>
      </c>
      <c r="AB547">
        <v>66.8</v>
      </c>
      <c r="AC547">
        <v>-0.79968509868701798</v>
      </c>
      <c r="AD547">
        <v>-0.65257351119655171</v>
      </c>
      <c r="AE547">
        <v>-0.39776140764303319</v>
      </c>
      <c r="AF547">
        <v>3.8080900599366534E-3</v>
      </c>
      <c r="AG547">
        <v>-0.65381960059426625</v>
      </c>
      <c r="AH547">
        <v>-0.40020187508934746</v>
      </c>
      <c r="AI547">
        <v>1.2570041742163168E-4</v>
      </c>
    </row>
    <row r="548" spans="23:35" x14ac:dyDescent="0.25">
      <c r="W548">
        <v>546</v>
      </c>
      <c r="X548">
        <v>65.346207531410613</v>
      </c>
      <c r="Y548">
        <v>-3.0462075314106158</v>
      </c>
      <c r="Z548">
        <v>65.357845644657388</v>
      </c>
      <c r="AA548">
        <v>0.20557913887204365</v>
      </c>
      <c r="AB548">
        <v>66.8</v>
      </c>
      <c r="AC548">
        <v>-0.82505741806651978</v>
      </c>
      <c r="AD548">
        <v>-0.69934087112835197</v>
      </c>
      <c r="AE548">
        <v>-0.39769171942730369</v>
      </c>
      <c r="AF548">
        <v>3.8059845391811868E-3</v>
      </c>
      <c r="AG548">
        <v>-0.7006755223569987</v>
      </c>
      <c r="AH548">
        <v>-0.39883043162365317</v>
      </c>
      <c r="AI548">
        <v>1.442824907514352E-4</v>
      </c>
    </row>
    <row r="549" spans="23:35" x14ac:dyDescent="0.25">
      <c r="W549">
        <v>547</v>
      </c>
      <c r="X549">
        <v>64.003492137846834</v>
      </c>
      <c r="Y549">
        <v>-2.3034921378468312</v>
      </c>
      <c r="Z549">
        <v>64.01257537302034</v>
      </c>
      <c r="AA549">
        <v>0.19102486355366888</v>
      </c>
      <c r="AB549">
        <v>66.8</v>
      </c>
      <c r="AC549">
        <v>-0.87970786716299942</v>
      </c>
      <c r="AD549">
        <v>-0.52883008846516011</v>
      </c>
      <c r="AE549">
        <v>-0.39766722174648</v>
      </c>
      <c r="AF549">
        <v>3.927757460134588E-3</v>
      </c>
      <c r="AG549">
        <v>-0.52987171607951089</v>
      </c>
      <c r="AH549">
        <v>-0.3984482997445179</v>
      </c>
      <c r="AI549">
        <v>8.5163195374169409E-5</v>
      </c>
    </row>
    <row r="550" spans="23:35" x14ac:dyDescent="0.25">
      <c r="W550">
        <v>548</v>
      </c>
      <c r="X550">
        <v>63.475618386029176</v>
      </c>
      <c r="Y550">
        <v>-1.8756183860291742</v>
      </c>
      <c r="Z550">
        <v>63.484656805143004</v>
      </c>
      <c r="AA550">
        <v>0.18920557913887204</v>
      </c>
      <c r="AB550">
        <v>66.8</v>
      </c>
      <c r="AC550">
        <v>-0.88869659543514345</v>
      </c>
      <c r="AD550">
        <v>-0.43059987951069939</v>
      </c>
      <c r="AE550">
        <v>-0.39214912016789594</v>
      </c>
      <c r="AF550">
        <v>4.7957904532893395E-3</v>
      </c>
      <c r="AG550">
        <v>-0.43163614167169001</v>
      </c>
      <c r="AH550">
        <v>-0.39372792277834956</v>
      </c>
      <c r="AI550">
        <v>6.9062174068493611E-5</v>
      </c>
    </row>
    <row r="551" spans="23:35" x14ac:dyDescent="0.25">
      <c r="W551">
        <v>549</v>
      </c>
      <c r="X551">
        <v>63.457832904900272</v>
      </c>
      <c r="Y551">
        <v>-1.8578329049002704</v>
      </c>
      <c r="Z551">
        <v>63.466334747880936</v>
      </c>
      <c r="AA551">
        <v>0.18920557913887204</v>
      </c>
      <c r="AB551">
        <v>66.900000000000006</v>
      </c>
      <c r="AC551">
        <v>-0.88869659543514345</v>
      </c>
      <c r="AD551">
        <v>-0.42651673227339854</v>
      </c>
      <c r="AE551">
        <v>-0.39049708303156044</v>
      </c>
      <c r="AF551">
        <v>4.5553687463186065E-3</v>
      </c>
      <c r="AG551">
        <v>-0.42749153447416688</v>
      </c>
      <c r="AH551">
        <v>-0.39353012127302262</v>
      </c>
      <c r="AI551">
        <v>6.4330675942916889E-5</v>
      </c>
    </row>
    <row r="552" spans="23:35" x14ac:dyDescent="0.25">
      <c r="W552">
        <v>550</v>
      </c>
      <c r="X552">
        <v>60.668225044692456</v>
      </c>
      <c r="Y552">
        <v>0.731774955307543</v>
      </c>
      <c r="Z552">
        <v>60.662874984647267</v>
      </c>
      <c r="AA552">
        <v>0.18617343844754397</v>
      </c>
      <c r="AB552">
        <v>66.900000000000006</v>
      </c>
      <c r="AC552">
        <v>-0.90460220385671419</v>
      </c>
      <c r="AD552">
        <v>0.1679991036190846</v>
      </c>
      <c r="AE552">
        <v>-0.39021448844043016</v>
      </c>
      <c r="AF552">
        <v>7.2580090673290062E-3</v>
      </c>
      <c r="AG552">
        <v>0.16861211206907423</v>
      </c>
      <c r="AH552">
        <v>-0.39055054132604067</v>
      </c>
      <c r="AI552">
        <v>1.5988778978037626E-5</v>
      </c>
    </row>
    <row r="553" spans="23:35" x14ac:dyDescent="0.25">
      <c r="W553">
        <v>551</v>
      </c>
      <c r="X553">
        <v>59.314638615809741</v>
      </c>
      <c r="Y553">
        <v>5.6853613841902586</v>
      </c>
      <c r="Z553">
        <v>59.260264443635634</v>
      </c>
      <c r="AA553">
        <v>0.27289266221952696</v>
      </c>
      <c r="AB553">
        <v>66.900000000000006</v>
      </c>
      <c r="AC553">
        <v>-0.62335641379693996</v>
      </c>
      <c r="AD553">
        <v>1.3052313547586591</v>
      </c>
      <c r="AE553">
        <v>-0.38694651005804998</v>
      </c>
      <c r="AF553">
        <v>9.4732887325819394E-3</v>
      </c>
      <c r="AG553">
        <v>1.3114580470338315</v>
      </c>
      <c r="AH553">
        <v>-0.38749763625510492</v>
      </c>
      <c r="AI553">
        <v>1.2653190158115081E-3</v>
      </c>
    </row>
    <row r="554" spans="23:35" x14ac:dyDescent="0.25">
      <c r="W554">
        <v>552</v>
      </c>
      <c r="X554">
        <v>74.75022699788687</v>
      </c>
      <c r="Y554">
        <v>-0.25022699788686964</v>
      </c>
      <c r="Z554">
        <v>74.750609165614833</v>
      </c>
      <c r="AA554">
        <v>0.72407519708914492</v>
      </c>
      <c r="AB554">
        <v>66.900000000000006</v>
      </c>
      <c r="AC554">
        <v>0.56531175535073552</v>
      </c>
      <c r="AD554">
        <v>-5.7446501880651826E-2</v>
      </c>
      <c r="AE554">
        <v>-0.38358210308637986</v>
      </c>
      <c r="AF554">
        <v>1.5249551109607243E-3</v>
      </c>
      <c r="AG554">
        <v>-5.7490353709407888E-2</v>
      </c>
      <c r="AH554">
        <v>-0.38534102560182082</v>
      </c>
      <c r="AI554">
        <v>3.8829916256917579E-7</v>
      </c>
    </row>
    <row r="555" spans="23:35" x14ac:dyDescent="0.25">
      <c r="W555">
        <v>553</v>
      </c>
      <c r="X555">
        <v>74.68097180206459</v>
      </c>
      <c r="Y555">
        <v>-0.18097180206459029</v>
      </c>
      <c r="Z555">
        <v>74.681304767924203</v>
      </c>
      <c r="AA555">
        <v>0.72407519708914492</v>
      </c>
      <c r="AB555">
        <v>67</v>
      </c>
      <c r="AC555">
        <v>0.56531175535073552</v>
      </c>
      <c r="AD555">
        <v>-4.1547063488123974E-2</v>
      </c>
      <c r="AE555">
        <v>-0.38332949082609941</v>
      </c>
      <c r="AF555">
        <v>1.836498087878837E-3</v>
      </c>
      <c r="AG555">
        <v>-4.1585266667560385E-2</v>
      </c>
      <c r="AH555">
        <v>-0.38501842685837512</v>
      </c>
      <c r="AI555">
        <v>2.4475097129879881E-7</v>
      </c>
    </row>
    <row r="556" spans="23:35" x14ac:dyDescent="0.25">
      <c r="W556">
        <v>554</v>
      </c>
      <c r="X556">
        <v>74.598808176000333</v>
      </c>
      <c r="Y556">
        <v>-0.39880817600032969</v>
      </c>
      <c r="Z556">
        <v>74.599650816877002</v>
      </c>
      <c r="AA556">
        <v>0.7010309278350515</v>
      </c>
      <c r="AB556">
        <v>67</v>
      </c>
      <c r="AC556">
        <v>0.5039283835636299</v>
      </c>
      <c r="AD556">
        <v>-9.1557405180476115E-2</v>
      </c>
      <c r="AE556">
        <v>-0.37945005959094119</v>
      </c>
      <c r="AF556">
        <v>2.1084427732378881E-3</v>
      </c>
      <c r="AG556">
        <v>-9.1654079856776649E-2</v>
      </c>
      <c r="AH556">
        <v>-0.38255511352554533</v>
      </c>
      <c r="AI556">
        <v>1.3653334205002644E-6</v>
      </c>
    </row>
    <row r="557" spans="23:35" x14ac:dyDescent="0.25">
      <c r="W557">
        <v>555</v>
      </c>
      <c r="X557">
        <v>74.429075026766355</v>
      </c>
      <c r="Y557">
        <v>-0.52907502676634977</v>
      </c>
      <c r="Z557">
        <v>74.43054309638606</v>
      </c>
      <c r="AA557">
        <v>0.67919951485748942</v>
      </c>
      <c r="AB557">
        <v>67</v>
      </c>
      <c r="AC557">
        <v>0.43434378704136062</v>
      </c>
      <c r="AD557">
        <v>-0.1214637500222109</v>
      </c>
      <c r="AE557">
        <v>-0.3751610495380871</v>
      </c>
      <c r="AF557">
        <v>2.7671071958131751E-3</v>
      </c>
      <c r="AG557">
        <v>-0.1216321511993521</v>
      </c>
      <c r="AH557">
        <v>-0.37623058012809196</v>
      </c>
      <c r="AI557">
        <v>3.1577868519446043E-6</v>
      </c>
    </row>
    <row r="558" spans="23:35" x14ac:dyDescent="0.25">
      <c r="W558">
        <v>556</v>
      </c>
      <c r="X558">
        <v>72.892009755606637</v>
      </c>
      <c r="Y558">
        <v>0.90799024439336051</v>
      </c>
      <c r="Z558">
        <v>72.887910187091194</v>
      </c>
      <c r="AA558">
        <v>0.66767738023044265</v>
      </c>
      <c r="AB558">
        <v>67</v>
      </c>
      <c r="AC558">
        <v>0.4143837514429769</v>
      </c>
      <c r="AD558">
        <v>0.20845417849651537</v>
      </c>
      <c r="AE558">
        <v>-0.37382737395276472</v>
      </c>
      <c r="AF558">
        <v>4.4946982823614477E-3</v>
      </c>
      <c r="AG558">
        <v>0.20892423297517773</v>
      </c>
      <c r="AH558">
        <v>-0.37551332722050978</v>
      </c>
      <c r="AI558">
        <v>1.515972234794138E-5</v>
      </c>
    </row>
    <row r="559" spans="23:35" x14ac:dyDescent="0.25">
      <c r="W559">
        <v>557</v>
      </c>
      <c r="X559">
        <v>72.757971164359105</v>
      </c>
      <c r="Y559">
        <v>0.44202883564089746</v>
      </c>
      <c r="Z559">
        <v>72.755322075765179</v>
      </c>
      <c r="AA559">
        <v>0.62340812613705276</v>
      </c>
      <c r="AB559">
        <v>67</v>
      </c>
      <c r="AC559">
        <v>0.29295400660571058</v>
      </c>
      <c r="AD559">
        <v>0.10147989846174636</v>
      </c>
      <c r="AE559">
        <v>-0.37305083623026775</v>
      </c>
      <c r="AF559">
        <v>5.9573197803398682E-3</v>
      </c>
      <c r="AG559">
        <v>0.10178352986246449</v>
      </c>
      <c r="AH559">
        <v>-0.37466904564168191</v>
      </c>
      <c r="AI559">
        <v>4.7759255199420847E-6</v>
      </c>
    </row>
    <row r="560" spans="23:35" x14ac:dyDescent="0.25">
      <c r="W560">
        <v>558</v>
      </c>
      <c r="X560">
        <v>69.050243676934045</v>
      </c>
      <c r="Y560">
        <v>4.8497563230659608</v>
      </c>
      <c r="Z560">
        <v>68.95094425753777</v>
      </c>
      <c r="AA560">
        <v>0.67919951485748942</v>
      </c>
      <c r="AB560">
        <v>67</v>
      </c>
      <c r="AC560">
        <v>0.43434378704136062</v>
      </c>
      <c r="AD560">
        <v>1.1133951895137655</v>
      </c>
      <c r="AE560">
        <v>-0.37190426969056706</v>
      </c>
      <c r="AF560">
        <v>2.0064316217799676E-2</v>
      </c>
      <c r="AG560">
        <v>1.1247358919149839</v>
      </c>
      <c r="AH560">
        <v>-0.37332901360463977</v>
      </c>
      <c r="AI560">
        <v>1.9924367682388651E-3</v>
      </c>
    </row>
    <row r="561" spans="23:35" x14ac:dyDescent="0.25">
      <c r="W561">
        <v>559</v>
      </c>
      <c r="X561">
        <v>73.552899632875423</v>
      </c>
      <c r="Y561">
        <v>0.84710036712458248</v>
      </c>
      <c r="Z561">
        <v>73.550851053299937</v>
      </c>
      <c r="AA561">
        <v>0.71376591873862949</v>
      </c>
      <c r="AB561">
        <v>67</v>
      </c>
      <c r="AC561">
        <v>0.54051528578164909</v>
      </c>
      <c r="AD561">
        <v>0.19447522946794188</v>
      </c>
      <c r="AE561">
        <v>-0.36976218001679084</v>
      </c>
      <c r="AF561">
        <v>2.4125091168671442E-3</v>
      </c>
      <c r="AG561">
        <v>0.19471024141192489</v>
      </c>
      <c r="AH561">
        <v>-0.37050366787665656</v>
      </c>
      <c r="AI561">
        <v>7.0526479684002116E-6</v>
      </c>
    </row>
    <row r="562" spans="23:35" x14ac:dyDescent="0.25">
      <c r="W562">
        <v>560</v>
      </c>
      <c r="X562">
        <v>73.233592204426287</v>
      </c>
      <c r="Y562">
        <v>0.66640779557371843</v>
      </c>
      <c r="Z562">
        <v>73.232403970989239</v>
      </c>
      <c r="AA562">
        <v>0.67919951485748942</v>
      </c>
      <c r="AB562">
        <v>67</v>
      </c>
      <c r="AC562">
        <v>0.43434378704136062</v>
      </c>
      <c r="AD562">
        <v>0.15299227103789467</v>
      </c>
      <c r="AE562">
        <v>-0.35977595813332341</v>
      </c>
      <c r="AF562">
        <v>1.7798689408195772E-3</v>
      </c>
      <c r="AG562">
        <v>0.15312860615459523</v>
      </c>
      <c r="AH562">
        <v>-0.36088412834727884</v>
      </c>
      <c r="AI562">
        <v>3.2161108339770159E-6</v>
      </c>
    </row>
    <row r="563" spans="23:35" x14ac:dyDescent="0.25">
      <c r="W563">
        <v>561</v>
      </c>
      <c r="X563">
        <v>72.587538766741744</v>
      </c>
      <c r="Y563">
        <v>1.3124612332582615</v>
      </c>
      <c r="Z563">
        <v>72.584809780278917</v>
      </c>
      <c r="AA563">
        <v>0.67919951485748942</v>
      </c>
      <c r="AB563">
        <v>67.099999999999994</v>
      </c>
      <c r="AC563">
        <v>0.43434378704136062</v>
      </c>
      <c r="AD563">
        <v>0.30131163839779124</v>
      </c>
      <c r="AE563">
        <v>-0.35786545262063024</v>
      </c>
      <c r="AF563">
        <v>2.074974723734014E-3</v>
      </c>
      <c r="AG563">
        <v>0.30162473274609619</v>
      </c>
      <c r="AH563">
        <v>-0.36074108912816888</v>
      </c>
      <c r="AI563">
        <v>1.4551422309845099E-5</v>
      </c>
    </row>
    <row r="564" spans="23:35" x14ac:dyDescent="0.25">
      <c r="W564">
        <v>562</v>
      </c>
      <c r="X564">
        <v>72.022824469366554</v>
      </c>
      <c r="Y564">
        <v>0.27717553063344269</v>
      </c>
      <c r="Z564">
        <v>72.021992925201289</v>
      </c>
      <c r="AA564">
        <v>0.54578532443905392</v>
      </c>
      <c r="AB564">
        <v>67.099999999999994</v>
      </c>
      <c r="AC564">
        <v>9.896716322379942E-2</v>
      </c>
      <c r="AD564">
        <v>6.363328008676182E-2</v>
      </c>
      <c r="AE564">
        <v>-0.35617087344959186</v>
      </c>
      <c r="AF564">
        <v>2.9910899421286925E-3</v>
      </c>
      <c r="AG564">
        <v>6.3728660540838755E-2</v>
      </c>
      <c r="AH564">
        <v>-0.35698575676228705</v>
      </c>
      <c r="AI564">
        <v>9.37252616812298E-7</v>
      </c>
    </row>
    <row r="565" spans="23:35" x14ac:dyDescent="0.25">
      <c r="W565">
        <v>563</v>
      </c>
      <c r="X565">
        <v>72.062812323555534</v>
      </c>
      <c r="Y565">
        <v>0.63718767644446928</v>
      </c>
      <c r="Z565">
        <v>72.060684023186639</v>
      </c>
      <c r="AA565">
        <v>0.57246816252274102</v>
      </c>
      <c r="AB565">
        <v>67.099999999999994</v>
      </c>
      <c r="AC565">
        <v>0.16337348484333708</v>
      </c>
      <c r="AD565">
        <v>0.14628398758851965</v>
      </c>
      <c r="AE565">
        <v>-0.35578129207077858</v>
      </c>
      <c r="AF565">
        <v>3.3290273449881318E-3</v>
      </c>
      <c r="AG565">
        <v>0.14652808892029318</v>
      </c>
      <c r="AH565">
        <v>-0.35608124391176954</v>
      </c>
      <c r="AI565">
        <v>5.5165044275627379E-6</v>
      </c>
    </row>
    <row r="566" spans="23:35" x14ac:dyDescent="0.25">
      <c r="W566">
        <v>564</v>
      </c>
      <c r="X566">
        <v>72.501698415564675</v>
      </c>
      <c r="Y566">
        <v>-0.80169841556467247</v>
      </c>
      <c r="Z566">
        <v>72.504820841143101</v>
      </c>
      <c r="AA566">
        <v>0.50394178289872649</v>
      </c>
      <c r="AB566">
        <v>67.2</v>
      </c>
      <c r="AC566">
        <v>-4.5602855597810616E-3</v>
      </c>
      <c r="AD566">
        <v>-0.18405196052535233</v>
      </c>
      <c r="AE566">
        <v>-0.35513951678231681</v>
      </c>
      <c r="AF566">
        <v>3.8796529846113455E-3</v>
      </c>
      <c r="AG566">
        <v>-0.1844100316255535</v>
      </c>
      <c r="AH566">
        <v>-0.3555482615852697</v>
      </c>
      <c r="AI566">
        <v>1.0188419139321805E-5</v>
      </c>
    </row>
    <row r="567" spans="23:35" x14ac:dyDescent="0.25">
      <c r="W567">
        <v>565</v>
      </c>
      <c r="X567">
        <v>72.090051538249398</v>
      </c>
      <c r="Y567">
        <v>0.90994846175060218</v>
      </c>
      <c r="Z567">
        <v>72.087800690363281</v>
      </c>
      <c r="AA567">
        <v>0.60946027895694366</v>
      </c>
      <c r="AB567">
        <v>67.2</v>
      </c>
      <c r="AC567">
        <v>0.22222871718700732</v>
      </c>
      <c r="AD567">
        <v>0.20890374124572106</v>
      </c>
      <c r="AE567">
        <v>-0.35483412421200888</v>
      </c>
      <c r="AF567">
        <v>2.4674957132086806E-3</v>
      </c>
      <c r="AG567">
        <v>0.20916195374076799</v>
      </c>
      <c r="AH567">
        <v>-0.35545734133383866</v>
      </c>
      <c r="AI567">
        <v>8.3243700548085652E-6</v>
      </c>
    </row>
    <row r="568" spans="23:35" x14ac:dyDescent="0.25">
      <c r="W568">
        <v>566</v>
      </c>
      <c r="X568">
        <v>56.356870423145615</v>
      </c>
      <c r="Y568">
        <v>15.443129576854382</v>
      </c>
      <c r="Z568">
        <v>55.964583728793308</v>
      </c>
      <c r="AA568">
        <v>0.51061249241964823</v>
      </c>
      <c r="AB568">
        <v>67.2</v>
      </c>
      <c r="AC568">
        <v>1.0640830227304372E-2</v>
      </c>
      <c r="AD568">
        <v>3.5453958996103494</v>
      </c>
      <c r="AE568">
        <v>-0.35307528169736502</v>
      </c>
      <c r="AF568">
        <v>2.4772742795880709E-2</v>
      </c>
      <c r="AG568">
        <v>3.5901436207326078</v>
      </c>
      <c r="AH568">
        <v>-0.35531159573964466</v>
      </c>
      <c r="AI568">
        <v>2.5185382740631257E-2</v>
      </c>
    </row>
    <row r="569" spans="23:35" x14ac:dyDescent="0.25">
      <c r="W569">
        <v>567</v>
      </c>
      <c r="X569">
        <v>79.286782141015735</v>
      </c>
      <c r="Y569">
        <v>9.7132178589842653</v>
      </c>
      <c r="Z569">
        <v>79.22676365008752</v>
      </c>
      <c r="AA569">
        <v>1</v>
      </c>
      <c r="AB569">
        <v>67.2</v>
      </c>
      <c r="AC569">
        <v>2.6570161854420777</v>
      </c>
      <c r="AD569">
        <v>2.2299367882581325</v>
      </c>
      <c r="AE569">
        <v>-0.35247323959271976</v>
      </c>
      <c r="AF569">
        <v>6.1411070784912038E-3</v>
      </c>
      <c r="AG569">
        <v>2.2368156275861959</v>
      </c>
      <c r="AH569">
        <v>-0.35357378134152734</v>
      </c>
      <c r="AI569">
        <v>2.378148478828689E-3</v>
      </c>
    </row>
    <row r="570" spans="23:35" x14ac:dyDescent="0.25">
      <c r="W570">
        <v>568</v>
      </c>
      <c r="X570">
        <v>79.204520695146726</v>
      </c>
      <c r="Y570">
        <v>6.7954793048532736</v>
      </c>
      <c r="Z570">
        <v>79.163716319439104</v>
      </c>
      <c r="AA570">
        <v>0.99029714978775019</v>
      </c>
      <c r="AB570">
        <v>67.2</v>
      </c>
      <c r="AC570">
        <v>2.190305027167327</v>
      </c>
      <c r="AD570">
        <v>1.5600895105758239</v>
      </c>
      <c r="AE570">
        <v>-0.35079182832719175</v>
      </c>
      <c r="AF570">
        <v>5.9687949790109846E-3</v>
      </c>
      <c r="AG570">
        <v>1.5647663847167479</v>
      </c>
      <c r="AH570">
        <v>-0.35171105922276708</v>
      </c>
      <c r="AI570">
        <v>1.1309471401352419E-3</v>
      </c>
    </row>
    <row r="571" spans="23:35" x14ac:dyDescent="0.25">
      <c r="W571">
        <v>569</v>
      </c>
      <c r="X571">
        <v>73.959375374230575</v>
      </c>
      <c r="Y571">
        <v>12.040624625769425</v>
      </c>
      <c r="Z571">
        <v>73.812907047992226</v>
      </c>
      <c r="AA571">
        <v>0.99029714978775019</v>
      </c>
      <c r="AB571">
        <v>67.2</v>
      </c>
      <c r="AC571">
        <v>2.190305027167327</v>
      </c>
      <c r="AD571">
        <v>2.7642571387169319</v>
      </c>
      <c r="AE571">
        <v>-0.34879883708606857</v>
      </c>
      <c r="AF571">
        <v>1.2018315345188539E-2</v>
      </c>
      <c r="AG571">
        <v>2.7810192370850371</v>
      </c>
      <c r="AH571">
        <v>-0.35145875610171201</v>
      </c>
      <c r="AI571">
        <v>7.2370127077653577E-3</v>
      </c>
    </row>
    <row r="572" spans="23:35" x14ac:dyDescent="0.25">
      <c r="W572">
        <v>570</v>
      </c>
      <c r="X572">
        <v>73.863031703186195</v>
      </c>
      <c r="Y572">
        <v>11.136968296813805</v>
      </c>
      <c r="Z572">
        <v>73.727263048730038</v>
      </c>
      <c r="AA572">
        <v>0.98544572468162528</v>
      </c>
      <c r="AB572">
        <v>67.3</v>
      </c>
      <c r="AC572">
        <v>2.1134016615055304</v>
      </c>
      <c r="AD572">
        <v>2.5567979299217165</v>
      </c>
      <c r="AE572">
        <v>-0.34801329428435668</v>
      </c>
      <c r="AF572">
        <v>1.2043983199737776E-2</v>
      </c>
      <c r="AG572">
        <v>2.5723354374068599</v>
      </c>
      <c r="AH572">
        <v>-0.35054948808687492</v>
      </c>
      <c r="AI572">
        <v>6.2050370611306995E-3</v>
      </c>
    </row>
    <row r="573" spans="23:35" x14ac:dyDescent="0.25">
      <c r="W573">
        <v>571</v>
      </c>
      <c r="X573">
        <v>82.669716772140362</v>
      </c>
      <c r="Y573">
        <v>-1.6697167721403616</v>
      </c>
      <c r="Z573">
        <v>82.684462610361166</v>
      </c>
      <c r="AA573">
        <v>0.93571861734384476</v>
      </c>
      <c r="AB573">
        <v>67.3</v>
      </c>
      <c r="AC573">
        <v>1.4576525936309466</v>
      </c>
      <c r="AD573">
        <v>-0.38332949082609941</v>
      </c>
      <c r="AE573">
        <v>-0.34770637160431217</v>
      </c>
      <c r="AF573">
        <v>8.7540311848434728E-3</v>
      </c>
      <c r="AG573">
        <v>-0.38501842685837512</v>
      </c>
      <c r="AH573">
        <v>-0.34904670242474406</v>
      </c>
      <c r="AI573">
        <v>1.007039100537652E-4</v>
      </c>
    </row>
    <row r="574" spans="23:35" x14ac:dyDescent="0.25">
      <c r="W574">
        <v>572</v>
      </c>
      <c r="X574">
        <v>82.689445344835164</v>
      </c>
      <c r="Y574">
        <v>-2.6894453448351641</v>
      </c>
      <c r="Z574">
        <v>82.713484894708515</v>
      </c>
      <c r="AA574">
        <v>0.92722862340812617</v>
      </c>
      <c r="AB574">
        <v>67.3</v>
      </c>
      <c r="AC574">
        <v>1.4191611772342045</v>
      </c>
      <c r="AD574">
        <v>-0.6174362813153933</v>
      </c>
      <c r="AE574">
        <v>-0.3453089798314623</v>
      </c>
      <c r="AF574">
        <v>8.8592901033762647E-3</v>
      </c>
      <c r="AG574">
        <v>-0.62018961287237628</v>
      </c>
      <c r="AH574">
        <v>-0.34754043039287907</v>
      </c>
      <c r="AI574">
        <v>2.644656261821392E-4</v>
      </c>
    </row>
    <row r="575" spans="23:35" x14ac:dyDescent="0.25">
      <c r="W575">
        <v>573</v>
      </c>
      <c r="X575">
        <v>81.404106021044015</v>
      </c>
      <c r="Y575">
        <v>-1.5041060210440094</v>
      </c>
      <c r="Z575">
        <v>81.423608455450733</v>
      </c>
      <c r="AA575">
        <v>0.92177077016373554</v>
      </c>
      <c r="AB575">
        <v>67.3</v>
      </c>
      <c r="AC575">
        <v>1.3946242806491955</v>
      </c>
      <c r="AD575">
        <v>-0.3453089798314623</v>
      </c>
      <c r="AE575">
        <v>-0.34282075486098074</v>
      </c>
      <c r="AF575">
        <v>1.2800161574940218E-2</v>
      </c>
      <c r="AG575">
        <v>-0.34754043039287907</v>
      </c>
      <c r="AH575">
        <v>-0.34554143893858091</v>
      </c>
      <c r="AI575">
        <v>1.204696623290284E-4</v>
      </c>
    </row>
    <row r="576" spans="23:35" x14ac:dyDescent="0.25">
      <c r="W576">
        <v>574</v>
      </c>
      <c r="X576">
        <v>80.839336106781161</v>
      </c>
      <c r="Y576">
        <v>-1.0393361067811639</v>
      </c>
      <c r="Z576">
        <v>80.851623826929981</v>
      </c>
      <c r="AA576">
        <v>0.91813220133414186</v>
      </c>
      <c r="AB576">
        <v>67.3</v>
      </c>
      <c r="AC576">
        <v>1.3748000243745633</v>
      </c>
      <c r="AD576">
        <v>-0.23860824018608623</v>
      </c>
      <c r="AE576">
        <v>-0.34173283352159278</v>
      </c>
      <c r="AF576">
        <v>1.1684520485520411E-2</v>
      </c>
      <c r="AG576">
        <v>-0.24001458806778919</v>
      </c>
      <c r="AH576">
        <v>-0.3437967752278776</v>
      </c>
      <c r="AI576">
        <v>5.2389858112619918E-5</v>
      </c>
    </row>
    <row r="577" spans="23:35" x14ac:dyDescent="0.25">
      <c r="W577">
        <v>575</v>
      </c>
      <c r="X577">
        <v>80.128497846083349</v>
      </c>
      <c r="Y577">
        <v>-0.52849784608335426</v>
      </c>
      <c r="Z577">
        <v>80.13374266030651</v>
      </c>
      <c r="AA577">
        <v>0.91206791995148573</v>
      </c>
      <c r="AB577">
        <v>67.3</v>
      </c>
      <c r="AC577">
        <v>1.3404190152831756</v>
      </c>
      <c r="AD577">
        <v>-0.12133124229334398</v>
      </c>
      <c r="AE577">
        <v>-0.33974675405625604</v>
      </c>
      <c r="AF577">
        <v>9.8264849583948512E-3</v>
      </c>
      <c r="AG577">
        <v>-0.12193180179097282</v>
      </c>
      <c r="AH577">
        <v>-0.34353317005561185</v>
      </c>
      <c r="AI577">
        <v>1.134952062811725E-5</v>
      </c>
    </row>
    <row r="578" spans="23:35" x14ac:dyDescent="0.25">
      <c r="W578">
        <v>576</v>
      </c>
      <c r="X578">
        <v>80.347946818390184</v>
      </c>
      <c r="Y578">
        <v>-1.1479468183901815</v>
      </c>
      <c r="Z578">
        <v>80.367683979206888</v>
      </c>
      <c r="AA578">
        <v>0.89630078835657978</v>
      </c>
      <c r="AB578">
        <v>67.3</v>
      </c>
      <c r="AC578">
        <v>1.2457497672431228</v>
      </c>
      <c r="AD578">
        <v>-0.26354282159175541</v>
      </c>
      <c r="AE578">
        <v>-0.33938166740189624</v>
      </c>
      <c r="AF578">
        <v>1.6902827450029648E-2</v>
      </c>
      <c r="AG578">
        <v>-0.26579877057626922</v>
      </c>
      <c r="AH578">
        <v>-0.34029834690485145</v>
      </c>
      <c r="AI578">
        <v>9.3438421775268447E-5</v>
      </c>
    </row>
    <row r="579" spans="23:35" x14ac:dyDescent="0.25">
      <c r="W579">
        <v>577</v>
      </c>
      <c r="X579">
        <v>79.567951424424365</v>
      </c>
      <c r="Y579">
        <v>-0.46795142442437054</v>
      </c>
      <c r="Z579">
        <v>79.572306458512188</v>
      </c>
      <c r="AA579">
        <v>0.89326864766525171</v>
      </c>
      <c r="AB579">
        <v>67.3</v>
      </c>
      <c r="AC579">
        <v>1.2294035019788656</v>
      </c>
      <c r="AD579">
        <v>-0.10743114296324663</v>
      </c>
      <c r="AE579">
        <v>-0.33659642509421073</v>
      </c>
      <c r="AF579">
        <v>9.2207802991685645E-3</v>
      </c>
      <c r="AG579">
        <v>-0.10792989426628145</v>
      </c>
      <c r="AH579">
        <v>-0.33993056334955124</v>
      </c>
      <c r="AI579">
        <v>8.339325700990652E-6</v>
      </c>
    </row>
    <row r="580" spans="23:35" x14ac:dyDescent="0.25">
      <c r="W580">
        <v>578</v>
      </c>
      <c r="X580">
        <v>76.885990078284863</v>
      </c>
      <c r="Y580">
        <v>1.6140099217151374</v>
      </c>
      <c r="Z580">
        <v>76.859657722897694</v>
      </c>
      <c r="AA580">
        <v>0.87265009096422075</v>
      </c>
      <c r="AB580">
        <v>67.3</v>
      </c>
      <c r="AC580">
        <v>1.128888636463274</v>
      </c>
      <c r="AD580">
        <v>0.37054044841763528</v>
      </c>
      <c r="AE580">
        <v>-0.33406687304421145</v>
      </c>
      <c r="AF580">
        <v>1.6052963917804128E-2</v>
      </c>
      <c r="AG580">
        <v>0.37355087826257838</v>
      </c>
      <c r="AH580">
        <v>-0.33939149093368887</v>
      </c>
      <c r="AI580">
        <v>1.751215848834741E-4</v>
      </c>
    </row>
    <row r="581" spans="23:35" x14ac:dyDescent="0.25">
      <c r="W581">
        <v>579</v>
      </c>
      <c r="X581">
        <v>76.015054521066844</v>
      </c>
      <c r="Y581">
        <v>2.3849454789331617</v>
      </c>
      <c r="Z581">
        <v>75.996645884039822</v>
      </c>
      <c r="AA581">
        <v>0.87022437841115829</v>
      </c>
      <c r="AB581">
        <v>67.3</v>
      </c>
      <c r="AC581">
        <v>1.1231576917613038</v>
      </c>
      <c r="AD581">
        <v>0.54752994719909565</v>
      </c>
      <c r="AE581">
        <v>-0.33216394508180042</v>
      </c>
      <c r="AF581">
        <v>7.6595608215917748E-3</v>
      </c>
      <c r="AG581">
        <v>0.54963899018568452</v>
      </c>
      <c r="AH581">
        <v>-0.33275566772215032</v>
      </c>
      <c r="AI581">
        <v>1.7937210016432672E-4</v>
      </c>
    </row>
    <row r="582" spans="23:35" x14ac:dyDescent="0.25">
      <c r="W582">
        <v>580</v>
      </c>
      <c r="X582">
        <v>77.951097474952576</v>
      </c>
      <c r="Y582">
        <v>0.34890252504742136</v>
      </c>
      <c r="Z582">
        <v>77.948316326002441</v>
      </c>
      <c r="AA582">
        <v>0.86901152213462707</v>
      </c>
      <c r="AB582">
        <v>67.400000000000006</v>
      </c>
      <c r="AC582">
        <v>1.1118051137279645</v>
      </c>
      <c r="AD582">
        <v>8.0100187951591961E-2</v>
      </c>
      <c r="AE582">
        <v>-0.33098087689756556</v>
      </c>
      <c r="AF582">
        <v>7.9080979748572845E-3</v>
      </c>
      <c r="AG582">
        <v>8.0418798974322372E-2</v>
      </c>
      <c r="AH582">
        <v>-0.33272000327761792</v>
      </c>
      <c r="AI582">
        <v>3.9654451745011224E-6</v>
      </c>
    </row>
    <row r="583" spans="23:35" x14ac:dyDescent="0.25">
      <c r="W583">
        <v>581</v>
      </c>
      <c r="X583">
        <v>75.581269898636307</v>
      </c>
      <c r="Y583">
        <v>2.4187301013636926</v>
      </c>
      <c r="Z583">
        <v>75.512924966284729</v>
      </c>
      <c r="AA583">
        <v>0.86294724075197093</v>
      </c>
      <c r="AB583">
        <v>67.400000000000006</v>
      </c>
      <c r="AC583">
        <v>1.0491313979639725</v>
      </c>
      <c r="AD583">
        <v>0.55528613814724448</v>
      </c>
      <c r="AE583">
        <v>-0.32850925917613155</v>
      </c>
      <c r="AF583">
        <v>2.7480044399577054E-2</v>
      </c>
      <c r="AG583">
        <v>0.56307671897595535</v>
      </c>
      <c r="AH583">
        <v>-0.33235790957543171</v>
      </c>
      <c r="AI583">
        <v>6.8914514172672796E-4</v>
      </c>
    </row>
    <row r="584" spans="23:35" x14ac:dyDescent="0.25">
      <c r="W584">
        <v>582</v>
      </c>
      <c r="X584">
        <v>67.856614235446386</v>
      </c>
      <c r="Y584">
        <v>-5.756614235446385</v>
      </c>
      <c r="Z584">
        <v>67.872101172287785</v>
      </c>
      <c r="AA584">
        <v>0.20133414190418436</v>
      </c>
      <c r="AB584">
        <v>67.400000000000006</v>
      </c>
      <c r="AC584">
        <v>-0.84444052159937644</v>
      </c>
      <c r="AD584">
        <v>-1.3215894099975165</v>
      </c>
      <c r="AE584">
        <v>-0.32706380655608985</v>
      </c>
      <c r="AF584">
        <v>2.6830674617685673E-3</v>
      </c>
      <c r="AG584">
        <v>-1.3233659424871822</v>
      </c>
      <c r="AH584">
        <v>-0.32974849402894063</v>
      </c>
      <c r="AI584">
        <v>3.6242233568429741E-4</v>
      </c>
    </row>
    <row r="585" spans="23:35" x14ac:dyDescent="0.25">
      <c r="W585">
        <v>583</v>
      </c>
      <c r="X585">
        <v>66.10513151711109</v>
      </c>
      <c r="Y585">
        <v>-4.2051315171110915</v>
      </c>
      <c r="Z585">
        <v>66.174136216910483</v>
      </c>
      <c r="AA585">
        <v>0.19466343238326259</v>
      </c>
      <c r="AB585">
        <v>67.400000000000006</v>
      </c>
      <c r="AC585">
        <v>-0.86414620345364646</v>
      </c>
      <c r="AD585">
        <v>-0.96540380393056979</v>
      </c>
      <c r="AE585">
        <v>-0.32367249979491097</v>
      </c>
      <c r="AF585">
        <v>1.61447123576407E-2</v>
      </c>
      <c r="AG585">
        <v>-0.97329253785864134</v>
      </c>
      <c r="AH585">
        <v>-0.32391232051611951</v>
      </c>
      <c r="AI585">
        <v>1.1957558736845207E-3</v>
      </c>
    </row>
    <row r="586" spans="23:35" x14ac:dyDescent="0.25">
      <c r="W586">
        <v>584</v>
      </c>
      <c r="X586">
        <v>67.476839200036338</v>
      </c>
      <c r="Y586">
        <v>-5.8768392000363363</v>
      </c>
      <c r="Z586">
        <v>67.488130564921022</v>
      </c>
      <c r="AA586">
        <v>0.18920557913887204</v>
      </c>
      <c r="AB586">
        <v>67.400000000000006</v>
      </c>
      <c r="AC586">
        <v>-0.88869659543514345</v>
      </c>
      <c r="AD586">
        <v>-1.3491903631829936</v>
      </c>
      <c r="AE586">
        <v>-0.32211590745010649</v>
      </c>
      <c r="AF586">
        <v>1.9176485236179386E-3</v>
      </c>
      <c r="AG586">
        <v>-1.3504858631702792</v>
      </c>
      <c r="AH586">
        <v>-0.32264153346280622</v>
      </c>
      <c r="AI586">
        <v>2.695500188815759E-4</v>
      </c>
    </row>
    <row r="587" spans="23:35" x14ac:dyDescent="0.25">
      <c r="W587">
        <v>585</v>
      </c>
      <c r="X587">
        <v>66.908891117487414</v>
      </c>
      <c r="Y587">
        <v>-5.7088911174874113</v>
      </c>
      <c r="Z587">
        <v>66.917124351975346</v>
      </c>
      <c r="AA587">
        <v>0.18071558520315342</v>
      </c>
      <c r="AB587">
        <v>67.400000000000006</v>
      </c>
      <c r="AC587">
        <v>-0.91841998904288702</v>
      </c>
      <c r="AD587">
        <v>-1.3106332533528198</v>
      </c>
      <c r="AE587">
        <v>-0.32179009374605572</v>
      </c>
      <c r="AF587">
        <v>1.4401006486910416E-3</v>
      </c>
      <c r="AG587">
        <v>-1.3115779957676617</v>
      </c>
      <c r="AH587">
        <v>-0.32262080845773194</v>
      </c>
      <c r="AI587">
        <v>1.9083745496731484E-4</v>
      </c>
    </row>
    <row r="588" spans="23:35" x14ac:dyDescent="0.25">
      <c r="W588">
        <v>586</v>
      </c>
      <c r="X588">
        <v>66.522561494763437</v>
      </c>
      <c r="Y588">
        <v>2.4774385052365631</v>
      </c>
      <c r="Z588">
        <v>66.518836111777929</v>
      </c>
      <c r="AA588">
        <v>0.42086112795633718</v>
      </c>
      <c r="AB588">
        <v>67.5</v>
      </c>
      <c r="AC588">
        <v>-0.21444491222324932</v>
      </c>
      <c r="AD588">
        <v>0.56876426985155293</v>
      </c>
      <c r="AE588">
        <v>-0.32056560486198593</v>
      </c>
      <c r="AF588">
        <v>1.5014659060582289E-3</v>
      </c>
      <c r="AG588">
        <v>0.5691917413671419</v>
      </c>
      <c r="AH588">
        <v>-0.32248893808093476</v>
      </c>
      <c r="AI588">
        <v>3.7475019833008848E-5</v>
      </c>
    </row>
    <row r="589" spans="23:35" x14ac:dyDescent="0.25">
      <c r="W589">
        <v>587</v>
      </c>
      <c r="X589">
        <v>66.09189756974601</v>
      </c>
      <c r="Y589">
        <v>-9.1897569746009822E-2</v>
      </c>
      <c r="Z589">
        <v>66.092040882288742</v>
      </c>
      <c r="AA589">
        <v>0.31109763493026077</v>
      </c>
      <c r="AB589">
        <v>67.5</v>
      </c>
      <c r="AC589">
        <v>-0.50738317096904828</v>
      </c>
      <c r="AD589">
        <v>-2.1097619193066717E-2</v>
      </c>
      <c r="AE589">
        <v>-0.31903800813262784</v>
      </c>
      <c r="AF589">
        <v>1.5570531177528954E-3</v>
      </c>
      <c r="AG589">
        <v>-2.1114063455874261E-2</v>
      </c>
      <c r="AH589">
        <v>-0.32209187361005359</v>
      </c>
      <c r="AI589">
        <v>5.3478653953161302E-8</v>
      </c>
    </row>
    <row r="590" spans="23:35" x14ac:dyDescent="0.25">
      <c r="W590">
        <v>588</v>
      </c>
      <c r="X590">
        <v>65.708529830606921</v>
      </c>
      <c r="Y590">
        <v>-2.7085298306069205</v>
      </c>
      <c r="Z590">
        <v>65.712780053683886</v>
      </c>
      <c r="AA590">
        <v>0.22195269860521527</v>
      </c>
      <c r="AB590">
        <v>67.5</v>
      </c>
      <c r="AC590">
        <v>-0.78098898173722842</v>
      </c>
      <c r="AD590">
        <v>-0.6218176508599943</v>
      </c>
      <c r="AE590">
        <v>-0.31775712372226739</v>
      </c>
      <c r="AF590">
        <v>1.5667407577652241E-3</v>
      </c>
      <c r="AG590">
        <v>-0.62230533752255113</v>
      </c>
      <c r="AH590">
        <v>-0.31892353429296177</v>
      </c>
      <c r="AI590">
        <v>4.6745714417137706E-5</v>
      </c>
    </row>
    <row r="591" spans="23:35" x14ac:dyDescent="0.25">
      <c r="W591">
        <v>589</v>
      </c>
      <c r="X591">
        <v>65.211880614730291</v>
      </c>
      <c r="Y591">
        <v>-5.3118806147302919</v>
      </c>
      <c r="Z591">
        <v>65.221014960601508</v>
      </c>
      <c r="AA591">
        <v>0.17404487568223165</v>
      </c>
      <c r="AB591">
        <v>67.5</v>
      </c>
      <c r="AC591">
        <v>-0.94897780985887348</v>
      </c>
      <c r="AD591">
        <v>-1.2194885535966942</v>
      </c>
      <c r="AE591">
        <v>-0.31698803762214883</v>
      </c>
      <c r="AF591">
        <v>1.7166547996672558E-3</v>
      </c>
      <c r="AG591">
        <v>-1.2205366236100448</v>
      </c>
      <c r="AH591">
        <v>-0.31749625246679752</v>
      </c>
      <c r="AI591">
        <v>1.9705498461982421E-4</v>
      </c>
    </row>
    <row r="592" spans="23:35" x14ac:dyDescent="0.25">
      <c r="W592">
        <v>590</v>
      </c>
      <c r="X592">
        <v>64.32599474906435</v>
      </c>
      <c r="Y592">
        <v>-4.9259947490643512</v>
      </c>
      <c r="Z592">
        <v>64.332661272664112</v>
      </c>
      <c r="AA592">
        <v>0.16312916919345058</v>
      </c>
      <c r="AB592">
        <v>67.5</v>
      </c>
      <c r="AC592">
        <v>-0.99032898964496086</v>
      </c>
      <c r="AD592">
        <v>-1.1308978208024747</v>
      </c>
      <c r="AE592">
        <v>-0.31452585417292467</v>
      </c>
      <c r="AF592">
        <v>1.3515064650201725E-3</v>
      </c>
      <c r="AG592">
        <v>-1.1316628041578733</v>
      </c>
      <c r="AH592">
        <v>-0.31620606757499509</v>
      </c>
      <c r="AI592">
        <v>1.3332027696048182E-4</v>
      </c>
    </row>
    <row r="593" spans="23:35" x14ac:dyDescent="0.25">
      <c r="W593">
        <v>591</v>
      </c>
      <c r="X593">
        <v>63.886569776156463</v>
      </c>
      <c r="Y593">
        <v>-4.9865697761564647</v>
      </c>
      <c r="Z593">
        <v>63.893864496694661</v>
      </c>
      <c r="AA593">
        <v>0.14918132201334142</v>
      </c>
      <c r="AB593">
        <v>67.5</v>
      </c>
      <c r="AC593">
        <v>-1.0491313979639725</v>
      </c>
      <c r="AD593">
        <v>-1.1448044872979137</v>
      </c>
      <c r="AE593">
        <v>-0.31264166483823358</v>
      </c>
      <c r="AF593">
        <v>1.4607365784606646E-3</v>
      </c>
      <c r="AG593">
        <v>-1.1456415333323344</v>
      </c>
      <c r="AH593">
        <v>-0.31468544493352474</v>
      </c>
      <c r="AI593">
        <v>1.4769333787823034E-4</v>
      </c>
    </row>
    <row r="594" spans="23:35" x14ac:dyDescent="0.25">
      <c r="W594">
        <v>592</v>
      </c>
      <c r="X594">
        <v>61.979614138493069</v>
      </c>
      <c r="Y594">
        <v>-3.6796141384930721</v>
      </c>
      <c r="Z594">
        <v>62.031010886678089</v>
      </c>
      <c r="AA594">
        <v>0.13765918738629473</v>
      </c>
      <c r="AB594">
        <v>67.5</v>
      </c>
      <c r="AC594">
        <v>-1.0950400512086547</v>
      </c>
      <c r="AD594">
        <v>-0.84475681006484749</v>
      </c>
      <c r="AE594">
        <v>-0.31212587330649577</v>
      </c>
      <c r="AF594">
        <v>1.3775555672735638E-2</v>
      </c>
      <c r="AG594">
        <v>-0.85063612059070171</v>
      </c>
      <c r="AH594">
        <v>-0.31439533764093747</v>
      </c>
      <c r="AI594">
        <v>7.7745927995288757E-4</v>
      </c>
    </row>
    <row r="595" spans="23:35" x14ac:dyDescent="0.25">
      <c r="W595">
        <v>593</v>
      </c>
      <c r="X595">
        <v>59.862989839745083</v>
      </c>
      <c r="Y595">
        <v>-1.9629898397450845</v>
      </c>
      <c r="Z595">
        <v>59.884238709871518</v>
      </c>
      <c r="AA595">
        <v>0.12734990903577925</v>
      </c>
      <c r="AB595">
        <v>67.599999999999994</v>
      </c>
      <c r="AC595">
        <v>-1.1463081367501964</v>
      </c>
      <c r="AD595">
        <v>-0.45065840406077834</v>
      </c>
      <c r="AE595">
        <v>-0.31201221384068739</v>
      </c>
      <c r="AF595">
        <v>1.0708827532049991E-2</v>
      </c>
      <c r="AG595">
        <v>-0.45309097060418829</v>
      </c>
      <c r="AH595">
        <v>-0.31339665539484196</v>
      </c>
      <c r="AI595">
        <v>1.7094061140558817E-4</v>
      </c>
    </row>
    <row r="596" spans="23:35" x14ac:dyDescent="0.25">
      <c r="W596">
        <v>594</v>
      </c>
      <c r="X596">
        <v>60.316627451468875</v>
      </c>
      <c r="Y596">
        <v>-2.7166274514688737</v>
      </c>
      <c r="Z596">
        <v>60.360968166289283</v>
      </c>
      <c r="AA596">
        <v>0.12431776834445118</v>
      </c>
      <c r="AB596">
        <v>67.599999999999994</v>
      </c>
      <c r="AC596">
        <v>-1.1700898139672218</v>
      </c>
      <c r="AD596">
        <v>-0.62367668284296729</v>
      </c>
      <c r="AE596">
        <v>-0.31180378820776555</v>
      </c>
      <c r="AF596">
        <v>1.6059842834043797E-2</v>
      </c>
      <c r="AG596">
        <v>-0.6287458980738696</v>
      </c>
      <c r="AH596">
        <v>-0.31285275248913302</v>
      </c>
      <c r="AI596">
        <v>4.9634034975617309E-4</v>
      </c>
    </row>
    <row r="597" spans="23:35" x14ac:dyDescent="0.25">
      <c r="W597">
        <v>595</v>
      </c>
      <c r="X597">
        <v>80.045275040975667</v>
      </c>
      <c r="Y597">
        <v>7.9547249590243325</v>
      </c>
      <c r="Z597">
        <v>80.020117583018873</v>
      </c>
      <c r="AA597">
        <v>0.99575500303214071</v>
      </c>
      <c r="AB597">
        <v>67.599999999999994</v>
      </c>
      <c r="AC597">
        <v>2.428517260365656</v>
      </c>
      <c r="AD597">
        <v>1.82622629123841</v>
      </c>
      <c r="AE597">
        <v>-0.31086247733733657</v>
      </c>
      <c r="AF597">
        <v>3.1526101065417755E-3</v>
      </c>
      <c r="AG597">
        <v>1.8291118054409008</v>
      </c>
      <c r="AH597">
        <v>-0.31154084962253203</v>
      </c>
      <c r="AI597">
        <v>8.1391441580338738E-4</v>
      </c>
    </row>
    <row r="598" spans="23:35" x14ac:dyDescent="0.25">
      <c r="W598">
        <v>596</v>
      </c>
      <c r="X598">
        <v>80.047281197016801</v>
      </c>
      <c r="Y598">
        <v>5.952718802983199</v>
      </c>
      <c r="Z598">
        <v>80.026822997823999</v>
      </c>
      <c r="AA598">
        <v>0.99029714978775019</v>
      </c>
      <c r="AB598">
        <v>67.599999999999994</v>
      </c>
      <c r="AC598">
        <v>2.190305027167327</v>
      </c>
      <c r="AD598">
        <v>1.3666106167535568</v>
      </c>
      <c r="AE598">
        <v>-0.31049927518229076</v>
      </c>
      <c r="AF598">
        <v>3.4250113775890234E-3</v>
      </c>
      <c r="AG598">
        <v>1.3689569741579473</v>
      </c>
      <c r="AH598">
        <v>-0.31140476128014577</v>
      </c>
      <c r="AI598">
        <v>4.9543682075920922E-4</v>
      </c>
    </row>
    <row r="599" spans="23:35" x14ac:dyDescent="0.25">
      <c r="W599">
        <v>597</v>
      </c>
      <c r="X599">
        <v>79.984181431102201</v>
      </c>
      <c r="Y599">
        <v>4.0158185688977994</v>
      </c>
      <c r="Z599">
        <v>79.97070997833886</v>
      </c>
      <c r="AA599">
        <v>0.9824135839902971</v>
      </c>
      <c r="AB599">
        <v>67.599999999999994</v>
      </c>
      <c r="AC599">
        <v>2.0350728680272758</v>
      </c>
      <c r="AD599">
        <v>0.92194180052003649</v>
      </c>
      <c r="AE599">
        <v>-0.30960640078246027</v>
      </c>
      <c r="AF599">
        <v>3.3433812634273488E-3</v>
      </c>
      <c r="AG599">
        <v>0.92348687740804625</v>
      </c>
      <c r="AH599">
        <v>-0.31029685655817013</v>
      </c>
      <c r="AI599">
        <v>2.2006878915379564E-4</v>
      </c>
    </row>
    <row r="600" spans="23:35" x14ac:dyDescent="0.25">
      <c r="W600">
        <v>598</v>
      </c>
      <c r="X600">
        <v>80.471563723317573</v>
      </c>
      <c r="Y600">
        <v>4.5284362766824273</v>
      </c>
      <c r="Z600">
        <v>80.452928154611016</v>
      </c>
      <c r="AA600">
        <v>0.98544572468162528</v>
      </c>
      <c r="AB600">
        <v>67.599999999999994</v>
      </c>
      <c r="AC600">
        <v>2.1134016615055304</v>
      </c>
      <c r="AD600">
        <v>1.0396273195207435</v>
      </c>
      <c r="AE600">
        <v>-0.30777545430017217</v>
      </c>
      <c r="AF600">
        <v>4.0983668919705556E-3</v>
      </c>
      <c r="AG600">
        <v>1.0417642773898967</v>
      </c>
      <c r="AH600">
        <v>-0.30851230457772616</v>
      </c>
      <c r="AI600">
        <v>3.4355000564639853E-4</v>
      </c>
    </row>
    <row r="601" spans="23:35" x14ac:dyDescent="0.25">
      <c r="W601">
        <v>599</v>
      </c>
      <c r="X601">
        <v>80.38825202658596</v>
      </c>
      <c r="Y601">
        <v>2.6117479734140403</v>
      </c>
      <c r="Z601">
        <v>80.378284715360209</v>
      </c>
      <c r="AA601">
        <v>0.97877501516070342</v>
      </c>
      <c r="AB601">
        <v>67.7</v>
      </c>
      <c r="AC601">
        <v>1.9368862628682144</v>
      </c>
      <c r="AD601">
        <v>0.59959870890650691</v>
      </c>
      <c r="AE601">
        <v>-0.30728266371131369</v>
      </c>
      <c r="AF601">
        <v>3.8018282473896887E-3</v>
      </c>
      <c r="AG601">
        <v>0.6007417548436248</v>
      </c>
      <c r="AH601">
        <v>-0.30785514771723843</v>
      </c>
      <c r="AI601">
        <v>1.0594465185065721E-4</v>
      </c>
    </row>
    <row r="602" spans="23:35" x14ac:dyDescent="0.25">
      <c r="W602">
        <v>600</v>
      </c>
      <c r="X602">
        <v>77.943281912146688</v>
      </c>
      <c r="Y602">
        <v>2.0567180878533122</v>
      </c>
      <c r="Z602">
        <v>77.935151518550228</v>
      </c>
      <c r="AA602">
        <v>0.92722862340812617</v>
      </c>
      <c r="AB602">
        <v>67.7</v>
      </c>
      <c r="AC602">
        <v>1.4191611772342045</v>
      </c>
      <c r="AD602">
        <v>0.47217630591265541</v>
      </c>
      <c r="AE602">
        <v>-0.30617986816177489</v>
      </c>
      <c r="AF602">
        <v>3.9375255228204344E-3</v>
      </c>
      <c r="AG602">
        <v>0.47310866333165041</v>
      </c>
      <c r="AH602">
        <v>-0.30663194051254355</v>
      </c>
      <c r="AI602">
        <v>6.8063652688051205E-5</v>
      </c>
    </row>
    <row r="603" spans="23:35" x14ac:dyDescent="0.25">
      <c r="W603">
        <v>601</v>
      </c>
      <c r="X603">
        <v>80.776444981948771</v>
      </c>
      <c r="Y603">
        <v>-0.87644498194876519</v>
      </c>
      <c r="Z603">
        <v>80.780894602920327</v>
      </c>
      <c r="AA603">
        <v>0.92177077016373554</v>
      </c>
      <c r="AB603">
        <v>67.7</v>
      </c>
      <c r="AC603">
        <v>1.3946242806491955</v>
      </c>
      <c r="AD603">
        <v>-0.20121209433432438</v>
      </c>
      <c r="AE603">
        <v>-0.30580183568726527</v>
      </c>
      <c r="AF603">
        <v>5.0512523936538916E-3</v>
      </c>
      <c r="AG603">
        <v>-0.20172221424475523</v>
      </c>
      <c r="AH603">
        <v>-0.30629595543727961</v>
      </c>
      <c r="AI603">
        <v>1.5891411020407987E-5</v>
      </c>
    </row>
    <row r="604" spans="23:35" x14ac:dyDescent="0.25">
      <c r="W604">
        <v>602</v>
      </c>
      <c r="X604">
        <v>80.390032881483293</v>
      </c>
      <c r="Y604">
        <v>-0.9900328814832875</v>
      </c>
      <c r="Z604">
        <v>80.394198064305783</v>
      </c>
      <c r="AA604">
        <v>0.90661006670709521</v>
      </c>
      <c r="AB604">
        <v>67.7</v>
      </c>
      <c r="AC604">
        <v>1.2933897637306977</v>
      </c>
      <c r="AD604">
        <v>-0.22728932636497581</v>
      </c>
      <c r="AE604">
        <v>-0.30274819744210435</v>
      </c>
      <c r="AF604">
        <v>4.1894899739107344E-3</v>
      </c>
      <c r="AG604">
        <v>-0.22776694078763191</v>
      </c>
      <c r="AH604">
        <v>-0.30307385407342441</v>
      </c>
      <c r="AI604">
        <v>1.6788908989894991E-5</v>
      </c>
    </row>
    <row r="605" spans="23:35" x14ac:dyDescent="0.25">
      <c r="W605">
        <v>603</v>
      </c>
      <c r="X605">
        <v>77.503213053805268</v>
      </c>
      <c r="Y605">
        <v>2.1967869461947345</v>
      </c>
      <c r="Z605">
        <v>77.495114453904677</v>
      </c>
      <c r="AA605">
        <v>0.9151000606428138</v>
      </c>
      <c r="AB605">
        <v>67.7</v>
      </c>
      <c r="AC605">
        <v>1.3555018111021329</v>
      </c>
      <c r="AD605">
        <v>0.50433297166847912</v>
      </c>
      <c r="AE605">
        <v>-0.30205317421227218</v>
      </c>
      <c r="AF605">
        <v>3.6730250760352665E-3</v>
      </c>
      <c r="AG605">
        <v>0.50526174483420772</v>
      </c>
      <c r="AH605">
        <v>-0.30245391695649931</v>
      </c>
      <c r="AI605">
        <v>7.2395485892700329E-5</v>
      </c>
    </row>
    <row r="606" spans="23:35" x14ac:dyDescent="0.25">
      <c r="W606">
        <v>604</v>
      </c>
      <c r="X606">
        <v>75.535766737232322</v>
      </c>
      <c r="Y606">
        <v>3.7642332627676751</v>
      </c>
      <c r="Z606">
        <v>75.500939683928195</v>
      </c>
      <c r="AA606">
        <v>0.9017586416009703</v>
      </c>
      <c r="AB606">
        <v>67.7</v>
      </c>
      <c r="AC606">
        <v>1.262435852359769</v>
      </c>
      <c r="AD606">
        <v>0.86418346155661752</v>
      </c>
      <c r="AE606">
        <v>-0.3013199870987292</v>
      </c>
      <c r="AF606">
        <v>9.1672809607126551E-3</v>
      </c>
      <c r="AG606">
        <v>0.8681720120217189</v>
      </c>
      <c r="AH606">
        <v>-0.30187242998369018</v>
      </c>
      <c r="AI606">
        <v>5.364242619124625E-4</v>
      </c>
    </row>
    <row r="607" spans="23:35" x14ac:dyDescent="0.25">
      <c r="W607">
        <v>605</v>
      </c>
      <c r="X607">
        <v>78.698771302292741</v>
      </c>
      <c r="Y607">
        <v>0.50122869770726197</v>
      </c>
      <c r="Z607">
        <v>78.697452410903125</v>
      </c>
      <c r="AA607">
        <v>0.89630078835657978</v>
      </c>
      <c r="AB607">
        <v>67.7</v>
      </c>
      <c r="AC607">
        <v>1.2457497672431228</v>
      </c>
      <c r="AD607">
        <v>0.11507085793554099</v>
      </c>
      <c r="AE607">
        <v>-0.29958148199685353</v>
      </c>
      <c r="AF607">
        <v>2.6244109378408273E-3</v>
      </c>
      <c r="AG607">
        <v>0.11522215240399421</v>
      </c>
      <c r="AH607">
        <v>-0.29991803707858267</v>
      </c>
      <c r="AI607">
        <v>2.6872106980567909E-6</v>
      </c>
    </row>
    <row r="608" spans="23:35" x14ac:dyDescent="0.25">
      <c r="W608">
        <v>606</v>
      </c>
      <c r="X608">
        <v>78.133673431084361</v>
      </c>
      <c r="Y608">
        <v>0.96632656891563329</v>
      </c>
      <c r="Z608">
        <v>78.131313882568719</v>
      </c>
      <c r="AA608">
        <v>0.89326864766525171</v>
      </c>
      <c r="AB608">
        <v>67.7</v>
      </c>
      <c r="AC608">
        <v>1.2294035019788656</v>
      </c>
      <c r="AD608">
        <v>0.22184688913397496</v>
      </c>
      <c r="AE608">
        <v>-0.29760038096930214</v>
      </c>
      <c r="AF608">
        <v>2.4358236101280099E-3</v>
      </c>
      <c r="AG608">
        <v>0.22211757368453197</v>
      </c>
      <c r="AH608">
        <v>-0.29990300084808619</v>
      </c>
      <c r="AI608">
        <v>9.2667507148967196E-6</v>
      </c>
    </row>
    <row r="609" spans="23:35" x14ac:dyDescent="0.25">
      <c r="W609">
        <v>607</v>
      </c>
      <c r="X609">
        <v>76.096465553168258</v>
      </c>
      <c r="Y609">
        <v>2.9035344468317419</v>
      </c>
      <c r="Z609">
        <v>76.088135857382596</v>
      </c>
      <c r="AA609">
        <v>0.89023650697392354</v>
      </c>
      <c r="AB609">
        <v>67.8</v>
      </c>
      <c r="AC609">
        <v>1.2070560687293583</v>
      </c>
      <c r="AD609">
        <v>0.66658633348535867</v>
      </c>
      <c r="AE609">
        <v>-0.29441707975505377</v>
      </c>
      <c r="AF609">
        <v>2.8606059134947421E-3</v>
      </c>
      <c r="AG609">
        <v>0.66754180429752963</v>
      </c>
      <c r="AH609">
        <v>-0.29790492172149435</v>
      </c>
      <c r="AI609">
        <v>9.8336725337043576E-5</v>
      </c>
    </row>
    <row r="610" spans="23:35" x14ac:dyDescent="0.25">
      <c r="W610">
        <v>608</v>
      </c>
      <c r="X610">
        <v>75.473477442294879</v>
      </c>
      <c r="Y610">
        <v>3.226522557705124</v>
      </c>
      <c r="Z610">
        <v>75.405149051155774</v>
      </c>
      <c r="AA610">
        <v>0.87871437234687688</v>
      </c>
      <c r="AB610">
        <v>67.8</v>
      </c>
      <c r="AC610">
        <v>1.1521925343545227</v>
      </c>
      <c r="AD610">
        <v>0.74073715364228132</v>
      </c>
      <c r="AE610">
        <v>-0.29439148083909028</v>
      </c>
      <c r="AF610">
        <v>2.0737930850279473E-2</v>
      </c>
      <c r="AG610">
        <v>0.74853939525631574</v>
      </c>
      <c r="AH610">
        <v>-0.29559899744980633</v>
      </c>
      <c r="AI610">
        <v>9.1275130142021057E-4</v>
      </c>
    </row>
    <row r="611" spans="23:35" x14ac:dyDescent="0.25">
      <c r="W611">
        <v>609</v>
      </c>
      <c r="X611">
        <v>75.324416231712746</v>
      </c>
      <c r="Y611">
        <v>2.8755837682872567</v>
      </c>
      <c r="Z611">
        <v>75.317390271810964</v>
      </c>
      <c r="AA611">
        <v>0.86658580958156461</v>
      </c>
      <c r="AB611">
        <v>67.8</v>
      </c>
      <c r="AC611">
        <v>1.1033838166983498</v>
      </c>
      <c r="AD611">
        <v>0.66016948509916973</v>
      </c>
      <c r="AE611">
        <v>-0.29432214117066263</v>
      </c>
      <c r="AF611">
        <v>2.4373607821650241E-3</v>
      </c>
      <c r="AG611">
        <v>0.66097549440669112</v>
      </c>
      <c r="AH611">
        <v>-0.29499114687133204</v>
      </c>
      <c r="AI611">
        <v>8.2112071363016071E-5</v>
      </c>
    </row>
    <row r="612" spans="23:35" x14ac:dyDescent="0.25">
      <c r="W612">
        <v>610</v>
      </c>
      <c r="X612">
        <v>70.345003326394306</v>
      </c>
      <c r="Y612">
        <v>1.3549966736056973</v>
      </c>
      <c r="Z612">
        <v>70.341997892295453</v>
      </c>
      <c r="AA612">
        <v>0.50394178289872649</v>
      </c>
      <c r="AB612">
        <v>67.8</v>
      </c>
      <c r="AC612">
        <v>-4.5602855597810616E-3</v>
      </c>
      <c r="AD612">
        <v>0.31107682071044507</v>
      </c>
      <c r="AE612">
        <v>-0.29148929362793063</v>
      </c>
      <c r="AF612">
        <v>2.213129185734298E-3</v>
      </c>
      <c r="AG612">
        <v>0.31142161972514415</v>
      </c>
      <c r="AH612">
        <v>-0.29317554216698793</v>
      </c>
      <c r="AI612">
        <v>1.6547147815304047E-5</v>
      </c>
    </row>
    <row r="613" spans="23:35" x14ac:dyDescent="0.25">
      <c r="W613">
        <v>611</v>
      </c>
      <c r="X613">
        <v>70.916978491758684</v>
      </c>
      <c r="Y613">
        <v>0.48302150824132184</v>
      </c>
      <c r="Z613">
        <v>70.91610983256507</v>
      </c>
      <c r="AA613">
        <v>0.4887810794420861</v>
      </c>
      <c r="AB613">
        <v>67.8</v>
      </c>
      <c r="AC613">
        <v>-4.7140240828996732E-2</v>
      </c>
      <c r="AD613">
        <v>0.11089089593012463</v>
      </c>
      <c r="AE613">
        <v>-0.29078469939579971</v>
      </c>
      <c r="AF613">
        <v>1.7951577694165386E-3</v>
      </c>
      <c r="AG613">
        <v>0.11099056346612388</v>
      </c>
      <c r="AH613">
        <v>-0.29208569106059268</v>
      </c>
      <c r="AI613">
        <v>1.704165271831142E-6</v>
      </c>
    </row>
    <row r="614" spans="23:35" x14ac:dyDescent="0.25">
      <c r="W614">
        <v>612</v>
      </c>
      <c r="X614">
        <v>71.403160676873327</v>
      </c>
      <c r="Y614">
        <v>-0.10316067687332975</v>
      </c>
      <c r="Z614">
        <v>71.40337185503401</v>
      </c>
      <c r="AA614">
        <v>0.48089751364463312</v>
      </c>
      <c r="AB614">
        <v>67.8</v>
      </c>
      <c r="AC614">
        <v>-5.1706087511076533E-2</v>
      </c>
      <c r="AD614">
        <v>-2.3683375767039983E-2</v>
      </c>
      <c r="AE614">
        <v>-0.28994675005216419</v>
      </c>
      <c r="AF614">
        <v>2.0428980461929792E-3</v>
      </c>
      <c r="AG614">
        <v>-2.370760425665764E-2</v>
      </c>
      <c r="AH614">
        <v>-0.29068367787983224</v>
      </c>
      <c r="AI614">
        <v>8.8504796080745466E-8</v>
      </c>
    </row>
    <row r="615" spans="23:35" x14ac:dyDescent="0.25">
      <c r="W615">
        <v>613</v>
      </c>
      <c r="X615">
        <v>70.897045371994153</v>
      </c>
      <c r="Y615">
        <v>0.20295462800584119</v>
      </c>
      <c r="Z615">
        <v>70.896691341055501</v>
      </c>
      <c r="AA615">
        <v>0.47422680412371132</v>
      </c>
      <c r="AB615">
        <v>67.8</v>
      </c>
      <c r="AC615">
        <v>-7.6077819866612773E-2</v>
      </c>
      <c r="AD615">
        <v>4.6593826876729444E-2</v>
      </c>
      <c r="AE615">
        <v>-0.28924191140649175</v>
      </c>
      <c r="AF615">
        <v>1.7413470753899307E-3</v>
      </c>
      <c r="AG615">
        <v>4.6634447948053909E-2</v>
      </c>
      <c r="AH615">
        <v>-0.28959978112976081</v>
      </c>
      <c r="AI615">
        <v>2.918183417169605E-7</v>
      </c>
    </row>
    <row r="616" spans="23:35" x14ac:dyDescent="0.25">
      <c r="W616">
        <v>614</v>
      </c>
      <c r="X616">
        <v>70.976707239194027</v>
      </c>
      <c r="Y616">
        <v>6.0232927608059725</v>
      </c>
      <c r="Z616">
        <v>70.964913809822491</v>
      </c>
      <c r="AA616">
        <v>0.83747725894481506</v>
      </c>
      <c r="AB616">
        <v>67.8</v>
      </c>
      <c r="AC616">
        <v>0.95855995741850497</v>
      </c>
      <c r="AD616">
        <v>1.3828128132992066</v>
      </c>
      <c r="AE616">
        <v>-0.2876815918446195</v>
      </c>
      <c r="AF616">
        <v>1.9541443154079481E-3</v>
      </c>
      <c r="AG616">
        <v>1.3841659046234422</v>
      </c>
      <c r="AH616">
        <v>-0.28841524076325992</v>
      </c>
      <c r="AI616">
        <v>2.8856196075873413E-4</v>
      </c>
    </row>
    <row r="617" spans="23:35" x14ac:dyDescent="0.25">
      <c r="W617">
        <v>615</v>
      </c>
      <c r="X617">
        <v>70.727935337998773</v>
      </c>
      <c r="Y617">
        <v>5.2720646620012275</v>
      </c>
      <c r="Z617">
        <v>70.717867654866367</v>
      </c>
      <c r="AA617">
        <v>0.80836870830806551</v>
      </c>
      <c r="AB617">
        <v>67.8</v>
      </c>
      <c r="AC617">
        <v>0.83794453378675593</v>
      </c>
      <c r="AD617">
        <v>1.2103477045970021</v>
      </c>
      <c r="AE617">
        <v>-0.27992615682191219</v>
      </c>
      <c r="AF617">
        <v>1.9059884294028049E-3</v>
      </c>
      <c r="AG617">
        <v>1.2115028104335459</v>
      </c>
      <c r="AH617">
        <v>-0.28197978219271252</v>
      </c>
      <c r="AI617">
        <v>2.1560275675577042E-4</v>
      </c>
    </row>
    <row r="618" spans="23:35" x14ac:dyDescent="0.25">
      <c r="W618">
        <v>616</v>
      </c>
      <c r="X618">
        <v>70.691100431959427</v>
      </c>
      <c r="Y618">
        <v>8.3088995680405731</v>
      </c>
      <c r="Z618">
        <v>70.674193229223306</v>
      </c>
      <c r="AA618">
        <v>0.89023650697392354</v>
      </c>
      <c r="AB618">
        <v>67.8</v>
      </c>
      <c r="AC618">
        <v>1.2070560687293583</v>
      </c>
      <c r="AD618">
        <v>1.9075368313270109</v>
      </c>
      <c r="AE618">
        <v>-0.27943592063281303</v>
      </c>
      <c r="AF618">
        <v>2.0306984297867627E-3</v>
      </c>
      <c r="AG618">
        <v>1.9094766021687333</v>
      </c>
      <c r="AH618">
        <v>-0.28089026627412567</v>
      </c>
      <c r="AI618">
        <v>5.7070750103827732E-4</v>
      </c>
    </row>
    <row r="619" spans="23:35" x14ac:dyDescent="0.25">
      <c r="W619">
        <v>617</v>
      </c>
      <c r="X619">
        <v>69.967159163251523</v>
      </c>
      <c r="Y619">
        <v>5.0328408367484769</v>
      </c>
      <c r="Z619">
        <v>69.958448172553702</v>
      </c>
      <c r="AA619">
        <v>0.76046088538508183</v>
      </c>
      <c r="AB619">
        <v>67.900000000000006</v>
      </c>
      <c r="AC619">
        <v>0.67020216077934069</v>
      </c>
      <c r="AD619">
        <v>1.1554272841654225</v>
      </c>
      <c r="AE619">
        <v>-0.27640600835498114</v>
      </c>
      <c r="AF619">
        <v>1.727839164600528E-3</v>
      </c>
      <c r="AG619">
        <v>1.156426775829424</v>
      </c>
      <c r="AH619">
        <v>-0.2772793616232358</v>
      </c>
      <c r="AI619">
        <v>1.7805217331477689E-4</v>
      </c>
    </row>
    <row r="620" spans="23:35" x14ac:dyDescent="0.25">
      <c r="W620">
        <v>618</v>
      </c>
      <c r="X620">
        <v>68.105290634948091</v>
      </c>
      <c r="Y620">
        <v>1.5947093650519122</v>
      </c>
      <c r="Z620">
        <v>68.082493658479152</v>
      </c>
      <c r="AA620">
        <v>0.45057610673135234</v>
      </c>
      <c r="AB620">
        <v>67.900000000000006</v>
      </c>
      <c r="AC620">
        <v>-0.12956927093944987</v>
      </c>
      <c r="AD620">
        <v>0.36610947384648662</v>
      </c>
      <c r="AE620">
        <v>-0.27629609453421178</v>
      </c>
      <c r="AF620">
        <v>1.4093902375374712E-2</v>
      </c>
      <c r="AG620">
        <v>0.36871702496884212</v>
      </c>
      <c r="AH620">
        <v>-0.27674729118175684</v>
      </c>
      <c r="AI620">
        <v>1.4949915431086472E-4</v>
      </c>
    </row>
    <row r="621" spans="23:35" x14ac:dyDescent="0.25">
      <c r="W621">
        <v>619</v>
      </c>
      <c r="X621">
        <v>69.490562291546581</v>
      </c>
      <c r="Y621">
        <v>-0.29056229154657842</v>
      </c>
      <c r="Z621">
        <v>69.49109106187359</v>
      </c>
      <c r="AA621">
        <v>0.42874469375379015</v>
      </c>
      <c r="AB621">
        <v>67.900000000000006</v>
      </c>
      <c r="AC621">
        <v>-0.1880739545732803</v>
      </c>
      <c r="AD621">
        <v>-6.6706579900397328E-2</v>
      </c>
      <c r="AE621">
        <v>-0.27513567608575457</v>
      </c>
      <c r="AF621">
        <v>1.8165117252718806E-3</v>
      </c>
      <c r="AG621">
        <v>-6.6767249210075902E-2</v>
      </c>
      <c r="AH621">
        <v>-0.27590668202148216</v>
      </c>
      <c r="AI621">
        <v>6.2403857895625705E-7</v>
      </c>
    </row>
    <row r="622" spans="23:35" x14ac:dyDescent="0.25">
      <c r="W622">
        <v>620</v>
      </c>
      <c r="X622">
        <v>62.41092359293151</v>
      </c>
      <c r="Y622">
        <v>-4.3109235929315091</v>
      </c>
      <c r="Z622">
        <v>62.426269064385387</v>
      </c>
      <c r="AA622">
        <v>0.13523347483323225</v>
      </c>
      <c r="AB622">
        <v>67.900000000000006</v>
      </c>
      <c r="AC622">
        <v>-1.1174634002413726</v>
      </c>
      <c r="AD622">
        <v>-0.98969128982896726</v>
      </c>
      <c r="AE622">
        <v>-0.27477798666263409</v>
      </c>
      <c r="AF622">
        <v>3.5470450925490951E-3</v>
      </c>
      <c r="AG622">
        <v>-0.99145121292663807</v>
      </c>
      <c r="AH622">
        <v>-0.27526911828339512</v>
      </c>
      <c r="AI622">
        <v>2.691592160592942E-4</v>
      </c>
    </row>
    <row r="623" spans="23:35" x14ac:dyDescent="0.25">
      <c r="W623">
        <v>621</v>
      </c>
      <c r="X623">
        <v>62.581689091950601</v>
      </c>
      <c r="Y623">
        <v>-3.7816890919506037</v>
      </c>
      <c r="Z623">
        <v>62.590005143083644</v>
      </c>
      <c r="AA623">
        <v>0.14675560946027896</v>
      </c>
      <c r="AB623">
        <v>67.900000000000006</v>
      </c>
      <c r="AC623">
        <v>-1.0570712344634026</v>
      </c>
      <c r="AD623">
        <v>-0.86819092810680487</v>
      </c>
      <c r="AE623">
        <v>-0.27376691744388648</v>
      </c>
      <c r="AF623">
        <v>2.1942057646592286E-3</v>
      </c>
      <c r="AG623">
        <v>-0.8691449932252322</v>
      </c>
      <c r="AH623">
        <v>-0.27442523747639491</v>
      </c>
      <c r="AI623">
        <v>1.277828126713931E-4</v>
      </c>
    </row>
    <row r="624" spans="23:35" x14ac:dyDescent="0.25">
      <c r="W624">
        <v>622</v>
      </c>
      <c r="X624">
        <v>61.742698064957338</v>
      </c>
      <c r="Y624">
        <v>-3.3426980649573395</v>
      </c>
      <c r="Z624">
        <v>61.750066823208094</v>
      </c>
      <c r="AA624">
        <v>0.1406913280776228</v>
      </c>
      <c r="AB624">
        <v>67.900000000000006</v>
      </c>
      <c r="AC624">
        <v>-1.0895196306228982</v>
      </c>
      <c r="AD624">
        <v>-0.76740844232100103</v>
      </c>
      <c r="AE624">
        <v>-0.27220468587531954</v>
      </c>
      <c r="AF624">
        <v>2.1995854529552683E-3</v>
      </c>
      <c r="AG624">
        <v>-0.76825382742259596</v>
      </c>
      <c r="AH624">
        <v>-0.27360372043283299</v>
      </c>
      <c r="AI624">
        <v>1.0008368137292259E-4</v>
      </c>
    </row>
    <row r="625" spans="23:35" x14ac:dyDescent="0.25">
      <c r="W625">
        <v>623</v>
      </c>
      <c r="X625">
        <v>61.353538771253916</v>
      </c>
      <c r="Y625">
        <v>-3.2535387712539148</v>
      </c>
      <c r="Z625">
        <v>61.360835825755011</v>
      </c>
      <c r="AA625">
        <v>0.13523347483323225</v>
      </c>
      <c r="AB625">
        <v>68</v>
      </c>
      <c r="AC625">
        <v>-1.1174634002413726</v>
      </c>
      <c r="AD625">
        <v>-0.74693946984135262</v>
      </c>
      <c r="AE625">
        <v>-0.27165712804008746</v>
      </c>
      <c r="AF625">
        <v>2.2377865341957036E-3</v>
      </c>
      <c r="AG625">
        <v>-0.74777662067103357</v>
      </c>
      <c r="AH625">
        <v>-0.27301448970625408</v>
      </c>
      <c r="AI625">
        <v>9.6469941852977948E-5</v>
      </c>
    </row>
    <row r="626" spans="23:35" x14ac:dyDescent="0.25">
      <c r="W626">
        <v>624</v>
      </c>
      <c r="X626">
        <v>59.829507570904475</v>
      </c>
      <c r="Y626">
        <v>-2.0295075709044781</v>
      </c>
      <c r="Z626">
        <v>59.836481806807619</v>
      </c>
      <c r="AA626">
        <v>0.12553062462098241</v>
      </c>
      <c r="AB626">
        <v>68</v>
      </c>
      <c r="AC626">
        <v>-1.1521925343545227</v>
      </c>
      <c r="AD626">
        <v>-0.46592938201445389</v>
      </c>
      <c r="AE626">
        <v>-0.27118771033386374</v>
      </c>
      <c r="AF626">
        <v>3.4246492553138184E-3</v>
      </c>
      <c r="AG626">
        <v>-0.46672925943205545</v>
      </c>
      <c r="AH626">
        <v>-0.27264947459462913</v>
      </c>
      <c r="AI626">
        <v>5.758278434908305E-5</v>
      </c>
    </row>
    <row r="627" spans="23:35" x14ac:dyDescent="0.25">
      <c r="W627">
        <v>625</v>
      </c>
      <c r="X627">
        <v>58.042580715358582</v>
      </c>
      <c r="Y627">
        <v>-0.74258071535858505</v>
      </c>
      <c r="Z627">
        <v>58.050298631187729</v>
      </c>
      <c r="AA627">
        <v>0.11643420254699818</v>
      </c>
      <c r="AB627">
        <v>68</v>
      </c>
      <c r="AC627">
        <v>-1.207056068729359</v>
      </c>
      <c r="AD627">
        <v>-0.17047986357039374</v>
      </c>
      <c r="AE627">
        <v>-0.27033813527775719</v>
      </c>
      <c r="AF627">
        <v>1.0286458629053459E-2</v>
      </c>
      <c r="AG627">
        <v>-0.17136350362130567</v>
      </c>
      <c r="AH627">
        <v>-0.27145526939613901</v>
      </c>
      <c r="AI627">
        <v>2.3477383005091481E-5</v>
      </c>
    </row>
    <row r="628" spans="23:35" x14ac:dyDescent="0.25">
      <c r="W628">
        <v>626</v>
      </c>
      <c r="X628">
        <v>58.968625711368695</v>
      </c>
      <c r="Y628">
        <v>-2.1686257113686978</v>
      </c>
      <c r="Z628">
        <v>58.99416315901027</v>
      </c>
      <c r="AA628">
        <v>0.10794420861127957</v>
      </c>
      <c r="AB628">
        <v>68</v>
      </c>
      <c r="AC628">
        <v>-1.2523823790942721</v>
      </c>
      <c r="AD628">
        <v>-0.49786778428639328</v>
      </c>
      <c r="AE628">
        <v>-0.26844329334866873</v>
      </c>
      <c r="AF628">
        <v>1.16388097834499E-2</v>
      </c>
      <c r="AG628">
        <v>-0.50079061711806039</v>
      </c>
      <c r="AH628">
        <v>-0.26899422380402238</v>
      </c>
      <c r="AI628">
        <v>2.2717571362951641E-4</v>
      </c>
    </row>
    <row r="629" spans="23:35" x14ac:dyDescent="0.25">
      <c r="W629">
        <v>627</v>
      </c>
      <c r="X629">
        <v>59.915524005950573</v>
      </c>
      <c r="Y629">
        <v>-3.5155240059505743</v>
      </c>
      <c r="Z629">
        <v>59.927681504039732</v>
      </c>
      <c r="AA629">
        <v>9.8241358399029713E-2</v>
      </c>
      <c r="AB629">
        <v>68</v>
      </c>
      <c r="AC629">
        <v>-1.2969062889401866</v>
      </c>
      <c r="AD629">
        <v>-0.807085398956919</v>
      </c>
      <c r="AE629">
        <v>-0.26770485212544975</v>
      </c>
      <c r="AF629">
        <v>3.4463139813599823E-3</v>
      </c>
      <c r="AG629">
        <v>-0.80847973884081525</v>
      </c>
      <c r="AH629">
        <v>-0.26799645512509623</v>
      </c>
      <c r="AI629">
        <v>1.7387977558347997E-4</v>
      </c>
    </row>
    <row r="630" spans="23:35" x14ac:dyDescent="0.25">
      <c r="W630">
        <v>628</v>
      </c>
      <c r="X630">
        <v>62.746239111793813</v>
      </c>
      <c r="Y630">
        <v>-4.3462391117938139</v>
      </c>
      <c r="Z630">
        <v>62.755002990504273</v>
      </c>
      <c r="AA630">
        <v>0.1406913280776228</v>
      </c>
      <c r="AB630">
        <v>68</v>
      </c>
      <c r="AC630">
        <v>-1.0895196306228982</v>
      </c>
      <c r="AD630">
        <v>-0.99779894023388804</v>
      </c>
      <c r="AE630">
        <v>-0.2659975808258217</v>
      </c>
      <c r="AF630">
        <v>2.0123703082562247E-3</v>
      </c>
      <c r="AG630">
        <v>-0.99880442853019835</v>
      </c>
      <c r="AH630">
        <v>-0.26744147054879341</v>
      </c>
      <c r="AI630">
        <v>1.5473918636462993E-4</v>
      </c>
    </row>
    <row r="631" spans="23:35" x14ac:dyDescent="0.25">
      <c r="W631">
        <v>629</v>
      </c>
      <c r="X631">
        <v>61.955474796662337</v>
      </c>
      <c r="Y631">
        <v>-3.8554747966623353</v>
      </c>
      <c r="Z631">
        <v>61.963596370282289</v>
      </c>
      <c r="AA631">
        <v>0.13523347483323225</v>
      </c>
      <c r="AB631">
        <v>68</v>
      </c>
      <c r="AC631">
        <v>-1.1174634002413726</v>
      </c>
      <c r="AD631">
        <v>-0.8851304696442216</v>
      </c>
      <c r="AE631">
        <v>-0.26405890408593941</v>
      </c>
      <c r="AF631">
        <v>2.102076107748832E-3</v>
      </c>
      <c r="AG631">
        <v>-0.88606224470463002</v>
      </c>
      <c r="AH631">
        <v>-0.26579877057626922</v>
      </c>
      <c r="AI631">
        <v>1.2721766725014069E-4</v>
      </c>
    </row>
    <row r="632" spans="23:35" x14ac:dyDescent="0.25">
      <c r="W632">
        <v>630</v>
      </c>
      <c r="X632">
        <v>61.3862984638725</v>
      </c>
      <c r="Y632">
        <v>-3.7862984638724981</v>
      </c>
      <c r="Z632">
        <v>61.394366929664542</v>
      </c>
      <c r="AA632">
        <v>0.12431776834445118</v>
      </c>
      <c r="AB632">
        <v>68</v>
      </c>
      <c r="AC632">
        <v>-1.1700898139672218</v>
      </c>
      <c r="AD632">
        <v>-0.8692491364337076</v>
      </c>
      <c r="AE632">
        <v>-0.2636500520969009</v>
      </c>
      <c r="AF632">
        <v>2.1264326675843825E-3</v>
      </c>
      <c r="AG632">
        <v>-0.87017481286703546</v>
      </c>
      <c r="AH632">
        <v>-0.26506431373161177</v>
      </c>
      <c r="AI632">
        <v>1.241211473728247E-4</v>
      </c>
    </row>
    <row r="633" spans="23:35" x14ac:dyDescent="0.25">
      <c r="W633">
        <v>631</v>
      </c>
      <c r="X633">
        <v>60.766926505169522</v>
      </c>
      <c r="Y633">
        <v>-3.6669265051695206</v>
      </c>
      <c r="Z633">
        <v>60.774305379666977</v>
      </c>
      <c r="AA633">
        <v>0.11279563371740449</v>
      </c>
      <c r="AB633">
        <v>68</v>
      </c>
      <c r="AC633">
        <v>-1.2197514087080794</v>
      </c>
      <c r="AD633">
        <v>-0.84184401425249489</v>
      </c>
      <c r="AE633">
        <v>-0.26354282159175541</v>
      </c>
      <c r="AF633">
        <v>2.0082365875982843E-3</v>
      </c>
      <c r="AG633">
        <v>-0.84269060055052281</v>
      </c>
      <c r="AH633">
        <v>-0.26454677593715137</v>
      </c>
      <c r="AI633">
        <v>1.0992104927643565E-4</v>
      </c>
    </row>
    <row r="634" spans="23:35" x14ac:dyDescent="0.25">
      <c r="W634">
        <v>632</v>
      </c>
      <c r="X634">
        <v>60.547968007969622</v>
      </c>
      <c r="Y634">
        <v>-3.8479680079696195</v>
      </c>
      <c r="Z634">
        <v>60.555851567482691</v>
      </c>
      <c r="AA634">
        <v>0.10491206791995149</v>
      </c>
      <c r="AB634">
        <v>68</v>
      </c>
      <c r="AC634">
        <v>-1.2726185683477402</v>
      </c>
      <c r="AD634">
        <v>-0.88340707946492236</v>
      </c>
      <c r="AE634">
        <v>-0.26204580607467243</v>
      </c>
      <c r="AF634">
        <v>2.0445702784700681E-3</v>
      </c>
      <c r="AG634">
        <v>-0.88431156058712213</v>
      </c>
      <c r="AH634">
        <v>-0.26396652746171939</v>
      </c>
      <c r="AI634">
        <v>1.2324183345802073E-4</v>
      </c>
    </row>
    <row r="635" spans="23:35" x14ac:dyDescent="0.25">
      <c r="W635">
        <v>633</v>
      </c>
      <c r="X635">
        <v>58.874553770542825</v>
      </c>
      <c r="Y635">
        <v>-2.5745537705428276</v>
      </c>
      <c r="Z635">
        <v>58.909607886780542</v>
      </c>
      <c r="AA635">
        <v>9.7028502122498486E-2</v>
      </c>
      <c r="AB635">
        <v>68</v>
      </c>
      <c r="AC635">
        <v>-1.3039878652542525</v>
      </c>
      <c r="AD635">
        <v>-0.5910597548238764</v>
      </c>
      <c r="AE635">
        <v>-0.261648492699737</v>
      </c>
      <c r="AF635">
        <v>1.3432713939627387E-2</v>
      </c>
      <c r="AG635">
        <v>-0.59506996971079051</v>
      </c>
      <c r="AH635">
        <v>-0.2618561113872091</v>
      </c>
      <c r="AI635">
        <v>3.7087688924779413E-4</v>
      </c>
    </row>
    <row r="636" spans="23:35" x14ac:dyDescent="0.25">
      <c r="W636">
        <v>634</v>
      </c>
      <c r="X636">
        <v>70.658475797567661</v>
      </c>
      <c r="Y636">
        <v>-4.6584757975676609</v>
      </c>
      <c r="Z636">
        <v>70.669471489961623</v>
      </c>
      <c r="AA636">
        <v>0.31109763493026077</v>
      </c>
      <c r="AB636">
        <v>68</v>
      </c>
      <c r="AC636">
        <v>-0.50738317096904828</v>
      </c>
      <c r="AD636">
        <v>-1.0694814745247134</v>
      </c>
      <c r="AE636">
        <v>-0.25906428792086877</v>
      </c>
      <c r="AF636">
        <v>2.3548044821761448E-3</v>
      </c>
      <c r="AG636">
        <v>-1.0707429126774739</v>
      </c>
      <c r="AH636">
        <v>-0.26022803825183161</v>
      </c>
      <c r="AI636">
        <v>2.0816408552819409E-4</v>
      </c>
    </row>
    <row r="637" spans="23:35" x14ac:dyDescent="0.25">
      <c r="W637">
        <v>635</v>
      </c>
      <c r="X637">
        <v>70.939792957189937</v>
      </c>
      <c r="Y637">
        <v>-5.0397929571899311</v>
      </c>
      <c r="Z637">
        <v>70.950328883427645</v>
      </c>
      <c r="AA637">
        <v>0.30563978168587025</v>
      </c>
      <c r="AB637">
        <v>68.099999999999994</v>
      </c>
      <c r="AC637">
        <v>-0.52126361871264315</v>
      </c>
      <c r="AD637">
        <v>-1.1570233349648453</v>
      </c>
      <c r="AE637">
        <v>-0.25859664492214474</v>
      </c>
      <c r="AF637">
        <v>2.0861861634966913E-3</v>
      </c>
      <c r="AG637">
        <v>-1.1582321096268426</v>
      </c>
      <c r="AH637">
        <v>-0.2596349197736223</v>
      </c>
      <c r="AI637">
        <v>2.1572867459708481E-4</v>
      </c>
    </row>
    <row r="638" spans="23:35" x14ac:dyDescent="0.25">
      <c r="W638">
        <v>636</v>
      </c>
      <c r="X638">
        <v>70.988780993139883</v>
      </c>
      <c r="Y638">
        <v>-5.1887809931398863</v>
      </c>
      <c r="Z638">
        <v>70.998731600223536</v>
      </c>
      <c r="AA638">
        <v>0.30078835657974529</v>
      </c>
      <c r="AB638">
        <v>68.099999999999994</v>
      </c>
      <c r="AC638">
        <v>-0.53349185558387491</v>
      </c>
      <c r="AD638">
        <v>-1.1912276436912093</v>
      </c>
      <c r="AE638">
        <v>-0.25782054828834394</v>
      </c>
      <c r="AF638">
        <v>1.9140451650224879E-3</v>
      </c>
      <c r="AG638">
        <v>-1.192369314616081</v>
      </c>
      <c r="AH638">
        <v>-0.25952445115098444</v>
      </c>
      <c r="AI638">
        <v>2.0973092245133622E-4</v>
      </c>
    </row>
    <row r="639" spans="23:35" x14ac:dyDescent="0.25">
      <c r="W639">
        <v>637</v>
      </c>
      <c r="X639">
        <v>70.576361610265877</v>
      </c>
      <c r="Y639">
        <v>-4.976361610265883</v>
      </c>
      <c r="Z639">
        <v>70.585375594619904</v>
      </c>
      <c r="AA639">
        <v>0.29411764705882354</v>
      </c>
      <c r="AB639">
        <v>68.099999999999994</v>
      </c>
      <c r="AC639">
        <v>-0.55287102664223609</v>
      </c>
      <c r="AD639">
        <v>-1.142460921551677</v>
      </c>
      <c r="AE639">
        <v>-0.25717450072151532</v>
      </c>
      <c r="AF639">
        <v>1.8080853052985502E-3</v>
      </c>
      <c r="AG639">
        <v>-1.1434951576555805</v>
      </c>
      <c r="AH639">
        <v>-0.25883320874445148</v>
      </c>
      <c r="AI639">
        <v>1.8219236619038373E-4</v>
      </c>
    </row>
    <row r="640" spans="23:35" x14ac:dyDescent="0.25">
      <c r="W640">
        <v>638</v>
      </c>
      <c r="X640">
        <v>70.13779996297356</v>
      </c>
      <c r="Y640">
        <v>-4.2377999629735541</v>
      </c>
      <c r="Z640">
        <v>70.146602780690614</v>
      </c>
      <c r="AA640">
        <v>0.30563978168587025</v>
      </c>
      <c r="AB640">
        <v>68.099999999999994</v>
      </c>
      <c r="AC640">
        <v>-0.52126361871264315</v>
      </c>
      <c r="AD640">
        <v>-0.9729037457934554</v>
      </c>
      <c r="AE640">
        <v>-0.25604749535926435</v>
      </c>
      <c r="AF640">
        <v>2.072908197839245E-3</v>
      </c>
      <c r="AG640">
        <v>-0.97391368627557617</v>
      </c>
      <c r="AH640">
        <v>-0.25719726732811554</v>
      </c>
      <c r="AI640">
        <v>1.5155799164524834E-4</v>
      </c>
    </row>
    <row r="641" spans="23:35" x14ac:dyDescent="0.25">
      <c r="W641">
        <v>639</v>
      </c>
      <c r="X641">
        <v>70.605948853330375</v>
      </c>
      <c r="Y641">
        <v>-4.5059488533303806</v>
      </c>
      <c r="Z641">
        <v>70.615550695057166</v>
      </c>
      <c r="AA641">
        <v>0.31412977562158884</v>
      </c>
      <c r="AB641">
        <v>68.099999999999994</v>
      </c>
      <c r="AC641">
        <v>-0.4918835074548818</v>
      </c>
      <c r="AD641">
        <v>-1.0344647118932948</v>
      </c>
      <c r="AE641">
        <v>-0.25529026995313714</v>
      </c>
      <c r="AF641">
        <v>2.1263944035209417E-3</v>
      </c>
      <c r="AG641">
        <v>-1.0355663090144041</v>
      </c>
      <c r="AH641">
        <v>-0.25586310190956857</v>
      </c>
      <c r="AI641">
        <v>1.7578457296595385E-4</v>
      </c>
    </row>
    <row r="642" spans="23:35" x14ac:dyDescent="0.25">
      <c r="W642">
        <v>640</v>
      </c>
      <c r="X642">
        <v>67.640616494156589</v>
      </c>
      <c r="Y642">
        <v>-1.3406164941565919</v>
      </c>
      <c r="Z642">
        <v>67.647043362292905</v>
      </c>
      <c r="AA642">
        <v>0.31898120072771374</v>
      </c>
      <c r="AB642">
        <v>68.099999999999994</v>
      </c>
      <c r="AC642">
        <v>-0.47479897905845492</v>
      </c>
      <c r="AD642">
        <v>-0.30777545430017217</v>
      </c>
      <c r="AE642">
        <v>-0.25317673939419288</v>
      </c>
      <c r="AF642">
        <v>4.7710922426244104E-3</v>
      </c>
      <c r="AG642">
        <v>-0.30851230457772616</v>
      </c>
      <c r="AH642">
        <v>-0.25487562217306986</v>
      </c>
      <c r="AI642">
        <v>3.5099138626666838E-5</v>
      </c>
    </row>
    <row r="643" spans="23:35" x14ac:dyDescent="0.25">
      <c r="W643">
        <v>641</v>
      </c>
      <c r="X643">
        <v>66.812000134887541</v>
      </c>
      <c r="Y643">
        <v>-1.1120001348875377</v>
      </c>
      <c r="Z643">
        <v>66.816996046918717</v>
      </c>
      <c r="AA643">
        <v>0.29654335961188599</v>
      </c>
      <c r="AB643">
        <v>68.099999999999994</v>
      </c>
      <c r="AC643">
        <v>-0.54051528578164909</v>
      </c>
      <c r="AD643">
        <v>-0.25529026995313714</v>
      </c>
      <c r="AE643">
        <v>-0.24923154769479769</v>
      </c>
      <c r="AF643">
        <v>4.4726317921670892E-3</v>
      </c>
      <c r="AG643">
        <v>-0.25586310190956857</v>
      </c>
      <c r="AH643">
        <v>-0.25113486016506387</v>
      </c>
      <c r="AI643">
        <v>2.2624652203397079E-5</v>
      </c>
    </row>
    <row r="644" spans="23:35" x14ac:dyDescent="0.25">
      <c r="W644">
        <v>642</v>
      </c>
      <c r="X644">
        <v>69.345182019231601</v>
      </c>
      <c r="Y644">
        <v>-4.1451820192315978</v>
      </c>
      <c r="Z644">
        <v>69.352618050250356</v>
      </c>
      <c r="AA644">
        <v>0.28077622801697999</v>
      </c>
      <c r="AB644">
        <v>68.099999999999994</v>
      </c>
      <c r="AC644">
        <v>-0.59046081866695443</v>
      </c>
      <c r="AD644">
        <v>-0.95164074490112216</v>
      </c>
      <c r="AE644">
        <v>-0.2478385590002232</v>
      </c>
      <c r="AF644">
        <v>1.7906850398406713E-3</v>
      </c>
      <c r="AG644">
        <v>-0.95249393534137972</v>
      </c>
      <c r="AH644">
        <v>-0.24875058930513694</v>
      </c>
      <c r="AI644">
        <v>1.2519260407288602E-4</v>
      </c>
    </row>
    <row r="645" spans="23:35" x14ac:dyDescent="0.25">
      <c r="W645">
        <v>643</v>
      </c>
      <c r="X645">
        <v>68.83425737242932</v>
      </c>
      <c r="Y645">
        <v>-3.8342573724293203</v>
      </c>
      <c r="Z645">
        <v>68.841078064011413</v>
      </c>
      <c r="AA645">
        <v>0.27289266221952696</v>
      </c>
      <c r="AB645">
        <v>68.2</v>
      </c>
      <c r="AC645">
        <v>-0.62335641379693996</v>
      </c>
      <c r="AD645">
        <v>-0.88025942530688939</v>
      </c>
      <c r="AE645">
        <v>-0.24668009873487998</v>
      </c>
      <c r="AF645">
        <v>1.7757232392622562E-3</v>
      </c>
      <c r="AG645">
        <v>-0.88104201626902245</v>
      </c>
      <c r="AH645">
        <v>-0.24804947021477633</v>
      </c>
      <c r="AI645">
        <v>1.0621773559146134E-4</v>
      </c>
    </row>
    <row r="646" spans="23:35" x14ac:dyDescent="0.25">
      <c r="W646">
        <v>644</v>
      </c>
      <c r="X646">
        <v>68.478389813342361</v>
      </c>
      <c r="Y646">
        <v>-3.3783898133423662</v>
      </c>
      <c r="Z646">
        <v>68.4851152902216</v>
      </c>
      <c r="AA646">
        <v>0.27713765918738631</v>
      </c>
      <c r="AB646">
        <v>68.2</v>
      </c>
      <c r="AC646">
        <v>-0.60317578841021124</v>
      </c>
      <c r="AD646">
        <v>-0.77560246657913157</v>
      </c>
      <c r="AE646">
        <v>-0.2452350871493037</v>
      </c>
      <c r="AF646">
        <v>1.9867792682482016E-3</v>
      </c>
      <c r="AG646">
        <v>-0.77637409200723861</v>
      </c>
      <c r="AH646">
        <v>-0.24559036333299658</v>
      </c>
      <c r="AI646">
        <v>9.2302197664381267E-5</v>
      </c>
    </row>
    <row r="647" spans="23:35" x14ac:dyDescent="0.25">
      <c r="W647">
        <v>645</v>
      </c>
      <c r="X647">
        <v>66.858799838547625</v>
      </c>
      <c r="Y647">
        <v>-1.5587998385476283</v>
      </c>
      <c r="Z647">
        <v>66.885208407603272</v>
      </c>
      <c r="AA647">
        <v>0.28380836870830806</v>
      </c>
      <c r="AB647">
        <v>68.2</v>
      </c>
      <c r="AC647">
        <v>-0.57963781842623852</v>
      </c>
      <c r="AD647">
        <v>-0.35786545262063024</v>
      </c>
      <c r="AE647">
        <v>-0.2428100925490736</v>
      </c>
      <c r="AF647">
        <v>1.6659367266151196E-2</v>
      </c>
      <c r="AG647">
        <v>-0.36088412834727884</v>
      </c>
      <c r="AH647">
        <v>-0.24305336717368362</v>
      </c>
      <c r="AI647">
        <v>1.6972535655747359E-4</v>
      </c>
    </row>
    <row r="648" spans="23:35" x14ac:dyDescent="0.25">
      <c r="W648">
        <v>646</v>
      </c>
      <c r="X648">
        <v>68.1176686166351</v>
      </c>
      <c r="Y648">
        <v>-2.8176686166351033</v>
      </c>
      <c r="Z648">
        <v>68.123190704873821</v>
      </c>
      <c r="AA648">
        <v>0.28380836870830806</v>
      </c>
      <c r="AB648">
        <v>68.2</v>
      </c>
      <c r="AC648">
        <v>-0.57963781842623852</v>
      </c>
      <c r="AD648">
        <v>-0.64687346629864106</v>
      </c>
      <c r="AE648">
        <v>-0.23990881586781473</v>
      </c>
      <c r="AF648">
        <v>1.9559742206539969E-3</v>
      </c>
      <c r="AG648">
        <v>-0.64750702978772523</v>
      </c>
      <c r="AH648">
        <v>-0.24064270738976817</v>
      </c>
      <c r="AI648">
        <v>6.3206108233904699E-5</v>
      </c>
    </row>
    <row r="649" spans="23:35" x14ac:dyDescent="0.25">
      <c r="W649">
        <v>647</v>
      </c>
      <c r="X649">
        <v>66.359235959634617</v>
      </c>
      <c r="Y649">
        <v>-0.95923595963461139</v>
      </c>
      <c r="Z649">
        <v>66.372032784990154</v>
      </c>
      <c r="AA649">
        <v>0.28684050939963612</v>
      </c>
      <c r="AB649">
        <v>68.3</v>
      </c>
      <c r="AC649">
        <v>-0.57067028430202504</v>
      </c>
      <c r="AD649">
        <v>-0.22021904440564014</v>
      </c>
      <c r="AE649">
        <v>-0.23938420067466684</v>
      </c>
      <c r="AF649">
        <v>1.3165014136505648E-2</v>
      </c>
      <c r="AG649">
        <v>-0.221683109615924</v>
      </c>
      <c r="AH649">
        <v>-0.24001458806778919</v>
      </c>
      <c r="AI649">
        <v>5.0431124158814102E-5</v>
      </c>
    </row>
    <row r="650" spans="23:35" x14ac:dyDescent="0.25">
      <c r="W650">
        <v>648</v>
      </c>
      <c r="X650">
        <v>66.57251454021106</v>
      </c>
      <c r="Y650">
        <v>-3.4725145402110584</v>
      </c>
      <c r="Z650">
        <v>66.58776867836734</v>
      </c>
      <c r="AA650">
        <v>0.22255912674348088</v>
      </c>
      <c r="AB650">
        <v>68.3</v>
      </c>
      <c r="AC650">
        <v>-0.76459654801725674</v>
      </c>
      <c r="AD650">
        <v>-0.79721139105467032</v>
      </c>
      <c r="AE650">
        <v>-0.23860824018608623</v>
      </c>
      <c r="AF650">
        <v>4.3736094801513029E-3</v>
      </c>
      <c r="AG650">
        <v>-0.79896047616053822</v>
      </c>
      <c r="AH650">
        <v>-0.2396809714788887</v>
      </c>
      <c r="AI650">
        <v>2.1570034595112177E-4</v>
      </c>
    </row>
    <row r="651" spans="23:35" x14ac:dyDescent="0.25">
      <c r="W651">
        <v>649</v>
      </c>
      <c r="X651">
        <v>66.986582273101618</v>
      </c>
      <c r="Y651">
        <v>-4.2865822731016152</v>
      </c>
      <c r="Z651">
        <v>67.000530739079537</v>
      </c>
      <c r="AA651">
        <v>0.21164342025469982</v>
      </c>
      <c r="AB651">
        <v>68.3</v>
      </c>
      <c r="AC651">
        <v>-0.80808466725232064</v>
      </c>
      <c r="AD651">
        <v>-0.98410306918453572</v>
      </c>
      <c r="AE651">
        <v>-0.23534176880485708</v>
      </c>
      <c r="AF651">
        <v>3.2434289682353279E-3</v>
      </c>
      <c r="AG651">
        <v>-0.98570289613307738</v>
      </c>
      <c r="AH651">
        <v>-0.2361438749211576</v>
      </c>
      <c r="AI651">
        <v>2.4320023859997691E-4</v>
      </c>
    </row>
    <row r="652" spans="23:35" x14ac:dyDescent="0.25">
      <c r="W652">
        <v>650</v>
      </c>
      <c r="X652">
        <v>68.812931731661379</v>
      </c>
      <c r="Y652">
        <v>5.6870682683386207</v>
      </c>
      <c r="Z652">
        <v>68.77633017987678</v>
      </c>
      <c r="AA652">
        <v>0.72407519708914492</v>
      </c>
      <c r="AB652">
        <v>68.3</v>
      </c>
      <c r="AC652">
        <v>0.56531175535073552</v>
      </c>
      <c r="AD652">
        <v>1.3056232170447712</v>
      </c>
      <c r="AE652">
        <v>-0.23448570096018678</v>
      </c>
      <c r="AF652">
        <v>6.3947699526464979E-3</v>
      </c>
      <c r="AG652">
        <v>1.3098179260081462</v>
      </c>
      <c r="AH652">
        <v>-0.23467389208823988</v>
      </c>
      <c r="AI652">
        <v>8.4935561886319831E-4</v>
      </c>
    </row>
    <row r="653" spans="23:35" x14ac:dyDescent="0.25">
      <c r="W653">
        <v>651</v>
      </c>
      <c r="X653">
        <v>71.696798888200689</v>
      </c>
      <c r="Y653">
        <v>2.6032011117993079</v>
      </c>
      <c r="Z653">
        <v>71.689546473814815</v>
      </c>
      <c r="AA653">
        <v>0.7052759248029109</v>
      </c>
      <c r="AB653">
        <v>68.3</v>
      </c>
      <c r="AC653">
        <v>0.52824151828033117</v>
      </c>
      <c r="AD653">
        <v>0.59763654133078281</v>
      </c>
      <c r="AE653">
        <v>-0.23382841355328457</v>
      </c>
      <c r="AF653">
        <v>2.7782200729226524E-3</v>
      </c>
      <c r="AG653">
        <v>0.59846845808625393</v>
      </c>
      <c r="AH653">
        <v>-0.23453644271847879</v>
      </c>
      <c r="AI653">
        <v>7.6756306705684865E-5</v>
      </c>
    </row>
    <row r="654" spans="23:35" x14ac:dyDescent="0.25">
      <c r="W654">
        <v>652</v>
      </c>
      <c r="X654">
        <v>71.741022576617027</v>
      </c>
      <c r="Y654">
        <v>2.3589774233829672</v>
      </c>
      <c r="Z654">
        <v>71.733258622355123</v>
      </c>
      <c r="AA654">
        <v>0.69254093389933291</v>
      </c>
      <c r="AB654">
        <v>68.3</v>
      </c>
      <c r="AC654">
        <v>0.48161589062349974</v>
      </c>
      <c r="AD654">
        <v>0.54156826454854667</v>
      </c>
      <c r="AE654">
        <v>-0.23343700785281266</v>
      </c>
      <c r="AF654">
        <v>3.2804404973207422E-3</v>
      </c>
      <c r="AG654">
        <v>0.54245874726366738</v>
      </c>
      <c r="AH654">
        <v>-0.23362800468857972</v>
      </c>
      <c r="AI654">
        <v>7.4498797853699548E-5</v>
      </c>
    </row>
    <row r="655" spans="23:35" x14ac:dyDescent="0.25">
      <c r="W655">
        <v>653</v>
      </c>
      <c r="X655">
        <v>71.227211846184204</v>
      </c>
      <c r="Y655">
        <v>2.6727881538158016</v>
      </c>
      <c r="Z655">
        <v>71.220666837506982</v>
      </c>
      <c r="AA655">
        <v>0.67919951485748942</v>
      </c>
      <c r="AB655">
        <v>68.3</v>
      </c>
      <c r="AC655">
        <v>0.43434378704136062</v>
      </c>
      <c r="AD655">
        <v>0.61361216416056574</v>
      </c>
      <c r="AE655">
        <v>-0.2311550141969082</v>
      </c>
      <c r="AF655">
        <v>2.4427752281193341E-3</v>
      </c>
      <c r="AG655">
        <v>0.61436299832739893</v>
      </c>
      <c r="AH655">
        <v>-0.23259155760255168</v>
      </c>
      <c r="AI655">
        <v>7.1097190457068045E-5</v>
      </c>
    </row>
    <row r="656" spans="23:35" x14ac:dyDescent="0.25">
      <c r="W656">
        <v>654</v>
      </c>
      <c r="X656">
        <v>71.224090139429393</v>
      </c>
      <c r="Y656">
        <v>2.3759098605706015</v>
      </c>
      <c r="Z656">
        <v>71.218674086013323</v>
      </c>
      <c r="AA656">
        <v>0.65433596118859916</v>
      </c>
      <c r="AB656">
        <v>68.400000000000006</v>
      </c>
      <c r="AC656">
        <v>0.3716850598056044</v>
      </c>
      <c r="AD656">
        <v>0.54545557204517103</v>
      </c>
      <c r="AE656">
        <v>-0.23110411443539211</v>
      </c>
      <c r="AF656">
        <v>2.2743856203191783E-3</v>
      </c>
      <c r="AG656">
        <v>0.54607692029020949</v>
      </c>
      <c r="AH656">
        <v>-0.23240081229362716</v>
      </c>
      <c r="AI656">
        <v>5.2289834826490855E-5</v>
      </c>
    </row>
    <row r="657" spans="23:35" x14ac:dyDescent="0.25">
      <c r="W657">
        <v>655</v>
      </c>
      <c r="X657">
        <v>71.092527121381735</v>
      </c>
      <c r="Y657">
        <v>2.3074728786182703</v>
      </c>
      <c r="Z657">
        <v>71.08669194712003</v>
      </c>
      <c r="AA657">
        <v>0.63735597331716187</v>
      </c>
      <c r="AB657">
        <v>68.400000000000006</v>
      </c>
      <c r="AC657">
        <v>0.33286538375086522</v>
      </c>
      <c r="AD657">
        <v>0.52974397719077337</v>
      </c>
      <c r="AE657">
        <v>-0.23037790640163816</v>
      </c>
      <c r="AF657">
        <v>2.5224371887865192E-3</v>
      </c>
      <c r="AG657">
        <v>0.53041336678150341</v>
      </c>
      <c r="AH657">
        <v>-0.23141321694886019</v>
      </c>
      <c r="AI657">
        <v>5.472714506217729E-5</v>
      </c>
    </row>
    <row r="658" spans="23:35" x14ac:dyDescent="0.25">
      <c r="W658">
        <v>656</v>
      </c>
      <c r="X658">
        <v>70.608438080904293</v>
      </c>
      <c r="Y658">
        <v>2.5915619190957102</v>
      </c>
      <c r="Z658">
        <v>70.603093538662421</v>
      </c>
      <c r="AA658">
        <v>0.62340812613705276</v>
      </c>
      <c r="AB658">
        <v>68.400000000000006</v>
      </c>
      <c r="AC658">
        <v>0.29295400660571058</v>
      </c>
      <c r="AD658">
        <v>0.59496444395047221</v>
      </c>
      <c r="AE658">
        <v>-0.22993119304201615</v>
      </c>
      <c r="AF658">
        <v>2.0580418746088602E-3</v>
      </c>
      <c r="AG658">
        <v>0.59557762144145188</v>
      </c>
      <c r="AH658">
        <v>-0.23054284472352807</v>
      </c>
      <c r="AI658">
        <v>5.6270699499175537E-5</v>
      </c>
    </row>
    <row r="659" spans="23:35" x14ac:dyDescent="0.25">
      <c r="W659">
        <v>657</v>
      </c>
      <c r="X659">
        <v>70.29083567731584</v>
      </c>
      <c r="Y659">
        <v>2.7091643226841597</v>
      </c>
      <c r="Z659">
        <v>70.285860257658911</v>
      </c>
      <c r="AA659">
        <v>0.60946027895694366</v>
      </c>
      <c r="AB659">
        <v>68.400000000000006</v>
      </c>
      <c r="AC659">
        <v>0.22222871718700732</v>
      </c>
      <c r="AD659">
        <v>0.62196331599851329</v>
      </c>
      <c r="AE659">
        <v>-0.22728932636497581</v>
      </c>
      <c r="AF659">
        <v>1.8331479324065229E-3</v>
      </c>
      <c r="AG659">
        <v>0.62253417635550934</v>
      </c>
      <c r="AH659">
        <v>-0.22776694078763191</v>
      </c>
      <c r="AI659">
        <v>5.4749154280970114E-5</v>
      </c>
    </row>
    <row r="660" spans="23:35" x14ac:dyDescent="0.25">
      <c r="W660">
        <v>658</v>
      </c>
      <c r="X660">
        <v>69.988997862050837</v>
      </c>
      <c r="Y660">
        <v>2.8110021379491599</v>
      </c>
      <c r="Z660">
        <v>69.984056822884426</v>
      </c>
      <c r="AA660">
        <v>0.58156458459672533</v>
      </c>
      <c r="AB660">
        <v>68.400000000000006</v>
      </c>
      <c r="AC660">
        <v>0.18343432307636306</v>
      </c>
      <c r="AD660">
        <v>0.64534299243449589</v>
      </c>
      <c r="AE660">
        <v>-0.22650362822654463</v>
      </c>
      <c r="AF660">
        <v>1.7546657924632377E-3</v>
      </c>
      <c r="AG660">
        <v>0.64590991925562458</v>
      </c>
      <c r="AH660">
        <v>-0.22670497910568269</v>
      </c>
      <c r="AI660">
        <v>5.6410204787283868E-5</v>
      </c>
    </row>
    <row r="661" spans="23:35" x14ac:dyDescent="0.25">
      <c r="W661">
        <v>659</v>
      </c>
      <c r="X661">
        <v>69.92237154623372</v>
      </c>
      <c r="Y661">
        <v>2.5776284537662804</v>
      </c>
      <c r="Z661">
        <v>69.917174823376357</v>
      </c>
      <c r="AA661">
        <v>0.55852031534263191</v>
      </c>
      <c r="AB661">
        <v>68.400000000000006</v>
      </c>
      <c r="AC661">
        <v>0.12956927093944998</v>
      </c>
      <c r="AD661">
        <v>0.59176563307470509</v>
      </c>
      <c r="AE661">
        <v>-0.22047754431828037</v>
      </c>
      <c r="AF661">
        <v>2.0120304325631044E-3</v>
      </c>
      <c r="AG661">
        <v>0.59236185817434139</v>
      </c>
      <c r="AH661">
        <v>-0.22238805528878278</v>
      </c>
      <c r="AI661">
        <v>5.4417684764898502E-5</v>
      </c>
    </row>
    <row r="662" spans="23:35" x14ac:dyDescent="0.25">
      <c r="W662">
        <v>660</v>
      </c>
      <c r="X662">
        <v>69.391199985707445</v>
      </c>
      <c r="Y662">
        <v>2.808800014292558</v>
      </c>
      <c r="Z662">
        <v>69.385918557926615</v>
      </c>
      <c r="AA662">
        <v>0.53911461491813217</v>
      </c>
      <c r="AB662">
        <v>68.400000000000006</v>
      </c>
      <c r="AC662">
        <v>7.9127168877726875E-2</v>
      </c>
      <c r="AD662">
        <v>0.64483743427391083</v>
      </c>
      <c r="AE662">
        <v>-0.22021904440564014</v>
      </c>
      <c r="AF662">
        <v>1.8767856899455572E-3</v>
      </c>
      <c r="AG662">
        <v>0.64544339819023455</v>
      </c>
      <c r="AH662">
        <v>-0.221683109615924</v>
      </c>
      <c r="AI662">
        <v>6.0256444309133044E-5</v>
      </c>
    </row>
    <row r="663" spans="23:35" x14ac:dyDescent="0.25">
      <c r="W663">
        <v>661</v>
      </c>
      <c r="X663">
        <v>69.085242623255681</v>
      </c>
      <c r="Y663">
        <v>2.8147573767443248</v>
      </c>
      <c r="Z663">
        <v>69.079549050563287</v>
      </c>
      <c r="AA663">
        <v>0.51607034566403887</v>
      </c>
      <c r="AB663">
        <v>68.5</v>
      </c>
      <c r="AC663">
        <v>2.7365033500434649E-2</v>
      </c>
      <c r="AD663">
        <v>0.64620511096818933</v>
      </c>
      <c r="AE663">
        <v>-0.22006319669060831</v>
      </c>
      <c r="AF663">
        <v>2.0186746000770131E-3</v>
      </c>
      <c r="AG663">
        <v>0.64685833904790357</v>
      </c>
      <c r="AH663">
        <v>-0.22066696093524624</v>
      </c>
      <c r="AI663">
        <v>6.5105685224057556E-5</v>
      </c>
    </row>
    <row r="664" spans="23:35" x14ac:dyDescent="0.25">
      <c r="W664">
        <v>662</v>
      </c>
      <c r="X664">
        <v>66.387760188900828</v>
      </c>
      <c r="Y664">
        <v>5.2122398110991668</v>
      </c>
      <c r="Z664">
        <v>66.361035003777687</v>
      </c>
      <c r="AA664">
        <v>0.49787750151607035</v>
      </c>
      <c r="AB664">
        <v>68.5</v>
      </c>
      <c r="AC664">
        <v>-2.1282865457297767E-2</v>
      </c>
      <c r="AD664">
        <v>1.196613261715628</v>
      </c>
      <c r="AE664">
        <v>-0.219718640799035</v>
      </c>
      <c r="AF664">
        <v>5.1012337632366459E-3</v>
      </c>
      <c r="AG664">
        <v>1.1996770906783378</v>
      </c>
      <c r="AH664">
        <v>-0.21994007522025785</v>
      </c>
      <c r="AI664">
        <v>5.6765139822659001E-4</v>
      </c>
    </row>
    <row r="665" spans="23:35" x14ac:dyDescent="0.25">
      <c r="W665">
        <v>663</v>
      </c>
      <c r="X665">
        <v>68.57849878354952</v>
      </c>
      <c r="Y665">
        <v>2.721501216450477</v>
      </c>
      <c r="Z665">
        <v>68.573502192002209</v>
      </c>
      <c r="AA665">
        <v>0.48089751364463312</v>
      </c>
      <c r="AB665">
        <v>68.5</v>
      </c>
      <c r="AC665">
        <v>-5.1706087511076533E-2</v>
      </c>
      <c r="AD665">
        <v>0.62479558988155992</v>
      </c>
      <c r="AE665">
        <v>-0.21866977653730418</v>
      </c>
      <c r="AF665">
        <v>1.8326042781525186E-3</v>
      </c>
      <c r="AG665">
        <v>0.62536887949725095</v>
      </c>
      <c r="AH665">
        <v>-0.21901256210617259</v>
      </c>
      <c r="AI665">
        <v>5.5232473744645932E-5</v>
      </c>
    </row>
    <row r="666" spans="23:35" x14ac:dyDescent="0.25">
      <c r="W666">
        <v>664</v>
      </c>
      <c r="X666">
        <v>68.006245497041775</v>
      </c>
      <c r="Y666">
        <v>2.9937545029582253</v>
      </c>
      <c r="Z666">
        <v>68.001526653265856</v>
      </c>
      <c r="AA666">
        <v>0.46937537901758641</v>
      </c>
      <c r="AB666">
        <v>68.5</v>
      </c>
      <c r="AC666">
        <v>-9.743972564826138E-2</v>
      </c>
      <c r="AD666">
        <v>0.68729883320645491</v>
      </c>
      <c r="AE666">
        <v>-0.21814290412468881</v>
      </c>
      <c r="AF666">
        <v>1.5737487815450544E-3</v>
      </c>
      <c r="AG666">
        <v>0.68784029022898963</v>
      </c>
      <c r="AH666">
        <v>-0.21829659061766085</v>
      </c>
      <c r="AI666">
        <v>5.7365566324447682E-5</v>
      </c>
    </row>
    <row r="667" spans="23:35" x14ac:dyDescent="0.25">
      <c r="W667">
        <v>665</v>
      </c>
      <c r="X667">
        <v>65.969591154727027</v>
      </c>
      <c r="Y667">
        <v>2.0304088452729729</v>
      </c>
      <c r="Z667">
        <v>65.861915238878552</v>
      </c>
      <c r="AA667">
        <v>0.38447543966040026</v>
      </c>
      <c r="AB667">
        <v>68.5</v>
      </c>
      <c r="AC667">
        <v>-0.31204933220437475</v>
      </c>
      <c r="AD667">
        <v>0.46613629437859505</v>
      </c>
      <c r="AE667">
        <v>-0.21613029801555153</v>
      </c>
      <c r="AF667">
        <v>5.0360920112446653E-2</v>
      </c>
      <c r="AG667">
        <v>0.47833661963097585</v>
      </c>
      <c r="AH667">
        <v>-0.21803076419000464</v>
      </c>
      <c r="AI667">
        <v>9.3338106323550814E-4</v>
      </c>
    </row>
    <row r="668" spans="23:35" x14ac:dyDescent="0.25">
      <c r="W668">
        <v>666</v>
      </c>
      <c r="X668">
        <v>65.85636336304151</v>
      </c>
      <c r="Y668">
        <v>1.7436366369584846</v>
      </c>
      <c r="Z668">
        <v>65.807711967784698</v>
      </c>
      <c r="AA668">
        <v>0.36264402668283807</v>
      </c>
      <c r="AB668">
        <v>68.5</v>
      </c>
      <c r="AC668">
        <v>-0.36030729595554811</v>
      </c>
      <c r="AD668">
        <v>0.40029983251245765</v>
      </c>
      <c r="AE668">
        <v>-0.21454882529492017</v>
      </c>
      <c r="AF668">
        <v>2.7144853049475327E-2</v>
      </c>
      <c r="AG668">
        <v>0.40584604486108294</v>
      </c>
      <c r="AH668">
        <v>-0.21513830524658337</v>
      </c>
      <c r="AI668">
        <v>3.5352375182213261E-4</v>
      </c>
    </row>
    <row r="669" spans="23:35" x14ac:dyDescent="0.25">
      <c r="W669">
        <v>667</v>
      </c>
      <c r="X669">
        <v>65.076152377952425</v>
      </c>
      <c r="Y669">
        <v>2.2238476220475718</v>
      </c>
      <c r="Z669">
        <v>65.029056965313814</v>
      </c>
      <c r="AA669">
        <v>0.35112189205579136</v>
      </c>
      <c r="AB669">
        <v>68.599999999999994</v>
      </c>
      <c r="AC669">
        <v>-0.39787592189543292</v>
      </c>
      <c r="AD669">
        <v>0.5105454954145161</v>
      </c>
      <c r="AE669">
        <v>-0.21325587995717876</v>
      </c>
      <c r="AF669">
        <v>2.0738262439556506E-2</v>
      </c>
      <c r="AG669">
        <v>0.51592319787354679</v>
      </c>
      <c r="AH669">
        <v>-0.21346832828094181</v>
      </c>
      <c r="AI669">
        <v>4.3361104864764926E-4</v>
      </c>
    </row>
    <row r="670" spans="23:35" x14ac:dyDescent="0.25">
      <c r="W670">
        <v>668</v>
      </c>
      <c r="X670">
        <v>65.085023700794906</v>
      </c>
      <c r="Y670">
        <v>1.714976299205091</v>
      </c>
      <c r="Z670">
        <v>65.042097935054386</v>
      </c>
      <c r="AA670">
        <v>0.33232261976955729</v>
      </c>
      <c r="AB670">
        <v>68.599999999999994</v>
      </c>
      <c r="AC670">
        <v>-0.44438857281516719</v>
      </c>
      <c r="AD670">
        <v>0.39372006230159173</v>
      </c>
      <c r="AE670">
        <v>-0.21152031120441606</v>
      </c>
      <c r="AF670">
        <v>2.4418746980569186E-2</v>
      </c>
      <c r="AG670">
        <v>0.39861700525925137</v>
      </c>
      <c r="AH670">
        <v>-0.21176135275302321</v>
      </c>
      <c r="AI670">
        <v>3.0593433489215036E-4</v>
      </c>
    </row>
    <row r="671" spans="23:35" x14ac:dyDescent="0.25">
      <c r="W671">
        <v>669</v>
      </c>
      <c r="X671">
        <v>64.690831575574492</v>
      </c>
      <c r="Y671">
        <v>1.7091684244255134</v>
      </c>
      <c r="Z671">
        <v>64.648569364287226</v>
      </c>
      <c r="AA671">
        <v>0.32201334141904187</v>
      </c>
      <c r="AB671">
        <v>68.599999999999994</v>
      </c>
      <c r="AC671">
        <v>-0.46970075330452549</v>
      </c>
      <c r="AD671">
        <v>0.39238670462130482</v>
      </c>
      <c r="AE671">
        <v>-0.20964386681793556</v>
      </c>
      <c r="AF671">
        <v>2.413010850987006E-2</v>
      </c>
      <c r="AG671">
        <v>0.39720830848408084</v>
      </c>
      <c r="AH671">
        <v>-0.21082065180178722</v>
      </c>
      <c r="AI671">
        <v>3.0009630763728318E-4</v>
      </c>
    </row>
    <row r="672" spans="23:35" x14ac:dyDescent="0.25">
      <c r="W672">
        <v>670</v>
      </c>
      <c r="X672">
        <v>64.331272604429714</v>
      </c>
      <c r="Y672">
        <v>1.6687273955702864</v>
      </c>
      <c r="Z672">
        <v>64.273422311149247</v>
      </c>
      <c r="AA672">
        <v>0.31109763493026077</v>
      </c>
      <c r="AB672">
        <v>68.7</v>
      </c>
      <c r="AC672">
        <v>-0.50738317096904828</v>
      </c>
      <c r="AD672">
        <v>0.38310235217410149</v>
      </c>
      <c r="AE672">
        <v>-0.20952023201017919</v>
      </c>
      <c r="AF672">
        <v>3.3505757461146923E-2</v>
      </c>
      <c r="AG672">
        <v>0.38968634042557326</v>
      </c>
      <c r="AH672">
        <v>-0.21000692624195674</v>
      </c>
      <c r="AI672">
        <v>4.0495538880500211E-4</v>
      </c>
    </row>
    <row r="673" spans="23:35" x14ac:dyDescent="0.25">
      <c r="W673">
        <v>671</v>
      </c>
      <c r="X673">
        <v>62.39557982092002</v>
      </c>
      <c r="Y673">
        <v>3.1044201790799804</v>
      </c>
      <c r="Z673">
        <v>62.279192424825467</v>
      </c>
      <c r="AA673">
        <v>0.28987265009096425</v>
      </c>
      <c r="AB673">
        <v>68.7</v>
      </c>
      <c r="AC673">
        <v>-0.56174840893422073</v>
      </c>
      <c r="AD673">
        <v>0.71270518833655261</v>
      </c>
      <c r="AE673">
        <v>-0.20894377019038859</v>
      </c>
      <c r="AF673">
        <v>3.6136091144235424E-2</v>
      </c>
      <c r="AG673">
        <v>0.72594222965125799</v>
      </c>
      <c r="AH673">
        <v>-0.20929775625640093</v>
      </c>
      <c r="AI673">
        <v>1.5197992431402031E-3</v>
      </c>
    </row>
    <row r="674" spans="23:35" x14ac:dyDescent="0.25">
      <c r="W674">
        <v>672</v>
      </c>
      <c r="X674">
        <v>63.613009675493146</v>
      </c>
      <c r="Y674">
        <v>1.5869903245068571</v>
      </c>
      <c r="Z674">
        <v>63.565079340108085</v>
      </c>
      <c r="AA674">
        <v>0.28077622801697999</v>
      </c>
      <c r="AB674">
        <v>68.7</v>
      </c>
      <c r="AC674">
        <v>-0.59046081866695443</v>
      </c>
      <c r="AD674">
        <v>0.36433735540629808</v>
      </c>
      <c r="AE674">
        <v>-0.20834836763831799</v>
      </c>
      <c r="AF674">
        <v>2.9316612457652772E-2</v>
      </c>
      <c r="AG674">
        <v>0.36979829381647517</v>
      </c>
      <c r="AH674">
        <v>-0.20871419166209304</v>
      </c>
      <c r="AI674">
        <v>3.1770397073402915E-4</v>
      </c>
    </row>
    <row r="675" spans="23:35" x14ac:dyDescent="0.25">
      <c r="W675">
        <v>673</v>
      </c>
      <c r="X675">
        <v>63.552098096873095</v>
      </c>
      <c r="Y675">
        <v>1.2479019031269019</v>
      </c>
      <c r="Z675">
        <v>63.499449538557975</v>
      </c>
      <c r="AA675">
        <v>0.26440266828380837</v>
      </c>
      <c r="AB675">
        <v>68.7</v>
      </c>
      <c r="AC675">
        <v>-0.63633155866502356</v>
      </c>
      <c r="AD675">
        <v>0.28649026536001249</v>
      </c>
      <c r="AE675">
        <v>-0.20590898481185671</v>
      </c>
      <c r="AF675">
        <v>4.0481749748288845E-2</v>
      </c>
      <c r="AG675">
        <v>0.29247129623932056</v>
      </c>
      <c r="AH675">
        <v>-0.20635625624129492</v>
      </c>
      <c r="AI675">
        <v>2.7760621436447583E-4</v>
      </c>
    </row>
    <row r="676" spans="23:35" x14ac:dyDescent="0.25">
      <c r="W676">
        <v>674</v>
      </c>
      <c r="X676">
        <v>63.100337744762662</v>
      </c>
      <c r="Y676">
        <v>1.2996622552373438</v>
      </c>
      <c r="Z676">
        <v>63.063518709576215</v>
      </c>
      <c r="AA676">
        <v>0.25227410551849605</v>
      </c>
      <c r="AB676">
        <v>68.7</v>
      </c>
      <c r="AC676">
        <v>-0.67401274003943057</v>
      </c>
      <c r="AD676">
        <v>0.29837328034227284</v>
      </c>
      <c r="AE676">
        <v>-0.20410501349825966</v>
      </c>
      <c r="AF676">
        <v>2.7549233536050079E-2</v>
      </c>
      <c r="AG676">
        <v>0.30257017574161654</v>
      </c>
      <c r="AH676">
        <v>-0.20453540787880412</v>
      </c>
      <c r="AI676">
        <v>1.9950361997997588E-4</v>
      </c>
    </row>
    <row r="677" spans="23:35" x14ac:dyDescent="0.25">
      <c r="W677">
        <v>675</v>
      </c>
      <c r="X677">
        <v>62.81885688880584</v>
      </c>
      <c r="Y677">
        <v>1.1811431111941602</v>
      </c>
      <c r="Z677">
        <v>62.775644385641414</v>
      </c>
      <c r="AA677">
        <v>0.24075197089144937</v>
      </c>
      <c r="AB677">
        <v>68.8</v>
      </c>
      <c r="AC677">
        <v>-0.7126762947196924</v>
      </c>
      <c r="AD677">
        <v>0.27116394526385657</v>
      </c>
      <c r="AE677">
        <v>-0.20356161424646857</v>
      </c>
      <c r="AF677">
        <v>3.5294078499460001E-2</v>
      </c>
      <c r="AG677">
        <v>0.27607969840190977</v>
      </c>
      <c r="AH677">
        <v>-0.20427799174032185</v>
      </c>
      <c r="AI677">
        <v>2.1450256726505395E-4</v>
      </c>
    </row>
    <row r="678" spans="23:35" x14ac:dyDescent="0.25">
      <c r="W678">
        <v>676</v>
      </c>
      <c r="X678">
        <v>68.451835255180868</v>
      </c>
      <c r="Y678">
        <v>0.44816474481913815</v>
      </c>
      <c r="Z678">
        <v>68.444676114773245</v>
      </c>
      <c r="AA678">
        <v>0.41479684657368104</v>
      </c>
      <c r="AB678">
        <v>68.8</v>
      </c>
      <c r="AC678">
        <v>-0.22378708008709278</v>
      </c>
      <c r="AD678">
        <v>0.10288856547659293</v>
      </c>
      <c r="AE678">
        <v>-0.2033700862937157</v>
      </c>
      <c r="AF678">
        <v>1.5723182200419974E-2</v>
      </c>
      <c r="AG678">
        <v>0.10370709851300393</v>
      </c>
      <c r="AH678">
        <v>-0.20426068926355437</v>
      </c>
      <c r="AI678">
        <v>1.3215901891439598E-5</v>
      </c>
    </row>
    <row r="679" spans="23:35" x14ac:dyDescent="0.25">
      <c r="W679">
        <v>677</v>
      </c>
      <c r="X679">
        <v>69.962957750906043</v>
      </c>
      <c r="Y679">
        <v>-1.2629577509060397</v>
      </c>
      <c r="Z679">
        <v>69.969385768843395</v>
      </c>
      <c r="AA679">
        <v>0.40873256519102485</v>
      </c>
      <c r="AB679">
        <v>68.8</v>
      </c>
      <c r="AC679">
        <v>-0.23783731322627524</v>
      </c>
      <c r="AD679">
        <v>-0.28994675005216419</v>
      </c>
      <c r="AE679">
        <v>-0.20335074656704399</v>
      </c>
      <c r="AF679">
        <v>5.0638805752598864E-3</v>
      </c>
      <c r="AG679">
        <v>-0.29068367787983224</v>
      </c>
      <c r="AH679">
        <v>-0.20372141324897364</v>
      </c>
      <c r="AI679">
        <v>3.3081576532330479E-5</v>
      </c>
    </row>
    <row r="680" spans="23:35" x14ac:dyDescent="0.25">
      <c r="W680">
        <v>678</v>
      </c>
      <c r="X680">
        <v>70.015885545727613</v>
      </c>
      <c r="Y680">
        <v>-1.5158855457276132</v>
      </c>
      <c r="Z680">
        <v>70.024901605474369</v>
      </c>
      <c r="AA680">
        <v>0.40388114008489995</v>
      </c>
      <c r="AB680">
        <v>68.8</v>
      </c>
      <c r="AC680">
        <v>-0.25193465741015014</v>
      </c>
      <c r="AD680">
        <v>-0.34801329428435668</v>
      </c>
      <c r="AE680">
        <v>-0.20328440498448627</v>
      </c>
      <c r="AF680">
        <v>5.9125518094965525E-3</v>
      </c>
      <c r="AG680">
        <v>-0.34904670242474406</v>
      </c>
      <c r="AH680">
        <v>-0.20360852675135654</v>
      </c>
      <c r="AI680">
        <v>5.574091527544342E-5</v>
      </c>
    </row>
    <row r="681" spans="23:35" x14ac:dyDescent="0.25">
      <c r="W681">
        <v>679</v>
      </c>
      <c r="X681">
        <v>69.684094914802273</v>
      </c>
      <c r="Y681">
        <v>-1.3840949148022759</v>
      </c>
      <c r="Z681">
        <v>69.694274929029447</v>
      </c>
      <c r="AA681">
        <v>0.39599757428744692</v>
      </c>
      <c r="AB681">
        <v>68.900000000000006</v>
      </c>
      <c r="AC681">
        <v>-0.27396491687072577</v>
      </c>
      <c r="AD681">
        <v>-0.31775712372226739</v>
      </c>
      <c r="AE681">
        <v>-0.20250782172804302</v>
      </c>
      <c r="AF681">
        <v>7.3012961900302716E-3</v>
      </c>
      <c r="AG681">
        <v>-0.31892353429296177</v>
      </c>
      <c r="AH681">
        <v>-0.20270289816444345</v>
      </c>
      <c r="AI681">
        <v>5.75456229968346E-5</v>
      </c>
    </row>
    <row r="682" spans="23:35" x14ac:dyDescent="0.25">
      <c r="W682">
        <v>680</v>
      </c>
      <c r="X682">
        <v>69.452480985462429</v>
      </c>
      <c r="Y682">
        <v>-1.3524809854624351</v>
      </c>
      <c r="Z682">
        <v>69.461570039813651</v>
      </c>
      <c r="AA682">
        <v>0.38932686476652517</v>
      </c>
      <c r="AB682">
        <v>68.900000000000006</v>
      </c>
      <c r="AC682">
        <v>-0.29295400660571042</v>
      </c>
      <c r="AD682">
        <v>-0.31049927518229076</v>
      </c>
      <c r="AE682">
        <v>-0.20121209433432438</v>
      </c>
      <c r="AF682">
        <v>6.675421818523767E-3</v>
      </c>
      <c r="AG682">
        <v>-0.31154084962253203</v>
      </c>
      <c r="AH682">
        <v>-0.20172221424475523</v>
      </c>
      <c r="AI682">
        <v>5.0173474862748863E-5</v>
      </c>
    </row>
    <row r="683" spans="23:35" x14ac:dyDescent="0.25">
      <c r="W683">
        <v>681</v>
      </c>
      <c r="X683">
        <v>69.103497863225826</v>
      </c>
      <c r="Y683">
        <v>-1.2034978632258202</v>
      </c>
      <c r="Z683">
        <v>69.11207898689338</v>
      </c>
      <c r="AA683">
        <v>0.37719830200121285</v>
      </c>
      <c r="AB683">
        <v>68.900000000000006</v>
      </c>
      <c r="AC683">
        <v>-0.32163939638952632</v>
      </c>
      <c r="AD683">
        <v>-0.27629609453421178</v>
      </c>
      <c r="AE683">
        <v>-0.20095974605769684</v>
      </c>
      <c r="AF683">
        <v>7.0796736519227171E-3</v>
      </c>
      <c r="AG683">
        <v>-0.2772793616232358</v>
      </c>
      <c r="AH683">
        <v>-0.20134511304724512</v>
      </c>
      <c r="AI683">
        <v>4.2168735294283313E-5</v>
      </c>
    </row>
    <row r="684" spans="23:35" x14ac:dyDescent="0.25">
      <c r="W684">
        <v>682</v>
      </c>
      <c r="X684">
        <v>68.718516011047043</v>
      </c>
      <c r="Y684">
        <v>-1.0185160110470406</v>
      </c>
      <c r="Z684">
        <v>68.724693453980748</v>
      </c>
      <c r="AA684">
        <v>0.36749545178896303</v>
      </c>
      <c r="AB684">
        <v>68.900000000000006</v>
      </c>
      <c r="AC684">
        <v>-0.35059197017921911</v>
      </c>
      <c r="AD684">
        <v>-0.23382841355328457</v>
      </c>
      <c r="AE684">
        <v>-0.20028880838192128</v>
      </c>
      <c r="AF684">
        <v>6.0285765559561673E-3</v>
      </c>
      <c r="AG684">
        <v>-0.23453644271847879</v>
      </c>
      <c r="AH684">
        <v>-0.20078130783814438</v>
      </c>
      <c r="AI684">
        <v>2.5663636597347734E-5</v>
      </c>
    </row>
    <row r="685" spans="23:35" x14ac:dyDescent="0.25">
      <c r="W685">
        <v>683</v>
      </c>
      <c r="X685">
        <v>67.407070137263503</v>
      </c>
      <c r="Y685">
        <v>9.2929862736497171E-2</v>
      </c>
      <c r="Z685">
        <v>67.406190398654886</v>
      </c>
      <c r="AA685">
        <v>0.35900545785324439</v>
      </c>
      <c r="AB685">
        <v>68.900000000000006</v>
      </c>
      <c r="AC685">
        <v>-0.37168505980560429</v>
      </c>
      <c r="AD685">
        <v>2.133461049184826E-2</v>
      </c>
      <c r="AE685">
        <v>-0.20015536715471499</v>
      </c>
      <c r="AF685">
        <v>9.3779165033155594E-3</v>
      </c>
      <c r="AG685">
        <v>2.143535673854902E-2</v>
      </c>
      <c r="AH685">
        <v>-0.20075008342332831</v>
      </c>
      <c r="AI685">
        <v>3.3459267990532645E-7</v>
      </c>
    </row>
    <row r="686" spans="23:35" x14ac:dyDescent="0.25">
      <c r="W686">
        <v>684</v>
      </c>
      <c r="X686">
        <v>68.519309784903498</v>
      </c>
      <c r="Y686">
        <v>-1.2193097849035013</v>
      </c>
      <c r="Z686">
        <v>68.527723235706972</v>
      </c>
      <c r="AA686">
        <v>0.35112189205579136</v>
      </c>
      <c r="AB686">
        <v>68.900000000000006</v>
      </c>
      <c r="AC686">
        <v>-0.39787592189543292</v>
      </c>
      <c r="AD686">
        <v>-0.27992615682191219</v>
      </c>
      <c r="AE686">
        <v>-0.19973062881775686</v>
      </c>
      <c r="AF686">
        <v>6.8528887934784406E-3</v>
      </c>
      <c r="AG686">
        <v>-0.28089026627412567</v>
      </c>
      <c r="AH686">
        <v>-0.19993116134605135</v>
      </c>
      <c r="AI686">
        <v>4.1878404546391836E-5</v>
      </c>
    </row>
    <row r="687" spans="23:35" x14ac:dyDescent="0.25">
      <c r="W687">
        <v>685</v>
      </c>
      <c r="X687">
        <v>68.245001188861181</v>
      </c>
      <c r="Y687">
        <v>-1.0450011888611783</v>
      </c>
      <c r="Z687">
        <v>68.25140437606548</v>
      </c>
      <c r="AA687">
        <v>0.34505761067313523</v>
      </c>
      <c r="AB687">
        <v>69</v>
      </c>
      <c r="AC687">
        <v>-0.40776731506460179</v>
      </c>
      <c r="AD687">
        <v>-0.23990881586781473</v>
      </c>
      <c r="AE687">
        <v>-0.1979386145020712</v>
      </c>
      <c r="AF687">
        <v>6.0901279755596529E-3</v>
      </c>
      <c r="AG687">
        <v>-0.24064270738976817</v>
      </c>
      <c r="AH687">
        <v>-0.19829455077866912</v>
      </c>
      <c r="AI687">
        <v>2.7294897788345917E-5</v>
      </c>
    </row>
    <row r="688" spans="23:35" x14ac:dyDescent="0.25">
      <c r="W688">
        <v>686</v>
      </c>
      <c r="X688">
        <v>68.162894857679063</v>
      </c>
      <c r="Y688">
        <v>-2.8628948576790663</v>
      </c>
      <c r="Z688">
        <v>68.190851210281551</v>
      </c>
      <c r="AA688">
        <v>0.28380836870830806</v>
      </c>
      <c r="AB688">
        <v>69</v>
      </c>
      <c r="AC688">
        <v>-0.57963781842623852</v>
      </c>
      <c r="AD688">
        <v>-0.65725639605093522</v>
      </c>
      <c r="AE688">
        <v>-0.19745098041820605</v>
      </c>
      <c r="AF688">
        <v>9.6706300563145914E-3</v>
      </c>
      <c r="AG688">
        <v>-0.66045767537386457</v>
      </c>
      <c r="AH688">
        <v>-0.19768887541458793</v>
      </c>
      <c r="AI688">
        <v>3.2765872868717005E-4</v>
      </c>
    </row>
    <row r="689" spans="23:35" x14ac:dyDescent="0.25">
      <c r="W689">
        <v>687</v>
      </c>
      <c r="X689">
        <v>65.653632296848201</v>
      </c>
      <c r="Y689">
        <v>1.2463677031518046</v>
      </c>
      <c r="Z689">
        <v>65.615815873194251</v>
      </c>
      <c r="AA689">
        <v>0.33474833232261975</v>
      </c>
      <c r="AB689">
        <v>69</v>
      </c>
      <c r="AC689">
        <v>-0.43267393579163727</v>
      </c>
      <c r="AD689">
        <v>0.28613804748384802</v>
      </c>
      <c r="AE689">
        <v>-0.19561781889097477</v>
      </c>
      <c r="AF689">
        <v>2.9447820499086688E-2</v>
      </c>
      <c r="AG689">
        <v>0.29044651158673523</v>
      </c>
      <c r="AH689">
        <v>-0.1963300778275511</v>
      </c>
      <c r="AI689">
        <v>1.9688981239462404E-4</v>
      </c>
    </row>
    <row r="690" spans="23:35" x14ac:dyDescent="0.25">
      <c r="W690">
        <v>688</v>
      </c>
      <c r="X690">
        <v>63.323536353339854</v>
      </c>
      <c r="Y690">
        <v>3.3764636466601488</v>
      </c>
      <c r="Z690">
        <v>63.265876186254843</v>
      </c>
      <c r="AA690">
        <v>0.328077622801698</v>
      </c>
      <c r="AB690">
        <v>69</v>
      </c>
      <c r="AC690">
        <v>-0.44774677320100181</v>
      </c>
      <c r="AD690">
        <v>0.77516026194547127</v>
      </c>
      <c r="AE690">
        <v>-0.19554955055858708</v>
      </c>
      <c r="AF690">
        <v>1.6790357661021875E-2</v>
      </c>
      <c r="AG690">
        <v>0.78175098350819128</v>
      </c>
      <c r="AH690">
        <v>-0.19581097992399005</v>
      </c>
      <c r="AI690">
        <v>8.0279995347624607E-4</v>
      </c>
    </row>
    <row r="691" spans="23:35" x14ac:dyDescent="0.25">
      <c r="W691">
        <v>689</v>
      </c>
      <c r="X691">
        <v>66.56742299318671</v>
      </c>
      <c r="Y691">
        <v>-6.7422993186710301E-2</v>
      </c>
      <c r="Z691">
        <v>66.567691649138382</v>
      </c>
      <c r="AA691">
        <v>0.32383262583383871</v>
      </c>
      <c r="AB691">
        <v>69</v>
      </c>
      <c r="AC691">
        <v>-0.46123068213767926</v>
      </c>
      <c r="AD691">
        <v>-1.54788057947714E-2</v>
      </c>
      <c r="AE691">
        <v>-0.19431921239394095</v>
      </c>
      <c r="AF691">
        <v>3.9688197154654995E-3</v>
      </c>
      <c r="AG691">
        <v>-1.550961382360057E-2</v>
      </c>
      <c r="AH691">
        <v>-0.19510614582103317</v>
      </c>
      <c r="AI691">
        <v>7.373047874484263E-8</v>
      </c>
    </row>
    <row r="692" spans="23:35" x14ac:dyDescent="0.25">
      <c r="W692">
        <v>690</v>
      </c>
      <c r="X692">
        <v>66.104487566795257</v>
      </c>
      <c r="Y692">
        <v>0.19551243320474043</v>
      </c>
      <c r="Z692">
        <v>66.103687789376849</v>
      </c>
      <c r="AA692">
        <v>0.31898120072771374</v>
      </c>
      <c r="AB692">
        <v>69</v>
      </c>
      <c r="AC692">
        <v>-0.47479897905845492</v>
      </c>
      <c r="AD692">
        <v>4.4885266005008868E-2</v>
      </c>
      <c r="AE692">
        <v>-0.19395473166665586</v>
      </c>
      <c r="AF692">
        <v>4.0740074999045623E-3</v>
      </c>
      <c r="AG692">
        <v>4.4976977781358327E-2</v>
      </c>
      <c r="AH692">
        <v>-0.19448842827498661</v>
      </c>
      <c r="AI692">
        <v>6.3654915251336905E-7</v>
      </c>
    </row>
    <row r="693" spans="23:35" x14ac:dyDescent="0.25">
      <c r="W693">
        <v>691</v>
      </c>
      <c r="X693">
        <v>71.110431237491369</v>
      </c>
      <c r="Y693">
        <v>-3.2104312374913633</v>
      </c>
      <c r="Z693">
        <v>71.122060183010774</v>
      </c>
      <c r="AA693">
        <v>0.37719830200121285</v>
      </c>
      <c r="AB693">
        <v>69</v>
      </c>
      <c r="AC693">
        <v>-0.32163939638952632</v>
      </c>
      <c r="AD693">
        <v>-0.73704294772234336</v>
      </c>
      <c r="AE693">
        <v>-0.19288255505535848</v>
      </c>
      <c r="AF693">
        <v>3.6091645900083991E-3</v>
      </c>
      <c r="AG693">
        <v>-0.7383766135287535</v>
      </c>
      <c r="AH693">
        <v>-0.19306147667421369</v>
      </c>
      <c r="AI693">
        <v>1.5191108896538287E-4</v>
      </c>
    </row>
    <row r="694" spans="23:35" x14ac:dyDescent="0.25">
      <c r="W694">
        <v>692</v>
      </c>
      <c r="X694">
        <v>70.41263378858801</v>
      </c>
      <c r="Y694">
        <v>-0.91263378858801047</v>
      </c>
      <c r="Z694">
        <v>70.423997751682791</v>
      </c>
      <c r="AA694">
        <v>0.44269254093389931</v>
      </c>
      <c r="AB694">
        <v>69</v>
      </c>
      <c r="AC694">
        <v>-0.15567569037416348</v>
      </c>
      <c r="AD694">
        <v>-0.20952023201017919</v>
      </c>
      <c r="AE694">
        <v>-0.190930064490929</v>
      </c>
      <c r="AF694">
        <v>1.2298691283701268E-2</v>
      </c>
      <c r="AG694">
        <v>-0.21082065180178722</v>
      </c>
      <c r="AH694">
        <v>-0.19134689566775573</v>
      </c>
      <c r="AI694">
        <v>4.2571232331012491E-5</v>
      </c>
    </row>
    <row r="695" spans="23:35" x14ac:dyDescent="0.25">
      <c r="W695">
        <v>693</v>
      </c>
      <c r="X695">
        <v>70.235619468735734</v>
      </c>
      <c r="Y695">
        <v>5.7643805312642655</v>
      </c>
      <c r="Z695">
        <v>70.164280616085151</v>
      </c>
      <c r="AA695">
        <v>0.80836870830806551</v>
      </c>
      <c r="AB695">
        <v>69</v>
      </c>
      <c r="AC695">
        <v>0.83794453378675593</v>
      </c>
      <c r="AD695">
        <v>1.3233723771876087</v>
      </c>
      <c r="AE695">
        <v>-0.19070573842756805</v>
      </c>
      <c r="AF695">
        <v>1.2224517314388797E-2</v>
      </c>
      <c r="AG695">
        <v>1.3315360963193512</v>
      </c>
      <c r="AH695">
        <v>-0.19100448236001186</v>
      </c>
      <c r="AI695">
        <v>1.6878584158280651E-3</v>
      </c>
    </row>
    <row r="696" spans="23:35" x14ac:dyDescent="0.25">
      <c r="W696">
        <v>694</v>
      </c>
      <c r="X696">
        <v>69.821015690531766</v>
      </c>
      <c r="Y696">
        <v>7.178984309468234</v>
      </c>
      <c r="Z696">
        <v>69.719030044740393</v>
      </c>
      <c r="AA696">
        <v>0.83747725894481506</v>
      </c>
      <c r="AB696">
        <v>69</v>
      </c>
      <c r="AC696">
        <v>0.95855995741850497</v>
      </c>
      <c r="AD696">
        <v>1.6481336511158193</v>
      </c>
      <c r="AE696">
        <v>-0.18405196052535233</v>
      </c>
      <c r="AF696">
        <v>1.4007151027687787E-2</v>
      </c>
      <c r="AG696">
        <v>1.6597991742156142</v>
      </c>
      <c r="AH696">
        <v>-0.1844100316255535</v>
      </c>
      <c r="AI696">
        <v>3.0105357041650153E-3</v>
      </c>
    </row>
    <row r="697" spans="23:35" x14ac:dyDescent="0.25">
      <c r="W697">
        <v>695</v>
      </c>
      <c r="X697">
        <v>70.736281128811669</v>
      </c>
      <c r="Y697">
        <v>5.2637188711883311</v>
      </c>
      <c r="Z697">
        <v>70.719529178560151</v>
      </c>
      <c r="AA697">
        <v>0.80836870830806551</v>
      </c>
      <c r="AB697">
        <v>69.099999999999994</v>
      </c>
      <c r="AC697">
        <v>0.83794453378675593</v>
      </c>
      <c r="AD697">
        <v>1.2084316983639523</v>
      </c>
      <c r="AE697">
        <v>-0.18378432351074717</v>
      </c>
      <c r="AF697">
        <v>3.1724349623332127E-3</v>
      </c>
      <c r="AG697">
        <v>1.210353106716497</v>
      </c>
      <c r="AH697">
        <v>-0.18416361717088525</v>
      </c>
      <c r="AI697">
        <v>3.5863569669136708E-4</v>
      </c>
    </row>
    <row r="698" spans="23:35" x14ac:dyDescent="0.25">
      <c r="W698">
        <v>696</v>
      </c>
      <c r="X698">
        <v>71.396654880214058</v>
      </c>
      <c r="Y698">
        <v>2.6033451197859421</v>
      </c>
      <c r="Z698">
        <v>71.376039006366938</v>
      </c>
      <c r="AA698">
        <v>0.68465736810187994</v>
      </c>
      <c r="AB698">
        <v>69.099999999999994</v>
      </c>
      <c r="AC698">
        <v>0.4663087141536239</v>
      </c>
      <c r="AD698">
        <v>0.59766960233197319</v>
      </c>
      <c r="AE698">
        <v>-0.1817791167819873</v>
      </c>
      <c r="AF698">
        <v>7.8567760333135561E-3</v>
      </c>
      <c r="AG698">
        <v>0.60003140670966737</v>
      </c>
      <c r="AH698">
        <v>-0.18368841194208527</v>
      </c>
      <c r="AI698">
        <v>2.1931817116032086E-4</v>
      </c>
    </row>
    <row r="699" spans="23:35" x14ac:dyDescent="0.25">
      <c r="W699">
        <v>697</v>
      </c>
      <c r="X699">
        <v>70.778287676214774</v>
      </c>
      <c r="Y699">
        <v>-1.4782876762147765</v>
      </c>
      <c r="Z699">
        <v>70.783073334188558</v>
      </c>
      <c r="AA699">
        <v>0.4329896907216495</v>
      </c>
      <c r="AB699">
        <v>69.099999999999994</v>
      </c>
      <c r="AC699">
        <v>-0.17879863688351211</v>
      </c>
      <c r="AD699">
        <v>-0.33938166740189624</v>
      </c>
      <c r="AE699">
        <v>-0.18053265430829565</v>
      </c>
      <c r="AF699">
        <v>3.2268518780990819E-3</v>
      </c>
      <c r="AG699">
        <v>-0.33993056334955124</v>
      </c>
      <c r="AH699">
        <v>-0.18076599299339755</v>
      </c>
      <c r="AI699">
        <v>2.8775294432261237E-5</v>
      </c>
    </row>
    <row r="700" spans="23:35" x14ac:dyDescent="0.25">
      <c r="W700">
        <v>698</v>
      </c>
      <c r="X700">
        <v>70.323040029940827</v>
      </c>
      <c r="Y700">
        <v>-4.4230400299408217</v>
      </c>
      <c r="Z700">
        <v>70.340839089225696</v>
      </c>
      <c r="AA700">
        <v>0.30563978168587025</v>
      </c>
      <c r="AB700">
        <v>69.099999999999994</v>
      </c>
      <c r="AC700">
        <v>-0.52126361871264315</v>
      </c>
      <c r="AD700">
        <v>-1.0154307070936837</v>
      </c>
      <c r="AE700">
        <v>-0.1798010693879922</v>
      </c>
      <c r="AF700">
        <v>4.0080396806209551E-3</v>
      </c>
      <c r="AG700">
        <v>-1.01747178798046</v>
      </c>
      <c r="AH700">
        <v>-0.17994009799878447</v>
      </c>
      <c r="AI700">
        <v>3.2046276805792963E-4</v>
      </c>
    </row>
    <row r="701" spans="23:35" x14ac:dyDescent="0.25">
      <c r="W701">
        <v>699</v>
      </c>
      <c r="X701">
        <v>69.762427954398959</v>
      </c>
      <c r="Y701">
        <v>-5.0624279543989559</v>
      </c>
      <c r="Z701">
        <v>69.783252473522666</v>
      </c>
      <c r="AA701">
        <v>0.26197695573074592</v>
      </c>
      <c r="AB701">
        <v>69.099999999999994</v>
      </c>
      <c r="AC701">
        <v>-0.64941472986293491</v>
      </c>
      <c r="AD701">
        <v>-1.1622198222372726</v>
      </c>
      <c r="AE701">
        <v>-0.17137414757389346</v>
      </c>
      <c r="AF701">
        <v>4.0966918783141701E-3</v>
      </c>
      <c r="AG701">
        <v>-1.1646077900768566</v>
      </c>
      <c r="AH701">
        <v>-0.17159518712748939</v>
      </c>
      <c r="AI701">
        <v>4.2917276600501936E-4</v>
      </c>
    </row>
    <row r="702" spans="23:35" x14ac:dyDescent="0.25">
      <c r="W702">
        <v>700</v>
      </c>
      <c r="X702">
        <v>70.033336533566271</v>
      </c>
      <c r="Y702">
        <v>-3.2333365335662734</v>
      </c>
      <c r="Z702">
        <v>70.043016517608891</v>
      </c>
      <c r="AA702">
        <v>0.33232261976955729</v>
      </c>
      <c r="AB702">
        <v>69.099999999999994</v>
      </c>
      <c r="AC702">
        <v>-0.44438857281516719</v>
      </c>
      <c r="AD702">
        <v>-0.74230148954699138</v>
      </c>
      <c r="AE702">
        <v>-0.17047986357039374</v>
      </c>
      <c r="AF702">
        <v>2.9848704100202666E-3</v>
      </c>
      <c r="AG702">
        <v>-0.74341181266989664</v>
      </c>
      <c r="AH702">
        <v>-0.17136350362130567</v>
      </c>
      <c r="AI702">
        <v>1.2727388323722857E-4</v>
      </c>
    </row>
    <row r="703" spans="23:35" x14ac:dyDescent="0.25">
      <c r="W703">
        <v>701</v>
      </c>
      <c r="X703">
        <v>69.960883334182185</v>
      </c>
      <c r="Y703">
        <v>-2.7608833341821821</v>
      </c>
      <c r="Z703">
        <v>69.96858053982875</v>
      </c>
      <c r="AA703">
        <v>0.34505761067313523</v>
      </c>
      <c r="AB703">
        <v>69.099999999999994</v>
      </c>
      <c r="AC703">
        <v>-0.40776731506460179</v>
      </c>
      <c r="AD703">
        <v>-0.63383684010413299</v>
      </c>
      <c r="AE703">
        <v>-0.16903459668461651</v>
      </c>
      <c r="AF703">
        <v>2.780199288345604E-3</v>
      </c>
      <c r="AG703">
        <v>-0.63471977795454904</v>
      </c>
      <c r="AH703">
        <v>-0.17089409231438499</v>
      </c>
      <c r="AI703">
        <v>8.6398408908794637E-5</v>
      </c>
    </row>
    <row r="704" spans="23:35" x14ac:dyDescent="0.25">
      <c r="W704">
        <v>702</v>
      </c>
      <c r="X704">
        <v>78.737389028281484</v>
      </c>
      <c r="Y704">
        <v>2.4626109717185187</v>
      </c>
      <c r="Z704">
        <v>78.729032337079516</v>
      </c>
      <c r="AA704">
        <v>0.94178289872650089</v>
      </c>
      <c r="AB704">
        <v>69.2</v>
      </c>
      <c r="AC704">
        <v>1.5519290565282795</v>
      </c>
      <c r="AD704">
        <v>0.56536020098878825</v>
      </c>
      <c r="AE704">
        <v>-0.1661041103806421</v>
      </c>
      <c r="AF704">
        <v>3.3819508556802731E-3</v>
      </c>
      <c r="AG704">
        <v>0.56631864293551315</v>
      </c>
      <c r="AH704">
        <v>-0.16681247623723161</v>
      </c>
      <c r="AI704">
        <v>8.3717626918316168E-5</v>
      </c>
    </row>
    <row r="705" spans="23:35" x14ac:dyDescent="0.25">
      <c r="W705">
        <v>703</v>
      </c>
      <c r="X705">
        <v>78.549778503124998</v>
      </c>
      <c r="Y705">
        <v>2.4502214968750025</v>
      </c>
      <c r="Z705">
        <v>78.541562371064572</v>
      </c>
      <c r="AA705">
        <v>0.93571861734384476</v>
      </c>
      <c r="AB705">
        <v>69.2</v>
      </c>
      <c r="AC705">
        <v>1.4576525936309466</v>
      </c>
      <c r="AD705">
        <v>0.56251585567070184</v>
      </c>
      <c r="AE705">
        <v>-0.16591617451260227</v>
      </c>
      <c r="AF705">
        <v>3.342013628379594E-3</v>
      </c>
      <c r="AG705">
        <v>0.56345818611842668</v>
      </c>
      <c r="AH705">
        <v>-0.16603356242918063</v>
      </c>
      <c r="AI705">
        <v>8.1892117104169658E-5</v>
      </c>
    </row>
    <row r="706" spans="23:35" x14ac:dyDescent="0.25">
      <c r="W706">
        <v>704</v>
      </c>
      <c r="X706">
        <v>79.167244156855119</v>
      </c>
      <c r="Y706">
        <v>5.8327558431448807</v>
      </c>
      <c r="Z706">
        <v>79.069758291849112</v>
      </c>
      <c r="AA706">
        <v>0.98544572468162528</v>
      </c>
      <c r="AB706">
        <v>69.2</v>
      </c>
      <c r="AC706">
        <v>2.1134016615055304</v>
      </c>
      <c r="AD706">
        <v>1.3390698139778459</v>
      </c>
      <c r="AE706">
        <v>-0.16321624256859982</v>
      </c>
      <c r="AF706">
        <v>1.6438767558499628E-2</v>
      </c>
      <c r="AG706">
        <v>1.3502137266071543</v>
      </c>
      <c r="AH706">
        <v>-0.1635652944871118</v>
      </c>
      <c r="AI706">
        <v>2.3438485047399473E-3</v>
      </c>
    </row>
    <row r="707" spans="23:35" x14ac:dyDescent="0.25">
      <c r="W707">
        <v>705</v>
      </c>
      <c r="X707">
        <v>83.352524752309876</v>
      </c>
      <c r="Y707">
        <v>0.64747524769012443</v>
      </c>
      <c r="Z707">
        <v>83.345178120367365</v>
      </c>
      <c r="AA707">
        <v>0.9824135839902971</v>
      </c>
      <c r="AB707">
        <v>69.2</v>
      </c>
      <c r="AC707">
        <v>2.0350728680272758</v>
      </c>
      <c r="AD707">
        <v>0.14864578302187278</v>
      </c>
      <c r="AE707">
        <v>-0.16302313434433865</v>
      </c>
      <c r="AF707">
        <v>1.121928293940477E-2</v>
      </c>
      <c r="AG707">
        <v>0.14948671521577431</v>
      </c>
      <c r="AH707">
        <v>-0.16313932807871476</v>
      </c>
      <c r="AI707">
        <v>1.9504146835401143E-5</v>
      </c>
    </row>
    <row r="708" spans="23:35" x14ac:dyDescent="0.25">
      <c r="W708">
        <v>706</v>
      </c>
      <c r="X708">
        <v>83.226088896300141</v>
      </c>
      <c r="Y708">
        <v>2.7739111036998594</v>
      </c>
      <c r="Z708">
        <v>83.194451708125058</v>
      </c>
      <c r="AA708">
        <v>0.99029714978775019</v>
      </c>
      <c r="AB708">
        <v>69.2</v>
      </c>
      <c r="AC708">
        <v>2.190305027167327</v>
      </c>
      <c r="AD708">
        <v>0.63682772355163497</v>
      </c>
      <c r="AE708">
        <v>-0.15960546857589342</v>
      </c>
      <c r="AF708">
        <v>1.1276650723390047E-2</v>
      </c>
      <c r="AG708">
        <v>0.64044902148467342</v>
      </c>
      <c r="AH708">
        <v>-0.15975188886208336</v>
      </c>
      <c r="AI708">
        <v>3.5985796463243176E-4</v>
      </c>
    </row>
    <row r="709" spans="23:35" x14ac:dyDescent="0.25">
      <c r="W709">
        <v>707</v>
      </c>
      <c r="X709">
        <v>81.99335986203937</v>
      </c>
      <c r="Y709">
        <v>0.2066401379606333</v>
      </c>
      <c r="Z709">
        <v>81.991428434299053</v>
      </c>
      <c r="AA709">
        <v>0.96846573681018799</v>
      </c>
      <c r="AB709">
        <v>69.2</v>
      </c>
      <c r="AC709">
        <v>1.8460302671294702</v>
      </c>
      <c r="AD709">
        <v>4.7439937233873429E-2</v>
      </c>
      <c r="AE709">
        <v>-0.15921187268928061</v>
      </c>
      <c r="AF709">
        <v>9.2602638994618187E-3</v>
      </c>
      <c r="AG709">
        <v>4.7661127806255969E-2</v>
      </c>
      <c r="AH709">
        <v>-0.15950235762953849</v>
      </c>
      <c r="AI709">
        <v>1.6332364319404192E-6</v>
      </c>
    </row>
    <row r="710" spans="23:35" x14ac:dyDescent="0.25">
      <c r="W710">
        <v>708</v>
      </c>
      <c r="X710">
        <v>81.824658387712603</v>
      </c>
      <c r="Y710">
        <v>0.27534161228739151</v>
      </c>
      <c r="Z710">
        <v>81.822231205664139</v>
      </c>
      <c r="AA710">
        <v>0.96725288053365677</v>
      </c>
      <c r="AB710">
        <v>69.3</v>
      </c>
      <c r="AC710">
        <v>1.8295749434197284</v>
      </c>
      <c r="AD710">
        <v>6.3212253600391149E-2</v>
      </c>
      <c r="AE710">
        <v>-0.15872315999874945</v>
      </c>
      <c r="AF710">
        <v>8.7381379692917614E-3</v>
      </c>
      <c r="AG710">
        <v>6.349025554405735E-2</v>
      </c>
      <c r="AH710">
        <v>-0.15900329473280456</v>
      </c>
      <c r="AI710">
        <v>2.7333880922384296E-6</v>
      </c>
    </row>
    <row r="711" spans="23:35" x14ac:dyDescent="0.25">
      <c r="W711">
        <v>709</v>
      </c>
      <c r="X711">
        <v>81.238367375566895</v>
      </c>
      <c r="Y711">
        <v>0.56163262443310202</v>
      </c>
      <c r="Z711">
        <v>81.234177405283717</v>
      </c>
      <c r="AA711">
        <v>0.95815645845967257</v>
      </c>
      <c r="AB711">
        <v>69.3</v>
      </c>
      <c r="AC711">
        <v>1.7064083338107217</v>
      </c>
      <c r="AD711">
        <v>0.12893824362756592</v>
      </c>
      <c r="AE711">
        <v>-0.15832271188911243</v>
      </c>
      <c r="AF711">
        <v>7.4050953820293183E-3</v>
      </c>
      <c r="AG711">
        <v>0.12941831148642197</v>
      </c>
      <c r="AH711">
        <v>-0.15852361797736467</v>
      </c>
      <c r="AI711">
        <v>9.6118441794847064E-6</v>
      </c>
    </row>
    <row r="712" spans="23:35" x14ac:dyDescent="0.25">
      <c r="W712">
        <v>710</v>
      </c>
      <c r="X712">
        <v>81.14409206358269</v>
      </c>
      <c r="Y712">
        <v>0.65590793641730727</v>
      </c>
      <c r="Z712">
        <v>81.138982336711408</v>
      </c>
      <c r="AA712">
        <v>0.95815645845967257</v>
      </c>
      <c r="AB712">
        <v>69.3</v>
      </c>
      <c r="AC712">
        <v>1.7064083338107217</v>
      </c>
      <c r="AD712">
        <v>0.15058173906544917</v>
      </c>
      <c r="AE712">
        <v>-0.15752032481738629</v>
      </c>
      <c r="AF712">
        <v>7.7300912745037424E-3</v>
      </c>
      <c r="AG712">
        <v>0.15116714045848129</v>
      </c>
      <c r="AH712">
        <v>-0.15826686950511568</v>
      </c>
      <c r="AI712">
        <v>1.3693871369370159E-5</v>
      </c>
    </row>
    <row r="713" spans="23:35" x14ac:dyDescent="0.25">
      <c r="W713">
        <v>711</v>
      </c>
      <c r="X713">
        <v>77.995758168456803</v>
      </c>
      <c r="Y713">
        <v>3.7042418315432002</v>
      </c>
      <c r="Z713">
        <v>77.981125500897079</v>
      </c>
      <c r="AA713">
        <v>0.95573074590661011</v>
      </c>
      <c r="AB713">
        <v>69.3</v>
      </c>
      <c r="AC713">
        <v>1.6624525291871317</v>
      </c>
      <c r="AD713">
        <v>0.85041077557243805</v>
      </c>
      <c r="AE713">
        <v>-0.15691467799749415</v>
      </c>
      <c r="AF713">
        <v>3.9347032450962943E-3</v>
      </c>
      <c r="AG713">
        <v>0.85208878607349126</v>
      </c>
      <c r="AH713">
        <v>-0.15733707980788336</v>
      </c>
      <c r="AI713">
        <v>2.2062286569640165E-4</v>
      </c>
    </row>
    <row r="714" spans="23:35" x14ac:dyDescent="0.25">
      <c r="W714">
        <v>712</v>
      </c>
      <c r="X714">
        <v>80.463125972917666</v>
      </c>
      <c r="Y714">
        <v>1.0368740270823338</v>
      </c>
      <c r="Z714">
        <v>80.456760857639992</v>
      </c>
      <c r="AA714">
        <v>0.94966646452395387</v>
      </c>
      <c r="AB714">
        <v>69.3</v>
      </c>
      <c r="AC714">
        <v>1.6214924498394727</v>
      </c>
      <c r="AD714">
        <v>0.23804300195342717</v>
      </c>
      <c r="AE714">
        <v>-0.15218184299296397</v>
      </c>
      <c r="AF714">
        <v>6.1013002860314759E-3</v>
      </c>
      <c r="AG714">
        <v>0.23877252786640124</v>
      </c>
      <c r="AH714">
        <v>-0.15241712680374681</v>
      </c>
      <c r="AI714">
        <v>2.69218958564309E-5</v>
      </c>
    </row>
    <row r="715" spans="23:35" x14ac:dyDescent="0.25">
      <c r="W715">
        <v>713</v>
      </c>
      <c r="X715">
        <v>80.525178449919565</v>
      </c>
      <c r="Y715">
        <v>0.47482155008043492</v>
      </c>
      <c r="Z715">
        <v>80.521978843597552</v>
      </c>
      <c r="AA715">
        <v>0.93571861734384476</v>
      </c>
      <c r="AB715">
        <v>69.3</v>
      </c>
      <c r="AC715">
        <v>1.4576525936309466</v>
      </c>
      <c r="AD715">
        <v>0.10900836960047723</v>
      </c>
      <c r="AE715">
        <v>-0.150647141468812</v>
      </c>
      <c r="AF715">
        <v>6.6934408219494479E-3</v>
      </c>
      <c r="AG715">
        <v>0.10937503184014243</v>
      </c>
      <c r="AH715">
        <v>-0.15224689067326169</v>
      </c>
      <c r="AI715">
        <v>6.200963248072518E-6</v>
      </c>
    </row>
    <row r="716" spans="23:35" x14ac:dyDescent="0.25">
      <c r="W716">
        <v>714</v>
      </c>
      <c r="X716">
        <v>77.437329511807462</v>
      </c>
      <c r="Y716">
        <v>6.5626704881925377</v>
      </c>
      <c r="Z716">
        <v>77.409018586975151</v>
      </c>
      <c r="AA716">
        <v>0.9824135839902971</v>
      </c>
      <c r="AB716">
        <v>69.3</v>
      </c>
      <c r="AC716">
        <v>2.0350728680272758</v>
      </c>
      <c r="AD716">
        <v>1.5066418321195614</v>
      </c>
      <c r="AE716">
        <v>-0.15004686731696446</v>
      </c>
      <c r="AF716">
        <v>4.2954035307033768E-3</v>
      </c>
      <c r="AG716">
        <v>1.5098881112528222</v>
      </c>
      <c r="AH716">
        <v>-0.15018556333567082</v>
      </c>
      <c r="AI716">
        <v>7.5651864594173692E-4</v>
      </c>
    </row>
    <row r="717" spans="23:35" x14ac:dyDescent="0.25">
      <c r="W717">
        <v>715</v>
      </c>
      <c r="X717">
        <v>77.561108152155555</v>
      </c>
      <c r="Y717">
        <v>6.4388918478444452</v>
      </c>
      <c r="Z717">
        <v>77.534863948332969</v>
      </c>
      <c r="AA717">
        <v>0.9824135839902971</v>
      </c>
      <c r="AB717">
        <v>69.400000000000006</v>
      </c>
      <c r="AC717">
        <v>2.0350728680272758</v>
      </c>
      <c r="AD717">
        <v>1.4782250347492152</v>
      </c>
      <c r="AE717">
        <v>-0.14935501022806857</v>
      </c>
      <c r="AF717">
        <v>4.0593428526259591E-3</v>
      </c>
      <c r="AG717">
        <v>1.4812345113426222</v>
      </c>
      <c r="AH717">
        <v>-0.14954760580624582</v>
      </c>
      <c r="AI717">
        <v>6.8790198640398409E-4</v>
      </c>
    </row>
    <row r="718" spans="23:35" x14ac:dyDescent="0.25">
      <c r="W718">
        <v>716</v>
      </c>
      <c r="X718">
        <v>73.815834310641932</v>
      </c>
      <c r="Y718">
        <v>6.1841656893580677</v>
      </c>
      <c r="Z718">
        <v>73.756419766857277</v>
      </c>
      <c r="AA718">
        <v>0.92722862340812617</v>
      </c>
      <c r="AB718">
        <v>69.400000000000006</v>
      </c>
      <c r="AC718">
        <v>1.4191611772342045</v>
      </c>
      <c r="AD718">
        <v>1.419745626587372</v>
      </c>
      <c r="AE718">
        <v>-0.14906827791289221</v>
      </c>
      <c r="AF718">
        <v>9.516101590120939E-3</v>
      </c>
      <c r="AG718">
        <v>1.4265494464679485</v>
      </c>
      <c r="AH718">
        <v>-0.14948742844514692</v>
      </c>
      <c r="AI718">
        <v>1.5039796387269766E-3</v>
      </c>
    </row>
    <row r="719" spans="23:35" x14ac:dyDescent="0.25">
      <c r="W719">
        <v>717</v>
      </c>
      <c r="X719">
        <v>75.514820074634429</v>
      </c>
      <c r="Y719">
        <v>5.4851799253655713</v>
      </c>
      <c r="Z719">
        <v>75.457648701474866</v>
      </c>
      <c r="AA719">
        <v>0.93571861734384476</v>
      </c>
      <c r="AB719">
        <v>69.400000000000006</v>
      </c>
      <c r="AC719">
        <v>1.4576525936309466</v>
      </c>
      <c r="AD719">
        <v>1.2592741852767186</v>
      </c>
      <c r="AE719">
        <v>-0.14189242441450767</v>
      </c>
      <c r="AF719">
        <v>1.0315364378791934E-2</v>
      </c>
      <c r="AG719">
        <v>1.2658198054133927</v>
      </c>
      <c r="AH719">
        <v>-0.14201769594487812</v>
      </c>
      <c r="AI719">
        <v>1.2846598943325339E-3</v>
      </c>
    </row>
    <row r="720" spans="23:35" x14ac:dyDescent="0.25">
      <c r="W720">
        <v>718</v>
      </c>
      <c r="X720">
        <v>78.954079158283321</v>
      </c>
      <c r="Y720">
        <v>0.74592084171668205</v>
      </c>
      <c r="Z720">
        <v>78.950764937046614</v>
      </c>
      <c r="AA720">
        <v>0.9151000606428138</v>
      </c>
      <c r="AB720">
        <v>69.400000000000006</v>
      </c>
      <c r="AC720">
        <v>1.3555018111021329</v>
      </c>
      <c r="AD720">
        <v>0.17124668160654657</v>
      </c>
      <c r="AE720">
        <v>-0.14049595496405048</v>
      </c>
      <c r="AF720">
        <v>4.4234732203231311E-3</v>
      </c>
      <c r="AG720">
        <v>0.1716266953628969</v>
      </c>
      <c r="AH720">
        <v>-0.14125776238295482</v>
      </c>
      <c r="AI720">
        <v>1.0067348023974934E-5</v>
      </c>
    </row>
    <row r="721" spans="23:35" x14ac:dyDescent="0.25">
      <c r="W721">
        <v>719</v>
      </c>
      <c r="X721">
        <v>76.515120771086316</v>
      </c>
      <c r="Y721">
        <v>2.784879228913681</v>
      </c>
      <c r="Z721">
        <v>76.445218486331783</v>
      </c>
      <c r="AA721">
        <v>0.9017586416009703</v>
      </c>
      <c r="AB721">
        <v>69.400000000000006</v>
      </c>
      <c r="AC721">
        <v>1.262435852359769</v>
      </c>
      <c r="AD721">
        <v>0.63934575889971479</v>
      </c>
      <c r="AE721">
        <v>-0.13598252384566323</v>
      </c>
      <c r="AF721">
        <v>2.4486036644082044E-2</v>
      </c>
      <c r="AG721">
        <v>0.64732002693875723</v>
      </c>
      <c r="AH721">
        <v>-0.13737597831315207</v>
      </c>
      <c r="AI721">
        <v>8.0905815477431454E-4</v>
      </c>
    </row>
    <row r="722" spans="23:35" x14ac:dyDescent="0.25">
      <c r="W722">
        <v>720</v>
      </c>
      <c r="X722">
        <v>76.723190633074807</v>
      </c>
      <c r="Y722">
        <v>2.5768093669251897</v>
      </c>
      <c r="Z722">
        <v>76.713333290060277</v>
      </c>
      <c r="AA722">
        <v>0.9017586416009703</v>
      </c>
      <c r="AB722">
        <v>69.400000000000006</v>
      </c>
      <c r="AC722">
        <v>1.262435852359769</v>
      </c>
      <c r="AD722">
        <v>0.59157758912199609</v>
      </c>
      <c r="AE722">
        <v>-0.13597928284037913</v>
      </c>
      <c r="AF722">
        <v>3.8108284212490305E-3</v>
      </c>
      <c r="AG722">
        <v>0.59270802140760537</v>
      </c>
      <c r="AH722">
        <v>-0.1362793655737527</v>
      </c>
      <c r="AI722">
        <v>1.0337507463594349E-4</v>
      </c>
    </row>
    <row r="723" spans="23:35" x14ac:dyDescent="0.25">
      <c r="W723">
        <v>721</v>
      </c>
      <c r="X723">
        <v>76.727332383407827</v>
      </c>
      <c r="Y723">
        <v>2.1726676165921788</v>
      </c>
      <c r="Z723">
        <v>76.719785021248796</v>
      </c>
      <c r="AA723">
        <v>0.88599151000606424</v>
      </c>
      <c r="AB723">
        <v>69.400000000000006</v>
      </c>
      <c r="AC723">
        <v>1.1852957183684145</v>
      </c>
      <c r="AD723">
        <v>0.49879571499723968</v>
      </c>
      <c r="AE723">
        <v>-0.13491669876822079</v>
      </c>
      <c r="AF723">
        <v>3.4617513559862092E-3</v>
      </c>
      <c r="AG723">
        <v>0.49966131639065869</v>
      </c>
      <c r="AH723">
        <v>-0.13562893988445052</v>
      </c>
      <c r="AI723">
        <v>6.6712928002694269E-5</v>
      </c>
    </row>
    <row r="724" spans="23:35" x14ac:dyDescent="0.25">
      <c r="W724">
        <v>722</v>
      </c>
      <c r="X724">
        <v>81.452012179670959</v>
      </c>
      <c r="Y724">
        <v>1.0479878203290411</v>
      </c>
      <c r="Z724">
        <v>81.44576683482579</v>
      </c>
      <c r="AA724">
        <v>0.97210430563978167</v>
      </c>
      <c r="AB724">
        <v>69.400000000000006</v>
      </c>
      <c r="AC724">
        <v>1.898648757670367</v>
      </c>
      <c r="AD724">
        <v>0.24059447941205375</v>
      </c>
      <c r="AE724">
        <v>-0.13476829062816348</v>
      </c>
      <c r="AF724">
        <v>5.9240640984199984E-3</v>
      </c>
      <c r="AG724">
        <v>0.24131031001549594</v>
      </c>
      <c r="AH724">
        <v>-0.1350614388311189</v>
      </c>
      <c r="AI724">
        <v>2.6693688677952518E-5</v>
      </c>
    </row>
    <row r="725" spans="23:35" x14ac:dyDescent="0.25">
      <c r="W725">
        <v>723</v>
      </c>
      <c r="X725">
        <v>78.183810369075033</v>
      </c>
      <c r="Y725">
        <v>4.1161896309249641</v>
      </c>
      <c r="Z725">
        <v>78.169743200561754</v>
      </c>
      <c r="AA725">
        <v>0.97028502122498483</v>
      </c>
      <c r="AB725">
        <v>69.5</v>
      </c>
      <c r="AC725">
        <v>1.8630011940066851</v>
      </c>
      <c r="AD725">
        <v>0.94498474333675608</v>
      </c>
      <c r="AE725">
        <v>-0.13423075065720996</v>
      </c>
      <c r="AF725">
        <v>3.4058822965184563E-3</v>
      </c>
      <c r="AG725">
        <v>0.94659811913841896</v>
      </c>
      <c r="AH725">
        <v>-0.13448245873210452</v>
      </c>
      <c r="AI725">
        <v>2.3555874822865446E-4</v>
      </c>
    </row>
    <row r="726" spans="23:35" x14ac:dyDescent="0.25">
      <c r="W726">
        <v>724</v>
      </c>
      <c r="X726">
        <v>81.407554098940068</v>
      </c>
      <c r="Y726">
        <v>0.59244590105993211</v>
      </c>
      <c r="Z726">
        <v>81.404112574890206</v>
      </c>
      <c r="AA726">
        <v>0.96604002425712554</v>
      </c>
      <c r="AB726">
        <v>69.5</v>
      </c>
      <c r="AC726">
        <v>1.7539324289023792</v>
      </c>
      <c r="AD726">
        <v>0.13601228027685078</v>
      </c>
      <c r="AE726">
        <v>-0.13405821215873792</v>
      </c>
      <c r="AF726">
        <v>5.7754601034385152E-3</v>
      </c>
      <c r="AG726">
        <v>0.1364067565623118</v>
      </c>
      <c r="AH726">
        <v>-0.13437067542845374</v>
      </c>
      <c r="AI726">
        <v>8.3143924991772607E-6</v>
      </c>
    </row>
    <row r="727" spans="23:35" x14ac:dyDescent="0.25">
      <c r="W727">
        <v>725</v>
      </c>
      <c r="X727">
        <v>81.640725196511553</v>
      </c>
      <c r="Y727">
        <v>0.35927480348844654</v>
      </c>
      <c r="Z727">
        <v>81.638104889513954</v>
      </c>
      <c r="AA727">
        <v>0.96604002425712554</v>
      </c>
      <c r="AB727">
        <v>69.5</v>
      </c>
      <c r="AC727">
        <v>1.7539324289023792</v>
      </c>
      <c r="AD727">
        <v>8.2481430255583424E-2</v>
      </c>
      <c r="AE727">
        <v>-0.12945740524650362</v>
      </c>
      <c r="AF727">
        <v>7.2405150599729809E-3</v>
      </c>
      <c r="AG727">
        <v>8.2781665656073089E-2</v>
      </c>
      <c r="AH727">
        <v>-0.1295732563027519</v>
      </c>
      <c r="AI727">
        <v>3.8445931257493531E-6</v>
      </c>
    </row>
    <row r="728" spans="23:35" x14ac:dyDescent="0.25">
      <c r="W728">
        <v>726</v>
      </c>
      <c r="X728">
        <v>81.297653796468893</v>
      </c>
      <c r="Y728">
        <v>0.50234620353110415</v>
      </c>
      <c r="Z728">
        <v>81.294481403357466</v>
      </c>
      <c r="AA728">
        <v>0.95815645845967257</v>
      </c>
      <c r="AB728">
        <v>69.5</v>
      </c>
      <c r="AC728">
        <v>1.7064083338107217</v>
      </c>
      <c r="AD728">
        <v>0.11532741218809216</v>
      </c>
      <c r="AE728">
        <v>-0.1288139586145744</v>
      </c>
      <c r="AF728">
        <v>6.275522072764465E-3</v>
      </c>
      <c r="AG728">
        <v>0.11569099419640638</v>
      </c>
      <c r="AH728">
        <v>-0.12903027820184357</v>
      </c>
      <c r="AI728">
        <v>6.5018901513768042E-6</v>
      </c>
    </row>
    <row r="729" spans="23:35" x14ac:dyDescent="0.25">
      <c r="W729">
        <v>727</v>
      </c>
      <c r="X729">
        <v>77.697565306546622</v>
      </c>
      <c r="Y729">
        <v>3.9024346934533725</v>
      </c>
      <c r="Z729">
        <v>77.647416678405776</v>
      </c>
      <c r="AA729">
        <v>0.95148574893875071</v>
      </c>
      <c r="AB729">
        <v>69.5</v>
      </c>
      <c r="AC729">
        <v>1.6445597025796697</v>
      </c>
      <c r="AD729">
        <v>0.89591140784075141</v>
      </c>
      <c r="AE729">
        <v>-0.12613466387053857</v>
      </c>
      <c r="AF729">
        <v>1.2687557493569535E-2</v>
      </c>
      <c r="AG729">
        <v>0.9016495317715203</v>
      </c>
      <c r="AH729">
        <v>-0.12625762617713343</v>
      </c>
      <c r="AI729">
        <v>8.036289691032019E-4</v>
      </c>
    </row>
    <row r="730" spans="23:35" x14ac:dyDescent="0.25">
      <c r="W730">
        <v>728</v>
      </c>
      <c r="X730">
        <v>77.424759740939834</v>
      </c>
      <c r="Y730">
        <v>4.0752402590601662</v>
      </c>
      <c r="Z730">
        <v>77.410362773486526</v>
      </c>
      <c r="AA730">
        <v>0.94966646452395387</v>
      </c>
      <c r="AB730">
        <v>69.5</v>
      </c>
      <c r="AC730">
        <v>1.6214924498394727</v>
      </c>
      <c r="AD730">
        <v>0.93558368674530801</v>
      </c>
      <c r="AE730">
        <v>-0.124055159293078</v>
      </c>
      <c r="AF730">
        <v>3.5203531892697309E-3</v>
      </c>
      <c r="AG730">
        <v>0.93723484001621737</v>
      </c>
      <c r="AH730">
        <v>-0.1242489912704947</v>
      </c>
      <c r="AI730">
        <v>2.387103784020856E-4</v>
      </c>
    </row>
    <row r="731" spans="23:35" x14ac:dyDescent="0.25">
      <c r="W731">
        <v>729</v>
      </c>
      <c r="X731">
        <v>81.085381069256698</v>
      </c>
      <c r="Y731">
        <v>0.21461893074329907</v>
      </c>
      <c r="Z731">
        <v>81.084088422518462</v>
      </c>
      <c r="AA731">
        <v>0.94481503941782896</v>
      </c>
      <c r="AB731">
        <v>69.5</v>
      </c>
      <c r="AC731">
        <v>1.5725296242490356</v>
      </c>
      <c r="AD731">
        <v>4.9271688957170559E-2</v>
      </c>
      <c r="AE731">
        <v>-0.1214637500222109</v>
      </c>
      <c r="AF731">
        <v>5.9869264692536785E-3</v>
      </c>
      <c r="AG731">
        <v>4.9419847540382381E-2</v>
      </c>
      <c r="AH731">
        <v>-0.12193180179097282</v>
      </c>
      <c r="AI731">
        <v>1.1315435621398828E-6</v>
      </c>
    </row>
    <row r="732" spans="23:35" x14ac:dyDescent="0.25">
      <c r="W732">
        <v>730</v>
      </c>
      <c r="X732">
        <v>77.437472558985363</v>
      </c>
      <c r="Y732">
        <v>3.7625274410146403</v>
      </c>
      <c r="Z732">
        <v>77.426075659982246</v>
      </c>
      <c r="AA732">
        <v>0.94178289872650089</v>
      </c>
      <c r="AB732">
        <v>69.5</v>
      </c>
      <c r="AC732">
        <v>1.5519290565282795</v>
      </c>
      <c r="AD732">
        <v>0.86379184317262492</v>
      </c>
      <c r="AE732">
        <v>-0.12133124229334398</v>
      </c>
      <c r="AF732">
        <v>3.0199065949096729E-3</v>
      </c>
      <c r="AG732">
        <v>0.86509909008345787</v>
      </c>
      <c r="AH732">
        <v>-0.1216321511993521</v>
      </c>
      <c r="AI732">
        <v>1.7437948141257103E-4</v>
      </c>
    </row>
    <row r="733" spans="23:35" x14ac:dyDescent="0.25">
      <c r="W733">
        <v>731</v>
      </c>
      <c r="X733">
        <v>80.178134676889769</v>
      </c>
      <c r="Y733">
        <v>7.8218653231102309</v>
      </c>
      <c r="Z733">
        <v>80.143032581257089</v>
      </c>
      <c r="AA733">
        <v>0.99575500303214071</v>
      </c>
      <c r="AB733">
        <v>69.599999999999994</v>
      </c>
      <c r="AC733">
        <v>2.428517260365656</v>
      </c>
      <c r="AD733">
        <v>1.7957247011268072</v>
      </c>
      <c r="AE733">
        <v>-0.12097263852870292</v>
      </c>
      <c r="AF733">
        <v>4.4676391999472877E-3</v>
      </c>
      <c r="AG733">
        <v>1.7997495172622504</v>
      </c>
      <c r="AH733">
        <v>-0.12121702925631103</v>
      </c>
      <c r="AI733">
        <v>1.1181588108074654E-3</v>
      </c>
    </row>
    <row r="734" spans="23:35" x14ac:dyDescent="0.25">
      <c r="W734">
        <v>732</v>
      </c>
      <c r="X734">
        <v>79.887333590071592</v>
      </c>
      <c r="Y734">
        <v>9.1126664099284085</v>
      </c>
      <c r="Z734">
        <v>79.848769361629437</v>
      </c>
      <c r="AA734">
        <v>1</v>
      </c>
      <c r="AB734">
        <v>69.599999999999994</v>
      </c>
      <c r="AC734">
        <v>2.6570161854420777</v>
      </c>
      <c r="AD734">
        <v>2.0920636561062889</v>
      </c>
      <c r="AE734">
        <v>-0.1196846965726512</v>
      </c>
      <c r="AF734">
        <v>4.2141029951156947E-3</v>
      </c>
      <c r="AG734">
        <v>2.0964857231689078</v>
      </c>
      <c r="AH734">
        <v>-0.12082043977853528</v>
      </c>
      <c r="AI734">
        <v>1.4308023368938545E-3</v>
      </c>
    </row>
    <row r="735" spans="23:35" x14ac:dyDescent="0.25">
      <c r="W735">
        <v>733</v>
      </c>
      <c r="X735">
        <v>79.39679123494119</v>
      </c>
      <c r="Y735">
        <v>0.50320876505881529</v>
      </c>
      <c r="Z735">
        <v>79.394694235806483</v>
      </c>
      <c r="AA735">
        <v>0.92177077016373554</v>
      </c>
      <c r="AB735">
        <v>69.599999999999994</v>
      </c>
      <c r="AC735">
        <v>1.3946242806491955</v>
      </c>
      <c r="AD735">
        <v>0.11552543695297481</v>
      </c>
      <c r="AE735">
        <v>-0.11848035116023932</v>
      </c>
      <c r="AF735">
        <v>4.1499608421467623E-3</v>
      </c>
      <c r="AG735">
        <v>0.11576589866216412</v>
      </c>
      <c r="AH735">
        <v>-0.11910021188457226</v>
      </c>
      <c r="AI735">
        <v>4.2960368371657031E-6</v>
      </c>
    </row>
    <row r="736" spans="23:35" x14ac:dyDescent="0.25">
      <c r="W736">
        <v>734</v>
      </c>
      <c r="X736">
        <v>78.62781043752301</v>
      </c>
      <c r="Y736">
        <v>1.37218956247699</v>
      </c>
      <c r="Z736">
        <v>78.623338358537112</v>
      </c>
      <c r="AA736">
        <v>0.92722862340812617</v>
      </c>
      <c r="AB736">
        <v>69.599999999999994</v>
      </c>
      <c r="AC736">
        <v>1.4191611772342045</v>
      </c>
      <c r="AD736">
        <v>0.31502392206729024</v>
      </c>
      <c r="AE736">
        <v>-0.11231142982552568</v>
      </c>
      <c r="AF736">
        <v>3.2484953827506178E-3</v>
      </c>
      <c r="AG736">
        <v>0.31553684896477868</v>
      </c>
      <c r="AH736">
        <v>-0.11249938343242234</v>
      </c>
      <c r="AI736">
        <v>2.496043616651646E-5</v>
      </c>
    </row>
    <row r="737" spans="23:35" x14ac:dyDescent="0.25">
      <c r="W737">
        <v>735</v>
      </c>
      <c r="X737">
        <v>76.076875377952817</v>
      </c>
      <c r="Y737">
        <v>3.7231246220471803</v>
      </c>
      <c r="Z737">
        <v>76.064338238828398</v>
      </c>
      <c r="AA737">
        <v>0.91813220133414186</v>
      </c>
      <c r="AB737">
        <v>69.599999999999994</v>
      </c>
      <c r="AC737">
        <v>1.3748000243745633</v>
      </c>
      <c r="AD737">
        <v>0.85474584041100221</v>
      </c>
      <c r="AE737">
        <v>-0.11125639243687944</v>
      </c>
      <c r="AF737">
        <v>3.356069132043408E-3</v>
      </c>
      <c r="AG737">
        <v>0.85618375379283296</v>
      </c>
      <c r="AH737">
        <v>-0.11208431752545281</v>
      </c>
      <c r="AI737">
        <v>1.8988098902416334E-4</v>
      </c>
    </row>
    <row r="738" spans="23:35" x14ac:dyDescent="0.25">
      <c r="W738">
        <v>736</v>
      </c>
      <c r="X738">
        <v>75.800595643657871</v>
      </c>
      <c r="Y738">
        <v>3.5994043563421343</v>
      </c>
      <c r="Z738">
        <v>75.78795759977676</v>
      </c>
      <c r="AA738">
        <v>0.90661006670709521</v>
      </c>
      <c r="AB738">
        <v>69.599999999999994</v>
      </c>
      <c r="AC738">
        <v>1.2933897637306977</v>
      </c>
      <c r="AD738">
        <v>0.82634244454836658</v>
      </c>
      <c r="AE738">
        <v>-0.11043156019696308</v>
      </c>
      <c r="AF738">
        <v>3.4988636568429651E-3</v>
      </c>
      <c r="AG738">
        <v>0.82779187896302953</v>
      </c>
      <c r="AH738">
        <v>-0.11122891120953458</v>
      </c>
      <c r="AI738">
        <v>1.8507518475871274E-4</v>
      </c>
    </row>
    <row r="739" spans="23:35" x14ac:dyDescent="0.25">
      <c r="W739">
        <v>737</v>
      </c>
      <c r="X739">
        <v>73.687643159149459</v>
      </c>
      <c r="Y739">
        <v>2.1123568408505378</v>
      </c>
      <c r="Z739">
        <v>73.684357789984347</v>
      </c>
      <c r="AA739">
        <v>0.79624014554275313</v>
      </c>
      <c r="AB739">
        <v>69.599999999999994</v>
      </c>
      <c r="AC739">
        <v>0.81442193874053515</v>
      </c>
      <c r="AD739">
        <v>0.4849497146802309</v>
      </c>
      <c r="AE739">
        <v>-0.1081665060914037</v>
      </c>
      <c r="AF739">
        <v>1.5528945062461409E-3</v>
      </c>
      <c r="AG739">
        <v>0.48532669166507503</v>
      </c>
      <c r="AH739">
        <v>-0.10826180732893424</v>
      </c>
      <c r="AI739">
        <v>2.818005866824419E-5</v>
      </c>
    </row>
    <row r="740" spans="23:35" x14ac:dyDescent="0.25">
      <c r="W740">
        <v>738</v>
      </c>
      <c r="X740">
        <v>73.019668131259536</v>
      </c>
      <c r="Y740">
        <v>2.5803318687404584</v>
      </c>
      <c r="Z740">
        <v>73.015144360667421</v>
      </c>
      <c r="AA740">
        <v>0.78835657974530016</v>
      </c>
      <c r="AB740">
        <v>69.599999999999994</v>
      </c>
      <c r="AC740">
        <v>0.78719041678006285</v>
      </c>
      <c r="AD740">
        <v>0.59238627646934194</v>
      </c>
      <c r="AE740">
        <v>-0.10743114296324663</v>
      </c>
      <c r="AF740">
        <v>1.7501057015663968E-3</v>
      </c>
      <c r="AG740">
        <v>0.59290532716396493</v>
      </c>
      <c r="AH740">
        <v>-0.10792989426628145</v>
      </c>
      <c r="AI740">
        <v>4.7408079164773679E-5</v>
      </c>
    </row>
    <row r="741" spans="23:35" x14ac:dyDescent="0.25">
      <c r="W741">
        <v>739</v>
      </c>
      <c r="X741">
        <v>73.302915895600989</v>
      </c>
      <c r="Y741">
        <v>1.9970841043990077</v>
      </c>
      <c r="Z741">
        <v>73.299313658793821</v>
      </c>
      <c r="AA741">
        <v>0.77258944815039421</v>
      </c>
      <c r="AB741">
        <v>69.599999999999994</v>
      </c>
      <c r="AC741">
        <v>0.72844171022016913</v>
      </c>
      <c r="AD741">
        <v>0.45848568191289302</v>
      </c>
      <c r="AE741">
        <v>-0.10601015262200804</v>
      </c>
      <c r="AF741">
        <v>1.800500524732254E-3</v>
      </c>
      <c r="AG741">
        <v>0.45889899197588246</v>
      </c>
      <c r="AH741">
        <v>-0.10612391858726837</v>
      </c>
      <c r="AI741">
        <v>2.9219094945824426E-5</v>
      </c>
    </row>
    <row r="742" spans="23:35" x14ac:dyDescent="0.25">
      <c r="W742">
        <v>740</v>
      </c>
      <c r="X742">
        <v>72.909325511083523</v>
      </c>
      <c r="Y742">
        <v>2.2906744889164798</v>
      </c>
      <c r="Z742">
        <v>72.905279974952606</v>
      </c>
      <c r="AA742">
        <v>0.76652516676773808</v>
      </c>
      <c r="AB742">
        <v>69.7</v>
      </c>
      <c r="AC742">
        <v>0.71660092108895201</v>
      </c>
      <c r="AD742">
        <v>0.52588744398794074</v>
      </c>
      <c r="AE742">
        <v>-0.10423404002969737</v>
      </c>
      <c r="AF742">
        <v>1.7629759128597914E-3</v>
      </c>
      <c r="AG742">
        <v>0.52635162127653656</v>
      </c>
      <c r="AH742">
        <v>-0.10449116157007209</v>
      </c>
      <c r="AI742">
        <v>3.7637544566727492E-5</v>
      </c>
    </row>
    <row r="743" spans="23:35" x14ac:dyDescent="0.25">
      <c r="W743">
        <v>741</v>
      </c>
      <c r="X743">
        <v>70.365611524027102</v>
      </c>
      <c r="Y743">
        <v>4.6343884759728979</v>
      </c>
      <c r="Z743">
        <v>70.337604554124383</v>
      </c>
      <c r="AA743">
        <v>0.76046088538508183</v>
      </c>
      <c r="AB743">
        <v>69.7</v>
      </c>
      <c r="AC743">
        <v>0.67020216077934069</v>
      </c>
      <c r="AD743">
        <v>1.0639515661735808</v>
      </c>
      <c r="AE743">
        <v>-0.10393854431867909</v>
      </c>
      <c r="AF743">
        <v>6.0069915192400188E-3</v>
      </c>
      <c r="AG743">
        <v>1.0671616094794756</v>
      </c>
      <c r="AH743">
        <v>-0.1041343383828271</v>
      </c>
      <c r="AI743">
        <v>5.2940827282114489E-4</v>
      </c>
    </row>
    <row r="744" spans="23:35" x14ac:dyDescent="0.25">
      <c r="W744">
        <v>742</v>
      </c>
      <c r="X744">
        <v>69.590972624806852</v>
      </c>
      <c r="Y744">
        <v>5.1090273751931505</v>
      </c>
      <c r="Z744">
        <v>69.525292101660767</v>
      </c>
      <c r="AA744">
        <v>0.7362037598544573</v>
      </c>
      <c r="AB744">
        <v>69.7</v>
      </c>
      <c r="AC744">
        <v>0.61415241452626612</v>
      </c>
      <c r="AD744">
        <v>1.1729180032365158</v>
      </c>
      <c r="AE744">
        <v>-0.10322078623607862</v>
      </c>
      <c r="AF744">
        <v>1.2692604961752112E-2</v>
      </c>
      <c r="AG744">
        <v>1.1804333134732163</v>
      </c>
      <c r="AH744">
        <v>-0.10339245156629123</v>
      </c>
      <c r="AI744">
        <v>1.3779642046098605E-3</v>
      </c>
    </row>
    <row r="745" spans="23:35" x14ac:dyDescent="0.25">
      <c r="W745">
        <v>743</v>
      </c>
      <c r="X745">
        <v>72.747588564995979</v>
      </c>
      <c r="Y745">
        <v>1.7524114350040207</v>
      </c>
      <c r="Z745">
        <v>72.744684569455245</v>
      </c>
      <c r="AA745">
        <v>0.72407519708914492</v>
      </c>
      <c r="AB745">
        <v>69.7</v>
      </c>
      <c r="AC745">
        <v>0.56531175535073552</v>
      </c>
      <c r="AD745">
        <v>0.40231432917621551</v>
      </c>
      <c r="AE745">
        <v>-0.10165202279162641</v>
      </c>
      <c r="AF745">
        <v>1.6544009641827101E-3</v>
      </c>
      <c r="AG745">
        <v>0.40264753728517239</v>
      </c>
      <c r="AH745">
        <v>-0.10181774256423169</v>
      </c>
      <c r="AI745">
        <v>2.0666484598661161E-5</v>
      </c>
    </row>
    <row r="746" spans="23:35" x14ac:dyDescent="0.25">
      <c r="W746">
        <v>744</v>
      </c>
      <c r="X746">
        <v>72.311301143840581</v>
      </c>
      <c r="Y746">
        <v>1.8886988561594222</v>
      </c>
      <c r="Z746">
        <v>72.307922673800121</v>
      </c>
      <c r="AA746">
        <v>0.7010309278350515</v>
      </c>
      <c r="AB746">
        <v>69.8</v>
      </c>
      <c r="AC746">
        <v>0.5039283835636299</v>
      </c>
      <c r="AD746">
        <v>0.43360286183587932</v>
      </c>
      <c r="AE746">
        <v>-9.9908608154449338E-2</v>
      </c>
      <c r="AF746">
        <v>1.7855877207981657E-3</v>
      </c>
      <c r="AG746">
        <v>0.43399049900622011</v>
      </c>
      <c r="AH746">
        <v>-0.10019074078872994</v>
      </c>
      <c r="AI746">
        <v>2.5916386396952243E-5</v>
      </c>
    </row>
    <row r="747" spans="23:35" x14ac:dyDescent="0.25">
      <c r="W747">
        <v>745</v>
      </c>
      <c r="X747">
        <v>72.234607785835692</v>
      </c>
      <c r="Y747">
        <v>1.7653922141643079</v>
      </c>
      <c r="Z747">
        <v>72.230888067625884</v>
      </c>
      <c r="AA747">
        <v>0.68465736810187994</v>
      </c>
      <c r="AB747">
        <v>69.8</v>
      </c>
      <c r="AC747">
        <v>0.4663087141536239</v>
      </c>
      <c r="AD747">
        <v>0.40529442469245114</v>
      </c>
      <c r="AE747">
        <v>-9.8609917687739398E-2</v>
      </c>
      <c r="AF747">
        <v>2.1025906511288371E-3</v>
      </c>
      <c r="AG747">
        <v>0.40572118191645917</v>
      </c>
      <c r="AH747">
        <v>-9.8900984057023467E-2</v>
      </c>
      <c r="AI747">
        <v>2.6679694083328741E-5</v>
      </c>
    </row>
    <row r="748" spans="23:35" x14ac:dyDescent="0.25">
      <c r="W748">
        <v>746</v>
      </c>
      <c r="X748">
        <v>71.641622002767193</v>
      </c>
      <c r="Y748">
        <v>1.8583779972328074</v>
      </c>
      <c r="Z748">
        <v>71.63768780124694</v>
      </c>
      <c r="AA748">
        <v>0.64463311097634934</v>
      </c>
      <c r="AB748">
        <v>69.8</v>
      </c>
      <c r="AC748">
        <v>0.35220887014201224</v>
      </c>
      <c r="AD748">
        <v>0.42664187323728592</v>
      </c>
      <c r="AE748">
        <v>-9.2705634384776039E-2</v>
      </c>
      <c r="AF748">
        <v>2.1125359769915398E-3</v>
      </c>
      <c r="AG748">
        <v>0.42709323665766646</v>
      </c>
      <c r="AH748">
        <v>-9.2789745370828972E-2</v>
      </c>
      <c r="AI748">
        <v>2.9704659801063126E-5</v>
      </c>
    </row>
    <row r="749" spans="23:35" x14ac:dyDescent="0.25">
      <c r="W749">
        <v>747</v>
      </c>
      <c r="X749">
        <v>71.267073006419821</v>
      </c>
      <c r="Y749">
        <v>2.0329269935801761</v>
      </c>
      <c r="Z749">
        <v>71.2633977319298</v>
      </c>
      <c r="AA749">
        <v>0.63007883565797451</v>
      </c>
      <c r="AB749">
        <v>69.8</v>
      </c>
      <c r="AC749">
        <v>0.3152427890443939</v>
      </c>
      <c r="AD749">
        <v>0.46671440470516706</v>
      </c>
      <c r="AE749">
        <v>-9.1557405180476115E-2</v>
      </c>
      <c r="AF749">
        <v>1.8046108205031107E-3</v>
      </c>
      <c r="AG749">
        <v>0.46713609446290738</v>
      </c>
      <c r="AH749">
        <v>-9.1654079856776649E-2</v>
      </c>
      <c r="AI749">
        <v>3.0346701737081072E-5</v>
      </c>
    </row>
    <row r="750" spans="23:35" x14ac:dyDescent="0.25">
      <c r="W750">
        <v>748</v>
      </c>
      <c r="X750">
        <v>71.671687781088977</v>
      </c>
      <c r="Y750">
        <v>1.4283122189110173</v>
      </c>
      <c r="Z750">
        <v>71.662756854455424</v>
      </c>
      <c r="AA750">
        <v>0.61491813220133418</v>
      </c>
      <c r="AB750">
        <v>69.900000000000006</v>
      </c>
      <c r="AC750">
        <v>0.27870266916975811</v>
      </c>
      <c r="AD750">
        <v>0.32790842420179672</v>
      </c>
      <c r="AE750">
        <v>-9.1130278424124106E-2</v>
      </c>
      <c r="AF750">
        <v>6.2139288409462281E-3</v>
      </c>
      <c r="AG750">
        <v>0.3289319967922954</v>
      </c>
      <c r="AH750">
        <v>-9.1269972652453776E-2</v>
      </c>
      <c r="AI750">
        <v>5.2040595887467343E-5</v>
      </c>
    </row>
    <row r="751" spans="23:35" x14ac:dyDescent="0.25">
      <c r="W751">
        <v>749</v>
      </c>
      <c r="X751">
        <v>74.896903822176114</v>
      </c>
      <c r="Y751">
        <v>-0.89690382217611386</v>
      </c>
      <c r="Z751">
        <v>74.900804527629077</v>
      </c>
      <c r="AA751">
        <v>0.68465736810187994</v>
      </c>
      <c r="AB751">
        <v>69.900000000000006</v>
      </c>
      <c r="AC751">
        <v>0.4663087141536239</v>
      </c>
      <c r="AD751">
        <v>-0.20590898481185671</v>
      </c>
      <c r="AE751">
        <v>-8.7900146376014746E-2</v>
      </c>
      <c r="AF751">
        <v>4.3302462779908719E-3</v>
      </c>
      <c r="AG751">
        <v>-0.20635625624129492</v>
      </c>
      <c r="AH751">
        <v>-8.7969772832255086E-2</v>
      </c>
      <c r="AI751">
        <v>1.4245877672114829E-5</v>
      </c>
    </row>
    <row r="752" spans="23:35" x14ac:dyDescent="0.25">
      <c r="W752">
        <v>750</v>
      </c>
      <c r="X752">
        <v>75.169676803162275</v>
      </c>
      <c r="Y752">
        <v>-1.2696768031622696</v>
      </c>
      <c r="Z752">
        <v>75.174877725899648</v>
      </c>
      <c r="AA752">
        <v>0.67919951485748942</v>
      </c>
      <c r="AB752">
        <v>69.900000000000006</v>
      </c>
      <c r="AC752">
        <v>0.43434378704136062</v>
      </c>
      <c r="AD752">
        <v>-0.29148929362793063</v>
      </c>
      <c r="AE752">
        <v>-8.4368520564936614E-2</v>
      </c>
      <c r="AF752">
        <v>4.0795463217523729E-3</v>
      </c>
      <c r="AG752">
        <v>-0.29208569106059268</v>
      </c>
      <c r="AH752">
        <v>-8.516742534150018E-2</v>
      </c>
      <c r="AI752">
        <v>2.6882176517721495E-5</v>
      </c>
    </row>
    <row r="753" spans="23:35" x14ac:dyDescent="0.25">
      <c r="W753">
        <v>751</v>
      </c>
      <c r="X753">
        <v>74.8284391025378</v>
      </c>
      <c r="Y753">
        <v>-1.1284391025377971</v>
      </c>
      <c r="Z753">
        <v>74.833415724168233</v>
      </c>
      <c r="AA753">
        <v>0.66040024257125529</v>
      </c>
      <c r="AB753">
        <v>69.900000000000006</v>
      </c>
      <c r="AC753">
        <v>0.39787592189543292</v>
      </c>
      <c r="AD753">
        <v>-0.25906428792086877</v>
      </c>
      <c r="AE753">
        <v>-8.4335777579425855E-2</v>
      </c>
      <c r="AF753">
        <v>4.3908175299807607E-3</v>
      </c>
      <c r="AG753">
        <v>-0.2596349197736223</v>
      </c>
      <c r="AH753">
        <v>-8.4520315481044314E-2</v>
      </c>
      <c r="AI753">
        <v>2.2868587943634325E-5</v>
      </c>
    </row>
    <row r="754" spans="23:35" x14ac:dyDescent="0.25">
      <c r="W754">
        <v>752</v>
      </c>
      <c r="X754">
        <v>74.882016195690667</v>
      </c>
      <c r="Y754">
        <v>-1.282016195690673</v>
      </c>
      <c r="Z754">
        <v>74.887850965073</v>
      </c>
      <c r="AA754">
        <v>0.65433596118859916</v>
      </c>
      <c r="AB754">
        <v>69.900000000000006</v>
      </c>
      <c r="AC754">
        <v>0.3716850598056044</v>
      </c>
      <c r="AD754">
        <v>-0.29432214117066263</v>
      </c>
      <c r="AE754">
        <v>-8.3318079968699846E-2</v>
      </c>
      <c r="AF754">
        <v>4.5306246922744795E-3</v>
      </c>
      <c r="AG754">
        <v>-0.29499114687133204</v>
      </c>
      <c r="AH754">
        <v>-8.3460058511236265E-2</v>
      </c>
      <c r="AI754">
        <v>3.0465253489741076E-5</v>
      </c>
    </row>
    <row r="755" spans="23:35" x14ac:dyDescent="0.25">
      <c r="W755">
        <v>753</v>
      </c>
      <c r="X755">
        <v>75.21921759902412</v>
      </c>
      <c r="Y755">
        <v>-1.819217599024114</v>
      </c>
      <c r="Z755">
        <v>75.2270931694122</v>
      </c>
      <c r="AA755">
        <v>0.63735597331716187</v>
      </c>
      <c r="AB755">
        <v>69.900000000000006</v>
      </c>
      <c r="AC755">
        <v>0.33286538375086522</v>
      </c>
      <c r="AD755">
        <v>-0.41765152484026818</v>
      </c>
      <c r="AE755">
        <v>-8.0427999589835764E-2</v>
      </c>
      <c r="AF755">
        <v>4.3104372124703706E-3</v>
      </c>
      <c r="AG755">
        <v>-0.41855457563626985</v>
      </c>
      <c r="AH755">
        <v>-8.057267152177526E-2</v>
      </c>
      <c r="AI755">
        <v>5.8338895736098558E-5</v>
      </c>
    </row>
    <row r="756" spans="23:35" x14ac:dyDescent="0.25">
      <c r="W756">
        <v>754</v>
      </c>
      <c r="X756">
        <v>71.732301111565491</v>
      </c>
      <c r="Y756">
        <v>1.5676988884345064</v>
      </c>
      <c r="Z756">
        <v>71.719256505958825</v>
      </c>
      <c r="AA756">
        <v>0.63007883565797451</v>
      </c>
      <c r="AB756">
        <v>69.900000000000006</v>
      </c>
      <c r="AC756">
        <v>0.3152427890443939</v>
      </c>
      <c r="AD756">
        <v>0.35990847471808468</v>
      </c>
      <c r="AE756">
        <v>-7.6140671261425374E-2</v>
      </c>
      <c r="AF756">
        <v>8.2521962961310397E-3</v>
      </c>
      <c r="AG756">
        <v>0.36140274706690584</v>
      </c>
      <c r="AH756">
        <v>-7.6256969141368869E-2</v>
      </c>
      <c r="AI756">
        <v>8.3600302538322559E-5</v>
      </c>
    </row>
    <row r="757" spans="23:35" x14ac:dyDescent="0.25">
      <c r="W757">
        <v>755</v>
      </c>
      <c r="X757">
        <v>71.4661497208984</v>
      </c>
      <c r="Y757">
        <v>1.6338502791015941</v>
      </c>
      <c r="Z757">
        <v>71.453522050986265</v>
      </c>
      <c r="AA757">
        <v>0.61491813220133418</v>
      </c>
      <c r="AB757">
        <v>70</v>
      </c>
      <c r="AC757">
        <v>0.27870266916975811</v>
      </c>
      <c r="AD757">
        <v>0.37509534911795533</v>
      </c>
      <c r="AE757">
        <v>-7.1722017382048836E-2</v>
      </c>
      <c r="AF757">
        <v>7.6695044228767733E-3</v>
      </c>
      <c r="AG757">
        <v>0.37654207392333927</v>
      </c>
      <c r="AH757">
        <v>-7.1797901205613232E-2</v>
      </c>
      <c r="AI757">
        <v>8.429360591947219E-5</v>
      </c>
    </row>
    <row r="758" spans="23:35" x14ac:dyDescent="0.25">
      <c r="W758">
        <v>756</v>
      </c>
      <c r="X758">
        <v>74.88897567348954</v>
      </c>
      <c r="Y758">
        <v>-1.88897567348954</v>
      </c>
      <c r="Z758">
        <v>74.896586324062781</v>
      </c>
      <c r="AA758">
        <v>0.60946027895694366</v>
      </c>
      <c r="AB758">
        <v>70</v>
      </c>
      <c r="AC758">
        <v>0.22222871718700732</v>
      </c>
      <c r="AD758">
        <v>-0.4336664128811682</v>
      </c>
      <c r="AE758">
        <v>-6.7100601919279093E-2</v>
      </c>
      <c r="AF758">
        <v>4.0128152758866151E-3</v>
      </c>
      <c r="AG758">
        <v>-0.43453915196995996</v>
      </c>
      <c r="AH758">
        <v>-6.7196645986100964E-2</v>
      </c>
      <c r="AI758">
        <v>5.8520750928830479E-5</v>
      </c>
    </row>
    <row r="759" spans="23:35" x14ac:dyDescent="0.25">
      <c r="W759">
        <v>757</v>
      </c>
      <c r="X759">
        <v>74.824690818002381</v>
      </c>
      <c r="Y759">
        <v>-2.0246908180023837</v>
      </c>
      <c r="Z759">
        <v>74.833317076977764</v>
      </c>
      <c r="AA759">
        <v>0.58156458459672533</v>
      </c>
      <c r="AB759">
        <v>70</v>
      </c>
      <c r="AC759">
        <v>0.18343432307636306</v>
      </c>
      <c r="AD759">
        <v>-0.4648235636695689</v>
      </c>
      <c r="AE759">
        <v>-6.6706579900397328E-2</v>
      </c>
      <c r="AF759">
        <v>4.2424563650472228E-3</v>
      </c>
      <c r="AG759">
        <v>-0.465812708931995</v>
      </c>
      <c r="AH759">
        <v>-6.6767249210075902E-2</v>
      </c>
      <c r="AI759">
        <v>7.1112032779616633E-5</v>
      </c>
    </row>
    <row r="760" spans="23:35" x14ac:dyDescent="0.25">
      <c r="W760">
        <v>758</v>
      </c>
      <c r="X760">
        <v>74.359063453913905</v>
      </c>
      <c r="Y760">
        <v>-1.9590634539138989</v>
      </c>
      <c r="Z760">
        <v>74.367420720511788</v>
      </c>
      <c r="AA760">
        <v>0.55124317768344455</v>
      </c>
      <c r="AB760">
        <v>70</v>
      </c>
      <c r="AC760">
        <v>0.11578501997911882</v>
      </c>
      <c r="AD760">
        <v>-0.44975699400934438</v>
      </c>
      <c r="AE760">
        <v>-6.4978305087231625E-2</v>
      </c>
      <c r="AF760">
        <v>4.2478289014407974E-3</v>
      </c>
      <c r="AG760">
        <v>-0.45071529349043415</v>
      </c>
      <c r="AH760">
        <v>-6.5275887199698721E-2</v>
      </c>
      <c r="AI760">
        <v>6.6661792955874076E-5</v>
      </c>
    </row>
    <row r="761" spans="23:35" x14ac:dyDescent="0.25">
      <c r="W761">
        <v>759</v>
      </c>
      <c r="X761">
        <v>74.267913821978581</v>
      </c>
      <c r="Y761">
        <v>-1.7679138219785813</v>
      </c>
      <c r="Z761">
        <v>74.276183322006474</v>
      </c>
      <c r="AA761">
        <v>0.55852031534263191</v>
      </c>
      <c r="AB761">
        <v>70</v>
      </c>
      <c r="AC761">
        <v>0.12956927093944998</v>
      </c>
      <c r="AD761">
        <v>-0.40587332924419101</v>
      </c>
      <c r="AE761">
        <v>-6.4818211592607311E-2</v>
      </c>
      <c r="AF761">
        <v>4.6557694385657537E-3</v>
      </c>
      <c r="AG761">
        <v>-0.40682146758794685</v>
      </c>
      <c r="AH761">
        <v>-6.5119500574481015E-2</v>
      </c>
      <c r="AI761">
        <v>5.9550105302439041E-5</v>
      </c>
    </row>
    <row r="762" spans="23:35" x14ac:dyDescent="0.25">
      <c r="W762">
        <v>760</v>
      </c>
      <c r="X762">
        <v>74.292097903948573</v>
      </c>
      <c r="Y762">
        <v>-1.9920979039485758</v>
      </c>
      <c r="Z762">
        <v>74.300641627093952</v>
      </c>
      <c r="AA762">
        <v>0.54578532443905392</v>
      </c>
      <c r="AB762">
        <v>70</v>
      </c>
      <c r="AC762">
        <v>9.896716322379942E-2</v>
      </c>
      <c r="AD762">
        <v>-0.45734096221449122</v>
      </c>
      <c r="AE762">
        <v>-6.3382456554880159E-2</v>
      </c>
      <c r="AF762">
        <v>4.2704915411508164E-3</v>
      </c>
      <c r="AG762">
        <v>-0.45832063645673576</v>
      </c>
      <c r="AH762">
        <v>-6.3504345821624925E-2</v>
      </c>
      <c r="AI762">
        <v>6.9299796721131846E-5</v>
      </c>
    </row>
    <row r="763" spans="23:35" x14ac:dyDescent="0.25">
      <c r="W763">
        <v>761</v>
      </c>
      <c r="X763">
        <v>74.128761181172834</v>
      </c>
      <c r="Y763">
        <v>-2.0287611811728397</v>
      </c>
      <c r="Z763">
        <v>74.138107554316889</v>
      </c>
      <c r="AA763">
        <v>0.5312310491206792</v>
      </c>
      <c r="AB763">
        <v>71</v>
      </c>
      <c r="AC763">
        <v>6.3887210036911155E-2</v>
      </c>
      <c r="AD763">
        <v>-0.46575802768624647</v>
      </c>
      <c r="AE763">
        <v>-6.1520988705883087E-2</v>
      </c>
      <c r="AF763">
        <v>4.5858095782337236E-3</v>
      </c>
      <c r="AG763">
        <v>-0.4668296536145663</v>
      </c>
      <c r="AH763">
        <v>-6.1805227274766485E-2</v>
      </c>
      <c r="AI763">
        <v>7.7229941784737492E-5</v>
      </c>
    </row>
    <row r="764" spans="23:35" x14ac:dyDescent="0.25">
      <c r="W764">
        <v>762</v>
      </c>
      <c r="X764">
        <v>74.118598944982068</v>
      </c>
      <c r="Y764">
        <v>-2.2185989449820624</v>
      </c>
      <c r="Z764">
        <v>74.129347479629246</v>
      </c>
      <c r="AA764">
        <v>0.51607034566403887</v>
      </c>
      <c r="AB764">
        <v>71</v>
      </c>
      <c r="AC764">
        <v>2.7365033500434649E-2</v>
      </c>
      <c r="AD764">
        <v>-0.50934051697709326</v>
      </c>
      <c r="AE764">
        <v>-6.0710304732171774E-2</v>
      </c>
      <c r="AF764">
        <v>4.8213814783902003E-3</v>
      </c>
      <c r="AG764">
        <v>-0.51057283735416281</v>
      </c>
      <c r="AH764">
        <v>-6.0819464758689018E-2</v>
      </c>
      <c r="AI764">
        <v>9.7149936086148782E-5</v>
      </c>
    </row>
    <row r="765" spans="23:35" x14ac:dyDescent="0.25">
      <c r="W765">
        <v>763</v>
      </c>
      <c r="X765">
        <v>73.64418488453785</v>
      </c>
      <c r="Y765">
        <v>-1.9441848845378473</v>
      </c>
      <c r="Z765">
        <v>73.652799730354516</v>
      </c>
      <c r="AA765">
        <v>0.50394178289872649</v>
      </c>
      <c r="AB765">
        <v>71</v>
      </c>
      <c r="AC765">
        <v>-4.5602855597810616E-3</v>
      </c>
      <c r="AD765">
        <v>-0.4463412084591809</v>
      </c>
      <c r="AE765">
        <v>-5.9077716157212842E-2</v>
      </c>
      <c r="AF765">
        <v>4.4115357467286124E-3</v>
      </c>
      <c r="AG765">
        <v>-0.44732900302981732</v>
      </c>
      <c r="AH765">
        <v>-5.9307397632489697E-2</v>
      </c>
      <c r="AI765">
        <v>6.8205705975295572E-5</v>
      </c>
    </row>
    <row r="766" spans="23:35" x14ac:dyDescent="0.25">
      <c r="W766">
        <v>764</v>
      </c>
      <c r="X766">
        <v>74.524103055480637</v>
      </c>
      <c r="Y766">
        <v>-4.6241030554806315</v>
      </c>
      <c r="Z766">
        <v>74.534200705464826</v>
      </c>
      <c r="AA766">
        <v>0.45724681625227409</v>
      </c>
      <c r="AB766">
        <v>71</v>
      </c>
      <c r="AC766">
        <v>-0.11731546960548965</v>
      </c>
      <c r="AD766">
        <v>-1.0615902645049278</v>
      </c>
      <c r="AE766">
        <v>-5.7446501880651826E-2</v>
      </c>
      <c r="AF766">
        <v>2.1789410139890246E-3</v>
      </c>
      <c r="AG766">
        <v>-1.0627487293025981</v>
      </c>
      <c r="AH766">
        <v>-5.7490353709407888E-2</v>
      </c>
      <c r="AI766">
        <v>1.897189203862953E-4</v>
      </c>
    </row>
    <row r="767" spans="23:35" x14ac:dyDescent="0.25">
      <c r="W767">
        <v>765</v>
      </c>
      <c r="X767">
        <v>74.438341508394458</v>
      </c>
      <c r="Y767">
        <v>-4.9383415083944584</v>
      </c>
      <c r="Z767">
        <v>74.449622974932254</v>
      </c>
      <c r="AA767">
        <v>0.44269254093389931</v>
      </c>
      <c r="AB767">
        <v>71</v>
      </c>
      <c r="AC767">
        <v>-0.15567569037416348</v>
      </c>
      <c r="AD767">
        <v>-1.1337323595975155</v>
      </c>
      <c r="AE767">
        <v>-5.6974266740982181E-2</v>
      </c>
      <c r="AF767">
        <v>2.2792577525460127E-3</v>
      </c>
      <c r="AG767">
        <v>-1.135026606595062</v>
      </c>
      <c r="AH767">
        <v>-5.7366961605348467E-2</v>
      </c>
      <c r="AI767">
        <v>2.2638787941778419E-4</v>
      </c>
    </row>
    <row r="768" spans="23:35" x14ac:dyDescent="0.25">
      <c r="W768">
        <v>766</v>
      </c>
      <c r="X768">
        <v>72.354118621667908</v>
      </c>
      <c r="Y768">
        <v>-3.2541186216679137</v>
      </c>
      <c r="Z768">
        <v>72.374964710096506</v>
      </c>
      <c r="AA768">
        <v>0.42510612492419647</v>
      </c>
      <c r="AB768">
        <v>71</v>
      </c>
      <c r="AC768">
        <v>-0.198915705174462</v>
      </c>
      <c r="AD768">
        <v>-0.74707259048053054</v>
      </c>
      <c r="AE768">
        <v>-5.4650434866794523E-2</v>
      </c>
      <c r="AF768">
        <v>6.3652864302130956E-3</v>
      </c>
      <c r="AG768">
        <v>-0.74946166743033416</v>
      </c>
      <c r="AH768">
        <v>-5.4785288278518127E-2</v>
      </c>
      <c r="AI768">
        <v>2.7678764031605974E-4</v>
      </c>
    </row>
    <row r="769" spans="23:35" x14ac:dyDescent="0.25">
      <c r="W769">
        <v>767</v>
      </c>
      <c r="X769">
        <v>75.164798883521485</v>
      </c>
      <c r="Y769">
        <v>-6.6647988835214846</v>
      </c>
      <c r="Z769">
        <v>75.176600478584831</v>
      </c>
      <c r="AA769">
        <v>0.40388114008489995</v>
      </c>
      <c r="AB769">
        <v>71</v>
      </c>
      <c r="AC769">
        <v>-0.25193465741015014</v>
      </c>
      <c r="AD769">
        <v>-1.5300882192155885</v>
      </c>
      <c r="AE769">
        <v>-5.4291610762458302E-2</v>
      </c>
      <c r="AF769">
        <v>1.7676054005622607E-3</v>
      </c>
      <c r="AG769">
        <v>-1.5314423107046278</v>
      </c>
      <c r="AH769">
        <v>-5.4350732748105882E-2</v>
      </c>
      <c r="AI769">
        <v>3.194563985475568E-4</v>
      </c>
    </row>
    <row r="770" spans="23:35" x14ac:dyDescent="0.25">
      <c r="W770">
        <v>768</v>
      </c>
      <c r="X770">
        <v>73.815254930662263</v>
      </c>
      <c r="Y770">
        <v>-6.015254930662266</v>
      </c>
      <c r="Z770">
        <v>73.829045716957467</v>
      </c>
      <c r="AA770">
        <v>0.37355973317161917</v>
      </c>
      <c r="AB770">
        <v>71</v>
      </c>
      <c r="AC770">
        <v>-0.337689309602062</v>
      </c>
      <c r="AD770">
        <v>-1.3809675079230237</v>
      </c>
      <c r="AE770">
        <v>-5.3428309089710753E-2</v>
      </c>
      <c r="AF770">
        <v>2.2873912294970565E-3</v>
      </c>
      <c r="AG770">
        <v>-1.3825496291215222</v>
      </c>
      <c r="AH770">
        <v>-5.3521563510714944E-2</v>
      </c>
      <c r="AI770">
        <v>3.3709561146306219E-4</v>
      </c>
    </row>
    <row r="771" spans="23:35" x14ac:dyDescent="0.25">
      <c r="W771">
        <v>769</v>
      </c>
      <c r="X771">
        <v>74.350023173113811</v>
      </c>
      <c r="Y771">
        <v>-6.5500231731138143</v>
      </c>
      <c r="Z771">
        <v>74.362823356646444</v>
      </c>
      <c r="AA771">
        <v>0.37355973317161917</v>
      </c>
      <c r="AB771">
        <v>71</v>
      </c>
      <c r="AC771">
        <v>-0.337689309602062</v>
      </c>
      <c r="AD771">
        <v>-1.5037382924711995</v>
      </c>
      <c r="AE771">
        <v>-5.2399568248574536E-2</v>
      </c>
      <c r="AF771">
        <v>1.9504080541292942E-3</v>
      </c>
      <c r="AG771">
        <v>-1.505206892736517</v>
      </c>
      <c r="AH771">
        <v>-5.2486093172736663E-2</v>
      </c>
      <c r="AI771">
        <v>3.4058255937630171E-4</v>
      </c>
    </row>
    <row r="772" spans="23:35" x14ac:dyDescent="0.25">
      <c r="W772">
        <v>770</v>
      </c>
      <c r="X772">
        <v>74.359993256789465</v>
      </c>
      <c r="Y772">
        <v>-7.7599932567894712</v>
      </c>
      <c r="Z772">
        <v>74.378531277031954</v>
      </c>
      <c r="AA772">
        <v>0.32686476652516677</v>
      </c>
      <c r="AB772">
        <v>71</v>
      </c>
      <c r="AC772">
        <v>-0.45616451589519369</v>
      </c>
      <c r="AD772">
        <v>-1.7815202635390524</v>
      </c>
      <c r="AE772">
        <v>-5.2270823688110077E-2</v>
      </c>
      <c r="AF772">
        <v>2.3832288618835114E-3</v>
      </c>
      <c r="AG772">
        <v>-1.7836469508368573</v>
      </c>
      <c r="AH772">
        <v>-5.2342924314241354E-2</v>
      </c>
      <c r="AI772">
        <v>5.8462374058458285E-4</v>
      </c>
    </row>
    <row r="773" spans="23:35" x14ac:dyDescent="0.25">
      <c r="W773">
        <v>771</v>
      </c>
      <c r="X773">
        <v>73.752402203093766</v>
      </c>
      <c r="Y773">
        <v>-8.4524022030937687</v>
      </c>
      <c r="Z773">
        <v>73.774006598518795</v>
      </c>
      <c r="AA773">
        <v>0.28380836870830806</v>
      </c>
      <c r="AB773">
        <v>71</v>
      </c>
      <c r="AC773">
        <v>-0.57963781842623852</v>
      </c>
      <c r="AD773">
        <v>-1.9404818151380263</v>
      </c>
      <c r="AE773">
        <v>-5.0619349466352007E-2</v>
      </c>
      <c r="AF773">
        <v>2.5494900403785596E-3</v>
      </c>
      <c r="AG773">
        <v>-1.9429601745913017</v>
      </c>
      <c r="AH773">
        <v>-5.0749190775929987E-2</v>
      </c>
      <c r="AI773">
        <v>7.4224350908722188E-4</v>
      </c>
    </row>
    <row r="774" spans="23:35" x14ac:dyDescent="0.25">
      <c r="W774">
        <v>772</v>
      </c>
      <c r="X774">
        <v>73.764587445222588</v>
      </c>
      <c r="Y774">
        <v>-8.7645874452225883</v>
      </c>
      <c r="Z774">
        <v>73.784623272230618</v>
      </c>
      <c r="AA774">
        <v>0.27289266221952696</v>
      </c>
      <c r="AB774">
        <v>71</v>
      </c>
      <c r="AC774">
        <v>-0.62335641379693996</v>
      </c>
      <c r="AD774">
        <v>-2.0121525391227064</v>
      </c>
      <c r="AE774">
        <v>-5.0246000658117969E-2</v>
      </c>
      <c r="AF774">
        <v>2.280783863704494E-3</v>
      </c>
      <c r="AG774">
        <v>-2.0144511143070445</v>
      </c>
      <c r="AH774">
        <v>-5.0678032537608657E-2</v>
      </c>
      <c r="AI774">
        <v>7.13585321188936E-4</v>
      </c>
    </row>
    <row r="775" spans="23:35" x14ac:dyDescent="0.25">
      <c r="W775">
        <v>773</v>
      </c>
      <c r="X775">
        <v>73.607195714678753</v>
      </c>
      <c r="Y775">
        <v>-9.0071957146787582</v>
      </c>
      <c r="Z775">
        <v>73.634110867960985</v>
      </c>
      <c r="AA775">
        <v>0.25773195876288657</v>
      </c>
      <c r="AB775">
        <v>71</v>
      </c>
      <c r="AC775">
        <v>-0.66071795340131467</v>
      </c>
      <c r="AD775">
        <v>-2.0678499519729243</v>
      </c>
      <c r="AE775">
        <v>-4.9356572553641488E-2</v>
      </c>
      <c r="AF775">
        <v>2.9792808252646591E-3</v>
      </c>
      <c r="AG775">
        <v>-2.0709372048889363</v>
      </c>
      <c r="AH775">
        <v>-4.9832246701885741E-2</v>
      </c>
      <c r="AI775">
        <v>9.8582032164098283E-4</v>
      </c>
    </row>
    <row r="776" spans="23:35" x14ac:dyDescent="0.25">
      <c r="W776">
        <v>774</v>
      </c>
      <c r="X776">
        <v>72.622129332251689</v>
      </c>
      <c r="Y776">
        <v>-7.9221293322516857</v>
      </c>
      <c r="Z776">
        <v>72.644118792868127</v>
      </c>
      <c r="AA776">
        <v>0.26197695573074592</v>
      </c>
      <c r="AB776">
        <v>71</v>
      </c>
      <c r="AC776">
        <v>-0.64941472986293491</v>
      </c>
      <c r="AD776">
        <v>-1.818743067003979</v>
      </c>
      <c r="AE776">
        <v>-4.8107881487800326E-2</v>
      </c>
      <c r="AF776">
        <v>2.7680175976448848E-3</v>
      </c>
      <c r="AG776">
        <v>-1.8212654611446106</v>
      </c>
      <c r="AH776">
        <v>-4.8177669120413595E-2</v>
      </c>
      <c r="AI776">
        <v>7.0823241388109936E-4</v>
      </c>
    </row>
    <row r="777" spans="23:35" x14ac:dyDescent="0.25">
      <c r="W777">
        <v>775</v>
      </c>
      <c r="X777">
        <v>72.486630146725972</v>
      </c>
      <c r="Y777">
        <v>-8.086630146725966</v>
      </c>
      <c r="Z777">
        <v>72.506724682145304</v>
      </c>
      <c r="AA777">
        <v>0.25227410551849605</v>
      </c>
      <c r="AB777">
        <v>71.099999999999994</v>
      </c>
      <c r="AC777">
        <v>-0.67401274003943057</v>
      </c>
      <c r="AD777">
        <v>-1.8565087614648859</v>
      </c>
      <c r="AE777">
        <v>-4.6187630450384168E-2</v>
      </c>
      <c r="AF777">
        <v>2.4787489654848299E-3</v>
      </c>
      <c r="AG777">
        <v>-1.8588139574387572</v>
      </c>
      <c r="AH777">
        <v>-4.6337476312987659E-2</v>
      </c>
      <c r="AI777">
        <v>6.6044839140149759E-4</v>
      </c>
    </row>
    <row r="778" spans="23:35" x14ac:dyDescent="0.25">
      <c r="W778">
        <v>776</v>
      </c>
      <c r="X778">
        <v>72.141788050344829</v>
      </c>
      <c r="Y778">
        <v>-7.4417880503448259</v>
      </c>
      <c r="Z778">
        <v>72.157656152317941</v>
      </c>
      <c r="AA778">
        <v>0.26197695573074592</v>
      </c>
      <c r="AB778">
        <v>71.099999999999994</v>
      </c>
      <c r="AC778">
        <v>-0.64941472986293491</v>
      </c>
      <c r="AD778">
        <v>-1.708467490877327</v>
      </c>
      <c r="AE778">
        <v>-4.2885406844748716E-2</v>
      </c>
      <c r="AF778">
        <v>2.1277599354304721E-3</v>
      </c>
      <c r="AG778">
        <v>-1.7102880009383221</v>
      </c>
      <c r="AH778">
        <v>-4.294769741889707E-2</v>
      </c>
      <c r="AI778">
        <v>4.7978076358904943E-4</v>
      </c>
    </row>
    <row r="779" spans="23:35" x14ac:dyDescent="0.25">
      <c r="W779">
        <v>777</v>
      </c>
      <c r="X779">
        <v>71.640046134283793</v>
      </c>
      <c r="Y779">
        <v>-7.2400461342837872</v>
      </c>
      <c r="Z779">
        <v>71.656551859389467</v>
      </c>
      <c r="AA779">
        <v>0.25227410551849605</v>
      </c>
      <c r="AB779">
        <v>71.099999999999994</v>
      </c>
      <c r="AC779">
        <v>-0.67401274003943057</v>
      </c>
      <c r="AD779">
        <v>-1.6621520754414336</v>
      </c>
      <c r="AE779">
        <v>-4.1870063385492463E-2</v>
      </c>
      <c r="AF779">
        <v>2.2745961753602678E-3</v>
      </c>
      <c r="AG779">
        <v>-1.6640456688014404</v>
      </c>
      <c r="AH779">
        <v>-4.1910540346928753E-2</v>
      </c>
      <c r="AI779">
        <v>4.8560193002880636E-4</v>
      </c>
    </row>
    <row r="780" spans="23:35" x14ac:dyDescent="0.25">
      <c r="W780">
        <v>778</v>
      </c>
      <c r="X780">
        <v>71.681373333421249</v>
      </c>
      <c r="Y780">
        <v>-7.78137333342125</v>
      </c>
      <c r="Z780">
        <v>71.696403473629886</v>
      </c>
      <c r="AA780">
        <v>0.23771983020012127</v>
      </c>
      <c r="AB780">
        <v>71.099999999999994</v>
      </c>
      <c r="AC780">
        <v>-0.71660092108895201</v>
      </c>
      <c r="AD780">
        <v>-1.7864286492160897</v>
      </c>
      <c r="AE780">
        <v>-4.1547063488123974E-2</v>
      </c>
      <c r="AF780">
        <v>1.9278299615290409E-3</v>
      </c>
      <c r="AG780">
        <v>-1.788153108302005</v>
      </c>
      <c r="AH780">
        <v>-4.18602695522809E-2</v>
      </c>
      <c r="AI780">
        <v>4.7508665475655653E-4</v>
      </c>
    </row>
    <row r="781" spans="23:35" x14ac:dyDescent="0.25">
      <c r="W781">
        <v>779</v>
      </c>
      <c r="X781">
        <v>65.584245569703654</v>
      </c>
      <c r="Y781">
        <v>-2.6842455697036556</v>
      </c>
      <c r="Z781">
        <v>65.589877854064639</v>
      </c>
      <c r="AA781">
        <v>0.21710127349909036</v>
      </c>
      <c r="AB781">
        <v>71.099999999999994</v>
      </c>
      <c r="AC781">
        <v>-0.78926429572475043</v>
      </c>
      <c r="AD781">
        <v>-0.61624252966431758</v>
      </c>
      <c r="AE781">
        <v>-4.138762382555556E-2</v>
      </c>
      <c r="AF781">
        <v>2.0938810855184739E-3</v>
      </c>
      <c r="AG781">
        <v>-0.61688871390476863</v>
      </c>
      <c r="AH781">
        <v>-4.1585266667560385E-2</v>
      </c>
      <c r="AI781">
        <v>6.1423226470737981E-5</v>
      </c>
    </row>
    <row r="782" spans="23:35" x14ac:dyDescent="0.25">
      <c r="W782">
        <v>780</v>
      </c>
      <c r="X782">
        <v>63.954063031051078</v>
      </c>
      <c r="Y782">
        <v>-1.3540630310510764</v>
      </c>
      <c r="Z782">
        <v>63.958791341194036</v>
      </c>
      <c r="AA782">
        <v>0.20921770770163736</v>
      </c>
      <c r="AB782">
        <v>71.099999999999994</v>
      </c>
      <c r="AC782">
        <v>-0.81230589119800856</v>
      </c>
      <c r="AD782">
        <v>-0.31086247733733657</v>
      </c>
      <c r="AE782">
        <v>-3.9222083694075954E-2</v>
      </c>
      <c r="AF782">
        <v>3.4797911935489979E-3</v>
      </c>
      <c r="AG782">
        <v>-0.31140476128014577</v>
      </c>
      <c r="AH782">
        <v>-3.9540731103742094E-2</v>
      </c>
      <c r="AI782">
        <v>2.6047990154322659E-5</v>
      </c>
    </row>
    <row r="783" spans="23:35" x14ac:dyDescent="0.25">
      <c r="W783">
        <v>781</v>
      </c>
      <c r="X783">
        <v>63.954927697522017</v>
      </c>
      <c r="Y783">
        <v>-1.8549276975220153</v>
      </c>
      <c r="Z783">
        <v>63.961493739166684</v>
      </c>
      <c r="AA783">
        <v>0.20133414190418436</v>
      </c>
      <c r="AB783">
        <v>71.099999999999994</v>
      </c>
      <c r="AC783">
        <v>-0.84444052159937644</v>
      </c>
      <c r="AD783">
        <v>-0.42584976187241058</v>
      </c>
      <c r="AE783">
        <v>-3.8193990102610459E-2</v>
      </c>
      <c r="AF783">
        <v>3.5272971949988278E-3</v>
      </c>
      <c r="AG783">
        <v>-0.4266028039466907</v>
      </c>
      <c r="AH783">
        <v>-3.8265160920851957E-2</v>
      </c>
      <c r="AI783">
        <v>4.9554226977344133E-5</v>
      </c>
    </row>
    <row r="784" spans="23:35" x14ac:dyDescent="0.25">
      <c r="W784">
        <v>782</v>
      </c>
      <c r="X784">
        <v>64.814832163877526</v>
      </c>
      <c r="Y784">
        <v>-3.6148321638775229</v>
      </c>
      <c r="Z784">
        <v>64.821782467637163</v>
      </c>
      <c r="AA784">
        <v>0.18071558520315342</v>
      </c>
      <c r="AB784">
        <v>71.099999999999994</v>
      </c>
      <c r="AC784">
        <v>-0.91841998904288702</v>
      </c>
      <c r="AD784">
        <v>-0.82988432285118952</v>
      </c>
      <c r="AE784">
        <v>-3.793201324841361E-2</v>
      </c>
      <c r="AF784">
        <v>1.9190284954262067E-3</v>
      </c>
      <c r="AG784">
        <v>-0.83068175659018939</v>
      </c>
      <c r="AH784">
        <v>-3.7976786392454664E-2</v>
      </c>
      <c r="AI784">
        <v>1.0205672804506374E-4</v>
      </c>
    </row>
    <row r="785" spans="23:35" x14ac:dyDescent="0.25">
      <c r="W785">
        <v>783</v>
      </c>
      <c r="X785">
        <v>60.108837118469189</v>
      </c>
      <c r="Y785">
        <v>2.8911628815308106</v>
      </c>
      <c r="Z785">
        <v>60.077667981252397</v>
      </c>
      <c r="AA785">
        <v>0.22195269860521527</v>
      </c>
      <c r="AB785">
        <v>71.2</v>
      </c>
      <c r="AC785">
        <v>-0.78098898173722842</v>
      </c>
      <c r="AD785">
        <v>0.663746099796235</v>
      </c>
      <c r="AE785">
        <v>-3.6715696923935046E-2</v>
      </c>
      <c r="AF785">
        <v>1.0665843927670291E-2</v>
      </c>
      <c r="AG785">
        <v>0.66731437546044037</v>
      </c>
      <c r="AH785">
        <v>-3.6787174556552178E-2</v>
      </c>
      <c r="AI785">
        <v>3.6929194108769356E-4</v>
      </c>
    </row>
    <row r="786" spans="23:35" x14ac:dyDescent="0.25">
      <c r="W786">
        <v>784</v>
      </c>
      <c r="X786">
        <v>62.808638958893532</v>
      </c>
      <c r="Y786">
        <v>-3.7086389588935305</v>
      </c>
      <c r="Z786">
        <v>62.815620729673569</v>
      </c>
      <c r="AA786">
        <v>0.15342631898120074</v>
      </c>
      <c r="AB786">
        <v>71.2</v>
      </c>
      <c r="AC786">
        <v>-1.0334469496720613</v>
      </c>
      <c r="AD786">
        <v>-0.85142025730995385</v>
      </c>
      <c r="AE786">
        <v>-3.5226393904918184E-2</v>
      </c>
      <c r="AF786">
        <v>1.879032142402724E-3</v>
      </c>
      <c r="AG786">
        <v>-0.8522213094039538</v>
      </c>
      <c r="AH786">
        <v>-3.5367953205873645E-2</v>
      </c>
      <c r="AI786">
        <v>1.0517498444106888E-4</v>
      </c>
    </row>
    <row r="787" spans="23:35" x14ac:dyDescent="0.25">
      <c r="W787">
        <v>785</v>
      </c>
      <c r="X787">
        <v>61.764163922052482</v>
      </c>
      <c r="Y787">
        <v>-3.8641639220524837</v>
      </c>
      <c r="Z787">
        <v>61.77257100043218</v>
      </c>
      <c r="AA787">
        <v>0.12734990903577925</v>
      </c>
      <c r="AB787">
        <v>71.2</v>
      </c>
      <c r="AC787">
        <v>-1.1463081367501964</v>
      </c>
      <c r="AD787">
        <v>-0.88712529778939264</v>
      </c>
      <c r="AE787">
        <v>-3.3056341829720427E-2</v>
      </c>
      <c r="AF787">
        <v>2.1709294364795693E-3</v>
      </c>
      <c r="AG787">
        <v>-0.88808981170395218</v>
      </c>
      <c r="AH787">
        <v>-3.3246391599051579E-2</v>
      </c>
      <c r="AI787">
        <v>1.3199575920551718E-4</v>
      </c>
    </row>
    <row r="788" spans="23:35" x14ac:dyDescent="0.25">
      <c r="W788">
        <v>786</v>
      </c>
      <c r="X788">
        <v>59.51875996113413</v>
      </c>
      <c r="Y788">
        <v>-2.7187599611341327</v>
      </c>
      <c r="Z788">
        <v>59.524603327463574</v>
      </c>
      <c r="AA788">
        <v>0.10794420861127957</v>
      </c>
      <c r="AB788">
        <v>71.2</v>
      </c>
      <c r="AC788">
        <v>-1.2523823790942721</v>
      </c>
      <c r="AD788">
        <v>-0.62416625919376212</v>
      </c>
      <c r="AE788">
        <v>-3.1778317125108799E-2</v>
      </c>
      <c r="AF788">
        <v>2.1446668109600569E-3</v>
      </c>
      <c r="AG788">
        <v>-0.62483665204396921</v>
      </c>
      <c r="AH788">
        <v>-3.2006159381972113E-2</v>
      </c>
      <c r="AI788">
        <v>6.45478660954825E-5</v>
      </c>
    </row>
    <row r="789" spans="23:35" x14ac:dyDescent="0.25">
      <c r="W789">
        <v>787</v>
      </c>
      <c r="X789">
        <v>57.080990818387399</v>
      </c>
      <c r="Y789">
        <v>-1.7809908183874015</v>
      </c>
      <c r="Z789">
        <v>57.105758548949282</v>
      </c>
      <c r="AA789">
        <v>8.6719223771983017E-2</v>
      </c>
      <c r="AB789">
        <v>71.2</v>
      </c>
      <c r="AC789">
        <v>-1.3946242806491973</v>
      </c>
      <c r="AD789">
        <v>-0.40887551408090561</v>
      </c>
      <c r="AE789">
        <v>-2.9794094042855598E-2</v>
      </c>
      <c r="AF789">
        <v>1.371597026429347E-2</v>
      </c>
      <c r="AG789">
        <v>-0.41170875531037371</v>
      </c>
      <c r="AH789">
        <v>-2.9833346810225703E-2</v>
      </c>
      <c r="AI789">
        <v>1.8132654521711841E-4</v>
      </c>
    </row>
    <row r="790" spans="23:35" x14ac:dyDescent="0.25">
      <c r="W790">
        <v>788</v>
      </c>
      <c r="X790">
        <v>55.637934684878502</v>
      </c>
      <c r="Y790">
        <v>-1.5379346848785005</v>
      </c>
      <c r="Z790">
        <v>55.657478374702762</v>
      </c>
      <c r="AA790">
        <v>7.1558520315342627E-2</v>
      </c>
      <c r="AB790">
        <v>71.2</v>
      </c>
      <c r="AC790">
        <v>-1.4754749432056431</v>
      </c>
      <c r="AD790">
        <v>-0.35307528169736502</v>
      </c>
      <c r="AE790">
        <v>-2.8532352483996864E-2</v>
      </c>
      <c r="AF790">
        <v>1.2548289685234047E-2</v>
      </c>
      <c r="AG790">
        <v>-0.35531159573964466</v>
      </c>
      <c r="AH790">
        <v>-2.8570592183130558E-2</v>
      </c>
      <c r="AI790">
        <v>1.2340821755410343E-4</v>
      </c>
    </row>
    <row r="791" spans="23:35" x14ac:dyDescent="0.25">
      <c r="W791">
        <v>789</v>
      </c>
      <c r="X791">
        <v>55.874883036248846</v>
      </c>
      <c r="Y791">
        <v>-2.8748830362488462</v>
      </c>
      <c r="Z791">
        <v>55.885155113777984</v>
      </c>
      <c r="AA791">
        <v>5.8823529411764705E-2</v>
      </c>
      <c r="AB791">
        <v>71.2</v>
      </c>
      <c r="AC791">
        <v>-1.5725296242490356</v>
      </c>
      <c r="AD791">
        <v>-0.66000861275245126</v>
      </c>
      <c r="AE791">
        <v>-2.5879816610275858E-2</v>
      </c>
      <c r="AF791">
        <v>3.5603207190097871E-3</v>
      </c>
      <c r="AG791">
        <v>-0.66118668058126029</v>
      </c>
      <c r="AH791">
        <v>-2.5972299645391966E-2</v>
      </c>
      <c r="AI791">
        <v>1.2015530454722953E-4</v>
      </c>
    </row>
    <row r="792" spans="23:35" x14ac:dyDescent="0.25">
      <c r="W792">
        <v>790</v>
      </c>
      <c r="X792">
        <v>54.881227621894354</v>
      </c>
      <c r="Y792">
        <v>-2.4812276218943552</v>
      </c>
      <c r="Z792">
        <v>54.89116744704242</v>
      </c>
      <c r="AA792">
        <v>5.2759248029108551E-2</v>
      </c>
      <c r="AB792">
        <v>71.2</v>
      </c>
      <c r="AC792">
        <v>-1.6271784104016083</v>
      </c>
      <c r="AD792">
        <v>-0.56963416598205063</v>
      </c>
      <c r="AE792">
        <v>-2.3849227158347964E-2</v>
      </c>
      <c r="AF792">
        <v>3.9900269088165921E-3</v>
      </c>
      <c r="AG792">
        <v>-0.57077400593777827</v>
      </c>
      <c r="AH792">
        <v>-2.3871999844637205E-2</v>
      </c>
      <c r="AI792">
        <v>1.0039154961457765E-4</v>
      </c>
    </row>
    <row r="793" spans="23:35" x14ac:dyDescent="0.25">
      <c r="W793">
        <v>791</v>
      </c>
      <c r="X793">
        <v>54.531355306313813</v>
      </c>
      <c r="Y793">
        <v>-2.4313553063138116</v>
      </c>
      <c r="Z793">
        <v>54.5426773993401</v>
      </c>
      <c r="AA793">
        <v>4.9120679199514856E-2</v>
      </c>
      <c r="AB793">
        <v>71.3</v>
      </c>
      <c r="AC793">
        <v>-1.6746834237964712</v>
      </c>
      <c r="AD793">
        <v>-0.55818460180638385</v>
      </c>
      <c r="AE793">
        <v>-2.3683375767039983E-2</v>
      </c>
      <c r="AF793">
        <v>4.6351159712468854E-3</v>
      </c>
      <c r="AG793">
        <v>-0.55948274150594601</v>
      </c>
      <c r="AH793">
        <v>-2.370760425665764E-2</v>
      </c>
      <c r="AI793">
        <v>1.1212651549954865E-4</v>
      </c>
    </row>
    <row r="794" spans="23:35" x14ac:dyDescent="0.25">
      <c r="W794">
        <v>792</v>
      </c>
      <c r="X794">
        <v>71.57524108636963</v>
      </c>
      <c r="Y794">
        <v>-5.4752410863696355</v>
      </c>
      <c r="Z794">
        <v>71.623760900432714</v>
      </c>
      <c r="AA794">
        <v>0.31412977562158884</v>
      </c>
      <c r="AB794">
        <v>71.3</v>
      </c>
      <c r="AC794">
        <v>-0.4918835074548818</v>
      </c>
      <c r="AD794">
        <v>-1.256992450939924</v>
      </c>
      <c r="AE794">
        <v>-2.3336988315713902E-2</v>
      </c>
      <c r="AF794">
        <v>8.7838367622482538E-3</v>
      </c>
      <c r="AG794">
        <v>-1.2625496965606267</v>
      </c>
      <c r="AH794">
        <v>-2.3405319603080191E-2</v>
      </c>
      <c r="AI794">
        <v>1.0865994790168201E-3</v>
      </c>
    </row>
    <row r="795" spans="23:35" x14ac:dyDescent="0.25">
      <c r="W795">
        <v>793</v>
      </c>
      <c r="X795">
        <v>72.046086878278871</v>
      </c>
      <c r="Y795">
        <v>-6.2460868782788737</v>
      </c>
      <c r="Z795">
        <v>72.104768316104639</v>
      </c>
      <c r="AA795">
        <v>0.30078835657974529</v>
      </c>
      <c r="AB795">
        <v>71.3</v>
      </c>
      <c r="AC795">
        <v>-0.53349185558387491</v>
      </c>
      <c r="AD795">
        <v>-1.4339613416214447</v>
      </c>
      <c r="AE795">
        <v>-2.1701687079938983E-2</v>
      </c>
      <c r="AF795">
        <v>9.3074693444125042E-3</v>
      </c>
      <c r="AG795">
        <v>-1.4406815649960398</v>
      </c>
      <c r="AH795">
        <v>-2.1756599791319348E-2</v>
      </c>
      <c r="AI795">
        <v>1.4999796651090234E-3</v>
      </c>
    </row>
    <row r="796" spans="23:35" x14ac:dyDescent="0.25">
      <c r="W796">
        <v>794</v>
      </c>
      <c r="X796">
        <v>71.896376427836572</v>
      </c>
      <c r="Y796">
        <v>-6.1963764278365687</v>
      </c>
      <c r="Z796">
        <v>71.952395791348991</v>
      </c>
      <c r="AA796">
        <v>0.29654335961188599</v>
      </c>
      <c r="AB796">
        <v>71.400000000000006</v>
      </c>
      <c r="AC796">
        <v>-0.54051528578164909</v>
      </c>
      <c r="AD796">
        <v>-1.4225489380481382</v>
      </c>
      <c r="AE796">
        <v>-2.1097619193066717E-2</v>
      </c>
      <c r="AF796">
        <v>8.959663684428229E-3</v>
      </c>
      <c r="AG796">
        <v>-1.4289648638158932</v>
      </c>
      <c r="AH796">
        <v>-2.1114063455874261E-2</v>
      </c>
      <c r="AI796">
        <v>1.420038519747268E-3</v>
      </c>
    </row>
    <row r="797" spans="23:35" x14ac:dyDescent="0.25">
      <c r="W797">
        <v>795</v>
      </c>
      <c r="X797">
        <v>72.120378064341793</v>
      </c>
      <c r="Y797">
        <v>-6.6203780643417929</v>
      </c>
      <c r="Z797">
        <v>72.179023023429906</v>
      </c>
      <c r="AA797">
        <v>0.28987265009096425</v>
      </c>
      <c r="AB797">
        <v>71.400000000000006</v>
      </c>
      <c r="AC797">
        <v>-0.56174840893422073</v>
      </c>
      <c r="AD797">
        <v>-1.5198901962440625</v>
      </c>
      <c r="AE797">
        <v>-2.0976119838243015E-2</v>
      </c>
      <c r="AF797">
        <v>8.780469670847375E-3</v>
      </c>
      <c r="AG797">
        <v>-1.5266071370596961</v>
      </c>
      <c r="AH797">
        <v>-2.0999856608056484E-2</v>
      </c>
      <c r="AI797">
        <v>1.5880315305974329E-3</v>
      </c>
    </row>
    <row r="798" spans="23:35" x14ac:dyDescent="0.25">
      <c r="W798">
        <v>796</v>
      </c>
      <c r="X798">
        <v>71.886146727910045</v>
      </c>
      <c r="Y798">
        <v>-6.5861467279100481</v>
      </c>
      <c r="Z798">
        <v>71.94139520222005</v>
      </c>
      <c r="AA798">
        <v>0.28380836870830806</v>
      </c>
      <c r="AB798">
        <v>71.400000000000006</v>
      </c>
      <c r="AC798">
        <v>-0.57963781842623852</v>
      </c>
      <c r="AD798">
        <v>-1.512031449788604</v>
      </c>
      <c r="AE798">
        <v>-1.9682430170995246E-2</v>
      </c>
      <c r="AF798">
        <v>8.3188054057574158E-3</v>
      </c>
      <c r="AG798">
        <v>-1.5183601101450837</v>
      </c>
      <c r="AH798">
        <v>-1.9704618267364433E-2</v>
      </c>
      <c r="AI798">
        <v>1.4876306118806755E-3</v>
      </c>
    </row>
    <row r="799" spans="23:35" x14ac:dyDescent="0.25">
      <c r="W799">
        <v>797</v>
      </c>
      <c r="X799">
        <v>73.019780141601927</v>
      </c>
      <c r="Y799">
        <v>-7.8197801416019246</v>
      </c>
      <c r="Z799">
        <v>73.096954041160259</v>
      </c>
      <c r="AA799">
        <v>0.28077622801697999</v>
      </c>
      <c r="AB799">
        <v>71.400000000000006</v>
      </c>
      <c r="AC799">
        <v>-0.59046081866695443</v>
      </c>
      <c r="AD799">
        <v>-1.7952459902584756</v>
      </c>
      <c r="AE799">
        <v>-1.9535346793561541E-2</v>
      </c>
      <c r="AF799">
        <v>9.7726160182884068E-3</v>
      </c>
      <c r="AG799">
        <v>-1.8040829382003996</v>
      </c>
      <c r="AH799">
        <v>-1.9574337610245247E-2</v>
      </c>
      <c r="AI799">
        <v>2.4708452656099981E-3</v>
      </c>
    </row>
    <row r="800" spans="23:35" x14ac:dyDescent="0.25">
      <c r="W800">
        <v>798</v>
      </c>
      <c r="X800">
        <v>72.590144620976346</v>
      </c>
      <c r="Y800">
        <v>-7.490144620976352</v>
      </c>
      <c r="Z800">
        <v>72.664858709510398</v>
      </c>
      <c r="AA800">
        <v>0.27713765918738631</v>
      </c>
      <c r="AB800">
        <v>71.400000000000006</v>
      </c>
      <c r="AC800">
        <v>-0.60317578841021124</v>
      </c>
      <c r="AD800">
        <v>-1.7195690740365581</v>
      </c>
      <c r="AE800">
        <v>-1.8145720508957911E-2</v>
      </c>
      <c r="AF800">
        <v>9.8764684712640636E-3</v>
      </c>
      <c r="AG800">
        <v>-1.7281241316414337</v>
      </c>
      <c r="AH800">
        <v>-1.8176099127973681E-2</v>
      </c>
      <c r="AI800">
        <v>2.291494486782601E-3</v>
      </c>
    </row>
    <row r="801" spans="23:35" x14ac:dyDescent="0.25">
      <c r="W801">
        <v>799</v>
      </c>
      <c r="X801">
        <v>73.474506055618704</v>
      </c>
      <c r="Y801">
        <v>-8.4745060556187042</v>
      </c>
      <c r="Z801">
        <v>73.578124230304994</v>
      </c>
      <c r="AA801">
        <v>0.27289266221952696</v>
      </c>
      <c r="AB801">
        <v>71.400000000000006</v>
      </c>
      <c r="AC801">
        <v>-0.62335641379693996</v>
      </c>
      <c r="AD801">
        <v>-1.9455563635135673</v>
      </c>
      <c r="AE801">
        <v>-1.6082025501140507E-2</v>
      </c>
      <c r="AF801">
        <v>1.2079351138356145E-2</v>
      </c>
      <c r="AG801">
        <v>-1.9574144298579217</v>
      </c>
      <c r="AH801">
        <v>-1.6104112459792135E-2</v>
      </c>
      <c r="AI801">
        <v>3.6036596088659589E-3</v>
      </c>
    </row>
    <row r="802" spans="23:35" x14ac:dyDescent="0.25">
      <c r="W802">
        <v>800</v>
      </c>
      <c r="X802">
        <v>71.255052859055539</v>
      </c>
      <c r="Y802">
        <v>-6.2550528590555388</v>
      </c>
      <c r="Z802">
        <v>71.299772403215542</v>
      </c>
      <c r="AA802">
        <v>0.27289266221952696</v>
      </c>
      <c r="AB802">
        <v>71.400000000000006</v>
      </c>
      <c r="AC802">
        <v>-0.62335641379693996</v>
      </c>
      <c r="AD802">
        <v>-1.4360197295487998</v>
      </c>
      <c r="AE802">
        <v>-1.577262833055296E-2</v>
      </c>
      <c r="AF802">
        <v>7.0985967901280268E-3</v>
      </c>
      <c r="AG802">
        <v>-1.4411438890221175</v>
      </c>
      <c r="AH802">
        <v>-1.5812933497035043E-2</v>
      </c>
      <c r="AI802">
        <v>1.1421883354041443E-3</v>
      </c>
    </row>
    <row r="803" spans="23:35" x14ac:dyDescent="0.25">
      <c r="W803">
        <v>801</v>
      </c>
      <c r="X803">
        <v>59.710359514007386</v>
      </c>
      <c r="Y803">
        <v>5.1896404859926193</v>
      </c>
      <c r="Z803">
        <v>59.542462586399445</v>
      </c>
      <c r="AA803">
        <v>0.26622195269860521</v>
      </c>
      <c r="AB803">
        <v>71.400000000000006</v>
      </c>
      <c r="AC803">
        <v>-0.62890421763218984</v>
      </c>
      <c r="AD803">
        <v>1.1914249639571994</v>
      </c>
      <c r="AE803">
        <v>-1.54788057947714E-2</v>
      </c>
      <c r="AF803">
        <v>3.1338451726295541E-2</v>
      </c>
      <c r="AG803">
        <v>1.2105442395072386</v>
      </c>
      <c r="AH803">
        <v>-1.550961382360057E-2</v>
      </c>
      <c r="AI803">
        <v>3.6468966375929408E-3</v>
      </c>
    </row>
    <row r="804" spans="23:35" x14ac:dyDescent="0.25">
      <c r="W804">
        <v>802</v>
      </c>
      <c r="X804">
        <v>58.345046180752213</v>
      </c>
      <c r="Y804">
        <v>6.454953819247784</v>
      </c>
      <c r="Z804">
        <v>58.197906506618907</v>
      </c>
      <c r="AA804">
        <v>0.26440266828380837</v>
      </c>
      <c r="AB804">
        <v>71.400000000000006</v>
      </c>
      <c r="AC804">
        <v>-0.63633155866502356</v>
      </c>
      <c r="AD804">
        <v>1.4819125028410716</v>
      </c>
      <c r="AE804">
        <v>-1.4809987979923528E-2</v>
      </c>
      <c r="AF804">
        <v>2.2286820730548551E-2</v>
      </c>
      <c r="AG804">
        <v>1.4987073165052802</v>
      </c>
      <c r="AH804">
        <v>-1.4852880078624904E-2</v>
      </c>
      <c r="AI804">
        <v>3.938464661225217E-3</v>
      </c>
    </row>
    <row r="805" spans="23:35" x14ac:dyDescent="0.25">
      <c r="W805">
        <v>803</v>
      </c>
      <c r="X805">
        <v>54.388241714944698</v>
      </c>
      <c r="Y805">
        <v>10.311758285055305</v>
      </c>
      <c r="Z805">
        <v>54.077260201920225</v>
      </c>
      <c r="AA805">
        <v>0.26197695573074592</v>
      </c>
      <c r="AB805">
        <v>71.400000000000006</v>
      </c>
      <c r="AC805">
        <v>-0.64941472986293491</v>
      </c>
      <c r="AD805">
        <v>2.3673482346740045</v>
      </c>
      <c r="AE805">
        <v>-1.4640107688361265E-2</v>
      </c>
      <c r="AF805">
        <v>2.9275075821840964E-2</v>
      </c>
      <c r="AG805">
        <v>2.4027802669757761</v>
      </c>
      <c r="AH805">
        <v>-1.4666686383808169E-2</v>
      </c>
      <c r="AI805">
        <v>1.3393269531344572E-2</v>
      </c>
    </row>
    <row r="806" spans="23:35" x14ac:dyDescent="0.25">
      <c r="W806">
        <v>804</v>
      </c>
      <c r="X806">
        <v>60.680935230785401</v>
      </c>
      <c r="Y806">
        <v>3.919064769214593</v>
      </c>
      <c r="Z806">
        <v>60.592493244634845</v>
      </c>
      <c r="AA806">
        <v>0.25773195876288657</v>
      </c>
      <c r="AB806">
        <v>71.400000000000006</v>
      </c>
      <c r="AC806">
        <v>-0.66071795340131467</v>
      </c>
      <c r="AD806">
        <v>0.89972929994096462</v>
      </c>
      <c r="AE806">
        <v>-1.1003254113676504E-2</v>
      </c>
      <c r="AF806">
        <v>2.2069079741950045E-2</v>
      </c>
      <c r="AG806">
        <v>0.90982480845966085</v>
      </c>
      <c r="AH806">
        <v>-1.103126486978177E-2</v>
      </c>
      <c r="AI806">
        <v>1.4369717924908186E-3</v>
      </c>
    </row>
    <row r="807" spans="23:35" x14ac:dyDescent="0.25">
      <c r="W807">
        <v>805</v>
      </c>
      <c r="X807">
        <v>60.562366437999792</v>
      </c>
      <c r="Y807">
        <v>3.7376335620002052</v>
      </c>
      <c r="Z807">
        <v>60.480715508843986</v>
      </c>
      <c r="AA807">
        <v>0.2498483929654336</v>
      </c>
      <c r="AB807">
        <v>71.400000000000006</v>
      </c>
      <c r="AC807">
        <v>-0.68742774275107121</v>
      </c>
      <c r="AD807">
        <v>0.85807676734269389</v>
      </c>
      <c r="AE807">
        <v>-5.3863277915412143E-3</v>
      </c>
      <c r="AF807">
        <v>2.1378593122579646E-2</v>
      </c>
      <c r="AG807">
        <v>0.8673987415714477</v>
      </c>
      <c r="AH807">
        <v>-5.3958846443668039E-3</v>
      </c>
      <c r="AI807">
        <v>1.2643247322127547E-3</v>
      </c>
    </row>
    <row r="808" spans="23:35" x14ac:dyDescent="0.25">
      <c r="W808">
        <v>806</v>
      </c>
      <c r="X808">
        <v>57.044752772967996</v>
      </c>
      <c r="Y808">
        <v>7.0552472270319981</v>
      </c>
      <c r="Z808">
        <v>56.859399689899547</v>
      </c>
      <c r="AA808">
        <v>0.24257125530624621</v>
      </c>
      <c r="AB808">
        <v>71.400000000000006</v>
      </c>
      <c r="AC808">
        <v>-0.70291235686137066</v>
      </c>
      <c r="AD808">
        <v>1.6197263945091869</v>
      </c>
      <c r="AE808">
        <v>-4.1297038184215382E-3</v>
      </c>
      <c r="AF808">
        <v>2.5599131995987165E-2</v>
      </c>
      <c r="AG808">
        <v>1.6408649122100709</v>
      </c>
      <c r="AH808">
        <v>-4.1407664755143047E-3</v>
      </c>
      <c r="AI808">
        <v>5.4411397668252745E-3</v>
      </c>
    </row>
    <row r="809" spans="23:35" x14ac:dyDescent="0.25">
      <c r="W809">
        <v>807</v>
      </c>
      <c r="X809">
        <v>73.923731986104471</v>
      </c>
      <c r="Y809">
        <v>0.47626801389553464</v>
      </c>
      <c r="Z809">
        <v>73.919135653443021</v>
      </c>
      <c r="AA809">
        <v>0.71376591873862949</v>
      </c>
      <c r="AB809">
        <v>71.5</v>
      </c>
      <c r="AC809">
        <v>0.54051528578164909</v>
      </c>
      <c r="AD809">
        <v>0.10934044522371589</v>
      </c>
      <c r="AE809">
        <v>-3.8364777296564347E-3</v>
      </c>
      <c r="AF809">
        <v>9.5584808779383707E-3</v>
      </c>
      <c r="AG809">
        <v>0.10986678578327955</v>
      </c>
      <c r="AH809">
        <v>-3.8415215213179537E-3</v>
      </c>
      <c r="AI809">
        <v>8.9608565318571618E-6</v>
      </c>
    </row>
    <row r="810" spans="23:35" x14ac:dyDescent="0.25">
      <c r="W810">
        <v>808</v>
      </c>
      <c r="X810">
        <v>71.995387609669748</v>
      </c>
      <c r="Y810">
        <v>2.1046123903302458</v>
      </c>
      <c r="Z810">
        <v>71.978271474220037</v>
      </c>
      <c r="AA810">
        <v>0.69254093389933291</v>
      </c>
      <c r="AB810">
        <v>71.5</v>
      </c>
      <c r="AC810">
        <v>0.48161589062349974</v>
      </c>
      <c r="AD810">
        <v>0.48317176268010459</v>
      </c>
      <c r="AE810">
        <v>1.7467011432252343E-2</v>
      </c>
      <c r="AF810">
        <v>8.0670713721113091E-3</v>
      </c>
      <c r="AG810">
        <v>0.48513252443859656</v>
      </c>
      <c r="AH810">
        <v>1.7494127154996968E-2</v>
      </c>
      <c r="AI810">
        <v>1.4723498720922872E-4</v>
      </c>
    </row>
    <row r="811" spans="23:35" x14ac:dyDescent="0.25">
      <c r="W811">
        <v>809</v>
      </c>
      <c r="X811">
        <v>77.317660962584966</v>
      </c>
      <c r="Y811">
        <v>-3.5176609625849693</v>
      </c>
      <c r="Z811">
        <v>77.355034519941327</v>
      </c>
      <c r="AA811">
        <v>0.66767738023044265</v>
      </c>
      <c r="AB811">
        <v>71.5</v>
      </c>
      <c r="AC811">
        <v>0.4143837514429769</v>
      </c>
      <c r="AD811">
        <v>-0.8075759962320066</v>
      </c>
      <c r="AE811">
        <v>1.8994984698613545E-2</v>
      </c>
      <c r="AF811">
        <v>1.051285357335378E-2</v>
      </c>
      <c r="AG811">
        <v>-0.8118547262895448</v>
      </c>
      <c r="AH811">
        <v>1.9013164445519596E-2</v>
      </c>
      <c r="AI811">
        <v>5.3867119513352642E-4</v>
      </c>
    </row>
    <row r="812" spans="23:35" x14ac:dyDescent="0.25">
      <c r="W812">
        <v>810</v>
      </c>
      <c r="X812">
        <v>75.501554411087511</v>
      </c>
      <c r="Y812">
        <v>-1.9015544110875169</v>
      </c>
      <c r="Z812">
        <v>75.507359512596764</v>
      </c>
      <c r="AA812">
        <v>0.65433596118859916</v>
      </c>
      <c r="AB812">
        <v>71.5</v>
      </c>
      <c r="AC812">
        <v>0.3716850598056044</v>
      </c>
      <c r="AD812">
        <v>-0.43655420867930628</v>
      </c>
      <c r="AE812">
        <v>2.1083094378908041E-2</v>
      </c>
      <c r="AF812">
        <v>3.0435276993731686E-3</v>
      </c>
      <c r="AG812">
        <v>-0.43722006138444419</v>
      </c>
      <c r="AH812">
        <v>2.1101332888749685E-2</v>
      </c>
      <c r="AI812">
        <v>4.4890854358832655E-5</v>
      </c>
    </row>
    <row r="813" spans="23:35" x14ac:dyDescent="0.25">
      <c r="W813">
        <v>811</v>
      </c>
      <c r="X813">
        <v>76.657190148046979</v>
      </c>
      <c r="Y813">
        <v>-3.8571901480469819</v>
      </c>
      <c r="Z813">
        <v>76.665100478966394</v>
      </c>
      <c r="AA813">
        <v>0.58156458459672533</v>
      </c>
      <c r="AB813">
        <v>71.599999999999994</v>
      </c>
      <c r="AC813">
        <v>0.18343432307636306</v>
      </c>
      <c r="AD813">
        <v>-0.88552427581772108</v>
      </c>
      <c r="AE813">
        <v>2.133461049184826E-2</v>
      </c>
      <c r="AF813">
        <v>2.0466042118354828E-3</v>
      </c>
      <c r="AG813">
        <v>-0.8864318279618657</v>
      </c>
      <c r="AH813">
        <v>2.143535673854902E-2</v>
      </c>
      <c r="AI813">
        <v>1.2395696479357009E-4</v>
      </c>
    </row>
    <row r="814" spans="23:35" x14ac:dyDescent="0.25">
      <c r="W814">
        <v>812</v>
      </c>
      <c r="X814">
        <v>76.97353076496448</v>
      </c>
      <c r="Y814">
        <v>-4.3735307649644852</v>
      </c>
      <c r="Z814">
        <v>76.982459297674495</v>
      </c>
      <c r="AA814">
        <v>0.56458459672528805</v>
      </c>
      <c r="AB814">
        <v>71.599999999999994</v>
      </c>
      <c r="AC814">
        <v>0.14798710972583889</v>
      </c>
      <c r="AD814">
        <v>-1.0040644911873622</v>
      </c>
      <c r="AE814">
        <v>2.1913577634700643E-2</v>
      </c>
      <c r="AF814">
        <v>2.0373338583567603E-3</v>
      </c>
      <c r="AG814">
        <v>-1.0050888639873534</v>
      </c>
      <c r="AH814">
        <v>2.2015812668977168E-2</v>
      </c>
      <c r="AI814">
        <v>1.586402838409355E-4</v>
      </c>
    </row>
    <row r="815" spans="23:35" x14ac:dyDescent="0.25">
      <c r="W815">
        <v>813</v>
      </c>
      <c r="X815">
        <v>77.220561631418633</v>
      </c>
      <c r="Y815">
        <v>-5.3205616314186273</v>
      </c>
      <c r="Z815">
        <v>77.236481586762096</v>
      </c>
      <c r="AA815">
        <v>0.51607034566403887</v>
      </c>
      <c r="AB815">
        <v>71.599999999999994</v>
      </c>
      <c r="AC815">
        <v>2.7365033500434649E-2</v>
      </c>
      <c r="AD815">
        <v>-1.2214815201659446</v>
      </c>
      <c r="AE815">
        <v>2.4256040448333745E-2</v>
      </c>
      <c r="AF815">
        <v>2.9832306332606192E-3</v>
      </c>
      <c r="AG815">
        <v>-1.2233075874124457</v>
      </c>
      <c r="AH815">
        <v>2.4284278546526494E-2</v>
      </c>
      <c r="AI815">
        <v>3.444390267444499E-4</v>
      </c>
    </row>
    <row r="816" spans="23:35" x14ac:dyDescent="0.25">
      <c r="W816">
        <v>814</v>
      </c>
      <c r="X816">
        <v>75.639997584659682</v>
      </c>
      <c r="Y816">
        <v>2.3600024153403183</v>
      </c>
      <c r="Z816">
        <v>75.629966407807288</v>
      </c>
      <c r="AA816">
        <v>0.86294724075197093</v>
      </c>
      <c r="AB816">
        <v>71.599999999999994</v>
      </c>
      <c r="AC816">
        <v>1.0491313979639725</v>
      </c>
      <c r="AD816">
        <v>0.54180357969400605</v>
      </c>
      <c r="AE816">
        <v>2.6601456155930257E-2</v>
      </c>
      <c r="AF816">
        <v>4.2325040815607874E-3</v>
      </c>
      <c r="AG816">
        <v>0.5429538252300129</v>
      </c>
      <c r="AH816">
        <v>2.6752070179772585E-2</v>
      </c>
      <c r="AI816">
        <v>9.6387758710171252E-5</v>
      </c>
    </row>
    <row r="817" spans="23:35" x14ac:dyDescent="0.25">
      <c r="W817">
        <v>815</v>
      </c>
      <c r="X817">
        <v>76.40308102067381</v>
      </c>
      <c r="Y817">
        <v>-1.4030810206738096</v>
      </c>
      <c r="Z817">
        <v>76.406332615809575</v>
      </c>
      <c r="AA817">
        <v>0.76046088538508183</v>
      </c>
      <c r="AB817">
        <v>71.599999999999994</v>
      </c>
      <c r="AC817">
        <v>0.67020216077934069</v>
      </c>
      <c r="AD817">
        <v>-0.32211590745010649</v>
      </c>
      <c r="AE817">
        <v>2.6876103818626772E-2</v>
      </c>
      <c r="AF817">
        <v>2.3121095957085594E-3</v>
      </c>
      <c r="AG817">
        <v>-0.32248893808093476</v>
      </c>
      <c r="AH817">
        <v>2.6897078341565048E-2</v>
      </c>
      <c r="AI817">
        <v>1.8539584949449901E-5</v>
      </c>
    </row>
    <row r="818" spans="23:35" x14ac:dyDescent="0.25">
      <c r="W818">
        <v>816</v>
      </c>
      <c r="X818">
        <v>75.894344895105732</v>
      </c>
      <c r="Y818">
        <v>0.10565510489426799</v>
      </c>
      <c r="Z818">
        <v>75.894098751397351</v>
      </c>
      <c r="AA818">
        <v>0.80836870830806551</v>
      </c>
      <c r="AB818">
        <v>71.599999999999994</v>
      </c>
      <c r="AC818">
        <v>0.83794453378675593</v>
      </c>
      <c r="AD818">
        <v>2.4256040448333745E-2</v>
      </c>
      <c r="AE818">
        <v>2.7200608388567835E-2</v>
      </c>
      <c r="AF818">
        <v>2.3242757911244986E-3</v>
      </c>
      <c r="AG818">
        <v>2.4284278546526494E-2</v>
      </c>
      <c r="AH818">
        <v>2.7235379569796804E-2</v>
      </c>
      <c r="AI818">
        <v>1.0568304377744143E-7</v>
      </c>
    </row>
    <row r="819" spans="23:35" x14ac:dyDescent="0.25">
      <c r="W819">
        <v>817</v>
      </c>
      <c r="X819">
        <v>75.502702893171332</v>
      </c>
      <c r="Y819">
        <v>-4.5027028931713318</v>
      </c>
      <c r="Z819">
        <v>75.511420343499609</v>
      </c>
      <c r="AA819">
        <v>0.46937537901758641</v>
      </c>
      <c r="AB819">
        <v>71.599999999999994</v>
      </c>
      <c r="AC819">
        <v>-9.743972564826138E-2</v>
      </c>
      <c r="AD819">
        <v>-1.0337195123026988</v>
      </c>
      <c r="AE819">
        <v>2.8314845638842862E-2</v>
      </c>
      <c r="AF819">
        <v>1.9323072701132374E-3</v>
      </c>
      <c r="AG819">
        <v>-1.0347196938943912</v>
      </c>
      <c r="AH819">
        <v>2.8340787521163428E-2</v>
      </c>
      <c r="AI819">
        <v>1.594477033080826E-4</v>
      </c>
    </row>
    <row r="820" spans="23:35" x14ac:dyDescent="0.25">
      <c r="W820">
        <v>818</v>
      </c>
      <c r="X820">
        <v>74.961925601645902</v>
      </c>
      <c r="Y820">
        <v>3.0380743983540981</v>
      </c>
      <c r="Z820">
        <v>74.956338025205071</v>
      </c>
      <c r="AA820">
        <v>0.86294724075197093</v>
      </c>
      <c r="AB820">
        <v>71.599999999999994</v>
      </c>
      <c r="AC820">
        <v>1.0491313979639725</v>
      </c>
      <c r="AD820">
        <v>0.69747368634264761</v>
      </c>
      <c r="AE820">
        <v>3.3613137464584046E-2</v>
      </c>
      <c r="AF820">
        <v>1.8358071583184617E-3</v>
      </c>
      <c r="AG820">
        <v>0.69811478276792849</v>
      </c>
      <c r="AH820">
        <v>3.3685371654593739E-2</v>
      </c>
      <c r="AI820">
        <v>6.8950177591899271E-5</v>
      </c>
    </row>
    <row r="821" spans="23:35" x14ac:dyDescent="0.25">
      <c r="W821">
        <v>819</v>
      </c>
      <c r="X821">
        <v>74.549721596697722</v>
      </c>
      <c r="Y821">
        <v>-1.5497215966977222</v>
      </c>
      <c r="Z821">
        <v>74.552335774596258</v>
      </c>
      <c r="AA821">
        <v>0.60946027895694366</v>
      </c>
      <c r="AB821">
        <v>71.599999999999994</v>
      </c>
      <c r="AC821">
        <v>0.22222871718700732</v>
      </c>
      <c r="AD821">
        <v>-0.35578129207077858</v>
      </c>
      <c r="AE821">
        <v>3.4530041859842243E-2</v>
      </c>
      <c r="AF821">
        <v>1.6840286369162211E-3</v>
      </c>
      <c r="AG821">
        <v>-0.35608124391176954</v>
      </c>
      <c r="AH821">
        <v>3.4629562959798507E-2</v>
      </c>
      <c r="AI821">
        <v>1.6452666623320609E-5</v>
      </c>
    </row>
    <row r="822" spans="23:35" x14ac:dyDescent="0.25">
      <c r="W822">
        <v>820</v>
      </c>
      <c r="X822">
        <v>74.095196652517942</v>
      </c>
      <c r="Y822">
        <v>-4.1951966525179358</v>
      </c>
      <c r="Z822">
        <v>74.101624928896413</v>
      </c>
      <c r="AA822">
        <v>0.45724681625227409</v>
      </c>
      <c r="AB822">
        <v>71.599999999999994</v>
      </c>
      <c r="AC822">
        <v>-0.11731546960548965</v>
      </c>
      <c r="AD822">
        <v>-0.96312298202744018</v>
      </c>
      <c r="AE822">
        <v>3.6286252669171182E-2</v>
      </c>
      <c r="AF822">
        <v>1.5299500758047696E-3</v>
      </c>
      <c r="AG822">
        <v>-0.96386059355672538</v>
      </c>
      <c r="AH822">
        <v>3.6310258076170082E-2</v>
      </c>
      <c r="AI822">
        <v>1.0950332709236551E-4</v>
      </c>
    </row>
    <row r="823" spans="23:35" x14ac:dyDescent="0.25">
      <c r="W823">
        <v>821</v>
      </c>
      <c r="X823">
        <v>73.727218234915526</v>
      </c>
      <c r="Y823">
        <v>-2.7272182349155258</v>
      </c>
      <c r="Z823">
        <v>73.731588174743734</v>
      </c>
      <c r="AA823">
        <v>0.46937537901758641</v>
      </c>
      <c r="AB823">
        <v>71.599999999999994</v>
      </c>
      <c r="AC823">
        <v>-9.743972564826138E-2</v>
      </c>
      <c r="AD823">
        <v>-0.62610808899147863</v>
      </c>
      <c r="AE823">
        <v>3.7464434341131336E-2</v>
      </c>
      <c r="AF823">
        <v>1.5997798894468625E-3</v>
      </c>
      <c r="AG823">
        <v>-0.62660950825678485</v>
      </c>
      <c r="AH823">
        <v>3.7530916747015947E-2</v>
      </c>
      <c r="AI823">
        <v>4.8395632917839415E-5</v>
      </c>
    </row>
    <row r="824" spans="23:35" x14ac:dyDescent="0.25">
      <c r="W824">
        <v>822</v>
      </c>
      <c r="X824">
        <v>75.07608298683482</v>
      </c>
      <c r="Y824">
        <v>-0.27608298683482246</v>
      </c>
      <c r="Z824">
        <v>75.077145864858167</v>
      </c>
      <c r="AA824">
        <v>0.74166161309884782</v>
      </c>
      <c r="AB824">
        <v>71.7</v>
      </c>
      <c r="AC824">
        <v>0.63261352584071384</v>
      </c>
      <c r="AD824">
        <v>-6.3382456554880159E-2</v>
      </c>
      <c r="AE824">
        <v>3.9327296610731553E-2</v>
      </c>
      <c r="AF824">
        <v>3.8350852677974017E-3</v>
      </c>
      <c r="AG824">
        <v>-6.3504345821624925E-2</v>
      </c>
      <c r="AH824">
        <v>3.9398519045500568E-2</v>
      </c>
      <c r="AI824">
        <v>1.1942832010839307E-6</v>
      </c>
    </row>
    <row r="825" spans="23:35" x14ac:dyDescent="0.25">
      <c r="W825">
        <v>823</v>
      </c>
      <c r="X825">
        <v>74.403612292548274</v>
      </c>
      <c r="Y825">
        <v>0.49638770745173133</v>
      </c>
      <c r="Z825">
        <v>74.401652930508973</v>
      </c>
      <c r="AA825">
        <v>0.74833232261976956</v>
      </c>
      <c r="AB825">
        <v>71.7</v>
      </c>
      <c r="AC825">
        <v>0.64941472986293525</v>
      </c>
      <c r="AD825">
        <v>0.11395947523836181</v>
      </c>
      <c r="AE825">
        <v>3.9608624477218392E-2</v>
      </c>
      <c r="AF825">
        <v>3.9317218044435057E-3</v>
      </c>
      <c r="AG825">
        <v>0.11418416650033487</v>
      </c>
      <c r="AH825">
        <v>3.9679738436227574E-2</v>
      </c>
      <c r="AI825">
        <v>3.9587865993918513E-6</v>
      </c>
    </row>
    <row r="826" spans="23:35" x14ac:dyDescent="0.25">
      <c r="W826">
        <v>824</v>
      </c>
      <c r="X826">
        <v>75.1663663960001</v>
      </c>
      <c r="Y826">
        <v>-0.16636639600010028</v>
      </c>
      <c r="Z826">
        <v>75.166986989148484</v>
      </c>
      <c r="AA826">
        <v>0.76046088538508183</v>
      </c>
      <c r="AB826">
        <v>71.7</v>
      </c>
      <c r="AC826">
        <v>0.67020216077934069</v>
      </c>
      <c r="AD826">
        <v>-3.8193990102610459E-2</v>
      </c>
      <c r="AE826">
        <v>4.0725265859547437E-2</v>
      </c>
      <c r="AF826">
        <v>3.716416180343473E-3</v>
      </c>
      <c r="AG826">
        <v>-3.8265160920851957E-2</v>
      </c>
      <c r="AH826">
        <v>4.075294200116697E-2</v>
      </c>
      <c r="AI826">
        <v>4.2015071185678087E-7</v>
      </c>
    </row>
    <row r="827" spans="23:35" x14ac:dyDescent="0.25">
      <c r="W827">
        <v>825</v>
      </c>
      <c r="X827">
        <v>75.063769769710433</v>
      </c>
      <c r="Y827">
        <v>-6.3769769710432911E-2</v>
      </c>
      <c r="Z827">
        <v>75.064001524265905</v>
      </c>
      <c r="AA827">
        <v>0.76046088538508183</v>
      </c>
      <c r="AB827">
        <v>71.7</v>
      </c>
      <c r="AC827">
        <v>0.67020216077934069</v>
      </c>
      <c r="AD827">
        <v>-1.4640107688361265E-2</v>
      </c>
      <c r="AE827">
        <v>4.2147046349847068E-2</v>
      </c>
      <c r="AF827">
        <v>3.6210786873027839E-3</v>
      </c>
      <c r="AG827">
        <v>-1.4666686383808169E-2</v>
      </c>
      <c r="AH827">
        <v>4.2195451641949808E-2</v>
      </c>
      <c r="AI827">
        <v>6.013593805357178E-8</v>
      </c>
    </row>
    <row r="828" spans="23:35" x14ac:dyDescent="0.25">
      <c r="W828">
        <v>826</v>
      </c>
      <c r="X828">
        <v>74.923461909581761</v>
      </c>
      <c r="Y828">
        <v>-2.3461909581754981E-2</v>
      </c>
      <c r="Z828">
        <v>74.923545239427938</v>
      </c>
      <c r="AA828">
        <v>0.74833232261976956</v>
      </c>
      <c r="AB828">
        <v>71.7</v>
      </c>
      <c r="AC828">
        <v>0.64941472986293525</v>
      </c>
      <c r="AD828">
        <v>-5.3863277915412143E-3</v>
      </c>
      <c r="AE828">
        <v>4.2844071109169178E-2</v>
      </c>
      <c r="AF828">
        <v>3.5391377708814736E-3</v>
      </c>
      <c r="AG828">
        <v>-5.3958846443668039E-3</v>
      </c>
      <c r="AH828">
        <v>4.2986436281370465E-2</v>
      </c>
      <c r="AI828">
        <v>7.9546153553653744E-9</v>
      </c>
    </row>
    <row r="829" spans="23:35" x14ac:dyDescent="0.25">
      <c r="W829">
        <v>827</v>
      </c>
      <c r="X829">
        <v>73.915392395225524</v>
      </c>
      <c r="Y829">
        <v>0.78460760477447877</v>
      </c>
      <c r="Z829">
        <v>73.912519635727662</v>
      </c>
      <c r="AA829">
        <v>0.7362037598544573</v>
      </c>
      <c r="AB829">
        <v>71.7</v>
      </c>
      <c r="AC829">
        <v>0.61415241452626612</v>
      </c>
      <c r="AD829">
        <v>0.18012829400458538</v>
      </c>
      <c r="AE829">
        <v>4.4885266005008868E-2</v>
      </c>
      <c r="AF829">
        <v>3.6480395298695927E-3</v>
      </c>
      <c r="AG829">
        <v>0.1804577532578911</v>
      </c>
      <c r="AH829">
        <v>4.4976977781358327E-2</v>
      </c>
      <c r="AI829">
        <v>9.171798304586133E-6</v>
      </c>
    </row>
    <row r="830" spans="23:35" x14ac:dyDescent="0.25">
      <c r="W830">
        <v>828</v>
      </c>
      <c r="X830">
        <v>74.028853761193247</v>
      </c>
      <c r="Y830">
        <v>0.4711462388067531</v>
      </c>
      <c r="Z830">
        <v>74.026871109167786</v>
      </c>
      <c r="AA830">
        <v>0.72407519708914492</v>
      </c>
      <c r="AB830">
        <v>71.7</v>
      </c>
      <c r="AC830">
        <v>0.56531175535073552</v>
      </c>
      <c r="AD830">
        <v>0.10816460063158684</v>
      </c>
      <c r="AE830">
        <v>4.5562462789089708E-2</v>
      </c>
      <c r="AF830">
        <v>4.1905114311921879E-3</v>
      </c>
      <c r="AG830">
        <v>0.10839194790534078</v>
      </c>
      <c r="AH830">
        <v>4.5742031119070839E-2</v>
      </c>
      <c r="AI830">
        <v>3.8031325259730852E-6</v>
      </c>
    </row>
    <row r="831" spans="23:35" x14ac:dyDescent="0.25">
      <c r="W831">
        <v>829</v>
      </c>
      <c r="X831">
        <v>72.465509535903948</v>
      </c>
      <c r="Y831">
        <v>1.9344904640960578</v>
      </c>
      <c r="Z831">
        <v>72.431764994756875</v>
      </c>
      <c r="AA831">
        <v>0.71376591873862949</v>
      </c>
      <c r="AB831">
        <v>71.7</v>
      </c>
      <c r="AC831">
        <v>0.54051528578164909</v>
      </c>
      <c r="AD831">
        <v>0.44411558713596594</v>
      </c>
      <c r="AE831">
        <v>4.5654295393177856E-2</v>
      </c>
      <c r="AF831">
        <v>1.7144569148086854E-2</v>
      </c>
      <c r="AG831">
        <v>0.44797233551596871</v>
      </c>
      <c r="AH831">
        <v>4.63030619439177E-2</v>
      </c>
      <c r="AI831">
        <v>2.6927496091869803E-4</v>
      </c>
    </row>
    <row r="832" spans="23:35" x14ac:dyDescent="0.25">
      <c r="W832">
        <v>830</v>
      </c>
      <c r="X832">
        <v>74.259927207329127</v>
      </c>
      <c r="Y832">
        <v>-0.15992720732913313</v>
      </c>
      <c r="Z832">
        <v>74.260550501789083</v>
      </c>
      <c r="AA832">
        <v>0.69254093389933291</v>
      </c>
      <c r="AB832">
        <v>71.7</v>
      </c>
      <c r="AC832">
        <v>0.48161589062349974</v>
      </c>
      <c r="AD832">
        <v>-3.6715696923935046E-2</v>
      </c>
      <c r="AE832">
        <v>4.6593826876729444E-2</v>
      </c>
      <c r="AF832">
        <v>3.8822330233138826E-3</v>
      </c>
      <c r="AG832">
        <v>-3.6787174556552178E-2</v>
      </c>
      <c r="AH832">
        <v>4.6634447948053909E-2</v>
      </c>
      <c r="AI832">
        <v>4.0571440431895119E-7</v>
      </c>
    </row>
    <row r="833" spans="23:35" x14ac:dyDescent="0.25">
      <c r="W833">
        <v>831</v>
      </c>
      <c r="X833">
        <v>55.748251893128128</v>
      </c>
      <c r="Y833">
        <v>18.151748106871878</v>
      </c>
      <c r="Z833">
        <v>55.481711135766538</v>
      </c>
      <c r="AA833">
        <v>0.67919951485748942</v>
      </c>
      <c r="AB833">
        <v>71.7</v>
      </c>
      <c r="AC833">
        <v>0.43434378704136062</v>
      </c>
      <c r="AD833">
        <v>4.1672339138639805</v>
      </c>
      <c r="AE833">
        <v>4.7439937233873429E-2</v>
      </c>
      <c r="AF833">
        <v>1.4471526607402904E-2</v>
      </c>
      <c r="AG833">
        <v>4.1977183007333663</v>
      </c>
      <c r="AH833">
        <v>4.7661127806255969E-2</v>
      </c>
      <c r="AI833">
        <v>1.9903451751111641E-2</v>
      </c>
    </row>
    <row r="834" spans="23:35" x14ac:dyDescent="0.25">
      <c r="W834">
        <v>832</v>
      </c>
      <c r="X834">
        <v>55.750532202363523</v>
      </c>
      <c r="Y834">
        <v>17.94946779763648</v>
      </c>
      <c r="Z834">
        <v>55.478459489963235</v>
      </c>
      <c r="AA834">
        <v>0.66040024257125529</v>
      </c>
      <c r="AB834">
        <v>71.8</v>
      </c>
      <c r="AC834">
        <v>0.39787592189543292</v>
      </c>
      <c r="AD834">
        <v>4.1207948954405413</v>
      </c>
      <c r="AE834">
        <v>4.8915433688127896E-2</v>
      </c>
      <c r="AF834">
        <v>1.4931378181247852E-2</v>
      </c>
      <c r="AG834">
        <v>4.1519083305919926</v>
      </c>
      <c r="AH834">
        <v>4.8998768009272962E-2</v>
      </c>
      <c r="AI834">
        <v>2.0099514635073056E-2</v>
      </c>
    </row>
    <row r="835" spans="23:35" x14ac:dyDescent="0.25">
      <c r="W835">
        <v>833</v>
      </c>
      <c r="X835">
        <v>59.398744265058504</v>
      </c>
      <c r="Y835">
        <v>14.101255734941496</v>
      </c>
      <c r="Z835">
        <v>59.124650112406144</v>
      </c>
      <c r="AA835">
        <v>0.64463311097634934</v>
      </c>
      <c r="AB835">
        <v>71.8</v>
      </c>
      <c r="AC835">
        <v>0.35220887014201224</v>
      </c>
      <c r="AD835">
        <v>3.2373317864889608</v>
      </c>
      <c r="AE835">
        <v>4.9271688957170559E-2</v>
      </c>
      <c r="AF835">
        <v>1.9066955225132087E-2</v>
      </c>
      <c r="AG835">
        <v>3.2686432962847607</v>
      </c>
      <c r="AH835">
        <v>4.9365913133779679E-2</v>
      </c>
      <c r="AI835">
        <v>1.5974735923470814E-2</v>
      </c>
    </row>
    <row r="836" spans="23:35" x14ac:dyDescent="0.25">
      <c r="W836">
        <v>834</v>
      </c>
      <c r="X836">
        <v>58.244509839503195</v>
      </c>
      <c r="Y836">
        <v>14.955490160496808</v>
      </c>
      <c r="Z836">
        <v>57.942559319028611</v>
      </c>
      <c r="AA836">
        <v>0.62340812613705276</v>
      </c>
      <c r="AB836">
        <v>71.8</v>
      </c>
      <c r="AC836">
        <v>0.29295400660571058</v>
      </c>
      <c r="AD836">
        <v>3.4334448356347091</v>
      </c>
      <c r="AE836">
        <v>4.9285115636217076E-2</v>
      </c>
      <c r="AF836">
        <v>1.9790378136692755E-2</v>
      </c>
      <c r="AG836">
        <v>3.4679321620246593</v>
      </c>
      <c r="AH836">
        <v>4.9419847540382381E-2</v>
      </c>
      <c r="AI836">
        <v>1.8678111588003924E-2</v>
      </c>
    </row>
    <row r="837" spans="23:35" x14ac:dyDescent="0.25">
      <c r="W837">
        <v>835</v>
      </c>
      <c r="X837">
        <v>55.288434586211437</v>
      </c>
      <c r="Y837">
        <v>17.711565413788563</v>
      </c>
      <c r="Z837">
        <v>54.849241602121658</v>
      </c>
      <c r="AA837">
        <v>0.60946027895694366</v>
      </c>
      <c r="AB837">
        <v>71.8</v>
      </c>
      <c r="AC837">
        <v>0.22222871718700732</v>
      </c>
      <c r="AD837">
        <v>4.0661778482931759</v>
      </c>
      <c r="AE837">
        <v>4.9708523575044739E-2</v>
      </c>
      <c r="AF837">
        <v>2.4196949486205283E-2</v>
      </c>
      <c r="AG837">
        <v>4.1162835583492292</v>
      </c>
      <c r="AH837">
        <v>4.983756679692871E-2</v>
      </c>
      <c r="AI837">
        <v>3.2319576607673817E-2</v>
      </c>
    </row>
    <row r="838" spans="23:35" x14ac:dyDescent="0.25">
      <c r="W838">
        <v>836</v>
      </c>
      <c r="X838">
        <v>58.447775491882211</v>
      </c>
      <c r="Y838">
        <v>14.252224508117791</v>
      </c>
      <c r="Z838">
        <v>58.161664822155565</v>
      </c>
      <c r="AA838">
        <v>0.57246816252274102</v>
      </c>
      <c r="AB838">
        <v>71.8</v>
      </c>
      <c r="AC838">
        <v>0.16337348484333708</v>
      </c>
      <c r="AD838">
        <v>3.2719908280209729</v>
      </c>
      <c r="AE838">
        <v>5.0178210287841335E-2</v>
      </c>
      <c r="AF838">
        <v>1.9679740921275703E-2</v>
      </c>
      <c r="AG838">
        <v>3.3046699300159164</v>
      </c>
      <c r="AH838">
        <v>5.0214413947149865E-2</v>
      </c>
      <c r="AI838">
        <v>1.6864140979021881E-2</v>
      </c>
    </row>
    <row r="839" spans="23:35" x14ac:dyDescent="0.25">
      <c r="W839">
        <v>837</v>
      </c>
      <c r="X839">
        <v>58.743717829483316</v>
      </c>
      <c r="Y839">
        <v>-6.6437178294833146</v>
      </c>
      <c r="Z839">
        <v>58.861308149700186</v>
      </c>
      <c r="AA839">
        <v>4.9120679199514856E-2</v>
      </c>
      <c r="AB839">
        <v>71.8</v>
      </c>
      <c r="AC839">
        <v>-1.6746834237964712</v>
      </c>
      <c r="AD839">
        <v>-1.525248482413897</v>
      </c>
      <c r="AE839">
        <v>5.2910334124866759E-2</v>
      </c>
      <c r="AF839">
        <v>1.7391652268072679E-2</v>
      </c>
      <c r="AG839">
        <v>-1.5386873270995178</v>
      </c>
      <c r="AH839">
        <v>5.2938317223671483E-2</v>
      </c>
      <c r="AI839">
        <v>3.2234266751350184E-3</v>
      </c>
    </row>
    <row r="840" spans="23:35" x14ac:dyDescent="0.25">
      <c r="W840">
        <v>838</v>
      </c>
      <c r="X840">
        <v>60.024749860740442</v>
      </c>
      <c r="Y840">
        <v>-7.924749860740441</v>
      </c>
      <c r="Z840">
        <v>60.182759024102083</v>
      </c>
      <c r="AA840">
        <v>4.9120679199514856E-2</v>
      </c>
      <c r="AB840">
        <v>71.8</v>
      </c>
      <c r="AC840">
        <v>-1.6746834237964712</v>
      </c>
      <c r="AD840">
        <v>-1.8193446815221122</v>
      </c>
      <c r="AE840">
        <v>5.7879625275860838E-2</v>
      </c>
      <c r="AF840">
        <v>1.9548914286628107E-2</v>
      </c>
      <c r="AG840">
        <v>-1.8373928399127155</v>
      </c>
      <c r="AH840">
        <v>5.8003947203687102E-2</v>
      </c>
      <c r="AI840">
        <v>5.1779445777873443E-3</v>
      </c>
    </row>
    <row r="841" spans="23:35" x14ac:dyDescent="0.25">
      <c r="W841">
        <v>839</v>
      </c>
      <c r="X841">
        <v>60.373456682189307</v>
      </c>
      <c r="Y841">
        <v>-8.173456682189304</v>
      </c>
      <c r="Z841">
        <v>60.442371735427749</v>
      </c>
      <c r="AA841">
        <v>5.033353547604609E-2</v>
      </c>
      <c r="AB841">
        <v>71.8</v>
      </c>
      <c r="AC841">
        <v>-1.6504653896281696</v>
      </c>
      <c r="AD841">
        <v>-1.8764421850159299</v>
      </c>
      <c r="AE841">
        <v>5.8304975626968798E-2</v>
      </c>
      <c r="AF841">
        <v>8.3610707513015799E-3</v>
      </c>
      <c r="AG841">
        <v>-1.8843362547432498</v>
      </c>
      <c r="AH841">
        <v>5.8399825319000578E-2</v>
      </c>
      <c r="AI841">
        <v>2.302935563525415E-3</v>
      </c>
    </row>
    <row r="842" spans="23:35" x14ac:dyDescent="0.25">
      <c r="W842">
        <v>840</v>
      </c>
      <c r="X842">
        <v>59.268337911808352</v>
      </c>
      <c r="Y842">
        <v>-6.968337911808355</v>
      </c>
      <c r="Z842">
        <v>59.330715941915884</v>
      </c>
      <c r="AA842">
        <v>5.1546391752577317E-2</v>
      </c>
      <c r="AB842">
        <v>71.8</v>
      </c>
      <c r="AC842">
        <v>-1.6387108222805178</v>
      </c>
      <c r="AD842">
        <v>-1.5997739665833306</v>
      </c>
      <c r="AE842">
        <v>5.8698007434331657E-2</v>
      </c>
      <c r="AF842">
        <v>8.872215948257503E-3</v>
      </c>
      <c r="AG842">
        <v>-1.6069183115672039</v>
      </c>
      <c r="AH842">
        <v>5.9298805720647767E-2</v>
      </c>
      <c r="AI842">
        <v>1.7780611806275984E-3</v>
      </c>
    </row>
    <row r="843" spans="23:35" x14ac:dyDescent="0.25">
      <c r="W843">
        <v>841</v>
      </c>
      <c r="X843">
        <v>57.396786352340428</v>
      </c>
      <c r="Y843">
        <v>-6.2967863523404262</v>
      </c>
      <c r="Z843">
        <v>57.433976238909878</v>
      </c>
      <c r="AA843">
        <v>3.8811400848999394E-2</v>
      </c>
      <c r="AB843">
        <v>71.8</v>
      </c>
      <c r="AC843">
        <v>-1.7755718253255368</v>
      </c>
      <c r="AD843">
        <v>-1.4456008028171621</v>
      </c>
      <c r="AE843">
        <v>6.124151911272268E-2</v>
      </c>
      <c r="AF843">
        <v>5.8714913297265589E-3</v>
      </c>
      <c r="AG843">
        <v>-1.449863499609283</v>
      </c>
      <c r="AH843">
        <v>6.132586505216079E-2</v>
      </c>
      <c r="AI843">
        <v>9.5502947757831677E-4</v>
      </c>
    </row>
    <row r="844" spans="23:35" x14ac:dyDescent="0.25">
      <c r="W844">
        <v>842</v>
      </c>
      <c r="X844">
        <v>55.267227999364877</v>
      </c>
      <c r="Y844">
        <v>-5.8672279993648786</v>
      </c>
      <c r="Z844">
        <v>55.31010851216346</v>
      </c>
      <c r="AA844">
        <v>2.9108550636749546E-2</v>
      </c>
      <c r="AB844">
        <v>71.8</v>
      </c>
      <c r="AC844">
        <v>-1.8986487576703672</v>
      </c>
      <c r="AD844">
        <v>-1.3469838472510163</v>
      </c>
      <c r="AE844">
        <v>6.3212253600391149E-2</v>
      </c>
      <c r="AF844">
        <v>7.2554527062120289E-3</v>
      </c>
      <c r="AG844">
        <v>-1.3518970881149002</v>
      </c>
      <c r="AH844">
        <v>6.349025554405735E-2</v>
      </c>
      <c r="AI844">
        <v>1.0274741825225164E-3</v>
      </c>
    </row>
    <row r="845" spans="23:35" x14ac:dyDescent="0.25">
      <c r="W845">
        <v>843</v>
      </c>
      <c r="X845">
        <v>49.196328171505591</v>
      </c>
      <c r="Y845">
        <v>-1.3963281715055942</v>
      </c>
      <c r="Z845">
        <v>49.214289785852088</v>
      </c>
      <c r="AA845">
        <v>1.9405700424499697E-2</v>
      </c>
      <c r="AB845">
        <v>71.900000000000006</v>
      </c>
      <c r="AC845">
        <v>-2.0994271873972417</v>
      </c>
      <c r="AD845">
        <v>-0.32056560486198593</v>
      </c>
      <c r="AE845">
        <v>6.363328008676182E-2</v>
      </c>
      <c r="AF845">
        <v>1.2700094793993434E-2</v>
      </c>
      <c r="AG845">
        <v>-0.32262080845773194</v>
      </c>
      <c r="AH845">
        <v>6.3728660540838755E-2</v>
      </c>
      <c r="AI845">
        <v>1.0299099769438825E-4</v>
      </c>
    </row>
    <row r="846" spans="23:35" x14ac:dyDescent="0.25">
      <c r="W846">
        <v>844</v>
      </c>
      <c r="X846">
        <v>47.819950490620258</v>
      </c>
      <c r="Y846">
        <v>-1.6199504906202549</v>
      </c>
      <c r="Z846">
        <v>47.857859023596696</v>
      </c>
      <c r="AA846">
        <v>1.3341419041843541E-2</v>
      </c>
      <c r="AB846">
        <v>71.900000000000006</v>
      </c>
      <c r="AC846">
        <v>-2.2435160869312201</v>
      </c>
      <c r="AD846">
        <v>-0.37190426969056706</v>
      </c>
      <c r="AE846">
        <v>6.3746658415889126E-2</v>
      </c>
      <c r="AF846">
        <v>2.2865956897948379E-2</v>
      </c>
      <c r="AG846">
        <v>-0.37623058012809196</v>
      </c>
      <c r="AH846">
        <v>6.3862925662509368E-2</v>
      </c>
      <c r="AI846">
        <v>2.5480037827069923E-4</v>
      </c>
    </row>
    <row r="847" spans="23:35" x14ac:dyDescent="0.25">
      <c r="W847">
        <v>845</v>
      </c>
      <c r="X847">
        <v>44.437971824352331</v>
      </c>
      <c r="Y847">
        <v>0.86202817564766576</v>
      </c>
      <c r="Z847">
        <v>44.421226404357007</v>
      </c>
      <c r="AA847">
        <v>7.2771376591873865E-3</v>
      </c>
      <c r="AB847">
        <v>71.900000000000006</v>
      </c>
      <c r="AC847">
        <v>-2.5264513477970261</v>
      </c>
      <c r="AD847">
        <v>0.19790231922099491</v>
      </c>
      <c r="AE847">
        <v>6.3989310939483721E-2</v>
      </c>
      <c r="AF847">
        <v>1.9055442810694195E-2</v>
      </c>
      <c r="AG847">
        <v>0.19981526016822679</v>
      </c>
      <c r="AH847">
        <v>6.4089554722649267E-2</v>
      </c>
      <c r="AI847">
        <v>5.9660726409963649E-5</v>
      </c>
    </row>
    <row r="848" spans="23:35" x14ac:dyDescent="0.25">
      <c r="W848">
        <v>846</v>
      </c>
      <c r="X848">
        <v>43.80901709571463</v>
      </c>
      <c r="Y848">
        <v>0.69098290428537013</v>
      </c>
      <c r="Z848">
        <v>43.795070717108771</v>
      </c>
      <c r="AA848">
        <v>2.4257125530624622E-3</v>
      </c>
      <c r="AB848">
        <v>71.900000000000006</v>
      </c>
      <c r="AC848">
        <v>-2.9644605992605717</v>
      </c>
      <c r="AD848">
        <v>0.15863416436172934</v>
      </c>
      <c r="AE848">
        <v>6.4452485459339806E-2</v>
      </c>
      <c r="AF848">
        <v>1.9784081814073783E-2</v>
      </c>
      <c r="AG848">
        <v>0.16022705476779867</v>
      </c>
      <c r="AH848">
        <v>6.4640959324242298E-2</v>
      </c>
      <c r="AI848">
        <v>3.9858641769691918E-5</v>
      </c>
    </row>
    <row r="849" spans="23:35" x14ac:dyDescent="0.25">
      <c r="W849">
        <v>847</v>
      </c>
      <c r="X849">
        <v>42.547178210763292</v>
      </c>
      <c r="Y849">
        <v>2.2528217892367053</v>
      </c>
      <c r="Z849">
        <v>42.472656054889946</v>
      </c>
      <c r="AA849">
        <v>4.8514251061249243E-3</v>
      </c>
      <c r="AB849">
        <v>71.900000000000006</v>
      </c>
      <c r="AC849">
        <v>-2.6570161854420777</v>
      </c>
      <c r="AD849">
        <v>0.51719731381931267</v>
      </c>
      <c r="AE849">
        <v>6.6944911817490321E-2</v>
      </c>
      <c r="AF849">
        <v>3.202025898661242E-2</v>
      </c>
      <c r="AG849">
        <v>0.52568202435095945</v>
      </c>
      <c r="AH849">
        <v>6.7402587130192579E-2</v>
      </c>
      <c r="AI849">
        <v>7.0317184487817756E-4</v>
      </c>
    </row>
    <row r="850" spans="23:35" x14ac:dyDescent="0.25">
      <c r="W850">
        <v>848</v>
      </c>
      <c r="X850">
        <v>41.881889325954255</v>
      </c>
      <c r="Y850">
        <v>3.6181106740457452</v>
      </c>
      <c r="Z850">
        <v>41.777669585003189</v>
      </c>
      <c r="AA850">
        <v>8.4899939357186167E-3</v>
      </c>
      <c r="AB850">
        <v>71.900000000000006</v>
      </c>
      <c r="AC850">
        <v>-2.4004805754973497</v>
      </c>
      <c r="AD850">
        <v>0.83063699519324297</v>
      </c>
      <c r="AE850">
        <v>6.7417811498141175E-2</v>
      </c>
      <c r="AF850">
        <v>2.7998519564834151E-2</v>
      </c>
      <c r="AG850">
        <v>0.84251532017875774</v>
      </c>
      <c r="AH850">
        <v>6.7503036293294974E-2</v>
      </c>
      <c r="AI850">
        <v>1.5728249985916777E-3</v>
      </c>
    </row>
    <row r="851" spans="23:35" x14ac:dyDescent="0.25">
      <c r="W851">
        <v>849</v>
      </c>
      <c r="X851">
        <v>61.422373004127593</v>
      </c>
      <c r="Y851">
        <v>-3.3223730041275914</v>
      </c>
      <c r="Z851">
        <v>61.462636094803138</v>
      </c>
      <c r="AA851">
        <v>0.13523347483323225</v>
      </c>
      <c r="AB851">
        <v>71.900000000000006</v>
      </c>
      <c r="AC851">
        <v>-1.1174634002413726</v>
      </c>
      <c r="AD851">
        <v>-0.76274226459021766</v>
      </c>
      <c r="AE851">
        <v>6.9182855885685152E-2</v>
      </c>
      <c r="AF851">
        <v>1.1973668735004885E-2</v>
      </c>
      <c r="AG851">
        <v>-0.76735009722735292</v>
      </c>
      <c r="AH851">
        <v>6.9257763730127625E-2</v>
      </c>
      <c r="AI851">
        <v>5.4891168067646031E-4</v>
      </c>
    </row>
    <row r="852" spans="23:35" x14ac:dyDescent="0.25">
      <c r="W852">
        <v>850</v>
      </c>
      <c r="X852">
        <v>64.315417821497178</v>
      </c>
      <c r="Y852">
        <v>-3.2154178214971765</v>
      </c>
      <c r="Z852">
        <v>64.32745577401198</v>
      </c>
      <c r="AA852">
        <v>0.17889630078835658</v>
      </c>
      <c r="AB852">
        <v>71.900000000000006</v>
      </c>
      <c r="AC852">
        <v>-0.9277300733017374</v>
      </c>
      <c r="AD852">
        <v>-0.73818775547645099</v>
      </c>
      <c r="AE852">
        <v>7.3859736895766956E-2</v>
      </c>
      <c r="AF852">
        <v>3.7298582405795363E-3</v>
      </c>
      <c r="AG852">
        <v>-0.73956828640898864</v>
      </c>
      <c r="AH852">
        <v>7.3958559991960507E-2</v>
      </c>
      <c r="AI852">
        <v>1.5751735792063904E-4</v>
      </c>
    </row>
    <row r="853" spans="23:35" x14ac:dyDescent="0.25">
      <c r="W853">
        <v>851</v>
      </c>
      <c r="X853">
        <v>59.957258694922963</v>
      </c>
      <c r="Y853">
        <v>7.0427413050770369</v>
      </c>
      <c r="Z853">
        <v>59.872266557008174</v>
      </c>
      <c r="AA853">
        <v>0.33959975742874471</v>
      </c>
      <c r="AB853">
        <v>71.900000000000006</v>
      </c>
      <c r="AC853">
        <v>-0.42600652312983872</v>
      </c>
      <c r="AD853">
        <v>1.6168553155481957</v>
      </c>
      <c r="AE853">
        <v>7.4101061207369062E-2</v>
      </c>
      <c r="AF853">
        <v>1.1924146517902526E-2</v>
      </c>
      <c r="AG853">
        <v>1.6265822009516202</v>
      </c>
      <c r="AH853">
        <v>7.4145923430856644E-2</v>
      </c>
      <c r="AI853">
        <v>2.456098029392628E-3</v>
      </c>
    </row>
    <row r="854" spans="23:35" x14ac:dyDescent="0.25">
      <c r="W854">
        <v>852</v>
      </c>
      <c r="X854">
        <v>63.954755134616441</v>
      </c>
      <c r="Y854">
        <v>-1.9547551346164411</v>
      </c>
      <c r="Z854">
        <v>63.966683853381269</v>
      </c>
      <c r="AA854">
        <v>0.19890842935112188</v>
      </c>
      <c r="AB854">
        <v>72</v>
      </c>
      <c r="AC854">
        <v>-0.85973834429501084</v>
      </c>
      <c r="AD854">
        <v>-0.44876790060729771</v>
      </c>
      <c r="AE854">
        <v>7.9234713674547139E-2</v>
      </c>
      <c r="AF854">
        <v>6.0653972138541914E-3</v>
      </c>
      <c r="AG854">
        <v>-0.45013510100762183</v>
      </c>
      <c r="AH854">
        <v>7.9324444771695604E-2</v>
      </c>
      <c r="AI854">
        <v>9.5113868288679532E-5</v>
      </c>
    </row>
    <row r="855" spans="23:35" x14ac:dyDescent="0.25">
      <c r="W855">
        <v>853</v>
      </c>
      <c r="X855">
        <v>62.029879508966239</v>
      </c>
      <c r="Y855">
        <v>-2.3298795089662363</v>
      </c>
      <c r="Z855">
        <v>62.071439254190679</v>
      </c>
      <c r="AA855">
        <v>0.16919345057610674</v>
      </c>
      <c r="AB855">
        <v>72</v>
      </c>
      <c r="AC855">
        <v>-0.96823093621551704</v>
      </c>
      <c r="AD855">
        <v>-0.53488803655804207</v>
      </c>
      <c r="AE855">
        <v>8.0100187951591961E-2</v>
      </c>
      <c r="AF855">
        <v>1.7525114822570371E-2</v>
      </c>
      <c r="AG855">
        <v>-0.53963754239065886</v>
      </c>
      <c r="AH855">
        <v>8.0418798974322372E-2</v>
      </c>
      <c r="AI855">
        <v>3.9957690064210659E-4</v>
      </c>
    </row>
    <row r="856" spans="23:35" x14ac:dyDescent="0.25">
      <c r="W856">
        <v>854</v>
      </c>
      <c r="X856">
        <v>64.183459066928393</v>
      </c>
      <c r="Y856">
        <v>-4.9834590669283898</v>
      </c>
      <c r="Z856">
        <v>64.246306844239726</v>
      </c>
      <c r="AA856">
        <v>0.15767131594906003</v>
      </c>
      <c r="AB856">
        <v>72</v>
      </c>
      <c r="AC856">
        <v>-1.0205681915260707</v>
      </c>
      <c r="AD856">
        <v>-1.144090338285098</v>
      </c>
      <c r="AE856">
        <v>8.1416891545215586E-2</v>
      </c>
      <c r="AF856">
        <v>1.2454212407451679E-2</v>
      </c>
      <c r="AG856">
        <v>-1.1512819549237414</v>
      </c>
      <c r="AH856">
        <v>8.1611557094536102E-2</v>
      </c>
      <c r="AI856">
        <v>1.2858167250509684E-3</v>
      </c>
    </row>
    <row r="857" spans="23:35" x14ac:dyDescent="0.25">
      <c r="W857">
        <v>855</v>
      </c>
      <c r="X857">
        <v>63.154850418002958</v>
      </c>
      <c r="Y857">
        <v>-4.5548504180029568</v>
      </c>
      <c r="Z857">
        <v>63.188811785549071</v>
      </c>
      <c r="AA857">
        <v>0.14432989690721648</v>
      </c>
      <c r="AB857">
        <v>72</v>
      </c>
      <c r="AC857">
        <v>-1.0704544602760233</v>
      </c>
      <c r="AD857">
        <v>-1.0456914134508941</v>
      </c>
      <c r="AE857">
        <v>8.1771295823952095E-2</v>
      </c>
      <c r="AF857">
        <v>7.4009066253411387E-3</v>
      </c>
      <c r="AG857">
        <v>-1.0495825575717841</v>
      </c>
      <c r="AH857">
        <v>8.1873114971111716E-2</v>
      </c>
      <c r="AI857">
        <v>6.3183096768704313E-4</v>
      </c>
    </row>
    <row r="858" spans="23:35" x14ac:dyDescent="0.25">
      <c r="W858">
        <v>856</v>
      </c>
      <c r="X858">
        <v>77.73141282087046</v>
      </c>
      <c r="Y858">
        <v>-4.3314128208704545</v>
      </c>
      <c r="Z858">
        <v>77.756761546318927</v>
      </c>
      <c r="AA858">
        <v>0.63735597331716187</v>
      </c>
      <c r="AB858">
        <v>72</v>
      </c>
      <c r="AC858">
        <v>0.33286538375086522</v>
      </c>
      <c r="AD858">
        <v>-0.99439515664297062</v>
      </c>
      <c r="AE858">
        <v>8.2105250017946052E-2</v>
      </c>
      <c r="AF858">
        <v>5.8182494449071191E-3</v>
      </c>
      <c r="AG858">
        <v>-0.99730066105439485</v>
      </c>
      <c r="AH858">
        <v>8.2164152627344222E-2</v>
      </c>
      <c r="AI858">
        <v>4.4774981120859709E-4</v>
      </c>
    </row>
    <row r="859" spans="23:35" x14ac:dyDescent="0.25">
      <c r="W859">
        <v>857</v>
      </c>
      <c r="X859">
        <v>77.48323693805132</v>
      </c>
      <c r="Y859">
        <v>-4.48323693805132</v>
      </c>
      <c r="Z859">
        <v>77.508797536896793</v>
      </c>
      <c r="AA859">
        <v>0.60946027895694366</v>
      </c>
      <c r="AB859">
        <v>72</v>
      </c>
      <c r="AC859">
        <v>0.22222871718700732</v>
      </c>
      <c r="AD859">
        <v>-1.0292505659585638</v>
      </c>
      <c r="AE859">
        <v>8.2265269701662022E-2</v>
      </c>
      <c r="AF859">
        <v>5.6690500374669732E-3</v>
      </c>
      <c r="AG859">
        <v>-1.0321804656511242</v>
      </c>
      <c r="AH859">
        <v>8.2328235909899655E-2</v>
      </c>
      <c r="AI859">
        <v>4.6724778536343938E-4</v>
      </c>
    </row>
    <row r="860" spans="23:35" x14ac:dyDescent="0.25">
      <c r="W860">
        <v>858</v>
      </c>
      <c r="X860">
        <v>73.587673738040948</v>
      </c>
      <c r="Y860">
        <v>-0.58767373804094802</v>
      </c>
      <c r="Z860">
        <v>73.593894913491738</v>
      </c>
      <c r="AA860">
        <v>0.60946027895694366</v>
      </c>
      <c r="AB860">
        <v>72</v>
      </c>
      <c r="AC860">
        <v>0.22222871718700732</v>
      </c>
      <c r="AD860">
        <v>-0.13491669876822079</v>
      </c>
      <c r="AE860">
        <v>8.2481430255583424E-2</v>
      </c>
      <c r="AF860">
        <v>1.0475212549335915E-2</v>
      </c>
      <c r="AG860">
        <v>-0.13562893988445052</v>
      </c>
      <c r="AH860">
        <v>8.2781665656073089E-2</v>
      </c>
      <c r="AI860">
        <v>1.4979507965598138E-5</v>
      </c>
    </row>
    <row r="861" spans="23:35" x14ac:dyDescent="0.25">
      <c r="W861">
        <v>859</v>
      </c>
      <c r="X861">
        <v>73.523520693454373</v>
      </c>
      <c r="Y861">
        <v>-0.72352069345437542</v>
      </c>
      <c r="Z861">
        <v>73.529704889531004</v>
      </c>
      <c r="AA861">
        <v>0.58156458459672533</v>
      </c>
      <c r="AB861">
        <v>72</v>
      </c>
      <c r="AC861">
        <v>0.18343432307636306</v>
      </c>
      <c r="AD861">
        <v>-0.1661041103806421</v>
      </c>
      <c r="AE861">
        <v>8.3702584737828017E-2</v>
      </c>
      <c r="AF861">
        <v>8.4749275568138226E-3</v>
      </c>
      <c r="AG861">
        <v>-0.16681247623723161</v>
      </c>
      <c r="AH861">
        <v>8.418748094764443E-2</v>
      </c>
      <c r="AI861">
        <v>1.829557234658832E-5</v>
      </c>
    </row>
    <row r="862" spans="23:35" x14ac:dyDescent="0.25">
      <c r="W862">
        <v>860</v>
      </c>
      <c r="X862">
        <v>73.515298477413126</v>
      </c>
      <c r="Y862">
        <v>-1.1152984774131198</v>
      </c>
      <c r="Z862">
        <v>73.525337381114113</v>
      </c>
      <c r="AA862">
        <v>0.55124317768344455</v>
      </c>
      <c r="AB862">
        <v>72</v>
      </c>
      <c r="AC862">
        <v>0.11578501997911882</v>
      </c>
      <c r="AD862">
        <v>-0.25604749535926435</v>
      </c>
      <c r="AE862">
        <v>8.4884665271852386E-2</v>
      </c>
      <c r="AF862">
        <v>8.9207946607518622E-3</v>
      </c>
      <c r="AG862">
        <v>-0.25719726732811554</v>
      </c>
      <c r="AH862">
        <v>8.5088932047667945E-2</v>
      </c>
      <c r="AI862">
        <v>4.5802008877604014E-5</v>
      </c>
    </row>
    <row r="863" spans="23:35" x14ac:dyDescent="0.25">
      <c r="W863">
        <v>861</v>
      </c>
      <c r="X863">
        <v>77.244659626056276</v>
      </c>
      <c r="Y863">
        <v>-5.0446596260562728</v>
      </c>
      <c r="Z863">
        <v>77.262831814960251</v>
      </c>
      <c r="AA863">
        <v>0.53911461491813217</v>
      </c>
      <c r="AB863">
        <v>72</v>
      </c>
      <c r="AC863">
        <v>7.9127168877726875E-2</v>
      </c>
      <c r="AD863">
        <v>-1.1581406128946601</v>
      </c>
      <c r="AE863">
        <v>8.5081012114828353E-2</v>
      </c>
      <c r="AF863">
        <v>3.5893329204163449E-3</v>
      </c>
      <c r="AG863">
        <v>-1.1602247010546491</v>
      </c>
      <c r="AH863">
        <v>8.5126653677940534E-2</v>
      </c>
      <c r="AI863">
        <v>3.7300635949263244E-4</v>
      </c>
    </row>
    <row r="864" spans="23:35" x14ac:dyDescent="0.25">
      <c r="W864">
        <v>862</v>
      </c>
      <c r="X864">
        <v>77.149360528136469</v>
      </c>
      <c r="Y864">
        <v>-6.0493605281364751</v>
      </c>
      <c r="Z864">
        <v>77.174648761666191</v>
      </c>
      <c r="AA864">
        <v>0.47422680412371132</v>
      </c>
      <c r="AB864">
        <v>72</v>
      </c>
      <c r="AC864">
        <v>-7.6077819866612773E-2</v>
      </c>
      <c r="AD864">
        <v>-1.3887973875362887</v>
      </c>
      <c r="AE864">
        <v>8.5371207237967511E-2</v>
      </c>
      <c r="AF864">
        <v>4.1629128731363691E-3</v>
      </c>
      <c r="AG864">
        <v>-1.3916971655875476</v>
      </c>
      <c r="AH864">
        <v>8.5872962066762246E-2</v>
      </c>
      <c r="AI864">
        <v>6.2280939948147871E-4</v>
      </c>
    </row>
    <row r="865" spans="23:35" x14ac:dyDescent="0.25">
      <c r="W865">
        <v>863</v>
      </c>
      <c r="X865">
        <v>76.575509752618387</v>
      </c>
      <c r="Y865">
        <v>-4.5755097526183874</v>
      </c>
      <c r="Z865">
        <v>76.595672274049463</v>
      </c>
      <c r="AA865">
        <v>0.52516676773802307</v>
      </c>
      <c r="AB865">
        <v>72</v>
      </c>
      <c r="AC865">
        <v>4.1053957112594373E-2</v>
      </c>
      <c r="AD865">
        <v>-1.0504343329394417</v>
      </c>
      <c r="AE865">
        <v>8.5781378611693354E-2</v>
      </c>
      <c r="AF865">
        <v>4.3872844338647765E-3</v>
      </c>
      <c r="AG865">
        <v>-1.0527462200052515</v>
      </c>
      <c r="AH865">
        <v>8.6694561600365483E-2</v>
      </c>
      <c r="AI865">
        <v>3.7567248337822852E-4</v>
      </c>
    </row>
    <row r="866" spans="23:35" x14ac:dyDescent="0.25">
      <c r="W866">
        <v>864</v>
      </c>
      <c r="X866">
        <v>75.25995427962485</v>
      </c>
      <c r="Y866">
        <v>0.74004572037515004</v>
      </c>
      <c r="Z866">
        <v>75.256230764256472</v>
      </c>
      <c r="AA866">
        <v>0.80836870830806551</v>
      </c>
      <c r="AB866">
        <v>72</v>
      </c>
      <c r="AC866">
        <v>0.83794453378675593</v>
      </c>
      <c r="AD866">
        <v>0.16989788562511549</v>
      </c>
      <c r="AE866">
        <v>8.5905822357594391E-2</v>
      </c>
      <c r="AF866">
        <v>5.0062777397017286E-3</v>
      </c>
      <c r="AG866">
        <v>0.17032476711235184</v>
      </c>
      <c r="AH866">
        <v>8.7355869911382042E-2</v>
      </c>
      <c r="AI866">
        <v>1.1228115061881955E-5</v>
      </c>
    </row>
    <row r="867" spans="23:35" x14ac:dyDescent="0.25">
      <c r="W867">
        <v>865</v>
      </c>
      <c r="X867">
        <v>75.69490071589405</v>
      </c>
      <c r="Y867">
        <v>2.3050992841059497</v>
      </c>
      <c r="Z867">
        <v>75.685928553884864</v>
      </c>
      <c r="AA867">
        <v>0.86294724075197093</v>
      </c>
      <c r="AB867">
        <v>72</v>
      </c>
      <c r="AC867">
        <v>1.0491313979639725</v>
      </c>
      <c r="AD867">
        <v>0.52919905317071381</v>
      </c>
      <c r="AE867">
        <v>8.71338708200428E-2</v>
      </c>
      <c r="AF867">
        <v>3.877219099805069E-3</v>
      </c>
      <c r="AG867">
        <v>0.53022795644013254</v>
      </c>
      <c r="AH867">
        <v>8.736652310664475E-2</v>
      </c>
      <c r="AI867">
        <v>8.417620913650682E-5</v>
      </c>
    </row>
    <row r="868" spans="23:35" x14ac:dyDescent="0.25">
      <c r="W868">
        <v>866</v>
      </c>
      <c r="X868">
        <v>72.777546026134459</v>
      </c>
      <c r="Y868">
        <v>-1.1775460261344648</v>
      </c>
      <c r="Z868">
        <v>72.800976909348847</v>
      </c>
      <c r="AA868">
        <v>0.49787750151607035</v>
      </c>
      <c r="AB868">
        <v>72</v>
      </c>
      <c r="AC868">
        <v>-2.1282865457297767E-2</v>
      </c>
      <c r="AD868">
        <v>-0.27033813527775719</v>
      </c>
      <c r="AE868">
        <v>8.7254305521750383E-2</v>
      </c>
      <c r="AF868">
        <v>1.9509853213651906E-2</v>
      </c>
      <c r="AG868">
        <v>-0.27301448970625408</v>
      </c>
      <c r="AH868">
        <v>8.7751506388518488E-2</v>
      </c>
      <c r="AI868">
        <v>1.1408769605830342E-4</v>
      </c>
    </row>
    <row r="869" spans="23:35" x14ac:dyDescent="0.25">
      <c r="W869">
        <v>867</v>
      </c>
      <c r="X869">
        <v>74.612877850539704</v>
      </c>
      <c r="Y869">
        <v>-3.0128778505397094</v>
      </c>
      <c r="Z869">
        <v>74.624891151253649</v>
      </c>
      <c r="AA869">
        <v>0.49787750151607035</v>
      </c>
      <c r="AB869">
        <v>72.099999999999994</v>
      </c>
      <c r="AC869">
        <v>-2.1282865457297767E-2</v>
      </c>
      <c r="AD869">
        <v>-0.69168912455024012</v>
      </c>
      <c r="AE869">
        <v>8.7689135501011151E-2</v>
      </c>
      <c r="AF869">
        <v>3.9714819850538664E-3</v>
      </c>
      <c r="AG869">
        <v>-0.69306674475506402</v>
      </c>
      <c r="AH869">
        <v>8.8300996657442399E-2</v>
      </c>
      <c r="AI869">
        <v>1.4732878008085677E-4</v>
      </c>
    </row>
    <row r="870" spans="23:35" x14ac:dyDescent="0.25">
      <c r="W870">
        <v>868</v>
      </c>
      <c r="X870">
        <v>74.926442401593221</v>
      </c>
      <c r="Y870">
        <v>-3.526442401593215</v>
      </c>
      <c r="Z870">
        <v>74.937970278672552</v>
      </c>
      <c r="AA870">
        <v>0.4887810794420861</v>
      </c>
      <c r="AB870">
        <v>72.099999999999994</v>
      </c>
      <c r="AC870">
        <v>-4.7140240828996732E-2</v>
      </c>
      <c r="AD870">
        <v>-0.80959201751173315</v>
      </c>
      <c r="AE870">
        <v>8.9278962976068202E-2</v>
      </c>
      <c r="AF870">
        <v>3.25833067304918E-3</v>
      </c>
      <c r="AG870">
        <v>-0.81091420874434239</v>
      </c>
      <c r="AH870">
        <v>8.9742779847666695E-2</v>
      </c>
      <c r="AI870">
        <v>1.6535563910042187E-4</v>
      </c>
    </row>
    <row r="871" spans="23:35" x14ac:dyDescent="0.25">
      <c r="W871">
        <v>869</v>
      </c>
      <c r="X871">
        <v>74.252529161627265</v>
      </c>
      <c r="Y871">
        <v>-3.0525291616272625</v>
      </c>
      <c r="Z871">
        <v>74.262560916047377</v>
      </c>
      <c r="AA871">
        <v>0.47907822922983628</v>
      </c>
      <c r="AB871">
        <v>72.099999999999994</v>
      </c>
      <c r="AC871">
        <v>-6.3887210036911155E-2</v>
      </c>
      <c r="AD871">
        <v>-0.70079217552474482</v>
      </c>
      <c r="AE871">
        <v>8.9691973709595849E-2</v>
      </c>
      <c r="AF871">
        <v>3.2756097576844335E-3</v>
      </c>
      <c r="AG871">
        <v>-0.70194276380036291</v>
      </c>
      <c r="AH871">
        <v>8.9924899322845517E-2</v>
      </c>
      <c r="AI871">
        <v>1.245595758688452E-4</v>
      </c>
    </row>
    <row r="872" spans="23:35" x14ac:dyDescent="0.25">
      <c r="W872">
        <v>870</v>
      </c>
      <c r="X872">
        <v>74.158566907429488</v>
      </c>
      <c r="Y872">
        <v>-2.5585669074294941</v>
      </c>
      <c r="Z872">
        <v>74.165772281550332</v>
      </c>
      <c r="AA872">
        <v>0.49787750151607035</v>
      </c>
      <c r="AB872">
        <v>72.099999999999994</v>
      </c>
      <c r="AC872">
        <v>-2.1282865457297767E-2</v>
      </c>
      <c r="AD872">
        <v>-0.5873895299094527</v>
      </c>
      <c r="AE872">
        <v>9.1570935135247292E-2</v>
      </c>
      <c r="AF872">
        <v>2.8082671921636458E-3</v>
      </c>
      <c r="AG872">
        <v>-0.58821604449569276</v>
      </c>
      <c r="AH872">
        <v>9.1775709346041248E-2</v>
      </c>
      <c r="AI872">
        <v>7.4953192816258957E-5</v>
      </c>
    </row>
    <row r="873" spans="23:35" x14ac:dyDescent="0.25">
      <c r="W873">
        <v>871</v>
      </c>
      <c r="X873">
        <v>86.223387376959039</v>
      </c>
      <c r="Y873">
        <v>-4.523387376959036</v>
      </c>
      <c r="Z873">
        <v>86.594721379797036</v>
      </c>
      <c r="AA873">
        <v>0.95573074590661011</v>
      </c>
      <c r="AB873">
        <v>72.099999999999994</v>
      </c>
      <c r="AC873">
        <v>1.6624525291871317</v>
      </c>
      <c r="AD873">
        <v>-1.0384682054766781</v>
      </c>
      <c r="AE873">
        <v>9.43280659472025E-2</v>
      </c>
      <c r="AF873">
        <v>7.5864175716043841E-2</v>
      </c>
      <c r="AG873">
        <v>-1.0802525529616047</v>
      </c>
      <c r="AH873">
        <v>9.458876999608079E-2</v>
      </c>
      <c r="AI873">
        <v>7.3689937434423874E-3</v>
      </c>
    </row>
    <row r="874" spans="23:35" x14ac:dyDescent="0.25">
      <c r="W874">
        <v>872</v>
      </c>
      <c r="X874">
        <v>85.675453838634837</v>
      </c>
      <c r="Y874">
        <v>-4.2754538386348315</v>
      </c>
      <c r="Z874">
        <v>85.992967004920473</v>
      </c>
      <c r="AA874">
        <v>0.94724075197089141</v>
      </c>
      <c r="AB874">
        <v>72.099999999999994</v>
      </c>
      <c r="AC874">
        <v>1.5992570753291051</v>
      </c>
      <c r="AD874">
        <v>-0.98154823043043038</v>
      </c>
      <c r="AE874">
        <v>9.5191214087510231E-2</v>
      </c>
      <c r="AF874">
        <v>6.9130295502991629E-2</v>
      </c>
      <c r="AG874">
        <v>-1.017342520033762</v>
      </c>
      <c r="AH874">
        <v>9.5248068970104377E-2</v>
      </c>
      <c r="AI874">
        <v>5.9124918806810227E-3</v>
      </c>
    </row>
    <row r="875" spans="23:35" x14ac:dyDescent="0.25">
      <c r="W875">
        <v>873</v>
      </c>
      <c r="X875">
        <v>75.710239653983734</v>
      </c>
      <c r="Y875">
        <v>5.38976034601626</v>
      </c>
      <c r="Z875">
        <v>75.661686705131615</v>
      </c>
      <c r="AA875">
        <v>0.93935718617343844</v>
      </c>
      <c r="AB875">
        <v>72.099999999999994</v>
      </c>
      <c r="AC875">
        <v>1.5222105313262397</v>
      </c>
      <c r="AD875">
        <v>1.2373679917371252</v>
      </c>
      <c r="AE875">
        <v>9.8336405608882835E-2</v>
      </c>
      <c r="AF875">
        <v>8.9279425843172364E-3</v>
      </c>
      <c r="AG875">
        <v>1.2429288298900072</v>
      </c>
      <c r="AH875">
        <v>9.9930880938423478E-2</v>
      </c>
      <c r="AI875">
        <v>1.0705213373564573E-3</v>
      </c>
    </row>
    <row r="876" spans="23:35" x14ac:dyDescent="0.25">
      <c r="W876">
        <v>874</v>
      </c>
      <c r="X876">
        <v>89.455137353863165</v>
      </c>
      <c r="Y876">
        <v>-1.4551373538631651</v>
      </c>
      <c r="Z876">
        <v>89.556816551751879</v>
      </c>
      <c r="AA876">
        <v>0.99575500303214071</v>
      </c>
      <c r="AB876">
        <v>72.099999999999994</v>
      </c>
      <c r="AC876">
        <v>2.428517260365656</v>
      </c>
      <c r="AD876">
        <v>-0.33406687304421145</v>
      </c>
      <c r="AE876">
        <v>9.9736707043042827E-2</v>
      </c>
      <c r="AF876">
        <v>6.5312253890349892E-2</v>
      </c>
      <c r="AG876">
        <v>-0.34554143893858091</v>
      </c>
      <c r="AH876">
        <v>0.10040198449523781</v>
      </c>
      <c r="AI876">
        <v>6.4177832409111491E-4</v>
      </c>
    </row>
    <row r="877" spans="23:35" x14ac:dyDescent="0.25">
      <c r="W877">
        <v>875</v>
      </c>
      <c r="X877">
        <v>78.963743465604836</v>
      </c>
      <c r="Y877">
        <v>7.0362565343951644</v>
      </c>
      <c r="Z877">
        <v>78.944567652674593</v>
      </c>
      <c r="AA877">
        <v>0.99029714978775019</v>
      </c>
      <c r="AB877">
        <v>72.099999999999994</v>
      </c>
      <c r="AC877">
        <v>2.190305027167327</v>
      </c>
      <c r="AD877">
        <v>1.6153665577629939</v>
      </c>
      <c r="AE877">
        <v>0.10027913602128888</v>
      </c>
      <c r="AF877">
        <v>2.717879215085553E-3</v>
      </c>
      <c r="AG877">
        <v>1.617566228204893</v>
      </c>
      <c r="AH877">
        <v>0.10097831191820909</v>
      </c>
      <c r="AI877">
        <v>5.4852055800368952E-4</v>
      </c>
    </row>
    <row r="878" spans="23:35" x14ac:dyDescent="0.25">
      <c r="W878">
        <v>876</v>
      </c>
      <c r="X878">
        <v>78.895890452568267</v>
      </c>
      <c r="Y878">
        <v>4.1041095474317331</v>
      </c>
      <c r="Z878">
        <v>78.883928244982783</v>
      </c>
      <c r="AA878">
        <v>0.97877501516070342</v>
      </c>
      <c r="AB878">
        <v>72.099999999999994</v>
      </c>
      <c r="AC878">
        <v>1.9368862628682144</v>
      </c>
      <c r="AD878">
        <v>0.94221142732780139</v>
      </c>
      <c r="AE878">
        <v>0.1008813666656329</v>
      </c>
      <c r="AF878">
        <v>2.9062193998190171E-3</v>
      </c>
      <c r="AG878">
        <v>0.94358355539650218</v>
      </c>
      <c r="AH878">
        <v>0.10142352380287928</v>
      </c>
      <c r="AI878">
        <v>1.9962262619592101E-4</v>
      </c>
    </row>
    <row r="879" spans="23:35" x14ac:dyDescent="0.25">
      <c r="W879">
        <v>877</v>
      </c>
      <c r="X879">
        <v>89.089089469885977</v>
      </c>
      <c r="Y879">
        <v>-9.0890894698859768</v>
      </c>
      <c r="Z879">
        <v>89.705467115302497</v>
      </c>
      <c r="AA879">
        <v>0.92722862340812617</v>
      </c>
      <c r="AB879">
        <v>72.2</v>
      </c>
      <c r="AC879">
        <v>1.4191611772342045</v>
      </c>
      <c r="AD879">
        <v>-2.0866509199030596</v>
      </c>
      <c r="AE879">
        <v>0.10133349771487118</v>
      </c>
      <c r="AF879">
        <v>6.350829260393745E-2</v>
      </c>
      <c r="AG879">
        <v>-2.1562436482550265</v>
      </c>
      <c r="AH879">
        <v>0.10171243087008149</v>
      </c>
      <c r="AI879">
        <v>2.4253745431436539E-2</v>
      </c>
    </row>
    <row r="880" spans="23:35" x14ac:dyDescent="0.25">
      <c r="W880">
        <v>878</v>
      </c>
      <c r="X880">
        <v>77.262567056922052</v>
      </c>
      <c r="Y880">
        <v>2.4374329430779511</v>
      </c>
      <c r="Z880">
        <v>77.252739893029485</v>
      </c>
      <c r="AA880">
        <v>0.9151000606428138</v>
      </c>
      <c r="AB880">
        <v>72.2</v>
      </c>
      <c r="AC880">
        <v>1.3555018111021329</v>
      </c>
      <c r="AD880">
        <v>0.55957989078299109</v>
      </c>
      <c r="AE880">
        <v>0.10147989846174636</v>
      </c>
      <c r="AF880">
        <v>4.0155780191007068E-3</v>
      </c>
      <c r="AG880">
        <v>0.56070680418217089</v>
      </c>
      <c r="AH880">
        <v>0.10178352986246449</v>
      </c>
      <c r="AI880">
        <v>9.7504312132504963E-5</v>
      </c>
    </row>
    <row r="881" spans="23:35" x14ac:dyDescent="0.25">
      <c r="W881">
        <v>879</v>
      </c>
      <c r="X881">
        <v>86.488114959434682</v>
      </c>
      <c r="Y881">
        <v>-7.0881149594346766</v>
      </c>
      <c r="Z881">
        <v>86.759481713906467</v>
      </c>
      <c r="AA881">
        <v>0.90661006670709521</v>
      </c>
      <c r="AB881">
        <v>72.2</v>
      </c>
      <c r="AC881">
        <v>1.2933897637306977</v>
      </c>
      <c r="AD881">
        <v>-1.62727208808833</v>
      </c>
      <c r="AE881">
        <v>0.10288856547659293</v>
      </c>
      <c r="AF881">
        <v>3.6873079521213416E-2</v>
      </c>
      <c r="AG881">
        <v>-1.6581293787731184</v>
      </c>
      <c r="AH881">
        <v>0.10370709851300393</v>
      </c>
      <c r="AI881">
        <v>8.0969109712875995E-3</v>
      </c>
    </row>
    <row r="882" spans="23:35" x14ac:dyDescent="0.25">
      <c r="W882">
        <v>880</v>
      </c>
      <c r="X882">
        <v>78.017653065692414</v>
      </c>
      <c r="Y882">
        <v>0.78234693430758284</v>
      </c>
      <c r="Z882">
        <v>78.015053631154458</v>
      </c>
      <c r="AA882">
        <v>0.88174651303820495</v>
      </c>
      <c r="AB882">
        <v>72.2</v>
      </c>
      <c r="AC882">
        <v>1.1700898139672218</v>
      </c>
      <c r="AD882">
        <v>0.17960929481055443</v>
      </c>
      <c r="AE882">
        <v>0.10327706087260183</v>
      </c>
      <c r="AF882">
        <v>3.3116078258730976E-3</v>
      </c>
      <c r="AG882">
        <v>0.17990743327664929</v>
      </c>
      <c r="AH882">
        <v>0.10386508437444997</v>
      </c>
      <c r="AI882">
        <v>8.2724540348562782E-6</v>
      </c>
    </row>
    <row r="883" spans="23:35" x14ac:dyDescent="0.25">
      <c r="W883">
        <v>881</v>
      </c>
      <c r="X883">
        <v>84.77481712645141</v>
      </c>
      <c r="Y883">
        <v>-6.074817126451407</v>
      </c>
      <c r="Z883">
        <v>84.932046025000488</v>
      </c>
      <c r="AA883">
        <v>0.87871437234687688</v>
      </c>
      <c r="AB883">
        <v>72.2</v>
      </c>
      <c r="AC883">
        <v>1.1521925343545227</v>
      </c>
      <c r="AD883">
        <v>-1.3946416510862789</v>
      </c>
      <c r="AE883">
        <v>0.10449072522345922</v>
      </c>
      <c r="AF883">
        <v>2.5229097782387792E-2</v>
      </c>
      <c r="AG883">
        <v>-1.4125744705635752</v>
      </c>
      <c r="AH883">
        <v>0.1046152638429366</v>
      </c>
      <c r="AI883">
        <v>3.9726336507753656E-3</v>
      </c>
    </row>
    <row r="884" spans="23:35" x14ac:dyDescent="0.25">
      <c r="W884">
        <v>882</v>
      </c>
      <c r="X884">
        <v>83.518238516918217</v>
      </c>
      <c r="Y884">
        <v>-4.9182385169182226</v>
      </c>
      <c r="Z884">
        <v>83.610110375020781</v>
      </c>
      <c r="AA884">
        <v>0.8750758035172832</v>
      </c>
      <c r="AB884">
        <v>72.2</v>
      </c>
      <c r="AC884">
        <v>1.1404631659072275</v>
      </c>
      <c r="AD884">
        <v>-1.1291171640055178</v>
      </c>
      <c r="AE884">
        <v>0.10468427704145024</v>
      </c>
      <c r="AF884">
        <v>1.8337292240230819E-2</v>
      </c>
      <c r="AG884">
        <v>-1.139614228162906</v>
      </c>
      <c r="AH884">
        <v>0.1049429144057369</v>
      </c>
      <c r="AI884">
        <v>1.8661445753226996E-3</v>
      </c>
    </row>
    <row r="885" spans="23:35" x14ac:dyDescent="0.25">
      <c r="W885">
        <v>883</v>
      </c>
      <c r="X885">
        <v>77.325067838459148</v>
      </c>
      <c r="Y885">
        <v>0.97493216154084905</v>
      </c>
      <c r="Z885">
        <v>77.320767487577513</v>
      </c>
      <c r="AA885">
        <v>0.86901152213462707</v>
      </c>
      <c r="AB885">
        <v>72.2</v>
      </c>
      <c r="AC885">
        <v>1.1118051137279645</v>
      </c>
      <c r="AD885">
        <v>0.2238225400313737</v>
      </c>
      <c r="AE885">
        <v>0.10499567872697008</v>
      </c>
      <c r="AF885">
        <v>4.3915523913714274E-3</v>
      </c>
      <c r="AG885">
        <v>0.2243156289016956</v>
      </c>
      <c r="AH885">
        <v>0.10523541063994424</v>
      </c>
      <c r="AI885">
        <v>1.70728179798067E-5</v>
      </c>
    </row>
    <row r="886" spans="23:35" x14ac:dyDescent="0.25">
      <c r="W886">
        <v>884</v>
      </c>
      <c r="X886">
        <v>81.477606979793251</v>
      </c>
      <c r="Y886">
        <v>-3.4776069797932507</v>
      </c>
      <c r="Z886">
        <v>81.511208806882365</v>
      </c>
      <c r="AA886">
        <v>0.86294724075197093</v>
      </c>
      <c r="AB886">
        <v>72.2</v>
      </c>
      <c r="AC886">
        <v>1.0491313979639725</v>
      </c>
      <c r="AD886">
        <v>-0.79838050087297929</v>
      </c>
      <c r="AE886">
        <v>0.10761462044944364</v>
      </c>
      <c r="AF886">
        <v>9.5698743473326096E-3</v>
      </c>
      <c r="AG886">
        <v>-0.80222834105129459</v>
      </c>
      <c r="AH886">
        <v>0.10819447806584073</v>
      </c>
      <c r="AI886">
        <v>4.7833817559931983E-4</v>
      </c>
    </row>
    <row r="887" spans="23:35" x14ac:dyDescent="0.25">
      <c r="W887">
        <v>885</v>
      </c>
      <c r="X887">
        <v>81.440467467133942</v>
      </c>
      <c r="Y887">
        <v>-3.640467467133945</v>
      </c>
      <c r="Z887">
        <v>81.477217550823369</v>
      </c>
      <c r="AA887">
        <v>0.85203153426318978</v>
      </c>
      <c r="AB887">
        <v>72.2</v>
      </c>
      <c r="AC887">
        <v>1.0386467129748296</v>
      </c>
      <c r="AD887">
        <v>-0.83576961304436415</v>
      </c>
      <c r="AE887">
        <v>0.10792199449841802</v>
      </c>
      <c r="AF887">
        <v>9.9939922459036067E-3</v>
      </c>
      <c r="AG887">
        <v>-0.83997751728206682</v>
      </c>
      <c r="AH887">
        <v>0.10820337804985178</v>
      </c>
      <c r="AI887">
        <v>5.4788971720214964E-4</v>
      </c>
    </row>
    <row r="888" spans="23:35" x14ac:dyDescent="0.25">
      <c r="W888">
        <v>886</v>
      </c>
      <c r="X888">
        <v>63.900852743825574</v>
      </c>
      <c r="Y888">
        <v>1.1991472561744203</v>
      </c>
      <c r="Z888">
        <v>63.895959205985903</v>
      </c>
      <c r="AA888">
        <v>0.27713765918738631</v>
      </c>
      <c r="AB888">
        <v>72.2</v>
      </c>
      <c r="AC888">
        <v>-0.60317578841021124</v>
      </c>
      <c r="AD888">
        <v>0.27529729281309123</v>
      </c>
      <c r="AE888">
        <v>0.10816460063158684</v>
      </c>
      <c r="AF888">
        <v>4.0642624934298655E-3</v>
      </c>
      <c r="AG888">
        <v>0.27585844412412958</v>
      </c>
      <c r="AH888">
        <v>0.10839194790534078</v>
      </c>
      <c r="AI888">
        <v>2.3887992021449653E-5</v>
      </c>
    </row>
    <row r="889" spans="23:35" x14ac:dyDescent="0.25">
      <c r="W889">
        <v>887</v>
      </c>
      <c r="X889">
        <v>65.10380966324972</v>
      </c>
      <c r="Y889">
        <v>-0.40380966324971723</v>
      </c>
      <c r="Z889">
        <v>65.1045427413883</v>
      </c>
      <c r="AA889">
        <v>0.26197695573074592</v>
      </c>
      <c r="AB889">
        <v>72.2</v>
      </c>
      <c r="AC889">
        <v>-0.64941472986293491</v>
      </c>
      <c r="AD889">
        <v>-9.2705634384776039E-2</v>
      </c>
      <c r="AE889">
        <v>0.10900836960047723</v>
      </c>
      <c r="AF889">
        <v>1.81211541717469E-3</v>
      </c>
      <c r="AG889">
        <v>-9.2789745370828972E-2</v>
      </c>
      <c r="AH889">
        <v>0.10937503184014243</v>
      </c>
      <c r="AI889">
        <v>1.2023479701787018E-6</v>
      </c>
    </row>
    <row r="890" spans="23:35" x14ac:dyDescent="0.25">
      <c r="W890">
        <v>888</v>
      </c>
      <c r="X890">
        <v>63.602585407862733</v>
      </c>
      <c r="Y890">
        <v>0.69741459213726387</v>
      </c>
      <c r="Z890">
        <v>63.593384404152793</v>
      </c>
      <c r="AA890">
        <v>0.2498483929654336</v>
      </c>
      <c r="AB890">
        <v>72.2</v>
      </c>
      <c r="AC890">
        <v>-0.68742774275107121</v>
      </c>
      <c r="AD890">
        <v>0.16011073552071606</v>
      </c>
      <c r="AE890">
        <v>0.10934044522371589</v>
      </c>
      <c r="AF890">
        <v>1.3021229313383635E-2</v>
      </c>
      <c r="AG890">
        <v>0.16116344674663041</v>
      </c>
      <c r="AH890">
        <v>0.10986678578327955</v>
      </c>
      <c r="AI890">
        <v>2.6359302699552289E-5</v>
      </c>
    </row>
    <row r="891" spans="23:35" x14ac:dyDescent="0.25">
      <c r="W891">
        <v>889</v>
      </c>
      <c r="X891">
        <v>64.926402130749736</v>
      </c>
      <c r="Y891">
        <v>-1.1264021307497387</v>
      </c>
      <c r="Z891">
        <v>64.928463935340673</v>
      </c>
      <c r="AA891">
        <v>0.23650697392359005</v>
      </c>
      <c r="AB891">
        <v>72.2</v>
      </c>
      <c r="AC891">
        <v>-0.72448350403832318</v>
      </c>
      <c r="AD891">
        <v>-0.25859664492214474</v>
      </c>
      <c r="AE891">
        <v>0.11003696179465287</v>
      </c>
      <c r="AF891">
        <v>1.8270894854146437E-3</v>
      </c>
      <c r="AG891">
        <v>-0.25883320874445148</v>
      </c>
      <c r="AH891">
        <v>0.11081054502326487</v>
      </c>
      <c r="AI891">
        <v>9.433018350102375E-6</v>
      </c>
    </row>
    <row r="892" spans="23:35" x14ac:dyDescent="0.25">
      <c r="W892">
        <v>890</v>
      </c>
      <c r="X892">
        <v>62.066957039702942</v>
      </c>
      <c r="Y892">
        <v>1.2330429602970554</v>
      </c>
      <c r="Z892">
        <v>62.052907162628081</v>
      </c>
      <c r="AA892">
        <v>0.22741055184960582</v>
      </c>
      <c r="AB892">
        <v>72.3</v>
      </c>
      <c r="AC892">
        <v>-0.75647701124006039</v>
      </c>
      <c r="AD892">
        <v>0.2830789856243015</v>
      </c>
      <c r="AE892">
        <v>0.11089089593012463</v>
      </c>
      <c r="AF892">
        <v>1.1266103576113597E-2</v>
      </c>
      <c r="AG892">
        <v>0.28468718565142359</v>
      </c>
      <c r="AH892">
        <v>0.11099056346612388</v>
      </c>
      <c r="AI892">
        <v>7.1037358239129026E-5</v>
      </c>
    </row>
    <row r="893" spans="23:35" x14ac:dyDescent="0.25">
      <c r="W893">
        <v>891</v>
      </c>
      <c r="X893">
        <v>64.921181661390108</v>
      </c>
      <c r="Y893">
        <v>-2.1211816613901107</v>
      </c>
      <c r="Z893">
        <v>64.924880908713789</v>
      </c>
      <c r="AA893">
        <v>0.21467556094602788</v>
      </c>
      <c r="AB893">
        <v>72.3</v>
      </c>
      <c r="AC893">
        <v>-0.79968509868701798</v>
      </c>
      <c r="AD893">
        <v>-0.4869756953857669</v>
      </c>
      <c r="AE893">
        <v>0.11142602408021494</v>
      </c>
      <c r="AF893">
        <v>1.7409198362660452E-3</v>
      </c>
      <c r="AG893">
        <v>-0.48740014248645891</v>
      </c>
      <c r="AH893">
        <v>0.11151033174607405</v>
      </c>
      <c r="AI893">
        <v>3.1868634535652728E-5</v>
      </c>
    </row>
    <row r="894" spans="23:35" x14ac:dyDescent="0.25">
      <c r="W894">
        <v>892</v>
      </c>
      <c r="X894">
        <v>64.657931256778284</v>
      </c>
      <c r="Y894">
        <v>-2.3579312567782864</v>
      </c>
      <c r="Z894">
        <v>64.662278244604053</v>
      </c>
      <c r="AA894">
        <v>0.20557913887204365</v>
      </c>
      <c r="AB894">
        <v>72.3</v>
      </c>
      <c r="AC894">
        <v>-0.82505741806651978</v>
      </c>
      <c r="AD894">
        <v>-0.54132808817936662</v>
      </c>
      <c r="AE894">
        <v>0.11395947523836181</v>
      </c>
      <c r="AF894">
        <v>1.8401675736948772E-3</v>
      </c>
      <c r="AG894">
        <v>-0.54182684382779744</v>
      </c>
      <c r="AH894">
        <v>0.11418416650033487</v>
      </c>
      <c r="AI894">
        <v>4.163273740292143E-5</v>
      </c>
    </row>
    <row r="895" spans="23:35" x14ac:dyDescent="0.25">
      <c r="W895">
        <v>893</v>
      </c>
      <c r="X895">
        <v>64.78355693099391</v>
      </c>
      <c r="Y895">
        <v>-2.8835569309939117</v>
      </c>
      <c r="Z895">
        <v>64.788954376280998</v>
      </c>
      <c r="AA895">
        <v>0.19466343238326259</v>
      </c>
      <c r="AB895">
        <v>72.3</v>
      </c>
      <c r="AC895">
        <v>-0.86414620345364646</v>
      </c>
      <c r="AD895">
        <v>-0.66199994428339293</v>
      </c>
      <c r="AE895">
        <v>0.11507085793554099</v>
      </c>
      <c r="AF895">
        <v>1.8683040934806038E-3</v>
      </c>
      <c r="AG895">
        <v>-0.66261922076910984</v>
      </c>
      <c r="AH895">
        <v>0.11522215240399421</v>
      </c>
      <c r="AI895">
        <v>6.3218534635277513E-5</v>
      </c>
    </row>
    <row r="896" spans="23:35" x14ac:dyDescent="0.25">
      <c r="W896">
        <v>894</v>
      </c>
      <c r="X896">
        <v>64.697952298381878</v>
      </c>
      <c r="Y896">
        <v>-3.2979522983818796</v>
      </c>
      <c r="Z896">
        <v>64.7042047903888</v>
      </c>
      <c r="AA896">
        <v>0.18617343844754397</v>
      </c>
      <c r="AB896">
        <v>72.3</v>
      </c>
      <c r="AC896">
        <v>-0.90460220385671419</v>
      </c>
      <c r="AD896">
        <v>-0.75713581872148628</v>
      </c>
      <c r="AE896">
        <v>0.11532741218809216</v>
      </c>
      <c r="AF896">
        <v>1.8922834399105947E-3</v>
      </c>
      <c r="AG896">
        <v>-0.7578531947770718</v>
      </c>
      <c r="AH896">
        <v>0.11569099419640638</v>
      </c>
      <c r="AI896">
        <v>8.3759792865818026E-5</v>
      </c>
    </row>
    <row r="897" spans="23:35" x14ac:dyDescent="0.25">
      <c r="W897">
        <v>895</v>
      </c>
      <c r="X897">
        <v>62.781948354429403</v>
      </c>
      <c r="Y897">
        <v>6.218051645570597</v>
      </c>
      <c r="Z897">
        <v>62.701570678126501</v>
      </c>
      <c r="AA897">
        <v>0.42086112795633718</v>
      </c>
      <c r="AB897">
        <v>72.3</v>
      </c>
      <c r="AC897">
        <v>-0.21444491222324932</v>
      </c>
      <c r="AD897">
        <v>1.4275250814972329</v>
      </c>
      <c r="AE897">
        <v>0.11552543695297481</v>
      </c>
      <c r="AF897">
        <v>1.2761542949091209E-2</v>
      </c>
      <c r="AG897">
        <v>1.436721911333269</v>
      </c>
      <c r="AH897">
        <v>0.11576589866216412</v>
      </c>
      <c r="AI897">
        <v>2.0525001613809638E-3</v>
      </c>
    </row>
    <row r="898" spans="23:35" x14ac:dyDescent="0.25">
      <c r="W898">
        <v>896</v>
      </c>
      <c r="X898">
        <v>64.153440061703336</v>
      </c>
      <c r="Y898">
        <v>-0.15344006170333557</v>
      </c>
      <c r="Z898">
        <v>64.154675755099248</v>
      </c>
      <c r="AA898">
        <v>0.24075197089144937</v>
      </c>
      <c r="AB898">
        <v>72.3</v>
      </c>
      <c r="AC898">
        <v>-0.7126762947196924</v>
      </c>
      <c r="AD898">
        <v>-3.5226393904918184E-2</v>
      </c>
      <c r="AE898">
        <v>0.11553856774491011</v>
      </c>
      <c r="AF898">
        <v>7.9889275156366062E-3</v>
      </c>
      <c r="AG898">
        <v>-3.5367953205873645E-2</v>
      </c>
      <c r="AH898">
        <v>0.1161040508550063</v>
      </c>
      <c r="AI898">
        <v>7.7490500052769593E-7</v>
      </c>
    </row>
    <row r="899" spans="23:35" x14ac:dyDescent="0.25">
      <c r="W899">
        <v>897</v>
      </c>
      <c r="X899">
        <v>63.51133203248434</v>
      </c>
      <c r="Y899">
        <v>-3.6113320324843414</v>
      </c>
      <c r="Z899">
        <v>63.596564891913367</v>
      </c>
      <c r="AA899">
        <v>0.17404487568223165</v>
      </c>
      <c r="AB899">
        <v>72.3</v>
      </c>
      <c r="AC899">
        <v>-0.94897780985887348</v>
      </c>
      <c r="AD899">
        <v>-0.82908077125060708</v>
      </c>
      <c r="AE899">
        <v>0.11650233583829507</v>
      </c>
      <c r="AF899">
        <v>2.3057314539636428E-2</v>
      </c>
      <c r="AG899">
        <v>-0.83880749030178492</v>
      </c>
      <c r="AH899">
        <v>0.11678018739112196</v>
      </c>
      <c r="AI899">
        <v>1.2773822763861042E-3</v>
      </c>
    </row>
    <row r="900" spans="23:35" x14ac:dyDescent="0.25">
      <c r="W900">
        <v>898</v>
      </c>
      <c r="X900">
        <v>63.310303465331636</v>
      </c>
      <c r="Y900">
        <v>-4.0103034653316385</v>
      </c>
      <c r="Z900">
        <v>63.320832913802164</v>
      </c>
      <c r="AA900">
        <v>0.16070345664038813</v>
      </c>
      <c r="AB900">
        <v>72.3</v>
      </c>
      <c r="AC900">
        <v>-1.0028172174115717</v>
      </c>
      <c r="AD900">
        <v>-0.92067565653852779</v>
      </c>
      <c r="AE900">
        <v>0.11735562311209791</v>
      </c>
      <c r="AF900">
        <v>2.6187232089112545E-3</v>
      </c>
      <c r="AG900">
        <v>-0.92188352671999496</v>
      </c>
      <c r="AH900">
        <v>0.11799951755331699</v>
      </c>
      <c r="AI900">
        <v>1.7164736579027958E-4</v>
      </c>
    </row>
    <row r="901" spans="23:35" x14ac:dyDescent="0.25">
      <c r="W901">
        <v>899</v>
      </c>
      <c r="X901">
        <v>63.267054466817612</v>
      </c>
      <c r="Y901">
        <v>-5.6670544668176106</v>
      </c>
      <c r="Z901">
        <v>63.303994356159258</v>
      </c>
      <c r="AA901">
        <v>0.12431776834445118</v>
      </c>
      <c r="AB901">
        <v>72.3</v>
      </c>
      <c r="AC901">
        <v>-1.1700898139672218</v>
      </c>
      <c r="AD901">
        <v>-1.3010284974644504</v>
      </c>
      <c r="AE901">
        <v>0.1232378241682109</v>
      </c>
      <c r="AF901">
        <v>6.4761440904582005E-3</v>
      </c>
      <c r="AG901">
        <v>-1.30526189467286</v>
      </c>
      <c r="AH901">
        <v>0.1235630839909635</v>
      </c>
      <c r="AI901">
        <v>8.5426019444680699E-4</v>
      </c>
    </row>
    <row r="902" spans="23:35" x14ac:dyDescent="0.25">
      <c r="W902">
        <v>900</v>
      </c>
      <c r="X902">
        <v>60.857298142554328</v>
      </c>
      <c r="Y902">
        <v>-4.1572981425543247</v>
      </c>
      <c r="Z902">
        <v>60.874531336205088</v>
      </c>
      <c r="AA902">
        <v>0.10491206791995149</v>
      </c>
      <c r="AB902">
        <v>72.3</v>
      </c>
      <c r="AC902">
        <v>-1.2726185683477402</v>
      </c>
      <c r="AD902">
        <v>-0.95442233484594463</v>
      </c>
      <c r="AE902">
        <v>0.12404307343505469</v>
      </c>
      <c r="AF902">
        <v>4.128174461478039E-3</v>
      </c>
      <c r="AG902">
        <v>-0.95639846627065328</v>
      </c>
      <c r="AH902">
        <v>0.12430265356596963</v>
      </c>
      <c r="AI902">
        <v>2.9166813634194438E-4</v>
      </c>
    </row>
    <row r="903" spans="23:35" x14ac:dyDescent="0.25">
      <c r="W903">
        <v>901</v>
      </c>
      <c r="X903">
        <v>61.470602496623606</v>
      </c>
      <c r="Y903">
        <v>-6.1706024966236086</v>
      </c>
      <c r="Z903">
        <v>61.52708769603349</v>
      </c>
      <c r="AA903">
        <v>8.6719223771983017E-2</v>
      </c>
      <c r="AB903">
        <v>72.400000000000006</v>
      </c>
      <c r="AC903">
        <v>-1.3946242806491973</v>
      </c>
      <c r="AD903">
        <v>-1.4166318219879179</v>
      </c>
      <c r="AE903">
        <v>0.12567323871921429</v>
      </c>
      <c r="AF903">
        <v>9.0708854872668231E-3</v>
      </c>
      <c r="AG903">
        <v>-1.4231009182483534</v>
      </c>
      <c r="AH903">
        <v>0.12583071912070376</v>
      </c>
      <c r="AI903">
        <v>1.4260512747738755E-3</v>
      </c>
    </row>
    <row r="904" spans="23:35" x14ac:dyDescent="0.25">
      <c r="W904">
        <v>902</v>
      </c>
      <c r="X904">
        <v>59.340415569352331</v>
      </c>
      <c r="Y904">
        <v>-5.2404155693523293</v>
      </c>
      <c r="Z904">
        <v>59.381754745180785</v>
      </c>
      <c r="AA904">
        <v>7.1558520315342627E-2</v>
      </c>
      <c r="AB904">
        <v>72.400000000000006</v>
      </c>
      <c r="AC904">
        <v>-1.4754749432056431</v>
      </c>
      <c r="AD904">
        <v>-1.2030817833505751</v>
      </c>
      <c r="AE904">
        <v>0.1267223693834138</v>
      </c>
      <c r="AF904">
        <v>7.8267882215043525E-3</v>
      </c>
      <c r="AG904">
        <v>-1.207817735189016</v>
      </c>
      <c r="AH904">
        <v>0.12689823177194409</v>
      </c>
      <c r="AI904">
        <v>8.8522880663741079E-4</v>
      </c>
    </row>
    <row r="905" spans="23:35" x14ac:dyDescent="0.25">
      <c r="W905">
        <v>903</v>
      </c>
      <c r="X905">
        <v>55.992328272954801</v>
      </c>
      <c r="Y905">
        <v>-3.0923282729548021</v>
      </c>
      <c r="Z905">
        <v>56.30462179836028</v>
      </c>
      <c r="AA905">
        <v>5.7610673135233471E-2</v>
      </c>
      <c r="AB905">
        <v>72.400000000000006</v>
      </c>
      <c r="AC905">
        <v>-1.5777854040319945</v>
      </c>
      <c r="AD905">
        <v>-0.70992915811668489</v>
      </c>
      <c r="AE905">
        <v>0.12893824362756592</v>
      </c>
      <c r="AF905">
        <v>9.1726348446657169E-2</v>
      </c>
      <c r="AG905">
        <v>-0.74491489091312679</v>
      </c>
      <c r="AH905">
        <v>0.12941831148642197</v>
      </c>
      <c r="AI905">
        <v>4.3106955260084614E-3</v>
      </c>
    </row>
    <row r="906" spans="23:35" x14ac:dyDescent="0.25">
      <c r="W906">
        <v>904</v>
      </c>
      <c r="X906">
        <v>54.516907152373506</v>
      </c>
      <c r="Y906">
        <v>-3.0169071523735056</v>
      </c>
      <c r="Z906">
        <v>54.540732555631671</v>
      </c>
      <c r="AA906">
        <v>4.1843541540327468E-2</v>
      </c>
      <c r="AB906">
        <v>72.400000000000006</v>
      </c>
      <c r="AC906">
        <v>-1.7330844772440359</v>
      </c>
      <c r="AD906">
        <v>-0.69261416180572266</v>
      </c>
      <c r="AE906">
        <v>0.13027544599803378</v>
      </c>
      <c r="AF906">
        <v>7.8354155856426074E-3</v>
      </c>
      <c r="AG906">
        <v>-0.69534367235664352</v>
      </c>
      <c r="AH906">
        <v>0.13096135282677884</v>
      </c>
      <c r="AI906">
        <v>2.9372030934965145E-4</v>
      </c>
    </row>
    <row r="907" spans="23:35" x14ac:dyDescent="0.25">
      <c r="W907">
        <v>905</v>
      </c>
      <c r="X907">
        <v>52.999138289065883</v>
      </c>
      <c r="Y907">
        <v>-2.9991382890658826</v>
      </c>
      <c r="Z907">
        <v>53.023761897113125</v>
      </c>
      <c r="AA907">
        <v>3.5779260157671314E-2</v>
      </c>
      <c r="AB907">
        <v>72.400000000000006</v>
      </c>
      <c r="AC907">
        <v>-1.8215296776288319</v>
      </c>
      <c r="AD907">
        <v>-0.68853482964716839</v>
      </c>
      <c r="AE907">
        <v>0.13143888100367107</v>
      </c>
      <c r="AF907">
        <v>8.143368719194681E-3</v>
      </c>
      <c r="AG907">
        <v>-0.69135556560260758</v>
      </c>
      <c r="AH907">
        <v>0.13153743386733058</v>
      </c>
      <c r="AI907">
        <v>3.0186639803283876E-4</v>
      </c>
    </row>
    <row r="908" spans="23:35" x14ac:dyDescent="0.25">
      <c r="W908">
        <v>906</v>
      </c>
      <c r="X908">
        <v>52.244879996818874</v>
      </c>
      <c r="Y908">
        <v>-3.7448799968188737</v>
      </c>
      <c r="Z908">
        <v>52.275247439779889</v>
      </c>
      <c r="AA908">
        <v>2.3650697392359005E-2</v>
      </c>
      <c r="AB908">
        <v>72.400000000000006</v>
      </c>
      <c r="AC908">
        <v>-1.9890565032593337</v>
      </c>
      <c r="AD908">
        <v>-0.85974038611666348</v>
      </c>
      <c r="AE908">
        <v>0.13302803216418035</v>
      </c>
      <c r="AF908">
        <v>8.0438285027454037E-3</v>
      </c>
      <c r="AG908">
        <v>-0.86321918952655363</v>
      </c>
      <c r="AH908">
        <v>0.13321586895119109</v>
      </c>
      <c r="AI908">
        <v>4.6480323185768514E-4</v>
      </c>
    </row>
    <row r="909" spans="23:35" x14ac:dyDescent="0.25">
      <c r="W909">
        <v>907</v>
      </c>
      <c r="X909">
        <v>51.357993922279242</v>
      </c>
      <c r="Y909">
        <v>-4.2579939222792405</v>
      </c>
      <c r="Z909">
        <v>51.400096862657932</v>
      </c>
      <c r="AA909">
        <v>1.758641600970285E-2</v>
      </c>
      <c r="AB909">
        <v>72.400000000000006</v>
      </c>
      <c r="AC909">
        <v>-2.1426564926871321</v>
      </c>
      <c r="AD909">
        <v>-0.97753982555714425</v>
      </c>
      <c r="AE909">
        <v>0.13320622520095943</v>
      </c>
      <c r="AF909">
        <v>9.7911609257718395E-3</v>
      </c>
      <c r="AG909">
        <v>-0.98236088226387142</v>
      </c>
      <c r="AH909">
        <v>0.13355077432843013</v>
      </c>
      <c r="AI909">
        <v>7.3401706784583518E-4</v>
      </c>
    </row>
    <row r="910" spans="23:35" x14ac:dyDescent="0.25">
      <c r="W910">
        <v>908</v>
      </c>
      <c r="X910">
        <v>50.024825903517154</v>
      </c>
      <c r="Y910">
        <v>-4.0248259035171543</v>
      </c>
      <c r="Z910">
        <v>50.064340121634928</v>
      </c>
      <c r="AA910">
        <v>1.2128562765312311E-2</v>
      </c>
      <c r="AB910">
        <v>72.400000000000006</v>
      </c>
      <c r="AC910">
        <v>-2.3261203997549518</v>
      </c>
      <c r="AD910">
        <v>-0.92400968236140513</v>
      </c>
      <c r="AE910">
        <v>0.13380885308231891</v>
      </c>
      <c r="AF910">
        <v>9.7221730798161144E-3</v>
      </c>
      <c r="AG910">
        <v>-0.92853439276497829</v>
      </c>
      <c r="AH910">
        <v>0.1339104392273282</v>
      </c>
      <c r="AI910">
        <v>6.5111684371144953E-4</v>
      </c>
    </row>
    <row r="911" spans="23:35" x14ac:dyDescent="0.25">
      <c r="W911">
        <v>909</v>
      </c>
      <c r="X911">
        <v>49.15736197794547</v>
      </c>
      <c r="Y911">
        <v>-4.0573619779454688</v>
      </c>
      <c r="Z911">
        <v>49.198695383098553</v>
      </c>
      <c r="AA911">
        <v>5.4578532443905394E-3</v>
      </c>
      <c r="AB911">
        <v>72.400000000000006</v>
      </c>
      <c r="AC911">
        <v>-2.5652792972685243</v>
      </c>
      <c r="AD911">
        <v>-0.93147923471434602</v>
      </c>
      <c r="AE911">
        <v>0.1344168434996407</v>
      </c>
      <c r="AF911">
        <v>1.0084527218959468E-2</v>
      </c>
      <c r="AG911">
        <v>-0.93621182323431207</v>
      </c>
      <c r="AH911">
        <v>0.13472482947977016</v>
      </c>
      <c r="AI911">
        <v>6.8685066108639648E-4</v>
      </c>
    </row>
    <row r="912" spans="23:35" x14ac:dyDescent="0.25">
      <c r="W912">
        <v>910</v>
      </c>
      <c r="X912">
        <v>47.979858618676452</v>
      </c>
      <c r="Y912">
        <v>-3.379858618676451</v>
      </c>
      <c r="Z912">
        <v>48.013653874425394</v>
      </c>
      <c r="AA912">
        <v>3.6385688295936932E-3</v>
      </c>
      <c r="AB912">
        <v>72.5</v>
      </c>
      <c r="AC912">
        <v>-2.7786903070508315</v>
      </c>
      <c r="AD912">
        <v>-0.77593967131363006</v>
      </c>
      <c r="AE912">
        <v>0.1345959464998196</v>
      </c>
      <c r="AF912">
        <v>9.9000241360526417E-3</v>
      </c>
      <c r="AG912">
        <v>-0.77980933821983156</v>
      </c>
      <c r="AH912">
        <v>0.13474872113162067</v>
      </c>
      <c r="AI912">
        <v>4.6772514068547808E-4</v>
      </c>
    </row>
    <row r="913" spans="23:35" x14ac:dyDescent="0.25">
      <c r="W913">
        <v>911</v>
      </c>
      <c r="X913">
        <v>47.391138863645637</v>
      </c>
      <c r="Y913">
        <v>-3.3911388636456365</v>
      </c>
      <c r="Z913">
        <v>47.426845983630855</v>
      </c>
      <c r="AA913">
        <v>6.0642813826561554E-4</v>
      </c>
      <c r="AB913">
        <v>72.5</v>
      </c>
      <c r="AC913">
        <v>-3.4287229888501014</v>
      </c>
      <c r="AD913">
        <v>-0.77852936235140335</v>
      </c>
      <c r="AE913">
        <v>0.13545966241491758</v>
      </c>
      <c r="AF913">
        <v>1.0419820486763017E-2</v>
      </c>
      <c r="AG913">
        <v>-0.78261740584669715</v>
      </c>
      <c r="AH913">
        <v>0.13555646709797306</v>
      </c>
      <c r="AI913">
        <v>4.9609505922544399E-4</v>
      </c>
    </row>
    <row r="914" spans="23:35" x14ac:dyDescent="0.25">
      <c r="W914">
        <v>912</v>
      </c>
      <c r="X914">
        <v>74.259689887840352</v>
      </c>
      <c r="Y914">
        <v>0.54031011215964497</v>
      </c>
      <c r="Z914">
        <v>74.257426149647245</v>
      </c>
      <c r="AA914">
        <v>0.74166161309884782</v>
      </c>
      <c r="AB914">
        <v>72.5</v>
      </c>
      <c r="AC914">
        <v>0.63261352584071384</v>
      </c>
      <c r="AD914">
        <v>0.12404307343505469</v>
      </c>
      <c r="AE914">
        <v>0.13555546186160269</v>
      </c>
      <c r="AF914">
        <v>4.1722213328733793E-3</v>
      </c>
      <c r="AG914">
        <v>0.12430265356596963</v>
      </c>
      <c r="AH914">
        <v>0.13580250324307133</v>
      </c>
      <c r="AI914">
        <v>4.9796698483945579E-6</v>
      </c>
    </row>
    <row r="915" spans="23:35" x14ac:dyDescent="0.25">
      <c r="W915">
        <v>913</v>
      </c>
      <c r="X915">
        <v>73.141697380304493</v>
      </c>
      <c r="Y915">
        <v>1.4583026196955018</v>
      </c>
      <c r="Z915">
        <v>73.136058185678763</v>
      </c>
      <c r="AA915">
        <v>0.73013947847180105</v>
      </c>
      <c r="AB915">
        <v>72.5</v>
      </c>
      <c r="AC915">
        <v>0.59589828697336056</v>
      </c>
      <c r="AD915">
        <v>0.33479354702873609</v>
      </c>
      <c r="AE915">
        <v>0.13587638202308097</v>
      </c>
      <c r="AF915">
        <v>3.8520619949252077E-3</v>
      </c>
      <c r="AG915">
        <v>0.33544023870127354</v>
      </c>
      <c r="AH915">
        <v>0.13600585935675458</v>
      </c>
      <c r="AI915">
        <v>3.3470052400270758E-5</v>
      </c>
    </row>
    <row r="916" spans="23:35" x14ac:dyDescent="0.25">
      <c r="W916">
        <v>914</v>
      </c>
      <c r="X916">
        <v>72.96981503466408</v>
      </c>
      <c r="Y916">
        <v>1.5301849653359199</v>
      </c>
      <c r="Z916">
        <v>72.963916776090571</v>
      </c>
      <c r="AA916">
        <v>0.72407519708914492</v>
      </c>
      <c r="AB916">
        <v>72.5</v>
      </c>
      <c r="AC916">
        <v>0.56531175535073552</v>
      </c>
      <c r="AD916">
        <v>0.35129612004799471</v>
      </c>
      <c r="AE916">
        <v>0.13601228027685078</v>
      </c>
      <c r="AF916">
        <v>3.8398040429733164E-3</v>
      </c>
      <c r="AG916">
        <v>0.35197252274387869</v>
      </c>
      <c r="AH916">
        <v>0.1364067565623118</v>
      </c>
      <c r="AI916">
        <v>3.6732801059178205E-5</v>
      </c>
    </row>
    <row r="917" spans="23:35" x14ac:dyDescent="0.25">
      <c r="W917">
        <v>915</v>
      </c>
      <c r="X917">
        <v>72.6002096612131</v>
      </c>
      <c r="Y917">
        <v>1.6997903387868973</v>
      </c>
      <c r="Z917">
        <v>72.593462835592945</v>
      </c>
      <c r="AA917">
        <v>0.7052759248029109</v>
      </c>
      <c r="AB917">
        <v>72.5</v>
      </c>
      <c r="AC917">
        <v>0.52824151828033117</v>
      </c>
      <c r="AD917">
        <v>0.39023370666814533</v>
      </c>
      <c r="AE917">
        <v>0.13647066545376449</v>
      </c>
      <c r="AF917">
        <v>3.953518130678544E-3</v>
      </c>
      <c r="AG917">
        <v>0.39100739954934138</v>
      </c>
      <c r="AH917">
        <v>0.13669264892597172</v>
      </c>
      <c r="AI917">
        <v>4.6679987282072913E-5</v>
      </c>
    </row>
    <row r="918" spans="23:35" x14ac:dyDescent="0.25">
      <c r="W918">
        <v>916</v>
      </c>
      <c r="X918">
        <v>72.406010864509383</v>
      </c>
      <c r="Y918">
        <v>1.6939891354906109</v>
      </c>
      <c r="Z918">
        <v>72.399470523270949</v>
      </c>
      <c r="AA918">
        <v>0.69254093389933291</v>
      </c>
      <c r="AB918">
        <v>72.5</v>
      </c>
      <c r="AC918">
        <v>0.48161589062349974</v>
      </c>
      <c r="AD918">
        <v>0.38890188061066761</v>
      </c>
      <c r="AE918">
        <v>0.14311098858719956</v>
      </c>
      <c r="AF918">
        <v>3.8460616695769933E-3</v>
      </c>
      <c r="AG918">
        <v>0.38965191512278258</v>
      </c>
      <c r="AH918">
        <v>0.14344190635014639</v>
      </c>
      <c r="AI918">
        <v>4.5092058865219632E-5</v>
      </c>
    </row>
    <row r="919" spans="23:35" x14ac:dyDescent="0.25">
      <c r="W919">
        <v>917</v>
      </c>
      <c r="X919">
        <v>72.867988013811512</v>
      </c>
      <c r="Y919">
        <v>1.1320119861884876</v>
      </c>
      <c r="Z919">
        <v>72.863604598381116</v>
      </c>
      <c r="AA919">
        <v>0.68465736810187994</v>
      </c>
      <c r="AB919">
        <v>72.5</v>
      </c>
      <c r="AC919">
        <v>0.4663087141536239</v>
      </c>
      <c r="AD919">
        <v>0.25988454180670867</v>
      </c>
      <c r="AE919">
        <v>0.1462344701956467</v>
      </c>
      <c r="AF919">
        <v>3.857297754062944E-3</v>
      </c>
      <c r="AG919">
        <v>0.26038722254674657</v>
      </c>
      <c r="AH919">
        <v>0.14640728049185808</v>
      </c>
      <c r="AI919">
        <v>2.0195638709222588E-5</v>
      </c>
    </row>
    <row r="920" spans="23:35" x14ac:dyDescent="0.25">
      <c r="W920">
        <v>918</v>
      </c>
      <c r="X920">
        <v>72.638840815033632</v>
      </c>
      <c r="Y920">
        <v>1.1611591849663654</v>
      </c>
      <c r="Z920">
        <v>72.634017107954861</v>
      </c>
      <c r="AA920">
        <v>0.66767738023044265</v>
      </c>
      <c r="AB920">
        <v>72.5</v>
      </c>
      <c r="AC920">
        <v>0.4143837514429769</v>
      </c>
      <c r="AD920">
        <v>0.2665760843802486</v>
      </c>
      <c r="AE920">
        <v>0.14627520786147499</v>
      </c>
      <c r="AF920">
        <v>4.1370307503442675E-3</v>
      </c>
      <c r="AG920">
        <v>0.26712921795029154</v>
      </c>
      <c r="AH920">
        <v>0.1464426180916914</v>
      </c>
      <c r="AI920">
        <v>2.2802822070633537E-5</v>
      </c>
    </row>
    <row r="921" spans="23:35" x14ac:dyDescent="0.25">
      <c r="W921">
        <v>919</v>
      </c>
      <c r="X921">
        <v>72.239316621789612</v>
      </c>
      <c r="Y921">
        <v>1.4606833782103905</v>
      </c>
      <c r="Z921">
        <v>72.23358521016371</v>
      </c>
      <c r="AA921">
        <v>0.66040024257125529</v>
      </c>
      <c r="AB921">
        <v>72.5</v>
      </c>
      <c r="AC921">
        <v>0.39787592189543292</v>
      </c>
      <c r="AD921">
        <v>0.33534011574297518</v>
      </c>
      <c r="AE921">
        <v>0.14628398758851965</v>
      </c>
      <c r="AF921">
        <v>3.9084518688919717E-3</v>
      </c>
      <c r="AG921">
        <v>0.3359973733676096</v>
      </c>
      <c r="AH921">
        <v>0.14652808892029318</v>
      </c>
      <c r="AI921">
        <v>3.4074847858244245E-5</v>
      </c>
    </row>
    <row r="922" spans="23:35" x14ac:dyDescent="0.25">
      <c r="W922">
        <v>920</v>
      </c>
      <c r="X922">
        <v>71.895248695873761</v>
      </c>
      <c r="Y922">
        <v>1.7047513041262334</v>
      </c>
      <c r="Z922">
        <v>71.888827305509622</v>
      </c>
      <c r="AA922">
        <v>0.65433596118859916</v>
      </c>
      <c r="AB922">
        <v>72.5</v>
      </c>
      <c r="AC922">
        <v>0.3716850598056044</v>
      </c>
      <c r="AD922">
        <v>0.39137263295149094</v>
      </c>
      <c r="AE922">
        <v>0.14631711718688339</v>
      </c>
      <c r="AF922">
        <v>3.7526255443506018E-3</v>
      </c>
      <c r="AG922">
        <v>0.39210904367601124</v>
      </c>
      <c r="AH922">
        <v>0.14652844738756735</v>
      </c>
      <c r="AI922">
        <v>4.4549045820682158E-5</v>
      </c>
    </row>
    <row r="923" spans="23:35" x14ac:dyDescent="0.25">
      <c r="W923">
        <v>921</v>
      </c>
      <c r="X923">
        <v>69.950836876098535</v>
      </c>
      <c r="Y923">
        <v>3.4491631239014708</v>
      </c>
      <c r="Z923">
        <v>69.928605906509873</v>
      </c>
      <c r="AA923">
        <v>0.63735597331716187</v>
      </c>
      <c r="AB923">
        <v>72.5</v>
      </c>
      <c r="AC923">
        <v>0.33286538375086522</v>
      </c>
      <c r="AD923">
        <v>0.79185043003818123</v>
      </c>
      <c r="AE923">
        <v>0.14721695664909951</v>
      </c>
      <c r="AF923">
        <v>6.4040466135347812E-3</v>
      </c>
      <c r="AG923">
        <v>0.79439819713661064</v>
      </c>
      <c r="AH923">
        <v>0.14772287261370728</v>
      </c>
      <c r="AI923">
        <v>3.1288001065302433E-4</v>
      </c>
    </row>
    <row r="924" spans="23:35" x14ac:dyDescent="0.25">
      <c r="W924">
        <v>922</v>
      </c>
      <c r="X924">
        <v>71.625628532537561</v>
      </c>
      <c r="Y924">
        <v>1.5743714674624414</v>
      </c>
      <c r="Z924">
        <v>71.619828740815436</v>
      </c>
      <c r="AA924">
        <v>0.62340812613705276</v>
      </c>
      <c r="AB924">
        <v>72.599999999999994</v>
      </c>
      <c r="AC924">
        <v>0.29295400660571058</v>
      </c>
      <c r="AD924">
        <v>0.36144034908381706</v>
      </c>
      <c r="AE924">
        <v>0.14763547146009587</v>
      </c>
      <c r="AF924">
        <v>3.6703564176408217E-3</v>
      </c>
      <c r="AG924">
        <v>0.36210548807016152</v>
      </c>
      <c r="AH924">
        <v>0.1479539716186429</v>
      </c>
      <c r="AI924">
        <v>3.7156264788641657E-5</v>
      </c>
    </row>
    <row r="925" spans="23:35" x14ac:dyDescent="0.25">
      <c r="W925">
        <v>923</v>
      </c>
      <c r="X925">
        <v>71.408002884394946</v>
      </c>
      <c r="Y925">
        <v>1.691997115605048</v>
      </c>
      <c r="Z925">
        <v>71.40181206347161</v>
      </c>
      <c r="AA925">
        <v>0.61491813220133418</v>
      </c>
      <c r="AB925">
        <v>72.599999999999994</v>
      </c>
      <c r="AC925">
        <v>0.27870266916975811</v>
      </c>
      <c r="AD925">
        <v>0.38844455755972318</v>
      </c>
      <c r="AE925">
        <v>0.14764988406258697</v>
      </c>
      <c r="AF925">
        <v>3.6455452250997895E-3</v>
      </c>
      <c r="AG925">
        <v>0.38915454547132894</v>
      </c>
      <c r="AH925">
        <v>0.14807985622268882</v>
      </c>
      <c r="AI925">
        <v>4.262353704947301E-5</v>
      </c>
    </row>
    <row r="926" spans="23:35" x14ac:dyDescent="0.25">
      <c r="W926">
        <v>924</v>
      </c>
      <c r="X926">
        <v>71.086802617760966</v>
      </c>
      <c r="Y926">
        <v>1.8131973822390393</v>
      </c>
      <c r="Z926">
        <v>71.079655640405591</v>
      </c>
      <c r="AA926">
        <v>0.58762886597938147</v>
      </c>
      <c r="AB926">
        <v>72.599999999999994</v>
      </c>
      <c r="AC926">
        <v>0.206674078513852</v>
      </c>
      <c r="AD926">
        <v>0.41626941820195057</v>
      </c>
      <c r="AE926">
        <v>0.14770617319134663</v>
      </c>
      <c r="AF926">
        <v>3.9261677702419747E-3</v>
      </c>
      <c r="AG926">
        <v>0.41708900415381656</v>
      </c>
      <c r="AH926">
        <v>0.14818876062580427</v>
      </c>
      <c r="AI926">
        <v>5.2746233317557284E-5</v>
      </c>
    </row>
    <row r="927" spans="23:35" x14ac:dyDescent="0.25">
      <c r="W927">
        <v>925</v>
      </c>
      <c r="X927">
        <v>71.104997192194801</v>
      </c>
      <c r="Y927">
        <v>1.5950028078052014</v>
      </c>
      <c r="Z927">
        <v>71.098643147824859</v>
      </c>
      <c r="AA927">
        <v>0.57246816252274102</v>
      </c>
      <c r="AB927">
        <v>72.599999999999994</v>
      </c>
      <c r="AC927">
        <v>0.16337348484333708</v>
      </c>
      <c r="AD927">
        <v>0.36617684171574549</v>
      </c>
      <c r="AE927">
        <v>0.14821568060447657</v>
      </c>
      <c r="AF927">
        <v>3.9679128117572973E-3</v>
      </c>
      <c r="AG927">
        <v>0.36690548973383741</v>
      </c>
      <c r="AH927">
        <v>0.14832646593124682</v>
      </c>
      <c r="AI927">
        <v>4.12528405907711E-5</v>
      </c>
    </row>
    <row r="928" spans="23:35" x14ac:dyDescent="0.25">
      <c r="W928">
        <v>926</v>
      </c>
      <c r="X928">
        <v>70.591170006257698</v>
      </c>
      <c r="Y928">
        <v>1.8088299937423074</v>
      </c>
      <c r="Z928">
        <v>70.583897310756853</v>
      </c>
      <c r="AA928">
        <v>0.55124317768344455</v>
      </c>
      <c r="AB928">
        <v>72.599999999999994</v>
      </c>
      <c r="AC928">
        <v>0.11578501997911882</v>
      </c>
      <c r="AD928">
        <v>0.41526676383767419</v>
      </c>
      <c r="AE928">
        <v>0.14864578302187278</v>
      </c>
      <c r="AF928">
        <v>4.0045618256744787E-3</v>
      </c>
      <c r="AG928">
        <v>0.41610075020268006</v>
      </c>
      <c r="AH928">
        <v>0.14948671521577431</v>
      </c>
      <c r="AI928">
        <v>5.354899186542803E-5</v>
      </c>
    </row>
    <row r="929" spans="23:35" x14ac:dyDescent="0.25">
      <c r="W929">
        <v>927</v>
      </c>
      <c r="X929">
        <v>72.170193844684206</v>
      </c>
      <c r="Y929">
        <v>6.0298061553157964</v>
      </c>
      <c r="Z929">
        <v>72.080037480214187</v>
      </c>
      <c r="AA929">
        <v>0.86658580958156461</v>
      </c>
      <c r="AB929">
        <v>72.599999999999994</v>
      </c>
      <c r="AC929">
        <v>1.1033838166983498</v>
      </c>
      <c r="AD929">
        <v>1.3843081424727885</v>
      </c>
      <c r="AE929">
        <v>0.14978159091280879</v>
      </c>
      <c r="AF929">
        <v>1.4731522321998657E-2</v>
      </c>
      <c r="AG929">
        <v>1.3946186839906907</v>
      </c>
      <c r="AH929">
        <v>0.15028066343703625</v>
      </c>
      <c r="AI929">
        <v>2.2369725041839861E-3</v>
      </c>
    </row>
    <row r="930" spans="23:35" x14ac:dyDescent="0.25">
      <c r="W930">
        <v>928</v>
      </c>
      <c r="X930">
        <v>71.411494684874611</v>
      </c>
      <c r="Y930">
        <v>6.4885053151253942</v>
      </c>
      <c r="Z930">
        <v>71.345686775692073</v>
      </c>
      <c r="AA930">
        <v>0.8526379624014554</v>
      </c>
      <c r="AB930">
        <v>72.599999999999994</v>
      </c>
      <c r="AC930">
        <v>1.0464994400123697</v>
      </c>
      <c r="AD930">
        <v>1.4896151731656513</v>
      </c>
      <c r="AE930">
        <v>0.15001377285721251</v>
      </c>
      <c r="AF930">
        <v>1.0040397358258948E-2</v>
      </c>
      <c r="AG930">
        <v>1.4971501254411288</v>
      </c>
      <c r="AH930">
        <v>0.1505435482906716</v>
      </c>
      <c r="AI930">
        <v>1.7487220164570199E-3</v>
      </c>
    </row>
    <row r="931" spans="23:35" x14ac:dyDescent="0.25">
      <c r="W931">
        <v>929</v>
      </c>
      <c r="X931">
        <v>70.794289847820693</v>
      </c>
      <c r="Y931">
        <v>6.8057101521793015</v>
      </c>
      <c r="Z931">
        <v>70.742547148339355</v>
      </c>
      <c r="AA931">
        <v>0.8483929654335961</v>
      </c>
      <c r="AB931">
        <v>72.599999999999994</v>
      </c>
      <c r="AC931">
        <v>1.0205681915260707</v>
      </c>
      <c r="AD931">
        <v>1.5624382834705099</v>
      </c>
      <c r="AE931">
        <v>0.15058173906544917</v>
      </c>
      <c r="AF931">
        <v>7.5454692289738615E-3</v>
      </c>
      <c r="AG931">
        <v>1.5683665181245658</v>
      </c>
      <c r="AH931">
        <v>0.15116714045848129</v>
      </c>
      <c r="AI931">
        <v>1.4385580973887832E-3</v>
      </c>
    </row>
    <row r="932" spans="23:35" x14ac:dyDescent="0.25">
      <c r="W932">
        <v>930</v>
      </c>
      <c r="X932">
        <v>70.113208287047499</v>
      </c>
      <c r="Y932">
        <v>7.1867917129524983</v>
      </c>
      <c r="Z932">
        <v>70.07126464167348</v>
      </c>
      <c r="AA932">
        <v>0.84414796846573681</v>
      </c>
      <c r="AB932">
        <v>72.599999999999994</v>
      </c>
      <c r="AC932">
        <v>1.0003070916314494</v>
      </c>
      <c r="AD932">
        <v>1.6499260557033715</v>
      </c>
      <c r="AE932">
        <v>0.15299227103789467</v>
      </c>
      <c r="AF932">
        <v>5.8023489994974472E-3</v>
      </c>
      <c r="AG932">
        <v>1.6547337110188971</v>
      </c>
      <c r="AH932">
        <v>0.15312860615459523</v>
      </c>
      <c r="AI932">
        <v>1.2292606836119724E-3</v>
      </c>
    </row>
    <row r="933" spans="23:35" x14ac:dyDescent="0.25">
      <c r="W933">
        <v>931</v>
      </c>
      <c r="X933">
        <v>69.224719059867027</v>
      </c>
      <c r="Y933">
        <v>7.4752809401329756</v>
      </c>
      <c r="Z933">
        <v>69.181462349200061</v>
      </c>
      <c r="AA933">
        <v>0.82534869617950268</v>
      </c>
      <c r="AB933">
        <v>72.599999999999994</v>
      </c>
      <c r="AC933">
        <v>0.93241539434320941</v>
      </c>
      <c r="AD933">
        <v>1.7161567065592946</v>
      </c>
      <c r="AE933">
        <v>0.15549746667460876</v>
      </c>
      <c r="AF933">
        <v>5.7533409654948013E-3</v>
      </c>
      <c r="AG933">
        <v>1.7211149289460286</v>
      </c>
      <c r="AH933">
        <v>0.15584804558035542</v>
      </c>
      <c r="AI933">
        <v>1.3185674893096018E-3</v>
      </c>
    </row>
    <row r="934" spans="23:35" x14ac:dyDescent="0.25">
      <c r="W934">
        <v>932</v>
      </c>
      <c r="X934">
        <v>69.391915944210339</v>
      </c>
      <c r="Y934">
        <v>6.9080840557896579</v>
      </c>
      <c r="Z934">
        <v>69.34301208358734</v>
      </c>
      <c r="AA934">
        <v>0.8168587022437841</v>
      </c>
      <c r="AB934">
        <v>72.7</v>
      </c>
      <c r="AC934">
        <v>0.89095501331493132</v>
      </c>
      <c r="AD934">
        <v>1.5859410337570352</v>
      </c>
      <c r="AE934">
        <v>0.15713867318006836</v>
      </c>
      <c r="AF934">
        <v>7.0294588995381138E-3</v>
      </c>
      <c r="AG934">
        <v>1.5915447480908924</v>
      </c>
      <c r="AH934">
        <v>0.1581530320734684</v>
      </c>
      <c r="AI934">
        <v>1.3793671757438071E-3</v>
      </c>
    </row>
    <row r="935" spans="23:35" x14ac:dyDescent="0.25">
      <c r="W935">
        <v>933</v>
      </c>
      <c r="X935">
        <v>68.446451013770542</v>
      </c>
      <c r="Y935">
        <v>7.4535489862294639</v>
      </c>
      <c r="Z935">
        <v>68.384094132293882</v>
      </c>
      <c r="AA935">
        <v>0.79866585809581569</v>
      </c>
      <c r="AB935">
        <v>72.7</v>
      </c>
      <c r="AC935">
        <v>0.82933781119598415</v>
      </c>
      <c r="AD935">
        <v>1.7111675377592406</v>
      </c>
      <c r="AE935">
        <v>0.15863416436172934</v>
      </c>
      <c r="AF935">
        <v>8.2966554629951318E-3</v>
      </c>
      <c r="AG935">
        <v>1.7183104993863467</v>
      </c>
      <c r="AH935">
        <v>0.15982461061405845</v>
      </c>
      <c r="AI935">
        <v>1.9001208030513059E-3</v>
      </c>
    </row>
    <row r="936" spans="23:35" x14ac:dyDescent="0.25">
      <c r="W936">
        <v>934</v>
      </c>
      <c r="X936">
        <v>68.399954570343965</v>
      </c>
      <c r="Y936">
        <v>7.0000454296560406</v>
      </c>
      <c r="Z936">
        <v>68.363021440695164</v>
      </c>
      <c r="AA936">
        <v>0.77986658580958157</v>
      </c>
      <c r="AB936">
        <v>72.7</v>
      </c>
      <c r="AC936">
        <v>0.74840704313415274</v>
      </c>
      <c r="AD936">
        <v>1.6070533009439314</v>
      </c>
      <c r="AE936">
        <v>0.15945049577738116</v>
      </c>
      <c r="AF936">
        <v>5.2484357224551487E-3</v>
      </c>
      <c r="AG936">
        <v>1.6112872323663605</v>
      </c>
      <c r="AH936">
        <v>0.16022705476779867</v>
      </c>
      <c r="AI936">
        <v>1.0537020654116549E-3</v>
      </c>
    </row>
    <row r="937" spans="23:35" x14ac:dyDescent="0.25">
      <c r="W937">
        <v>935</v>
      </c>
      <c r="X937">
        <v>68.710905313268256</v>
      </c>
      <c r="Y937">
        <v>6.2890946867317439</v>
      </c>
      <c r="Z937">
        <v>68.675744853879209</v>
      </c>
      <c r="AA937">
        <v>0.76046088538508183</v>
      </c>
      <c r="AB937">
        <v>72.7</v>
      </c>
      <c r="AC937">
        <v>0.67020216077934069</v>
      </c>
      <c r="AD937">
        <v>1.4438349690478807</v>
      </c>
      <c r="AE937">
        <v>0.16011073552071606</v>
      </c>
      <c r="AF937">
        <v>5.559620631469123E-3</v>
      </c>
      <c r="AG937">
        <v>1.4478653698213222</v>
      </c>
      <c r="AH937">
        <v>0.16116344674663041</v>
      </c>
      <c r="AI937">
        <v>9.0152840842698729E-4</v>
      </c>
    </row>
    <row r="938" spans="23:35" x14ac:dyDescent="0.25">
      <c r="W938">
        <v>936</v>
      </c>
      <c r="X938">
        <v>68.975815633659323</v>
      </c>
      <c r="Y938">
        <v>5.324184366340674</v>
      </c>
      <c r="Z938">
        <v>68.936384250603382</v>
      </c>
      <c r="AA938">
        <v>0.7052759248029109</v>
      </c>
      <c r="AB938">
        <v>72.7</v>
      </c>
      <c r="AC938">
        <v>0.52824151828033117</v>
      </c>
      <c r="AD938">
        <v>1.2223132187846786</v>
      </c>
      <c r="AE938">
        <v>0.16121040176502721</v>
      </c>
      <c r="AF938">
        <v>7.3516420448977576E-3</v>
      </c>
      <c r="AG938">
        <v>1.2268311493842607</v>
      </c>
      <c r="AH938">
        <v>0.16152618525890283</v>
      </c>
      <c r="AI938">
        <v>8.5746254878281132E-4</v>
      </c>
    </row>
    <row r="939" spans="23:35" x14ac:dyDescent="0.25">
      <c r="W939">
        <v>937</v>
      </c>
      <c r="X939">
        <v>68.111803846655818</v>
      </c>
      <c r="Y939">
        <v>5.2881961533441881</v>
      </c>
      <c r="Z939">
        <v>68.085035643957724</v>
      </c>
      <c r="AA939">
        <v>0.63735597331716187</v>
      </c>
      <c r="AB939">
        <v>72.7</v>
      </c>
      <c r="AC939">
        <v>0.33286538375086522</v>
      </c>
      <c r="AD939">
        <v>1.2140511329064849</v>
      </c>
      <c r="AE939">
        <v>0.1640173058348135</v>
      </c>
      <c r="AF939">
        <v>5.0363842360799192E-3</v>
      </c>
      <c r="AG939">
        <v>1.2171199435598117</v>
      </c>
      <c r="AH939">
        <v>0.16415601997516094</v>
      </c>
      <c r="AI939">
        <v>5.7681302893218588E-4</v>
      </c>
    </row>
    <row r="940" spans="23:35" x14ac:dyDescent="0.25">
      <c r="W940">
        <v>938</v>
      </c>
      <c r="X940">
        <v>67.785970139949725</v>
      </c>
      <c r="Y940">
        <v>4.9140298600502774</v>
      </c>
      <c r="Z940">
        <v>67.760817745378304</v>
      </c>
      <c r="AA940">
        <v>0.57246816252274102</v>
      </c>
      <c r="AB940">
        <v>72.7</v>
      </c>
      <c r="AC940">
        <v>0.16337348484333708</v>
      </c>
      <c r="AD940">
        <v>1.128150950860169</v>
      </c>
      <c r="AE940">
        <v>0.16466241859985023</v>
      </c>
      <c r="AF940">
        <v>5.0924208249016785E-3</v>
      </c>
      <c r="AG940">
        <v>1.1310344783451762</v>
      </c>
      <c r="AH940">
        <v>0.164903181254373</v>
      </c>
      <c r="AI940">
        <v>5.0367440501687265E-4</v>
      </c>
    </row>
    <row r="941" spans="23:35" x14ac:dyDescent="0.25">
      <c r="W941">
        <v>939</v>
      </c>
      <c r="X941">
        <v>67.301336088311686</v>
      </c>
      <c r="Y941">
        <v>4.4986639116883111</v>
      </c>
      <c r="Z941">
        <v>67.278725756537028</v>
      </c>
      <c r="AA941">
        <v>0.51061249241964823</v>
      </c>
      <c r="AB941">
        <v>72.7</v>
      </c>
      <c r="AC941">
        <v>1.0640830227304372E-2</v>
      </c>
      <c r="AD941">
        <v>1.032792252817033</v>
      </c>
      <c r="AE941">
        <v>0.1647816010847602</v>
      </c>
      <c r="AF941">
        <v>5.0008759825494482E-3</v>
      </c>
      <c r="AG941">
        <v>1.0353844121654734</v>
      </c>
      <c r="AH941">
        <v>0.16585125020037927</v>
      </c>
      <c r="AI941">
        <v>4.1446062590986936E-4</v>
      </c>
    </row>
    <row r="942" spans="23:35" x14ac:dyDescent="0.25">
      <c r="W942">
        <v>940</v>
      </c>
      <c r="X942">
        <v>67.057665722549359</v>
      </c>
      <c r="Y942">
        <v>10.942334277450641</v>
      </c>
      <c r="Z942">
        <v>67.001816243369049</v>
      </c>
      <c r="AA942">
        <v>0.86294724075197093</v>
      </c>
      <c r="AB942">
        <v>72.7</v>
      </c>
      <c r="AC942">
        <v>1.0491313979639725</v>
      </c>
      <c r="AD942">
        <v>2.5121143280170175</v>
      </c>
      <c r="AE942">
        <v>0.1679991036190846</v>
      </c>
      <c r="AF942">
        <v>5.0780638345521495E-3</v>
      </c>
      <c r="AG942">
        <v>2.5185170619397641</v>
      </c>
      <c r="AH942">
        <v>0.16861211206907423</v>
      </c>
      <c r="AI942">
        <v>2.490322497635374E-3</v>
      </c>
    </row>
    <row r="943" spans="23:35" x14ac:dyDescent="0.25">
      <c r="W943">
        <v>941</v>
      </c>
      <c r="X943">
        <v>67.405620174531464</v>
      </c>
      <c r="Y943">
        <v>2.1943798254685305</v>
      </c>
      <c r="Z943">
        <v>67.392299198852584</v>
      </c>
      <c r="AA943">
        <v>0.44815039417828989</v>
      </c>
      <c r="AB943">
        <v>72.7</v>
      </c>
      <c r="AC943">
        <v>-0.14337818601426075</v>
      </c>
      <c r="AD943">
        <v>0.50378035078227335</v>
      </c>
      <c r="AE943">
        <v>0.16865786651369438</v>
      </c>
      <c r="AF943">
        <v>6.0338682089327161E-3</v>
      </c>
      <c r="AG943">
        <v>0.50530713570263175</v>
      </c>
      <c r="AH943">
        <v>0.16877938243271362</v>
      </c>
      <c r="AI943">
        <v>1.1923170204472845E-4</v>
      </c>
    </row>
    <row r="944" spans="23:35" x14ac:dyDescent="0.25">
      <c r="W944">
        <v>942</v>
      </c>
      <c r="X944">
        <v>63.49641093224804</v>
      </c>
      <c r="Y944">
        <v>-5.6964109322480425</v>
      </c>
      <c r="Z944">
        <v>63.50815418211225</v>
      </c>
      <c r="AA944">
        <v>0.12553062462098241</v>
      </c>
      <c r="AB944">
        <v>72.7</v>
      </c>
      <c r="AC944">
        <v>-1.1521925343545227</v>
      </c>
      <c r="AD944">
        <v>-1.3077680829640177</v>
      </c>
      <c r="AE944">
        <v>0.16989788562511549</v>
      </c>
      <c r="AF944">
        <v>2.0572762209207472E-3</v>
      </c>
      <c r="AG944">
        <v>-1.3091153822356238</v>
      </c>
      <c r="AH944">
        <v>0.17032476711235184</v>
      </c>
      <c r="AI944">
        <v>2.7176873308613789E-4</v>
      </c>
    </row>
    <row r="945" spans="23:35" x14ac:dyDescent="0.25">
      <c r="W945">
        <v>943</v>
      </c>
      <c r="X945">
        <v>61.509374787639153</v>
      </c>
      <c r="Y945">
        <v>-4.2093747876391561</v>
      </c>
      <c r="Z945">
        <v>61.553806274176587</v>
      </c>
      <c r="AA945">
        <v>0.11643420254699818</v>
      </c>
      <c r="AB945">
        <v>72.7</v>
      </c>
      <c r="AC945">
        <v>-1.207056068729359</v>
      </c>
      <c r="AD945">
        <v>-0.96637796359531059</v>
      </c>
      <c r="AE945">
        <v>0.17124668160654657</v>
      </c>
      <c r="AF945">
        <v>1.0445112840977216E-2</v>
      </c>
      <c r="AG945">
        <v>-0.97146481142681429</v>
      </c>
      <c r="AH945">
        <v>0.1716266953628969</v>
      </c>
      <c r="AI945">
        <v>7.6627391892846255E-4</v>
      </c>
    </row>
    <row r="946" spans="23:35" x14ac:dyDescent="0.25">
      <c r="W946">
        <v>944</v>
      </c>
      <c r="X946">
        <v>62.799816322347553</v>
      </c>
      <c r="Y946">
        <v>-5.5998163223475501</v>
      </c>
      <c r="Z946">
        <v>62.812276317486337</v>
      </c>
      <c r="AA946">
        <v>0.1134020618556701</v>
      </c>
      <c r="AB946">
        <v>72.7</v>
      </c>
      <c r="AC946">
        <v>-1.210211632562187</v>
      </c>
      <c r="AD946">
        <v>-1.285592128785731</v>
      </c>
      <c r="AE946">
        <v>0.1718979872492773</v>
      </c>
      <c r="AF946">
        <v>2.2201321592022248E-3</v>
      </c>
      <c r="AG946">
        <v>-1.2870216016549691</v>
      </c>
      <c r="AH946">
        <v>0.17210056795805223</v>
      </c>
      <c r="AI946">
        <v>2.8351263017663931E-4</v>
      </c>
    </row>
    <row r="947" spans="23:35" x14ac:dyDescent="0.25">
      <c r="W947">
        <v>945</v>
      </c>
      <c r="X947">
        <v>62.602264787596162</v>
      </c>
      <c r="Y947">
        <v>-5.8022647875961653</v>
      </c>
      <c r="Z947">
        <v>62.615322019885532</v>
      </c>
      <c r="AA947">
        <v>0.10794420861127957</v>
      </c>
      <c r="AB947">
        <v>72.8</v>
      </c>
      <c r="AC947">
        <v>-1.2523823790942721</v>
      </c>
      <c r="AD947">
        <v>-1.3320697520552141</v>
      </c>
      <c r="AE947">
        <v>0.17200897135119203</v>
      </c>
      <c r="AF947">
        <v>2.2453154347637514E-3</v>
      </c>
      <c r="AG947">
        <v>-1.3335677334956164</v>
      </c>
      <c r="AH947">
        <v>0.17219798637528311</v>
      </c>
      <c r="AI947">
        <v>3.078508746432024E-4</v>
      </c>
    </row>
    <row r="948" spans="23:35" x14ac:dyDescent="0.25">
      <c r="W948">
        <v>946</v>
      </c>
      <c r="X948">
        <v>61.306865343673216</v>
      </c>
      <c r="Y948">
        <v>-4.8068653436732163</v>
      </c>
      <c r="Z948">
        <v>61.322646515831906</v>
      </c>
      <c r="AA948">
        <v>0.10066707095209218</v>
      </c>
      <c r="AB948">
        <v>72.8</v>
      </c>
      <c r="AC948">
        <v>-1.2898891601746336</v>
      </c>
      <c r="AD948">
        <v>-1.1035483834170778</v>
      </c>
      <c r="AE948">
        <v>0.17520091957272946</v>
      </c>
      <c r="AF948">
        <v>3.272305383959946E-3</v>
      </c>
      <c r="AG948">
        <v>-1.1053584004851214</v>
      </c>
      <c r="AH948">
        <v>0.17533539684367591</v>
      </c>
      <c r="AI948">
        <v>3.0856039465456872E-4</v>
      </c>
    </row>
    <row r="949" spans="23:35" x14ac:dyDescent="0.25">
      <c r="W949">
        <v>947</v>
      </c>
      <c r="X949">
        <v>61.120255273321064</v>
      </c>
      <c r="Y949">
        <v>-5.1202552733210638</v>
      </c>
      <c r="Z949">
        <v>61.138352367061671</v>
      </c>
      <c r="AA949">
        <v>9.2783505154639179E-2</v>
      </c>
      <c r="AB949">
        <v>72.8</v>
      </c>
      <c r="AC949">
        <v>-1.3329906577816031</v>
      </c>
      <c r="AD949">
        <v>-1.1754956766145601</v>
      </c>
      <c r="AE949">
        <v>0.17689155283233257</v>
      </c>
      <c r="AF949">
        <v>3.521964327829274E-3</v>
      </c>
      <c r="AG949">
        <v>-1.1775711875533632</v>
      </c>
      <c r="AH949">
        <v>0.17717875088796597</v>
      </c>
      <c r="AI949">
        <v>3.7700595663185937E-4</v>
      </c>
    </row>
    <row r="950" spans="23:35" x14ac:dyDescent="0.25">
      <c r="W950">
        <v>948</v>
      </c>
      <c r="X950">
        <v>61.677357067208249</v>
      </c>
      <c r="Y950">
        <v>-6.1773570672082485</v>
      </c>
      <c r="Z950">
        <v>61.693378107932958</v>
      </c>
      <c r="AA950">
        <v>8.7932080048514258E-2</v>
      </c>
      <c r="AB950">
        <v>72.8</v>
      </c>
      <c r="AC950">
        <v>-1.3593210527266006</v>
      </c>
      <c r="AD950">
        <v>-1.418182519774609</v>
      </c>
      <c r="AE950">
        <v>0.17697004169948241</v>
      </c>
      <c r="AF950">
        <v>2.5868016525894509E-3</v>
      </c>
      <c r="AG950">
        <v>-1.4200203645921523</v>
      </c>
      <c r="AH950">
        <v>0.17744499041418965</v>
      </c>
      <c r="AI950">
        <v>4.0228497468119099E-4</v>
      </c>
    </row>
    <row r="951" spans="23:35" x14ac:dyDescent="0.25">
      <c r="W951">
        <v>949</v>
      </c>
      <c r="X951">
        <v>61.684864777544824</v>
      </c>
      <c r="Y951">
        <v>-6.6848647775448242</v>
      </c>
      <c r="Z951">
        <v>61.702912299001134</v>
      </c>
      <c r="AA951">
        <v>8.1261370527592483E-2</v>
      </c>
      <c r="AB951">
        <v>72.8</v>
      </c>
      <c r="AC951">
        <v>-1.4067868590764927</v>
      </c>
      <c r="AD951">
        <v>-1.534694898065126</v>
      </c>
      <c r="AE951">
        <v>0.17697854850600139</v>
      </c>
      <c r="AF951">
        <v>2.692489570391397E-3</v>
      </c>
      <c r="AG951">
        <v>-1.5367651546159262</v>
      </c>
      <c r="AH951">
        <v>0.17749651437806929</v>
      </c>
      <c r="AI951">
        <v>4.9045209828124301E-4</v>
      </c>
    </row>
    <row r="952" spans="23:35" x14ac:dyDescent="0.25">
      <c r="W952">
        <v>950</v>
      </c>
      <c r="X952">
        <v>61.851664012782543</v>
      </c>
      <c r="Y952">
        <v>-7.5516640127825454</v>
      </c>
      <c r="Z952">
        <v>61.925229712466475</v>
      </c>
      <c r="AA952">
        <v>7.3984232868405095E-2</v>
      </c>
      <c r="AB952">
        <v>72.8</v>
      </c>
      <c r="AC952">
        <v>-1.4576525936309461</v>
      </c>
      <c r="AD952">
        <v>-1.7336925454722376</v>
      </c>
      <c r="AE952">
        <v>0.17831002842770133</v>
      </c>
      <c r="AF952">
        <v>9.6476699664086469E-3</v>
      </c>
      <c r="AG952">
        <v>-1.7421165958097302</v>
      </c>
      <c r="AH952">
        <v>0.1785085684956032</v>
      </c>
      <c r="AI952">
        <v>2.2742792781699776E-3</v>
      </c>
    </row>
    <row r="953" spans="23:35" x14ac:dyDescent="0.25">
      <c r="W953">
        <v>951</v>
      </c>
      <c r="X953">
        <v>60.895617092526514</v>
      </c>
      <c r="Y953">
        <v>-7.2956170925265127</v>
      </c>
      <c r="Z953">
        <v>60.916515911263346</v>
      </c>
      <c r="AA953">
        <v>6.4887810794420867E-2</v>
      </c>
      <c r="AB953">
        <v>72.8</v>
      </c>
      <c r="AC953">
        <v>-1.5319668124298669</v>
      </c>
      <c r="AD953">
        <v>-1.6749099200551616</v>
      </c>
      <c r="AE953">
        <v>0.17954564756997343</v>
      </c>
      <c r="AF953">
        <v>2.8563894332077023E-3</v>
      </c>
      <c r="AG953">
        <v>-1.6773071543539948</v>
      </c>
      <c r="AH953">
        <v>0.17990743327664929</v>
      </c>
      <c r="AI953">
        <v>6.1992842993254655E-4</v>
      </c>
    </row>
    <row r="954" spans="23:35" x14ac:dyDescent="0.25">
      <c r="W954">
        <v>952</v>
      </c>
      <c r="X954">
        <v>59.774880000336786</v>
      </c>
      <c r="Y954">
        <v>-6.974880000336789</v>
      </c>
      <c r="Z954">
        <v>59.869163719143202</v>
      </c>
      <c r="AA954">
        <v>5.7004244996967858E-2</v>
      </c>
      <c r="AB954">
        <v>72.8</v>
      </c>
      <c r="AC954">
        <v>-1.5884297017318656</v>
      </c>
      <c r="AD954">
        <v>-1.6012758832594918</v>
      </c>
      <c r="AE954">
        <v>0.17960929481055443</v>
      </c>
      <c r="AF954">
        <v>1.3337322850664309E-2</v>
      </c>
      <c r="AG954">
        <v>-1.6120622668102302</v>
      </c>
      <c r="AH954">
        <v>0.18041007550656782</v>
      </c>
      <c r="AI954">
        <v>2.7022170929248981E-3</v>
      </c>
    </row>
    <row r="955" spans="23:35" x14ac:dyDescent="0.25">
      <c r="W955">
        <v>953</v>
      </c>
      <c r="X955">
        <v>60.53402913884409</v>
      </c>
      <c r="Y955">
        <v>-8.5340291388440903</v>
      </c>
      <c r="Z955">
        <v>60.582604779728932</v>
      </c>
      <c r="AA955">
        <v>4.6694966646452396E-2</v>
      </c>
      <c r="AB955">
        <v>72.8</v>
      </c>
      <c r="AC955">
        <v>-1.6935133675401242</v>
      </c>
      <c r="AD955">
        <v>-1.9592215273101425</v>
      </c>
      <c r="AE955">
        <v>0.18012829400458538</v>
      </c>
      <c r="AF955">
        <v>5.6597783693329625E-3</v>
      </c>
      <c r="AG955">
        <v>-1.9647895536461324</v>
      </c>
      <c r="AH955">
        <v>0.1804577532578911</v>
      </c>
      <c r="AI955">
        <v>1.6902585690012947E-3</v>
      </c>
    </row>
    <row r="956" spans="23:35" x14ac:dyDescent="0.25">
      <c r="W956">
        <v>954</v>
      </c>
      <c r="X956">
        <v>78.723213701221354</v>
      </c>
      <c r="Y956">
        <v>2.6767862987786515</v>
      </c>
      <c r="Z956">
        <v>78.68290725781452</v>
      </c>
      <c r="AA956">
        <v>0.94724075197089141</v>
      </c>
      <c r="AB956">
        <v>72.8</v>
      </c>
      <c r="AC956">
        <v>1.5992570753291051</v>
      </c>
      <c r="AD956">
        <v>0.61453004849785575</v>
      </c>
      <c r="AE956">
        <v>0.18029796579772234</v>
      </c>
      <c r="AF956">
        <v>1.4834401042346134E-2</v>
      </c>
      <c r="AG956">
        <v>0.61913948867858071</v>
      </c>
      <c r="AH956">
        <v>0.18084471382567749</v>
      </c>
      <c r="AI956">
        <v>4.4401171979567111E-4</v>
      </c>
    </row>
    <row r="957" spans="23:35" x14ac:dyDescent="0.25">
      <c r="W957">
        <v>955</v>
      </c>
      <c r="X957">
        <v>77.731246082618057</v>
      </c>
      <c r="Y957">
        <v>3.3687539173819374</v>
      </c>
      <c r="Z957">
        <v>77.716862086217233</v>
      </c>
      <c r="AA957">
        <v>0.93935718617343844</v>
      </c>
      <c r="AB957">
        <v>72.8</v>
      </c>
      <c r="AC957">
        <v>1.5222105313262397</v>
      </c>
      <c r="AD957">
        <v>0.77339028116314057</v>
      </c>
      <c r="AE957">
        <v>0.18092730975574242</v>
      </c>
      <c r="AF957">
        <v>4.2516730820279158E-3</v>
      </c>
      <c r="AG957">
        <v>0.77503964376364443</v>
      </c>
      <c r="AH957">
        <v>0.18212865422013266</v>
      </c>
      <c r="AI957">
        <v>1.9729440111563809E-4</v>
      </c>
    </row>
    <row r="958" spans="23:35" x14ac:dyDescent="0.25">
      <c r="W958">
        <v>956</v>
      </c>
      <c r="X958">
        <v>77.588964621192972</v>
      </c>
      <c r="Y958">
        <v>3.4110353788070285</v>
      </c>
      <c r="Z958">
        <v>77.574745364262839</v>
      </c>
      <c r="AA958">
        <v>0.93571861734384476</v>
      </c>
      <c r="AB958">
        <v>72.8</v>
      </c>
      <c r="AC958">
        <v>1.4576525936309466</v>
      </c>
      <c r="AD958">
        <v>0.78309715561627746</v>
      </c>
      <c r="AE958">
        <v>0.18198857288827655</v>
      </c>
      <c r="AF958">
        <v>4.1512992294887446E-3</v>
      </c>
      <c r="AG958">
        <v>0.78472766924797599</v>
      </c>
      <c r="AH958">
        <v>0.18213139937542491</v>
      </c>
      <c r="AI958">
        <v>1.9746278472580642E-4</v>
      </c>
    </row>
    <row r="959" spans="23:35" x14ac:dyDescent="0.25">
      <c r="W959">
        <v>957</v>
      </c>
      <c r="X959">
        <v>79.671073281952147</v>
      </c>
      <c r="Y959">
        <v>7.3289267180478532</v>
      </c>
      <c r="Z959">
        <v>79.642185620705675</v>
      </c>
      <c r="AA959">
        <v>0.99211643420254703</v>
      </c>
      <c r="AB959">
        <v>72.8</v>
      </c>
      <c r="AC959">
        <v>2.349487559997844</v>
      </c>
      <c r="AD959">
        <v>1.6825570623751946</v>
      </c>
      <c r="AE959">
        <v>0.18303190987975465</v>
      </c>
      <c r="AF959">
        <v>3.92611987165225E-3</v>
      </c>
      <c r="AG959">
        <v>1.685869780528269</v>
      </c>
      <c r="AH959">
        <v>0.18335880166727006</v>
      </c>
      <c r="AI959">
        <v>8.6174089418648359E-4</v>
      </c>
    </row>
    <row r="960" spans="23:35" x14ac:dyDescent="0.25">
      <c r="W960">
        <v>958</v>
      </c>
      <c r="X960">
        <v>76.20311104851919</v>
      </c>
      <c r="Y960">
        <v>6.7968889514808097</v>
      </c>
      <c r="Z960">
        <v>76.178897018578596</v>
      </c>
      <c r="AA960">
        <v>0.97877501516070342</v>
      </c>
      <c r="AB960">
        <v>72.8</v>
      </c>
      <c r="AC960">
        <v>1.9368862628682144</v>
      </c>
      <c r="AD960">
        <v>1.5604131337992317</v>
      </c>
      <c r="AE960">
        <v>0.18436156893141598</v>
      </c>
      <c r="AF960">
        <v>3.549870161254839E-3</v>
      </c>
      <c r="AG960">
        <v>1.5631901615677672</v>
      </c>
      <c r="AH960">
        <v>0.1845064806616083</v>
      </c>
      <c r="AI960">
        <v>6.6963350346391606E-4</v>
      </c>
    </row>
    <row r="961" spans="23:35" x14ac:dyDescent="0.25">
      <c r="W961">
        <v>959</v>
      </c>
      <c r="X961">
        <v>75.936000329345617</v>
      </c>
      <c r="Y961">
        <v>6.0639996706543826</v>
      </c>
      <c r="Z961">
        <v>75.912712338435256</v>
      </c>
      <c r="AA961">
        <v>0.96604002425712554</v>
      </c>
      <c r="AB961">
        <v>72.8</v>
      </c>
      <c r="AC961">
        <v>1.7539324289023792</v>
      </c>
      <c r="AD961">
        <v>1.3921582060542261</v>
      </c>
      <c r="AE961">
        <v>0.18569935111685651</v>
      </c>
      <c r="AF961">
        <v>3.8256760983066749E-3</v>
      </c>
      <c r="AG961">
        <v>1.3948288444368953</v>
      </c>
      <c r="AH961">
        <v>0.18619627850732545</v>
      </c>
      <c r="AI961">
        <v>5.7473989089748263E-4</v>
      </c>
    </row>
    <row r="962" spans="23:35" x14ac:dyDescent="0.25">
      <c r="W962">
        <v>960</v>
      </c>
      <c r="X962">
        <v>77.770136123016854</v>
      </c>
      <c r="Y962">
        <v>2.2298638769831456</v>
      </c>
      <c r="Z962">
        <v>77.761219928203658</v>
      </c>
      <c r="AA962">
        <v>0.92722862340812617</v>
      </c>
      <c r="AB962">
        <v>72.900000000000006</v>
      </c>
      <c r="AC962">
        <v>1.4191611772342045</v>
      </c>
      <c r="AD962">
        <v>0.51192669250111977</v>
      </c>
      <c r="AE962">
        <v>0.18686873213763122</v>
      </c>
      <c r="AF962">
        <v>3.9826130871557517E-3</v>
      </c>
      <c r="AG962">
        <v>0.51294915053038781</v>
      </c>
      <c r="AH962">
        <v>0.18717736899589807</v>
      </c>
      <c r="AI962">
        <v>8.0929428656350132E-5</v>
      </c>
    </row>
    <row r="963" spans="23:35" x14ac:dyDescent="0.25">
      <c r="W963">
        <v>961</v>
      </c>
      <c r="X963">
        <v>77.573160509262308</v>
      </c>
      <c r="Y963">
        <v>2.0268394907376859</v>
      </c>
      <c r="Z963">
        <v>77.5664820251462</v>
      </c>
      <c r="AA963">
        <v>0.91206791995148573</v>
      </c>
      <c r="AB963">
        <v>72.900000000000006</v>
      </c>
      <c r="AC963">
        <v>1.3404190152831756</v>
      </c>
      <c r="AD963">
        <v>0.46531685069843393</v>
      </c>
      <c r="AE963">
        <v>0.18777735125111084</v>
      </c>
      <c r="AF963">
        <v>3.2842021554265856E-3</v>
      </c>
      <c r="AG963">
        <v>0.46608283525375793</v>
      </c>
      <c r="AH963">
        <v>0.18901233021736805</v>
      </c>
      <c r="AI963">
        <v>5.5060659125610833E-5</v>
      </c>
    </row>
    <row r="964" spans="23:35" x14ac:dyDescent="0.25">
      <c r="W964">
        <v>962</v>
      </c>
      <c r="X964">
        <v>77.751976741222904</v>
      </c>
      <c r="Y964">
        <v>1.5480232587770928</v>
      </c>
      <c r="Z964">
        <v>77.747503946297456</v>
      </c>
      <c r="AA964">
        <v>0.9017586416009703</v>
      </c>
      <c r="AB964">
        <v>72.900000000000006</v>
      </c>
      <c r="AC964">
        <v>1.262435852359769</v>
      </c>
      <c r="AD964">
        <v>0.35539139180671703</v>
      </c>
      <c r="AE964">
        <v>0.18939528410021944</v>
      </c>
      <c r="AF964">
        <v>2.8810346504800311E-3</v>
      </c>
      <c r="AG964">
        <v>0.35590444813018351</v>
      </c>
      <c r="AH964">
        <v>0.18967710044537039</v>
      </c>
      <c r="AI964">
        <v>2.8153019712620638E-5</v>
      </c>
    </row>
    <row r="965" spans="23:35" x14ac:dyDescent="0.25">
      <c r="W965">
        <v>963</v>
      </c>
      <c r="X965">
        <v>78.058370273286414</v>
      </c>
      <c r="Y965">
        <v>0.94162972671358602</v>
      </c>
      <c r="Z965">
        <v>78.055933141104887</v>
      </c>
      <c r="AA965">
        <v>0.89023650697392354</v>
      </c>
      <c r="AB965">
        <v>72.900000000000006</v>
      </c>
      <c r="AC965">
        <v>1.2070560687293583</v>
      </c>
      <c r="AD965">
        <v>0.21617704853329167</v>
      </c>
      <c r="AE965">
        <v>0.18953592274049127</v>
      </c>
      <c r="AF965">
        <v>2.581524982648767E-3</v>
      </c>
      <c r="AG965">
        <v>0.21645662317230813</v>
      </c>
      <c r="AH965">
        <v>0.19070100403812482</v>
      </c>
      <c r="AI965">
        <v>9.328188844349117E-6</v>
      </c>
    </row>
    <row r="966" spans="23:35" x14ac:dyDescent="0.25">
      <c r="W966">
        <v>964</v>
      </c>
      <c r="X966">
        <v>76.13671364500712</v>
      </c>
      <c r="Y966">
        <v>2.5632863549928828</v>
      </c>
      <c r="Z966">
        <v>76.129582945172544</v>
      </c>
      <c r="AA966">
        <v>0.87871437234687688</v>
      </c>
      <c r="AB966">
        <v>72.900000000000006</v>
      </c>
      <c r="AC966">
        <v>1.1521925343545227</v>
      </c>
      <c r="AD966">
        <v>0.58847300913277945</v>
      </c>
      <c r="AE966">
        <v>0.19045942342915298</v>
      </c>
      <c r="AF966">
        <v>2.7741411928411553E-3</v>
      </c>
      <c r="AG966">
        <v>0.5892909649782645</v>
      </c>
      <c r="AH966">
        <v>0.1918573555803216</v>
      </c>
      <c r="AI966">
        <v>7.4310681185275516E-5</v>
      </c>
    </row>
    <row r="967" spans="23:35" x14ac:dyDescent="0.25">
      <c r="W967">
        <v>965</v>
      </c>
      <c r="X967">
        <v>77.440910430596986</v>
      </c>
      <c r="Y967">
        <v>1.0590895694030138</v>
      </c>
      <c r="Z967">
        <v>77.438530371214014</v>
      </c>
      <c r="AA967">
        <v>0.87265009096422075</v>
      </c>
      <c r="AB967">
        <v>72.900000000000006</v>
      </c>
      <c r="AC967">
        <v>1.128888636463274</v>
      </c>
      <c r="AD967">
        <v>0.24314319179897545</v>
      </c>
      <c r="AE967">
        <v>0.19171972843967491</v>
      </c>
      <c r="AF967">
        <v>2.2422303176932198E-3</v>
      </c>
      <c r="AG967">
        <v>0.24341624258503033</v>
      </c>
      <c r="AH967">
        <v>0.19252629057997442</v>
      </c>
      <c r="AI967">
        <v>1.0242615227085667E-5</v>
      </c>
    </row>
    <row r="968" spans="23:35" x14ac:dyDescent="0.25">
      <c r="W968">
        <v>966</v>
      </c>
      <c r="X968">
        <v>64.150194784218456</v>
      </c>
      <c r="Y968">
        <v>-1.1501947842184563</v>
      </c>
      <c r="Z968">
        <v>64.154448880820055</v>
      </c>
      <c r="AA968">
        <v>0.22195269860521527</v>
      </c>
      <c r="AB968">
        <v>72.900000000000006</v>
      </c>
      <c r="AC968">
        <v>-0.78098898173722842</v>
      </c>
      <c r="AD968">
        <v>-0.26405890408593941</v>
      </c>
      <c r="AE968">
        <v>0.19237596511625862</v>
      </c>
      <c r="AF968">
        <v>3.6849588338419103E-3</v>
      </c>
      <c r="AG968">
        <v>-0.26454677593715137</v>
      </c>
      <c r="AH968">
        <v>0.19394554688124574</v>
      </c>
      <c r="AI968">
        <v>1.9911205177104086E-5</v>
      </c>
    </row>
    <row r="969" spans="23:35" x14ac:dyDescent="0.25">
      <c r="W969">
        <v>967</v>
      </c>
      <c r="X969">
        <v>62.231249379470597</v>
      </c>
      <c r="Y969">
        <v>0.46875062052940564</v>
      </c>
      <c r="Z969">
        <v>62.226106297025858</v>
      </c>
      <c r="AA969">
        <v>0.21164342025469982</v>
      </c>
      <c r="AB969">
        <v>72.900000000000006</v>
      </c>
      <c r="AC969">
        <v>-0.80808466725232064</v>
      </c>
      <c r="AD969">
        <v>0.10761462044944364</v>
      </c>
      <c r="AE969">
        <v>0.19360308879677413</v>
      </c>
      <c r="AF969">
        <v>1.0852818706938118E-2</v>
      </c>
      <c r="AG969">
        <v>0.10820337804985178</v>
      </c>
      <c r="AH969">
        <v>0.19409364108168023</v>
      </c>
      <c r="AI969">
        <v>9.8814326992909864E-6</v>
      </c>
    </row>
    <row r="970" spans="23:35" x14ac:dyDescent="0.25">
      <c r="W970">
        <v>968</v>
      </c>
      <c r="X970">
        <v>61.988819261484508</v>
      </c>
      <c r="Y970">
        <v>0.51118073851549184</v>
      </c>
      <c r="Z970">
        <v>61.983194487993629</v>
      </c>
      <c r="AA970">
        <v>0.20800485142510614</v>
      </c>
      <c r="AB970">
        <v>72.900000000000006</v>
      </c>
      <c r="AC970">
        <v>-0.81866501502518862</v>
      </c>
      <c r="AD970">
        <v>0.11735562311209791</v>
      </c>
      <c r="AE970">
        <v>0.19361977022049479</v>
      </c>
      <c r="AF970">
        <v>1.0883733552000311E-2</v>
      </c>
      <c r="AG970">
        <v>0.11799951755331699</v>
      </c>
      <c r="AH970">
        <v>0.19413093937984338</v>
      </c>
      <c r="AI970">
        <v>1.1785490662208134E-5</v>
      </c>
    </row>
    <row r="971" spans="23:35" x14ac:dyDescent="0.25">
      <c r="W971">
        <v>969</v>
      </c>
      <c r="X971">
        <v>64.586341392689704</v>
      </c>
      <c r="Y971">
        <v>-2.386341392689701</v>
      </c>
      <c r="Z971">
        <v>64.592024174058096</v>
      </c>
      <c r="AA971">
        <v>0.20436628259551243</v>
      </c>
      <c r="AB971">
        <v>72.900000000000006</v>
      </c>
      <c r="AC971">
        <v>-0.8357870519497973</v>
      </c>
      <c r="AD971">
        <v>-0.54785041766358378</v>
      </c>
      <c r="AE971">
        <v>0.19362139736387984</v>
      </c>
      <c r="AF971">
        <v>2.3757207096933167E-3</v>
      </c>
      <c r="AG971">
        <v>-0.54850234929095831</v>
      </c>
      <c r="AH971">
        <v>0.19464779231123086</v>
      </c>
      <c r="AI971">
        <v>5.5111471274206767E-5</v>
      </c>
    </row>
    <row r="972" spans="23:35" x14ac:dyDescent="0.25">
      <c r="W972">
        <v>970</v>
      </c>
      <c r="X972">
        <v>63.685471880529562</v>
      </c>
      <c r="Y972">
        <v>-1.6854718805295619</v>
      </c>
      <c r="Z972">
        <v>63.690276519946948</v>
      </c>
      <c r="AA972">
        <v>0.19890842935112188</v>
      </c>
      <c r="AB972">
        <v>73</v>
      </c>
      <c r="AC972">
        <v>-0.85973834429501084</v>
      </c>
      <c r="AD972">
        <v>-0.38694651005804998</v>
      </c>
      <c r="AE972">
        <v>0.19399515811157639</v>
      </c>
      <c r="AF972">
        <v>2.8425168075668496E-3</v>
      </c>
      <c r="AG972">
        <v>-0.38749763625510492</v>
      </c>
      <c r="AH972">
        <v>0.19471024141192489</v>
      </c>
      <c r="AI972">
        <v>3.2925626816011273E-5</v>
      </c>
    </row>
    <row r="973" spans="23:35" x14ac:dyDescent="0.25">
      <c r="W973">
        <v>971</v>
      </c>
      <c r="X973">
        <v>63.808042518457086</v>
      </c>
      <c r="Y973">
        <v>-2.1080425184570828</v>
      </c>
      <c r="Z973">
        <v>63.812705911501332</v>
      </c>
      <c r="AA973">
        <v>0.19102486355366888</v>
      </c>
      <c r="AB973">
        <v>73</v>
      </c>
      <c r="AC973">
        <v>-0.87970786716299942</v>
      </c>
      <c r="AD973">
        <v>-0.48395924310209448</v>
      </c>
      <c r="AE973">
        <v>0.19447522946794188</v>
      </c>
      <c r="AF973">
        <v>2.2073081818240687E-3</v>
      </c>
      <c r="AG973">
        <v>-0.4844942525617445</v>
      </c>
      <c r="AH973">
        <v>0.1960175198011718</v>
      </c>
      <c r="AI973">
        <v>3.9944460612516833E-5</v>
      </c>
    </row>
    <row r="974" spans="23:35" x14ac:dyDescent="0.25">
      <c r="W974">
        <v>972</v>
      </c>
      <c r="X974">
        <v>64.093603943279632</v>
      </c>
      <c r="Y974">
        <v>-2.6936039432796335</v>
      </c>
      <c r="Z974">
        <v>64.099714318007585</v>
      </c>
      <c r="AA974">
        <v>0.18617343844754397</v>
      </c>
      <c r="AB974">
        <v>73</v>
      </c>
      <c r="AC974">
        <v>-0.90460220385671419</v>
      </c>
      <c r="AD974">
        <v>-0.61839100217037113</v>
      </c>
      <c r="AE974">
        <v>0.1955033715324245</v>
      </c>
      <c r="AF974">
        <v>2.2633412310298223E-3</v>
      </c>
      <c r="AG974">
        <v>-0.61909200728144931</v>
      </c>
      <c r="AH974">
        <v>0.19643614600204368</v>
      </c>
      <c r="AI974">
        <v>6.6880752001888193E-5</v>
      </c>
    </row>
    <row r="975" spans="23:35" x14ac:dyDescent="0.25">
      <c r="W975">
        <v>973</v>
      </c>
      <c r="X975">
        <v>64.047113323650265</v>
      </c>
      <c r="Y975">
        <v>-2.8471133236502624</v>
      </c>
      <c r="Z975">
        <v>64.053117656724183</v>
      </c>
      <c r="AA975">
        <v>0.18071558520315342</v>
      </c>
      <c r="AB975">
        <v>73</v>
      </c>
      <c r="AC975">
        <v>-0.91841998904288702</v>
      </c>
      <c r="AD975">
        <v>-0.65363331008530678</v>
      </c>
      <c r="AE975">
        <v>0.19790231922099491</v>
      </c>
      <c r="AF975">
        <v>2.1044814116797424E-3</v>
      </c>
      <c r="AG975">
        <v>-0.65432217713267482</v>
      </c>
      <c r="AH975">
        <v>0.1990338588882877</v>
      </c>
      <c r="AI975">
        <v>6.9454429753958171E-5</v>
      </c>
    </row>
    <row r="976" spans="23:35" x14ac:dyDescent="0.25">
      <c r="W976">
        <v>974</v>
      </c>
      <c r="X976">
        <v>63.519199950152405</v>
      </c>
      <c r="Y976">
        <v>5.4808000498475948</v>
      </c>
      <c r="Z976">
        <v>63.505875198050603</v>
      </c>
      <c r="AA976">
        <v>0.42086112795633718</v>
      </c>
      <c r="AB976">
        <v>73</v>
      </c>
      <c r="AC976">
        <v>-0.21444491222324932</v>
      </c>
      <c r="AD976">
        <v>1.2582686641726601</v>
      </c>
      <c r="AE976">
        <v>0.19888711596309205</v>
      </c>
      <c r="AF976">
        <v>2.4252729200967046E-3</v>
      </c>
      <c r="AG976">
        <v>1.2597972676544751</v>
      </c>
      <c r="AH976">
        <v>0.19981526016822679</v>
      </c>
      <c r="AI976">
        <v>2.9680632486766108E-4</v>
      </c>
    </row>
    <row r="977" spans="23:35" x14ac:dyDescent="0.25">
      <c r="W977">
        <v>975</v>
      </c>
      <c r="X977">
        <v>63.820272289669575</v>
      </c>
      <c r="Y977">
        <v>2.1797277103304253</v>
      </c>
      <c r="Z977">
        <v>63.813212164896591</v>
      </c>
      <c r="AA977">
        <v>0.31109763493026077</v>
      </c>
      <c r="AB977">
        <v>73</v>
      </c>
      <c r="AC977">
        <v>-0.50738317096904828</v>
      </c>
      <c r="AD977">
        <v>0.5004165540419343</v>
      </c>
      <c r="AE977">
        <v>0.19909907016577913</v>
      </c>
      <c r="AF977">
        <v>3.2285366964505324E-3</v>
      </c>
      <c r="AG977">
        <v>0.50122632194849281</v>
      </c>
      <c r="AH977">
        <v>0.20114316087256781</v>
      </c>
      <c r="AI977">
        <v>6.2594261316572931E-5</v>
      </c>
    </row>
    <row r="978" spans="23:35" x14ac:dyDescent="0.25">
      <c r="W978">
        <v>976</v>
      </c>
      <c r="X978">
        <v>72.692169320791677</v>
      </c>
      <c r="Y978">
        <v>1.5078306792083254</v>
      </c>
      <c r="Z978">
        <v>72.686357230536402</v>
      </c>
      <c r="AA978">
        <v>0.7010309278350515</v>
      </c>
      <c r="AB978">
        <v>73</v>
      </c>
      <c r="AC978">
        <v>0.5039283835636299</v>
      </c>
      <c r="AD978">
        <v>0.34616407773875485</v>
      </c>
      <c r="AE978">
        <v>0.20063787273926936</v>
      </c>
      <c r="AF978">
        <v>3.8398031375205597E-3</v>
      </c>
      <c r="AG978">
        <v>0.34683059879226313</v>
      </c>
      <c r="AH978">
        <v>0.20118384917203083</v>
      </c>
      <c r="AI978">
        <v>3.5667382023641036E-5</v>
      </c>
    </row>
    <row r="979" spans="23:35" x14ac:dyDescent="0.25">
      <c r="W979">
        <v>977</v>
      </c>
      <c r="X979">
        <v>73.463028012729907</v>
      </c>
      <c r="Y979">
        <v>0.63697198727008697</v>
      </c>
      <c r="Z979">
        <v>73.460464411182286</v>
      </c>
      <c r="AA979">
        <v>0.69254093389933291</v>
      </c>
      <c r="AB979">
        <v>73</v>
      </c>
      <c r="AC979">
        <v>0.48161589062349974</v>
      </c>
      <c r="AD979">
        <v>0.1462344701956467</v>
      </c>
      <c r="AE979">
        <v>0.20205733328913852</v>
      </c>
      <c r="AF979">
        <v>4.0085361822577133E-3</v>
      </c>
      <c r="AG979">
        <v>0.14652844738756735</v>
      </c>
      <c r="AH979">
        <v>0.20222137612994867</v>
      </c>
      <c r="AI979">
        <v>6.6470773894228324E-6</v>
      </c>
    </row>
    <row r="980" spans="23:35" x14ac:dyDescent="0.25">
      <c r="W980">
        <v>978</v>
      </c>
      <c r="X980">
        <v>73.197795452443643</v>
      </c>
      <c r="Y980">
        <v>0.70220454755636297</v>
      </c>
      <c r="Z980">
        <v>73.195041761827966</v>
      </c>
      <c r="AA980">
        <v>0.67919951485748942</v>
      </c>
      <c r="AB980">
        <v>73</v>
      </c>
      <c r="AC980">
        <v>0.43434378704136062</v>
      </c>
      <c r="AD980">
        <v>0.16121040176502721</v>
      </c>
      <c r="AE980">
        <v>0.20304416691237823</v>
      </c>
      <c r="AF980">
        <v>3.9061755244019598E-3</v>
      </c>
      <c r="AG980">
        <v>0.16152618525890283</v>
      </c>
      <c r="AH980">
        <v>0.2038824725007562</v>
      </c>
      <c r="AI980">
        <v>7.8703496635241763E-6</v>
      </c>
    </row>
    <row r="981" spans="23:35" x14ac:dyDescent="0.25">
      <c r="W981">
        <v>979</v>
      </c>
      <c r="X981">
        <v>72.962850566523656</v>
      </c>
      <c r="Y981">
        <v>0.63714943347633834</v>
      </c>
      <c r="Z981">
        <v>72.961391312101782</v>
      </c>
      <c r="AA981">
        <v>0.65433596118859916</v>
      </c>
      <c r="AB981">
        <v>73</v>
      </c>
      <c r="AC981">
        <v>0.3716850598056044</v>
      </c>
      <c r="AD981">
        <v>0.14627520786147499</v>
      </c>
      <c r="AE981">
        <v>0.20549387908424074</v>
      </c>
      <c r="AF981">
        <v>2.2850525674450112E-3</v>
      </c>
      <c r="AG981">
        <v>0.1464426180916914</v>
      </c>
      <c r="AH981">
        <v>0.20571682184537615</v>
      </c>
      <c r="AI981">
        <v>3.7781685931723809E-6</v>
      </c>
    </row>
    <row r="982" spans="23:35" x14ac:dyDescent="0.25">
      <c r="W982">
        <v>980</v>
      </c>
      <c r="X982">
        <v>69.982518594826587</v>
      </c>
      <c r="Y982">
        <v>3.3174814051734103</v>
      </c>
      <c r="Z982">
        <v>69.964518129918915</v>
      </c>
      <c r="AA982">
        <v>0.63007883565797451</v>
      </c>
      <c r="AB982">
        <v>73</v>
      </c>
      <c r="AC982">
        <v>0.3152427890443939</v>
      </c>
      <c r="AD982">
        <v>0.76161926327183949</v>
      </c>
      <c r="AE982">
        <v>0.20845417849651537</v>
      </c>
      <c r="AF982">
        <v>5.3966609949607563E-3</v>
      </c>
      <c r="AG982">
        <v>0.76368271935327525</v>
      </c>
      <c r="AH982">
        <v>0.20887043265127658</v>
      </c>
      <c r="AI982">
        <v>2.4342086388717978E-4</v>
      </c>
    </row>
    <row r="983" spans="23:35" x14ac:dyDescent="0.25">
      <c r="W983">
        <v>981</v>
      </c>
      <c r="X983">
        <v>70.581013375533672</v>
      </c>
      <c r="Y983">
        <v>2.218986624466325</v>
      </c>
      <c r="Z983">
        <v>70.569190251467745</v>
      </c>
      <c r="AA983">
        <v>0.58156458459672533</v>
      </c>
      <c r="AB983">
        <v>73</v>
      </c>
      <c r="AC983">
        <v>0.18343432307636306</v>
      </c>
      <c r="AD983">
        <v>0.50942951948445603</v>
      </c>
      <c r="AE983">
        <v>0.20865380566572087</v>
      </c>
      <c r="AF983">
        <v>5.2999248697479552E-3</v>
      </c>
      <c r="AG983">
        <v>0.51078487843552589</v>
      </c>
      <c r="AH983">
        <v>0.20892423297517773</v>
      </c>
      <c r="AI983">
        <v>1.069326361864644E-4</v>
      </c>
    </row>
    <row r="984" spans="23:35" x14ac:dyDescent="0.25">
      <c r="W984">
        <v>982</v>
      </c>
      <c r="X984">
        <v>71.456547209495042</v>
      </c>
      <c r="Y984">
        <v>1.2434527905049606</v>
      </c>
      <c r="Z984">
        <v>71.453312123460563</v>
      </c>
      <c r="AA984">
        <v>0.57246816252274102</v>
      </c>
      <c r="AB984">
        <v>73</v>
      </c>
      <c r="AC984">
        <v>0.16337348484333708</v>
      </c>
      <c r="AD984">
        <v>0.2854688489710458</v>
      </c>
      <c r="AE984">
        <v>0.20873386927307452</v>
      </c>
      <c r="AF984">
        <v>2.5949446492218235E-3</v>
      </c>
      <c r="AG984">
        <v>0.28583995931661632</v>
      </c>
      <c r="AH984">
        <v>0.20916195374076799</v>
      </c>
      <c r="AI984">
        <v>1.6351555170684001E-5</v>
      </c>
    </row>
    <row r="985" spans="23:35" x14ac:dyDescent="0.25">
      <c r="W985">
        <v>983</v>
      </c>
      <c r="X985">
        <v>71.718738813360858</v>
      </c>
      <c r="Y985">
        <v>1.1812611866391478</v>
      </c>
      <c r="Z985">
        <v>71.716039748531259</v>
      </c>
      <c r="AA985">
        <v>0.58762886597938147</v>
      </c>
      <c r="AB985">
        <v>73</v>
      </c>
      <c r="AC985">
        <v>0.206674078513852</v>
      </c>
      <c r="AD985">
        <v>0.27119105273559152</v>
      </c>
      <c r="AE985">
        <v>0.20890374124572106</v>
      </c>
      <c r="AF985">
        <v>2.2796920979846875E-3</v>
      </c>
      <c r="AG985">
        <v>0.27150069830869039</v>
      </c>
      <c r="AH985">
        <v>0.20922525552488927</v>
      </c>
      <c r="AI985">
        <v>1.2955850601633346E-5</v>
      </c>
    </row>
    <row r="986" spans="23:35" x14ac:dyDescent="0.25">
      <c r="W986">
        <v>984</v>
      </c>
      <c r="X986">
        <v>71.498651479780605</v>
      </c>
      <c r="Y986">
        <v>0.30134852021939196</v>
      </c>
      <c r="Z986">
        <v>71.497998555339692</v>
      </c>
      <c r="AA986">
        <v>0.51061249241964823</v>
      </c>
      <c r="AB986">
        <v>73</v>
      </c>
      <c r="AC986">
        <v>1.0640830227304372E-2</v>
      </c>
      <c r="AD986">
        <v>6.9182855885685152E-2</v>
      </c>
      <c r="AE986">
        <v>0.21064296180556469</v>
      </c>
      <c r="AF986">
        <v>2.1619911178048252E-3</v>
      </c>
      <c r="AG986">
        <v>6.9257763730127625E-2</v>
      </c>
      <c r="AH986">
        <v>0.2108686426144688</v>
      </c>
      <c r="AI986">
        <v>7.9944288061480598E-7</v>
      </c>
    </row>
    <row r="987" spans="23:35" x14ac:dyDescent="0.25">
      <c r="W987">
        <v>985</v>
      </c>
      <c r="X987">
        <v>71.191140214283635</v>
      </c>
      <c r="Y987">
        <v>0.90885978571635917</v>
      </c>
      <c r="Z987">
        <v>71.189252055488481</v>
      </c>
      <c r="AA987">
        <v>0.5312310491206792</v>
      </c>
      <c r="AB987">
        <v>73</v>
      </c>
      <c r="AC987">
        <v>6.3887210036911155E-2</v>
      </c>
      <c r="AD987">
        <v>0.20865380566572087</v>
      </c>
      <c r="AE987">
        <v>0.21198675750900725</v>
      </c>
      <c r="AF987">
        <v>2.073195779944238E-3</v>
      </c>
      <c r="AG987">
        <v>0.20887043265127658</v>
      </c>
      <c r="AH987">
        <v>0.21232540002979536</v>
      </c>
      <c r="AI987">
        <v>6.9719170060721233E-6</v>
      </c>
    </row>
    <row r="988" spans="23:35" x14ac:dyDescent="0.25">
      <c r="W988">
        <v>986</v>
      </c>
      <c r="X988">
        <v>71.004904306371785</v>
      </c>
      <c r="Y988">
        <v>0.89509569362822106</v>
      </c>
      <c r="Z988">
        <v>71.002961052819273</v>
      </c>
      <c r="AA988">
        <v>0.51607034566403887</v>
      </c>
      <c r="AB988">
        <v>73</v>
      </c>
      <c r="AC988">
        <v>2.7365033500434649E-2</v>
      </c>
      <c r="AD988">
        <v>0.20549387908424074</v>
      </c>
      <c r="AE988">
        <v>0.21464910996072739</v>
      </c>
      <c r="AF988">
        <v>2.166297861003781E-3</v>
      </c>
      <c r="AG988">
        <v>0.20571682184537615</v>
      </c>
      <c r="AH988">
        <v>0.21480856781569857</v>
      </c>
      <c r="AI988">
        <v>7.0673445174394726E-6</v>
      </c>
    </row>
    <row r="989" spans="23:35" x14ac:dyDescent="0.25">
      <c r="W989">
        <v>987</v>
      </c>
      <c r="X989">
        <v>70.750758756377579</v>
      </c>
      <c r="Y989">
        <v>0.74924124362242139</v>
      </c>
      <c r="Z989">
        <v>70.749111218342676</v>
      </c>
      <c r="AA989">
        <v>0.49120679199514855</v>
      </c>
      <c r="AB989">
        <v>73</v>
      </c>
      <c r="AC989">
        <v>-2.7365033500434788E-2</v>
      </c>
      <c r="AD989">
        <v>0.17200897135119203</v>
      </c>
      <c r="AE989">
        <v>0.2148412267568435</v>
      </c>
      <c r="AF989">
        <v>2.1941172583007087E-3</v>
      </c>
      <c r="AG989">
        <v>0.17219798637528311</v>
      </c>
      <c r="AH989">
        <v>0.21502359289368436</v>
      </c>
      <c r="AI989">
        <v>5.0156423233050981E-6</v>
      </c>
    </row>
    <row r="990" spans="23:35" x14ac:dyDescent="0.25">
      <c r="W990">
        <v>988</v>
      </c>
      <c r="X990">
        <v>70.08820675074918</v>
      </c>
      <c r="Y990">
        <v>1.4117932492508203</v>
      </c>
      <c r="Z990">
        <v>70.085590378390222</v>
      </c>
      <c r="AA990">
        <v>0.49120679199514855</v>
      </c>
      <c r="AB990">
        <v>73</v>
      </c>
      <c r="AC990">
        <v>-2.7365033500434788E-2</v>
      </c>
      <c r="AD990">
        <v>0.32411603956838492</v>
      </c>
      <c r="AE990">
        <v>0.21580851742178239</v>
      </c>
      <c r="AF990">
        <v>1.8497981906965919E-3</v>
      </c>
      <c r="AG990">
        <v>0.32441623073423437</v>
      </c>
      <c r="AH990">
        <v>0.21609068216251776</v>
      </c>
      <c r="AI990">
        <v>1.5003419322004045E-5</v>
      </c>
    </row>
    <row r="991" spans="23:35" x14ac:dyDescent="0.25">
      <c r="W991">
        <v>989</v>
      </c>
      <c r="X991">
        <v>69.947943495379064</v>
      </c>
      <c r="Y991">
        <v>1.5520565046209356</v>
      </c>
      <c r="Z991">
        <v>69.944663186140119</v>
      </c>
      <c r="AA991">
        <v>0.49120679199514855</v>
      </c>
      <c r="AB991">
        <v>73</v>
      </c>
      <c r="AC991">
        <v>-2.7365033500434788E-2</v>
      </c>
      <c r="AD991">
        <v>0.35631733451837516</v>
      </c>
      <c r="AE991">
        <v>0.21617704853329167</v>
      </c>
      <c r="AF991">
        <v>2.1090668012947239E-3</v>
      </c>
      <c r="AG991">
        <v>0.35669367845446848</v>
      </c>
      <c r="AH991">
        <v>0.21645662317230813</v>
      </c>
      <c r="AI991">
        <v>2.0684962205540722E-5</v>
      </c>
    </row>
    <row r="992" spans="23:35" x14ac:dyDescent="0.25">
      <c r="W992">
        <v>990</v>
      </c>
      <c r="X992">
        <v>69.573415108497215</v>
      </c>
      <c r="Y992">
        <v>1.4265848915027846</v>
      </c>
      <c r="Z992">
        <v>69.570459321192715</v>
      </c>
      <c r="AA992">
        <v>0.46937537901758641</v>
      </c>
      <c r="AB992">
        <v>73</v>
      </c>
      <c r="AC992">
        <v>-9.743972564826138E-2</v>
      </c>
      <c r="AD992">
        <v>0.32751186860210718</v>
      </c>
      <c r="AE992">
        <v>0.21655159555166903</v>
      </c>
      <c r="AF992">
        <v>2.0676482651490972E-3</v>
      </c>
      <c r="AG992">
        <v>0.32785098424518078</v>
      </c>
      <c r="AH992">
        <v>0.21687394816363612</v>
      </c>
      <c r="AI992">
        <v>1.7131097645084444E-5</v>
      </c>
    </row>
    <row r="993" spans="23:35" x14ac:dyDescent="0.25">
      <c r="W993">
        <v>991</v>
      </c>
      <c r="X993">
        <v>74.66379992567316</v>
      </c>
      <c r="Y993">
        <v>1.9362000743268339</v>
      </c>
      <c r="Z993">
        <v>74.659995775926504</v>
      </c>
      <c r="AA993">
        <v>0.82413583990297146</v>
      </c>
      <c r="AB993">
        <v>73</v>
      </c>
      <c r="AC993">
        <v>0.91841998904288702</v>
      </c>
      <c r="AD993">
        <v>0.44450807526940811</v>
      </c>
      <c r="AE993">
        <v>0.21677741846194154</v>
      </c>
      <c r="AF993">
        <v>1.960897661692957E-3</v>
      </c>
      <c r="AG993">
        <v>0.44494453468628825</v>
      </c>
      <c r="AH993">
        <v>0.21707011172182486</v>
      </c>
      <c r="AI993">
        <v>2.9920977165214902E-5</v>
      </c>
    </row>
    <row r="994" spans="23:35" x14ac:dyDescent="0.25">
      <c r="W994">
        <v>992</v>
      </c>
      <c r="X994">
        <v>74.396588061362237</v>
      </c>
      <c r="Y994">
        <v>2.2034119386377569</v>
      </c>
      <c r="Z994">
        <v>74.392215023307912</v>
      </c>
      <c r="AA994">
        <v>0.82413583990297146</v>
      </c>
      <c r="AB994">
        <v>73</v>
      </c>
      <c r="AC994">
        <v>0.91841998904288702</v>
      </c>
      <c r="AD994">
        <v>0.50585392122248951</v>
      </c>
      <c r="AE994">
        <v>0.21838107793518616</v>
      </c>
      <c r="AF994">
        <v>1.980735488509037E-3</v>
      </c>
      <c r="AG994">
        <v>0.50635564809368627</v>
      </c>
      <c r="AH994">
        <v>0.22032101044832955</v>
      </c>
      <c r="AI994">
        <v>3.9143127582591167E-5</v>
      </c>
    </row>
    <row r="995" spans="23:35" x14ac:dyDescent="0.25">
      <c r="W995">
        <v>993</v>
      </c>
      <c r="X995">
        <v>74.885282093362093</v>
      </c>
      <c r="Y995">
        <v>1.4147179066379039</v>
      </c>
      <c r="Z995">
        <v>74.882249222430119</v>
      </c>
      <c r="AA995">
        <v>0.8168587022437841</v>
      </c>
      <c r="AB995">
        <v>73</v>
      </c>
      <c r="AC995">
        <v>0.89095501331493132</v>
      </c>
      <c r="AD995">
        <v>0.32478747525480639</v>
      </c>
      <c r="AE995">
        <v>0.2196595991401426</v>
      </c>
      <c r="AF995">
        <v>2.1392130266873833E-3</v>
      </c>
      <c r="AG995">
        <v>0.32513542841286397</v>
      </c>
      <c r="AH995">
        <v>0.22045091595514674</v>
      </c>
      <c r="AI995">
        <v>1.7432887030188459E-5</v>
      </c>
    </row>
    <row r="996" spans="23:35" x14ac:dyDescent="0.25">
      <c r="W996">
        <v>994</v>
      </c>
      <c r="X996">
        <v>71.967181543901631</v>
      </c>
      <c r="Y996">
        <v>4.132818456098363</v>
      </c>
      <c r="Z996">
        <v>71.942890269271828</v>
      </c>
      <c r="AA996">
        <v>0.81079442086112796</v>
      </c>
      <c r="AB996">
        <v>73</v>
      </c>
      <c r="AC996">
        <v>0.873012700415573</v>
      </c>
      <c r="AD996">
        <v>0.94880234833007726</v>
      </c>
      <c r="AE996">
        <v>0.22184688913397496</v>
      </c>
      <c r="AF996">
        <v>5.8433085011569182E-3</v>
      </c>
      <c r="AG996">
        <v>0.9515866287602871</v>
      </c>
      <c r="AH996">
        <v>0.22211757368453197</v>
      </c>
      <c r="AI996">
        <v>4.0940890551491614E-4</v>
      </c>
    </row>
    <row r="997" spans="23:35" x14ac:dyDescent="0.25">
      <c r="W997">
        <v>995</v>
      </c>
      <c r="X997">
        <v>71.646113715933865</v>
      </c>
      <c r="Y997">
        <v>3.9538862840661295</v>
      </c>
      <c r="Z997">
        <v>71.623065855317918</v>
      </c>
      <c r="AA997">
        <v>0.78835657974530016</v>
      </c>
      <c r="AB997">
        <v>73</v>
      </c>
      <c r="AC997">
        <v>0.78719041678006285</v>
      </c>
      <c r="AD997">
        <v>0.90772353811389883</v>
      </c>
      <c r="AE997">
        <v>0.2238225400313737</v>
      </c>
      <c r="AF997">
        <v>5.7953840263526811E-3</v>
      </c>
      <c r="AG997">
        <v>0.91036532956912075</v>
      </c>
      <c r="AH997">
        <v>0.2243156289016956</v>
      </c>
      <c r="AI997">
        <v>3.716160914587772E-4</v>
      </c>
    </row>
    <row r="998" spans="23:35" x14ac:dyDescent="0.25">
      <c r="W998">
        <v>996</v>
      </c>
      <c r="X998">
        <v>75.117151845606969</v>
      </c>
      <c r="Y998">
        <v>0.58284815439303372</v>
      </c>
      <c r="Z998">
        <v>75.116266526418059</v>
      </c>
      <c r="AA998">
        <v>0.79199514857489384</v>
      </c>
      <c r="AB998">
        <v>73</v>
      </c>
      <c r="AC998">
        <v>0.80177968430189828</v>
      </c>
      <c r="AD998">
        <v>0.13380885308231891</v>
      </c>
      <c r="AE998">
        <v>0.223942306392788</v>
      </c>
      <c r="AF998">
        <v>1.5166496851330715E-3</v>
      </c>
      <c r="AG998">
        <v>0.1339104392273282</v>
      </c>
      <c r="AH998">
        <v>0.22573855622441724</v>
      </c>
      <c r="AI998">
        <v>2.0952216287897731E-6</v>
      </c>
    </row>
    <row r="999" spans="23:35" x14ac:dyDescent="0.25">
      <c r="W999">
        <v>997</v>
      </c>
      <c r="X999">
        <v>75.241666754390593</v>
      </c>
      <c r="Y999">
        <v>0.35833324560940127</v>
      </c>
      <c r="Z999">
        <v>75.241118004700454</v>
      </c>
      <c r="AA999">
        <v>0.78835657974530016</v>
      </c>
      <c r="AB999">
        <v>73</v>
      </c>
      <c r="AC999">
        <v>0.78719041678006285</v>
      </c>
      <c r="AD999">
        <v>8.2265269701662022E-2</v>
      </c>
      <c r="AE999">
        <v>0.22555689483372079</v>
      </c>
      <c r="AF999">
        <v>1.5290532746697091E-3</v>
      </c>
      <c r="AG999">
        <v>8.2328235909899655E-2</v>
      </c>
      <c r="AH999">
        <v>0.22599620457806699</v>
      </c>
      <c r="AI999">
        <v>7.9843846640539054E-7</v>
      </c>
    </row>
    <row r="1000" spans="23:35" x14ac:dyDescent="0.25">
      <c r="W1000">
        <v>998</v>
      </c>
      <c r="X1000">
        <v>74.189253991927814</v>
      </c>
      <c r="Y1000">
        <v>1.8107460080721864</v>
      </c>
      <c r="Z1000">
        <v>74.185869411990708</v>
      </c>
      <c r="AA1000">
        <v>0.80836870830806551</v>
      </c>
      <c r="AB1000">
        <v>73</v>
      </c>
      <c r="AC1000">
        <v>0.83794453378675593</v>
      </c>
      <c r="AD1000">
        <v>0.41570663771912691</v>
      </c>
      <c r="AE1000">
        <v>0.22713225604162332</v>
      </c>
      <c r="AF1000">
        <v>1.8656760210512633E-3</v>
      </c>
      <c r="AG1000">
        <v>0.41609496813063079</v>
      </c>
      <c r="AH1000">
        <v>0.22728677182111026</v>
      </c>
      <c r="AI1000">
        <v>2.4893663502549334E-5</v>
      </c>
    </row>
    <row r="1001" spans="23:35" x14ac:dyDescent="0.25">
      <c r="W1001">
        <v>999</v>
      </c>
      <c r="X1001">
        <v>74.771874078228223</v>
      </c>
      <c r="Y1001">
        <v>1.0281259217717746</v>
      </c>
      <c r="Z1001">
        <v>74.770258138682024</v>
      </c>
      <c r="AA1001">
        <v>0.79624014554275313</v>
      </c>
      <c r="AB1001">
        <v>73</v>
      </c>
      <c r="AC1001">
        <v>0.81442193874053515</v>
      </c>
      <c r="AD1001">
        <v>0.23603463334244945</v>
      </c>
      <c r="AE1001">
        <v>0.23113344553660672</v>
      </c>
      <c r="AF1001">
        <v>1.5692666355560595E-3</v>
      </c>
      <c r="AG1001">
        <v>0.23622005223724402</v>
      </c>
      <c r="AH1001">
        <v>0.231384493628325</v>
      </c>
      <c r="AI1001">
        <v>6.74635158304716E-6</v>
      </c>
    </row>
    <row r="1002" spans="23:35" x14ac:dyDescent="0.25">
      <c r="W1002">
        <v>1000</v>
      </c>
      <c r="X1002">
        <v>74.654398203837218</v>
      </c>
      <c r="Y1002">
        <v>0.64560179616277935</v>
      </c>
      <c r="Z1002">
        <v>74.653432719806972</v>
      </c>
      <c r="AA1002">
        <v>0.77258944815039421</v>
      </c>
      <c r="AB1002">
        <v>73</v>
      </c>
      <c r="AC1002">
        <v>0.72844171022016913</v>
      </c>
      <c r="AD1002">
        <v>0.14821568060447657</v>
      </c>
      <c r="AE1002">
        <v>0.23122562237494479</v>
      </c>
      <c r="AF1002">
        <v>1.4932460392234558E-3</v>
      </c>
      <c r="AG1002">
        <v>0.14832646593124682</v>
      </c>
      <c r="AH1002">
        <v>0.23268119581726188</v>
      </c>
      <c r="AI1002">
        <v>2.5308960663049591E-6</v>
      </c>
    </row>
    <row r="1003" spans="23:35" x14ac:dyDescent="0.25">
      <c r="W1003">
        <v>1001</v>
      </c>
      <c r="X1003">
        <v>74.376084688225347</v>
      </c>
      <c r="Y1003">
        <v>1.0239153117746582</v>
      </c>
      <c r="Z1003">
        <v>74.374573301999249</v>
      </c>
      <c r="AA1003">
        <v>0.77986658580958157</v>
      </c>
      <c r="AB1003">
        <v>73</v>
      </c>
      <c r="AC1003">
        <v>0.74840704313415274</v>
      </c>
      <c r="AD1003">
        <v>0.23506797180248484</v>
      </c>
      <c r="AE1003">
        <v>0.23242203681001256</v>
      </c>
      <c r="AF1003">
        <v>1.473909572521821E-3</v>
      </c>
      <c r="AG1003">
        <v>0.23524139800386951</v>
      </c>
      <c r="AH1003">
        <v>0.23457804498384441</v>
      </c>
      <c r="AI1003">
        <v>6.283412526573275E-6</v>
      </c>
    </row>
    <row r="1004" spans="23:35" x14ac:dyDescent="0.25">
      <c r="W1004">
        <v>1002</v>
      </c>
      <c r="X1004">
        <v>74.164902117402846</v>
      </c>
      <c r="Y1004">
        <v>0.83509788259715378</v>
      </c>
      <c r="Z1004">
        <v>74.163702727157158</v>
      </c>
      <c r="AA1004">
        <v>0.76046088538508183</v>
      </c>
      <c r="AB1004">
        <v>73</v>
      </c>
      <c r="AC1004">
        <v>0.67020216077934069</v>
      </c>
      <c r="AD1004">
        <v>0.19171972843967491</v>
      </c>
      <c r="AE1004">
        <v>0.2347304074556123</v>
      </c>
      <c r="AF1004">
        <v>1.4341673524851603E-3</v>
      </c>
      <c r="AG1004">
        <v>0.1918573555803216</v>
      </c>
      <c r="AH1004">
        <v>0.23524139800386951</v>
      </c>
      <c r="AI1004">
        <v>4.0666489698991181E-6</v>
      </c>
    </row>
    <row r="1005" spans="23:35" x14ac:dyDescent="0.25">
      <c r="W1005">
        <v>1003</v>
      </c>
      <c r="X1005">
        <v>73.26783585712208</v>
      </c>
      <c r="Y1005">
        <v>1.7321641428779202</v>
      </c>
      <c r="Z1005">
        <v>73.264853491521762</v>
      </c>
      <c r="AA1005">
        <v>0.76046088538508183</v>
      </c>
      <c r="AB1005">
        <v>73</v>
      </c>
      <c r="AC1005">
        <v>0.67020216077934069</v>
      </c>
      <c r="AD1005">
        <v>0.397666005394119</v>
      </c>
      <c r="AE1005">
        <v>0.23506797180248484</v>
      </c>
      <c r="AF1005">
        <v>1.7187975688189477E-3</v>
      </c>
      <c r="AG1005">
        <v>0.39800820026177341</v>
      </c>
      <c r="AH1005">
        <v>0.23536258346523348</v>
      </c>
      <c r="AI1005">
        <v>2.0980340149982459E-5</v>
      </c>
    </row>
    <row r="1006" spans="23:35" x14ac:dyDescent="0.25">
      <c r="W1006">
        <v>1004</v>
      </c>
      <c r="X1006">
        <v>73.089350909891238</v>
      </c>
      <c r="Y1006">
        <v>1.9106490901087625</v>
      </c>
      <c r="Z1006">
        <v>73.086120192825476</v>
      </c>
      <c r="AA1006">
        <v>0.76046088538508183</v>
      </c>
      <c r="AB1006">
        <v>73</v>
      </c>
      <c r="AC1006">
        <v>0.67020216077934069</v>
      </c>
      <c r="AD1006">
        <v>0.43864214283473313</v>
      </c>
      <c r="AE1006">
        <v>0.23603463334244945</v>
      </c>
      <c r="AF1006">
        <v>1.6880459544295306E-3</v>
      </c>
      <c r="AG1006">
        <v>0.4390128362587854</v>
      </c>
      <c r="AH1006">
        <v>0.23622005223724402</v>
      </c>
      <c r="AI1006">
        <v>2.5068542184811585E-5</v>
      </c>
    </row>
    <row r="1007" spans="23:35" x14ac:dyDescent="0.25">
      <c r="W1007">
        <v>1005</v>
      </c>
      <c r="X1007">
        <v>72.839835521397703</v>
      </c>
      <c r="Y1007">
        <v>1.9601644786022945</v>
      </c>
      <c r="Z1007">
        <v>72.836381590092145</v>
      </c>
      <c r="AA1007">
        <v>0.74166161309884782</v>
      </c>
      <c r="AB1007">
        <v>73</v>
      </c>
      <c r="AC1007">
        <v>0.63261352584071384</v>
      </c>
      <c r="AD1007">
        <v>0.45000976456314834</v>
      </c>
      <c r="AE1007">
        <v>0.23746923017136679</v>
      </c>
      <c r="AF1007">
        <v>1.7589625805743009E-3</v>
      </c>
      <c r="AG1007">
        <v>0.45040606261330918</v>
      </c>
      <c r="AH1007">
        <v>0.23775901458521687</v>
      </c>
      <c r="AI1007">
        <v>2.7497061428594105E-5</v>
      </c>
    </row>
    <row r="1008" spans="23:35" x14ac:dyDescent="0.25">
      <c r="W1008">
        <v>1006</v>
      </c>
      <c r="X1008">
        <v>74.014580395357655</v>
      </c>
      <c r="Y1008">
        <v>-5.614580395357649</v>
      </c>
      <c r="Z1008">
        <v>74.035002205245036</v>
      </c>
      <c r="AA1008">
        <v>0.40024257125530627</v>
      </c>
      <c r="AB1008">
        <v>73.099999999999994</v>
      </c>
      <c r="AC1008">
        <v>-0.26293383539244392</v>
      </c>
      <c r="AD1008">
        <v>-1.2889816285403666</v>
      </c>
      <c r="AE1008">
        <v>0.23804300195342717</v>
      </c>
      <c r="AF1008">
        <v>3.6240997152365015E-3</v>
      </c>
      <c r="AG1008">
        <v>-1.2913236953556446</v>
      </c>
      <c r="AH1008">
        <v>0.23872440632161296</v>
      </c>
      <c r="AI1008">
        <v>4.6655603577965785E-4</v>
      </c>
    </row>
    <row r="1009" spans="23:35" x14ac:dyDescent="0.25">
      <c r="W1009">
        <v>1007</v>
      </c>
      <c r="X1009">
        <v>70.61247169152017</v>
      </c>
      <c r="Y1009">
        <v>-2.5124716915201759</v>
      </c>
      <c r="Z1009">
        <v>70.632102718763164</v>
      </c>
      <c r="AA1009">
        <v>0.38932686476652517</v>
      </c>
      <c r="AB1009">
        <v>73.099999999999994</v>
      </c>
      <c r="AC1009">
        <v>-0.29295400660571042</v>
      </c>
      <c r="AD1009">
        <v>-0.57680710303391269</v>
      </c>
      <c r="AE1009">
        <v>0.23838949256749775</v>
      </c>
      <c r="AF1009">
        <v>7.7528557974868321E-3</v>
      </c>
      <c r="AG1009">
        <v>-0.57905614000661443</v>
      </c>
      <c r="AH1009">
        <v>0.23877252786640124</v>
      </c>
      <c r="AI1009">
        <v>2.0153006189217645E-4</v>
      </c>
    </row>
    <row r="1010" spans="23:35" x14ac:dyDescent="0.25">
      <c r="W1010">
        <v>1008</v>
      </c>
      <c r="X1010">
        <v>73.455672714591401</v>
      </c>
      <c r="Y1010">
        <v>-5.6556727145914039</v>
      </c>
      <c r="Z1010">
        <v>73.476428727855193</v>
      </c>
      <c r="AA1010">
        <v>0.37355973317161917</v>
      </c>
      <c r="AB1010">
        <v>73.099999999999994</v>
      </c>
      <c r="AC1010">
        <v>-0.337689309602062</v>
      </c>
      <c r="AD1010">
        <v>-1.2984155026389939</v>
      </c>
      <c r="AE1010">
        <v>0.23869505746802691</v>
      </c>
      <c r="AF1010">
        <v>3.6565267105256411E-3</v>
      </c>
      <c r="AG1010">
        <v>-1.3007958780448377</v>
      </c>
      <c r="AH1010">
        <v>0.2391880481937349</v>
      </c>
      <c r="AI1010">
        <v>4.7767732027817814E-4</v>
      </c>
    </row>
    <row r="1011" spans="23:35" x14ac:dyDescent="0.25">
      <c r="W1011">
        <v>1009</v>
      </c>
      <c r="X1011">
        <v>73.129288638560197</v>
      </c>
      <c r="Y1011">
        <v>-5.8292886385602003</v>
      </c>
      <c r="Z1011">
        <v>73.149499533792508</v>
      </c>
      <c r="AA1011">
        <v>0.35112189205579136</v>
      </c>
      <c r="AB1011">
        <v>73.099999999999994</v>
      </c>
      <c r="AC1011">
        <v>-0.39787592189543292</v>
      </c>
      <c r="AD1011">
        <v>-1.3382738216333887</v>
      </c>
      <c r="AE1011">
        <v>0.24059447941205375</v>
      </c>
      <c r="AF1011">
        <v>3.4551494731391184E-3</v>
      </c>
      <c r="AG1011">
        <v>-1.3405917981272035</v>
      </c>
      <c r="AH1011">
        <v>0.24131031001549594</v>
      </c>
      <c r="AI1011">
        <v>4.7931360296542134E-4</v>
      </c>
    </row>
    <row r="1012" spans="23:35" x14ac:dyDescent="0.25">
      <c r="W1012">
        <v>1010</v>
      </c>
      <c r="X1012">
        <v>72.261633031613201</v>
      </c>
      <c r="Y1012">
        <v>-5.9616330316132036</v>
      </c>
      <c r="Z1012">
        <v>72.271952215409627</v>
      </c>
      <c r="AA1012">
        <v>0.31898120072771374</v>
      </c>
      <c r="AB1012">
        <v>73.099999999999994</v>
      </c>
      <c r="AC1012">
        <v>-0.47479897905845492</v>
      </c>
      <c r="AD1012">
        <v>-1.3686571235497165</v>
      </c>
      <c r="AE1012">
        <v>0.24218322272262441</v>
      </c>
      <c r="AF1012">
        <v>1.7279414543548419E-3</v>
      </c>
      <c r="AG1012">
        <v>-1.3698411378917461</v>
      </c>
      <c r="AH1012">
        <v>0.24240365899752556</v>
      </c>
      <c r="AI1012">
        <v>2.4984874070173367E-4</v>
      </c>
    </row>
    <row r="1013" spans="23:35" x14ac:dyDescent="0.25">
      <c r="W1013">
        <v>1011</v>
      </c>
      <c r="X1013">
        <v>72.302437443933712</v>
      </c>
      <c r="Y1013">
        <v>-5.4024374439337066</v>
      </c>
      <c r="Z1013">
        <v>72.310030649410251</v>
      </c>
      <c r="AA1013">
        <v>0.33474833232261975</v>
      </c>
      <c r="AB1013">
        <v>73.099999999999994</v>
      </c>
      <c r="AC1013">
        <v>-0.43267393579163727</v>
      </c>
      <c r="AD1013">
        <v>-1.2402783688567238</v>
      </c>
      <c r="AE1013">
        <v>0.24256559749841641</v>
      </c>
      <c r="AF1013">
        <v>1.4035420441405946E-3</v>
      </c>
      <c r="AG1013">
        <v>-1.2411496775714503</v>
      </c>
      <c r="AH1013">
        <v>0.24282111173164808</v>
      </c>
      <c r="AI1013">
        <v>1.6654836392498973E-4</v>
      </c>
    </row>
    <row r="1014" spans="23:35" x14ac:dyDescent="0.25">
      <c r="W1014">
        <v>1012</v>
      </c>
      <c r="X1014">
        <v>72.083414783310957</v>
      </c>
      <c r="Y1014">
        <v>-4.6834147833109512</v>
      </c>
      <c r="Z1014">
        <v>72.089527746591855</v>
      </c>
      <c r="AA1014">
        <v>0.3547604608853851</v>
      </c>
      <c r="AB1014">
        <v>73.099999999999994</v>
      </c>
      <c r="AC1014">
        <v>-0.38147581702590427</v>
      </c>
      <c r="AD1014">
        <v>-1.0752069058470808</v>
      </c>
      <c r="AE1014">
        <v>0.24314319179897545</v>
      </c>
      <c r="AF1014">
        <v>1.3035349423690412E-3</v>
      </c>
      <c r="AG1014">
        <v>-1.0759083766013793</v>
      </c>
      <c r="AH1014">
        <v>0.24341624258503033</v>
      </c>
      <c r="AI1014">
        <v>1.1622415299550803E-4</v>
      </c>
    </row>
    <row r="1015" spans="23:35" x14ac:dyDescent="0.25">
      <c r="W1015">
        <v>1013</v>
      </c>
      <c r="X1015">
        <v>71.793607982943158</v>
      </c>
      <c r="Y1015">
        <v>-5.893607982943152</v>
      </c>
      <c r="Z1015">
        <v>71.802423872829621</v>
      </c>
      <c r="AA1015">
        <v>0.30563978168587025</v>
      </c>
      <c r="AB1015">
        <v>73.099999999999994</v>
      </c>
      <c r="AC1015">
        <v>-0.52126361871264315</v>
      </c>
      <c r="AD1015">
        <v>-1.3530400993302822</v>
      </c>
      <c r="AE1015">
        <v>0.2435839431908729</v>
      </c>
      <c r="AF1015">
        <v>1.4936050131958475E-3</v>
      </c>
      <c r="AG1015">
        <v>-1.3540516863927701</v>
      </c>
      <c r="AH1015">
        <v>0.24518907282720551</v>
      </c>
      <c r="AI1015">
        <v>2.1096579398321397E-4</v>
      </c>
    </row>
    <row r="1016" spans="23:35" x14ac:dyDescent="0.25">
      <c r="W1016">
        <v>1014</v>
      </c>
      <c r="X1016">
        <v>71.42076255286085</v>
      </c>
      <c r="Y1016">
        <v>-6.4207625528608503</v>
      </c>
      <c r="Z1016">
        <v>71.432878563012494</v>
      </c>
      <c r="AA1016">
        <v>0.27289266221952696</v>
      </c>
      <c r="AB1016">
        <v>73.099999999999994</v>
      </c>
      <c r="AC1016">
        <v>-0.62335641379693996</v>
      </c>
      <c r="AD1016">
        <v>-1.4740629555684512</v>
      </c>
      <c r="AE1016">
        <v>0.24489999182736166</v>
      </c>
      <c r="AF1016">
        <v>1.8834507806979094E-3</v>
      </c>
      <c r="AG1016">
        <v>-1.4754530820653076</v>
      </c>
      <c r="AH1016">
        <v>0.24614716923727747</v>
      </c>
      <c r="AI1016">
        <v>3.1599519191532354E-4</v>
      </c>
    </row>
    <row r="1017" spans="23:35" x14ac:dyDescent="0.25">
      <c r="W1017">
        <v>1015</v>
      </c>
      <c r="X1017">
        <v>71.303247237469904</v>
      </c>
      <c r="Y1017">
        <v>-6.803247237469904</v>
      </c>
      <c r="Z1017">
        <v>71.314794841676985</v>
      </c>
      <c r="AA1017">
        <v>0.25409338993329289</v>
      </c>
      <c r="AB1017">
        <v>73.2</v>
      </c>
      <c r="AC1017">
        <v>-0.6664012884495929</v>
      </c>
      <c r="AD1017">
        <v>-1.5618728535381678</v>
      </c>
      <c r="AE1017">
        <v>0.24551676649475906</v>
      </c>
      <c r="AF1017">
        <v>1.6944903662341906E-3</v>
      </c>
      <c r="AG1017">
        <v>-1.5631978268938858</v>
      </c>
      <c r="AH1017">
        <v>0.24823127841522627</v>
      </c>
      <c r="AI1017">
        <v>3.1905104325047741E-4</v>
      </c>
    </row>
    <row r="1018" spans="23:35" x14ac:dyDescent="0.25">
      <c r="W1018">
        <v>1016</v>
      </c>
      <c r="X1018">
        <v>70.954015119630469</v>
      </c>
      <c r="Y1018">
        <v>-6.9540151196304691</v>
      </c>
      <c r="Z1018">
        <v>70.967919860057876</v>
      </c>
      <c r="AA1018">
        <v>0.24075197089144937</v>
      </c>
      <c r="AB1018">
        <v>73.2</v>
      </c>
      <c r="AC1018">
        <v>-0.7126762947196924</v>
      </c>
      <c r="AD1018">
        <v>-1.5964857750023602</v>
      </c>
      <c r="AE1018">
        <v>0.24684374432935938</v>
      </c>
      <c r="AF1018">
        <v>1.9955367895531828E-3</v>
      </c>
      <c r="AG1018">
        <v>-1.598081086075267</v>
      </c>
      <c r="AH1018">
        <v>0.24899490857836448</v>
      </c>
      <c r="AI1018">
        <v>3.9280908703197764E-4</v>
      </c>
    </row>
    <row r="1019" spans="23:35" x14ac:dyDescent="0.25">
      <c r="W1019">
        <v>1017</v>
      </c>
      <c r="X1019">
        <v>68.1942549006327</v>
      </c>
      <c r="Y1019">
        <v>-4.1942549006326999</v>
      </c>
      <c r="Z1019">
        <v>68.218665480256774</v>
      </c>
      <c r="AA1019">
        <v>0.24075197089144937</v>
      </c>
      <c r="AB1019">
        <v>73.2</v>
      </c>
      <c r="AC1019">
        <v>-0.7126762947196924</v>
      </c>
      <c r="AD1019">
        <v>-0.96290677693405224</v>
      </c>
      <c r="AE1019">
        <v>0.2475699032002012</v>
      </c>
      <c r="AF1019">
        <v>5.7863273915198634E-3</v>
      </c>
      <c r="AG1019">
        <v>-0.96570477232358565</v>
      </c>
      <c r="AH1019">
        <v>0.25074881425512036</v>
      </c>
      <c r="AI1019">
        <v>4.1751172282758969E-4</v>
      </c>
    </row>
    <row r="1020" spans="23:35" x14ac:dyDescent="0.25">
      <c r="W1020">
        <v>1018</v>
      </c>
      <c r="X1020">
        <v>70.282039352613239</v>
      </c>
      <c r="Y1020">
        <v>-6.482039352613242</v>
      </c>
      <c r="Z1020">
        <v>70.29361939608016</v>
      </c>
      <c r="AA1020">
        <v>0.23650697392359005</v>
      </c>
      <c r="AB1020">
        <v>73.2</v>
      </c>
      <c r="AC1020">
        <v>-0.72448350403832318</v>
      </c>
      <c r="AD1020">
        <v>-1.488130733314031</v>
      </c>
      <c r="AE1020">
        <v>0.25143778146087192</v>
      </c>
      <c r="AF1020">
        <v>1.7832956877506874E-3</v>
      </c>
      <c r="AG1020">
        <v>-1.4894593991912122</v>
      </c>
      <c r="AH1020">
        <v>0.25294472063390966</v>
      </c>
      <c r="AI1020">
        <v>3.048684710367005E-4</v>
      </c>
    </row>
    <row r="1021" spans="23:35" x14ac:dyDescent="0.25">
      <c r="W1021">
        <v>1019</v>
      </c>
      <c r="X1021">
        <v>69.836478328410948</v>
      </c>
      <c r="Y1021">
        <v>-6.636478328410945</v>
      </c>
      <c r="Z1021">
        <v>69.850963401926805</v>
      </c>
      <c r="AA1021">
        <v>0.22437841115827775</v>
      </c>
      <c r="AB1021">
        <v>73.2</v>
      </c>
      <c r="AC1021">
        <v>-0.7625619542054235</v>
      </c>
      <c r="AD1021">
        <v>-1.5235864554724361</v>
      </c>
      <c r="AE1021">
        <v>0.25350528330839744</v>
      </c>
      <c r="AF1021">
        <v>2.1778910272840539E-3</v>
      </c>
      <c r="AG1021">
        <v>-1.5252482730441361</v>
      </c>
      <c r="AH1021">
        <v>0.25390461447110985</v>
      </c>
      <c r="AI1021">
        <v>3.9058967136051205E-4</v>
      </c>
    </row>
    <row r="1022" spans="23:35" x14ac:dyDescent="0.25">
      <c r="W1022">
        <v>1020</v>
      </c>
      <c r="X1022">
        <v>69.507232239111161</v>
      </c>
      <c r="Y1022">
        <v>-6.7072322391111641</v>
      </c>
      <c r="Z1022">
        <v>69.518235543931439</v>
      </c>
      <c r="AA1022">
        <v>0.21467556094602788</v>
      </c>
      <c r="AB1022">
        <v>73.2</v>
      </c>
      <c r="AC1022">
        <v>-0.79968509868701798</v>
      </c>
      <c r="AD1022">
        <v>-1.5398299651593534</v>
      </c>
      <c r="AE1022">
        <v>0.2544898777563086</v>
      </c>
      <c r="AF1022">
        <v>1.6378265912709367E-3</v>
      </c>
      <c r="AG1022">
        <v>-1.5410925034667937</v>
      </c>
      <c r="AH1022">
        <v>0.25465563970730959</v>
      </c>
      <c r="AI1022">
        <v>2.9970491382308272E-4</v>
      </c>
    </row>
    <row r="1023" spans="23:35" x14ac:dyDescent="0.25">
      <c r="W1023">
        <v>1021</v>
      </c>
      <c r="X1023">
        <v>76.487027297924797</v>
      </c>
      <c r="Y1023">
        <v>-0.58702729792479147</v>
      </c>
      <c r="Z1023">
        <v>76.489583880894557</v>
      </c>
      <c r="AA1023">
        <v>0.79866585809581569</v>
      </c>
      <c r="AB1023">
        <v>73.2</v>
      </c>
      <c r="AC1023">
        <v>0.82933781119598415</v>
      </c>
      <c r="AD1023">
        <v>-0.13476829062816348</v>
      </c>
      <c r="AE1023">
        <v>0.25684923524353553</v>
      </c>
      <c r="AF1023">
        <v>4.3362497731158954E-3</v>
      </c>
      <c r="AG1023">
        <v>-0.1350614388311189</v>
      </c>
      <c r="AH1023">
        <v>0.25732621134730388</v>
      </c>
      <c r="AI1023">
        <v>6.111122452960451E-6</v>
      </c>
    </row>
    <row r="1024" spans="23:35" x14ac:dyDescent="0.25">
      <c r="W1024">
        <v>1022</v>
      </c>
      <c r="X1024">
        <v>73.383614622392571</v>
      </c>
      <c r="Y1024">
        <v>2.4163853776074262</v>
      </c>
      <c r="Z1024">
        <v>73.340363730972456</v>
      </c>
      <c r="AA1024">
        <v>0.79624014554275313</v>
      </c>
      <c r="AB1024">
        <v>73.2</v>
      </c>
      <c r="AC1024">
        <v>0.81442193874053515</v>
      </c>
      <c r="AD1024">
        <v>0.55474784220471451</v>
      </c>
      <c r="AE1024">
        <v>0.25695198654547574</v>
      </c>
      <c r="AF1024">
        <v>1.7584263154980417E-2</v>
      </c>
      <c r="AG1024">
        <v>0.559690539866743</v>
      </c>
      <c r="AH1024">
        <v>0.2582960787018212</v>
      </c>
      <c r="AI1024">
        <v>4.3130197242385925E-4</v>
      </c>
    </row>
    <row r="1025" spans="23:35" x14ac:dyDescent="0.25">
      <c r="W1025">
        <v>1023</v>
      </c>
      <c r="X1025">
        <v>73.373603747176915</v>
      </c>
      <c r="Y1025">
        <v>2.2263962528230792</v>
      </c>
      <c r="Z1025">
        <v>73.332930215586217</v>
      </c>
      <c r="AA1025">
        <v>0.78835657974530016</v>
      </c>
      <c r="AB1025">
        <v>73.2</v>
      </c>
      <c r="AC1025">
        <v>0.78719041678006285</v>
      </c>
      <c r="AD1025">
        <v>0.51113060383157216</v>
      </c>
      <c r="AE1025">
        <v>0.25818355653054409</v>
      </c>
      <c r="AF1025">
        <v>1.7941014374737177E-2</v>
      </c>
      <c r="AG1025">
        <v>0.51577833773151904</v>
      </c>
      <c r="AH1025">
        <v>0.26011480545741889</v>
      </c>
      <c r="AI1025">
        <v>3.7384559221002736E-4</v>
      </c>
    </row>
    <row r="1026" spans="23:35" x14ac:dyDescent="0.25">
      <c r="W1026">
        <v>1024</v>
      </c>
      <c r="X1026">
        <v>76.183182271102908</v>
      </c>
      <c r="Y1026">
        <v>-0.78318227110290195</v>
      </c>
      <c r="Z1026">
        <v>76.184393908389666</v>
      </c>
      <c r="AA1026">
        <v>0.77986658580958157</v>
      </c>
      <c r="AB1026">
        <v>73.2</v>
      </c>
      <c r="AC1026">
        <v>0.74840704313415274</v>
      </c>
      <c r="AD1026">
        <v>-0.1798010693879922</v>
      </c>
      <c r="AE1026">
        <v>0.25961133689271082</v>
      </c>
      <c r="AF1026">
        <v>1.5446796230895255E-3</v>
      </c>
      <c r="AG1026">
        <v>-0.17994009799878447</v>
      </c>
      <c r="AH1026">
        <v>0.26038722254674657</v>
      </c>
      <c r="AI1026">
        <v>3.8532069507649578E-6</v>
      </c>
    </row>
    <row r="1027" spans="23:35" x14ac:dyDescent="0.25">
      <c r="W1027">
        <v>1025</v>
      </c>
      <c r="X1027">
        <v>76.45863932382683</v>
      </c>
      <c r="Y1027">
        <v>-1.1586393238268329</v>
      </c>
      <c r="Z1027">
        <v>76.471252129995008</v>
      </c>
      <c r="AA1027">
        <v>0.77258944815039421</v>
      </c>
      <c r="AB1027">
        <v>73.2</v>
      </c>
      <c r="AC1027">
        <v>0.72844171022016913</v>
      </c>
      <c r="AD1027">
        <v>-0.2659975808258217</v>
      </c>
      <c r="AE1027">
        <v>0.25988454180670867</v>
      </c>
      <c r="AF1027">
        <v>1.0768651637994595E-2</v>
      </c>
      <c r="AG1027">
        <v>-0.26744147054879341</v>
      </c>
      <c r="AH1027">
        <v>0.26128786132731063</v>
      </c>
      <c r="AI1027">
        <v>5.9893212534464797E-5</v>
      </c>
    </row>
    <row r="1028" spans="23:35" x14ac:dyDescent="0.25">
      <c r="W1028">
        <v>1026</v>
      </c>
      <c r="X1028">
        <v>75.710100496246767</v>
      </c>
      <c r="Y1028">
        <v>-0.71010049624676697</v>
      </c>
      <c r="Z1028">
        <v>75.711113096485931</v>
      </c>
      <c r="AA1028">
        <v>0.76046088538508183</v>
      </c>
      <c r="AB1028">
        <v>73.2</v>
      </c>
      <c r="AC1028">
        <v>0.67020216077934069</v>
      </c>
      <c r="AD1028">
        <v>-0.16302313434433865</v>
      </c>
      <c r="AE1028">
        <v>0.26158062867726417</v>
      </c>
      <c r="AF1028">
        <v>1.4239651107107621E-3</v>
      </c>
      <c r="AG1028">
        <v>-0.16313932807871476</v>
      </c>
      <c r="AH1028">
        <v>0.26252659859161054</v>
      </c>
      <c r="AI1028">
        <v>2.9193905350541403E-6</v>
      </c>
    </row>
    <row r="1029" spans="23:35" x14ac:dyDescent="0.25">
      <c r="W1029">
        <v>1027</v>
      </c>
      <c r="X1029">
        <v>75.550192652684885</v>
      </c>
      <c r="Y1029">
        <v>-0.9501926526848905</v>
      </c>
      <c r="Z1029">
        <v>75.551531987726108</v>
      </c>
      <c r="AA1029">
        <v>0.73013947847180105</v>
      </c>
      <c r="AB1029">
        <v>73.2</v>
      </c>
      <c r="AC1029">
        <v>0.59589828697336056</v>
      </c>
      <c r="AD1029">
        <v>-0.21814290412468881</v>
      </c>
      <c r="AE1029">
        <v>0.26494580857666694</v>
      </c>
      <c r="AF1029">
        <v>1.4075565072981637E-3</v>
      </c>
      <c r="AG1029">
        <v>-0.21829659061766085</v>
      </c>
      <c r="AH1029">
        <v>0.26517938954577452</v>
      </c>
      <c r="AI1029">
        <v>5.1668769282768703E-6</v>
      </c>
    </row>
    <row r="1030" spans="23:35" x14ac:dyDescent="0.25">
      <c r="W1030">
        <v>1028</v>
      </c>
      <c r="X1030">
        <v>75.68852894801384</v>
      </c>
      <c r="Y1030">
        <v>-1.4885289480138368</v>
      </c>
      <c r="Z1030">
        <v>75.704254168778888</v>
      </c>
      <c r="AA1030">
        <v>0.7010309278350515</v>
      </c>
      <c r="AB1030">
        <v>73.2</v>
      </c>
      <c r="AC1030">
        <v>0.5039283835636299</v>
      </c>
      <c r="AD1030">
        <v>-0.34173283352159278</v>
      </c>
      <c r="AE1030">
        <v>0.2665760843802486</v>
      </c>
      <c r="AF1030">
        <v>1.0453832265472467E-2</v>
      </c>
      <c r="AG1030">
        <v>-0.34353317005561185</v>
      </c>
      <c r="AH1030">
        <v>0.26712921795029154</v>
      </c>
      <c r="AI1030">
        <v>9.5903281570111756E-5</v>
      </c>
    </row>
    <row r="1031" spans="23:35" x14ac:dyDescent="0.25">
      <c r="W1031">
        <v>1029</v>
      </c>
      <c r="X1031">
        <v>71.332698945802065</v>
      </c>
      <c r="Y1031">
        <v>2.4673010541979323</v>
      </c>
      <c r="Z1031">
        <v>71.297733427521507</v>
      </c>
      <c r="AA1031">
        <v>0.66767738023044265</v>
      </c>
      <c r="AB1031">
        <v>73.3</v>
      </c>
      <c r="AC1031">
        <v>0.4143837514429769</v>
      </c>
      <c r="AD1031">
        <v>0.56643693864799105</v>
      </c>
      <c r="AE1031">
        <v>0.26858482860142852</v>
      </c>
      <c r="AF1031">
        <v>1.3973538497111346E-2</v>
      </c>
      <c r="AG1031">
        <v>0.57043646766492218</v>
      </c>
      <c r="AH1031">
        <v>0.26907706128941516</v>
      </c>
      <c r="AI1031">
        <v>3.5472274556603715E-4</v>
      </c>
    </row>
    <row r="1032" spans="23:35" x14ac:dyDescent="0.25">
      <c r="W1032">
        <v>1030</v>
      </c>
      <c r="X1032">
        <v>72.272168690100045</v>
      </c>
      <c r="Y1032">
        <v>1.827831309899949</v>
      </c>
      <c r="Z1032">
        <v>72.265978596024681</v>
      </c>
      <c r="AA1032">
        <v>0.69254093389933291</v>
      </c>
      <c r="AB1032">
        <v>73.3</v>
      </c>
      <c r="AC1032">
        <v>0.48161589062349974</v>
      </c>
      <c r="AD1032">
        <v>0.41962903950577907</v>
      </c>
      <c r="AE1032">
        <v>0.27116394526385657</v>
      </c>
      <c r="AF1032">
        <v>3.3751482190695135E-3</v>
      </c>
      <c r="AG1032">
        <v>0.42033899226161714</v>
      </c>
      <c r="AH1032">
        <v>0.27150069830869039</v>
      </c>
      <c r="AI1032">
        <v>4.6027474083268578E-5</v>
      </c>
    </row>
    <row r="1033" spans="23:35" x14ac:dyDescent="0.25">
      <c r="W1033">
        <v>1031</v>
      </c>
      <c r="X1033">
        <v>72.084318812419085</v>
      </c>
      <c r="Y1033">
        <v>1.8156811875809211</v>
      </c>
      <c r="Z1033">
        <v>72.078390964256272</v>
      </c>
      <c r="AA1033">
        <v>0.67919951485748942</v>
      </c>
      <c r="AB1033">
        <v>73.3</v>
      </c>
      <c r="AC1033">
        <v>0.43434378704136062</v>
      </c>
      <c r="AD1033">
        <v>0.4168396441545798</v>
      </c>
      <c r="AE1033">
        <v>0.27119105273559152</v>
      </c>
      <c r="AF1033">
        <v>3.2541824543563976E-3</v>
      </c>
      <c r="AG1033">
        <v>0.41751954011257397</v>
      </c>
      <c r="AH1033">
        <v>0.27297903350078867</v>
      </c>
      <c r="AI1033">
        <v>4.377919139176658E-5</v>
      </c>
    </row>
    <row r="1034" spans="23:35" x14ac:dyDescent="0.25">
      <c r="W1034">
        <v>1032</v>
      </c>
      <c r="X1034">
        <v>71.545928198636346</v>
      </c>
      <c r="Y1034">
        <v>2.0540718013636479</v>
      </c>
      <c r="Z1034">
        <v>71.539514168187765</v>
      </c>
      <c r="AA1034">
        <v>0.65433596118859916</v>
      </c>
      <c r="AB1034">
        <v>73.3</v>
      </c>
      <c r="AC1034">
        <v>0.3716850598056044</v>
      </c>
      <c r="AD1034">
        <v>0.47156877793570234</v>
      </c>
      <c r="AE1034">
        <v>0.27239220011815962</v>
      </c>
      <c r="AF1034">
        <v>3.1128728718008737E-3</v>
      </c>
      <c r="AG1034">
        <v>0.47230446278000293</v>
      </c>
      <c r="AH1034">
        <v>0.2742199316034698</v>
      </c>
      <c r="AI1034">
        <v>5.3581657359577566E-5</v>
      </c>
    </row>
    <row r="1035" spans="23:35" x14ac:dyDescent="0.25">
      <c r="W1035">
        <v>1033</v>
      </c>
      <c r="X1035">
        <v>71.227852439744424</v>
      </c>
      <c r="Y1035">
        <v>2.0721475602555728</v>
      </c>
      <c r="Z1035">
        <v>71.221655640265467</v>
      </c>
      <c r="AA1035">
        <v>0.63007883565797451</v>
      </c>
      <c r="AB1035">
        <v>73.3</v>
      </c>
      <c r="AC1035">
        <v>0.3152427890443939</v>
      </c>
      <c r="AD1035">
        <v>0.47571856643154098</v>
      </c>
      <c r="AE1035">
        <v>0.27328561288886499</v>
      </c>
      <c r="AF1035">
        <v>2.981603818409926E-3</v>
      </c>
      <c r="AG1035">
        <v>0.47642935844928896</v>
      </c>
      <c r="AH1035">
        <v>0.27465323771791816</v>
      </c>
      <c r="AI1035">
        <v>5.2215620502750609E-5</v>
      </c>
    </row>
    <row r="1036" spans="23:35" x14ac:dyDescent="0.25">
      <c r="W1036">
        <v>1034</v>
      </c>
      <c r="X1036">
        <v>71.23656220471787</v>
      </c>
      <c r="Y1036">
        <v>1.5634377952821268</v>
      </c>
      <c r="Z1036">
        <v>71.232012437506285</v>
      </c>
      <c r="AA1036">
        <v>0.58156458459672533</v>
      </c>
      <c r="AB1036">
        <v>73.3</v>
      </c>
      <c r="AC1036">
        <v>0.18343432307636306</v>
      </c>
      <c r="AD1036">
        <v>0.35893022337886477</v>
      </c>
      <c r="AE1036">
        <v>0.27403755400108432</v>
      </c>
      <c r="AF1036">
        <v>2.9016602684961562E-3</v>
      </c>
      <c r="AG1036">
        <v>0.35945210618301143</v>
      </c>
      <c r="AH1036">
        <v>0.27585844412412958</v>
      </c>
      <c r="AI1036">
        <v>2.8923262759396141E-5</v>
      </c>
    </row>
    <row r="1037" spans="23:35" x14ac:dyDescent="0.25">
      <c r="W1037">
        <v>1035</v>
      </c>
      <c r="X1037">
        <v>71.000755739911639</v>
      </c>
      <c r="Y1037">
        <v>1.2992442600883578</v>
      </c>
      <c r="Z1037">
        <v>70.997081622748567</v>
      </c>
      <c r="AA1037">
        <v>0.54578532443905392</v>
      </c>
      <c r="AB1037">
        <v>73.3</v>
      </c>
      <c r="AC1037">
        <v>9.896716322379942E-2</v>
      </c>
      <c r="AD1037">
        <v>0.29827731803878399</v>
      </c>
      <c r="AE1037">
        <v>0.27529729281309123</v>
      </c>
      <c r="AF1037">
        <v>2.8199135319780864E-3</v>
      </c>
      <c r="AG1037">
        <v>0.298698767709971</v>
      </c>
      <c r="AH1037">
        <v>0.27607969840190977</v>
      </c>
      <c r="AI1037">
        <v>1.9408219890000391E-5</v>
      </c>
    </row>
    <row r="1038" spans="23:35" x14ac:dyDescent="0.25">
      <c r="W1038">
        <v>1036</v>
      </c>
      <c r="X1038">
        <v>70.761616719902833</v>
      </c>
      <c r="Y1038">
        <v>1.0383832800971646</v>
      </c>
      <c r="Z1038">
        <v>70.758697017953864</v>
      </c>
      <c r="AA1038">
        <v>0.51061249241964823</v>
      </c>
      <c r="AB1038">
        <v>73.3</v>
      </c>
      <c r="AC1038">
        <v>1.0640830227304372E-2</v>
      </c>
      <c r="AD1038">
        <v>0.23838949256749775</v>
      </c>
      <c r="AE1038">
        <v>0.27902855124264719</v>
      </c>
      <c r="AF1038">
        <v>2.8038928143921003E-3</v>
      </c>
      <c r="AG1038">
        <v>0.23872440632161296</v>
      </c>
      <c r="AH1038">
        <v>0.27960951648457388</v>
      </c>
      <c r="AI1038">
        <v>1.2326254343482685E-5</v>
      </c>
    </row>
    <row r="1039" spans="23:35" x14ac:dyDescent="0.25">
      <c r="W1039">
        <v>1037</v>
      </c>
      <c r="X1039">
        <v>67.285929027421645</v>
      </c>
      <c r="Y1039">
        <v>4.1140709725783609</v>
      </c>
      <c r="Z1039">
        <v>67.270071247968644</v>
      </c>
      <c r="AA1039">
        <v>0.4887810794420861</v>
      </c>
      <c r="AB1039">
        <v>73.3</v>
      </c>
      <c r="AC1039">
        <v>-4.7140240828996732E-2</v>
      </c>
      <c r="AD1039">
        <v>0.94449834693780466</v>
      </c>
      <c r="AE1039">
        <v>0.2830789856243015</v>
      </c>
      <c r="AF1039">
        <v>3.839722282183823E-3</v>
      </c>
      <c r="AG1039">
        <v>0.94631689131990793</v>
      </c>
      <c r="AH1039">
        <v>0.28468718565142359</v>
      </c>
      <c r="AI1039">
        <v>2.6552194816607474E-4</v>
      </c>
    </row>
    <row r="1040" spans="23:35" x14ac:dyDescent="0.25">
      <c r="W1040">
        <v>1038</v>
      </c>
      <c r="X1040">
        <v>70.17039178742418</v>
      </c>
      <c r="Y1040">
        <v>0.8296082125758204</v>
      </c>
      <c r="Z1040">
        <v>70.168285886238479</v>
      </c>
      <c r="AA1040">
        <v>0.46937537901758641</v>
      </c>
      <c r="AB1040">
        <v>73.3</v>
      </c>
      <c r="AC1040">
        <v>-9.743972564826138E-2</v>
      </c>
      <c r="AD1040">
        <v>0.19045942342915298</v>
      </c>
      <c r="AE1040">
        <v>0.28330403098585571</v>
      </c>
      <c r="AF1040">
        <v>2.5320012620422654E-3</v>
      </c>
      <c r="AG1040">
        <v>0.19070100403812482</v>
      </c>
      <c r="AH1040">
        <v>0.28583995931661632</v>
      </c>
      <c r="AI1040">
        <v>7.1011314725827929E-6</v>
      </c>
    </row>
    <row r="1041" spans="23:35" x14ac:dyDescent="0.25">
      <c r="W1041">
        <v>1039</v>
      </c>
      <c r="X1041">
        <v>69.888096117873289</v>
      </c>
      <c r="Y1041">
        <v>7.1119038821267111</v>
      </c>
      <c r="Z1041">
        <v>69.869730368080624</v>
      </c>
      <c r="AA1041">
        <v>0.83747725894481506</v>
      </c>
      <c r="AB1041">
        <v>73.3</v>
      </c>
      <c r="AC1041">
        <v>0.95855995741850497</v>
      </c>
      <c r="AD1041">
        <v>1.632733490749543</v>
      </c>
      <c r="AE1041">
        <v>0.2854688489710458</v>
      </c>
      <c r="AF1041">
        <v>2.575744079923043E-3</v>
      </c>
      <c r="AG1041">
        <v>1.6348403134127178</v>
      </c>
      <c r="AH1041">
        <v>0.28597016518870411</v>
      </c>
      <c r="AI1041">
        <v>5.3092125144004441E-4</v>
      </c>
    </row>
    <row r="1042" spans="23:35" x14ac:dyDescent="0.25">
      <c r="W1042">
        <v>1040</v>
      </c>
      <c r="X1042">
        <v>69.758984489347824</v>
      </c>
      <c r="Y1042">
        <v>2.2410155106521756</v>
      </c>
      <c r="Z1042">
        <v>69.753121700273397</v>
      </c>
      <c r="AA1042">
        <v>0.52516676773802307</v>
      </c>
      <c r="AB1042">
        <v>73.400000000000006</v>
      </c>
      <c r="AC1042">
        <v>4.1053957112594373E-2</v>
      </c>
      <c r="AD1042">
        <v>0.51448685727130938</v>
      </c>
      <c r="AE1042">
        <v>0.28596491269329044</v>
      </c>
      <c r="AF1042">
        <v>2.6093042400824797E-3</v>
      </c>
      <c r="AG1042">
        <v>0.51515940007854133</v>
      </c>
      <c r="AH1042">
        <v>0.28756801052268283</v>
      </c>
      <c r="AI1042">
        <v>5.3407138887327385E-5</v>
      </c>
    </row>
    <row r="1043" spans="23:35" x14ac:dyDescent="0.25">
      <c r="W1043">
        <v>1041</v>
      </c>
      <c r="X1043">
        <v>69.784128671104355</v>
      </c>
      <c r="Y1043">
        <v>0.11587132889565055</v>
      </c>
      <c r="Z1043">
        <v>69.782812859515147</v>
      </c>
      <c r="AA1043">
        <v>0.45724681625227409</v>
      </c>
      <c r="AB1043">
        <v>73.400000000000006</v>
      </c>
      <c r="AC1043">
        <v>-0.11731546960548965</v>
      </c>
      <c r="AD1043">
        <v>2.6601456155930257E-2</v>
      </c>
      <c r="AE1043">
        <v>0.28613804748384802</v>
      </c>
      <c r="AF1043">
        <v>1.1228293341447058E-2</v>
      </c>
      <c r="AG1043">
        <v>2.6752070179772585E-2</v>
      </c>
      <c r="AH1043">
        <v>0.28947875973614756</v>
      </c>
      <c r="AI1043">
        <v>6.2515708463831315E-7</v>
      </c>
    </row>
    <row r="1044" spans="23:35" x14ac:dyDescent="0.25">
      <c r="W1044">
        <v>1042</v>
      </c>
      <c r="X1044">
        <v>69.044856525223963</v>
      </c>
      <c r="Y1044">
        <v>0.45514347477603678</v>
      </c>
      <c r="Z1044">
        <v>69.043770941426203</v>
      </c>
      <c r="AA1044">
        <v>0.44269254093389931</v>
      </c>
      <c r="AB1044">
        <v>73.400000000000006</v>
      </c>
      <c r="AC1044">
        <v>-0.15567569037416348</v>
      </c>
      <c r="AD1044">
        <v>0.10449072522345922</v>
      </c>
      <c r="AE1044">
        <v>0.28649026536001249</v>
      </c>
      <c r="AF1044">
        <v>2.379470963898931E-3</v>
      </c>
      <c r="AG1044">
        <v>0.1046152638429366</v>
      </c>
      <c r="AH1044">
        <v>0.29029284173315684</v>
      </c>
      <c r="AI1044">
        <v>2.0079911260247629E-6</v>
      </c>
    </row>
    <row r="1045" spans="23:35" x14ac:dyDescent="0.25">
      <c r="W1045">
        <v>1043</v>
      </c>
      <c r="X1045">
        <v>68.706339706979364</v>
      </c>
      <c r="Y1045">
        <v>0.29366029302063623</v>
      </c>
      <c r="Z1045">
        <v>68.705596788853612</v>
      </c>
      <c r="AA1045">
        <v>0.42086112795633718</v>
      </c>
      <c r="AB1045">
        <v>73.400000000000006</v>
      </c>
      <c r="AC1045">
        <v>-0.21444491222324932</v>
      </c>
      <c r="AD1045">
        <v>6.7417811498141175E-2</v>
      </c>
      <c r="AE1045">
        <v>0.28924882352031495</v>
      </c>
      <c r="AF1045">
        <v>2.5234715438737709E-3</v>
      </c>
      <c r="AG1045">
        <v>6.7503036293294974E-2</v>
      </c>
      <c r="AH1045">
        <v>0.29044651158673523</v>
      </c>
      <c r="AI1045">
        <v>8.8674549355829305E-7</v>
      </c>
    </row>
    <row r="1046" spans="23:35" x14ac:dyDescent="0.25">
      <c r="W1046">
        <v>1044</v>
      </c>
      <c r="X1046">
        <v>68.701651873217514</v>
      </c>
      <c r="Y1046">
        <v>-0.10165187321752001</v>
      </c>
      <c r="Z1046">
        <v>68.702248023183571</v>
      </c>
      <c r="AA1046">
        <v>0.40570042449969679</v>
      </c>
      <c r="AB1046">
        <v>73.400000000000006</v>
      </c>
      <c r="AC1046">
        <v>-0.24253103988010652</v>
      </c>
      <c r="AD1046">
        <v>-2.3336988315713902E-2</v>
      </c>
      <c r="AE1046">
        <v>0.2900393733333218</v>
      </c>
      <c r="AF1046">
        <v>5.8304302371949383E-3</v>
      </c>
      <c r="AG1046">
        <v>-2.3405319603080191E-2</v>
      </c>
      <c r="AH1046">
        <v>0.29247129623932056</v>
      </c>
      <c r="AI1046">
        <v>2.4713026612711993E-7</v>
      </c>
    </row>
    <row r="1047" spans="23:35" x14ac:dyDescent="0.25">
      <c r="W1047">
        <v>1045</v>
      </c>
      <c r="X1047">
        <v>62.152030230826064</v>
      </c>
      <c r="Y1047">
        <v>-5.4520302308260611</v>
      </c>
      <c r="Z1047">
        <v>62.168388254936353</v>
      </c>
      <c r="AA1047">
        <v>0.10491206791995149</v>
      </c>
      <c r="AB1047">
        <v>73.400000000000006</v>
      </c>
      <c r="AC1047">
        <v>-1.2726185683477402</v>
      </c>
      <c r="AD1047">
        <v>-1.2516637595201503</v>
      </c>
      <c r="AE1047">
        <v>0.29722312776765697</v>
      </c>
      <c r="AF1047">
        <v>2.9913794243712315E-3</v>
      </c>
      <c r="AG1047">
        <v>-1.2535400707484223</v>
      </c>
      <c r="AH1047">
        <v>0.29821751015833886</v>
      </c>
      <c r="AI1047">
        <v>3.6266502838407479E-4</v>
      </c>
    </row>
    <row r="1048" spans="23:35" x14ac:dyDescent="0.25">
      <c r="W1048">
        <v>1046</v>
      </c>
      <c r="X1048">
        <v>61.11965487549633</v>
      </c>
      <c r="Y1048">
        <v>-5.8196548754963331</v>
      </c>
      <c r="Z1048">
        <v>61.134716260220664</v>
      </c>
      <c r="AA1048">
        <v>8.6719223771983017E-2</v>
      </c>
      <c r="AB1048">
        <v>73.400000000000006</v>
      </c>
      <c r="AC1048">
        <v>-1.3946242806491973</v>
      </c>
      <c r="AD1048">
        <v>-1.3360621258825711</v>
      </c>
      <c r="AE1048">
        <v>0.29827731803878399</v>
      </c>
      <c r="AF1048">
        <v>2.581339700615087E-3</v>
      </c>
      <c r="AG1048">
        <v>-1.3377898866601705</v>
      </c>
      <c r="AH1048">
        <v>0.298698767709971</v>
      </c>
      <c r="AI1048">
        <v>3.5628713137674976E-4</v>
      </c>
    </row>
    <row r="1049" spans="23:35" x14ac:dyDescent="0.25">
      <c r="W1049">
        <v>1047</v>
      </c>
      <c r="X1049">
        <v>59.719369017892454</v>
      </c>
      <c r="Y1049">
        <v>-4.919369017892457</v>
      </c>
      <c r="Z1049">
        <v>59.733248617011199</v>
      </c>
      <c r="AA1049">
        <v>7.7622801697998789E-2</v>
      </c>
      <c r="AB1049">
        <v>73.400000000000006</v>
      </c>
      <c r="AC1049">
        <v>-1.4402815816722083</v>
      </c>
      <c r="AD1049">
        <v>-1.1293767016528975</v>
      </c>
      <c r="AE1049">
        <v>0.29837328034227284</v>
      </c>
      <c r="AF1049">
        <v>2.8134805675282745E-3</v>
      </c>
      <c r="AG1049">
        <v>-1.1309688016502293</v>
      </c>
      <c r="AH1049">
        <v>0.29941176229583855</v>
      </c>
      <c r="AI1049">
        <v>2.7760380751620702E-4</v>
      </c>
    </row>
    <row r="1050" spans="23:35" x14ac:dyDescent="0.25">
      <c r="W1050">
        <v>1048</v>
      </c>
      <c r="X1050">
        <v>56.850693206056533</v>
      </c>
      <c r="Y1050">
        <v>-2.5506932060565362</v>
      </c>
      <c r="Z1050">
        <v>56.863937144486243</v>
      </c>
      <c r="AA1050">
        <v>7.3984232868405095E-2</v>
      </c>
      <c r="AB1050">
        <v>73.400000000000006</v>
      </c>
      <c r="AC1050">
        <v>-1.4576525936309461</v>
      </c>
      <c r="AD1050">
        <v>-0.58558190481484229</v>
      </c>
      <c r="AE1050">
        <v>0.29851917315035176</v>
      </c>
      <c r="AF1050">
        <v>5.1654692308634748E-3</v>
      </c>
      <c r="AG1050">
        <v>-0.58710019200841568</v>
      </c>
      <c r="AH1050">
        <v>0.29985845682612361</v>
      </c>
      <c r="AI1050">
        <v>1.376702243648449E-4</v>
      </c>
    </row>
    <row r="1051" spans="23:35" x14ac:dyDescent="0.25">
      <c r="W1051">
        <v>1049</v>
      </c>
      <c r="X1051">
        <v>55.768043987555316</v>
      </c>
      <c r="Y1051">
        <v>-1.7680439875553162</v>
      </c>
      <c r="Z1051">
        <v>55.777767493623536</v>
      </c>
      <c r="AA1051">
        <v>6.9739235900545787E-2</v>
      </c>
      <c r="AB1051">
        <v>73.400000000000006</v>
      </c>
      <c r="AC1051">
        <v>-1.4984336523422108</v>
      </c>
      <c r="AD1051">
        <v>-0.40590321233878851</v>
      </c>
      <c r="AE1051">
        <v>0.29895266419768057</v>
      </c>
      <c r="AF1051">
        <v>5.4695038035620265E-3</v>
      </c>
      <c r="AG1051">
        <v>-0.40701783131997982</v>
      </c>
      <c r="AH1051">
        <v>0.30095352066354536</v>
      </c>
      <c r="AI1051">
        <v>7.0083106391735319E-5</v>
      </c>
    </row>
    <row r="1052" spans="23:35" x14ac:dyDescent="0.25">
      <c r="W1052">
        <v>1050</v>
      </c>
      <c r="X1052">
        <v>55.293267744664284</v>
      </c>
      <c r="Y1052">
        <v>-1.493267744664287</v>
      </c>
      <c r="Z1052">
        <v>55.301782599297951</v>
      </c>
      <c r="AA1052">
        <v>6.6707095209217707E-2</v>
      </c>
      <c r="AB1052">
        <v>73.400000000000006</v>
      </c>
      <c r="AC1052">
        <v>-1.5078422496152202</v>
      </c>
      <c r="AD1052">
        <v>-0.34282075486098074</v>
      </c>
      <c r="AE1052">
        <v>0.30052573182725961</v>
      </c>
      <c r="AF1052">
        <v>5.6698317304047768E-3</v>
      </c>
      <c r="AG1052">
        <v>-0.3437967752278776</v>
      </c>
      <c r="AH1052">
        <v>0.30162473274609619</v>
      </c>
      <c r="AI1052">
        <v>5.184415483683331E-5</v>
      </c>
    </row>
    <row r="1053" spans="23:35" x14ac:dyDescent="0.25">
      <c r="W1053">
        <v>1051</v>
      </c>
      <c r="X1053">
        <v>55.361053225908996</v>
      </c>
      <c r="Y1053">
        <v>-2.1610532259089936</v>
      </c>
      <c r="Z1053">
        <v>55.370623597371797</v>
      </c>
      <c r="AA1053">
        <v>6.0642813826561552E-2</v>
      </c>
      <c r="AB1053">
        <v>73.400000000000006</v>
      </c>
      <c r="AC1053">
        <v>-1.5621464731395975</v>
      </c>
      <c r="AD1053">
        <v>-0.49612931160408597</v>
      </c>
      <c r="AE1053">
        <v>0.30131163839779124</v>
      </c>
      <c r="AF1053">
        <v>4.4090423942638431E-3</v>
      </c>
      <c r="AG1053">
        <v>-0.49722666924652426</v>
      </c>
      <c r="AH1053">
        <v>0.3024222114347393</v>
      </c>
      <c r="AI1053">
        <v>8.4222631711323355E-5</v>
      </c>
    </row>
    <row r="1054" spans="23:35" x14ac:dyDescent="0.25">
      <c r="W1054">
        <v>1052</v>
      </c>
      <c r="X1054">
        <v>54.29587184172059</v>
      </c>
      <c r="Y1054">
        <v>-2.1958718417205887</v>
      </c>
      <c r="Z1054">
        <v>54.30704265032864</v>
      </c>
      <c r="AA1054">
        <v>4.9120679199514856E-2</v>
      </c>
      <c r="AB1054">
        <v>73.5</v>
      </c>
      <c r="AC1054">
        <v>-1.6746834237964712</v>
      </c>
      <c r="AD1054">
        <v>-0.50412288422252427</v>
      </c>
      <c r="AE1054">
        <v>0.30200610572017517</v>
      </c>
      <c r="AF1054">
        <v>5.0614375786474427E-3</v>
      </c>
      <c r="AG1054">
        <v>-0.50540354100674334</v>
      </c>
      <c r="AH1054">
        <v>0.30257017574161654</v>
      </c>
      <c r="AI1054">
        <v>9.9956451440961128E-5</v>
      </c>
    </row>
    <row r="1055" spans="23:35" x14ac:dyDescent="0.25">
      <c r="W1055">
        <v>1053</v>
      </c>
      <c r="X1055">
        <v>52.995033110945798</v>
      </c>
      <c r="Y1055">
        <v>-1.7950331109457949</v>
      </c>
      <c r="Z1055">
        <v>53.005880451518429</v>
      </c>
      <c r="AA1055">
        <v>4.0024257125530621E-2</v>
      </c>
      <c r="AB1055">
        <v>73.5</v>
      </c>
      <c r="AC1055">
        <v>-1.7610542000458449</v>
      </c>
      <c r="AD1055">
        <v>-0.4120993092456029</v>
      </c>
      <c r="AE1055">
        <v>0.30380806469639249</v>
      </c>
      <c r="AF1055">
        <v>6.0066769998607123E-3</v>
      </c>
      <c r="AG1055">
        <v>-0.41334258675372004</v>
      </c>
      <c r="AH1055">
        <v>0.30598178921246683</v>
      </c>
      <c r="AI1055">
        <v>7.941961285058142E-5</v>
      </c>
    </row>
    <row r="1056" spans="23:35" x14ac:dyDescent="0.25">
      <c r="W1056">
        <v>1054</v>
      </c>
      <c r="X1056">
        <v>51.04058879277634</v>
      </c>
      <c r="Y1056">
        <v>6.9594112072236598</v>
      </c>
      <c r="Z1056">
        <v>50.90886116710908</v>
      </c>
      <c r="AA1056">
        <v>0.13159490600363857</v>
      </c>
      <c r="AB1056">
        <v>73.5</v>
      </c>
      <c r="AC1056">
        <v>-1.1375552391677688</v>
      </c>
      <c r="AD1056">
        <v>1.597724595588021</v>
      </c>
      <c r="AE1056">
        <v>0.3082803801808916</v>
      </c>
      <c r="AF1056">
        <v>1.8576370985189172E-2</v>
      </c>
      <c r="AG1056">
        <v>1.6127745660154416</v>
      </c>
      <c r="AH1056">
        <v>0.31093409082867879</v>
      </c>
      <c r="AI1056">
        <v>3.7871137091779186E-3</v>
      </c>
    </row>
    <row r="1057" spans="23:35" x14ac:dyDescent="0.25">
      <c r="W1057">
        <v>1055</v>
      </c>
      <c r="X1057">
        <v>52.705347609879524</v>
      </c>
      <c r="Y1057">
        <v>1.2946523901204756</v>
      </c>
      <c r="Z1057">
        <v>52.696670404568174</v>
      </c>
      <c r="AA1057">
        <v>6.9739235900545787E-2</v>
      </c>
      <c r="AB1057">
        <v>73.5</v>
      </c>
      <c r="AC1057">
        <v>-1.4984336523422108</v>
      </c>
      <c r="AD1057">
        <v>0.29722312776765697</v>
      </c>
      <c r="AE1057">
        <v>0.30873620947951513</v>
      </c>
      <c r="AF1057">
        <v>6.6577213789704073E-3</v>
      </c>
      <c r="AG1057">
        <v>0.29821751015833886</v>
      </c>
      <c r="AH1057">
        <v>0.31105443749846939</v>
      </c>
      <c r="AI1057">
        <v>4.5851085680306212E-5</v>
      </c>
    </row>
    <row r="1058" spans="23:35" x14ac:dyDescent="0.25">
      <c r="W1058">
        <v>1056</v>
      </c>
      <c r="X1058">
        <v>52.904606190656757</v>
      </c>
      <c r="Y1058">
        <v>-1.9046061906567573</v>
      </c>
      <c r="Z1058">
        <v>52.926280910221692</v>
      </c>
      <c r="AA1058">
        <v>3.7598544572468161E-2</v>
      </c>
      <c r="AB1058">
        <v>73.5</v>
      </c>
      <c r="AC1058">
        <v>-1.7980761038936304</v>
      </c>
      <c r="AD1058">
        <v>-0.43725482876524507</v>
      </c>
      <c r="AE1058">
        <v>0.30918050731258401</v>
      </c>
      <c r="AF1058">
        <v>1.1252107337990841E-2</v>
      </c>
      <c r="AG1058">
        <v>-0.43973580479887686</v>
      </c>
      <c r="AH1058">
        <v>0.31132395353190812</v>
      </c>
      <c r="AI1058">
        <v>1.6927335453874458E-4</v>
      </c>
    </row>
    <row r="1059" spans="23:35" x14ac:dyDescent="0.25">
      <c r="W1059">
        <v>1057</v>
      </c>
      <c r="X1059">
        <v>53.115444174885532</v>
      </c>
      <c r="Y1059">
        <v>-3.3154441748855348</v>
      </c>
      <c r="Z1059">
        <v>53.134599774561529</v>
      </c>
      <c r="AA1059">
        <v>3.3353547604608853E-2</v>
      </c>
      <c r="AB1059">
        <v>73.5</v>
      </c>
      <c r="AC1059">
        <v>-1.8544489690938102</v>
      </c>
      <c r="AD1059">
        <v>-0.76115156092735992</v>
      </c>
      <c r="AE1059">
        <v>0.31107682071044507</v>
      </c>
      <c r="AF1059">
        <v>5.7444973823035381E-3</v>
      </c>
      <c r="AG1059">
        <v>-0.76334724185605507</v>
      </c>
      <c r="AH1059">
        <v>0.31142161972514415</v>
      </c>
      <c r="AI1059">
        <v>2.5897328265893279E-4</v>
      </c>
    </row>
    <row r="1060" spans="23:35" x14ac:dyDescent="0.25">
      <c r="W1060">
        <v>1058</v>
      </c>
      <c r="X1060">
        <v>53.548417117169002</v>
      </c>
      <c r="Y1060">
        <v>-4.0484171171690022</v>
      </c>
      <c r="Z1060">
        <v>53.582803194967454</v>
      </c>
      <c r="AA1060">
        <v>2.9714978775015159E-2</v>
      </c>
      <c r="AB1060">
        <v>73.5</v>
      </c>
      <c r="AC1060">
        <v>-1.8895099603334302</v>
      </c>
      <c r="AD1060">
        <v>-0.92942569546495701</v>
      </c>
      <c r="AE1060">
        <v>0.31365768871377464</v>
      </c>
      <c r="AF1060">
        <v>8.4221737263349607E-3</v>
      </c>
      <c r="AG1060">
        <v>-0.93336448521589643</v>
      </c>
      <c r="AH1060">
        <v>0.31388439634816473</v>
      </c>
      <c r="AI1060">
        <v>5.6918910737750565E-4</v>
      </c>
    </row>
    <row r="1061" spans="23:35" x14ac:dyDescent="0.25">
      <c r="W1061">
        <v>1059</v>
      </c>
      <c r="X1061">
        <v>66.001132889863513</v>
      </c>
      <c r="Y1061">
        <v>0.3988671101364929</v>
      </c>
      <c r="Z1061">
        <v>65.999346973341673</v>
      </c>
      <c r="AA1061">
        <v>0.32201334141904187</v>
      </c>
      <c r="AB1061">
        <v>73.5</v>
      </c>
      <c r="AC1061">
        <v>-0.46970075330452549</v>
      </c>
      <c r="AD1061">
        <v>9.1570935135247292E-2</v>
      </c>
      <c r="AE1061">
        <v>0.31408169831040122</v>
      </c>
      <c r="AF1061">
        <v>4.4575141157204446E-3</v>
      </c>
      <c r="AG1061">
        <v>9.1775709346041248E-2</v>
      </c>
      <c r="AH1061">
        <v>0.31431677913781025</v>
      </c>
      <c r="AI1061">
        <v>2.9009822791029031E-6</v>
      </c>
    </row>
    <row r="1062" spans="23:35" x14ac:dyDescent="0.25">
      <c r="W1062">
        <v>1060</v>
      </c>
      <c r="X1062">
        <v>65.16028573219748</v>
      </c>
      <c r="Y1062">
        <v>1.0397142678025233</v>
      </c>
      <c r="Z1062">
        <v>65.155986532904592</v>
      </c>
      <c r="AA1062">
        <v>0.3171619163129169</v>
      </c>
      <c r="AB1062">
        <v>73.5</v>
      </c>
      <c r="AC1062">
        <v>-0.48332360885611292</v>
      </c>
      <c r="AD1062">
        <v>0.23869505746802691</v>
      </c>
      <c r="AE1062">
        <v>0.31502392206729024</v>
      </c>
      <c r="AF1062">
        <v>4.1179538659044147E-3</v>
      </c>
      <c r="AG1062">
        <v>0.2391880481937349</v>
      </c>
      <c r="AH1062">
        <v>0.31553684896477868</v>
      </c>
      <c r="AI1062">
        <v>1.8197392875402284E-5</v>
      </c>
    </row>
    <row r="1063" spans="23:35" x14ac:dyDescent="0.25">
      <c r="W1063">
        <v>1061</v>
      </c>
      <c r="X1063">
        <v>65.530257121630569</v>
      </c>
      <c r="Y1063">
        <v>0.36974287836943631</v>
      </c>
      <c r="Z1063">
        <v>65.528475479242019</v>
      </c>
      <c r="AA1063">
        <v>0.30563978168587025</v>
      </c>
      <c r="AB1063">
        <v>73.5</v>
      </c>
      <c r="AC1063">
        <v>-0.52126361871264315</v>
      </c>
      <c r="AD1063">
        <v>8.4884665271852386E-2</v>
      </c>
      <c r="AE1063">
        <v>0.31638143272219865</v>
      </c>
      <c r="AF1063">
        <v>4.7954907119265606E-3</v>
      </c>
      <c r="AG1063">
        <v>8.5088932047667945E-2</v>
      </c>
      <c r="AH1063">
        <v>0.31790341194932165</v>
      </c>
      <c r="AI1063">
        <v>2.6836354023561087E-6</v>
      </c>
    </row>
    <row r="1064" spans="23:35" x14ac:dyDescent="0.25">
      <c r="W1064">
        <v>1062</v>
      </c>
      <c r="X1064">
        <v>62.560110908102423</v>
      </c>
      <c r="Y1064">
        <v>3.0398890918975709</v>
      </c>
      <c r="Z1064">
        <v>62.497311912865634</v>
      </c>
      <c r="AA1064">
        <v>0.29411764705882354</v>
      </c>
      <c r="AB1064">
        <v>73.5</v>
      </c>
      <c r="AC1064">
        <v>-0.55287102664223609</v>
      </c>
      <c r="AD1064">
        <v>0.69789029924588464</v>
      </c>
      <c r="AE1064">
        <v>0.32249375864256358</v>
      </c>
      <c r="AF1064">
        <v>2.0240189626921562E-2</v>
      </c>
      <c r="AG1064">
        <v>0.70506206924087744</v>
      </c>
      <c r="AH1064">
        <v>0.32359102536830942</v>
      </c>
      <c r="AI1064">
        <v>7.8996219231811039E-4</v>
      </c>
    </row>
    <row r="1065" spans="23:35" x14ac:dyDescent="0.25">
      <c r="W1065">
        <v>1063</v>
      </c>
      <c r="X1065">
        <v>60.956172905545614</v>
      </c>
      <c r="Y1065">
        <v>4.4438270944543916</v>
      </c>
      <c r="Z1065">
        <v>60.863986795574853</v>
      </c>
      <c r="AA1065">
        <v>0.28684050939963612</v>
      </c>
      <c r="AB1065">
        <v>73.5</v>
      </c>
      <c r="AC1065">
        <v>-0.57067028430202504</v>
      </c>
      <c r="AD1065">
        <v>1.0202029504996966</v>
      </c>
      <c r="AE1065">
        <v>0.32315843548196294</v>
      </c>
      <c r="AF1065">
        <v>2.0323157322563724E-2</v>
      </c>
      <c r="AG1065">
        <v>1.03073056334205</v>
      </c>
      <c r="AH1065">
        <v>0.32441623073423437</v>
      </c>
      <c r="AI1065">
        <v>1.6953340796090803E-3</v>
      </c>
    </row>
    <row r="1066" spans="23:35" x14ac:dyDescent="0.25">
      <c r="W1066">
        <v>1064</v>
      </c>
      <c r="X1066">
        <v>60.697501961291636</v>
      </c>
      <c r="Y1066">
        <v>4.5024980387083673</v>
      </c>
      <c r="Z1066">
        <v>60.607402493401821</v>
      </c>
      <c r="AA1066">
        <v>0.28077622801697999</v>
      </c>
      <c r="AB1066">
        <v>73.599999999999994</v>
      </c>
      <c r="AC1066">
        <v>-0.59046081866695443</v>
      </c>
      <c r="AD1066">
        <v>1.0336724823163612</v>
      </c>
      <c r="AE1066">
        <v>0.32411603956838492</v>
      </c>
      <c r="AF1066">
        <v>1.9618411532987042E-2</v>
      </c>
      <c r="AG1066">
        <v>1.0439636608362317</v>
      </c>
      <c r="AH1066">
        <v>0.32450262837430477</v>
      </c>
      <c r="AI1066">
        <v>1.6776296950276658E-3</v>
      </c>
    </row>
    <row r="1067" spans="23:35" x14ac:dyDescent="0.25">
      <c r="W1067">
        <v>1065</v>
      </c>
      <c r="X1067">
        <v>64.124403581099685</v>
      </c>
      <c r="Y1067">
        <v>-4.924403581099682</v>
      </c>
      <c r="Z1067">
        <v>64.14696673632551</v>
      </c>
      <c r="AA1067">
        <v>0.15767131594906003</v>
      </c>
      <c r="AB1067">
        <v>73.599999999999994</v>
      </c>
      <c r="AC1067">
        <v>-1.0205681915260707</v>
      </c>
      <c r="AD1067">
        <v>-1.1305325243546622</v>
      </c>
      <c r="AE1067">
        <v>0.32478747525480639</v>
      </c>
      <c r="AF1067">
        <v>4.5610080739270599E-3</v>
      </c>
      <c r="AG1067">
        <v>-1.1331195613340772</v>
      </c>
      <c r="AH1067">
        <v>0.32513542841286397</v>
      </c>
      <c r="AI1067">
        <v>4.5253723013011075E-4</v>
      </c>
    </row>
    <row r="1068" spans="23:35" x14ac:dyDescent="0.25">
      <c r="W1068">
        <v>1066</v>
      </c>
      <c r="X1068">
        <v>63.805461297663712</v>
      </c>
      <c r="Y1068">
        <v>0.69453870233628834</v>
      </c>
      <c r="Z1068">
        <v>63.802198315547209</v>
      </c>
      <c r="AA1068">
        <v>0.25409338993329289</v>
      </c>
      <c r="AB1068">
        <v>73.599999999999994</v>
      </c>
      <c r="AC1068">
        <v>-0.6664012884495929</v>
      </c>
      <c r="AD1068">
        <v>0.15945049577738116</v>
      </c>
      <c r="AE1068">
        <v>0.32534874558736721</v>
      </c>
      <c r="AF1068">
        <v>4.6760880479376106E-3</v>
      </c>
      <c r="AG1068">
        <v>0.15982461061405845</v>
      </c>
      <c r="AH1068">
        <v>0.32576980317887005</v>
      </c>
      <c r="AI1068">
        <v>9.2312858657162086E-6</v>
      </c>
    </row>
    <row r="1069" spans="23:35" x14ac:dyDescent="0.25">
      <c r="W1069">
        <v>1067</v>
      </c>
      <c r="X1069">
        <v>63.522680006768077</v>
      </c>
      <c r="Y1069">
        <v>0.67731999323192582</v>
      </c>
      <c r="Z1069">
        <v>63.519622442103881</v>
      </c>
      <c r="AA1069">
        <v>0.24560339599757428</v>
      </c>
      <c r="AB1069">
        <v>73.599999999999994</v>
      </c>
      <c r="AC1069">
        <v>-0.69708605805955215</v>
      </c>
      <c r="AD1069">
        <v>0.15549746667460876</v>
      </c>
      <c r="AE1069">
        <v>0.32590939853836998</v>
      </c>
      <c r="AF1069">
        <v>4.4939234528086642E-3</v>
      </c>
      <c r="AG1069">
        <v>0.15584804558035542</v>
      </c>
      <c r="AH1069">
        <v>0.32636284428716983</v>
      </c>
      <c r="AI1069">
        <v>8.4341461761884132E-6</v>
      </c>
    </row>
    <row r="1070" spans="23:35" x14ac:dyDescent="0.25">
      <c r="W1070">
        <v>1068</v>
      </c>
      <c r="X1070">
        <v>63.314503544807266</v>
      </c>
      <c r="Y1070">
        <v>0.58549645519273241</v>
      </c>
      <c r="Z1070">
        <v>63.31160877279207</v>
      </c>
      <c r="AA1070">
        <v>0.23771983020012127</v>
      </c>
      <c r="AB1070">
        <v>73.599999999999994</v>
      </c>
      <c r="AC1070">
        <v>-0.71660092108895201</v>
      </c>
      <c r="AD1070">
        <v>0.1344168434996407</v>
      </c>
      <c r="AE1070">
        <v>0.32751186860210718</v>
      </c>
      <c r="AF1070">
        <v>4.919808252290222E-3</v>
      </c>
      <c r="AG1070">
        <v>0.13474872113162067</v>
      </c>
      <c r="AH1070">
        <v>0.32785098424518078</v>
      </c>
      <c r="AI1070">
        <v>6.905514592321442E-6</v>
      </c>
    </row>
    <row r="1071" spans="23:35" x14ac:dyDescent="0.25">
      <c r="W1071">
        <v>1069</v>
      </c>
      <c r="X1071">
        <v>63.612727992205791</v>
      </c>
      <c r="Y1071">
        <v>-0.11272799220579088</v>
      </c>
      <c r="Z1071">
        <v>63.61353511189715</v>
      </c>
      <c r="AA1071">
        <v>0.23226197695573075</v>
      </c>
      <c r="AB1071">
        <v>73.599999999999994</v>
      </c>
      <c r="AC1071">
        <v>-0.74038552290047832</v>
      </c>
      <c r="AD1071">
        <v>-2.5879816610275858E-2</v>
      </c>
      <c r="AE1071">
        <v>0.32790842420179672</v>
      </c>
      <c r="AF1071">
        <v>7.1089875005999311E-3</v>
      </c>
      <c r="AG1071">
        <v>-2.5972299645391966E-2</v>
      </c>
      <c r="AH1071">
        <v>0.3289319967922954</v>
      </c>
      <c r="AI1071">
        <v>3.715212234659312E-7</v>
      </c>
    </row>
    <row r="1072" spans="23:35" x14ac:dyDescent="0.25">
      <c r="W1072">
        <v>1070</v>
      </c>
      <c r="X1072">
        <v>63.343987691267223</v>
      </c>
      <c r="Y1072">
        <v>-0.14398769126722044</v>
      </c>
      <c r="Z1072">
        <v>63.34564809830907</v>
      </c>
      <c r="AA1072">
        <v>0.22437841115827775</v>
      </c>
      <c r="AB1072">
        <v>73.599999999999994</v>
      </c>
      <c r="AC1072">
        <v>-0.7625619542054235</v>
      </c>
      <c r="AD1072">
        <v>-3.3056341829720427E-2</v>
      </c>
      <c r="AE1072">
        <v>0.32986801674459931</v>
      </c>
      <c r="AF1072">
        <v>1.1400128536676405E-2</v>
      </c>
      <c r="AG1072">
        <v>-3.3246391599051579E-2</v>
      </c>
      <c r="AH1072">
        <v>0.33022453775909155</v>
      </c>
      <c r="AI1072">
        <v>9.8047128281700688E-7</v>
      </c>
    </row>
    <row r="1073" spans="23:35" x14ac:dyDescent="0.25">
      <c r="W1073">
        <v>1071</v>
      </c>
      <c r="X1073">
        <v>69.311861373766831</v>
      </c>
      <c r="Y1073">
        <v>-3.4118613737668255</v>
      </c>
      <c r="Z1073">
        <v>69.324512084672293</v>
      </c>
      <c r="AA1073">
        <v>0.30563978168587025</v>
      </c>
      <c r="AB1073">
        <v>73.599999999999994</v>
      </c>
      <c r="AC1073">
        <v>-0.52126361871264315</v>
      </c>
      <c r="AD1073">
        <v>-0.78328678551797515</v>
      </c>
      <c r="AE1073">
        <v>0.33066882022225658</v>
      </c>
      <c r="AF1073">
        <v>3.6941644802713485E-3</v>
      </c>
      <c r="AG1073">
        <v>-0.78473760153291361</v>
      </c>
      <c r="AH1073">
        <v>0.33118892746110723</v>
      </c>
      <c r="AI1073">
        <v>1.7564230483663721E-4</v>
      </c>
    </row>
    <row r="1074" spans="23:35" x14ac:dyDescent="0.25">
      <c r="W1074">
        <v>1072</v>
      </c>
      <c r="X1074">
        <v>68.877975153462216</v>
      </c>
      <c r="Y1074">
        <v>-2.7779751534622221</v>
      </c>
      <c r="Z1074">
        <v>68.887643342796238</v>
      </c>
      <c r="AA1074">
        <v>0.31412977562158884</v>
      </c>
      <c r="AB1074">
        <v>73.599999999999994</v>
      </c>
      <c r="AC1074">
        <v>-0.4918835074548818</v>
      </c>
      <c r="AD1074">
        <v>-0.63776073815153111</v>
      </c>
      <c r="AE1074">
        <v>0.33120552446170581</v>
      </c>
      <c r="AF1074">
        <v>3.4682303814123788E-3</v>
      </c>
      <c r="AG1074">
        <v>-0.63886957384388188</v>
      </c>
      <c r="AH1074">
        <v>0.3316604970053102</v>
      </c>
      <c r="AI1074">
        <v>1.0926922128512307E-4</v>
      </c>
    </row>
    <row r="1075" spans="23:35" x14ac:dyDescent="0.25">
      <c r="W1075">
        <v>1073</v>
      </c>
      <c r="X1075">
        <v>67.674089854885366</v>
      </c>
      <c r="Y1075">
        <v>-1.8740898548853693</v>
      </c>
      <c r="Z1075">
        <v>67.680445740056967</v>
      </c>
      <c r="AA1075">
        <v>0.30078835657974529</v>
      </c>
      <c r="AB1075">
        <v>73.599999999999994</v>
      </c>
      <c r="AC1075">
        <v>-0.53349185558387491</v>
      </c>
      <c r="AD1075">
        <v>-0.43024896307095167</v>
      </c>
      <c r="AE1075">
        <v>0.33479354702873609</v>
      </c>
      <c r="AF1075">
        <v>3.3799886038730102E-3</v>
      </c>
      <c r="AG1075">
        <v>-0.43097792981279415</v>
      </c>
      <c r="AH1075">
        <v>0.33544023870127354</v>
      </c>
      <c r="AI1075">
        <v>4.8456533461081161E-5</v>
      </c>
    </row>
    <row r="1076" spans="23:35" x14ac:dyDescent="0.25">
      <c r="W1076">
        <v>1074</v>
      </c>
      <c r="X1076">
        <v>66.055660537560229</v>
      </c>
      <c r="Y1076">
        <v>-1.7556605375602317</v>
      </c>
      <c r="Z1076">
        <v>66.062994696007664</v>
      </c>
      <c r="AA1076">
        <v>0.2498483929654336</v>
      </c>
      <c r="AB1076">
        <v>73.599999999999994</v>
      </c>
      <c r="AC1076">
        <v>-0.68742774275107121</v>
      </c>
      <c r="AD1076">
        <v>-0.40306025019066249</v>
      </c>
      <c r="AE1076">
        <v>0.33479827131598233</v>
      </c>
      <c r="AF1076">
        <v>4.160057012107179E-3</v>
      </c>
      <c r="AG1076">
        <v>-0.40390125187347642</v>
      </c>
      <c r="AH1076">
        <v>0.3359973733676096</v>
      </c>
      <c r="AI1076">
        <v>5.2422386362283286E-5</v>
      </c>
    </row>
    <row r="1077" spans="23:35" x14ac:dyDescent="0.25">
      <c r="W1077">
        <v>1075</v>
      </c>
      <c r="X1077">
        <v>66.204832563103906</v>
      </c>
      <c r="Y1077">
        <v>-3.2048325631039063</v>
      </c>
      <c r="Z1077">
        <v>66.2129905283429</v>
      </c>
      <c r="AA1077">
        <v>0.22195269860521527</v>
      </c>
      <c r="AB1077">
        <v>73.599999999999994</v>
      </c>
      <c r="AC1077">
        <v>-0.78098898173722842</v>
      </c>
      <c r="AD1077">
        <v>-0.73575761775617554</v>
      </c>
      <c r="AE1077">
        <v>0.33534011574297518</v>
      </c>
      <c r="AF1077">
        <v>2.5390567345363766E-3</v>
      </c>
      <c r="AG1077">
        <v>-0.73669346542865866</v>
      </c>
      <c r="AH1077">
        <v>0.33686984826684785</v>
      </c>
      <c r="AI1077">
        <v>1.0626904768301273E-4</v>
      </c>
    </row>
    <row r="1078" spans="23:35" x14ac:dyDescent="0.25">
      <c r="W1078">
        <v>1076</v>
      </c>
      <c r="X1078">
        <v>66.195427834188934</v>
      </c>
      <c r="Y1078">
        <v>3.4045721658110608</v>
      </c>
      <c r="Z1078">
        <v>66.175753057699453</v>
      </c>
      <c r="AA1078">
        <v>0.44815039417828989</v>
      </c>
      <c r="AB1078">
        <v>73.599999999999994</v>
      </c>
      <c r="AC1078">
        <v>-0.14337818601426075</v>
      </c>
      <c r="AD1078">
        <v>0.78161334699185492</v>
      </c>
      <c r="AE1078">
        <v>0.33838622315070543</v>
      </c>
      <c r="AF1078">
        <v>5.7457236060949176E-3</v>
      </c>
      <c r="AG1078">
        <v>0.78386853706192217</v>
      </c>
      <c r="AH1078">
        <v>0.33877127184805866</v>
      </c>
      <c r="AI1078">
        <v>2.7314318987300176E-4</v>
      </c>
    </row>
    <row r="1079" spans="23:35" x14ac:dyDescent="0.25">
      <c r="W1079">
        <v>1077</v>
      </c>
      <c r="X1079">
        <v>66.059144488385414</v>
      </c>
      <c r="Y1079">
        <v>3.2408555116145834</v>
      </c>
      <c r="Z1079">
        <v>66.040305624840357</v>
      </c>
      <c r="AA1079">
        <v>0.4329896907216495</v>
      </c>
      <c r="AB1079">
        <v>73.599999999999994</v>
      </c>
      <c r="AC1079">
        <v>-0.17879863688351211</v>
      </c>
      <c r="AD1079">
        <v>0.74402767812872106</v>
      </c>
      <c r="AE1079">
        <v>0.33846140573039113</v>
      </c>
      <c r="AF1079">
        <v>5.7793343107938999E-3</v>
      </c>
      <c r="AG1079">
        <v>0.74618703472649717</v>
      </c>
      <c r="AH1079">
        <v>0.33940989500770352</v>
      </c>
      <c r="AI1079">
        <v>2.4897003276865644E-4</v>
      </c>
    </row>
    <row r="1080" spans="23:35" x14ac:dyDescent="0.25">
      <c r="W1080">
        <v>1078</v>
      </c>
      <c r="X1080">
        <v>62.278631486433596</v>
      </c>
      <c r="Y1080">
        <v>6.6213685135664093</v>
      </c>
      <c r="Z1080">
        <v>62.179623189450311</v>
      </c>
      <c r="AA1080">
        <v>0.41479684657368104</v>
      </c>
      <c r="AB1080">
        <v>73.599999999999994</v>
      </c>
      <c r="AC1080">
        <v>-0.22378708008709278</v>
      </c>
      <c r="AD1080">
        <v>1.5201175811534653</v>
      </c>
      <c r="AE1080">
        <v>0.33862640476111672</v>
      </c>
      <c r="AF1080">
        <v>1.4732551428941362E-2</v>
      </c>
      <c r="AG1080">
        <v>1.5314404522021399</v>
      </c>
      <c r="AH1080">
        <v>0.33951928669454229</v>
      </c>
      <c r="AI1080">
        <v>2.6976195970830632E-3</v>
      </c>
    </row>
    <row r="1081" spans="23:35" x14ac:dyDescent="0.25">
      <c r="W1081">
        <v>1079</v>
      </c>
      <c r="X1081">
        <v>65.728434594163446</v>
      </c>
      <c r="Y1081">
        <v>2.6715654058365601</v>
      </c>
      <c r="Z1081">
        <v>65.71131115769073</v>
      </c>
      <c r="AA1081">
        <v>0.40024257125530627</v>
      </c>
      <c r="AB1081">
        <v>73.599999999999994</v>
      </c>
      <c r="AC1081">
        <v>-0.26293383539244392</v>
      </c>
      <c r="AD1081">
        <v>0.6133314486715008</v>
      </c>
      <c r="AE1081">
        <v>0.33990635112045892</v>
      </c>
      <c r="AF1081">
        <v>6.3686939906406649E-3</v>
      </c>
      <c r="AG1081">
        <v>0.61529388744696001</v>
      </c>
      <c r="AH1081">
        <v>0.34242046262751574</v>
      </c>
      <c r="AI1081">
        <v>1.8665815328299968E-4</v>
      </c>
    </row>
    <row r="1082" spans="23:35" x14ac:dyDescent="0.25">
      <c r="W1082">
        <v>1080</v>
      </c>
      <c r="X1082">
        <v>64.917525058809574</v>
      </c>
      <c r="Y1082">
        <v>3.0824749411904264</v>
      </c>
      <c r="Z1082">
        <v>64.898184431979047</v>
      </c>
      <c r="AA1082">
        <v>0.38447543966040026</v>
      </c>
      <c r="AB1082">
        <v>73.7</v>
      </c>
      <c r="AC1082">
        <v>-0.31204933220437475</v>
      </c>
      <c r="AD1082">
        <v>0.70766705432087951</v>
      </c>
      <c r="AE1082">
        <v>0.34289856751178549</v>
      </c>
      <c r="AF1082">
        <v>6.235260094097513E-3</v>
      </c>
      <c r="AG1082">
        <v>0.70988366967570704</v>
      </c>
      <c r="AH1082">
        <v>0.34372972581841721</v>
      </c>
      <c r="AI1082">
        <v>2.4322152648255174E-4</v>
      </c>
    </row>
    <row r="1083" spans="23:35" x14ac:dyDescent="0.25">
      <c r="W1083">
        <v>1081</v>
      </c>
      <c r="X1083">
        <v>64.915374966154616</v>
      </c>
      <c r="Y1083">
        <v>2.5846250338453842</v>
      </c>
      <c r="Z1083">
        <v>64.898082837800331</v>
      </c>
      <c r="AA1083">
        <v>0.35900545785324439</v>
      </c>
      <c r="AB1083">
        <v>73.7</v>
      </c>
      <c r="AC1083">
        <v>-0.37168505980560429</v>
      </c>
      <c r="AD1083">
        <v>0.59337189080894881</v>
      </c>
      <c r="AE1083">
        <v>0.34328099803960366</v>
      </c>
      <c r="AF1083">
        <v>6.6459180966671073E-3</v>
      </c>
      <c r="AG1083">
        <v>0.59535352412063491</v>
      </c>
      <c r="AH1083">
        <v>0.3439309315278829</v>
      </c>
      <c r="AI1083">
        <v>1.8241368182546225E-4</v>
      </c>
    </row>
    <row r="1084" spans="23:35" x14ac:dyDescent="0.25">
      <c r="W1084">
        <v>1082</v>
      </c>
      <c r="X1084">
        <v>64.325779686289138</v>
      </c>
      <c r="Y1084">
        <v>2.6742203137108618</v>
      </c>
      <c r="Z1084">
        <v>64.308653724373272</v>
      </c>
      <c r="AA1084">
        <v>0.33959975742874471</v>
      </c>
      <c r="AB1084">
        <v>73.7</v>
      </c>
      <c r="AC1084">
        <v>-0.42600652312983872</v>
      </c>
      <c r="AD1084">
        <v>0.61394095592484277</v>
      </c>
      <c r="AE1084">
        <v>0.34616407773875485</v>
      </c>
      <c r="AF1084">
        <v>6.3633439037395021E-3</v>
      </c>
      <c r="AG1084">
        <v>0.61590368677602636</v>
      </c>
      <c r="AH1084">
        <v>0.34683059879226313</v>
      </c>
      <c r="AI1084">
        <v>1.8687019798064805E-4</v>
      </c>
    </row>
    <row r="1085" spans="23:35" x14ac:dyDescent="0.25">
      <c r="W1085">
        <v>1083</v>
      </c>
      <c r="X1085">
        <v>64.043736646706407</v>
      </c>
      <c r="Y1085">
        <v>2.5562633532935877</v>
      </c>
      <c r="Z1085">
        <v>64.027413341938754</v>
      </c>
      <c r="AA1085">
        <v>0.32686476652516677</v>
      </c>
      <c r="AB1085">
        <v>73.7</v>
      </c>
      <c r="AC1085">
        <v>-0.45616451589519369</v>
      </c>
      <c r="AD1085">
        <v>0.58686068558762472</v>
      </c>
      <c r="AE1085">
        <v>0.34780064347606465</v>
      </c>
      <c r="AF1085">
        <v>6.3450942328806869E-3</v>
      </c>
      <c r="AG1085">
        <v>0.58873143605171896</v>
      </c>
      <c r="AH1085">
        <v>0.34827710182985372</v>
      </c>
      <c r="AI1085">
        <v>1.7025253817830292E-4</v>
      </c>
    </row>
    <row r="1086" spans="23:35" x14ac:dyDescent="0.25">
      <c r="W1086">
        <v>1084</v>
      </c>
      <c r="X1086">
        <v>64.252277229362804</v>
      </c>
      <c r="Y1086">
        <v>1.7477227706371963</v>
      </c>
      <c r="Z1086">
        <v>64.24001691676574</v>
      </c>
      <c r="AA1086">
        <v>0.31109763493026077</v>
      </c>
      <c r="AB1086">
        <v>73.7</v>
      </c>
      <c r="AC1086">
        <v>-0.50738317096904828</v>
      </c>
      <c r="AD1086">
        <v>0.40123791708383089</v>
      </c>
      <c r="AE1086">
        <v>0.34824862622897129</v>
      </c>
      <c r="AF1086">
        <v>6.9661536601447471E-3</v>
      </c>
      <c r="AG1086">
        <v>0.4026428038448272</v>
      </c>
      <c r="AH1086">
        <v>0.34923001119338332</v>
      </c>
      <c r="AI1086">
        <v>8.748337511474645E-5</v>
      </c>
    </row>
    <row r="1087" spans="23:35" x14ac:dyDescent="0.25">
      <c r="W1087">
        <v>1085</v>
      </c>
      <c r="X1087">
        <v>63.586490473263694</v>
      </c>
      <c r="Y1087">
        <v>1.8135095267363113</v>
      </c>
      <c r="Z1087">
        <v>63.572004122020068</v>
      </c>
      <c r="AA1087">
        <v>0.28684050939963612</v>
      </c>
      <c r="AB1087">
        <v>73.7</v>
      </c>
      <c r="AC1087">
        <v>-0.57067028430202504</v>
      </c>
      <c r="AD1087">
        <v>0.41634107957183075</v>
      </c>
      <c r="AE1087">
        <v>0.34897719333876542</v>
      </c>
      <c r="AF1087">
        <v>7.9247176747655711E-3</v>
      </c>
      <c r="AG1087">
        <v>0.41800064254369224</v>
      </c>
      <c r="AH1087">
        <v>0.35086740633223901</v>
      </c>
      <c r="AI1087">
        <v>1.073617831979865E-4</v>
      </c>
    </row>
    <row r="1088" spans="23:35" x14ac:dyDescent="0.25">
      <c r="W1088">
        <v>1086</v>
      </c>
      <c r="X1088">
        <v>60.145784158296891</v>
      </c>
      <c r="Y1088">
        <v>4.5542158417031118</v>
      </c>
      <c r="Z1088">
        <v>60.075119988815963</v>
      </c>
      <c r="AA1088">
        <v>0.26197695573074592</v>
      </c>
      <c r="AB1088">
        <v>73.7</v>
      </c>
      <c r="AC1088">
        <v>-0.64941472986293491</v>
      </c>
      <c r="AD1088">
        <v>1.0455457289767556</v>
      </c>
      <c r="AE1088">
        <v>0.35129612004799471</v>
      </c>
      <c r="AF1088">
        <v>1.5279135741910688E-2</v>
      </c>
      <c r="AG1088">
        <v>1.0536259595462254</v>
      </c>
      <c r="AH1088">
        <v>0.35197252274387869</v>
      </c>
      <c r="AI1088">
        <v>1.3249979971929698E-3</v>
      </c>
    </row>
    <row r="1089" spans="23:35" x14ac:dyDescent="0.25">
      <c r="W1089">
        <v>1087</v>
      </c>
      <c r="X1089">
        <v>63.582759065876054</v>
      </c>
      <c r="Y1089">
        <v>0.71724093412394296</v>
      </c>
      <c r="Z1089">
        <v>63.572364990717986</v>
      </c>
      <c r="AA1089">
        <v>0.2498483929654336</v>
      </c>
      <c r="AB1089">
        <v>73.7</v>
      </c>
      <c r="AC1089">
        <v>-0.68742774275107121</v>
      </c>
      <c r="AD1089">
        <v>0.16466241859985023</v>
      </c>
      <c r="AE1089">
        <v>0.35318980682911516</v>
      </c>
      <c r="AF1089">
        <v>1.4284737575122355E-2</v>
      </c>
      <c r="AG1089">
        <v>0.16585125020037927</v>
      </c>
      <c r="AH1089">
        <v>0.35361655678836956</v>
      </c>
      <c r="AI1089">
        <v>3.0663020421248671E-5</v>
      </c>
    </row>
    <row r="1090" spans="23:35" x14ac:dyDescent="0.25">
      <c r="W1090">
        <v>1088</v>
      </c>
      <c r="X1090">
        <v>83.089674225119737</v>
      </c>
      <c r="Y1090">
        <v>-1.3896742251197338</v>
      </c>
      <c r="Z1090">
        <v>83.121244177327597</v>
      </c>
      <c r="AA1090">
        <v>0.95573074590661011</v>
      </c>
      <c r="AB1090">
        <v>73.7</v>
      </c>
      <c r="AC1090">
        <v>1.6624525291871317</v>
      </c>
      <c r="AD1090">
        <v>-0.31903800813262784</v>
      </c>
      <c r="AE1090">
        <v>0.35462219548947244</v>
      </c>
      <c r="AF1090">
        <v>2.2212898185602962E-2</v>
      </c>
      <c r="AG1090">
        <v>-0.32264153346280622</v>
      </c>
      <c r="AH1090">
        <v>0.35506628455571665</v>
      </c>
      <c r="AI1090">
        <v>1.8191064588644629E-4</v>
      </c>
    </row>
    <row r="1091" spans="23:35" x14ac:dyDescent="0.25">
      <c r="W1091">
        <v>1089</v>
      </c>
      <c r="X1091">
        <v>84.553805927975745</v>
      </c>
      <c r="Y1091">
        <v>-3.1538059279757391</v>
      </c>
      <c r="Z1091">
        <v>84.600854410815032</v>
      </c>
      <c r="AA1091">
        <v>0.94724075197089141</v>
      </c>
      <c r="AB1091">
        <v>73.7</v>
      </c>
      <c r="AC1091">
        <v>1.5992570753291051</v>
      </c>
      <c r="AD1091">
        <v>-0.72404304772333339</v>
      </c>
      <c r="AE1091">
        <v>0.35539139180671703</v>
      </c>
      <c r="AF1091">
        <v>1.4698726277682959E-2</v>
      </c>
      <c r="AG1091">
        <v>-0.72942369267502727</v>
      </c>
      <c r="AH1091">
        <v>0.35590444813018351</v>
      </c>
      <c r="AI1091">
        <v>6.1055815638497298E-4</v>
      </c>
    </row>
    <row r="1092" spans="23:35" x14ac:dyDescent="0.25">
      <c r="W1092">
        <v>1090</v>
      </c>
      <c r="X1092">
        <v>80.901137808171342</v>
      </c>
      <c r="Y1092">
        <v>0.19886219182865261</v>
      </c>
      <c r="Z1092">
        <v>80.895445821620314</v>
      </c>
      <c r="AA1092">
        <v>0.93935718617343844</v>
      </c>
      <c r="AB1092">
        <v>73.8</v>
      </c>
      <c r="AC1092">
        <v>1.5222105313262397</v>
      </c>
      <c r="AD1092">
        <v>4.5654295393177856E-2</v>
      </c>
      <c r="AE1092">
        <v>0.35631733451837516</v>
      </c>
      <c r="AF1092">
        <v>2.7826303017233333E-2</v>
      </c>
      <c r="AG1092">
        <v>4.63030619439177E-2</v>
      </c>
      <c r="AH1092">
        <v>0.35669367845446848</v>
      </c>
      <c r="AI1092">
        <v>4.7204968634005273E-6</v>
      </c>
    </row>
    <row r="1093" spans="23:35" x14ac:dyDescent="0.25">
      <c r="W1093">
        <v>1091</v>
      </c>
      <c r="X1093">
        <v>78.260912653715792</v>
      </c>
      <c r="Y1093">
        <v>2.8390873462842023</v>
      </c>
      <c r="Z1093">
        <v>78.212127636115596</v>
      </c>
      <c r="AA1093">
        <v>0.93935718617343844</v>
      </c>
      <c r="AB1093">
        <v>73.8</v>
      </c>
      <c r="AC1093">
        <v>1.5222105313262397</v>
      </c>
      <c r="AD1093">
        <v>0.65179072584081255</v>
      </c>
      <c r="AE1093">
        <v>0.35737159678517555</v>
      </c>
      <c r="AF1093">
        <v>1.689306570826845E-2</v>
      </c>
      <c r="AG1093">
        <v>0.65736684625161845</v>
      </c>
      <c r="AH1093">
        <v>0.35790968558092578</v>
      </c>
      <c r="AI1093">
        <v>5.7118915584191917E-4</v>
      </c>
    </row>
    <row r="1094" spans="23:35" x14ac:dyDescent="0.25">
      <c r="W1094">
        <v>1092</v>
      </c>
      <c r="X1094">
        <v>72.705310797597278</v>
      </c>
      <c r="Y1094">
        <v>1.7946892024027221</v>
      </c>
      <c r="Z1094">
        <v>72.699766983814357</v>
      </c>
      <c r="AA1094">
        <v>0.72407519708914492</v>
      </c>
      <c r="AB1094">
        <v>73.8</v>
      </c>
      <c r="AC1094">
        <v>0.56531175535073552</v>
      </c>
      <c r="AD1094">
        <v>0.412020355563813</v>
      </c>
      <c r="AE1094">
        <v>0.35893022337886477</v>
      </c>
      <c r="AF1094">
        <v>3.0794978944801059E-3</v>
      </c>
      <c r="AG1094">
        <v>0.41265623248623662</v>
      </c>
      <c r="AH1094">
        <v>0.35945210618301143</v>
      </c>
      <c r="AI1094">
        <v>4.0462512746197572E-5</v>
      </c>
    </row>
    <row r="1095" spans="23:35" x14ac:dyDescent="0.25">
      <c r="W1095">
        <v>1093</v>
      </c>
      <c r="X1095">
        <v>72.361566463512403</v>
      </c>
      <c r="Y1095">
        <v>1.5384335364876023</v>
      </c>
      <c r="Z1095">
        <v>72.357846519911917</v>
      </c>
      <c r="AA1095">
        <v>0.67919951485748942</v>
      </c>
      <c r="AB1095">
        <v>73.8</v>
      </c>
      <c r="AC1095">
        <v>0.43434378704136062</v>
      </c>
      <c r="AD1095">
        <v>0.35318980682911516</v>
      </c>
      <c r="AE1095">
        <v>0.35990847471808468</v>
      </c>
      <c r="AF1095">
        <v>2.4121746950123259E-3</v>
      </c>
      <c r="AG1095">
        <v>0.35361655678836956</v>
      </c>
      <c r="AH1095">
        <v>0.36068442423582875</v>
      </c>
      <c r="AI1095">
        <v>2.3258379187146919E-5</v>
      </c>
    </row>
    <row r="1096" spans="23:35" x14ac:dyDescent="0.25">
      <c r="W1096">
        <v>1094</v>
      </c>
      <c r="X1096">
        <v>72.201930713792024</v>
      </c>
      <c r="Y1096">
        <v>1.698069286207982</v>
      </c>
      <c r="Z1096">
        <v>72.197874703319656</v>
      </c>
      <c r="AA1096">
        <v>0.67919951485748942</v>
      </c>
      <c r="AB1096">
        <v>73.8</v>
      </c>
      <c r="AC1096">
        <v>0.43434378704136062</v>
      </c>
      <c r="AD1096">
        <v>0.38983859162841628</v>
      </c>
      <c r="AE1096">
        <v>0.36034479999873897</v>
      </c>
      <c r="AF1096">
        <v>2.3829094604691852E-3</v>
      </c>
      <c r="AG1096">
        <v>0.39030389841572927</v>
      </c>
      <c r="AH1096">
        <v>0.36140274706690584</v>
      </c>
      <c r="AI1096">
        <v>2.7990205486135324E-5</v>
      </c>
    </row>
    <row r="1097" spans="23:35" x14ac:dyDescent="0.25">
      <c r="W1097">
        <v>1095</v>
      </c>
      <c r="X1097">
        <v>68.67552600733093</v>
      </c>
      <c r="Y1097">
        <v>5.8244739926690698</v>
      </c>
      <c r="Z1097">
        <v>68.643637439487023</v>
      </c>
      <c r="AA1097">
        <v>0.72407519708914492</v>
      </c>
      <c r="AB1097">
        <v>73.8</v>
      </c>
      <c r="AC1097">
        <v>0.56531175535073552</v>
      </c>
      <c r="AD1097">
        <v>1.3371684870109251</v>
      </c>
      <c r="AE1097">
        <v>0.36144034908381706</v>
      </c>
      <c r="AF1097">
        <v>5.4451150376035899E-3</v>
      </c>
      <c r="AG1097">
        <v>1.3408239401938147</v>
      </c>
      <c r="AH1097">
        <v>0.36210548807016152</v>
      </c>
      <c r="AI1097">
        <v>7.571439622653651E-4</v>
      </c>
    </row>
    <row r="1098" spans="23:35" x14ac:dyDescent="0.25">
      <c r="W1098">
        <v>1096</v>
      </c>
      <c r="X1098">
        <v>68.51669967391129</v>
      </c>
      <c r="Y1098">
        <v>4.6833003260887125</v>
      </c>
      <c r="Z1098">
        <v>68.490438259904067</v>
      </c>
      <c r="AA1098">
        <v>0.62340812613705276</v>
      </c>
      <c r="AB1098">
        <v>73.8</v>
      </c>
      <c r="AC1098">
        <v>0.29295400660571058</v>
      </c>
      <c r="AD1098">
        <v>1.075180629038071</v>
      </c>
      <c r="AE1098">
        <v>0.36433735540629808</v>
      </c>
      <c r="AF1098">
        <v>5.5761906216541986E-3</v>
      </c>
      <c r="AG1098">
        <v>1.0781909304857034</v>
      </c>
      <c r="AH1098">
        <v>0.36515247347387209</v>
      </c>
      <c r="AI1098">
        <v>5.014343645954757E-4</v>
      </c>
    </row>
    <row r="1099" spans="23:35" x14ac:dyDescent="0.25">
      <c r="W1099">
        <v>1097</v>
      </c>
      <c r="X1099">
        <v>71.455761907067284</v>
      </c>
      <c r="Y1099">
        <v>1.7442380929327186</v>
      </c>
      <c r="Z1099">
        <v>71.452560802349439</v>
      </c>
      <c r="AA1099">
        <v>0.62340812613705276</v>
      </c>
      <c r="AB1099">
        <v>73.8</v>
      </c>
      <c r="AC1099">
        <v>0.29295400660571058</v>
      </c>
      <c r="AD1099">
        <v>0.4004379133032866</v>
      </c>
      <c r="AE1099">
        <v>0.36490068300004647</v>
      </c>
      <c r="AF1099">
        <v>1.8318833194060856E-3</v>
      </c>
      <c r="AG1099">
        <v>0.40080519576126528</v>
      </c>
      <c r="AH1099">
        <v>0.36690548973383741</v>
      </c>
      <c r="AI1099">
        <v>2.2678663013383079E-5</v>
      </c>
    </row>
    <row r="1100" spans="23:35" x14ac:dyDescent="0.25">
      <c r="W1100">
        <v>1098</v>
      </c>
      <c r="X1100">
        <v>71.236638798147084</v>
      </c>
      <c r="Y1100">
        <v>1.2633612018529163</v>
      </c>
      <c r="Z1100">
        <v>71.234429704524501</v>
      </c>
      <c r="AA1100">
        <v>0.55852031534263191</v>
      </c>
      <c r="AB1100">
        <v>73.8</v>
      </c>
      <c r="AC1100">
        <v>0.12956927093944998</v>
      </c>
      <c r="AD1100">
        <v>0.2900393733333218</v>
      </c>
      <c r="AE1100">
        <v>0.36610947384648662</v>
      </c>
      <c r="AF1100">
        <v>1.7455321371537E-3</v>
      </c>
      <c r="AG1100">
        <v>0.29029284173315684</v>
      </c>
      <c r="AH1100">
        <v>0.36722729481339156</v>
      </c>
      <c r="AI1100">
        <v>1.1334852882718123E-5</v>
      </c>
    </row>
    <row r="1101" spans="23:35" x14ac:dyDescent="0.25">
      <c r="W1101">
        <v>1099</v>
      </c>
      <c r="X1101">
        <v>70.85185123008425</v>
      </c>
      <c r="Y1101">
        <v>1.6481487699157498</v>
      </c>
      <c r="Z1101">
        <v>70.849317379296366</v>
      </c>
      <c r="AA1101">
        <v>0.55852031534263191</v>
      </c>
      <c r="AB1101">
        <v>73.8</v>
      </c>
      <c r="AC1101">
        <v>0.12956927093944998</v>
      </c>
      <c r="AD1101">
        <v>0.37837796165130494</v>
      </c>
      <c r="AE1101">
        <v>0.36617684171574549</v>
      </c>
      <c r="AF1101">
        <v>1.5350320867898867E-3</v>
      </c>
      <c r="AG1101">
        <v>0.3786687075784359</v>
      </c>
      <c r="AH1101">
        <v>0.36871702496884212</v>
      </c>
      <c r="AI1101">
        <v>1.6957432951893663E-5</v>
      </c>
    </row>
    <row r="1102" spans="23:35" x14ac:dyDescent="0.25">
      <c r="W1102">
        <v>1100</v>
      </c>
      <c r="X1102">
        <v>70.228583070758305</v>
      </c>
      <c r="Y1102">
        <v>2.7714169292416955</v>
      </c>
      <c r="Z1102">
        <v>70.224739534876676</v>
      </c>
      <c r="AA1102">
        <v>0.60946027895694366</v>
      </c>
      <c r="AB1102">
        <v>73.8</v>
      </c>
      <c r="AC1102">
        <v>0.22222871718700732</v>
      </c>
      <c r="AD1102">
        <v>0.63625511708266247</v>
      </c>
      <c r="AE1102">
        <v>0.36676096486409693</v>
      </c>
      <c r="AF1102">
        <v>1.3849279842113506E-3</v>
      </c>
      <c r="AG1102">
        <v>0.63669615900241505</v>
      </c>
      <c r="AH1102">
        <v>0.36960189938288457</v>
      </c>
      <c r="AI1102">
        <v>4.3246421992042973E-5</v>
      </c>
    </row>
    <row r="1103" spans="23:35" x14ac:dyDescent="0.25">
      <c r="W1103">
        <v>1101</v>
      </c>
      <c r="X1103">
        <v>70.091486234690905</v>
      </c>
      <c r="Y1103">
        <v>1.1085137653090982</v>
      </c>
      <c r="Z1103">
        <v>70.090041703783456</v>
      </c>
      <c r="AA1103">
        <v>0.47907822922983628</v>
      </c>
      <c r="AB1103">
        <v>73.8</v>
      </c>
      <c r="AC1103">
        <v>-6.3887210036911155E-2</v>
      </c>
      <c r="AD1103">
        <v>0.2544898777563086</v>
      </c>
      <c r="AE1103">
        <v>0.36923227560857713</v>
      </c>
      <c r="AF1103">
        <v>1.3014280918182727E-3</v>
      </c>
      <c r="AG1103">
        <v>0.25465563970730959</v>
      </c>
      <c r="AH1103">
        <v>0.36979829381647517</v>
      </c>
      <c r="AI1103">
        <v>6.5005333858488712E-6</v>
      </c>
    </row>
    <row r="1104" spans="23:35" x14ac:dyDescent="0.25">
      <c r="W1104">
        <v>1102</v>
      </c>
      <c r="X1104">
        <v>67.799085533157211</v>
      </c>
      <c r="Y1104">
        <v>3.2009144668427894</v>
      </c>
      <c r="Z1104">
        <v>67.76044916389381</v>
      </c>
      <c r="AA1104">
        <v>0.46937537901758641</v>
      </c>
      <c r="AB1104">
        <v>73.900000000000006</v>
      </c>
      <c r="AC1104">
        <v>-9.743972564826138E-2</v>
      </c>
      <c r="AD1104">
        <v>0.73485811080395369</v>
      </c>
      <c r="AE1104">
        <v>0.36963106835019083</v>
      </c>
      <c r="AF1104">
        <v>1.192645870309767E-2</v>
      </c>
      <c r="AG1104">
        <v>0.73927982938795544</v>
      </c>
      <c r="AH1104">
        <v>0.36996748216883935</v>
      </c>
      <c r="AI1104">
        <v>5.0745390695180201E-4</v>
      </c>
    </row>
    <row r="1105" spans="23:35" x14ac:dyDescent="0.25">
      <c r="W1105">
        <v>1103</v>
      </c>
      <c r="X1105">
        <v>69.665603364256953</v>
      </c>
      <c r="Y1105">
        <v>6.3343966357430475</v>
      </c>
      <c r="Z1105">
        <v>69.657159821084988</v>
      </c>
      <c r="AA1105">
        <v>0.80836870830806551</v>
      </c>
      <c r="AB1105">
        <v>73.900000000000006</v>
      </c>
      <c r="AC1105">
        <v>0.83794453378675593</v>
      </c>
      <c r="AD1105">
        <v>1.4542352796500631</v>
      </c>
      <c r="AE1105">
        <v>0.37005358555575385</v>
      </c>
      <c r="AF1105">
        <v>1.3311927990910593E-3</v>
      </c>
      <c r="AG1105">
        <v>1.4552041808694167</v>
      </c>
      <c r="AH1105">
        <v>0.37243647355592507</v>
      </c>
      <c r="AI1105">
        <v>2.1713207857737001E-4</v>
      </c>
    </row>
    <row r="1106" spans="23:35" x14ac:dyDescent="0.25">
      <c r="W1106">
        <v>1104</v>
      </c>
      <c r="X1106">
        <v>69.315233557525744</v>
      </c>
      <c r="Y1106">
        <v>5.6847664424742561</v>
      </c>
      <c r="Z1106">
        <v>69.307656440593234</v>
      </c>
      <c r="AA1106">
        <v>0.76046088538508183</v>
      </c>
      <c r="AB1106">
        <v>73.900000000000006</v>
      </c>
      <c r="AC1106">
        <v>0.67020216077934069</v>
      </c>
      <c r="AD1106">
        <v>1.3050947694952948</v>
      </c>
      <c r="AE1106">
        <v>0.37054044841763528</v>
      </c>
      <c r="AF1106">
        <v>1.3311067495199703E-3</v>
      </c>
      <c r="AG1106">
        <v>1.3059642478462405</v>
      </c>
      <c r="AH1106">
        <v>0.37350015798157349</v>
      </c>
      <c r="AI1106">
        <v>1.7486809799938601E-4</v>
      </c>
    </row>
    <row r="1107" spans="23:35" x14ac:dyDescent="0.25">
      <c r="W1107">
        <v>1105</v>
      </c>
      <c r="X1107">
        <v>69.202549222541862</v>
      </c>
      <c r="Y1107">
        <v>3.7974507774581383</v>
      </c>
      <c r="Z1107">
        <v>69.196983765311515</v>
      </c>
      <c r="AA1107">
        <v>0.60946027895694366</v>
      </c>
      <c r="AB1107">
        <v>73.900000000000006</v>
      </c>
      <c r="AC1107">
        <v>0.22222871718700732</v>
      </c>
      <c r="AD1107">
        <v>0.87180945729748882</v>
      </c>
      <c r="AE1107">
        <v>0.37133164645965788</v>
      </c>
      <c r="AF1107">
        <v>1.4634324144049866E-3</v>
      </c>
      <c r="AG1107">
        <v>0.87244807542337821</v>
      </c>
      <c r="AH1107">
        <v>0.37355087826257838</v>
      </c>
      <c r="AI1107">
        <v>8.5811308020036461E-5</v>
      </c>
    </row>
    <row r="1108" spans="23:35" x14ac:dyDescent="0.25">
      <c r="W1108">
        <v>1106</v>
      </c>
      <c r="X1108">
        <v>68.838251502590495</v>
      </c>
      <c r="Y1108">
        <v>4.1617484974095049</v>
      </c>
      <c r="Z1108">
        <v>68.832410242157465</v>
      </c>
      <c r="AA1108">
        <v>0.60946027895694366</v>
      </c>
      <c r="AB1108">
        <v>73.900000000000006</v>
      </c>
      <c r="AC1108">
        <v>0.22222871718700732</v>
      </c>
      <c r="AD1108">
        <v>0.95544403642377862</v>
      </c>
      <c r="AE1108">
        <v>0.37227752650566714</v>
      </c>
      <c r="AF1108">
        <v>1.4015919925979355E-3</v>
      </c>
      <c r="AG1108">
        <v>0.95611431245168066</v>
      </c>
      <c r="AH1108">
        <v>0.37368088934740745</v>
      </c>
      <c r="AI1108">
        <v>9.8697698302646603E-5</v>
      </c>
    </row>
    <row r="1109" spans="23:35" x14ac:dyDescent="0.25">
      <c r="W1109">
        <v>1107</v>
      </c>
      <c r="X1109">
        <v>61.470050513596995</v>
      </c>
      <c r="Y1109">
        <v>-7.0050513596996211E-2</v>
      </c>
      <c r="Z1109">
        <v>61.470243059648709</v>
      </c>
      <c r="AA1109">
        <v>0.18617343844754397</v>
      </c>
      <c r="AB1109">
        <v>73.900000000000006</v>
      </c>
      <c r="AC1109">
        <v>-0.90460220385671419</v>
      </c>
      <c r="AD1109">
        <v>-1.6082025501140507E-2</v>
      </c>
      <c r="AE1109">
        <v>0.37509534911795533</v>
      </c>
      <c r="AF1109">
        <v>2.7411398745942599E-3</v>
      </c>
      <c r="AG1109">
        <v>-1.6104112459792135E-2</v>
      </c>
      <c r="AH1109">
        <v>0.37638671899278614</v>
      </c>
      <c r="AI1109">
        <v>5.4834454933900675E-8</v>
      </c>
    </row>
    <row r="1110" spans="23:35" x14ac:dyDescent="0.25">
      <c r="W1110">
        <v>1108</v>
      </c>
      <c r="X1110">
        <v>61.567975535560414</v>
      </c>
      <c r="Y1110">
        <v>7.4320244644395856</v>
      </c>
      <c r="Z1110">
        <v>61.421437860654457</v>
      </c>
      <c r="AA1110">
        <v>0.42086112795633718</v>
      </c>
      <c r="AB1110">
        <v>73.900000000000006</v>
      </c>
      <c r="AC1110">
        <v>-0.21444491222324932</v>
      </c>
      <c r="AD1110">
        <v>1.7062259907162576</v>
      </c>
      <c r="AE1110">
        <v>0.37596187324170499</v>
      </c>
      <c r="AF1110">
        <v>1.9335814922619203E-2</v>
      </c>
      <c r="AG1110">
        <v>1.7229647640343007</v>
      </c>
      <c r="AH1110">
        <v>0.37654207392333927</v>
      </c>
      <c r="AI1110">
        <v>4.5024780600075665E-3</v>
      </c>
    </row>
    <row r="1111" spans="23:35" x14ac:dyDescent="0.25">
      <c r="W1111">
        <v>1109</v>
      </c>
      <c r="X1111">
        <v>62.148421224377522</v>
      </c>
      <c r="Y1111">
        <v>0.85157877562247819</v>
      </c>
      <c r="Z1111">
        <v>62.143936253323233</v>
      </c>
      <c r="AA1111">
        <v>0.22195269860521527</v>
      </c>
      <c r="AB1111">
        <v>73.900000000000006</v>
      </c>
      <c r="AC1111">
        <v>-0.78098898173722842</v>
      </c>
      <c r="AD1111">
        <v>0.1955033715324245</v>
      </c>
      <c r="AE1111">
        <v>0.37666414043919222</v>
      </c>
      <c r="AF1111">
        <v>5.2390620110934639E-3</v>
      </c>
      <c r="AG1111">
        <v>0.1960175198011718</v>
      </c>
      <c r="AH1111">
        <v>0.37710817875902986</v>
      </c>
      <c r="AI1111">
        <v>1.5566151143234114E-5</v>
      </c>
    </row>
    <row r="1112" spans="23:35" x14ac:dyDescent="0.25">
      <c r="W1112">
        <v>1110</v>
      </c>
      <c r="X1112">
        <v>60.485609391637681</v>
      </c>
      <c r="Y1112">
        <v>-1.0856093916376821</v>
      </c>
      <c r="Z1112">
        <v>60.502253701855842</v>
      </c>
      <c r="AA1112">
        <v>0.16312916919345058</v>
      </c>
      <c r="AB1112">
        <v>73.900000000000006</v>
      </c>
      <c r="AC1112">
        <v>-0.99032898964496086</v>
      </c>
      <c r="AD1112">
        <v>-0.24923154769479769</v>
      </c>
      <c r="AE1112">
        <v>0.37837796165130494</v>
      </c>
      <c r="AF1112">
        <v>1.5100253408211825E-2</v>
      </c>
      <c r="AG1112">
        <v>-0.25113486016506387</v>
      </c>
      <c r="AH1112">
        <v>0.3786687075784359</v>
      </c>
      <c r="AI1112">
        <v>7.4381145201485687E-5</v>
      </c>
    </row>
    <row r="1113" spans="23:35" x14ac:dyDescent="0.25">
      <c r="W1113">
        <v>1111</v>
      </c>
      <c r="X1113">
        <v>60.471390844140664</v>
      </c>
      <c r="Y1113">
        <v>-2.2713908441406616</v>
      </c>
      <c r="Z1113">
        <v>60.509300239764862</v>
      </c>
      <c r="AA1113">
        <v>0.13644633110976348</v>
      </c>
      <c r="AB1113">
        <v>73.900000000000006</v>
      </c>
      <c r="AC1113">
        <v>-1.1005940465096573</v>
      </c>
      <c r="AD1113">
        <v>-0.5214603520065203</v>
      </c>
      <c r="AE1113">
        <v>0.38145606662163456</v>
      </c>
      <c r="AF1113">
        <v>1.6415966608160994E-2</v>
      </c>
      <c r="AG1113">
        <v>-0.52579391822272792</v>
      </c>
      <c r="AH1113">
        <v>0.38183857755882561</v>
      </c>
      <c r="AI1113">
        <v>3.5493003696150113E-4</v>
      </c>
    </row>
    <row r="1114" spans="23:35" x14ac:dyDescent="0.25">
      <c r="W1114">
        <v>1112</v>
      </c>
      <c r="X1114">
        <v>60.872948450255841</v>
      </c>
      <c r="Y1114">
        <v>-3.7729484502558392</v>
      </c>
      <c r="Z1114">
        <v>60.949517578606795</v>
      </c>
      <c r="AA1114">
        <v>0.11279563371740449</v>
      </c>
      <c r="AB1114">
        <v>73.900000000000006</v>
      </c>
      <c r="AC1114">
        <v>-1.2197514087080794</v>
      </c>
      <c r="AD1114">
        <v>-0.8661842729744782</v>
      </c>
      <c r="AE1114">
        <v>0.38266434056333204</v>
      </c>
      <c r="AF1114">
        <v>1.9890577660035887E-2</v>
      </c>
      <c r="AG1114">
        <v>-0.87492940344199377</v>
      </c>
      <c r="AH1114">
        <v>0.38304520217982274</v>
      </c>
      <c r="AI1114">
        <v>1.1950209068482538E-3</v>
      </c>
    </row>
    <row r="1115" spans="23:35" x14ac:dyDescent="0.25">
      <c r="W1115">
        <v>1113</v>
      </c>
      <c r="X1115">
        <v>63.007953079273058</v>
      </c>
      <c r="Y1115">
        <v>-9.4079530792730566</v>
      </c>
      <c r="Z1115">
        <v>63.188469317948332</v>
      </c>
      <c r="AA1115">
        <v>6.4887810794420867E-2</v>
      </c>
      <c r="AB1115">
        <v>73.900000000000006</v>
      </c>
      <c r="AC1115">
        <v>-1.5319668124298669</v>
      </c>
      <c r="AD1115">
        <v>-2.1598548471012267</v>
      </c>
      <c r="AE1115">
        <v>0.38271510560107669</v>
      </c>
      <c r="AF1115">
        <v>1.8826387475357712E-2</v>
      </c>
      <c r="AG1115">
        <v>-2.1804776297840287</v>
      </c>
      <c r="AH1115">
        <v>0.38429415391745775</v>
      </c>
      <c r="AI1115">
        <v>7.0174778683658717E-3</v>
      </c>
    </row>
    <row r="1116" spans="23:35" x14ac:dyDescent="0.25">
      <c r="W1116">
        <v>1114</v>
      </c>
      <c r="X1116">
        <v>63.001361193096471</v>
      </c>
      <c r="Y1116">
        <v>-9.8013611930964686</v>
      </c>
      <c r="Z1116">
        <v>63.224239522420945</v>
      </c>
      <c r="AA1116">
        <v>6.0642813826561552E-2</v>
      </c>
      <c r="AB1116">
        <v>73.900000000000006</v>
      </c>
      <c r="AC1116">
        <v>-1.5621464731395975</v>
      </c>
      <c r="AD1116">
        <v>-2.2501725192208357</v>
      </c>
      <c r="AE1116">
        <v>0.38310235217410149</v>
      </c>
      <c r="AF1116">
        <v>2.2233938926336259E-2</v>
      </c>
      <c r="AG1116">
        <v>-2.2756126388317099</v>
      </c>
      <c r="AH1116">
        <v>0.38637761501126638</v>
      </c>
      <c r="AI1116">
        <v>9.0580512155156324E-3</v>
      </c>
    </row>
    <row r="1117" spans="23:35" x14ac:dyDescent="0.25">
      <c r="W1117">
        <v>1115</v>
      </c>
      <c r="X1117">
        <v>62.021590706355148</v>
      </c>
      <c r="Y1117">
        <v>-9.3215907063551455</v>
      </c>
      <c r="Z1117">
        <v>62.09300883469318</v>
      </c>
      <c r="AA1117">
        <v>5.5791388720436631E-2</v>
      </c>
      <c r="AB1117">
        <v>73.900000000000006</v>
      </c>
      <c r="AC1117">
        <v>-1.5938200328066188</v>
      </c>
      <c r="AD1117">
        <v>-2.1400279848515771</v>
      </c>
      <c r="AE1117">
        <v>0.38576443852019415</v>
      </c>
      <c r="AF1117">
        <v>7.6033281342442992E-3</v>
      </c>
      <c r="AG1117">
        <v>-2.1482103418803895</v>
      </c>
      <c r="AH1117">
        <v>0.38655098723545389</v>
      </c>
      <c r="AI1117">
        <v>2.7197481386140271E-3</v>
      </c>
    </row>
    <row r="1118" spans="23:35" x14ac:dyDescent="0.25">
      <c r="W1118">
        <v>1116</v>
      </c>
      <c r="X1118">
        <v>61.44501488698387</v>
      </c>
      <c r="Y1118">
        <v>-9.1450148869838728</v>
      </c>
      <c r="Z1118">
        <v>61.671683443532636</v>
      </c>
      <c r="AA1118">
        <v>5.1546391752577317E-2</v>
      </c>
      <c r="AB1118">
        <v>73.900000000000006</v>
      </c>
      <c r="AC1118">
        <v>-1.6387108222805178</v>
      </c>
      <c r="AD1118">
        <v>-2.0994901403134127</v>
      </c>
      <c r="AE1118">
        <v>0.38620848609346414</v>
      </c>
      <c r="AF1118">
        <v>2.4186535739765029E-2</v>
      </c>
      <c r="AG1118">
        <v>-2.1253498873301595</v>
      </c>
      <c r="AH1118">
        <v>0.38839033082214686</v>
      </c>
      <c r="AI1118">
        <v>8.612403773290039E-3</v>
      </c>
    </row>
    <row r="1119" spans="23:35" x14ac:dyDescent="0.25">
      <c r="W1119">
        <v>1117</v>
      </c>
      <c r="X1119">
        <v>60.892464993121138</v>
      </c>
      <c r="Y1119">
        <v>-8.8924649931211377</v>
      </c>
      <c r="Z1119">
        <v>60.950058940201757</v>
      </c>
      <c r="AA1119">
        <v>4.6694966646452396E-2</v>
      </c>
      <c r="AB1119">
        <v>73.900000000000006</v>
      </c>
      <c r="AC1119">
        <v>-1.6935133675401242</v>
      </c>
      <c r="AD1119">
        <v>-2.0415103536586439</v>
      </c>
      <c r="AE1119">
        <v>0.38787440506450788</v>
      </c>
      <c r="AF1119">
        <v>6.4350355081933871E-3</v>
      </c>
      <c r="AG1119">
        <v>-2.0481108222921258</v>
      </c>
      <c r="AH1119">
        <v>0.38915454547132894</v>
      </c>
      <c r="AI1119">
        <v>2.0898649934932771E-3</v>
      </c>
    </row>
    <row r="1120" spans="23:35" x14ac:dyDescent="0.25">
      <c r="W1120">
        <v>1118</v>
      </c>
      <c r="X1120">
        <v>60.941806691379711</v>
      </c>
      <c r="Y1120">
        <v>-9.3418066913797091</v>
      </c>
      <c r="Z1120">
        <v>60.997601196174884</v>
      </c>
      <c r="AA1120">
        <v>4.3056397816858702E-2</v>
      </c>
      <c r="AB1120">
        <v>73.900000000000006</v>
      </c>
      <c r="AC1120">
        <v>-1.7262996894247766</v>
      </c>
      <c r="AD1120">
        <v>-2.1446691212259097</v>
      </c>
      <c r="AE1120">
        <v>0.38844455755972318</v>
      </c>
      <c r="AF1120">
        <v>5.9371007164978427E-3</v>
      </c>
      <c r="AG1120">
        <v>-2.1510641696798554</v>
      </c>
      <c r="AH1120">
        <v>0.38965191512278258</v>
      </c>
      <c r="AI1120">
        <v>2.1258074824014239E-3</v>
      </c>
    </row>
    <row r="1121" spans="23:35" x14ac:dyDescent="0.25">
      <c r="W1121">
        <v>1119</v>
      </c>
      <c r="X1121">
        <v>59.248170023529376</v>
      </c>
      <c r="Y1121">
        <v>-0.24817002352937578</v>
      </c>
      <c r="Z1121">
        <v>59.251602834646043</v>
      </c>
      <c r="AA1121">
        <v>0.15039417828987264</v>
      </c>
      <c r="AB1121">
        <v>73.900000000000006</v>
      </c>
      <c r="AC1121">
        <v>-1.0386467129748296</v>
      </c>
      <c r="AD1121">
        <v>-5.6974266740982181E-2</v>
      </c>
      <c r="AE1121">
        <v>0.38890188061066761</v>
      </c>
      <c r="AF1121">
        <v>1.3643769639945447E-2</v>
      </c>
      <c r="AG1121">
        <v>-5.7366961605348467E-2</v>
      </c>
      <c r="AH1121">
        <v>0.38968634042557326</v>
      </c>
      <c r="AI1121">
        <v>3.5017160811664382E-6</v>
      </c>
    </row>
    <row r="1122" spans="23:35" x14ac:dyDescent="0.25">
      <c r="W1122">
        <v>1120</v>
      </c>
      <c r="X1122">
        <v>58.62967815347276</v>
      </c>
      <c r="Y1122">
        <v>-3.62967815347276</v>
      </c>
      <c r="Z1122">
        <v>58.663345226387662</v>
      </c>
      <c r="AA1122">
        <v>8.1261370527592483E-2</v>
      </c>
      <c r="AB1122">
        <v>73.900000000000006</v>
      </c>
      <c r="AC1122">
        <v>-1.4067868590764927</v>
      </c>
      <c r="AD1122">
        <v>-0.83329262881499488</v>
      </c>
      <c r="AE1122">
        <v>0.38983859162841628</v>
      </c>
      <c r="AF1122">
        <v>9.190253943960891E-3</v>
      </c>
      <c r="AG1122">
        <v>-0.83714831071851337</v>
      </c>
      <c r="AH1122">
        <v>0.39030389841572927</v>
      </c>
      <c r="AI1122">
        <v>5.0003303840761822E-4</v>
      </c>
    </row>
    <row r="1123" spans="23:35" x14ac:dyDescent="0.25">
      <c r="W1123">
        <v>1121</v>
      </c>
      <c r="X1123">
        <v>58.190131245744801</v>
      </c>
      <c r="Y1123">
        <v>-8.3901312457448043</v>
      </c>
      <c r="Z1123">
        <v>58.323337759221005</v>
      </c>
      <c r="AA1123">
        <v>3.3353547604608853E-2</v>
      </c>
      <c r="AB1123">
        <v>74</v>
      </c>
      <c r="AC1123">
        <v>-1.8544489690938102</v>
      </c>
      <c r="AD1123">
        <v>-1.9261858011240844</v>
      </c>
      <c r="AE1123">
        <v>0.39023370666814533</v>
      </c>
      <c r="AF1123">
        <v>1.5628444775884917E-2</v>
      </c>
      <c r="AG1123">
        <v>-1.9414162002580795</v>
      </c>
      <c r="AH1123">
        <v>0.39100739954934138</v>
      </c>
      <c r="AI1123">
        <v>4.6031025784831264E-3</v>
      </c>
    </row>
    <row r="1124" spans="23:35" x14ac:dyDescent="0.25">
      <c r="W1124">
        <v>1122</v>
      </c>
      <c r="X1124">
        <v>59.364133433655468</v>
      </c>
      <c r="Y1124">
        <v>-10.164133433655465</v>
      </c>
      <c r="Z1124">
        <v>60.213936093090311</v>
      </c>
      <c r="AA1124">
        <v>2.7895694360218316E-2</v>
      </c>
      <c r="AB1124">
        <v>74</v>
      </c>
      <c r="AC1124">
        <v>-1.9270603903023944</v>
      </c>
      <c r="AD1124">
        <v>-2.3334568825210047</v>
      </c>
      <c r="AE1124">
        <v>0.39137263295149094</v>
      </c>
      <c r="AF1124">
        <v>7.7157035618535777E-2</v>
      </c>
      <c r="AG1124">
        <v>-2.4290467736224737</v>
      </c>
      <c r="AH1124">
        <v>0.39210904367601124</v>
      </c>
      <c r="AI1124">
        <v>3.7946884992443988E-2</v>
      </c>
    </row>
    <row r="1125" spans="23:35" x14ac:dyDescent="0.25">
      <c r="W1125">
        <v>1123</v>
      </c>
      <c r="X1125">
        <v>64.821897356575406</v>
      </c>
      <c r="Y1125">
        <v>1.3781026434245973</v>
      </c>
      <c r="Z1125">
        <v>64.808606509880761</v>
      </c>
      <c r="AA1125">
        <v>0.3171619163129169</v>
      </c>
      <c r="AB1125">
        <v>74</v>
      </c>
      <c r="AC1125">
        <v>-0.48332360885611292</v>
      </c>
      <c r="AD1125">
        <v>0.31638143272219865</v>
      </c>
      <c r="AE1125">
        <v>0.391872222482748</v>
      </c>
      <c r="AF1125">
        <v>9.5521840435730671E-3</v>
      </c>
      <c r="AG1125">
        <v>0.31790341194932165</v>
      </c>
      <c r="AH1125">
        <v>0.39251175948490441</v>
      </c>
      <c r="AI1125">
        <v>7.4975282129698855E-5</v>
      </c>
    </row>
    <row r="1126" spans="23:35" x14ac:dyDescent="0.25">
      <c r="W1126">
        <v>1124</v>
      </c>
      <c r="X1126">
        <v>65.571663673975877</v>
      </c>
      <c r="Y1126">
        <v>0.42833632602412308</v>
      </c>
      <c r="Z1126">
        <v>65.541748056951178</v>
      </c>
      <c r="AA1126">
        <v>0.31109763493026077</v>
      </c>
      <c r="AB1126">
        <v>74</v>
      </c>
      <c r="AC1126">
        <v>-0.50738317096904828</v>
      </c>
      <c r="AD1126">
        <v>9.8336405608882835E-2</v>
      </c>
      <c r="AE1126">
        <v>0.39238670462130482</v>
      </c>
      <c r="AF1126">
        <v>6.5282029849487222E-2</v>
      </c>
      <c r="AG1126">
        <v>0.10171243087008149</v>
      </c>
      <c r="AH1126">
        <v>0.39720830848408084</v>
      </c>
      <c r="AI1126">
        <v>5.5579901514828701E-5</v>
      </c>
    </row>
    <row r="1127" spans="23:35" x14ac:dyDescent="0.25">
      <c r="W1127">
        <v>1125</v>
      </c>
      <c r="X1127">
        <v>65.328137829218647</v>
      </c>
      <c r="Y1127">
        <v>0.37186217078135542</v>
      </c>
      <c r="Z1127">
        <v>65.302176562662453</v>
      </c>
      <c r="AA1127">
        <v>0.29654335961188599</v>
      </c>
      <c r="AB1127">
        <v>74</v>
      </c>
      <c r="AC1127">
        <v>-0.54051528578164909</v>
      </c>
      <c r="AD1127">
        <v>8.5371207237967511E-2</v>
      </c>
      <c r="AE1127">
        <v>0.39372006230159173</v>
      </c>
      <c r="AF1127">
        <v>6.5258263137896844E-2</v>
      </c>
      <c r="AG1127">
        <v>8.8300996657442399E-2</v>
      </c>
      <c r="AH1127">
        <v>0.39800820026177341</v>
      </c>
      <c r="AI1127">
        <v>4.1872774163083555E-5</v>
      </c>
    </row>
    <row r="1128" spans="23:35" x14ac:dyDescent="0.25">
      <c r="W1128">
        <v>1126</v>
      </c>
      <c r="X1128">
        <v>66.375345796626505</v>
      </c>
      <c r="Y1128">
        <v>-0.87534579662650458</v>
      </c>
      <c r="Z1128">
        <v>66.378706199075367</v>
      </c>
      <c r="AA1128">
        <v>0.28987265009096425</v>
      </c>
      <c r="AB1128">
        <v>74</v>
      </c>
      <c r="AC1128">
        <v>-0.56174840893422073</v>
      </c>
      <c r="AD1128">
        <v>-0.20095974605769684</v>
      </c>
      <c r="AE1128">
        <v>0.397666005394119</v>
      </c>
      <c r="AF1128">
        <v>3.8242616842722003E-3</v>
      </c>
      <c r="AG1128">
        <v>-0.20134511304724512</v>
      </c>
      <c r="AH1128">
        <v>0.39861700525925137</v>
      </c>
      <c r="AI1128">
        <v>1.1971552536892302E-5</v>
      </c>
    </row>
    <row r="1129" spans="23:35" x14ac:dyDescent="0.25">
      <c r="W1129">
        <v>1127</v>
      </c>
      <c r="X1129">
        <v>66.438469983827844</v>
      </c>
      <c r="Y1129">
        <v>-1.3384699838278493</v>
      </c>
      <c r="Z1129">
        <v>66.443461911674945</v>
      </c>
      <c r="AA1129">
        <v>0.27713765918738631</v>
      </c>
      <c r="AB1129">
        <v>74</v>
      </c>
      <c r="AC1129">
        <v>-0.60317578841021124</v>
      </c>
      <c r="AD1129">
        <v>-0.30728266371131369</v>
      </c>
      <c r="AE1129">
        <v>0.40029983251245765</v>
      </c>
      <c r="AF1129">
        <v>3.7157196670136333E-3</v>
      </c>
      <c r="AG1129">
        <v>-0.30785514771723843</v>
      </c>
      <c r="AH1129">
        <v>0.40080519576126528</v>
      </c>
      <c r="AI1129">
        <v>2.718999644162874E-5</v>
      </c>
    </row>
    <row r="1130" spans="23:35" x14ac:dyDescent="0.25">
      <c r="W1130">
        <v>1128</v>
      </c>
      <c r="X1130">
        <v>64.115531195903543</v>
      </c>
      <c r="Y1130">
        <v>0.68446880409645416</v>
      </c>
      <c r="Z1130">
        <v>64.106665931716776</v>
      </c>
      <c r="AA1130">
        <v>0.26440266828380837</v>
      </c>
      <c r="AB1130">
        <v>74</v>
      </c>
      <c r="AC1130">
        <v>-0.63633155866502356</v>
      </c>
      <c r="AD1130">
        <v>0.15713867318006836</v>
      </c>
      <c r="AE1130">
        <v>0.4004379133032866</v>
      </c>
      <c r="AF1130">
        <v>1.2786425176999572E-2</v>
      </c>
      <c r="AG1130">
        <v>0.1581530320734684</v>
      </c>
      <c r="AH1130">
        <v>0.4015136316763645</v>
      </c>
      <c r="AI1130">
        <v>2.4920096272483141E-5</v>
      </c>
    </row>
    <row r="1131" spans="23:35" x14ac:dyDescent="0.25">
      <c r="W1131">
        <v>1129</v>
      </c>
      <c r="X1131">
        <v>61.866783497525823</v>
      </c>
      <c r="Y1131">
        <v>2.7332165024741713</v>
      </c>
      <c r="Z1131">
        <v>61.644177382963917</v>
      </c>
      <c r="AA1131">
        <v>0.25773195876288657</v>
      </c>
      <c r="AB1131">
        <v>74</v>
      </c>
      <c r="AC1131">
        <v>-0.66071795340131467</v>
      </c>
      <c r="AD1131">
        <v>0.6274851565801014</v>
      </c>
      <c r="AE1131">
        <v>0.40093104796167489</v>
      </c>
      <c r="AF1131">
        <v>7.5311053267846262E-2</v>
      </c>
      <c r="AG1131">
        <v>0.6525377238051806</v>
      </c>
      <c r="AH1131">
        <v>0.4026428038448272</v>
      </c>
      <c r="AI1131">
        <v>2.6676629080197565E-3</v>
      </c>
    </row>
    <row r="1132" spans="23:35" x14ac:dyDescent="0.25">
      <c r="W1132">
        <v>1130</v>
      </c>
      <c r="X1132">
        <v>63.575026993762172</v>
      </c>
      <c r="Y1132">
        <v>0.82497300623783332</v>
      </c>
      <c r="Z1132">
        <v>63.512549320824377</v>
      </c>
      <c r="AA1132">
        <v>0.25227410551849605</v>
      </c>
      <c r="AB1132">
        <v>74.099999999999994</v>
      </c>
      <c r="AC1132">
        <v>-0.67401274003943057</v>
      </c>
      <c r="AD1132">
        <v>0.18939528410021944</v>
      </c>
      <c r="AE1132">
        <v>0.40123791708383089</v>
      </c>
      <c r="AF1132">
        <v>7.0401290352078261E-2</v>
      </c>
      <c r="AG1132">
        <v>0.19643614600204368</v>
      </c>
      <c r="AH1132">
        <v>0.40264753728517239</v>
      </c>
      <c r="AI1132">
        <v>2.247939219148306E-4</v>
      </c>
    </row>
    <row r="1133" spans="23:35" x14ac:dyDescent="0.25">
      <c r="W1133">
        <v>1131</v>
      </c>
      <c r="X1133">
        <v>63.811116323037965</v>
      </c>
      <c r="Y1133">
        <v>0.38888367696203829</v>
      </c>
      <c r="Z1133">
        <v>63.807065215578746</v>
      </c>
      <c r="AA1133">
        <v>0.24560339599757428</v>
      </c>
      <c r="AB1133">
        <v>74.099999999999994</v>
      </c>
      <c r="AC1133">
        <v>-0.69708605805955215</v>
      </c>
      <c r="AD1133">
        <v>8.9278962976068202E-2</v>
      </c>
      <c r="AE1133">
        <v>0.40190273316784841</v>
      </c>
      <c r="AF1133">
        <v>1.0309872324454503E-2</v>
      </c>
      <c r="AG1133">
        <v>8.9742779847666695E-2</v>
      </c>
      <c r="AH1133">
        <v>0.40549418187250086</v>
      </c>
      <c r="AI1133">
        <v>6.4537142549575834E-6</v>
      </c>
    </row>
    <row r="1134" spans="23:35" x14ac:dyDescent="0.25">
      <c r="W1134">
        <v>1132</v>
      </c>
      <c r="X1134">
        <v>63.841426089567356</v>
      </c>
      <c r="Y1134">
        <v>-0.94142608956735785</v>
      </c>
      <c r="Z1134">
        <v>63.858055082179241</v>
      </c>
      <c r="AA1134">
        <v>0.21710127349909036</v>
      </c>
      <c r="AB1134">
        <v>74.099999999999994</v>
      </c>
      <c r="AC1134">
        <v>-0.78926429572475043</v>
      </c>
      <c r="AD1134">
        <v>-0.21613029801555153</v>
      </c>
      <c r="AE1134">
        <v>0.40231432917621551</v>
      </c>
      <c r="AF1134">
        <v>1.7357031888040289E-2</v>
      </c>
      <c r="AG1134">
        <v>-0.21803076419000464</v>
      </c>
      <c r="AH1134">
        <v>0.40572118191645917</v>
      </c>
      <c r="AI1134">
        <v>6.4590985720857887E-5</v>
      </c>
    </row>
    <row r="1135" spans="23:35" x14ac:dyDescent="0.25">
      <c r="W1135">
        <v>1133</v>
      </c>
      <c r="X1135">
        <v>62.454386441965006</v>
      </c>
      <c r="Y1135">
        <v>1.2456135580349965</v>
      </c>
      <c r="Z1135">
        <v>62.440381664659007</v>
      </c>
      <c r="AA1135">
        <v>0.23408126137052759</v>
      </c>
      <c r="AB1135">
        <v>74.099999999999994</v>
      </c>
      <c r="AC1135">
        <v>-0.73042509746273321</v>
      </c>
      <c r="AD1135">
        <v>0.28596491269329044</v>
      </c>
      <c r="AE1135">
        <v>0.40529442469245114</v>
      </c>
      <c r="AF1135">
        <v>1.1118270441980611E-2</v>
      </c>
      <c r="AG1135">
        <v>0.28756801052268283</v>
      </c>
      <c r="AH1135">
        <v>0.40584604486108294</v>
      </c>
      <c r="AI1135">
        <v>7.1520521756315622E-5</v>
      </c>
    </row>
    <row r="1136" spans="23:35" x14ac:dyDescent="0.25">
      <c r="W1136">
        <v>1134</v>
      </c>
      <c r="X1136">
        <v>62.381209282715702</v>
      </c>
      <c r="Y1136">
        <v>1.1187907172842984</v>
      </c>
      <c r="Z1136">
        <v>62.36856938385241</v>
      </c>
      <c r="AA1136">
        <v>0.23226197695573075</v>
      </c>
      <c r="AB1136">
        <v>74.099999999999994</v>
      </c>
      <c r="AC1136">
        <v>-0.74038552290047832</v>
      </c>
      <c r="AD1136">
        <v>0.25684923524353553</v>
      </c>
      <c r="AE1136">
        <v>0.412020355563813</v>
      </c>
      <c r="AF1136">
        <v>1.1171607593867551E-2</v>
      </c>
      <c r="AG1136">
        <v>0.2582960787018212</v>
      </c>
      <c r="AH1136">
        <v>0.41265623248623662</v>
      </c>
      <c r="AI1136">
        <v>5.7981175832566612E-5</v>
      </c>
    </row>
    <row r="1137" spans="23:35" x14ac:dyDescent="0.25">
      <c r="W1137">
        <v>1135</v>
      </c>
      <c r="X1137">
        <v>72.778780246776293</v>
      </c>
      <c r="Y1137">
        <v>4.8212197532237013</v>
      </c>
      <c r="Z1137">
        <v>72.707272997581697</v>
      </c>
      <c r="AA1137">
        <v>0.8483929654335961</v>
      </c>
      <c r="AB1137">
        <v>74.099999999999994</v>
      </c>
      <c r="AC1137">
        <v>1.0205681915260707</v>
      </c>
      <c r="AD1137">
        <v>1.1068438336370832</v>
      </c>
      <c r="AE1137">
        <v>0.41526676383767419</v>
      </c>
      <c r="AF1137">
        <v>1.4615009004029695E-2</v>
      </c>
      <c r="AG1137">
        <v>1.1150218512663062</v>
      </c>
      <c r="AH1137">
        <v>0.41609496813063079</v>
      </c>
      <c r="AI1137">
        <v>1.4184582212839951E-3</v>
      </c>
    </row>
    <row r="1138" spans="23:35" x14ac:dyDescent="0.25">
      <c r="W1138">
        <v>1136</v>
      </c>
      <c r="X1138">
        <v>74.33496915413366</v>
      </c>
      <c r="Y1138">
        <v>3.1650308458663403</v>
      </c>
      <c r="Z1138">
        <v>74.281877368360909</v>
      </c>
      <c r="AA1138">
        <v>0.84596725288053365</v>
      </c>
      <c r="AB1138">
        <v>74.099999999999994</v>
      </c>
      <c r="AC1138">
        <v>1.0129215482717411</v>
      </c>
      <c r="AD1138">
        <v>0.72662003690578802</v>
      </c>
      <c r="AE1138">
        <v>0.41570663771912691</v>
      </c>
      <c r="AF1138">
        <v>1.6497750971566884E-2</v>
      </c>
      <c r="AG1138">
        <v>0.73268903280302222</v>
      </c>
      <c r="AH1138">
        <v>0.41610075020268006</v>
      </c>
      <c r="AI1138">
        <v>6.9270036401569593E-4</v>
      </c>
    </row>
    <row r="1139" spans="23:35" x14ac:dyDescent="0.25">
      <c r="W1139">
        <v>1137</v>
      </c>
      <c r="X1139">
        <v>74.414817086688601</v>
      </c>
      <c r="Y1139">
        <v>2.7851829133114023</v>
      </c>
      <c r="Z1139">
        <v>74.409784319682103</v>
      </c>
      <c r="AA1139">
        <v>0.84111582777440874</v>
      </c>
      <c r="AB1139">
        <v>74.099999999999994</v>
      </c>
      <c r="AC1139">
        <v>0.99032898964496086</v>
      </c>
      <c r="AD1139">
        <v>0.63941547802064158</v>
      </c>
      <c r="AE1139">
        <v>0.41626941820195057</v>
      </c>
      <c r="AF1139">
        <v>1.80371970597006E-3</v>
      </c>
      <c r="AG1139">
        <v>0.63999292244808748</v>
      </c>
      <c r="AH1139">
        <v>0.41708900415381656</v>
      </c>
      <c r="AI1139">
        <v>5.6932478793777293E-5</v>
      </c>
    </row>
    <row r="1140" spans="23:35" x14ac:dyDescent="0.25">
      <c r="W1140">
        <v>1138</v>
      </c>
      <c r="X1140">
        <v>74.328801958566856</v>
      </c>
      <c r="Y1140">
        <v>2.9711980414331407</v>
      </c>
      <c r="Z1140">
        <v>74.323197667530039</v>
      </c>
      <c r="AA1140">
        <v>0.84414796846573681</v>
      </c>
      <c r="AB1140">
        <v>74.099999999999994</v>
      </c>
      <c r="AC1140">
        <v>1.0003070916314494</v>
      </c>
      <c r="AD1140">
        <v>0.68212037596417341</v>
      </c>
      <c r="AE1140">
        <v>0.41634107957183075</v>
      </c>
      <c r="AF1140">
        <v>1.8826547452246065E-3</v>
      </c>
      <c r="AG1140">
        <v>0.68276338260769243</v>
      </c>
      <c r="AH1140">
        <v>0.41751954011257397</v>
      </c>
      <c r="AI1140">
        <v>6.7637285687074152E-5</v>
      </c>
    </row>
    <row r="1141" spans="23:35" x14ac:dyDescent="0.25">
      <c r="W1141">
        <v>1139</v>
      </c>
      <c r="X1141">
        <v>75.345942013656753</v>
      </c>
      <c r="Y1141">
        <v>1.154057986343247</v>
      </c>
      <c r="Z1141">
        <v>75.343906240293109</v>
      </c>
      <c r="AA1141">
        <v>0.82049727107337778</v>
      </c>
      <c r="AB1141">
        <v>74.099999999999994</v>
      </c>
      <c r="AC1141">
        <v>0.91148934236618206</v>
      </c>
      <c r="AD1141">
        <v>0.26494580857666694</v>
      </c>
      <c r="AE1141">
        <v>0.4168396441545798</v>
      </c>
      <c r="AF1141">
        <v>1.7609068006415663E-3</v>
      </c>
      <c r="AG1141">
        <v>0.26517938954577452</v>
      </c>
      <c r="AH1141">
        <v>0.41800064254369224</v>
      </c>
      <c r="AI1141">
        <v>9.5419684807122872E-6</v>
      </c>
    </row>
    <row r="1142" spans="23:35" x14ac:dyDescent="0.25">
      <c r="W1142">
        <v>1140</v>
      </c>
      <c r="X1142">
        <v>74.662135416462235</v>
      </c>
      <c r="Y1142">
        <v>2.1378645835377625</v>
      </c>
      <c r="Z1142">
        <v>74.659202213790707</v>
      </c>
      <c r="AA1142">
        <v>0.82838083687083086</v>
      </c>
      <c r="AB1142">
        <v>74.099999999999994</v>
      </c>
      <c r="AC1142">
        <v>0.93712127394454448</v>
      </c>
      <c r="AD1142">
        <v>0.49080571983006421</v>
      </c>
      <c r="AE1142">
        <v>0.4172641310606573</v>
      </c>
      <c r="AF1142">
        <v>1.3701446677635287E-3</v>
      </c>
      <c r="AG1142">
        <v>0.49114230316544616</v>
      </c>
      <c r="AH1142">
        <v>0.41846407213707859</v>
      </c>
      <c r="AI1142">
        <v>2.5458523456433126E-5</v>
      </c>
    </row>
    <row r="1143" spans="23:35" x14ac:dyDescent="0.25">
      <c r="W1143">
        <v>1141</v>
      </c>
      <c r="X1143">
        <v>74.380382940393901</v>
      </c>
      <c r="Y1143">
        <v>2.1196170596060995</v>
      </c>
      <c r="Z1143">
        <v>74.377902844439291</v>
      </c>
      <c r="AA1143">
        <v>0.82049727107337778</v>
      </c>
      <c r="AB1143">
        <v>74.099999999999994</v>
      </c>
      <c r="AC1143">
        <v>0.91148934236618206</v>
      </c>
      <c r="AD1143">
        <v>0.48661649793670381</v>
      </c>
      <c r="AE1143">
        <v>0.41818183017665284</v>
      </c>
      <c r="AF1143">
        <v>1.168700475428378E-3</v>
      </c>
      <c r="AG1143">
        <v>0.48690110188984015</v>
      </c>
      <c r="AH1143">
        <v>0.41900288175381212</v>
      </c>
      <c r="AI1143">
        <v>2.1337780347756664E-5</v>
      </c>
    </row>
    <row r="1144" spans="23:35" x14ac:dyDescent="0.25">
      <c r="W1144">
        <v>1142</v>
      </c>
      <c r="X1144">
        <v>73.353619694810746</v>
      </c>
      <c r="Y1144">
        <v>3.0463803051892597</v>
      </c>
      <c r="Z1144">
        <v>73.349028632895212</v>
      </c>
      <c r="AA1144">
        <v>0.81867798665858094</v>
      </c>
      <c r="AB1144">
        <v>74.099999999999994</v>
      </c>
      <c r="AC1144">
        <v>0.90460220385671419</v>
      </c>
      <c r="AD1144">
        <v>0.69938053610968343</v>
      </c>
      <c r="AE1144">
        <v>0.41842941134821954</v>
      </c>
      <c r="AF1144">
        <v>1.5047869557335105E-3</v>
      </c>
      <c r="AG1144">
        <v>0.69990734008402244</v>
      </c>
      <c r="AH1144">
        <v>0.42033899226161714</v>
      </c>
      <c r="AI1144">
        <v>5.6789333881409155E-5</v>
      </c>
    </row>
    <row r="1145" spans="23:35" x14ac:dyDescent="0.25">
      <c r="W1145">
        <v>1143</v>
      </c>
      <c r="X1145">
        <v>74.378472482913992</v>
      </c>
      <c r="Y1145">
        <v>1.821527517086011</v>
      </c>
      <c r="Z1145">
        <v>74.376012859114041</v>
      </c>
      <c r="AA1145">
        <v>0.81322013341419042</v>
      </c>
      <c r="AB1145">
        <v>74.2</v>
      </c>
      <c r="AC1145">
        <v>0.88194836619248052</v>
      </c>
      <c r="AD1145">
        <v>0.41818183017665284</v>
      </c>
      <c r="AE1145">
        <v>0.41962903950577907</v>
      </c>
      <c r="AF1145">
        <v>1.3484874672724785E-3</v>
      </c>
      <c r="AG1145">
        <v>0.41846407213707859</v>
      </c>
      <c r="AH1145">
        <v>0.42102630458111256</v>
      </c>
      <c r="AI1145">
        <v>1.8188879757254032E-5</v>
      </c>
    </row>
    <row r="1146" spans="23:35" x14ac:dyDescent="0.25">
      <c r="W1146">
        <v>1144</v>
      </c>
      <c r="X1146">
        <v>71.070149135460611</v>
      </c>
      <c r="Y1146">
        <v>4.7298508645393866</v>
      </c>
      <c r="Z1146">
        <v>71.041445491425151</v>
      </c>
      <c r="AA1146">
        <v>0.79624014554275313</v>
      </c>
      <c r="AB1146">
        <v>74.2</v>
      </c>
      <c r="AC1146">
        <v>0.81442193874053515</v>
      </c>
      <c r="AD1146">
        <v>1.0858675877485016</v>
      </c>
      <c r="AE1146">
        <v>0.42328592788181718</v>
      </c>
      <c r="AF1146">
        <v>6.0320090867380305E-3</v>
      </c>
      <c r="AG1146">
        <v>1.0891574602362561</v>
      </c>
      <c r="AH1146">
        <v>0.42365386411769079</v>
      </c>
      <c r="AI1146">
        <v>5.5376764419570973E-4</v>
      </c>
    </row>
    <row r="1147" spans="23:35" x14ac:dyDescent="0.25">
      <c r="W1147">
        <v>1145</v>
      </c>
      <c r="X1147">
        <v>74.191688252133773</v>
      </c>
      <c r="Y1147">
        <v>1.6083117478662246</v>
      </c>
      <c r="Z1147">
        <v>74.188466606313028</v>
      </c>
      <c r="AA1147">
        <v>0.79624014554275313</v>
      </c>
      <c r="AB1147">
        <v>74.2</v>
      </c>
      <c r="AC1147">
        <v>0.81442193874053515</v>
      </c>
      <c r="AD1147">
        <v>0.36923227560857713</v>
      </c>
      <c r="AE1147">
        <v>0.42368086534068472</v>
      </c>
      <c r="AF1147">
        <v>1.9991182518220205E-3</v>
      </c>
      <c r="AG1147">
        <v>0.36960189938288457</v>
      </c>
      <c r="AH1147">
        <v>0.42431601727879531</v>
      </c>
      <c r="AI1147">
        <v>2.1049054653008798E-5</v>
      </c>
    </row>
    <row r="1148" spans="23:35" x14ac:dyDescent="0.25">
      <c r="W1148">
        <v>1146</v>
      </c>
      <c r="X1148">
        <v>73.979915877183188</v>
      </c>
      <c r="Y1148">
        <v>1.5200841228168116</v>
      </c>
      <c r="Z1148">
        <v>73.977712617947333</v>
      </c>
      <c r="AA1148">
        <v>0.78411158277744086</v>
      </c>
      <c r="AB1148">
        <v>74.2</v>
      </c>
      <c r="AC1148">
        <v>0.77276680816182786</v>
      </c>
      <c r="AD1148">
        <v>0.34897719333876542</v>
      </c>
      <c r="AE1148">
        <v>0.42664187323728592</v>
      </c>
      <c r="AF1148">
        <v>1.4473346240882331E-3</v>
      </c>
      <c r="AG1148">
        <v>0.34923001119338332</v>
      </c>
      <c r="AH1148">
        <v>0.42709323665766646</v>
      </c>
      <c r="AI1148">
        <v>1.3598084634757382E-5</v>
      </c>
    </row>
    <row r="1149" spans="23:35" x14ac:dyDescent="0.25">
      <c r="W1149">
        <v>1147</v>
      </c>
      <c r="X1149">
        <v>74.017742823847229</v>
      </c>
      <c r="Y1149">
        <v>1.682257176152774</v>
      </c>
      <c r="Z1149">
        <v>74.014757749674857</v>
      </c>
      <c r="AA1149">
        <v>0.79199514857489384</v>
      </c>
      <c r="AB1149">
        <v>74.2</v>
      </c>
      <c r="AC1149">
        <v>0.80177968430189828</v>
      </c>
      <c r="AD1149">
        <v>0.38620848609346414</v>
      </c>
      <c r="AE1149">
        <v>0.42883655127563008</v>
      </c>
      <c r="AF1149">
        <v>1.7713027143735774E-3</v>
      </c>
      <c r="AG1149">
        <v>0.38655098723545389</v>
      </c>
      <c r="AH1149">
        <v>0.42918862644941375</v>
      </c>
      <c r="AI1149">
        <v>2.0395434341946104E-5</v>
      </c>
    </row>
    <row r="1150" spans="23:35" x14ac:dyDescent="0.25">
      <c r="W1150">
        <v>1148</v>
      </c>
      <c r="X1150">
        <v>73.370090776848286</v>
      </c>
      <c r="Y1150">
        <v>2.1299092231517136</v>
      </c>
      <c r="Z1150">
        <v>73.366327310863554</v>
      </c>
      <c r="AA1150">
        <v>0.78411158277744086</v>
      </c>
      <c r="AB1150">
        <v>74.2</v>
      </c>
      <c r="AC1150">
        <v>0.77276680816182786</v>
      </c>
      <c r="AD1150">
        <v>0.48897934765904438</v>
      </c>
      <c r="AE1150">
        <v>0.43360286183587932</v>
      </c>
      <c r="AF1150">
        <v>1.7638441003116718E-3</v>
      </c>
      <c r="AG1150">
        <v>0.48941116064995177</v>
      </c>
      <c r="AH1150">
        <v>0.43399049900622011</v>
      </c>
      <c r="AI1150">
        <v>3.2556018484849181E-5</v>
      </c>
    </row>
    <row r="1151" spans="23:35" x14ac:dyDescent="0.25">
      <c r="W1151">
        <v>1149</v>
      </c>
      <c r="X1151">
        <v>67.570012446219977</v>
      </c>
      <c r="Y1151">
        <v>-4.8700124462199739</v>
      </c>
      <c r="Z1151">
        <v>67.586681942906679</v>
      </c>
      <c r="AA1151">
        <v>0.21164342025469982</v>
      </c>
      <c r="AB1151">
        <v>74.2</v>
      </c>
      <c r="AC1151">
        <v>-0.80808466725232064</v>
      </c>
      <c r="AD1151">
        <v>-1.118045540701641</v>
      </c>
      <c r="AE1151">
        <v>0.43411522379211537</v>
      </c>
      <c r="AF1151">
        <v>3.411209667717097E-3</v>
      </c>
      <c r="AG1151">
        <v>-1.1199573772295728</v>
      </c>
      <c r="AH1151">
        <v>0.4349430801763402</v>
      </c>
      <c r="AI1151">
        <v>3.3025701655221818E-4</v>
      </c>
    </row>
    <row r="1152" spans="23:35" x14ac:dyDescent="0.25">
      <c r="W1152">
        <v>1150</v>
      </c>
      <c r="X1152">
        <v>65.999145189691134</v>
      </c>
      <c r="Y1152">
        <v>-3.5991451896911357</v>
      </c>
      <c r="Z1152">
        <v>66.045330200341681</v>
      </c>
      <c r="AA1152">
        <v>0.20618556701030927</v>
      </c>
      <c r="AB1152">
        <v>74.2</v>
      </c>
      <c r="AC1152">
        <v>-0.8207920883323806</v>
      </c>
      <c r="AD1152">
        <v>-0.82628294570279948</v>
      </c>
      <c r="AE1152">
        <v>0.43578483622166597</v>
      </c>
      <c r="AF1152">
        <v>1.2669637073268089E-2</v>
      </c>
      <c r="AG1152">
        <v>-0.83156756725803249</v>
      </c>
      <c r="AH1152">
        <v>0.43726302162905301</v>
      </c>
      <c r="AI1152">
        <v>6.8257977308681039E-4</v>
      </c>
    </row>
    <row r="1153" spans="23:35" x14ac:dyDescent="0.25">
      <c r="W1153">
        <v>1151</v>
      </c>
      <c r="X1153">
        <v>67.352620789621469</v>
      </c>
      <c r="Y1153">
        <v>-5.1526207896214657</v>
      </c>
      <c r="Z1153">
        <v>67.368973809000593</v>
      </c>
      <c r="AA1153">
        <v>0.20436628259551243</v>
      </c>
      <c r="AB1153">
        <v>74.2</v>
      </c>
      <c r="AC1153">
        <v>-0.8357870519497973</v>
      </c>
      <c r="AD1153">
        <v>-1.182926072649843</v>
      </c>
      <c r="AE1153">
        <v>0.43864214283473313</v>
      </c>
      <c r="AF1153">
        <v>3.163687800207076E-3</v>
      </c>
      <c r="AG1153">
        <v>-1.1848017287099741</v>
      </c>
      <c r="AH1153">
        <v>0.4390128362587854</v>
      </c>
      <c r="AI1153">
        <v>3.4270289723366016E-4</v>
      </c>
    </row>
    <row r="1154" spans="23:35" x14ac:dyDescent="0.25">
      <c r="W1154">
        <v>1152</v>
      </c>
      <c r="X1154">
        <v>66.863492981351129</v>
      </c>
      <c r="Y1154">
        <v>-4.8634929813511292</v>
      </c>
      <c r="Z1154">
        <v>66.87689100082811</v>
      </c>
      <c r="AA1154">
        <v>0.19890842935112188</v>
      </c>
      <c r="AB1154">
        <v>74.2</v>
      </c>
      <c r="AC1154">
        <v>-0.85973834429501084</v>
      </c>
      <c r="AD1154">
        <v>-1.116548817909889</v>
      </c>
      <c r="AE1154">
        <v>0.44298976545986313</v>
      </c>
      <c r="AF1154">
        <v>2.747246037425106E-3</v>
      </c>
      <c r="AG1154">
        <v>-1.1180857024436068</v>
      </c>
      <c r="AH1154">
        <v>0.44336524414901596</v>
      </c>
      <c r="AI1154">
        <v>2.6491048449749056E-4</v>
      </c>
    </row>
    <row r="1155" spans="23:35" x14ac:dyDescent="0.25">
      <c r="W1155">
        <v>1153</v>
      </c>
      <c r="X1155">
        <v>66.577492156425279</v>
      </c>
      <c r="Y1155">
        <v>-4.7774921564252821</v>
      </c>
      <c r="Z1155">
        <v>66.59337097780157</v>
      </c>
      <c r="AA1155">
        <v>0.19345057610673136</v>
      </c>
      <c r="AB1155">
        <v>74.2</v>
      </c>
      <c r="AC1155">
        <v>-0.873012700415573</v>
      </c>
      <c r="AD1155">
        <v>-1.0968049589635658</v>
      </c>
      <c r="AE1155">
        <v>0.44411558713596594</v>
      </c>
      <c r="AF1155">
        <v>3.3126627273019202E-3</v>
      </c>
      <c r="AG1155">
        <v>-1.0986261574302725</v>
      </c>
      <c r="AH1155">
        <v>0.44494453468628825</v>
      </c>
      <c r="AI1155">
        <v>3.0858499052988152E-4</v>
      </c>
    </row>
    <row r="1156" spans="23:35" x14ac:dyDescent="0.25">
      <c r="W1156">
        <v>1154</v>
      </c>
      <c r="X1156">
        <v>66.630500878711672</v>
      </c>
      <c r="Y1156">
        <v>-5.0305008787116705</v>
      </c>
      <c r="Z1156">
        <v>66.645718775919789</v>
      </c>
      <c r="AA1156">
        <v>0.18920557913887204</v>
      </c>
      <c r="AB1156">
        <v>74.2</v>
      </c>
      <c r="AC1156">
        <v>-0.88869659543514345</v>
      </c>
      <c r="AD1156">
        <v>-1.1548900823251047</v>
      </c>
      <c r="AE1156">
        <v>0.44450807526940811</v>
      </c>
      <c r="AF1156">
        <v>3.0160018589897889E-3</v>
      </c>
      <c r="AG1156">
        <v>-1.1566356070158585</v>
      </c>
      <c r="AH1156">
        <v>0.44573684729770024</v>
      </c>
      <c r="AI1156">
        <v>3.1131007824062364E-4</v>
      </c>
    </row>
    <row r="1157" spans="23:35" x14ac:dyDescent="0.25">
      <c r="W1157">
        <v>1155</v>
      </c>
      <c r="X1157">
        <v>66.052419340044878</v>
      </c>
      <c r="Y1157">
        <v>-4.6524193400448794</v>
      </c>
      <c r="Z1157">
        <v>66.067946220122721</v>
      </c>
      <c r="AA1157">
        <v>0.18617343844754397</v>
      </c>
      <c r="AB1157">
        <v>74.2</v>
      </c>
      <c r="AC1157">
        <v>-0.90460220385671419</v>
      </c>
      <c r="AD1157">
        <v>-1.0680910478265124</v>
      </c>
      <c r="AE1157">
        <v>0.44543866789355235</v>
      </c>
      <c r="AF1157">
        <v>3.3262765562513596E-3</v>
      </c>
      <c r="AG1157">
        <v>-1.0698718748084639</v>
      </c>
      <c r="AH1157">
        <v>0.44797233551596871</v>
      </c>
      <c r="AI1157">
        <v>2.9384989208709766E-4</v>
      </c>
    </row>
    <row r="1158" spans="23:35" x14ac:dyDescent="0.25">
      <c r="W1158">
        <v>1156</v>
      </c>
      <c r="X1158">
        <v>65.826514464370646</v>
      </c>
      <c r="Y1158">
        <v>-4.7265144643706449</v>
      </c>
      <c r="Z1158">
        <v>65.841540854119316</v>
      </c>
      <c r="AA1158">
        <v>0.17889630078835658</v>
      </c>
      <c r="AB1158">
        <v>74.2</v>
      </c>
      <c r="AC1158">
        <v>-0.9277300733017374</v>
      </c>
      <c r="AD1158">
        <v>-1.0851016251617831</v>
      </c>
      <c r="AE1158">
        <v>0.45000976456314834</v>
      </c>
      <c r="AF1158">
        <v>3.1690942271673031E-3</v>
      </c>
      <c r="AG1158">
        <v>-1.0868251173252266</v>
      </c>
      <c r="AH1158">
        <v>0.45040606261330918</v>
      </c>
      <c r="AI1158">
        <v>2.8886148466733254E-4</v>
      </c>
    </row>
    <row r="1159" spans="23:35" x14ac:dyDescent="0.25">
      <c r="W1159">
        <v>1157</v>
      </c>
      <c r="X1159">
        <v>65.637049851394295</v>
      </c>
      <c r="Y1159">
        <v>2.3629501486057052</v>
      </c>
      <c r="Z1159">
        <v>65.630289183140121</v>
      </c>
      <c r="AA1159">
        <v>0.38447543966040026</v>
      </c>
      <c r="AB1159">
        <v>74.3</v>
      </c>
      <c r="AC1159">
        <v>-0.31204933220437475</v>
      </c>
      <c r="AD1159">
        <v>0.54248031308410272</v>
      </c>
      <c r="AE1159">
        <v>0.45061815553361589</v>
      </c>
      <c r="AF1159">
        <v>2.8529507508116289E-3</v>
      </c>
      <c r="AG1159">
        <v>0.54325580762321946</v>
      </c>
      <c r="AH1159">
        <v>0.45099430490257342</v>
      </c>
      <c r="AI1159">
        <v>6.4953187670935487E-5</v>
      </c>
    </row>
    <row r="1160" spans="23:35" x14ac:dyDescent="0.25">
      <c r="W1160">
        <v>1158</v>
      </c>
      <c r="X1160">
        <v>65.332019753810116</v>
      </c>
      <c r="Y1160">
        <v>-1.3320197538101155</v>
      </c>
      <c r="Z1160">
        <v>65.336327831380913</v>
      </c>
      <c r="AA1160">
        <v>0.24075197089144937</v>
      </c>
      <c r="AB1160">
        <v>74.3</v>
      </c>
      <c r="AC1160">
        <v>-0.7126762947196924</v>
      </c>
      <c r="AD1160">
        <v>-0.30580183568726527</v>
      </c>
      <c r="AE1160">
        <v>0.45093704978123372</v>
      </c>
      <c r="AF1160">
        <v>3.2238178908159795E-3</v>
      </c>
      <c r="AG1160">
        <v>-0.30629595543727961</v>
      </c>
      <c r="AH1160">
        <v>0.45175252188978032</v>
      </c>
      <c r="AI1160">
        <v>2.3340600270487193E-5</v>
      </c>
    </row>
    <row r="1161" spans="23:35" x14ac:dyDescent="0.25">
      <c r="W1161">
        <v>1159</v>
      </c>
      <c r="X1161">
        <v>63.174155076856778</v>
      </c>
      <c r="Y1161">
        <v>-3.2741550768567791</v>
      </c>
      <c r="Z1161">
        <v>63.214690795501483</v>
      </c>
      <c r="AA1161">
        <v>0.17404487568223165</v>
      </c>
      <c r="AB1161">
        <v>74.3</v>
      </c>
      <c r="AC1161">
        <v>-0.94897780985887348</v>
      </c>
      <c r="AD1161">
        <v>-0.75167251083448505</v>
      </c>
      <c r="AE1161">
        <v>0.45848568191289302</v>
      </c>
      <c r="AF1161">
        <v>1.222911008764822E-2</v>
      </c>
      <c r="AG1161">
        <v>-0.75631124307749986</v>
      </c>
      <c r="AH1161">
        <v>0.45889899197588246</v>
      </c>
      <c r="AI1161">
        <v>5.4474893790204234E-4</v>
      </c>
    </row>
    <row r="1162" spans="23:35" x14ac:dyDescent="0.25">
      <c r="W1162">
        <v>1160</v>
      </c>
      <c r="X1162">
        <v>65.049736966360626</v>
      </c>
      <c r="Y1162">
        <v>-5.449736966360625</v>
      </c>
      <c r="Z1162">
        <v>65.068190553131075</v>
      </c>
      <c r="AA1162">
        <v>0.16616130988477865</v>
      </c>
      <c r="AB1162">
        <v>74.3</v>
      </c>
      <c r="AC1162">
        <v>-0.97554401628441823</v>
      </c>
      <c r="AD1162">
        <v>-1.2511372774756906</v>
      </c>
      <c r="AE1162">
        <v>0.46335785184063405</v>
      </c>
      <c r="AF1162">
        <v>3.3747153818340036E-3</v>
      </c>
      <c r="AG1162">
        <v>-1.2532537519665379</v>
      </c>
      <c r="AH1162">
        <v>0.46375207549742292</v>
      </c>
      <c r="AI1162">
        <v>4.0910983918419707E-4</v>
      </c>
    </row>
    <row r="1163" spans="23:35" x14ac:dyDescent="0.25">
      <c r="W1163">
        <v>1161</v>
      </c>
      <c r="X1163">
        <v>65.135906736063333</v>
      </c>
      <c r="Y1163">
        <v>-5.8359067360633361</v>
      </c>
      <c r="Z1163">
        <v>65.197330676916195</v>
      </c>
      <c r="AA1163">
        <v>0.16070345664038813</v>
      </c>
      <c r="AB1163">
        <v>74.3</v>
      </c>
      <c r="AC1163">
        <v>-1.0028172174115717</v>
      </c>
      <c r="AD1163">
        <v>-1.3397931882639715</v>
      </c>
      <c r="AE1163">
        <v>0.46342090346341025</v>
      </c>
      <c r="AF1163">
        <v>1.0415549715280329E-2</v>
      </c>
      <c r="AG1163">
        <v>-1.3468255116100256</v>
      </c>
      <c r="AH1163">
        <v>0.46511386580995812</v>
      </c>
      <c r="AI1163">
        <v>1.4686173341698118E-3</v>
      </c>
    </row>
    <row r="1164" spans="23:35" x14ac:dyDescent="0.25">
      <c r="W1164">
        <v>1162</v>
      </c>
      <c r="X1164">
        <v>64.247432438670302</v>
      </c>
      <c r="Y1164">
        <v>-5.1474324386703003</v>
      </c>
      <c r="Z1164">
        <v>64.268487682822055</v>
      </c>
      <c r="AA1164">
        <v>0.15342631898120074</v>
      </c>
      <c r="AB1164">
        <v>74.3</v>
      </c>
      <c r="AC1164">
        <v>-1.0334469496720613</v>
      </c>
      <c r="AD1164">
        <v>-1.181734943734136</v>
      </c>
      <c r="AE1164">
        <v>0.46374995818290121</v>
      </c>
      <c r="AF1164">
        <v>4.0737727249937333E-3</v>
      </c>
      <c r="AG1164">
        <v>-1.1841493829419918</v>
      </c>
      <c r="AH1164">
        <v>0.46511989387115177</v>
      </c>
      <c r="AI1164">
        <v>4.4120381634846304E-4</v>
      </c>
    </row>
    <row r="1165" spans="23:35" x14ac:dyDescent="0.25">
      <c r="W1165">
        <v>1163</v>
      </c>
      <c r="X1165">
        <v>63.917758411123422</v>
      </c>
      <c r="Y1165">
        <v>-5.0177584111234239</v>
      </c>
      <c r="Z1165">
        <v>63.939642940831682</v>
      </c>
      <c r="AA1165">
        <v>0.14918132201334142</v>
      </c>
      <c r="AB1165">
        <v>74.3</v>
      </c>
      <c r="AC1165">
        <v>-1.0491313979639725</v>
      </c>
      <c r="AD1165">
        <v>-1.1519646977964404</v>
      </c>
      <c r="AE1165">
        <v>0.46429736049325787</v>
      </c>
      <c r="AF1165">
        <v>4.3424762359543945E-3</v>
      </c>
      <c r="AG1165">
        <v>-1.1544740630670496</v>
      </c>
      <c r="AH1165">
        <v>0.46523122065102845</v>
      </c>
      <c r="AI1165">
        <v>4.4714922142935286E-4</v>
      </c>
    </row>
    <row r="1166" spans="23:35" x14ac:dyDescent="0.25">
      <c r="W1166">
        <v>1164</v>
      </c>
      <c r="X1166">
        <v>73.276633356837038</v>
      </c>
      <c r="Y1166">
        <v>0.62336664316296719</v>
      </c>
      <c r="Z1166">
        <v>73.273747183065296</v>
      </c>
      <c r="AA1166">
        <v>0.67919951485748942</v>
      </c>
      <c r="AB1166">
        <v>74.400000000000006</v>
      </c>
      <c r="AC1166">
        <v>0.43434378704136062</v>
      </c>
      <c r="AD1166">
        <v>0.14311098858719956</v>
      </c>
      <c r="AE1166">
        <v>0.46467003676527513</v>
      </c>
      <c r="AF1166">
        <v>4.6086399832434679E-3</v>
      </c>
      <c r="AG1166">
        <v>0.14344190635014639</v>
      </c>
      <c r="AH1166">
        <v>0.46538939909352434</v>
      </c>
      <c r="AI1166">
        <v>7.3280371278752193E-6</v>
      </c>
    </row>
    <row r="1167" spans="23:35" x14ac:dyDescent="0.25">
      <c r="W1167">
        <v>1165</v>
      </c>
      <c r="X1167">
        <v>69.702088313582024</v>
      </c>
      <c r="Y1167">
        <v>4.097911686417973</v>
      </c>
      <c r="Z1167">
        <v>69.635159554081241</v>
      </c>
      <c r="AA1167">
        <v>0.66767738023044265</v>
      </c>
      <c r="AB1167">
        <v>74.400000000000006</v>
      </c>
      <c r="AC1167">
        <v>0.4143837514429769</v>
      </c>
      <c r="AD1167">
        <v>0.94078853756214964</v>
      </c>
      <c r="AE1167">
        <v>0.46486789475977314</v>
      </c>
      <c r="AF1167">
        <v>1.6069945624536661E-2</v>
      </c>
      <c r="AG1167">
        <v>0.94844009243662009</v>
      </c>
      <c r="AH1167">
        <v>0.46585384876213254</v>
      </c>
      <c r="AI1167">
        <v>1.1301254024474834E-3</v>
      </c>
    </row>
    <row r="1168" spans="23:35" x14ac:dyDescent="0.25">
      <c r="W1168">
        <v>1166</v>
      </c>
      <c r="X1168">
        <v>71.435581155703602</v>
      </c>
      <c r="Y1168">
        <v>2.1644188442963923</v>
      </c>
      <c r="Z1168">
        <v>71.426743434368689</v>
      </c>
      <c r="AA1168">
        <v>0.65433596118859916</v>
      </c>
      <c r="AB1168">
        <v>74.400000000000006</v>
      </c>
      <c r="AC1168">
        <v>0.3716850598056044</v>
      </c>
      <c r="AD1168">
        <v>0.49690198203794805</v>
      </c>
      <c r="AE1168">
        <v>0.46531685069843393</v>
      </c>
      <c r="AF1168">
        <v>4.0665798390687839E-3</v>
      </c>
      <c r="AG1168">
        <v>0.4979154197977852</v>
      </c>
      <c r="AH1168">
        <v>0.46608283525375793</v>
      </c>
      <c r="AI1168">
        <v>7.7869394352494815E-5</v>
      </c>
    </row>
    <row r="1169" spans="23:35" x14ac:dyDescent="0.25">
      <c r="W1169">
        <v>1167</v>
      </c>
      <c r="X1169">
        <v>72.651242183874928</v>
      </c>
      <c r="Y1169">
        <v>0.74875781612507808</v>
      </c>
      <c r="Z1169">
        <v>72.649476331106314</v>
      </c>
      <c r="AA1169">
        <v>0.63735597331716187</v>
      </c>
      <c r="AB1169">
        <v>74.400000000000006</v>
      </c>
      <c r="AC1169">
        <v>0.33286538375086522</v>
      </c>
      <c r="AD1169">
        <v>0.1718979872492773</v>
      </c>
      <c r="AE1169">
        <v>0.46613629437859505</v>
      </c>
      <c r="AF1169">
        <v>2.3528275546763444E-3</v>
      </c>
      <c r="AG1169">
        <v>0.17210056795805223</v>
      </c>
      <c r="AH1169">
        <v>0.46713609446290738</v>
      </c>
      <c r="AI1169">
        <v>5.3732169553291378E-6</v>
      </c>
    </row>
    <row r="1170" spans="23:35" x14ac:dyDescent="0.25">
      <c r="W1170">
        <v>1168</v>
      </c>
      <c r="X1170">
        <v>72.282475795164871</v>
      </c>
      <c r="Y1170">
        <v>0.9175242048351322</v>
      </c>
      <c r="Z1170">
        <v>72.280508689043089</v>
      </c>
      <c r="AA1170">
        <v>0.62340812613705276</v>
      </c>
      <c r="AB1170">
        <v>74.400000000000006</v>
      </c>
      <c r="AC1170">
        <v>0.29295400660571058</v>
      </c>
      <c r="AD1170">
        <v>0.21064296180556469</v>
      </c>
      <c r="AE1170">
        <v>0.46671440470516706</v>
      </c>
      <c r="AF1170">
        <v>2.1393417189981409E-3</v>
      </c>
      <c r="AG1170">
        <v>0.2108686426144688</v>
      </c>
      <c r="AH1170">
        <v>0.47230446278000293</v>
      </c>
      <c r="AI1170">
        <v>7.3331558067642934E-6</v>
      </c>
    </row>
    <row r="1171" spans="23:35" x14ac:dyDescent="0.25">
      <c r="W1171">
        <v>1169</v>
      </c>
      <c r="X1171">
        <v>71.987609922105477</v>
      </c>
      <c r="Y1171">
        <v>1.0123900778945227</v>
      </c>
      <c r="Z1171">
        <v>71.985350960027873</v>
      </c>
      <c r="AA1171">
        <v>0.60946027895694366</v>
      </c>
      <c r="AB1171">
        <v>74.400000000000006</v>
      </c>
      <c r="AC1171">
        <v>0.22222871718700732</v>
      </c>
      <c r="AD1171">
        <v>0.23242203681001256</v>
      </c>
      <c r="AE1171">
        <v>0.47156877793570234</v>
      </c>
      <c r="AF1171">
        <v>2.2263482136337131E-3</v>
      </c>
      <c r="AG1171">
        <v>0.23268119581726188</v>
      </c>
      <c r="AH1171">
        <v>0.47270909925182347</v>
      </c>
      <c r="AI1171">
        <v>9.2926650186356643E-6</v>
      </c>
    </row>
    <row r="1172" spans="23:35" x14ac:dyDescent="0.25">
      <c r="W1172">
        <v>1170</v>
      </c>
      <c r="X1172">
        <v>71.440082296008796</v>
      </c>
      <c r="Y1172">
        <v>1.2599177039912064</v>
      </c>
      <c r="Z1172">
        <v>71.438078375278479</v>
      </c>
      <c r="AA1172">
        <v>0.57246816252274102</v>
      </c>
      <c r="AB1172">
        <v>74.400000000000006</v>
      </c>
      <c r="AC1172">
        <v>0.16337348484333708</v>
      </c>
      <c r="AD1172">
        <v>0.28924882352031495</v>
      </c>
      <c r="AE1172">
        <v>0.47217630591265541</v>
      </c>
      <c r="AF1172">
        <v>1.5879914339028561E-3</v>
      </c>
      <c r="AG1172">
        <v>0.28947875973614756</v>
      </c>
      <c r="AH1172">
        <v>0.47310866333165041</v>
      </c>
      <c r="AI1172">
        <v>1.0252467791948786E-5</v>
      </c>
    </row>
    <row r="1173" spans="23:35" x14ac:dyDescent="0.25">
      <c r="W1173">
        <v>1171</v>
      </c>
      <c r="X1173">
        <v>71.714653334324808</v>
      </c>
      <c r="Y1173">
        <v>0.78534666567519196</v>
      </c>
      <c r="Z1173">
        <v>71.713676369787976</v>
      </c>
      <c r="AA1173">
        <v>0.55852031534263191</v>
      </c>
      <c r="AB1173">
        <v>74.400000000000006</v>
      </c>
      <c r="AC1173">
        <v>0.12956927093944998</v>
      </c>
      <c r="AD1173">
        <v>0.18029796579772234</v>
      </c>
      <c r="AE1173">
        <v>0.4722988649189549</v>
      </c>
      <c r="AF1173">
        <v>1.2424458572724657E-3</v>
      </c>
      <c r="AG1173">
        <v>0.18041007550656782</v>
      </c>
      <c r="AH1173">
        <v>0.47439570895520672</v>
      </c>
      <c r="AI1173">
        <v>3.1145522385922183E-6</v>
      </c>
    </row>
    <row r="1174" spans="23:35" x14ac:dyDescent="0.25">
      <c r="W1174">
        <v>1172</v>
      </c>
      <c r="X1174">
        <v>71.474414396239425</v>
      </c>
      <c r="Y1174">
        <v>0.82558560376057244</v>
      </c>
      <c r="Z1174">
        <v>71.473184047001794</v>
      </c>
      <c r="AA1174">
        <v>0.54578532443905392</v>
      </c>
      <c r="AB1174">
        <v>74.400000000000006</v>
      </c>
      <c r="AC1174">
        <v>9.896716322379942E-2</v>
      </c>
      <c r="AD1174">
        <v>0.18953592274049127</v>
      </c>
      <c r="AE1174">
        <v>0.47257242322961479</v>
      </c>
      <c r="AF1174">
        <v>1.4880569650022172E-3</v>
      </c>
      <c r="AG1174">
        <v>0.18967710044537039</v>
      </c>
      <c r="AH1174">
        <v>0.47617003573550865</v>
      </c>
      <c r="AI1174">
        <v>4.1243237112131421E-6</v>
      </c>
    </row>
    <row r="1175" spans="23:35" x14ac:dyDescent="0.25">
      <c r="W1175">
        <v>1173</v>
      </c>
      <c r="X1175">
        <v>71.296952983921216</v>
      </c>
      <c r="Y1175">
        <v>0.8030470160787786</v>
      </c>
      <c r="Z1175">
        <v>71.295690067055261</v>
      </c>
      <c r="AA1175">
        <v>0.5312310491206792</v>
      </c>
      <c r="AB1175">
        <v>74.400000000000006</v>
      </c>
      <c r="AC1175">
        <v>6.3887210036911155E-2</v>
      </c>
      <c r="AD1175">
        <v>0.18436156893141598</v>
      </c>
      <c r="AE1175">
        <v>0.47401173940086794</v>
      </c>
      <c r="AF1175">
        <v>1.570186832493144E-3</v>
      </c>
      <c r="AG1175">
        <v>0.1845064806616083</v>
      </c>
      <c r="AH1175">
        <v>0.47642935844928896</v>
      </c>
      <c r="AI1175">
        <v>4.1182593041625759E-6</v>
      </c>
    </row>
    <row r="1176" spans="23:35" x14ac:dyDescent="0.25">
      <c r="W1176">
        <v>1174</v>
      </c>
      <c r="X1176">
        <v>71.332542753983773</v>
      </c>
      <c r="Y1176">
        <v>0.56745724601623238</v>
      </c>
      <c r="Z1176">
        <v>71.326551641292312</v>
      </c>
      <c r="AA1176">
        <v>0.51607034566403887</v>
      </c>
      <c r="AB1176">
        <v>74.400000000000006</v>
      </c>
      <c r="AC1176">
        <v>2.7365033500434649E-2</v>
      </c>
      <c r="AD1176">
        <v>0.13027544599803378</v>
      </c>
      <c r="AE1176">
        <v>0.47571856643154098</v>
      </c>
      <c r="AF1176">
        <v>1.0447519119179464E-2</v>
      </c>
      <c r="AG1176">
        <v>0.13096135282677884</v>
      </c>
      <c r="AH1176">
        <v>0.47833661963097585</v>
      </c>
      <c r="AI1176">
        <v>1.3928915241637902E-5</v>
      </c>
    </row>
    <row r="1177" spans="23:35" x14ac:dyDescent="0.25">
      <c r="W1177">
        <v>1175</v>
      </c>
      <c r="X1177">
        <v>70.692821295862188</v>
      </c>
      <c r="Y1177">
        <v>1.0071787041378144</v>
      </c>
      <c r="Z1177">
        <v>70.691436789143992</v>
      </c>
      <c r="AA1177">
        <v>0.50394178289872649</v>
      </c>
      <c r="AB1177">
        <v>74.400000000000006</v>
      </c>
      <c r="AC1177">
        <v>-4.5602855597810616E-3</v>
      </c>
      <c r="AD1177">
        <v>0.23122562237494479</v>
      </c>
      <c r="AE1177">
        <v>0.48161624630647182</v>
      </c>
      <c r="AF1177">
        <v>1.3727515571621859E-3</v>
      </c>
      <c r="AG1177">
        <v>0.231384493628325</v>
      </c>
      <c r="AH1177">
        <v>0.48209478629338881</v>
      </c>
      <c r="AI1177">
        <v>5.6612675874202662E-6</v>
      </c>
    </row>
    <row r="1178" spans="23:35" x14ac:dyDescent="0.25">
      <c r="W1178">
        <v>1176</v>
      </c>
      <c r="X1178">
        <v>74.130091073630183</v>
      </c>
      <c r="Y1178">
        <v>1.1699089263698141</v>
      </c>
      <c r="Z1178">
        <v>74.125798983777528</v>
      </c>
      <c r="AA1178">
        <v>0.77258944815039421</v>
      </c>
      <c r="AB1178">
        <v>74.400000000000006</v>
      </c>
      <c r="AC1178">
        <v>0.72844171022016913</v>
      </c>
      <c r="AD1178">
        <v>0.26858482860142852</v>
      </c>
      <c r="AE1178">
        <v>0.48239224979843925</v>
      </c>
      <c r="AF1178">
        <v>3.6553280003672694E-3</v>
      </c>
      <c r="AG1178">
        <v>0.26907706128941516</v>
      </c>
      <c r="AH1178">
        <v>0.48275132112185609</v>
      </c>
      <c r="AI1178">
        <v>2.0432746643930602E-5</v>
      </c>
    </row>
    <row r="1179" spans="23:35" x14ac:dyDescent="0.25">
      <c r="W1179">
        <v>1177</v>
      </c>
      <c r="X1179">
        <v>73.633180507031511</v>
      </c>
      <c r="Y1179">
        <v>1.6668194929684859</v>
      </c>
      <c r="Z1179">
        <v>73.629860921600539</v>
      </c>
      <c r="AA1179">
        <v>0.77258944815039421</v>
      </c>
      <c r="AB1179">
        <v>74.400000000000006</v>
      </c>
      <c r="AC1179">
        <v>0.72844171022016913</v>
      </c>
      <c r="AD1179">
        <v>0.38266434056333204</v>
      </c>
      <c r="AE1179">
        <v>0.48317176268010459</v>
      </c>
      <c r="AF1179">
        <v>1.9876101780421512E-3</v>
      </c>
      <c r="AG1179">
        <v>0.38304520217982274</v>
      </c>
      <c r="AH1179">
        <v>0.48513252443859656</v>
      </c>
      <c r="AI1179">
        <v>2.2477705702132661E-5</v>
      </c>
    </row>
    <row r="1180" spans="23:35" x14ac:dyDescent="0.25">
      <c r="W1180">
        <v>1178</v>
      </c>
      <c r="X1180">
        <v>74.136855183579627</v>
      </c>
      <c r="Y1180">
        <v>0.7631448164203789</v>
      </c>
      <c r="Z1180">
        <v>74.135683214640423</v>
      </c>
      <c r="AA1180">
        <v>0.74833232261976956</v>
      </c>
      <c r="AB1180">
        <v>74.5</v>
      </c>
      <c r="AC1180">
        <v>0.64941472986293525</v>
      </c>
      <c r="AD1180">
        <v>0.17520091957272946</v>
      </c>
      <c r="AE1180">
        <v>0.4849497146802309</v>
      </c>
      <c r="AF1180">
        <v>1.5333549670188259E-3</v>
      </c>
      <c r="AG1180">
        <v>0.17533539684367591</v>
      </c>
      <c r="AH1180">
        <v>0.48532669166507503</v>
      </c>
      <c r="AI1180">
        <v>3.631658406017783E-6</v>
      </c>
    </row>
    <row r="1181" spans="23:35" x14ac:dyDescent="0.25">
      <c r="W1181">
        <v>1179</v>
      </c>
      <c r="X1181">
        <v>73.707289343080319</v>
      </c>
      <c r="Y1181">
        <v>0.7927106569196809</v>
      </c>
      <c r="Z1181">
        <v>73.706068533448743</v>
      </c>
      <c r="AA1181">
        <v>0.72407519708914492</v>
      </c>
      <c r="AB1181">
        <v>74.5</v>
      </c>
      <c r="AC1181">
        <v>0.56531175535073552</v>
      </c>
      <c r="AD1181">
        <v>0.18198857288827655</v>
      </c>
      <c r="AE1181">
        <v>0.48562704537647278</v>
      </c>
      <c r="AF1181">
        <v>1.5376763398535216E-3</v>
      </c>
      <c r="AG1181">
        <v>0.18212865422013266</v>
      </c>
      <c r="AH1181">
        <v>0.48595014606205683</v>
      </c>
      <c r="AI1181">
        <v>3.9295828978091847E-6</v>
      </c>
    </row>
    <row r="1182" spans="23:35" x14ac:dyDescent="0.25">
      <c r="W1182">
        <v>1180</v>
      </c>
      <c r="X1182">
        <v>72.985569065183398</v>
      </c>
      <c r="Y1182">
        <v>0.71443093481660469</v>
      </c>
      <c r="Z1182">
        <v>72.984360124711898</v>
      </c>
      <c r="AA1182">
        <v>0.66040024257125529</v>
      </c>
      <c r="AB1182">
        <v>74.5</v>
      </c>
      <c r="AC1182">
        <v>0.39787592189543292</v>
      </c>
      <c r="AD1182">
        <v>0.1640173058348135</v>
      </c>
      <c r="AE1182">
        <v>0.48661649793670381</v>
      </c>
      <c r="AF1182">
        <v>1.6893140156650477E-3</v>
      </c>
      <c r="AG1182">
        <v>0.16415601997516094</v>
      </c>
      <c r="AH1182">
        <v>0.48690110188984015</v>
      </c>
      <c r="AI1182">
        <v>3.5076394101630417E-6</v>
      </c>
    </row>
    <row r="1183" spans="23:35" x14ac:dyDescent="0.25">
      <c r="W1183">
        <v>1181</v>
      </c>
      <c r="X1183">
        <v>73.209961206493062</v>
      </c>
      <c r="Y1183">
        <v>0.59003879350693467</v>
      </c>
      <c r="Z1183">
        <v>73.20911757633894</v>
      </c>
      <c r="AA1183">
        <v>0.66767738023044265</v>
      </c>
      <c r="AB1183">
        <v>74.5</v>
      </c>
      <c r="AC1183">
        <v>0.4143837514429769</v>
      </c>
      <c r="AD1183">
        <v>0.13545966241491758</v>
      </c>
      <c r="AE1183">
        <v>0.48878582989831831</v>
      </c>
      <c r="AF1183">
        <v>1.4277462323222974E-3</v>
      </c>
      <c r="AG1183">
        <v>0.13555646709797306</v>
      </c>
      <c r="AH1183">
        <v>0.48922908275494115</v>
      </c>
      <c r="AI1183">
        <v>2.0210109153676649E-6</v>
      </c>
    </row>
    <row r="1184" spans="23:35" x14ac:dyDescent="0.25">
      <c r="W1184">
        <v>1182</v>
      </c>
      <c r="X1184">
        <v>69.535295000059179</v>
      </c>
      <c r="Y1184">
        <v>4.3647049999408267</v>
      </c>
      <c r="Z1184">
        <v>69.50800015328619</v>
      </c>
      <c r="AA1184">
        <v>0.67919951485748942</v>
      </c>
      <c r="AB1184">
        <v>74.5</v>
      </c>
      <c r="AC1184">
        <v>0.43434378704136062</v>
      </c>
      <c r="AD1184">
        <v>1.0020382936494809</v>
      </c>
      <c r="AE1184">
        <v>0.48897934765904438</v>
      </c>
      <c r="AF1184">
        <v>6.2146738901664011E-3</v>
      </c>
      <c r="AG1184">
        <v>1.005166552666769</v>
      </c>
      <c r="AH1184">
        <v>0.48941116064995177</v>
      </c>
      <c r="AI1184">
        <v>4.8602484437439673E-4</v>
      </c>
    </row>
    <row r="1185" spans="23:35" x14ac:dyDescent="0.25">
      <c r="W1185">
        <v>1183</v>
      </c>
      <c r="X1185">
        <v>69.737733177056711</v>
      </c>
      <c r="Y1185">
        <v>4.262266822943289</v>
      </c>
      <c r="Z1185">
        <v>69.711136925261599</v>
      </c>
      <c r="AA1185">
        <v>0.68465736810187994</v>
      </c>
      <c r="AB1185">
        <v>74.5</v>
      </c>
      <c r="AC1185">
        <v>0.4663087141536239</v>
      </c>
      <c r="AD1185">
        <v>0.97852078763600059</v>
      </c>
      <c r="AE1185">
        <v>0.49080571983006421</v>
      </c>
      <c r="AF1185">
        <v>6.2012359293468645E-3</v>
      </c>
      <c r="AG1185">
        <v>0.98156899108956652</v>
      </c>
      <c r="AH1185">
        <v>0.49114230316544616</v>
      </c>
      <c r="AI1185">
        <v>4.6246419053981889E-4</v>
      </c>
    </row>
    <row r="1186" spans="23:35" x14ac:dyDescent="0.25">
      <c r="W1186">
        <v>1184</v>
      </c>
      <c r="X1186">
        <v>72.589951180123364</v>
      </c>
      <c r="Y1186">
        <v>1.6100488198766385</v>
      </c>
      <c r="Z1186">
        <v>72.587019125965469</v>
      </c>
      <c r="AA1186">
        <v>0.7010309278350515</v>
      </c>
      <c r="AB1186">
        <v>74.5</v>
      </c>
      <c r="AC1186">
        <v>0.5039283835636299</v>
      </c>
      <c r="AD1186">
        <v>0.36963106835019083</v>
      </c>
      <c r="AE1186">
        <v>0.49401322114724777</v>
      </c>
      <c r="AF1186">
        <v>1.8177860662199905E-3</v>
      </c>
      <c r="AG1186">
        <v>0.36996748216883935</v>
      </c>
      <c r="AH1186">
        <v>0.49502316507870564</v>
      </c>
      <c r="AI1186">
        <v>1.9174175521939183E-5</v>
      </c>
    </row>
    <row r="1187" spans="23:35" x14ac:dyDescent="0.25">
      <c r="W1187">
        <v>1185</v>
      </c>
      <c r="X1187">
        <v>71.39237790804971</v>
      </c>
      <c r="Y1187">
        <v>1.4076220919502873</v>
      </c>
      <c r="Z1187">
        <v>71.388606812664193</v>
      </c>
      <c r="AA1187">
        <v>0.58156458459672533</v>
      </c>
      <c r="AB1187">
        <v>74.5</v>
      </c>
      <c r="AC1187">
        <v>0.18343432307636306</v>
      </c>
      <c r="AD1187">
        <v>0.32315843548196294</v>
      </c>
      <c r="AE1187">
        <v>0.49690198203794805</v>
      </c>
      <c r="AF1187">
        <v>2.6718956980660118E-3</v>
      </c>
      <c r="AG1187">
        <v>0.32359102536830942</v>
      </c>
      <c r="AH1187">
        <v>0.4979154197977852</v>
      </c>
      <c r="AI1187">
        <v>2.1578985703983838E-5</v>
      </c>
    </row>
    <row r="1188" spans="23:35" x14ac:dyDescent="0.25">
      <c r="W1188">
        <v>1186</v>
      </c>
      <c r="X1188">
        <v>71.75860886061875</v>
      </c>
      <c r="Y1188">
        <v>0.44139113938125263</v>
      </c>
      <c r="Z1188">
        <v>71.757824236189862</v>
      </c>
      <c r="AA1188">
        <v>0.53911461491813217</v>
      </c>
      <c r="AB1188">
        <v>74.5</v>
      </c>
      <c r="AC1188">
        <v>7.9127168877726875E-2</v>
      </c>
      <c r="AD1188">
        <v>0.10133349771487118</v>
      </c>
      <c r="AE1188">
        <v>0.49879571499723968</v>
      </c>
      <c r="AF1188">
        <v>1.7744627659613604E-3</v>
      </c>
      <c r="AG1188">
        <v>0.10142352380287928</v>
      </c>
      <c r="AH1188">
        <v>0.49966131639065869</v>
      </c>
      <c r="AI1188">
        <v>1.4066053120924359E-6</v>
      </c>
    </row>
    <row r="1189" spans="23:35" x14ac:dyDescent="0.25">
      <c r="W1189">
        <v>1187</v>
      </c>
      <c r="X1189">
        <v>72.229777905756407</v>
      </c>
      <c r="Y1189">
        <v>-0.12977790575641279</v>
      </c>
      <c r="Z1189">
        <v>72.230120087507046</v>
      </c>
      <c r="AA1189">
        <v>0.5312310491206792</v>
      </c>
      <c r="AB1189">
        <v>74.5</v>
      </c>
      <c r="AC1189">
        <v>6.3887210036911155E-2</v>
      </c>
      <c r="AD1189">
        <v>-2.9794094042855598E-2</v>
      </c>
      <c r="AE1189">
        <v>0.5004165540419343</v>
      </c>
      <c r="AF1189">
        <v>2.6297380918782892E-3</v>
      </c>
      <c r="AG1189">
        <v>-2.9833346810225703E-2</v>
      </c>
      <c r="AH1189">
        <v>0.50122632194849281</v>
      </c>
      <c r="AI1189">
        <v>1.8051640815787664E-7</v>
      </c>
    </row>
    <row r="1190" spans="23:35" x14ac:dyDescent="0.25">
      <c r="W1190">
        <v>1188</v>
      </c>
      <c r="X1190">
        <v>69.682318227259131</v>
      </c>
      <c r="Y1190">
        <v>-1.2823182272591254</v>
      </c>
      <c r="Z1190">
        <v>69.730782134557245</v>
      </c>
      <c r="AA1190">
        <v>0.40024257125530627</v>
      </c>
      <c r="AB1190">
        <v>74.5</v>
      </c>
      <c r="AC1190">
        <v>-0.26293383539244392</v>
      </c>
      <c r="AD1190">
        <v>-0.29439148083909028</v>
      </c>
      <c r="AE1190">
        <v>0.50378035078227335</v>
      </c>
      <c r="AF1190">
        <v>3.64176118987641E-2</v>
      </c>
      <c r="AG1190">
        <v>-0.29990300084808619</v>
      </c>
      <c r="AH1190">
        <v>0.50526174483420772</v>
      </c>
      <c r="AI1190">
        <v>2.6148144733346686E-4</v>
      </c>
    </row>
    <row r="1191" spans="23:35" x14ac:dyDescent="0.25">
      <c r="W1191">
        <v>1189</v>
      </c>
      <c r="X1191">
        <v>69.614548643770192</v>
      </c>
      <c r="Y1191">
        <v>-1.5145486437701976</v>
      </c>
      <c r="Z1191">
        <v>69.639418150439525</v>
      </c>
      <c r="AA1191">
        <v>0.38932686476652517</v>
      </c>
      <c r="AB1191">
        <v>74.5</v>
      </c>
      <c r="AC1191">
        <v>-0.29295400660571042</v>
      </c>
      <c r="AD1191">
        <v>-0.34770637160431217</v>
      </c>
      <c r="AE1191">
        <v>0.50433297166847912</v>
      </c>
      <c r="AF1191">
        <v>1.6155134108446163E-2</v>
      </c>
      <c r="AG1191">
        <v>-0.35054948808687492</v>
      </c>
      <c r="AH1191">
        <v>0.50530713570263175</v>
      </c>
      <c r="AI1191">
        <v>1.5521699316620592E-4</v>
      </c>
    </row>
    <row r="1192" spans="23:35" x14ac:dyDescent="0.25">
      <c r="W1192">
        <v>1190</v>
      </c>
      <c r="X1192">
        <v>69.752818642581502</v>
      </c>
      <c r="Y1192">
        <v>-1.6528186425815079</v>
      </c>
      <c r="Z1192">
        <v>69.779979471496205</v>
      </c>
      <c r="AA1192">
        <v>0.38932686476652517</v>
      </c>
      <c r="AB1192">
        <v>74.5</v>
      </c>
      <c r="AC1192">
        <v>-0.29295400660571042</v>
      </c>
      <c r="AD1192">
        <v>-0.37945005959094119</v>
      </c>
      <c r="AE1192">
        <v>0.50497316455888885</v>
      </c>
      <c r="AF1192">
        <v>1.6167357622839502E-2</v>
      </c>
      <c r="AG1192">
        <v>-0.38255511352554533</v>
      </c>
      <c r="AH1192">
        <v>0.50635564809368627</v>
      </c>
      <c r="AI1192">
        <v>1.8499606375024411E-4</v>
      </c>
    </row>
    <row r="1193" spans="23:35" x14ac:dyDescent="0.25">
      <c r="W1193">
        <v>1191</v>
      </c>
      <c r="X1193">
        <v>69.700937560542343</v>
      </c>
      <c r="Y1193">
        <v>-1.7009375605423429</v>
      </c>
      <c r="Z1193">
        <v>69.72919995063323</v>
      </c>
      <c r="AA1193">
        <v>0.38447543966040026</v>
      </c>
      <c r="AB1193">
        <v>74.5</v>
      </c>
      <c r="AC1193">
        <v>-0.31204933220437475</v>
      </c>
      <c r="AD1193">
        <v>-0.39049708303156044</v>
      </c>
      <c r="AE1193">
        <v>0.50585392122248951</v>
      </c>
      <c r="AF1193">
        <v>1.6344200149057218E-2</v>
      </c>
      <c r="AG1193">
        <v>-0.39372792277834956</v>
      </c>
      <c r="AH1193">
        <v>0.50645872882493614</v>
      </c>
      <c r="AI1193">
        <v>1.9813882986151983E-4</v>
      </c>
    </row>
    <row r="1194" spans="23:35" x14ac:dyDescent="0.25">
      <c r="W1194">
        <v>1192</v>
      </c>
      <c r="X1194">
        <v>69.166607712901552</v>
      </c>
      <c r="Y1194">
        <v>-1.2666077129015463</v>
      </c>
      <c r="Z1194">
        <v>69.187521530817008</v>
      </c>
      <c r="AA1194">
        <v>0.37719830200121285</v>
      </c>
      <c r="AB1194">
        <v>74.5</v>
      </c>
      <c r="AC1194">
        <v>-0.32163939638952632</v>
      </c>
      <c r="AD1194">
        <v>-0.29078469939579971</v>
      </c>
      <c r="AE1194">
        <v>0.50942951948445603</v>
      </c>
      <c r="AF1194">
        <v>1.6243470431280306E-2</v>
      </c>
      <c r="AG1194">
        <v>-0.29317554216698793</v>
      </c>
      <c r="AH1194">
        <v>0.51078487843552589</v>
      </c>
      <c r="AI1194">
        <v>1.0917000139750924E-4</v>
      </c>
    </row>
    <row r="1195" spans="23:35" x14ac:dyDescent="0.25">
      <c r="W1195">
        <v>1193</v>
      </c>
      <c r="X1195">
        <v>69.424633210948329</v>
      </c>
      <c r="Y1195">
        <v>-1.4246332109483291</v>
      </c>
      <c r="Z1195">
        <v>69.448117266779391</v>
      </c>
      <c r="AA1195">
        <v>0.38447543966040026</v>
      </c>
      <c r="AB1195">
        <v>74.5</v>
      </c>
      <c r="AC1195">
        <v>-0.31204933220437475</v>
      </c>
      <c r="AD1195">
        <v>-0.32706380655608985</v>
      </c>
      <c r="AE1195">
        <v>0.50996673305041118</v>
      </c>
      <c r="AF1195">
        <v>1.6216957265685179E-2</v>
      </c>
      <c r="AG1195">
        <v>-0.32974849402894063</v>
      </c>
      <c r="AH1195">
        <v>0.51179767529640574</v>
      </c>
      <c r="AI1195">
        <v>1.3787715996451503E-4</v>
      </c>
    </row>
    <row r="1196" spans="23:35" x14ac:dyDescent="0.25">
      <c r="W1196">
        <v>1194</v>
      </c>
      <c r="X1196">
        <v>69.498955812939897</v>
      </c>
      <c r="Y1196">
        <v>-1.9989558129398972</v>
      </c>
      <c r="Z1196">
        <v>69.532190281337876</v>
      </c>
      <c r="AA1196">
        <v>0.35900545785324439</v>
      </c>
      <c r="AB1196">
        <v>74.5</v>
      </c>
      <c r="AC1196">
        <v>-0.37168505980560429</v>
      </c>
      <c r="AD1196">
        <v>-0.45891538417972377</v>
      </c>
      <c r="AE1196">
        <v>0.5105454954145161</v>
      </c>
      <c r="AF1196">
        <v>1.6354014042475138E-2</v>
      </c>
      <c r="AG1196">
        <v>-0.46271460187483038</v>
      </c>
      <c r="AH1196">
        <v>0.51294915053038781</v>
      </c>
      <c r="AI1196">
        <v>2.7382216470826543E-4</v>
      </c>
    </row>
    <row r="1197" spans="23:35" x14ac:dyDescent="0.25">
      <c r="W1197">
        <v>1195</v>
      </c>
      <c r="X1197">
        <v>69.019307233916606</v>
      </c>
      <c r="Y1197">
        <v>-1.5193072339166065</v>
      </c>
      <c r="Z1197">
        <v>69.044783414748593</v>
      </c>
      <c r="AA1197">
        <v>0.35900545785324439</v>
      </c>
      <c r="AB1197">
        <v>74.599999999999994</v>
      </c>
      <c r="AC1197">
        <v>-0.37168505980560429</v>
      </c>
      <c r="AD1197">
        <v>-0.34879883708606857</v>
      </c>
      <c r="AE1197">
        <v>0.51113060383157216</v>
      </c>
      <c r="AF1197">
        <v>1.6491749321461101E-2</v>
      </c>
      <c r="AG1197">
        <v>-0.35171105922276708</v>
      </c>
      <c r="AH1197">
        <v>0.51456611030418764</v>
      </c>
      <c r="AI1197">
        <v>1.5955757014196619E-4</v>
      </c>
    </row>
    <row r="1198" spans="23:35" x14ac:dyDescent="0.25">
      <c r="W1198">
        <v>1196</v>
      </c>
      <c r="X1198">
        <v>67.821325778523374</v>
      </c>
      <c r="Y1198">
        <v>-0.52132577852337647</v>
      </c>
      <c r="Z1198">
        <v>67.83126692464954</v>
      </c>
      <c r="AA1198">
        <v>0.35112189205579136</v>
      </c>
      <c r="AB1198">
        <v>74.599999999999994</v>
      </c>
      <c r="AC1198">
        <v>-0.39787592189543292</v>
      </c>
      <c r="AD1198">
        <v>-0.1196846965726512</v>
      </c>
      <c r="AE1198">
        <v>0.5113308214222072</v>
      </c>
      <c r="AF1198">
        <v>1.8712149514539506E-2</v>
      </c>
      <c r="AG1198">
        <v>-0.12082043977853528</v>
      </c>
      <c r="AH1198">
        <v>0.51484738612186676</v>
      </c>
      <c r="AI1198">
        <v>2.1412369505108068E-5</v>
      </c>
    </row>
    <row r="1199" spans="23:35" x14ac:dyDescent="0.25">
      <c r="W1199">
        <v>1197</v>
      </c>
      <c r="X1199">
        <v>65.993222802181577</v>
      </c>
      <c r="Y1199">
        <v>1.0067771978184226</v>
      </c>
      <c r="Z1199">
        <v>65.962991039834208</v>
      </c>
      <c r="AA1199">
        <v>0.33959975742874471</v>
      </c>
      <c r="AB1199">
        <v>74.599999999999994</v>
      </c>
      <c r="AC1199">
        <v>-0.42600652312983872</v>
      </c>
      <c r="AD1199">
        <v>0.23113344553660672</v>
      </c>
      <c r="AE1199">
        <v>0.51192669250111977</v>
      </c>
      <c r="AF1199">
        <v>2.9152845837072922E-2</v>
      </c>
      <c r="AG1199">
        <v>0.23457804498384441</v>
      </c>
      <c r="AH1199">
        <v>0.51515940007854133</v>
      </c>
      <c r="AI1199">
        <v>1.2710465810435035E-4</v>
      </c>
    </row>
    <row r="1200" spans="23:35" x14ac:dyDescent="0.25">
      <c r="W1200">
        <v>1198</v>
      </c>
      <c r="X1200">
        <v>68.658163217928859</v>
      </c>
      <c r="Y1200">
        <v>-1.3581632179288619</v>
      </c>
      <c r="Z1200">
        <v>68.683383215846874</v>
      </c>
      <c r="AA1200">
        <v>0.35112189205579136</v>
      </c>
      <c r="AB1200">
        <v>74.599999999999994</v>
      </c>
      <c r="AC1200">
        <v>-0.39787592189543292</v>
      </c>
      <c r="AD1200">
        <v>-0.31180378820776555</v>
      </c>
      <c r="AE1200">
        <v>0.51404050851079208</v>
      </c>
      <c r="AF1200">
        <v>1.8230666404739051E-2</v>
      </c>
      <c r="AG1200">
        <v>-0.31468544493352474</v>
      </c>
      <c r="AH1200">
        <v>0.51577833773151904</v>
      </c>
      <c r="AI1200">
        <v>1.414500292419998E-4</v>
      </c>
    </row>
    <row r="1201" spans="23:35" x14ac:dyDescent="0.25">
      <c r="W1201">
        <v>1199</v>
      </c>
      <c r="X1201">
        <v>68.417174401097043</v>
      </c>
      <c r="Y1201">
        <v>-1.21717440109704</v>
      </c>
      <c r="Z1201">
        <v>68.439436513604804</v>
      </c>
      <c r="AA1201">
        <v>0.34505761067313523</v>
      </c>
      <c r="AB1201">
        <v>74.599999999999994</v>
      </c>
      <c r="AC1201">
        <v>-0.40776731506460179</v>
      </c>
      <c r="AD1201">
        <v>-0.27943592063281303</v>
      </c>
      <c r="AE1201">
        <v>0.51448685727130938</v>
      </c>
      <c r="AF1201">
        <v>1.7961478674699966E-2</v>
      </c>
      <c r="AG1201">
        <v>-0.28197978219271252</v>
      </c>
      <c r="AH1201">
        <v>0.51592319787354679</v>
      </c>
      <c r="AI1201">
        <v>1.1186807179686875E-4</v>
      </c>
    </row>
    <row r="1202" spans="23:35" x14ac:dyDescent="0.25">
      <c r="W1202">
        <v>1200</v>
      </c>
      <c r="X1202">
        <v>67.923021588429691</v>
      </c>
      <c r="Y1202">
        <v>-1.1230215884296939</v>
      </c>
      <c r="Z1202">
        <v>67.944092728209256</v>
      </c>
      <c r="AA1202">
        <v>0.33232261976955729</v>
      </c>
      <c r="AB1202">
        <v>74.599999999999994</v>
      </c>
      <c r="AC1202">
        <v>-0.44438857281516719</v>
      </c>
      <c r="AD1202">
        <v>-0.25782054828834394</v>
      </c>
      <c r="AE1202">
        <v>0.51719731381931267</v>
      </c>
      <c r="AF1202">
        <v>1.8417335640746303E-2</v>
      </c>
      <c r="AG1202">
        <v>-0.26022803825183161</v>
      </c>
      <c r="AH1202">
        <v>0.52185894878039729</v>
      </c>
      <c r="AI1202">
        <v>9.7738292216897915E-5</v>
      </c>
    </row>
    <row r="1203" spans="23:35" x14ac:dyDescent="0.25">
      <c r="W1203">
        <v>1201</v>
      </c>
      <c r="X1203">
        <v>67.920207517287892</v>
      </c>
      <c r="Y1203">
        <v>-1.1202075172878949</v>
      </c>
      <c r="Z1203">
        <v>67.940773002182922</v>
      </c>
      <c r="AA1203">
        <v>0.33232261976955729</v>
      </c>
      <c r="AB1203">
        <v>74.599999999999994</v>
      </c>
      <c r="AC1203">
        <v>-0.44438857281516719</v>
      </c>
      <c r="AD1203">
        <v>-0.25717450072151532</v>
      </c>
      <c r="AE1203">
        <v>0.52014545170346194</v>
      </c>
      <c r="AF1203">
        <v>1.8027674967484166E-2</v>
      </c>
      <c r="AG1203">
        <v>-0.25952445115098444</v>
      </c>
      <c r="AH1203">
        <v>0.52189448589153498</v>
      </c>
      <c r="AI1203">
        <v>9.5116022574483558E-5</v>
      </c>
    </row>
    <row r="1204" spans="23:35" x14ac:dyDescent="0.25">
      <c r="W1204">
        <v>1202</v>
      </c>
      <c r="X1204">
        <v>67.941426078460566</v>
      </c>
      <c r="Y1204">
        <v>-1.1414260784605688</v>
      </c>
      <c r="Z1204">
        <v>67.967873723042004</v>
      </c>
      <c r="AA1204">
        <v>0.33232261976955729</v>
      </c>
      <c r="AB1204">
        <v>74.599999999999994</v>
      </c>
      <c r="AC1204">
        <v>-0.44438857281516719</v>
      </c>
      <c r="AD1204">
        <v>-0.26204580607467243</v>
      </c>
      <c r="AE1204">
        <v>0.52035986593988948</v>
      </c>
      <c r="AF1204">
        <v>2.2645979663411711E-2</v>
      </c>
      <c r="AG1204">
        <v>-0.26506431373161177</v>
      </c>
      <c r="AH1204">
        <v>0.52568202435095945</v>
      </c>
      <c r="AI1204">
        <v>1.2522711632069713E-4</v>
      </c>
    </row>
    <row r="1205" spans="23:35" x14ac:dyDescent="0.25">
      <c r="W1205">
        <v>1203</v>
      </c>
      <c r="X1205">
        <v>77.950564518382265</v>
      </c>
      <c r="Y1205">
        <v>-0.65056451838226792</v>
      </c>
      <c r="Z1205">
        <v>77.95224342603764</v>
      </c>
      <c r="AA1205">
        <v>0.84414796846573681</v>
      </c>
      <c r="AB1205">
        <v>74.599999999999994</v>
      </c>
      <c r="AC1205">
        <v>1.0003070916314494</v>
      </c>
      <c r="AD1205">
        <v>-0.14935501022806857</v>
      </c>
      <c r="AE1205">
        <v>0.52478740276755498</v>
      </c>
      <c r="AF1205">
        <v>2.5740507122798423E-3</v>
      </c>
      <c r="AG1205">
        <v>-0.14954760580624582</v>
      </c>
      <c r="AH1205">
        <v>0.52635162127653656</v>
      </c>
      <c r="AI1205">
        <v>4.4396835208229048E-6</v>
      </c>
    </row>
    <row r="1206" spans="23:35" x14ac:dyDescent="0.25">
      <c r="W1206">
        <v>1204</v>
      </c>
      <c r="X1206">
        <v>72.706365417423058</v>
      </c>
      <c r="Y1206">
        <v>4.3936345825769365</v>
      </c>
      <c r="Z1206">
        <v>72.666078467133175</v>
      </c>
      <c r="AA1206">
        <v>0.83869011522134629</v>
      </c>
      <c r="AB1206">
        <v>74.599999999999994</v>
      </c>
      <c r="AC1206">
        <v>0.98537673313779217</v>
      </c>
      <c r="AD1206">
        <v>1.0086798764416909</v>
      </c>
      <c r="AE1206">
        <v>0.52588744398794074</v>
      </c>
      <c r="AF1206">
        <v>9.0860765106588644E-3</v>
      </c>
      <c r="AG1206">
        <v>1.0132938135627825</v>
      </c>
      <c r="AH1206">
        <v>0.52750935682551758</v>
      </c>
      <c r="AI1206">
        <v>7.2421562210516779E-4</v>
      </c>
    </row>
    <row r="1207" spans="23:35" x14ac:dyDescent="0.25">
      <c r="W1207">
        <v>1205</v>
      </c>
      <c r="X1207">
        <v>77.489626271337215</v>
      </c>
      <c r="Y1207">
        <v>-0.6896262713372181</v>
      </c>
      <c r="Z1207">
        <v>77.491377605969475</v>
      </c>
      <c r="AA1207">
        <v>0.82838083687083086</v>
      </c>
      <c r="AB1207">
        <v>74.7</v>
      </c>
      <c r="AC1207">
        <v>0.93712127394454448</v>
      </c>
      <c r="AD1207">
        <v>-0.15832271188911243</v>
      </c>
      <c r="AE1207">
        <v>0.52706555501075636</v>
      </c>
      <c r="AF1207">
        <v>2.5331087051901854E-3</v>
      </c>
      <c r="AG1207">
        <v>-0.15852361797736467</v>
      </c>
      <c r="AH1207">
        <v>0.52756463174703883</v>
      </c>
      <c r="AI1207">
        <v>4.9090780522364303E-6</v>
      </c>
    </row>
    <row r="1208" spans="23:35" x14ac:dyDescent="0.25">
      <c r="W1208">
        <v>1206</v>
      </c>
      <c r="X1208">
        <v>77.446476061361011</v>
      </c>
      <c r="Y1208">
        <v>-0.74647606136100819</v>
      </c>
      <c r="Z1208">
        <v>77.448402923110606</v>
      </c>
      <c r="AA1208">
        <v>0.82534869617950268</v>
      </c>
      <c r="AB1208">
        <v>74.7</v>
      </c>
      <c r="AC1208">
        <v>0.93241539434320941</v>
      </c>
      <c r="AD1208">
        <v>-0.17137414757389346</v>
      </c>
      <c r="AE1208">
        <v>0.52824803054956893</v>
      </c>
      <c r="AF1208">
        <v>2.5746315121065459E-3</v>
      </c>
      <c r="AG1208">
        <v>-0.17159518712748939</v>
      </c>
      <c r="AH1208">
        <v>0.52901687382561491</v>
      </c>
      <c r="AI1208">
        <v>5.84657497921645E-6</v>
      </c>
    </row>
    <row r="1209" spans="23:35" x14ac:dyDescent="0.25">
      <c r="W1209">
        <v>1207</v>
      </c>
      <c r="X1209">
        <v>77.160062222109076</v>
      </c>
      <c r="Y1209">
        <v>-0.86006222210907879</v>
      </c>
      <c r="Z1209">
        <v>77.162135929270931</v>
      </c>
      <c r="AA1209">
        <v>0.8168587022437841</v>
      </c>
      <c r="AB1209">
        <v>74.7</v>
      </c>
      <c r="AC1209">
        <v>0.89095501331493132</v>
      </c>
      <c r="AD1209">
        <v>-0.19745098041820605</v>
      </c>
      <c r="AE1209">
        <v>0.52919905317071381</v>
      </c>
      <c r="AF1209">
        <v>2.4053134679240004E-3</v>
      </c>
      <c r="AG1209">
        <v>-0.19768887541458793</v>
      </c>
      <c r="AH1209">
        <v>0.53022795644013254</v>
      </c>
      <c r="AI1209">
        <v>7.2483418090712482E-6</v>
      </c>
    </row>
    <row r="1210" spans="23:35" x14ac:dyDescent="0.25">
      <c r="W1210">
        <v>1208</v>
      </c>
      <c r="X1210">
        <v>76.959887596022327</v>
      </c>
      <c r="Y1210">
        <v>-1.2598875960223239</v>
      </c>
      <c r="Z1210">
        <v>76.963007161579796</v>
      </c>
      <c r="AA1210">
        <v>0.79199514857489384</v>
      </c>
      <c r="AB1210">
        <v>74.7</v>
      </c>
      <c r="AC1210">
        <v>0.80177968430189828</v>
      </c>
      <c r="AD1210">
        <v>-0.28924191140649175</v>
      </c>
      <c r="AE1210">
        <v>0.52974397719077337</v>
      </c>
      <c r="AF1210">
        <v>2.4699508065899435E-3</v>
      </c>
      <c r="AG1210">
        <v>-0.28959978112976081</v>
      </c>
      <c r="AH1210">
        <v>0.53041336678150341</v>
      </c>
      <c r="AI1210">
        <v>1.5974064100552137E-5</v>
      </c>
    </row>
    <row r="1211" spans="23:35" x14ac:dyDescent="0.25">
      <c r="W1211">
        <v>1209</v>
      </c>
      <c r="X1211">
        <v>75.58509258215561</v>
      </c>
      <c r="Y1211">
        <v>-8.509258215561033E-2</v>
      </c>
      <c r="Z1211">
        <v>75.585432595604388</v>
      </c>
      <c r="AA1211">
        <v>0.78411158277744086</v>
      </c>
      <c r="AB1211">
        <v>74.7</v>
      </c>
      <c r="AC1211">
        <v>0.77276680816182786</v>
      </c>
      <c r="AD1211">
        <v>-1.9535346793561541E-2</v>
      </c>
      <c r="AE1211">
        <v>0.53126446498422553</v>
      </c>
      <c r="AF1211">
        <v>3.9799030613065804E-3</v>
      </c>
      <c r="AG1211">
        <v>-1.9574337610245247E-2</v>
      </c>
      <c r="AH1211">
        <v>0.53174884799801558</v>
      </c>
      <c r="AI1211">
        <v>1.1777013951930676E-7</v>
      </c>
    </row>
    <row r="1212" spans="23:35" x14ac:dyDescent="0.25">
      <c r="W1212">
        <v>1210</v>
      </c>
      <c r="X1212">
        <v>75.532724447059721</v>
      </c>
      <c r="Y1212">
        <v>-0.23272444705972362</v>
      </c>
      <c r="Z1212">
        <v>75.533537556211442</v>
      </c>
      <c r="AA1212">
        <v>0.77258944815039421</v>
      </c>
      <c r="AB1212">
        <v>74.7</v>
      </c>
      <c r="AC1212">
        <v>0.72844171022016913</v>
      </c>
      <c r="AD1212">
        <v>-5.3428309089710753E-2</v>
      </c>
      <c r="AE1212">
        <v>0.53458127071509021</v>
      </c>
      <c r="AF1212">
        <v>3.4817061756949757E-3</v>
      </c>
      <c r="AG1212">
        <v>-5.3521563510714944E-2</v>
      </c>
      <c r="AH1212">
        <v>0.5354607390225703</v>
      </c>
      <c r="AI1212">
        <v>7.6987651812194773E-7</v>
      </c>
    </row>
    <row r="1213" spans="23:35" x14ac:dyDescent="0.25">
      <c r="W1213">
        <v>1211</v>
      </c>
      <c r="X1213">
        <v>75.279039611095627</v>
      </c>
      <c r="Y1213">
        <v>-7.9039611095623741E-2</v>
      </c>
      <c r="Z1213">
        <v>75.279304480615863</v>
      </c>
      <c r="AA1213">
        <v>0.76652516676773808</v>
      </c>
      <c r="AB1213">
        <v>74.7</v>
      </c>
      <c r="AC1213">
        <v>0.71660092108895201</v>
      </c>
      <c r="AD1213">
        <v>-1.8145720508957911E-2</v>
      </c>
      <c r="AE1213">
        <v>0.53465727007826425</v>
      </c>
      <c r="AF1213">
        <v>3.3399061210191063E-3</v>
      </c>
      <c r="AG1213">
        <v>-1.8176099127973681E-2</v>
      </c>
      <c r="AH1213">
        <v>0.53809193102495279</v>
      </c>
      <c r="AI1213">
        <v>8.5161872714559116E-8</v>
      </c>
    </row>
    <row r="1214" spans="23:35" x14ac:dyDescent="0.25">
      <c r="W1214">
        <v>1212</v>
      </c>
      <c r="X1214">
        <v>75.227682641420415</v>
      </c>
      <c r="Y1214">
        <v>-0.22768264142041517</v>
      </c>
      <c r="Z1214">
        <v>75.228311190263895</v>
      </c>
      <c r="AA1214">
        <v>0.76046088538508183</v>
      </c>
      <c r="AB1214">
        <v>74.7</v>
      </c>
      <c r="AC1214">
        <v>0.67020216077934069</v>
      </c>
      <c r="AD1214">
        <v>-5.2270823688110077E-2</v>
      </c>
      <c r="AE1214">
        <v>0.53759682683616117</v>
      </c>
      <c r="AF1214">
        <v>2.7530356385597511E-3</v>
      </c>
      <c r="AG1214">
        <v>-5.2342924314241354E-2</v>
      </c>
      <c r="AH1214">
        <v>0.53901437558182563</v>
      </c>
      <c r="AI1214">
        <v>5.8181072511572718E-7</v>
      </c>
    </row>
    <row r="1215" spans="23:35" x14ac:dyDescent="0.25">
      <c r="W1215">
        <v>1213</v>
      </c>
      <c r="X1215">
        <v>75.857056288321075</v>
      </c>
      <c r="Y1215">
        <v>-0.95705628832106981</v>
      </c>
      <c r="Z1215">
        <v>75.858986320243488</v>
      </c>
      <c r="AA1215">
        <v>0.74833232261976956</v>
      </c>
      <c r="AB1215">
        <v>74.7</v>
      </c>
      <c r="AC1215">
        <v>0.64941472986293525</v>
      </c>
      <c r="AD1215">
        <v>-0.219718640799035</v>
      </c>
      <c r="AE1215">
        <v>0.53780749164410491</v>
      </c>
      <c r="AF1215">
        <v>2.0125750301854344E-3</v>
      </c>
      <c r="AG1215">
        <v>-0.21994007522025785</v>
      </c>
      <c r="AH1215">
        <v>0.53940561773514428</v>
      </c>
      <c r="AI1215">
        <v>7.5039926033182007E-6</v>
      </c>
    </row>
    <row r="1216" spans="23:35" x14ac:dyDescent="0.25">
      <c r="W1216">
        <v>1214</v>
      </c>
      <c r="X1216">
        <v>75.628905623083384</v>
      </c>
      <c r="Y1216">
        <v>-0.92890562308338076</v>
      </c>
      <c r="Z1216">
        <v>75.630757321063925</v>
      </c>
      <c r="AA1216">
        <v>0.7362037598544573</v>
      </c>
      <c r="AB1216">
        <v>74.7</v>
      </c>
      <c r="AC1216">
        <v>0.61415241452626612</v>
      </c>
      <c r="AD1216">
        <v>-0.21325587995717876</v>
      </c>
      <c r="AE1216">
        <v>0.5381113827639471</v>
      </c>
      <c r="AF1216">
        <v>1.9894530385514962E-3</v>
      </c>
      <c r="AG1216">
        <v>-0.21346832828094181</v>
      </c>
      <c r="AH1216">
        <v>0.53968877068395404</v>
      </c>
      <c r="AI1216">
        <v>6.9875046006677654E-6</v>
      </c>
    </row>
    <row r="1217" spans="23:35" x14ac:dyDescent="0.25">
      <c r="W1217">
        <v>1215</v>
      </c>
      <c r="X1217">
        <v>75.46036194041632</v>
      </c>
      <c r="Y1217">
        <v>-0.96036194041631973</v>
      </c>
      <c r="Z1217">
        <v>75.462012781103766</v>
      </c>
      <c r="AA1217">
        <v>0.72407519708914492</v>
      </c>
      <c r="AB1217">
        <v>74.8</v>
      </c>
      <c r="AC1217">
        <v>0.56531175535073552</v>
      </c>
      <c r="AD1217">
        <v>-0.22047754431828037</v>
      </c>
      <c r="AE1217">
        <v>0.53815430744274029</v>
      </c>
      <c r="AF1217">
        <v>1.7160278115603269E-3</v>
      </c>
      <c r="AG1217">
        <v>-0.22066696093524624</v>
      </c>
      <c r="AH1217">
        <v>0.54001332876218344</v>
      </c>
      <c r="AI1217">
        <v>6.4387490553891825E-6</v>
      </c>
    </row>
    <row r="1218" spans="23:35" x14ac:dyDescent="0.25">
      <c r="W1218">
        <v>1216</v>
      </c>
      <c r="X1218">
        <v>75.216811115706534</v>
      </c>
      <c r="Y1218">
        <v>-1.0168111157065312</v>
      </c>
      <c r="Z1218">
        <v>75.218475694577563</v>
      </c>
      <c r="AA1218">
        <v>0.7010309278350515</v>
      </c>
      <c r="AB1218">
        <v>74.8</v>
      </c>
      <c r="AC1218">
        <v>0.5039283835636299</v>
      </c>
      <c r="AD1218">
        <v>-0.23343700785281266</v>
      </c>
      <c r="AE1218">
        <v>0.54156826454854667</v>
      </c>
      <c r="AF1218">
        <v>1.6343825187914059E-3</v>
      </c>
      <c r="AG1218">
        <v>-0.23362800468857972</v>
      </c>
      <c r="AH1218">
        <v>0.54245874726366738</v>
      </c>
      <c r="AI1218">
        <v>6.8733829286645321E-6</v>
      </c>
    </row>
    <row r="1219" spans="23:35" x14ac:dyDescent="0.25">
      <c r="W1219">
        <v>1217</v>
      </c>
      <c r="X1219">
        <v>74.881246627716976</v>
      </c>
      <c r="Y1219">
        <v>-1.1812466277169733</v>
      </c>
      <c r="Z1219">
        <v>74.883578659295921</v>
      </c>
      <c r="AA1219">
        <v>0.66040024257125529</v>
      </c>
      <c r="AB1219">
        <v>74.8</v>
      </c>
      <c r="AC1219">
        <v>0.39787592189543292</v>
      </c>
      <c r="AD1219">
        <v>-0.27118771033386374</v>
      </c>
      <c r="AE1219">
        <v>0.54180357969400605</v>
      </c>
      <c r="AF1219">
        <v>1.9703224290424722E-3</v>
      </c>
      <c r="AG1219">
        <v>-0.27145526939613901</v>
      </c>
      <c r="AH1219">
        <v>0.5429538252300129</v>
      </c>
      <c r="AI1219">
        <v>1.1190436984891038E-5</v>
      </c>
    </row>
    <row r="1220" spans="23:35" x14ac:dyDescent="0.25">
      <c r="W1220">
        <v>1218</v>
      </c>
      <c r="X1220">
        <v>73.549624108420687</v>
      </c>
      <c r="Y1220">
        <v>15.450375891579313</v>
      </c>
      <c r="Z1220">
        <v>73.395611809594172</v>
      </c>
      <c r="AA1220">
        <v>1</v>
      </c>
      <c r="AB1220">
        <v>74.8</v>
      </c>
      <c r="AC1220">
        <v>2.6570161854420777</v>
      </c>
      <c r="AD1220">
        <v>3.5470594908134925</v>
      </c>
      <c r="AE1220">
        <v>0.54248031308410272</v>
      </c>
      <c r="AF1220">
        <v>9.8698069381026009E-3</v>
      </c>
      <c r="AG1220">
        <v>3.5646945357673228</v>
      </c>
      <c r="AH1220">
        <v>0.54309353554952589</v>
      </c>
      <c r="AI1220">
        <v>9.7435595096603666E-3</v>
      </c>
    </row>
    <row r="1221" spans="23:35" x14ac:dyDescent="0.25">
      <c r="W1221">
        <v>1219</v>
      </c>
      <c r="X1221">
        <v>75.287939584504642</v>
      </c>
      <c r="Y1221">
        <v>10.712060415495358</v>
      </c>
      <c r="Z1221">
        <v>75.186310520768942</v>
      </c>
      <c r="AA1221">
        <v>0.99029714978775019</v>
      </c>
      <c r="AB1221">
        <v>74.8</v>
      </c>
      <c r="AC1221">
        <v>2.190305027167327</v>
      </c>
      <c r="AD1221">
        <v>2.4592486182591129</v>
      </c>
      <c r="AE1221">
        <v>0.5426530988068945</v>
      </c>
      <c r="AF1221">
        <v>9.3981858764204916E-3</v>
      </c>
      <c r="AG1221">
        <v>2.4708869550655281</v>
      </c>
      <c r="AH1221">
        <v>0.54325580762321946</v>
      </c>
      <c r="AI1221">
        <v>4.4556114572561773E-3</v>
      </c>
    </row>
    <row r="1222" spans="23:35" x14ac:dyDescent="0.25">
      <c r="W1222">
        <v>1220</v>
      </c>
      <c r="X1222">
        <v>76.847365802792496</v>
      </c>
      <c r="Y1222">
        <v>6.1526341972075045</v>
      </c>
      <c r="Z1222">
        <v>76.816099902210141</v>
      </c>
      <c r="AA1222">
        <v>0.97877501516070342</v>
      </c>
      <c r="AB1222">
        <v>74.8</v>
      </c>
      <c r="AC1222">
        <v>1.9368862628682144</v>
      </c>
      <c r="AD1222">
        <v>1.4125067037755896</v>
      </c>
      <c r="AE1222">
        <v>0.54436960184240257</v>
      </c>
      <c r="AF1222">
        <v>5.0560164439788398E-3</v>
      </c>
      <c r="AG1222">
        <v>1.4160911302671968</v>
      </c>
      <c r="AH1222">
        <v>0.54486614227310504</v>
      </c>
      <c r="AI1222">
        <v>7.8387876627436786E-4</v>
      </c>
    </row>
    <row r="1223" spans="23:35" x14ac:dyDescent="0.25">
      <c r="W1223">
        <v>1221</v>
      </c>
      <c r="X1223">
        <v>77.464636482477403</v>
      </c>
      <c r="Y1223">
        <v>4.5353635175225975</v>
      </c>
      <c r="Z1223">
        <v>77.431789650849865</v>
      </c>
      <c r="AA1223">
        <v>0.96604002425712554</v>
      </c>
      <c r="AB1223">
        <v>74.8</v>
      </c>
      <c r="AC1223">
        <v>1.7539324289023792</v>
      </c>
      <c r="AD1223">
        <v>1.0412176585221828</v>
      </c>
      <c r="AE1223">
        <v>0.54497080088971783</v>
      </c>
      <c r="AF1223">
        <v>7.1903062943786521E-3</v>
      </c>
      <c r="AG1223">
        <v>1.0449813039922304</v>
      </c>
      <c r="AH1223">
        <v>0.54587534407770477</v>
      </c>
      <c r="AI1223">
        <v>6.083521827507897E-4</v>
      </c>
    </row>
    <row r="1224" spans="23:35" x14ac:dyDescent="0.25">
      <c r="W1224">
        <v>1222</v>
      </c>
      <c r="X1224">
        <v>77.203060645169074</v>
      </c>
      <c r="Y1224">
        <v>2.3969393548309199</v>
      </c>
      <c r="Z1224">
        <v>77.184554773835373</v>
      </c>
      <c r="AA1224">
        <v>0.91206791995148573</v>
      </c>
      <c r="AB1224">
        <v>74.8</v>
      </c>
      <c r="AC1224">
        <v>1.3404190152831756</v>
      </c>
      <c r="AD1224">
        <v>0.55028347187922777</v>
      </c>
      <c r="AE1224">
        <v>0.54545557204517103</v>
      </c>
      <c r="AF1224">
        <v>7.6614742214973636E-3</v>
      </c>
      <c r="AG1224">
        <v>0.55240365379381662</v>
      </c>
      <c r="AH1224">
        <v>0.54607692029020949</v>
      </c>
      <c r="AI1224">
        <v>1.8122671777276257E-4</v>
      </c>
    </row>
    <row r="1225" spans="23:35" x14ac:dyDescent="0.25">
      <c r="W1225">
        <v>1223</v>
      </c>
      <c r="X1225">
        <v>74.956694703826756</v>
      </c>
      <c r="Y1225">
        <v>4.3433052961732415</v>
      </c>
      <c r="Z1225">
        <v>74.923350943361427</v>
      </c>
      <c r="AA1225">
        <v>0.9017586416009703</v>
      </c>
      <c r="AB1225">
        <v>74.8</v>
      </c>
      <c r="AC1225">
        <v>1.262435852359769</v>
      </c>
      <c r="AD1225">
        <v>0.997125402022632</v>
      </c>
      <c r="AE1225">
        <v>0.54602257466431325</v>
      </c>
      <c r="AF1225">
        <v>7.6185593210303E-3</v>
      </c>
      <c r="AG1225">
        <v>1.0009455735996708</v>
      </c>
      <c r="AH1225">
        <v>0.54902110831057416</v>
      </c>
      <c r="AI1225">
        <v>5.9165943480801177E-4</v>
      </c>
    </row>
    <row r="1226" spans="23:35" x14ac:dyDescent="0.25">
      <c r="W1226">
        <v>1224</v>
      </c>
      <c r="X1226">
        <v>78.492536032843404</v>
      </c>
      <c r="Y1226">
        <v>0.50746396715659614</v>
      </c>
      <c r="Z1226">
        <v>78.490112600070105</v>
      </c>
      <c r="AA1226">
        <v>0.89023650697392354</v>
      </c>
      <c r="AB1226">
        <v>74.900000000000006</v>
      </c>
      <c r="AC1226">
        <v>1.2070560687293583</v>
      </c>
      <c r="AD1226">
        <v>0.11650233583829507</v>
      </c>
      <c r="AE1226">
        <v>0.54752994719909565</v>
      </c>
      <c r="AF1226">
        <v>4.7528783288771125E-3</v>
      </c>
      <c r="AG1226">
        <v>0.11678018739112196</v>
      </c>
      <c r="AH1226">
        <v>0.54963899018568452</v>
      </c>
      <c r="AI1226">
        <v>5.0098041686394181E-6</v>
      </c>
    </row>
    <row r="1227" spans="23:35" x14ac:dyDescent="0.25">
      <c r="W1227">
        <v>1225</v>
      </c>
      <c r="X1227">
        <v>75.912541260702568</v>
      </c>
      <c r="Y1227">
        <v>2.7874587392974348</v>
      </c>
      <c r="Z1227">
        <v>75.897462501189551</v>
      </c>
      <c r="AA1227">
        <v>0.87871437234687688</v>
      </c>
      <c r="AB1227">
        <v>74.900000000000006</v>
      </c>
      <c r="AC1227">
        <v>1.1521925343545227</v>
      </c>
      <c r="AD1227">
        <v>0.63993795658167096</v>
      </c>
      <c r="AE1227">
        <v>0.55028347187922777</v>
      </c>
      <c r="AF1227">
        <v>5.3803952737172438E-3</v>
      </c>
      <c r="AG1227">
        <v>0.64166649445884127</v>
      </c>
      <c r="AH1227">
        <v>0.55240365379381662</v>
      </c>
      <c r="AI1227">
        <v>1.7132965489417216E-4</v>
      </c>
    </row>
    <row r="1228" spans="23:35" x14ac:dyDescent="0.25">
      <c r="W1228">
        <v>1226</v>
      </c>
      <c r="X1228">
        <v>77.590791471097333</v>
      </c>
      <c r="Y1228">
        <v>0.90920852890266701</v>
      </c>
      <c r="Z1228">
        <v>77.586505645777194</v>
      </c>
      <c r="AA1228">
        <v>0.87265009096422075</v>
      </c>
      <c r="AB1228">
        <v>74.900000000000006</v>
      </c>
      <c r="AC1228">
        <v>1.128888636463274</v>
      </c>
      <c r="AD1228">
        <v>0.20873386927307452</v>
      </c>
      <c r="AE1228">
        <v>0.55375849134318411</v>
      </c>
      <c r="AF1228">
        <v>4.6916823298715424E-3</v>
      </c>
      <c r="AG1228">
        <v>0.20922525552488927</v>
      </c>
      <c r="AH1228">
        <v>0.55469385499323021</v>
      </c>
      <c r="AI1228">
        <v>1.5872883430270706E-5</v>
      </c>
    </row>
    <row r="1229" spans="23:35" x14ac:dyDescent="0.25">
      <c r="W1229">
        <v>1227</v>
      </c>
      <c r="X1229">
        <v>77.229910511428415</v>
      </c>
      <c r="Y1229">
        <v>0.47008948857158828</v>
      </c>
      <c r="Z1229">
        <v>77.227533732429507</v>
      </c>
      <c r="AA1229">
        <v>0.85021224984839294</v>
      </c>
      <c r="AB1229">
        <v>74.900000000000006</v>
      </c>
      <c r="AC1229">
        <v>1.0308575175648222</v>
      </c>
      <c r="AD1229">
        <v>0.10792199449841802</v>
      </c>
      <c r="AE1229">
        <v>0.55474784220471451</v>
      </c>
      <c r="AF1229">
        <v>5.0305792435324367E-3</v>
      </c>
      <c r="AG1229">
        <v>0.10819447806584073</v>
      </c>
      <c r="AH1229">
        <v>0.55720102201966848</v>
      </c>
      <c r="AI1229">
        <v>4.5527636091221399E-6</v>
      </c>
    </row>
    <row r="1230" spans="23:35" x14ac:dyDescent="0.25">
      <c r="W1230">
        <v>1228</v>
      </c>
      <c r="X1230">
        <v>75.553182525450183</v>
      </c>
      <c r="Y1230">
        <v>2.4468174745498175</v>
      </c>
      <c r="Z1230">
        <v>75.537694075057431</v>
      </c>
      <c r="AA1230">
        <v>0.86294724075197093</v>
      </c>
      <c r="AB1230">
        <v>74.900000000000006</v>
      </c>
      <c r="AC1230">
        <v>1.0491313979639725</v>
      </c>
      <c r="AD1230">
        <v>0.56173436855477543</v>
      </c>
      <c r="AE1230">
        <v>0.55528613814724448</v>
      </c>
      <c r="AF1230">
        <v>6.2902217940733769E-3</v>
      </c>
      <c r="AG1230">
        <v>0.56350946415085978</v>
      </c>
      <c r="AH1230">
        <v>0.55853022502476268</v>
      </c>
      <c r="AI1230">
        <v>1.5461992995758567E-4</v>
      </c>
    </row>
    <row r="1231" spans="23:35" x14ac:dyDescent="0.25">
      <c r="W1231">
        <v>1229</v>
      </c>
      <c r="X1231">
        <v>76.920459972395548</v>
      </c>
      <c r="Y1231">
        <v>0.37954002760444894</v>
      </c>
      <c r="Z1231">
        <v>76.918430480567693</v>
      </c>
      <c r="AA1231">
        <v>0.84414796846573681</v>
      </c>
      <c r="AB1231">
        <v>74.900000000000006</v>
      </c>
      <c r="AC1231">
        <v>1.0003070916314494</v>
      </c>
      <c r="AD1231">
        <v>8.71338708200428E-2</v>
      </c>
      <c r="AE1231">
        <v>0.55638518734802134</v>
      </c>
      <c r="AF1231">
        <v>5.3187996537856531E-3</v>
      </c>
      <c r="AG1231">
        <v>8.736652310664475E-2</v>
      </c>
      <c r="AH1231">
        <v>0.559690539866743</v>
      </c>
      <c r="AI1231">
        <v>3.1396155754652725E-6</v>
      </c>
    </row>
    <row r="1232" spans="23:35" x14ac:dyDescent="0.25">
      <c r="W1232">
        <v>1230</v>
      </c>
      <c r="X1232">
        <v>76.609543920720071</v>
      </c>
      <c r="Y1232">
        <v>0.5904560792799316</v>
      </c>
      <c r="Z1232">
        <v>76.607389820835735</v>
      </c>
      <c r="AA1232">
        <v>0.84111582777440874</v>
      </c>
      <c r="AB1232">
        <v>74.900000000000006</v>
      </c>
      <c r="AC1232">
        <v>0.99032898964496086</v>
      </c>
      <c r="AD1232">
        <v>0.13555546186160269</v>
      </c>
      <c r="AE1232">
        <v>0.55781530911297927</v>
      </c>
      <c r="AF1232">
        <v>3.6349356795900793E-3</v>
      </c>
      <c r="AG1232">
        <v>0.13580250324307133</v>
      </c>
      <c r="AH1232">
        <v>0.56070680418217089</v>
      </c>
      <c r="AI1232">
        <v>5.1754776492876062E-6</v>
      </c>
    </row>
    <row r="1233" spans="23:35" x14ac:dyDescent="0.25">
      <c r="W1233">
        <v>1231</v>
      </c>
      <c r="X1233">
        <v>73.750332484039731</v>
      </c>
      <c r="Y1233">
        <v>3.1496675159602745</v>
      </c>
      <c r="Z1233">
        <v>73.689845791811067</v>
      </c>
      <c r="AA1233">
        <v>0.83080654942389331</v>
      </c>
      <c r="AB1233">
        <v>74.900000000000006</v>
      </c>
      <c r="AC1233">
        <v>0.94897780985887181</v>
      </c>
      <c r="AD1233">
        <v>0.7230929612193312</v>
      </c>
      <c r="AE1233">
        <v>0.55951877112622184</v>
      </c>
      <c r="AF1233">
        <v>1.8842301118856295E-2</v>
      </c>
      <c r="AG1233">
        <v>0.73000313637147507</v>
      </c>
      <c r="AH1233">
        <v>0.56071058629767334</v>
      </c>
      <c r="AI1233">
        <v>7.8722925272552418E-4</v>
      </c>
    </row>
    <row r="1234" spans="23:35" x14ac:dyDescent="0.25">
      <c r="W1234">
        <v>1232</v>
      </c>
      <c r="X1234">
        <v>72.152566506556582</v>
      </c>
      <c r="Y1234">
        <v>4.4474334934434125</v>
      </c>
      <c r="Z1234">
        <v>72.099123908464406</v>
      </c>
      <c r="AA1234">
        <v>0.82413583990297146</v>
      </c>
      <c r="AB1234">
        <v>74.900000000000006</v>
      </c>
      <c r="AC1234">
        <v>0.91841998904288702</v>
      </c>
      <c r="AD1234">
        <v>1.0210308987548999</v>
      </c>
      <c r="AE1234">
        <v>0.55957989078299109</v>
      </c>
      <c r="AF1234">
        <v>1.1873821230645882E-2</v>
      </c>
      <c r="AG1234">
        <v>1.0271471899650613</v>
      </c>
      <c r="AH1234">
        <v>0.56072694395767908</v>
      </c>
      <c r="AI1234">
        <v>9.7521441710276353E-4</v>
      </c>
    </row>
    <row r="1235" spans="23:35" x14ac:dyDescent="0.25">
      <c r="W1235">
        <v>1233</v>
      </c>
      <c r="X1235">
        <v>75.392316287207038</v>
      </c>
      <c r="Y1235">
        <v>-0.59231628720704066</v>
      </c>
      <c r="Z1235">
        <v>75.394905091887892</v>
      </c>
      <c r="AA1235">
        <v>0.74166161309884782</v>
      </c>
      <c r="AB1235">
        <v>74.900000000000006</v>
      </c>
      <c r="AC1235">
        <v>0.63261352584071384</v>
      </c>
      <c r="AD1235">
        <v>-0.13598252384566323</v>
      </c>
      <c r="AE1235">
        <v>0.56017312495447624</v>
      </c>
      <c r="AF1235">
        <v>4.3516263621857839E-3</v>
      </c>
      <c r="AG1235">
        <v>-0.1362793655737527</v>
      </c>
      <c r="AH1235">
        <v>0.5621523059141208</v>
      </c>
      <c r="AI1235">
        <v>6.2439938164170937E-6</v>
      </c>
    </row>
    <row r="1236" spans="23:35" x14ac:dyDescent="0.25">
      <c r="W1236">
        <v>1234</v>
      </c>
      <c r="X1236">
        <v>75.748413895871067</v>
      </c>
      <c r="Y1236">
        <v>-1.148413895871073</v>
      </c>
      <c r="Z1236">
        <v>75.751172574174205</v>
      </c>
      <c r="AA1236">
        <v>0.73013947847180105</v>
      </c>
      <c r="AB1236">
        <v>74.900000000000006</v>
      </c>
      <c r="AC1236">
        <v>0.59589828697336056</v>
      </c>
      <c r="AD1236">
        <v>-0.2636500520969009</v>
      </c>
      <c r="AE1236">
        <v>0.56110744821628833</v>
      </c>
      <c r="AF1236">
        <v>2.396407250332648E-3</v>
      </c>
      <c r="AG1236">
        <v>-0.26396652746171939</v>
      </c>
      <c r="AH1236">
        <v>0.56307671897595535</v>
      </c>
      <c r="AI1236">
        <v>1.287528901287116E-5</v>
      </c>
    </row>
    <row r="1237" spans="23:35" x14ac:dyDescent="0.25">
      <c r="W1237">
        <v>1235</v>
      </c>
      <c r="X1237">
        <v>75.715691234644055</v>
      </c>
      <c r="Y1237">
        <v>-1.3156912346440492</v>
      </c>
      <c r="Z1237">
        <v>75.719184682304288</v>
      </c>
      <c r="AA1237">
        <v>0.71376591873862949</v>
      </c>
      <c r="AB1237">
        <v>75</v>
      </c>
      <c r="AC1237">
        <v>0.54051528578164909</v>
      </c>
      <c r="AD1237">
        <v>-0.30205317421227218</v>
      </c>
      <c r="AE1237">
        <v>0.56173436855477543</v>
      </c>
      <c r="AF1237">
        <v>2.6481869499310647E-3</v>
      </c>
      <c r="AG1237">
        <v>-0.30245391695649931</v>
      </c>
      <c r="AH1237">
        <v>0.56330550716035899</v>
      </c>
      <c r="AI1237">
        <v>1.8684235550270931E-5</v>
      </c>
    </row>
    <row r="1238" spans="23:35" x14ac:dyDescent="0.25">
      <c r="W1238">
        <v>1236</v>
      </c>
      <c r="X1238">
        <v>74.696947685936351</v>
      </c>
      <c r="Y1238">
        <v>-0.39694768593635388</v>
      </c>
      <c r="Z1238">
        <v>74.698165586341645</v>
      </c>
      <c r="AA1238">
        <v>0.7052759248029109</v>
      </c>
      <c r="AB1238">
        <v>75</v>
      </c>
      <c r="AC1238">
        <v>0.52824151828033117</v>
      </c>
      <c r="AD1238">
        <v>-9.1130278424124106E-2</v>
      </c>
      <c r="AE1238">
        <v>0.56251585567070184</v>
      </c>
      <c r="AF1238">
        <v>3.0587786766847961E-3</v>
      </c>
      <c r="AG1238">
        <v>-9.1269972652453776E-2</v>
      </c>
      <c r="AH1238">
        <v>0.56345818611842668</v>
      </c>
      <c r="AI1238">
        <v>1.9660338409502819E-6</v>
      </c>
    </row>
    <row r="1239" spans="23:35" x14ac:dyDescent="0.25">
      <c r="W1239">
        <v>1237</v>
      </c>
      <c r="X1239">
        <v>75.722921031876169</v>
      </c>
      <c r="Y1239">
        <v>-2.3229210318761631</v>
      </c>
      <c r="Z1239">
        <v>75.727742867174697</v>
      </c>
      <c r="AA1239">
        <v>0.63735597331716187</v>
      </c>
      <c r="AB1239">
        <v>75</v>
      </c>
      <c r="AC1239">
        <v>0.33286538375086522</v>
      </c>
      <c r="AD1239">
        <v>-0.53329052641478369</v>
      </c>
      <c r="AE1239">
        <v>0.56278896241621901</v>
      </c>
      <c r="AF1239">
        <v>2.0714638917061572E-3</v>
      </c>
      <c r="AG1239">
        <v>-0.53384373205706226</v>
      </c>
      <c r="AH1239">
        <v>0.56350946415085978</v>
      </c>
      <c r="AI1239">
        <v>4.5505392998113143E-5</v>
      </c>
    </row>
    <row r="1240" spans="23:35" x14ac:dyDescent="0.25">
      <c r="W1240">
        <v>1238</v>
      </c>
      <c r="X1240">
        <v>74.852976040723348</v>
      </c>
      <c r="Y1240">
        <v>-1.7529760407233539</v>
      </c>
      <c r="Z1240">
        <v>74.85888696699493</v>
      </c>
      <c r="AA1240">
        <v>0.61491813220133418</v>
      </c>
      <c r="AB1240">
        <v>75</v>
      </c>
      <c r="AC1240">
        <v>0.27870266916975811</v>
      </c>
      <c r="AD1240">
        <v>-0.40244394997569516</v>
      </c>
      <c r="AE1240">
        <v>0.56536020098878825</v>
      </c>
      <c r="AF1240">
        <v>3.3606061006228615E-3</v>
      </c>
      <c r="AG1240">
        <v>-0.40312188696112627</v>
      </c>
      <c r="AH1240">
        <v>0.56631864293551315</v>
      </c>
      <c r="AI1240">
        <v>4.2151105188875016E-5</v>
      </c>
    </row>
    <row r="1241" spans="23:35" x14ac:dyDescent="0.25">
      <c r="W1241">
        <v>1239</v>
      </c>
      <c r="X1241">
        <v>74.448591779449089</v>
      </c>
      <c r="Y1241">
        <v>-1.3485917794490945</v>
      </c>
      <c r="Z1241">
        <v>74.45461349770585</v>
      </c>
      <c r="AA1241">
        <v>0.61491813220133418</v>
      </c>
      <c r="AB1241">
        <v>75</v>
      </c>
      <c r="AC1241">
        <v>0.27870266916975811</v>
      </c>
      <c r="AD1241">
        <v>-0.30960640078246027</v>
      </c>
      <c r="AE1241">
        <v>0.56617882608540981</v>
      </c>
      <c r="AF1241">
        <v>4.4453405100097175E-3</v>
      </c>
      <c r="AG1241">
        <v>-0.31029685655817013</v>
      </c>
      <c r="AH1241">
        <v>0.56651259085003913</v>
      </c>
      <c r="AI1241">
        <v>3.307130431743152E-5</v>
      </c>
    </row>
    <row r="1242" spans="23:35" x14ac:dyDescent="0.25">
      <c r="W1242">
        <v>1240</v>
      </c>
      <c r="X1242">
        <v>74.875939710649334</v>
      </c>
      <c r="Y1242">
        <v>-1.9759397106493282</v>
      </c>
      <c r="Z1242">
        <v>74.881794852701105</v>
      </c>
      <c r="AA1242">
        <v>0.58762886597938147</v>
      </c>
      <c r="AB1242">
        <v>75</v>
      </c>
      <c r="AC1242">
        <v>0.206674078513852</v>
      </c>
      <c r="AD1242">
        <v>-0.45363140373522265</v>
      </c>
      <c r="AE1242">
        <v>0.56643693864799105</v>
      </c>
      <c r="AF1242">
        <v>2.9544642543548869E-3</v>
      </c>
      <c r="AG1242">
        <v>-0.45430301116576688</v>
      </c>
      <c r="AH1242">
        <v>0.5691917413671419</v>
      </c>
      <c r="AI1242">
        <v>4.7044799832875779E-5</v>
      </c>
    </row>
    <row r="1243" spans="23:35" x14ac:dyDescent="0.25">
      <c r="W1243">
        <v>1241</v>
      </c>
      <c r="X1243">
        <v>74.555858442787439</v>
      </c>
      <c r="Y1243">
        <v>-2.0558584427874393</v>
      </c>
      <c r="Z1243">
        <v>74.560021866853631</v>
      </c>
      <c r="AA1243">
        <v>0.55852031534263191</v>
      </c>
      <c r="AB1243">
        <v>75</v>
      </c>
      <c r="AC1243">
        <v>0.12956927093944998</v>
      </c>
      <c r="AD1243">
        <v>-0.47197895070194512</v>
      </c>
      <c r="AE1243">
        <v>0.56876426985155293</v>
      </c>
      <c r="AF1243">
        <v>2.0210581902983284E-3</v>
      </c>
      <c r="AG1243">
        <v>-0.47245662333914373</v>
      </c>
      <c r="AH1243">
        <v>0.57043646766492218</v>
      </c>
      <c r="AI1243">
        <v>3.4772664602929166E-5</v>
      </c>
    </row>
    <row r="1244" spans="23:35" x14ac:dyDescent="0.25">
      <c r="W1244">
        <v>1242</v>
      </c>
      <c r="X1244">
        <v>74.212775628491528</v>
      </c>
      <c r="Y1244">
        <v>-2.3127756284915222</v>
      </c>
      <c r="Z1244">
        <v>74.217154800824062</v>
      </c>
      <c r="AA1244">
        <v>0.51607034566403887</v>
      </c>
      <c r="AB1244">
        <v>75</v>
      </c>
      <c r="AC1244">
        <v>2.7365033500434649E-2</v>
      </c>
      <c r="AD1244">
        <v>-0.53096136953108397</v>
      </c>
      <c r="AE1244">
        <v>0.5692777720634784</v>
      </c>
      <c r="AF1244">
        <v>1.8898920050443183E-3</v>
      </c>
      <c r="AG1244">
        <v>-0.53146381163797329</v>
      </c>
      <c r="AH1244">
        <v>0.570765754444575</v>
      </c>
      <c r="AI1244">
        <v>4.1139838038602306E-5</v>
      </c>
    </row>
    <row r="1245" spans="23:35" x14ac:dyDescent="0.25">
      <c r="W1245">
        <v>1243</v>
      </c>
      <c r="X1245">
        <v>73.710931245680968</v>
      </c>
      <c r="Y1245">
        <v>-2.0109312456809647</v>
      </c>
      <c r="Z1245">
        <v>73.716609555822899</v>
      </c>
      <c r="AA1245">
        <v>0.50394178289872649</v>
      </c>
      <c r="AB1245">
        <v>75</v>
      </c>
      <c r="AC1245">
        <v>-4.5602855597810616E-3</v>
      </c>
      <c r="AD1245">
        <v>-0.46166467472507244</v>
      </c>
      <c r="AE1245">
        <v>0.57003010298019408</v>
      </c>
      <c r="AF1245">
        <v>2.8157707204798411E-3</v>
      </c>
      <c r="AG1245">
        <v>-0.46231602151759882</v>
      </c>
      <c r="AH1245">
        <v>0.57392147812070926</v>
      </c>
      <c r="AI1245">
        <v>4.6425482194519126E-5</v>
      </c>
    </row>
    <row r="1246" spans="23:35" x14ac:dyDescent="0.25">
      <c r="W1246">
        <v>1244</v>
      </c>
      <c r="X1246">
        <v>73.385025524670084</v>
      </c>
      <c r="Y1246">
        <v>-2.2850255246700897</v>
      </c>
      <c r="Z1246">
        <v>73.390489579249547</v>
      </c>
      <c r="AA1246">
        <v>0.47422680412371132</v>
      </c>
      <c r="AB1246">
        <v>75</v>
      </c>
      <c r="AC1246">
        <v>-7.6077819866612773E-2</v>
      </c>
      <c r="AD1246">
        <v>-0.52459056859901609</v>
      </c>
      <c r="AE1246">
        <v>0.57065524393195211</v>
      </c>
      <c r="AF1246">
        <v>2.3855400299414775E-3</v>
      </c>
      <c r="AG1246">
        <v>-0.52521740623229418</v>
      </c>
      <c r="AH1246">
        <v>0.57479302995570769</v>
      </c>
      <c r="AI1246">
        <v>5.0740978970313748E-5</v>
      </c>
    </row>
    <row r="1247" spans="23:35" x14ac:dyDescent="0.25">
      <c r="W1247">
        <v>1245</v>
      </c>
      <c r="X1247">
        <v>73.006807998370334</v>
      </c>
      <c r="Y1247">
        <v>3.9931920016296658</v>
      </c>
      <c r="Z1247">
        <v>72.993997095746451</v>
      </c>
      <c r="AA1247">
        <v>0.83747725894481506</v>
      </c>
      <c r="AB1247">
        <v>75</v>
      </c>
      <c r="AC1247">
        <v>0.95855995741850497</v>
      </c>
      <c r="AD1247">
        <v>0.91674724857281142</v>
      </c>
      <c r="AE1247">
        <v>0.57295694326734092</v>
      </c>
      <c r="AF1247">
        <v>3.1979264444074625E-3</v>
      </c>
      <c r="AG1247">
        <v>0.91821661885157246</v>
      </c>
      <c r="AH1247">
        <v>0.57497358309449109</v>
      </c>
      <c r="AI1247">
        <v>2.0806857024409823E-4</v>
      </c>
    </row>
    <row r="1248" spans="23:35" x14ac:dyDescent="0.25">
      <c r="W1248">
        <v>1246</v>
      </c>
      <c r="X1248">
        <v>72.830630360953137</v>
      </c>
      <c r="Y1248">
        <v>5.1693696390468631</v>
      </c>
      <c r="Z1248">
        <v>72.812827914305402</v>
      </c>
      <c r="AA1248">
        <v>0.86294724075197093</v>
      </c>
      <c r="AB1248">
        <v>75</v>
      </c>
      <c r="AC1248">
        <v>1.0491313979639725</v>
      </c>
      <c r="AD1248">
        <v>1.1867712325172439</v>
      </c>
      <c r="AE1248">
        <v>0.57394696459334793</v>
      </c>
      <c r="AF1248">
        <v>3.4320138899646586E-3</v>
      </c>
      <c r="AG1248">
        <v>1.1888129972236439</v>
      </c>
      <c r="AH1248">
        <v>0.5765916779361292</v>
      </c>
      <c r="AI1248">
        <v>3.7439138083198732E-4</v>
      </c>
    </row>
    <row r="1249" spans="23:35" x14ac:dyDescent="0.25">
      <c r="W1249">
        <v>1247</v>
      </c>
      <c r="X1249">
        <v>72.645606203145519</v>
      </c>
      <c r="Y1249">
        <v>4.354393796854481</v>
      </c>
      <c r="Z1249">
        <v>72.629338537069387</v>
      </c>
      <c r="AA1249">
        <v>0.83747725894481506</v>
      </c>
      <c r="AB1249">
        <v>75</v>
      </c>
      <c r="AC1249">
        <v>0.95855995741850497</v>
      </c>
      <c r="AD1249">
        <v>0.99967107287596824</v>
      </c>
      <c r="AE1249">
        <v>0.57498256010121362</v>
      </c>
      <c r="AF1249">
        <v>3.7220146685143026E-3</v>
      </c>
      <c r="AG1249">
        <v>1.0015366775487262</v>
      </c>
      <c r="AH1249">
        <v>0.57997409590959181</v>
      </c>
      <c r="AI1249">
        <v>2.8826234207726215E-4</v>
      </c>
    </row>
    <row r="1250" spans="23:35" x14ac:dyDescent="0.25">
      <c r="W1250">
        <v>1248</v>
      </c>
      <c r="X1250">
        <v>77.165088802332946</v>
      </c>
      <c r="Y1250">
        <v>-4.1650888023329458</v>
      </c>
      <c r="Z1250">
        <v>77.175599591688183</v>
      </c>
      <c r="AA1250">
        <v>0.60946027895694366</v>
      </c>
      <c r="AB1250">
        <v>75</v>
      </c>
      <c r="AC1250">
        <v>0.22222871718700732</v>
      </c>
      <c r="AD1250">
        <v>-0.9562108954545262</v>
      </c>
      <c r="AE1250">
        <v>0.58220719092838757</v>
      </c>
      <c r="AF1250">
        <v>2.5171928305001571E-3</v>
      </c>
      <c r="AG1250">
        <v>-0.95741665588650693</v>
      </c>
      <c r="AH1250">
        <v>0.58265453057184402</v>
      </c>
      <c r="AI1250">
        <v>1.7793839625187635E-4</v>
      </c>
    </row>
    <row r="1251" spans="23:35" x14ac:dyDescent="0.25">
      <c r="W1251">
        <v>1249</v>
      </c>
      <c r="X1251">
        <v>77.159841227337239</v>
      </c>
      <c r="Y1251">
        <v>-7.1598412273372389</v>
      </c>
      <c r="Z1251">
        <v>77.178852202780391</v>
      </c>
      <c r="AA1251">
        <v>0.46088538508186777</v>
      </c>
      <c r="AB1251">
        <v>75</v>
      </c>
      <c r="AC1251">
        <v>-0.10660788786182936</v>
      </c>
      <c r="AD1251">
        <v>-1.6437388291624471</v>
      </c>
      <c r="AE1251">
        <v>0.58339572068453149</v>
      </c>
      <c r="AF1251">
        <v>2.6481915083562298E-3</v>
      </c>
      <c r="AG1251">
        <v>-1.6459196291061666</v>
      </c>
      <c r="AH1251">
        <v>0.58451326252261737</v>
      </c>
      <c r="AI1251">
        <v>5.5331813705724231E-4</v>
      </c>
    </row>
    <row r="1252" spans="23:35" x14ac:dyDescent="0.25">
      <c r="W1252">
        <v>1250</v>
      </c>
      <c r="X1252">
        <v>76.695416481593341</v>
      </c>
      <c r="Y1252">
        <v>-7.0954164815933467</v>
      </c>
      <c r="Z1252">
        <v>76.714377592158414</v>
      </c>
      <c r="AA1252">
        <v>0.44815039417828989</v>
      </c>
      <c r="AB1252">
        <v>75</v>
      </c>
      <c r="AC1252">
        <v>-0.14337818601426075</v>
      </c>
      <c r="AD1252">
        <v>-1.628948353679021</v>
      </c>
      <c r="AE1252">
        <v>0.58416141018903345</v>
      </c>
      <c r="AF1252">
        <v>2.6651819248345965E-3</v>
      </c>
      <c r="AG1252">
        <v>-1.631123424219306</v>
      </c>
      <c r="AH1252">
        <v>0.58471620965299709</v>
      </c>
      <c r="AI1252">
        <v>5.4691039132953676E-4</v>
      </c>
    </row>
    <row r="1253" spans="23:35" x14ac:dyDescent="0.25">
      <c r="W1253">
        <v>1251</v>
      </c>
      <c r="X1253">
        <v>76.343049624020708</v>
      </c>
      <c r="Y1253">
        <v>-6.943049624020702</v>
      </c>
      <c r="Z1253">
        <v>76.361524472431924</v>
      </c>
      <c r="AA1253">
        <v>0.43784111582777441</v>
      </c>
      <c r="AB1253">
        <v>75</v>
      </c>
      <c r="AC1253">
        <v>-0.16799678341230881</v>
      </c>
      <c r="AD1253">
        <v>-1.5939683433523446</v>
      </c>
      <c r="AE1253">
        <v>0.58459689424567496</v>
      </c>
      <c r="AF1253">
        <v>2.6538509610035356E-3</v>
      </c>
      <c r="AG1253">
        <v>-1.5960876397188939</v>
      </c>
      <c r="AH1253">
        <v>0.58873143605171896</v>
      </c>
      <c r="AI1253">
        <v>5.2143566284356345E-4</v>
      </c>
    </row>
    <row r="1254" spans="23:35" x14ac:dyDescent="0.25">
      <c r="W1254">
        <v>1252</v>
      </c>
      <c r="X1254">
        <v>74.89060762939026</v>
      </c>
      <c r="Y1254">
        <v>-6.4906076293902544</v>
      </c>
      <c r="Z1254">
        <v>74.913440891187065</v>
      </c>
      <c r="AA1254">
        <v>0.40024257125530627</v>
      </c>
      <c r="AB1254">
        <v>75</v>
      </c>
      <c r="AC1254">
        <v>-0.26293383539244392</v>
      </c>
      <c r="AD1254">
        <v>-1.4900978173303092</v>
      </c>
      <c r="AE1254">
        <v>0.58686068558762472</v>
      </c>
      <c r="AF1254">
        <v>3.5055606058700607E-3</v>
      </c>
      <c r="AG1254">
        <v>-1.4927165184604645</v>
      </c>
      <c r="AH1254">
        <v>0.5892909649782645</v>
      </c>
      <c r="AI1254">
        <v>6.0296752938522689E-4</v>
      </c>
    </row>
    <row r="1255" spans="23:35" x14ac:dyDescent="0.25">
      <c r="W1255">
        <v>1253</v>
      </c>
      <c r="X1255">
        <v>75.672414632458811</v>
      </c>
      <c r="Y1255">
        <v>-7.4724146324588077</v>
      </c>
      <c r="Z1255">
        <v>75.694511128131722</v>
      </c>
      <c r="AA1255">
        <v>0.39175257731958762</v>
      </c>
      <c r="AB1255">
        <v>75</v>
      </c>
      <c r="AC1255">
        <v>-0.28028330588569778</v>
      </c>
      <c r="AD1255">
        <v>-1.7154986666571852</v>
      </c>
      <c r="AE1255">
        <v>0.58847300913277945</v>
      </c>
      <c r="AF1255">
        <v>2.9483571770244493E-3</v>
      </c>
      <c r="AG1255">
        <v>-1.7180332240245562</v>
      </c>
      <c r="AH1255">
        <v>0.59010006343942112</v>
      </c>
      <c r="AI1255">
        <v>6.7140134247684383E-4</v>
      </c>
    </row>
    <row r="1256" spans="23:35" x14ac:dyDescent="0.25">
      <c r="W1256">
        <v>1254</v>
      </c>
      <c r="X1256">
        <v>75.597753450744023</v>
      </c>
      <c r="Y1256">
        <v>-8.0977534507440225</v>
      </c>
      <c r="Z1256">
        <v>75.624940887366293</v>
      </c>
      <c r="AA1256">
        <v>0.35900545785324439</v>
      </c>
      <c r="AB1256">
        <v>75</v>
      </c>
      <c r="AC1256">
        <v>-0.37168505980560429</v>
      </c>
      <c r="AD1256">
        <v>-1.8590624223831265</v>
      </c>
      <c r="AE1256">
        <v>0.58975961617609518</v>
      </c>
      <c r="AF1256">
        <v>3.3461703905493289E-3</v>
      </c>
      <c r="AG1256">
        <v>-1.8621806199000435</v>
      </c>
      <c r="AH1256">
        <v>0.59166212702852583</v>
      </c>
      <c r="AI1256">
        <v>8.955791306997083E-4</v>
      </c>
    </row>
    <row r="1257" spans="23:35" x14ac:dyDescent="0.25">
      <c r="W1257">
        <v>1255</v>
      </c>
      <c r="X1257">
        <v>74.155225988781751</v>
      </c>
      <c r="Y1257">
        <v>-6.8552259887817542</v>
      </c>
      <c r="Z1257">
        <v>74.187219151529632</v>
      </c>
      <c r="AA1257">
        <v>0.35112189205579136</v>
      </c>
      <c r="AB1257">
        <v>75.099999999999994</v>
      </c>
      <c r="AC1257">
        <v>-0.39787592189543292</v>
      </c>
      <c r="AD1257">
        <v>-1.5738060080746745</v>
      </c>
      <c r="AE1257">
        <v>0.59157758912199609</v>
      </c>
      <c r="AF1257">
        <v>4.6452947182284831E-3</v>
      </c>
      <c r="AG1257">
        <v>-1.5774741892387274</v>
      </c>
      <c r="AH1257">
        <v>0.59236185817434139</v>
      </c>
      <c r="AI1257">
        <v>8.9333956884514757E-4</v>
      </c>
    </row>
    <row r="1258" spans="23:35" x14ac:dyDescent="0.25">
      <c r="W1258">
        <v>1256</v>
      </c>
      <c r="X1258">
        <v>73.964417587964675</v>
      </c>
      <c r="Y1258">
        <v>-7.5644175879646696</v>
      </c>
      <c r="Z1258">
        <v>73.997702037331479</v>
      </c>
      <c r="AA1258">
        <v>0.32201334141904187</v>
      </c>
      <c r="AB1258">
        <v>75.099999999999994</v>
      </c>
      <c r="AC1258">
        <v>-0.46970075330452549</v>
      </c>
      <c r="AD1258">
        <v>-1.7366204800551244</v>
      </c>
      <c r="AE1258">
        <v>0.59176563307470509</v>
      </c>
      <c r="AF1258">
        <v>4.3808574228445122E-3</v>
      </c>
      <c r="AG1258">
        <v>-1.7404369676192979</v>
      </c>
      <c r="AH1258">
        <v>0.59270802140760537</v>
      </c>
      <c r="AI1258">
        <v>1.0252720714543709E-3</v>
      </c>
    </row>
    <row r="1259" spans="23:35" x14ac:dyDescent="0.25">
      <c r="W1259">
        <v>1257</v>
      </c>
      <c r="X1259">
        <v>74.288365400127276</v>
      </c>
      <c r="Y1259">
        <v>-9.288365400127276</v>
      </c>
      <c r="Z1259">
        <v>74.322600567063219</v>
      </c>
      <c r="AA1259">
        <v>0.27289266221952696</v>
      </c>
      <c r="AB1259">
        <v>75.099999999999994</v>
      </c>
      <c r="AC1259">
        <v>-0.62335641379693996</v>
      </c>
      <c r="AD1259">
        <v>-2.1324002003486138</v>
      </c>
      <c r="AE1259">
        <v>0.59238627646934194</v>
      </c>
      <c r="AF1259">
        <v>3.6722764951331007E-3</v>
      </c>
      <c r="AG1259">
        <v>-2.1363263987955863</v>
      </c>
      <c r="AH1259">
        <v>0.59290532716396493</v>
      </c>
      <c r="AI1259">
        <v>1.2939724202049446E-3</v>
      </c>
    </row>
    <row r="1260" spans="23:35" x14ac:dyDescent="0.25">
      <c r="W1260">
        <v>1258</v>
      </c>
      <c r="X1260">
        <v>73.602020618443831</v>
      </c>
      <c r="Y1260">
        <v>-8.7020206184438251</v>
      </c>
      <c r="Z1260">
        <v>73.638826663870617</v>
      </c>
      <c r="AA1260">
        <v>0.26622195269860521</v>
      </c>
      <c r="AB1260">
        <v>75.099999999999994</v>
      </c>
      <c r="AC1260">
        <v>-0.62890421763218984</v>
      </c>
      <c r="AD1260">
        <v>-1.9977886001290506</v>
      </c>
      <c r="AE1260">
        <v>0.59303043131694766</v>
      </c>
      <c r="AF1260">
        <v>4.2117834398699818E-3</v>
      </c>
      <c r="AG1260">
        <v>-2.0020090630461964</v>
      </c>
      <c r="AH1260">
        <v>0.59535352412063491</v>
      </c>
      <c r="AI1260">
        <v>1.3040305800572837E-3</v>
      </c>
    </row>
    <row r="1261" spans="23:35" x14ac:dyDescent="0.25">
      <c r="W1261">
        <v>1259</v>
      </c>
      <c r="X1261">
        <v>73.656926328641248</v>
      </c>
      <c r="Y1261">
        <v>-9.0569263286412536</v>
      </c>
      <c r="Z1261">
        <v>73.689576475420608</v>
      </c>
      <c r="AA1261">
        <v>0.25773195876288657</v>
      </c>
      <c r="AB1261">
        <v>75.2</v>
      </c>
      <c r="AC1261">
        <v>-0.66071795340131467</v>
      </c>
      <c r="AD1261">
        <v>-2.0792669846378571</v>
      </c>
      <c r="AE1261">
        <v>0.59337189080894881</v>
      </c>
      <c r="AF1261">
        <v>3.5920426950200599E-3</v>
      </c>
      <c r="AG1261">
        <v>-2.0830114833539701</v>
      </c>
      <c r="AH1261">
        <v>0.59557762144145188</v>
      </c>
      <c r="AI1261">
        <v>1.2032178853618903E-3</v>
      </c>
    </row>
    <row r="1262" spans="23:35" x14ac:dyDescent="0.25">
      <c r="W1262">
        <v>1260</v>
      </c>
      <c r="X1262">
        <v>73.691921184592644</v>
      </c>
      <c r="Y1262">
        <v>-8.8919211845926469</v>
      </c>
      <c r="Z1262">
        <v>73.721955457278085</v>
      </c>
      <c r="AA1262">
        <v>0.26440266828380837</v>
      </c>
      <c r="AB1262">
        <v>75.2</v>
      </c>
      <c r="AC1262">
        <v>-0.63633155866502356</v>
      </c>
      <c r="AD1262">
        <v>-2.0413855074273481</v>
      </c>
      <c r="AE1262">
        <v>0.59496444395047221</v>
      </c>
      <c r="AF1262">
        <v>3.366332955735859E-3</v>
      </c>
      <c r="AG1262">
        <v>-2.0448301985085471</v>
      </c>
      <c r="AH1262">
        <v>0.59647531956819888</v>
      </c>
      <c r="AI1262">
        <v>1.0864072699880555E-3</v>
      </c>
    </row>
    <row r="1263" spans="23:35" x14ac:dyDescent="0.25">
      <c r="W1263">
        <v>1261</v>
      </c>
      <c r="X1263">
        <v>73.482805990550816</v>
      </c>
      <c r="Y1263">
        <v>-8.3828059905508212</v>
      </c>
      <c r="Z1263">
        <v>73.537606933004696</v>
      </c>
      <c r="AA1263">
        <v>0.27713765918738631</v>
      </c>
      <c r="AB1263">
        <v>75.2</v>
      </c>
      <c r="AC1263">
        <v>-0.60317578841021124</v>
      </c>
      <c r="AD1263">
        <v>-1.92450408696122</v>
      </c>
      <c r="AE1263">
        <v>0.59586442908920101</v>
      </c>
      <c r="AF1263">
        <v>6.4948442003756792E-3</v>
      </c>
      <c r="AG1263">
        <v>-1.9307843727851601</v>
      </c>
      <c r="AH1263">
        <v>0.59808059381431944</v>
      </c>
      <c r="AI1263">
        <v>1.8746612838087609E-3</v>
      </c>
    </row>
    <row r="1264" spans="23:35" x14ac:dyDescent="0.25">
      <c r="W1264">
        <v>1262</v>
      </c>
      <c r="X1264">
        <v>65.309317319920936</v>
      </c>
      <c r="Y1264">
        <v>0.39068268007906681</v>
      </c>
      <c r="Z1264">
        <v>65.307285517958618</v>
      </c>
      <c r="AA1264">
        <v>0.29654335961188599</v>
      </c>
      <c r="AB1264">
        <v>75.2</v>
      </c>
      <c r="AC1264">
        <v>-0.54051528578164909</v>
      </c>
      <c r="AD1264">
        <v>8.9691973709595849E-2</v>
      </c>
      <c r="AE1264">
        <v>0.59589806936552581</v>
      </c>
      <c r="AF1264">
        <v>5.1737383142909325E-3</v>
      </c>
      <c r="AG1264">
        <v>8.9924899322845517E-2</v>
      </c>
      <c r="AH1264">
        <v>0.59846845808625393</v>
      </c>
      <c r="AI1264">
        <v>3.2349962781191862E-6</v>
      </c>
    </row>
    <row r="1265" spans="23:35" x14ac:dyDescent="0.25">
      <c r="W1265">
        <v>1263</v>
      </c>
      <c r="X1265">
        <v>65.217988273520859</v>
      </c>
      <c r="Y1265">
        <v>-1.7988273520856524E-2</v>
      </c>
      <c r="Z1265">
        <v>65.218084776635195</v>
      </c>
      <c r="AA1265">
        <v>0.28077622801697999</v>
      </c>
      <c r="AB1265">
        <v>75.2</v>
      </c>
      <c r="AC1265">
        <v>-0.59046081866695443</v>
      </c>
      <c r="AD1265">
        <v>-4.1297038184215382E-3</v>
      </c>
      <c r="AE1265">
        <v>0.59763654133078281</v>
      </c>
      <c r="AF1265">
        <v>5.3361518516541273E-3</v>
      </c>
      <c r="AG1265">
        <v>-4.1407664755143047E-3</v>
      </c>
      <c r="AH1265">
        <v>0.59861004267163165</v>
      </c>
      <c r="AI1265">
        <v>7.0757091243242781E-9</v>
      </c>
    </row>
    <row r="1266" spans="23:35" x14ac:dyDescent="0.25">
      <c r="W1266">
        <v>1264</v>
      </c>
      <c r="X1266">
        <v>66.046848529728692</v>
      </c>
      <c r="Y1266">
        <v>-1.4468485297286975</v>
      </c>
      <c r="Z1266">
        <v>66.051696770528636</v>
      </c>
      <c r="AA1266">
        <v>0.25773195876288657</v>
      </c>
      <c r="AB1266">
        <v>75.2</v>
      </c>
      <c r="AC1266">
        <v>-0.66071795340131467</v>
      </c>
      <c r="AD1266">
        <v>-0.33216394508180042</v>
      </c>
      <c r="AE1266">
        <v>0.59766960233197319</v>
      </c>
      <c r="AF1266">
        <v>3.3397062653645901E-3</v>
      </c>
      <c r="AG1266">
        <v>-0.33272000327761792</v>
      </c>
      <c r="AH1266">
        <v>0.60003140670966737</v>
      </c>
      <c r="AI1266">
        <v>2.8534849458032637E-5</v>
      </c>
    </row>
    <row r="1267" spans="23:35" x14ac:dyDescent="0.25">
      <c r="W1267">
        <v>1265</v>
      </c>
      <c r="X1267">
        <v>64.99248120651535</v>
      </c>
      <c r="Y1267">
        <v>-1.1924812065153532</v>
      </c>
      <c r="Z1267">
        <v>64.998223157730635</v>
      </c>
      <c r="AA1267">
        <v>0.23650697392359005</v>
      </c>
      <c r="AB1267">
        <v>75.3</v>
      </c>
      <c r="AC1267">
        <v>-0.72448350403832318</v>
      </c>
      <c r="AD1267">
        <v>-0.27376691744388648</v>
      </c>
      <c r="AE1267">
        <v>0.59771491469201476</v>
      </c>
      <c r="AF1267">
        <v>4.792054950895879E-3</v>
      </c>
      <c r="AG1267">
        <v>-0.27442523747639491</v>
      </c>
      <c r="AH1267">
        <v>0.6007417548436248</v>
      </c>
      <c r="AI1267">
        <v>2.7894122262688439E-5</v>
      </c>
    </row>
    <row r="1268" spans="23:35" x14ac:dyDescent="0.25">
      <c r="W1268">
        <v>1266</v>
      </c>
      <c r="X1268">
        <v>64.159566164752093</v>
      </c>
      <c r="Y1268">
        <v>-1.3595661647520956</v>
      </c>
      <c r="Z1268">
        <v>64.165905857388665</v>
      </c>
      <c r="AA1268">
        <v>0.21467556094602788</v>
      </c>
      <c r="AB1268">
        <v>75.3</v>
      </c>
      <c r="AC1268">
        <v>-0.79968509868701798</v>
      </c>
      <c r="AD1268">
        <v>-0.31212587330649577</v>
      </c>
      <c r="AE1268">
        <v>0.59959870890650691</v>
      </c>
      <c r="AF1268">
        <v>4.6413833005214539E-3</v>
      </c>
      <c r="AG1268">
        <v>-0.31285275248913302</v>
      </c>
      <c r="AH1268">
        <v>0.60101032516567243</v>
      </c>
      <c r="AI1268">
        <v>3.5107868511865658E-5</v>
      </c>
    </row>
    <row r="1269" spans="23:35" x14ac:dyDescent="0.25">
      <c r="W1269">
        <v>1267</v>
      </c>
      <c r="X1269">
        <v>63.569515252614913</v>
      </c>
      <c r="Y1269">
        <v>-2.569515252614913</v>
      </c>
      <c r="Z1269">
        <v>63.579658979468888</v>
      </c>
      <c r="AA1269">
        <v>0.17647058823529413</v>
      </c>
      <c r="AB1269">
        <v>75.3</v>
      </c>
      <c r="AC1269">
        <v>-0.93241539434320697</v>
      </c>
      <c r="AD1269">
        <v>-0.58990302420701268</v>
      </c>
      <c r="AE1269">
        <v>0.60015153135472987</v>
      </c>
      <c r="AF1269">
        <v>3.9321968270650577E-3</v>
      </c>
      <c r="AG1269">
        <v>-0.59106626329719192</v>
      </c>
      <c r="AH1269">
        <v>0.60210689018776342</v>
      </c>
      <c r="AI1269">
        <v>1.0609021680823708E-4</v>
      </c>
    </row>
    <row r="1270" spans="23:35" x14ac:dyDescent="0.25">
      <c r="W1270">
        <v>1268</v>
      </c>
      <c r="X1270">
        <v>62.917213361343002</v>
      </c>
      <c r="Y1270">
        <v>5.082786638656998</v>
      </c>
      <c r="Z1270">
        <v>62.897358653717859</v>
      </c>
      <c r="AA1270">
        <v>0.38447543966040026</v>
      </c>
      <c r="AB1270">
        <v>75.3</v>
      </c>
      <c r="AC1270">
        <v>-0.31204933220437475</v>
      </c>
      <c r="AD1270">
        <v>1.1668937191524487</v>
      </c>
      <c r="AE1270">
        <v>0.60026887081614155</v>
      </c>
      <c r="AF1270">
        <v>3.8910647011491371E-3</v>
      </c>
      <c r="AG1270">
        <v>1.1691705953960783</v>
      </c>
      <c r="AH1270">
        <v>0.60466056219371211</v>
      </c>
      <c r="AI1270">
        <v>4.1074665267721536E-4</v>
      </c>
    </row>
    <row r="1271" spans="23:35" x14ac:dyDescent="0.25">
      <c r="W1271">
        <v>1269</v>
      </c>
      <c r="X1271">
        <v>61.933433839589952</v>
      </c>
      <c r="Y1271">
        <v>-2.3334338395899508</v>
      </c>
      <c r="Z1271">
        <v>61.944496526061002</v>
      </c>
      <c r="AA1271">
        <v>0.16616130988477865</v>
      </c>
      <c r="AB1271">
        <v>75.3</v>
      </c>
      <c r="AC1271">
        <v>-0.97554401628441823</v>
      </c>
      <c r="AD1271">
        <v>-0.53570403108534725</v>
      </c>
      <c r="AE1271">
        <v>0.60419111830016081</v>
      </c>
      <c r="AF1271">
        <v>4.7185766104051253E-3</v>
      </c>
      <c r="AG1271">
        <v>-0.53697240178837713</v>
      </c>
      <c r="AH1271">
        <v>0.60648110738989902</v>
      </c>
      <c r="AI1271">
        <v>1.051539741048258E-4</v>
      </c>
    </row>
    <row r="1272" spans="23:35" x14ac:dyDescent="0.25">
      <c r="W1272">
        <v>1270</v>
      </c>
      <c r="X1272">
        <v>59.672528072630044</v>
      </c>
      <c r="Y1272">
        <v>-2.0725280726300426</v>
      </c>
      <c r="Z1272">
        <v>59.687895253152355</v>
      </c>
      <c r="AA1272">
        <v>0.12431776834445118</v>
      </c>
      <c r="AB1272">
        <v>75.3</v>
      </c>
      <c r="AC1272">
        <v>-1.1700898139672218</v>
      </c>
      <c r="AD1272">
        <v>-0.47580592353137507</v>
      </c>
      <c r="AE1272">
        <v>0.60554712067753624</v>
      </c>
      <c r="AF1272">
        <v>7.3601300156760615E-3</v>
      </c>
      <c r="AG1272">
        <v>-0.47756664560195639</v>
      </c>
      <c r="AH1272">
        <v>0.60772585481207053</v>
      </c>
      <c r="AI1272">
        <v>1.3008235566271847E-4</v>
      </c>
    </row>
    <row r="1273" spans="23:35" x14ac:dyDescent="0.25">
      <c r="W1273">
        <v>1271</v>
      </c>
      <c r="X1273">
        <v>59.472452168319677</v>
      </c>
      <c r="Y1273">
        <v>-4.1724521683196798</v>
      </c>
      <c r="Z1273">
        <v>59.491556298053794</v>
      </c>
      <c r="AA1273">
        <v>8.6719223771983017E-2</v>
      </c>
      <c r="AB1273">
        <v>75.3</v>
      </c>
      <c r="AC1273">
        <v>-1.3946242806491973</v>
      </c>
      <c r="AD1273">
        <v>-0.957901358999935</v>
      </c>
      <c r="AE1273">
        <v>0.60655471170157416</v>
      </c>
      <c r="AF1273">
        <v>4.5577652727672568E-3</v>
      </c>
      <c r="AG1273">
        <v>-0.96009179424198665</v>
      </c>
      <c r="AH1273">
        <v>0.61436299832739893</v>
      </c>
      <c r="AI1273">
        <v>3.2465197958559284E-4</v>
      </c>
    </row>
    <row r="1274" spans="23:35" x14ac:dyDescent="0.25">
      <c r="W1274">
        <v>1272</v>
      </c>
      <c r="X1274">
        <v>58.370437307132981</v>
      </c>
      <c r="Y1274">
        <v>-4.9704373071329826</v>
      </c>
      <c r="Z1274">
        <v>58.391754387402798</v>
      </c>
      <c r="AA1274">
        <v>6.2462098241358399E-2</v>
      </c>
      <c r="AB1274">
        <v>75.3</v>
      </c>
      <c r="AC1274">
        <v>-1.5418711328403236</v>
      </c>
      <c r="AD1274">
        <v>-1.1411008345349292</v>
      </c>
      <c r="AE1274">
        <v>0.6133314486715008</v>
      </c>
      <c r="AF1274">
        <v>4.2704585633491863E-3</v>
      </c>
      <c r="AG1274">
        <v>-1.1435451780931114</v>
      </c>
      <c r="AH1274">
        <v>0.61454682977533481</v>
      </c>
      <c r="AI1274">
        <v>4.3141617286625408E-4</v>
      </c>
    </row>
    <row r="1275" spans="23:35" x14ac:dyDescent="0.25">
      <c r="W1275">
        <v>1273</v>
      </c>
      <c r="X1275">
        <v>58.159875659131941</v>
      </c>
      <c r="Y1275">
        <v>-6.1598756591319415</v>
      </c>
      <c r="Z1275">
        <v>58.190250515830591</v>
      </c>
      <c r="AA1275">
        <v>4.6694966646452396E-2</v>
      </c>
      <c r="AB1275">
        <v>75.3</v>
      </c>
      <c r="AC1275">
        <v>-1.6935133675401242</v>
      </c>
      <c r="AD1275">
        <v>-1.4141691808846701</v>
      </c>
      <c r="AE1275">
        <v>0.61361216416056574</v>
      </c>
      <c r="AF1275">
        <v>4.9068865017608543E-3</v>
      </c>
      <c r="AG1275">
        <v>-1.4176515857947294</v>
      </c>
      <c r="AH1275">
        <v>0.61529388744696001</v>
      </c>
      <c r="AI1275">
        <v>7.6232112649890125E-4</v>
      </c>
    </row>
    <row r="1276" spans="23:35" x14ac:dyDescent="0.25">
      <c r="W1276">
        <v>1274</v>
      </c>
      <c r="X1276">
        <v>57.064509738794122</v>
      </c>
      <c r="Y1276">
        <v>-6.4509738794122029E-2</v>
      </c>
      <c r="Z1276">
        <v>57.064883940969622</v>
      </c>
      <c r="AA1276">
        <v>0.11097634930260764</v>
      </c>
      <c r="AB1276">
        <v>75.3</v>
      </c>
      <c r="AC1276">
        <v>-1.2294035019788656</v>
      </c>
      <c r="AD1276">
        <v>-1.4809987979923528E-2</v>
      </c>
      <c r="AE1276">
        <v>0.61394095592484277</v>
      </c>
      <c r="AF1276">
        <v>5.7672541141118444E-3</v>
      </c>
      <c r="AG1276">
        <v>-1.4852880078624904E-2</v>
      </c>
      <c r="AH1276">
        <v>0.61590368677602636</v>
      </c>
      <c r="AI1276">
        <v>9.8437147778825593E-8</v>
      </c>
    </row>
    <row r="1277" spans="23:35" x14ac:dyDescent="0.25">
      <c r="W1277">
        <v>1275</v>
      </c>
      <c r="X1277">
        <v>74.00118530682893</v>
      </c>
      <c r="Y1277">
        <v>-0.20118530682893265</v>
      </c>
      <c r="Z1277">
        <v>74.002492829554882</v>
      </c>
      <c r="AA1277">
        <v>0.66767738023044265</v>
      </c>
      <c r="AB1277">
        <v>75.400000000000006</v>
      </c>
      <c r="AC1277">
        <v>0.4143837514429769</v>
      </c>
      <c r="AD1277">
        <v>-4.6187630450384168E-2</v>
      </c>
      <c r="AE1277">
        <v>0.61453004849785575</v>
      </c>
      <c r="AF1277">
        <v>6.4571309948585091E-3</v>
      </c>
      <c r="AG1277">
        <v>-4.6337476312987659E-2</v>
      </c>
      <c r="AH1277">
        <v>0.61913948867858071</v>
      </c>
      <c r="AI1277">
        <v>1.0734316298353793E-6</v>
      </c>
    </row>
    <row r="1278" spans="23:35" x14ac:dyDescent="0.25">
      <c r="W1278">
        <v>1276</v>
      </c>
      <c r="X1278">
        <v>74.444833168984417</v>
      </c>
      <c r="Y1278">
        <v>-0.8448331689844224</v>
      </c>
      <c r="Z1278">
        <v>74.454893663398906</v>
      </c>
      <c r="AA1278">
        <v>0.65433596118859916</v>
      </c>
      <c r="AB1278">
        <v>75.400000000000006</v>
      </c>
      <c r="AC1278">
        <v>0.3716850598056044</v>
      </c>
      <c r="AD1278">
        <v>-0.19395473166665586</v>
      </c>
      <c r="AE1278">
        <v>0.61542513016153733</v>
      </c>
      <c r="AF1278">
        <v>1.1768123738912154E-2</v>
      </c>
      <c r="AG1278">
        <v>-0.19510614582103317</v>
      </c>
      <c r="AH1278">
        <v>0.61972680530644675</v>
      </c>
      <c r="AI1278">
        <v>3.4869595970395912E-5</v>
      </c>
    </row>
    <row r="1279" spans="23:35" x14ac:dyDescent="0.25">
      <c r="W1279">
        <v>1277</v>
      </c>
      <c r="X1279">
        <v>73.629527697197958</v>
      </c>
      <c r="Y1279">
        <v>-0.42952769719795469</v>
      </c>
      <c r="Z1279">
        <v>73.632067108694812</v>
      </c>
      <c r="AA1279">
        <v>0.62340812613705276</v>
      </c>
      <c r="AB1279">
        <v>75.400000000000006</v>
      </c>
      <c r="AC1279">
        <v>0.29295400660571058</v>
      </c>
      <c r="AD1279">
        <v>-9.8609917687739398E-2</v>
      </c>
      <c r="AE1279">
        <v>0.61793540457513085</v>
      </c>
      <c r="AF1279">
        <v>5.8773543409100879E-3</v>
      </c>
      <c r="AG1279">
        <v>-9.8900984057023467E-2</v>
      </c>
      <c r="AH1279">
        <v>0.62003944515205334</v>
      </c>
      <c r="AI1279">
        <v>4.4483585072497637E-6</v>
      </c>
    </row>
    <row r="1280" spans="23:35" x14ac:dyDescent="0.25">
      <c r="W1280">
        <v>1278</v>
      </c>
      <c r="X1280">
        <v>72.211912021205677</v>
      </c>
      <c r="Y1280">
        <v>0.78808797879432291</v>
      </c>
      <c r="Z1280">
        <v>72.201387505433061</v>
      </c>
      <c r="AA1280">
        <v>0.60946027895694366</v>
      </c>
      <c r="AB1280">
        <v>75.400000000000006</v>
      </c>
      <c r="AC1280">
        <v>0.22222871718700732</v>
      </c>
      <c r="AD1280">
        <v>0.18092730975574242</v>
      </c>
      <c r="AE1280">
        <v>0.61898110672700002</v>
      </c>
      <c r="AF1280">
        <v>1.3178501268405227E-2</v>
      </c>
      <c r="AG1280">
        <v>0.18213139937542491</v>
      </c>
      <c r="AH1280">
        <v>0.62006547441046744</v>
      </c>
      <c r="AI1280">
        <v>3.4076400736495051E-5</v>
      </c>
    </row>
    <row r="1281" spans="23:35" x14ac:dyDescent="0.25">
      <c r="W1281">
        <v>1279</v>
      </c>
      <c r="X1281">
        <v>73.183934319277668</v>
      </c>
      <c r="Y1281">
        <v>-0.58393431927767381</v>
      </c>
      <c r="Z1281">
        <v>73.186659563193842</v>
      </c>
      <c r="AA1281">
        <v>0.56458459672528805</v>
      </c>
      <c r="AB1281">
        <v>75.400000000000006</v>
      </c>
      <c r="AC1281">
        <v>0.14798710972583889</v>
      </c>
      <c r="AD1281">
        <v>-0.13405821215873792</v>
      </c>
      <c r="AE1281">
        <v>0.61952387042204959</v>
      </c>
      <c r="AF1281">
        <v>4.6453583767423036E-3</v>
      </c>
      <c r="AG1281">
        <v>-0.13437067542845374</v>
      </c>
      <c r="AH1281">
        <v>0.62121740371006973</v>
      </c>
      <c r="AI1281">
        <v>6.4819701436638432E-6</v>
      </c>
    </row>
    <row r="1282" spans="23:35" x14ac:dyDescent="0.25">
      <c r="W1282">
        <v>1280</v>
      </c>
      <c r="X1282">
        <v>72.274122406004949</v>
      </c>
      <c r="Y1282">
        <v>3.725877593995051</v>
      </c>
      <c r="Z1282">
        <v>72.250332744410315</v>
      </c>
      <c r="AA1282">
        <v>0.80836870830806551</v>
      </c>
      <c r="AB1282">
        <v>75.400000000000006</v>
      </c>
      <c r="AC1282">
        <v>0.83794453378675593</v>
      </c>
      <c r="AD1282">
        <v>0.85537786097439583</v>
      </c>
      <c r="AE1282">
        <v>0.62114363896664637</v>
      </c>
      <c r="AF1282">
        <v>6.3444727153238699E-3</v>
      </c>
      <c r="AG1282">
        <v>0.85810430197838394</v>
      </c>
      <c r="AH1282">
        <v>0.62253417635550934</v>
      </c>
      <c r="AI1282">
        <v>3.6165667697141357E-4</v>
      </c>
    </row>
    <row r="1283" spans="23:35" x14ac:dyDescent="0.25">
      <c r="W1283">
        <v>1281</v>
      </c>
      <c r="X1283">
        <v>71.847577370146979</v>
      </c>
      <c r="Y1283">
        <v>0.65242262985302091</v>
      </c>
      <c r="Z1283">
        <v>71.840922577871453</v>
      </c>
      <c r="AA1283">
        <v>0.55852031534263191</v>
      </c>
      <c r="AB1283">
        <v>75.400000000000006</v>
      </c>
      <c r="AC1283">
        <v>0.12956927093944998</v>
      </c>
      <c r="AD1283">
        <v>0.14978159091280879</v>
      </c>
      <c r="AE1283">
        <v>0.62196331599851329</v>
      </c>
      <c r="AF1283">
        <v>1.0097132828535249E-2</v>
      </c>
      <c r="AG1283">
        <v>0.1505435482906716</v>
      </c>
      <c r="AH1283">
        <v>0.62416674081495882</v>
      </c>
      <c r="AI1283">
        <v>1.7782238514559439E-5</v>
      </c>
    </row>
    <row r="1284" spans="23:35" x14ac:dyDescent="0.25">
      <c r="W1284">
        <v>1282</v>
      </c>
      <c r="X1284">
        <v>67.889056004076025</v>
      </c>
      <c r="Y1284">
        <v>4.3109439959239779</v>
      </c>
      <c r="Z1284">
        <v>67.852531800077216</v>
      </c>
      <c r="AA1284">
        <v>0.53911461491813217</v>
      </c>
      <c r="AB1284">
        <v>75.400000000000006</v>
      </c>
      <c r="AC1284">
        <v>7.9127168877726875E-2</v>
      </c>
      <c r="AD1284">
        <v>0.98969597389805308</v>
      </c>
      <c r="AE1284">
        <v>0.62479558988155992</v>
      </c>
      <c r="AF1284">
        <v>8.4012584610642527E-3</v>
      </c>
      <c r="AG1284">
        <v>0.9938796996903273</v>
      </c>
      <c r="AH1284">
        <v>0.62536887949725095</v>
      </c>
      <c r="AI1284">
        <v>6.4377286426284524E-4</v>
      </c>
    </row>
    <row r="1285" spans="23:35" x14ac:dyDescent="0.25">
      <c r="W1285">
        <v>1283</v>
      </c>
      <c r="X1285">
        <v>67.09198518292601</v>
      </c>
      <c r="Y1285">
        <v>4.9080148170739903</v>
      </c>
      <c r="Z1285">
        <v>67.039647933387812</v>
      </c>
      <c r="AA1285">
        <v>0.52516676773802307</v>
      </c>
      <c r="AB1285">
        <v>75.400000000000006</v>
      </c>
      <c r="AC1285">
        <v>4.1053957112594373E-2</v>
      </c>
      <c r="AD1285">
        <v>1.1267700320122129</v>
      </c>
      <c r="AE1285">
        <v>0.6274851565801014</v>
      </c>
      <c r="AF1285">
        <v>1.0551115895678484E-2</v>
      </c>
      <c r="AG1285">
        <v>1.1327618296349342</v>
      </c>
      <c r="AH1285">
        <v>0.63669615900241505</v>
      </c>
      <c r="AI1285">
        <v>1.0525406815684792E-3</v>
      </c>
    </row>
    <row r="1286" spans="23:35" x14ac:dyDescent="0.25">
      <c r="W1286">
        <v>1284</v>
      </c>
      <c r="X1286">
        <v>72.03518456760834</v>
      </c>
      <c r="Y1286">
        <v>-0.43518456760834567</v>
      </c>
      <c r="Z1286">
        <v>72.037645879602621</v>
      </c>
      <c r="AA1286">
        <v>0.49787750151607035</v>
      </c>
      <c r="AB1286">
        <v>75.400000000000006</v>
      </c>
      <c r="AC1286">
        <v>-2.1282865457297767E-2</v>
      </c>
      <c r="AD1286">
        <v>-9.9908608154449338E-2</v>
      </c>
      <c r="AE1286">
        <v>0.63488026074484516</v>
      </c>
      <c r="AF1286">
        <v>5.6239807319112718E-3</v>
      </c>
      <c r="AG1286">
        <v>-0.10019074078872994</v>
      </c>
      <c r="AH1286">
        <v>0.63767787757139405</v>
      </c>
      <c r="AI1286">
        <v>4.3672193447680625E-6</v>
      </c>
    </row>
    <row r="1287" spans="23:35" x14ac:dyDescent="0.25">
      <c r="W1287">
        <v>1285</v>
      </c>
      <c r="X1287">
        <v>71.201537815066061</v>
      </c>
      <c r="Y1287">
        <v>0.19846218493394474</v>
      </c>
      <c r="Z1287">
        <v>71.199970395428366</v>
      </c>
      <c r="AA1287">
        <v>0.4887810794420861</v>
      </c>
      <c r="AB1287">
        <v>75.400000000000006</v>
      </c>
      <c r="AC1287">
        <v>-4.7140240828996732E-2</v>
      </c>
      <c r="AD1287">
        <v>4.5562462789089708E-2</v>
      </c>
      <c r="AE1287">
        <v>0.63625511708266247</v>
      </c>
      <c r="AF1287">
        <v>7.8359382904578841E-3</v>
      </c>
      <c r="AG1287">
        <v>4.5742031119070839E-2</v>
      </c>
      <c r="AH1287">
        <v>0.63999292244808748</v>
      </c>
      <c r="AI1287">
        <v>1.2711448813764156E-6</v>
      </c>
    </row>
    <row r="1288" spans="23:35" x14ac:dyDescent="0.25">
      <c r="W1288">
        <v>1286</v>
      </c>
      <c r="X1288">
        <v>72.703330070122178</v>
      </c>
      <c r="Y1288">
        <v>6.2966699298778224</v>
      </c>
      <c r="Z1288">
        <v>72.683505185971157</v>
      </c>
      <c r="AA1288">
        <v>0.89023650697392354</v>
      </c>
      <c r="AB1288">
        <v>75.400000000000006</v>
      </c>
      <c r="AC1288">
        <v>1.2070560687293583</v>
      </c>
      <c r="AD1288">
        <v>1.4455740748330781</v>
      </c>
      <c r="AE1288">
        <v>0.63682772355163497</v>
      </c>
      <c r="AF1288">
        <v>3.1385894763968692E-3</v>
      </c>
      <c r="AG1288">
        <v>1.4478479606200587</v>
      </c>
      <c r="AH1288">
        <v>0.64044902148467342</v>
      </c>
      <c r="AI1288">
        <v>5.0769430879586751E-4</v>
      </c>
    </row>
    <row r="1289" spans="23:35" x14ac:dyDescent="0.25">
      <c r="W1289">
        <v>1287</v>
      </c>
      <c r="X1289">
        <v>72.894567712270472</v>
      </c>
      <c r="Y1289">
        <v>3.1054322877295277</v>
      </c>
      <c r="Z1289">
        <v>72.885287865868762</v>
      </c>
      <c r="AA1289">
        <v>0.80836870830806551</v>
      </c>
      <c r="AB1289">
        <v>75.5</v>
      </c>
      <c r="AC1289">
        <v>0.83794453378675593</v>
      </c>
      <c r="AD1289">
        <v>0.71293754576373136</v>
      </c>
      <c r="AE1289">
        <v>0.63934575889971479</v>
      </c>
      <c r="AF1289">
        <v>2.9793592480080937E-3</v>
      </c>
      <c r="AG1289">
        <v>0.7140019733744386</v>
      </c>
      <c r="AH1289">
        <v>0.64166649445884127</v>
      </c>
      <c r="AI1289">
        <v>1.1718558588056743E-4</v>
      </c>
    </row>
    <row r="1290" spans="23:35" x14ac:dyDescent="0.25">
      <c r="W1290">
        <v>1288</v>
      </c>
      <c r="X1290">
        <v>72.576482630951816</v>
      </c>
      <c r="Y1290">
        <v>2.4235173690481844</v>
      </c>
      <c r="Z1290">
        <v>72.569370151572258</v>
      </c>
      <c r="AA1290">
        <v>0.76046088538508183</v>
      </c>
      <c r="AB1290">
        <v>75.5</v>
      </c>
      <c r="AC1290">
        <v>0.67020216077934069</v>
      </c>
      <c r="AD1290">
        <v>0.55638518734802134</v>
      </c>
      <c r="AE1290">
        <v>0.63941547802064158</v>
      </c>
      <c r="AF1290">
        <v>2.9261877879769331E-3</v>
      </c>
      <c r="AG1290">
        <v>0.55720102201966848</v>
      </c>
      <c r="AH1290">
        <v>0.64544339819023455</v>
      </c>
      <c r="AI1290">
        <v>7.00898838136419E-5</v>
      </c>
    </row>
    <row r="1291" spans="23:35" x14ac:dyDescent="0.25">
      <c r="W1291">
        <v>1289</v>
      </c>
      <c r="X1291">
        <v>72.830681117984682</v>
      </c>
      <c r="Y1291">
        <v>-0.8306811179846818</v>
      </c>
      <c r="Z1291">
        <v>72.833285709960862</v>
      </c>
      <c r="AA1291">
        <v>0.52516676773802307</v>
      </c>
      <c r="AB1291">
        <v>75.5</v>
      </c>
      <c r="AC1291">
        <v>4.1053957112594373E-2</v>
      </c>
      <c r="AD1291">
        <v>-0.19070573842756805</v>
      </c>
      <c r="AE1291">
        <v>0.63993795658167096</v>
      </c>
      <c r="AF1291">
        <v>3.125688998444915E-3</v>
      </c>
      <c r="AG1291">
        <v>-0.19100448236001186</v>
      </c>
      <c r="AH1291">
        <v>0.64590991925562458</v>
      </c>
      <c r="AI1291">
        <v>8.7993202779773265E-6</v>
      </c>
    </row>
    <row r="1292" spans="23:35" x14ac:dyDescent="0.25">
      <c r="W1292">
        <v>1290</v>
      </c>
      <c r="X1292">
        <v>67.149593127020211</v>
      </c>
      <c r="Y1292">
        <v>0.1504068729797865</v>
      </c>
      <c r="Z1292">
        <v>67.148724884315357</v>
      </c>
      <c r="AA1292">
        <v>0.35112189205579136</v>
      </c>
      <c r="AB1292">
        <v>75.5</v>
      </c>
      <c r="AC1292">
        <v>-0.39787592189543292</v>
      </c>
      <c r="AD1292">
        <v>3.4530041859842243E-2</v>
      </c>
      <c r="AE1292">
        <v>0.64483743427391083</v>
      </c>
      <c r="AF1292">
        <v>5.7394945687351514E-3</v>
      </c>
      <c r="AG1292">
        <v>3.4629562959798507E-2</v>
      </c>
      <c r="AH1292">
        <v>0.64685833904790357</v>
      </c>
      <c r="AI1292">
        <v>5.3250553912587668E-7</v>
      </c>
    </row>
    <row r="1293" spans="23:35" x14ac:dyDescent="0.25">
      <c r="W1293">
        <v>1291</v>
      </c>
      <c r="X1293">
        <v>69.140438841330564</v>
      </c>
      <c r="Y1293">
        <v>-2.0404388413305696</v>
      </c>
      <c r="Z1293">
        <v>69.149299159338696</v>
      </c>
      <c r="AA1293">
        <v>0.34141904184354155</v>
      </c>
      <c r="AB1293">
        <v>75.5</v>
      </c>
      <c r="AC1293">
        <v>-0.41272795222137554</v>
      </c>
      <c r="AD1293">
        <v>-0.46843895633054861</v>
      </c>
      <c r="AE1293">
        <v>0.64534299243449589</v>
      </c>
      <c r="AF1293">
        <v>4.3235844643519849E-3</v>
      </c>
      <c r="AG1293">
        <v>-0.46945491966963454</v>
      </c>
      <c r="AH1293">
        <v>0.64732002693875723</v>
      </c>
      <c r="AI1293">
        <v>7.3615652257304353E-5</v>
      </c>
    </row>
    <row r="1294" spans="23:35" x14ac:dyDescent="0.25">
      <c r="W1294">
        <v>1292</v>
      </c>
      <c r="X1294">
        <v>68.379877930355562</v>
      </c>
      <c r="Y1294">
        <v>-1.4798779303555563</v>
      </c>
      <c r="Z1294">
        <v>68.384687116690444</v>
      </c>
      <c r="AA1294">
        <v>0.33474833232261975</v>
      </c>
      <c r="AB1294">
        <v>75.5</v>
      </c>
      <c r="AC1294">
        <v>-0.43267393579163727</v>
      </c>
      <c r="AD1294">
        <v>-0.33974675405625604</v>
      </c>
      <c r="AE1294">
        <v>0.64620511096818933</v>
      </c>
      <c r="AF1294">
        <v>3.2391918006276078E-3</v>
      </c>
      <c r="AG1294">
        <v>-0.34029834690485145</v>
      </c>
      <c r="AH1294">
        <v>0.6525377238051806</v>
      </c>
      <c r="AI1294">
        <v>2.8948231521297798E-5</v>
      </c>
    </row>
    <row r="1295" spans="23:35" x14ac:dyDescent="0.25">
      <c r="W1295">
        <v>1293</v>
      </c>
      <c r="X1295">
        <v>67.482088945727156</v>
      </c>
      <c r="Y1295">
        <v>-0.8820889457271619</v>
      </c>
      <c r="Z1295">
        <v>67.483789202504795</v>
      </c>
      <c r="AA1295">
        <v>0.32686476652516677</v>
      </c>
      <c r="AB1295">
        <v>75.5</v>
      </c>
      <c r="AC1295">
        <v>-0.45616451589519369</v>
      </c>
      <c r="AD1295">
        <v>-0.20250782172804302</v>
      </c>
      <c r="AE1295">
        <v>0.64703185362003168</v>
      </c>
      <c r="AF1295">
        <v>1.9238261486179634E-3</v>
      </c>
      <c r="AG1295">
        <v>-0.20270289816444345</v>
      </c>
      <c r="AH1295">
        <v>0.65333751975658194</v>
      </c>
      <c r="AI1295">
        <v>6.0922637815882592E-6</v>
      </c>
    </row>
    <row r="1296" spans="23:35" x14ac:dyDescent="0.25">
      <c r="W1296">
        <v>1294</v>
      </c>
      <c r="X1296">
        <v>67.496295639630901</v>
      </c>
      <c r="Y1296">
        <v>-1.2962956396308982</v>
      </c>
      <c r="Z1296">
        <v>67.498950050479365</v>
      </c>
      <c r="AA1296">
        <v>0.3171619163129169</v>
      </c>
      <c r="AB1296">
        <v>75.599999999999994</v>
      </c>
      <c r="AC1296">
        <v>-0.48332360885611292</v>
      </c>
      <c r="AD1296">
        <v>-0.29760038096930214</v>
      </c>
      <c r="AE1296">
        <v>0.65085940288010646</v>
      </c>
      <c r="AF1296">
        <v>2.043504942686983E-3</v>
      </c>
      <c r="AG1296">
        <v>-0.29790492172149435</v>
      </c>
      <c r="AH1296">
        <v>0.65437834122663141</v>
      </c>
      <c r="AI1296">
        <v>1.3978999447996532E-5</v>
      </c>
    </row>
    <row r="1297" spans="23:35" x14ac:dyDescent="0.25">
      <c r="W1297">
        <v>1295</v>
      </c>
      <c r="X1297">
        <v>67.201661832692537</v>
      </c>
      <c r="Y1297">
        <v>-1.4016618326925396</v>
      </c>
      <c r="Z1297">
        <v>67.204292066937739</v>
      </c>
      <c r="AA1297">
        <v>0.30078835657974529</v>
      </c>
      <c r="AB1297">
        <v>75.599999999999994</v>
      </c>
      <c r="AC1297">
        <v>-0.53349185558387491</v>
      </c>
      <c r="AD1297">
        <v>-0.32179009374605572</v>
      </c>
      <c r="AE1297">
        <v>0.65179072584081255</v>
      </c>
      <c r="AF1297">
        <v>1.8729965846327502E-3</v>
      </c>
      <c r="AG1297">
        <v>-0.32209187361005359</v>
      </c>
      <c r="AH1297">
        <v>0.65678039871012883</v>
      </c>
      <c r="AI1297">
        <v>1.4975018353571932E-5</v>
      </c>
    </row>
    <row r="1298" spans="23:35" x14ac:dyDescent="0.25">
      <c r="W1298">
        <v>1296</v>
      </c>
      <c r="X1298">
        <v>67.034136458735716</v>
      </c>
      <c r="Y1298">
        <v>-1.6341364587357106</v>
      </c>
      <c r="Z1298">
        <v>67.037206820561636</v>
      </c>
      <c r="AA1298">
        <v>0.28684050939963612</v>
      </c>
      <c r="AB1298">
        <v>75.599999999999994</v>
      </c>
      <c r="AC1298">
        <v>-0.57067028430202504</v>
      </c>
      <c r="AD1298">
        <v>-0.3751610495380871</v>
      </c>
      <c r="AE1298">
        <v>0.65354573448811892</v>
      </c>
      <c r="AF1298">
        <v>1.8753658898548701E-3</v>
      </c>
      <c r="AG1298">
        <v>-0.37551332722050978</v>
      </c>
      <c r="AH1298">
        <v>0.65736684625161845</v>
      </c>
      <c r="AI1298">
        <v>2.0380207245386909E-5</v>
      </c>
    </row>
    <row r="1299" spans="23:35" x14ac:dyDescent="0.25">
      <c r="W1299">
        <v>1297</v>
      </c>
      <c r="X1299">
        <v>66.975973506391327</v>
      </c>
      <c r="Y1299">
        <v>-1.8759735063913325</v>
      </c>
      <c r="Z1299">
        <v>66.979893570125483</v>
      </c>
      <c r="AA1299">
        <v>0.27713765918738631</v>
      </c>
      <c r="AB1299">
        <v>75.599999999999994</v>
      </c>
      <c r="AC1299">
        <v>-0.60317578841021124</v>
      </c>
      <c r="AD1299">
        <v>-0.43068140717448017</v>
      </c>
      <c r="AE1299">
        <v>0.65789615292647829</v>
      </c>
      <c r="AF1299">
        <v>2.0852583340116989E-3</v>
      </c>
      <c r="AG1299">
        <v>-0.43113115166873273</v>
      </c>
      <c r="AH1299">
        <v>0.65879930321718894</v>
      </c>
      <c r="AI1299">
        <v>2.9877336843913885E-5</v>
      </c>
    </row>
    <row r="1300" spans="23:35" x14ac:dyDescent="0.25">
      <c r="W1300">
        <v>1298</v>
      </c>
      <c r="X1300">
        <v>66.862043639799737</v>
      </c>
      <c r="Y1300">
        <v>-2.1620436397997338</v>
      </c>
      <c r="Z1300">
        <v>66.868422478595704</v>
      </c>
      <c r="AA1300">
        <v>0.26197695573074592</v>
      </c>
      <c r="AB1300">
        <v>75.599999999999994</v>
      </c>
      <c r="AC1300">
        <v>-0.64941472986293491</v>
      </c>
      <c r="AD1300">
        <v>-0.49635668840162384</v>
      </c>
      <c r="AE1300">
        <v>0.65903348937020101</v>
      </c>
      <c r="AF1300">
        <v>2.9416955685186335E-3</v>
      </c>
      <c r="AG1300">
        <v>-0.49708836821772695</v>
      </c>
      <c r="AH1300">
        <v>0.66093970866224228</v>
      </c>
      <c r="AI1300">
        <v>5.6079098121805836E-5</v>
      </c>
    </row>
    <row r="1301" spans="23:35" x14ac:dyDescent="0.25">
      <c r="W1301">
        <v>1299</v>
      </c>
      <c r="X1301">
        <v>65.17242330848741</v>
      </c>
      <c r="Y1301">
        <v>-0.8724233084874129</v>
      </c>
      <c r="Z1301">
        <v>65.176446403994007</v>
      </c>
      <c r="AA1301">
        <v>0.2498483929654336</v>
      </c>
      <c r="AB1301">
        <v>75.599999999999994</v>
      </c>
      <c r="AC1301">
        <v>-0.68742774275107121</v>
      </c>
      <c r="AD1301">
        <v>-0.20028880838192128</v>
      </c>
      <c r="AE1301">
        <v>0.65923794775418887</v>
      </c>
      <c r="AF1301">
        <v>4.5902356245221187E-3</v>
      </c>
      <c r="AG1301">
        <v>-0.20075008342332831</v>
      </c>
      <c r="AH1301">
        <v>0.66097549440669112</v>
      </c>
      <c r="AI1301">
        <v>1.4295560871500627E-5</v>
      </c>
    </row>
    <row r="1302" spans="23:35" x14ac:dyDescent="0.25">
      <c r="W1302">
        <v>1300</v>
      </c>
      <c r="X1302">
        <v>67.05806606748655</v>
      </c>
      <c r="Y1302">
        <v>-3.2580660674865527</v>
      </c>
      <c r="Z1302">
        <v>67.108030568911659</v>
      </c>
      <c r="AA1302">
        <v>0.23650697392359005</v>
      </c>
      <c r="AB1302">
        <v>75.599999999999994</v>
      </c>
      <c r="AC1302">
        <v>-0.72448350403832318</v>
      </c>
      <c r="AD1302">
        <v>-0.74797883543235122</v>
      </c>
      <c r="AE1302">
        <v>0.65966414122170902</v>
      </c>
      <c r="AF1302">
        <v>1.5104002331375814E-2</v>
      </c>
      <c r="AG1302">
        <v>-0.75369237757058427</v>
      </c>
      <c r="AH1302">
        <v>0.66120790972764154</v>
      </c>
      <c r="AI1302">
        <v>6.7011071950538108E-4</v>
      </c>
    </row>
    <row r="1303" spans="23:35" x14ac:dyDescent="0.25">
      <c r="W1303">
        <v>1301</v>
      </c>
      <c r="X1303">
        <v>66.636486140606124</v>
      </c>
      <c r="Y1303">
        <v>-3.2364861406061252</v>
      </c>
      <c r="Z1303">
        <v>66.667006001006825</v>
      </c>
      <c r="AA1303">
        <v>0.22922983626440266</v>
      </c>
      <c r="AB1303">
        <v>75.7</v>
      </c>
      <c r="AC1303">
        <v>-0.74639716414434454</v>
      </c>
      <c r="AD1303">
        <v>-0.7430245686242537</v>
      </c>
      <c r="AE1303">
        <v>0.65985822797439964</v>
      </c>
      <c r="AF1303">
        <v>9.3418439976231601E-3</v>
      </c>
      <c r="AG1303">
        <v>-0.74651968570968064</v>
      </c>
      <c r="AH1303">
        <v>0.66156709090304355</v>
      </c>
      <c r="AI1303">
        <v>4.0424808196591958E-4</v>
      </c>
    </row>
    <row r="1304" spans="23:35" x14ac:dyDescent="0.25">
      <c r="W1304">
        <v>1302</v>
      </c>
      <c r="X1304">
        <v>65.343426331184389</v>
      </c>
      <c r="Y1304">
        <v>1.0565736688156164</v>
      </c>
      <c r="Z1304">
        <v>65.341199207435679</v>
      </c>
      <c r="AA1304">
        <v>0.32201334141904187</v>
      </c>
      <c r="AB1304">
        <v>75.7</v>
      </c>
      <c r="AC1304">
        <v>-0.46970075330452549</v>
      </c>
      <c r="AD1304">
        <v>0.24256559749841641</v>
      </c>
      <c r="AE1304">
        <v>0.66016948509916973</v>
      </c>
      <c r="AF1304">
        <v>2.1034398201691356E-3</v>
      </c>
      <c r="AG1304">
        <v>0.24282111173164808</v>
      </c>
      <c r="AH1304">
        <v>0.66271239847388852</v>
      </c>
      <c r="AI1304">
        <v>9.5603567758884499E-6</v>
      </c>
    </row>
    <row r="1305" spans="23:35" x14ac:dyDescent="0.25">
      <c r="W1305">
        <v>1303</v>
      </c>
      <c r="X1305">
        <v>65.22914919445617</v>
      </c>
      <c r="Y1305">
        <v>0.77085080554383012</v>
      </c>
      <c r="Z1305">
        <v>65.227329920262761</v>
      </c>
      <c r="AA1305">
        <v>0.31109763493026077</v>
      </c>
      <c r="AB1305">
        <v>75.7</v>
      </c>
      <c r="AC1305">
        <v>-0.50738317096904828</v>
      </c>
      <c r="AD1305">
        <v>0.17697004169948241</v>
      </c>
      <c r="AE1305">
        <v>0.66168623464577581</v>
      </c>
      <c r="AF1305">
        <v>2.354529107727492E-3</v>
      </c>
      <c r="AG1305">
        <v>0.17717875088796597</v>
      </c>
      <c r="AH1305">
        <v>0.66622101502768538</v>
      </c>
      <c r="AI1305">
        <v>5.6991192886660964E-6</v>
      </c>
    </row>
    <row r="1306" spans="23:35" x14ac:dyDescent="0.25">
      <c r="W1306">
        <v>1304</v>
      </c>
      <c r="X1306">
        <v>65.225809138488486</v>
      </c>
      <c r="Y1306">
        <v>0.37419086151150793</v>
      </c>
      <c r="Z1306">
        <v>65.218906371961992</v>
      </c>
      <c r="AA1306">
        <v>0.29411764705882354</v>
      </c>
      <c r="AB1306">
        <v>75.7</v>
      </c>
      <c r="AC1306">
        <v>-0.55287102664223609</v>
      </c>
      <c r="AD1306">
        <v>8.5905822357594391E-2</v>
      </c>
      <c r="AE1306">
        <v>0.663746099796235</v>
      </c>
      <c r="AF1306">
        <v>1.8113046292678611E-2</v>
      </c>
      <c r="AG1306">
        <v>8.6694561600365483E-2</v>
      </c>
      <c r="AH1306">
        <v>0.66731437546044037</v>
      </c>
      <c r="AI1306">
        <v>1.066523341620562E-5</v>
      </c>
    </row>
    <row r="1307" spans="23:35" x14ac:dyDescent="0.25">
      <c r="W1307">
        <v>1305</v>
      </c>
      <c r="X1307">
        <v>65.610941642176329</v>
      </c>
      <c r="Y1307">
        <v>-0.71094164217632283</v>
      </c>
      <c r="Z1307">
        <v>65.61398571292797</v>
      </c>
      <c r="AA1307">
        <v>0.26622195269860521</v>
      </c>
      <c r="AB1307">
        <v>75.7</v>
      </c>
      <c r="AC1307">
        <v>-0.62890421763218984</v>
      </c>
      <c r="AD1307">
        <v>-0.16321624256859982</v>
      </c>
      <c r="AE1307">
        <v>0.66658633348535867</v>
      </c>
      <c r="AF1307">
        <v>4.2634897260853503E-3</v>
      </c>
      <c r="AG1307">
        <v>-0.1635652944871118</v>
      </c>
      <c r="AH1307">
        <v>0.66754180429752963</v>
      </c>
      <c r="AI1307">
        <v>8.8117010927393895E-6</v>
      </c>
    </row>
    <row r="1308" spans="23:35" x14ac:dyDescent="0.25">
      <c r="W1308">
        <v>1306</v>
      </c>
      <c r="X1308">
        <v>65.100532635151666</v>
      </c>
      <c r="Y1308">
        <v>-0.80053263515166861</v>
      </c>
      <c r="Z1308">
        <v>65.103840319616367</v>
      </c>
      <c r="AA1308">
        <v>0.2498483929654336</v>
      </c>
      <c r="AB1308">
        <v>75.7</v>
      </c>
      <c r="AC1308">
        <v>-0.68742774275107121</v>
      </c>
      <c r="AD1308">
        <v>-0.18378432351074717</v>
      </c>
      <c r="AE1308">
        <v>0.66661921568996185</v>
      </c>
      <c r="AF1308">
        <v>4.1148526442187309E-3</v>
      </c>
      <c r="AG1308">
        <v>-0.18416361717088525</v>
      </c>
      <c r="AH1308">
        <v>0.66762159095870155</v>
      </c>
      <c r="AI1308">
        <v>1.0779766470674686E-5</v>
      </c>
    </row>
    <row r="1309" spans="23:35" x14ac:dyDescent="0.25">
      <c r="W1309">
        <v>1307</v>
      </c>
      <c r="X1309">
        <v>65.02798835807134</v>
      </c>
      <c r="Y1309">
        <v>-1.5279883580713403</v>
      </c>
      <c r="Z1309">
        <v>65.033803924527575</v>
      </c>
      <c r="AA1309">
        <v>0.23226197695573075</v>
      </c>
      <c r="AB1309">
        <v>75.8</v>
      </c>
      <c r="AC1309">
        <v>-0.74038552290047832</v>
      </c>
      <c r="AD1309">
        <v>-0.35079182832719175</v>
      </c>
      <c r="AE1309">
        <v>0.66690833374878522</v>
      </c>
      <c r="AF1309">
        <v>3.7915970635117677E-3</v>
      </c>
      <c r="AG1309">
        <v>-0.35145875610171201</v>
      </c>
      <c r="AH1309">
        <v>0.66897441166336347</v>
      </c>
      <c r="AI1309">
        <v>3.6164074941022248E-5</v>
      </c>
    </row>
    <row r="1310" spans="23:35" x14ac:dyDescent="0.25">
      <c r="W1310">
        <v>1308</v>
      </c>
      <c r="X1310">
        <v>63.671842061647567</v>
      </c>
      <c r="Y1310">
        <v>-0.87184206164756972</v>
      </c>
      <c r="Z1310">
        <v>63.677303566216622</v>
      </c>
      <c r="AA1310">
        <v>0.21467556094602788</v>
      </c>
      <c r="AB1310">
        <v>75.8</v>
      </c>
      <c r="AC1310">
        <v>-0.79968509868701798</v>
      </c>
      <c r="AD1310">
        <v>-0.20015536715471499</v>
      </c>
      <c r="AE1310">
        <v>0.67234312838620691</v>
      </c>
      <c r="AF1310">
        <v>6.2253304094156171E-3</v>
      </c>
      <c r="AG1310">
        <v>-0.20078130783814438</v>
      </c>
      <c r="AH1310">
        <v>0.67546847374374674</v>
      </c>
      <c r="AI1310">
        <v>1.9425745248540543E-5</v>
      </c>
    </row>
    <row r="1311" spans="23:35" x14ac:dyDescent="0.25">
      <c r="W1311">
        <v>1309</v>
      </c>
      <c r="X1311">
        <v>63.058557114020289</v>
      </c>
      <c r="Y1311">
        <v>-0.95855711402028732</v>
      </c>
      <c r="Z1311">
        <v>63.078917458980499</v>
      </c>
      <c r="AA1311">
        <v>0.20133414190418436</v>
      </c>
      <c r="AB1311">
        <v>75.8</v>
      </c>
      <c r="AC1311">
        <v>-0.84444052159937644</v>
      </c>
      <c r="AD1311">
        <v>-0.22006319669060831</v>
      </c>
      <c r="AE1311">
        <v>0.67486928637606236</v>
      </c>
      <c r="AF1311">
        <v>2.0798837300764376E-2</v>
      </c>
      <c r="AG1311">
        <v>-0.22238805528878278</v>
      </c>
      <c r="AH1311">
        <v>0.67570673520291125</v>
      </c>
      <c r="AI1311">
        <v>8.0806574915056031E-5</v>
      </c>
    </row>
    <row r="1312" spans="23:35" x14ac:dyDescent="0.25">
      <c r="W1312">
        <v>1310</v>
      </c>
      <c r="X1312">
        <v>63.657354335564662</v>
      </c>
      <c r="Y1312">
        <v>-2.3573543355646649</v>
      </c>
      <c r="Z1312">
        <v>63.663844094233895</v>
      </c>
      <c r="AA1312">
        <v>0.18253486961795026</v>
      </c>
      <c r="AB1312">
        <v>75.8</v>
      </c>
      <c r="AC1312">
        <v>-0.91148934236618206</v>
      </c>
      <c r="AD1312">
        <v>-0.54119564001884368</v>
      </c>
      <c r="AE1312">
        <v>0.6773195557729571</v>
      </c>
      <c r="AF1312">
        <v>2.7454258447351569E-3</v>
      </c>
      <c r="AG1312">
        <v>-0.54194007947108713</v>
      </c>
      <c r="AH1312">
        <v>0.67935669505384655</v>
      </c>
      <c r="AI1312">
        <v>6.2196059416845859E-5</v>
      </c>
    </row>
    <row r="1313" spans="23:35" x14ac:dyDescent="0.25">
      <c r="W1313">
        <v>1311</v>
      </c>
      <c r="X1313">
        <v>63.31048636976908</v>
      </c>
      <c r="Y1313">
        <v>1.6895136302309197</v>
      </c>
      <c r="Z1313">
        <v>63.305988814354492</v>
      </c>
      <c r="AA1313">
        <v>0.27289266221952696</v>
      </c>
      <c r="AB1313">
        <v>75.8</v>
      </c>
      <c r="AC1313">
        <v>-0.62335641379693996</v>
      </c>
      <c r="AD1313">
        <v>0.38787440506450788</v>
      </c>
      <c r="AE1313">
        <v>0.67880888334141032</v>
      </c>
      <c r="AF1313">
        <v>2.6549738589094866E-3</v>
      </c>
      <c r="AG1313">
        <v>0.38839033082214686</v>
      </c>
      <c r="AH1313">
        <v>0.67978852829333758</v>
      </c>
      <c r="AI1313">
        <v>3.0889315863890485E-5</v>
      </c>
    </row>
    <row r="1314" spans="23:35" x14ac:dyDescent="0.25">
      <c r="W1314">
        <v>1312</v>
      </c>
      <c r="X1314">
        <v>63.525472068246103</v>
      </c>
      <c r="Y1314">
        <v>-3.8254720682460999</v>
      </c>
      <c r="Z1314">
        <v>63.541554093619759</v>
      </c>
      <c r="AA1314">
        <v>0.16919345057610674</v>
      </c>
      <c r="AB1314">
        <v>75.8</v>
      </c>
      <c r="AC1314">
        <v>-0.96823093621551704</v>
      </c>
      <c r="AD1314">
        <v>-0.87824251666975006</v>
      </c>
      <c r="AE1314">
        <v>0.68212037596417341</v>
      </c>
      <c r="AF1314">
        <v>4.186333182282437E-3</v>
      </c>
      <c r="AG1314">
        <v>-0.88008661660126319</v>
      </c>
      <c r="AH1314">
        <v>0.68276338260769243</v>
      </c>
      <c r="AI1314">
        <v>2.5047431001090355E-4</v>
      </c>
    </row>
    <row r="1315" spans="23:35" x14ac:dyDescent="0.25">
      <c r="W1315">
        <v>1313</v>
      </c>
      <c r="X1315">
        <v>73.906393316925701</v>
      </c>
      <c r="Y1315">
        <v>1.4936066830743044</v>
      </c>
      <c r="Z1315">
        <v>73.897386181249757</v>
      </c>
      <c r="AA1315">
        <v>0.77986658580958157</v>
      </c>
      <c r="AB1315">
        <v>75.8</v>
      </c>
      <c r="AC1315">
        <v>0.74840704313415274</v>
      </c>
      <c r="AD1315">
        <v>0.34289856751178549</v>
      </c>
      <c r="AE1315">
        <v>0.68466489226643112</v>
      </c>
      <c r="AF1315">
        <v>5.9943117543242068E-3</v>
      </c>
      <c r="AG1315">
        <v>0.3439309315278829</v>
      </c>
      <c r="AH1315">
        <v>0.68784029022898963</v>
      </c>
      <c r="AI1315">
        <v>5.4871846647862966E-5</v>
      </c>
    </row>
    <row r="1316" spans="23:35" x14ac:dyDescent="0.25">
      <c r="W1316">
        <v>1314</v>
      </c>
      <c r="X1316">
        <v>74.529112140282507</v>
      </c>
      <c r="Y1316">
        <v>0.77088785971749019</v>
      </c>
      <c r="Z1316">
        <v>74.524593198124819</v>
      </c>
      <c r="AA1316">
        <v>0.77258944815039421</v>
      </c>
      <c r="AB1316">
        <v>75.900000000000006</v>
      </c>
      <c r="AC1316">
        <v>0.72844171022016913</v>
      </c>
      <c r="AD1316">
        <v>0.17697854850600139</v>
      </c>
      <c r="AE1316">
        <v>0.68729883320645491</v>
      </c>
      <c r="AF1316">
        <v>5.8278340437075095E-3</v>
      </c>
      <c r="AG1316">
        <v>0.17749651437806929</v>
      </c>
      <c r="AH1316">
        <v>0.69011757666515727</v>
      </c>
      <c r="AI1316">
        <v>1.4206329443681984E-5</v>
      </c>
    </row>
    <row r="1317" spans="23:35" x14ac:dyDescent="0.25">
      <c r="W1317">
        <v>1315</v>
      </c>
      <c r="X1317">
        <v>75.593499301554573</v>
      </c>
      <c r="Y1317">
        <v>-0.69349930155456718</v>
      </c>
      <c r="Z1317">
        <v>75.596032214149162</v>
      </c>
      <c r="AA1317">
        <v>0.74833232261976956</v>
      </c>
      <c r="AB1317">
        <v>75.900000000000006</v>
      </c>
      <c r="AC1317">
        <v>0.64941472986293525</v>
      </c>
      <c r="AD1317">
        <v>-0.15921187268928061</v>
      </c>
      <c r="AE1317">
        <v>0.68861957771558491</v>
      </c>
      <c r="AF1317">
        <v>3.6390738001682819E-3</v>
      </c>
      <c r="AG1317">
        <v>-0.15950235762953849</v>
      </c>
      <c r="AH1317">
        <v>0.69106842736020335</v>
      </c>
      <c r="AI1317">
        <v>7.1476789429806171E-6</v>
      </c>
    </row>
    <row r="1318" spans="23:35" x14ac:dyDescent="0.25">
      <c r="W1318">
        <v>1316</v>
      </c>
      <c r="X1318">
        <v>75.510122820890402</v>
      </c>
      <c r="Y1318">
        <v>-0.91012282089040752</v>
      </c>
      <c r="Z1318">
        <v>75.513209236939616</v>
      </c>
      <c r="AA1318">
        <v>0.73013947847180105</v>
      </c>
      <c r="AB1318">
        <v>75.900000000000006</v>
      </c>
      <c r="AC1318">
        <v>0.59589828697336056</v>
      </c>
      <c r="AD1318">
        <v>-0.20894377019038859</v>
      </c>
      <c r="AE1318">
        <v>0.68955480929645296</v>
      </c>
      <c r="AF1318">
        <v>3.3797468579687311E-3</v>
      </c>
      <c r="AG1318">
        <v>-0.20929775625640093</v>
      </c>
      <c r="AH1318">
        <v>0.69195227935451542</v>
      </c>
      <c r="AI1318">
        <v>1.1427211280643709E-5</v>
      </c>
    </row>
    <row r="1319" spans="23:35" x14ac:dyDescent="0.25">
      <c r="W1319">
        <v>1317</v>
      </c>
      <c r="X1319">
        <v>73.944013447077069</v>
      </c>
      <c r="Y1319">
        <v>0.45598655292293699</v>
      </c>
      <c r="Z1319">
        <v>73.94175750470805</v>
      </c>
      <c r="AA1319">
        <v>0.71376591873862949</v>
      </c>
      <c r="AB1319">
        <v>75.900000000000006</v>
      </c>
      <c r="AC1319">
        <v>0.54051528578164909</v>
      </c>
      <c r="AD1319">
        <v>0.10468427704145024</v>
      </c>
      <c r="AE1319">
        <v>0.69747368634264761</v>
      </c>
      <c r="AF1319">
        <v>4.9230317838236462E-3</v>
      </c>
      <c r="AG1319">
        <v>0.1049429144057369</v>
      </c>
      <c r="AH1319">
        <v>0.69811478276792849</v>
      </c>
      <c r="AI1319">
        <v>4.1912045314840033E-6</v>
      </c>
    </row>
    <row r="1320" spans="23:35" x14ac:dyDescent="0.25">
      <c r="W1320">
        <v>1318</v>
      </c>
      <c r="X1320">
        <v>75.412497598751429</v>
      </c>
      <c r="Y1320">
        <v>-1.3124975987514347</v>
      </c>
      <c r="Z1320">
        <v>75.417314701334888</v>
      </c>
      <c r="AA1320">
        <v>0.69254093389933291</v>
      </c>
      <c r="AB1320">
        <v>76</v>
      </c>
      <c r="AC1320">
        <v>0.48161589062349974</v>
      </c>
      <c r="AD1320">
        <v>-0.3013199870987292</v>
      </c>
      <c r="AE1320">
        <v>0.69789029924588464</v>
      </c>
      <c r="AF1320">
        <v>3.6567591469104043E-3</v>
      </c>
      <c r="AG1320">
        <v>-0.30187242998369018</v>
      </c>
      <c r="AH1320">
        <v>0.69990734008402244</v>
      </c>
      <c r="AI1320">
        <v>2.572710544968514E-5</v>
      </c>
    </row>
    <row r="1321" spans="23:35" x14ac:dyDescent="0.25">
      <c r="W1321">
        <v>1319</v>
      </c>
      <c r="X1321">
        <v>73.356862715434218</v>
      </c>
      <c r="Y1321">
        <v>0.6431372845657819</v>
      </c>
      <c r="Z1321">
        <v>73.353111493098126</v>
      </c>
      <c r="AA1321">
        <v>0.68465736810187994</v>
      </c>
      <c r="AB1321">
        <v>76</v>
      </c>
      <c r="AC1321">
        <v>0.4663087141536239</v>
      </c>
      <c r="AD1321">
        <v>0.14764988406258697</v>
      </c>
      <c r="AE1321">
        <v>0.69938053610968343</v>
      </c>
      <c r="AF1321">
        <v>5.7988699691950652E-3</v>
      </c>
      <c r="AG1321">
        <v>0.14807985622268882</v>
      </c>
      <c r="AH1321">
        <v>0.70074407639028991</v>
      </c>
      <c r="AI1321">
        <v>9.8382472733407122E-6</v>
      </c>
    </row>
    <row r="1322" spans="23:35" x14ac:dyDescent="0.25">
      <c r="W1322">
        <v>1320</v>
      </c>
      <c r="X1322">
        <v>73.519256152857764</v>
      </c>
      <c r="Y1322">
        <v>0.28074384714223299</v>
      </c>
      <c r="Z1322">
        <v>73.517611833255742</v>
      </c>
      <c r="AA1322">
        <v>0.66767738023044265</v>
      </c>
      <c r="AB1322">
        <v>76</v>
      </c>
      <c r="AC1322">
        <v>0.4143837514429769</v>
      </c>
      <c r="AD1322">
        <v>6.4452485459339806E-2</v>
      </c>
      <c r="AE1322">
        <v>0.70000923604581966</v>
      </c>
      <c r="AF1322">
        <v>5.8229054743477041E-3</v>
      </c>
      <c r="AG1322">
        <v>6.4640959324242298E-2</v>
      </c>
      <c r="AH1322">
        <v>0.70405089345943217</v>
      </c>
      <c r="AI1322">
        <v>1.8825573745604414E-6</v>
      </c>
    </row>
    <row r="1323" spans="23:35" x14ac:dyDescent="0.25">
      <c r="W1323">
        <v>1321</v>
      </c>
      <c r="X1323">
        <v>74.606649436629112</v>
      </c>
      <c r="Y1323">
        <v>-1.0066494366291181</v>
      </c>
      <c r="Z1323">
        <v>74.609344031306861</v>
      </c>
      <c r="AA1323">
        <v>0.65433596118859916</v>
      </c>
      <c r="AB1323">
        <v>76</v>
      </c>
      <c r="AC1323">
        <v>0.3716850598056044</v>
      </c>
      <c r="AD1323">
        <v>-0.23110411443539211</v>
      </c>
      <c r="AE1323">
        <v>0.70159017055702055</v>
      </c>
      <c r="AF1323">
        <v>2.6696493902658401E-3</v>
      </c>
      <c r="AG1323">
        <v>-0.23141321694886019</v>
      </c>
      <c r="AH1323">
        <v>0.70506206924087744</v>
      </c>
      <c r="AI1323">
        <v>1.1026766034099755E-5</v>
      </c>
    </row>
    <row r="1324" spans="23:35" x14ac:dyDescent="0.25">
      <c r="W1324">
        <v>1322</v>
      </c>
      <c r="X1324">
        <v>74.610619919554551</v>
      </c>
      <c r="Y1324">
        <v>-1.6106199195545514</v>
      </c>
      <c r="Z1324">
        <v>74.617085981297905</v>
      </c>
      <c r="AA1324">
        <v>0.60946027895694366</v>
      </c>
      <c r="AB1324">
        <v>76</v>
      </c>
      <c r="AC1324">
        <v>0.22222871718700732</v>
      </c>
      <c r="AD1324">
        <v>-0.36976218001679084</v>
      </c>
      <c r="AE1324">
        <v>0.70690915546230826</v>
      </c>
      <c r="AF1324">
        <v>3.9985887071796256E-3</v>
      </c>
      <c r="AG1324">
        <v>-0.37050366787665656</v>
      </c>
      <c r="AH1324">
        <v>0.70988366967570704</v>
      </c>
      <c r="AI1324">
        <v>4.2392443738045342E-5</v>
      </c>
    </row>
    <row r="1325" spans="23:35" x14ac:dyDescent="0.25">
      <c r="W1325">
        <v>1323</v>
      </c>
      <c r="X1325">
        <v>73.869991975124194</v>
      </c>
      <c r="Y1325">
        <v>-0.86999197512419357</v>
      </c>
      <c r="Z1325">
        <v>73.871739821936373</v>
      </c>
      <c r="AA1325">
        <v>0.60946027895694366</v>
      </c>
      <c r="AB1325">
        <v>76</v>
      </c>
      <c r="AC1325">
        <v>0.22222871718700732</v>
      </c>
      <c r="AD1325">
        <v>-0.19973062881775686</v>
      </c>
      <c r="AE1325">
        <v>0.70766705432087951</v>
      </c>
      <c r="AF1325">
        <v>2.005009715274445E-3</v>
      </c>
      <c r="AG1325">
        <v>-0.19993116134605135</v>
      </c>
      <c r="AH1325">
        <v>0.71356645180113598</v>
      </c>
      <c r="AI1325">
        <v>6.1774003048769406E-6</v>
      </c>
    </row>
    <row r="1326" spans="23:35" x14ac:dyDescent="0.25">
      <c r="W1326">
        <v>1324</v>
      </c>
      <c r="X1326">
        <v>72.853587003525547</v>
      </c>
      <c r="Y1326">
        <v>0.14641299647445294</v>
      </c>
      <c r="Z1326">
        <v>72.852957048164384</v>
      </c>
      <c r="AA1326">
        <v>0.60946027895694366</v>
      </c>
      <c r="AB1326">
        <v>76</v>
      </c>
      <c r="AC1326">
        <v>0.22222871718700732</v>
      </c>
      <c r="AD1326">
        <v>3.3613137464584046E-2</v>
      </c>
      <c r="AE1326">
        <v>0.71270518833655261</v>
      </c>
      <c r="AF1326">
        <v>4.2841588345274018E-3</v>
      </c>
      <c r="AG1326">
        <v>3.3685371654593739E-2</v>
      </c>
      <c r="AH1326">
        <v>0.7140019733744386</v>
      </c>
      <c r="AI1326">
        <v>3.7555148336560116E-7</v>
      </c>
    </row>
    <row r="1327" spans="23:35" x14ac:dyDescent="0.25">
      <c r="W1327">
        <v>1325</v>
      </c>
      <c r="X1327">
        <v>74.153091114653932</v>
      </c>
      <c r="Y1327">
        <v>-1.2530911146539268</v>
      </c>
      <c r="Z1327">
        <v>74.159490559101968</v>
      </c>
      <c r="AA1327">
        <v>0.58762886597938147</v>
      </c>
      <c r="AB1327">
        <v>76</v>
      </c>
      <c r="AC1327">
        <v>0.206674078513852</v>
      </c>
      <c r="AD1327">
        <v>-0.2876815918446195</v>
      </c>
      <c r="AE1327">
        <v>0.71293545577765827</v>
      </c>
      <c r="AF1327">
        <v>5.0809784970533532E-3</v>
      </c>
      <c r="AG1327">
        <v>-0.28841524076325992</v>
      </c>
      <c r="AH1327">
        <v>0.72586967579340533</v>
      </c>
      <c r="AI1327">
        <v>3.267779040228461E-5</v>
      </c>
    </row>
    <row r="1328" spans="23:35" x14ac:dyDescent="0.25">
      <c r="W1328">
        <v>1326</v>
      </c>
      <c r="X1328">
        <v>73.869292423358601</v>
      </c>
      <c r="Y1328">
        <v>-1.1692924233585984</v>
      </c>
      <c r="Z1328">
        <v>73.874096863424469</v>
      </c>
      <c r="AA1328">
        <v>0.57246816252274102</v>
      </c>
      <c r="AB1328">
        <v>76</v>
      </c>
      <c r="AC1328">
        <v>0.16337348484333708</v>
      </c>
      <c r="AD1328">
        <v>-0.26844329334866873</v>
      </c>
      <c r="AE1328">
        <v>0.71293754576373136</v>
      </c>
      <c r="AF1328">
        <v>4.0920304069787024E-3</v>
      </c>
      <c r="AG1328">
        <v>-0.26899422380402238</v>
      </c>
      <c r="AH1328">
        <v>0.72594222965125799</v>
      </c>
      <c r="AI1328">
        <v>2.2869791269667634E-5</v>
      </c>
    </row>
    <row r="1329" spans="23:35" x14ac:dyDescent="0.25">
      <c r="W1329">
        <v>1327</v>
      </c>
      <c r="X1329">
        <v>73.0527382705326</v>
      </c>
      <c r="Y1329">
        <v>-0.45273827053260618</v>
      </c>
      <c r="Z1329">
        <v>73.054445567042421</v>
      </c>
      <c r="AA1329">
        <v>0.56458459672528805</v>
      </c>
      <c r="AB1329">
        <v>76</v>
      </c>
      <c r="AC1329">
        <v>0.14798710972583889</v>
      </c>
      <c r="AD1329">
        <v>-0.10393854431867909</v>
      </c>
      <c r="AE1329">
        <v>0.7230929612193312</v>
      </c>
      <c r="AF1329">
        <v>3.7568779049396228E-3</v>
      </c>
      <c r="AG1329">
        <v>-0.1041343383828271</v>
      </c>
      <c r="AH1329">
        <v>0.72911491885371282</v>
      </c>
      <c r="AI1329">
        <v>3.1456204305944721E-6</v>
      </c>
    </row>
    <row r="1330" spans="23:35" x14ac:dyDescent="0.25">
      <c r="W1330">
        <v>1328</v>
      </c>
      <c r="X1330">
        <v>71.820552966090148</v>
      </c>
      <c r="Y1330">
        <v>0.57944703390985808</v>
      </c>
      <c r="Z1330">
        <v>71.818915441879781</v>
      </c>
      <c r="AA1330">
        <v>0.55124317768344455</v>
      </c>
      <c r="AB1330">
        <v>76</v>
      </c>
      <c r="AC1330">
        <v>0.11578501997911882</v>
      </c>
      <c r="AD1330">
        <v>0.13302803216418035</v>
      </c>
      <c r="AE1330">
        <v>0.7250061192350078</v>
      </c>
      <c r="AF1330">
        <v>2.8180480576875124E-3</v>
      </c>
      <c r="AG1330">
        <v>0.13321586895119109</v>
      </c>
      <c r="AH1330">
        <v>0.72982955364431168</v>
      </c>
      <c r="AI1330">
        <v>3.8578253022311776E-6</v>
      </c>
    </row>
    <row r="1331" spans="23:35" x14ac:dyDescent="0.25">
      <c r="W1331">
        <v>1329</v>
      </c>
      <c r="X1331">
        <v>71.70555745261801</v>
      </c>
      <c r="Y1331">
        <v>0.59444254738198765</v>
      </c>
      <c r="Z1331">
        <v>71.703622036819269</v>
      </c>
      <c r="AA1331">
        <v>0.54578532443905392</v>
      </c>
      <c r="AB1331">
        <v>76</v>
      </c>
      <c r="AC1331">
        <v>9.896716322379942E-2</v>
      </c>
      <c r="AD1331">
        <v>0.13647066545376449</v>
      </c>
      <c r="AE1331">
        <v>0.72662003690578802</v>
      </c>
      <c r="AF1331">
        <v>3.245283894150013E-3</v>
      </c>
      <c r="AG1331">
        <v>0.13669264892597172</v>
      </c>
      <c r="AH1331">
        <v>0.73000313637147507</v>
      </c>
      <c r="AI1331">
        <v>4.6796283382958857E-6</v>
      </c>
    </row>
    <row r="1332" spans="23:35" x14ac:dyDescent="0.25">
      <c r="W1332">
        <v>1330</v>
      </c>
      <c r="X1332">
        <v>72.649611840822558</v>
      </c>
      <c r="Y1332">
        <v>-0.44961184082255556</v>
      </c>
      <c r="Z1332">
        <v>72.65110857319273</v>
      </c>
      <c r="AA1332">
        <v>0.53911461491813217</v>
      </c>
      <c r="AB1332">
        <v>76</v>
      </c>
      <c r="AC1332">
        <v>7.9127168877726875E-2</v>
      </c>
      <c r="AD1332">
        <v>-0.10322078623607862</v>
      </c>
      <c r="AE1332">
        <v>0.72802082860142869</v>
      </c>
      <c r="AF1332">
        <v>3.3178983045718058E-3</v>
      </c>
      <c r="AG1332">
        <v>-0.10339245156629123</v>
      </c>
      <c r="AH1332">
        <v>0.73064476105043308</v>
      </c>
      <c r="AI1332">
        <v>2.7374155196682407E-6</v>
      </c>
    </row>
    <row r="1333" spans="23:35" x14ac:dyDescent="0.25">
      <c r="W1333">
        <v>1331</v>
      </c>
      <c r="X1333">
        <v>72.642778579366265</v>
      </c>
      <c r="Y1333">
        <v>-0.44277857936626219</v>
      </c>
      <c r="Z1333">
        <v>72.644223449337289</v>
      </c>
      <c r="AA1333">
        <v>0.53911461491813217</v>
      </c>
      <c r="AB1333">
        <v>76</v>
      </c>
      <c r="AC1333">
        <v>7.9127168877726875E-2</v>
      </c>
      <c r="AD1333">
        <v>-0.10165202279162641</v>
      </c>
      <c r="AE1333">
        <v>0.72873975102180122</v>
      </c>
      <c r="AF1333">
        <v>3.2525747417991115E-3</v>
      </c>
      <c r="AG1333">
        <v>-0.10181774256423169</v>
      </c>
      <c r="AH1333">
        <v>0.7308622564729248</v>
      </c>
      <c r="AI1333">
        <v>2.6022303523179612E-6</v>
      </c>
    </row>
    <row r="1334" spans="23:35" x14ac:dyDescent="0.25">
      <c r="W1334">
        <v>1332</v>
      </c>
      <c r="X1334">
        <v>69.631109407893121</v>
      </c>
      <c r="Y1334">
        <v>2.5688905921068823</v>
      </c>
      <c r="Z1334">
        <v>69.614508660210305</v>
      </c>
      <c r="AA1334">
        <v>0.53911461491813217</v>
      </c>
      <c r="AB1334">
        <v>76</v>
      </c>
      <c r="AC1334">
        <v>7.9127168877726875E-2</v>
      </c>
      <c r="AD1334">
        <v>0.58975961617609518</v>
      </c>
      <c r="AE1334">
        <v>0.72927485124335389</v>
      </c>
      <c r="AF1334">
        <v>6.4207322714031579E-3</v>
      </c>
      <c r="AG1334">
        <v>0.59166212702852583</v>
      </c>
      <c r="AH1334">
        <v>0.73268903280302222</v>
      </c>
      <c r="AI1334">
        <v>1.7401481699303811E-4</v>
      </c>
    </row>
    <row r="1335" spans="23:35" x14ac:dyDescent="0.25">
      <c r="W1335">
        <v>1333</v>
      </c>
      <c r="X1335">
        <v>69.295062975872895</v>
      </c>
      <c r="Y1335">
        <v>2.9049370241271077</v>
      </c>
      <c r="Z1335">
        <v>69.277036141494136</v>
      </c>
      <c r="AA1335">
        <v>0.53911461491813217</v>
      </c>
      <c r="AB1335">
        <v>76</v>
      </c>
      <c r="AC1335">
        <v>7.9127168877726875E-2</v>
      </c>
      <c r="AD1335">
        <v>0.66690833374878522</v>
      </c>
      <c r="AE1335">
        <v>0.7294246512886744</v>
      </c>
      <c r="AF1335">
        <v>6.1673134706429593E-3</v>
      </c>
      <c r="AG1335">
        <v>0.66897441166336347</v>
      </c>
      <c r="AH1335">
        <v>0.73568760710578773</v>
      </c>
      <c r="AI1335">
        <v>2.1362811437535833E-4</v>
      </c>
    </row>
    <row r="1336" spans="23:35" x14ac:dyDescent="0.25">
      <c r="W1336">
        <v>1334</v>
      </c>
      <c r="X1336">
        <v>71.156738811440903</v>
      </c>
      <c r="Y1336">
        <v>0.94326118855909158</v>
      </c>
      <c r="Z1336">
        <v>71.153928497190208</v>
      </c>
      <c r="AA1336">
        <v>0.5312310491206792</v>
      </c>
      <c r="AB1336">
        <v>76.099999999999994</v>
      </c>
      <c r="AC1336">
        <v>6.3887210036911155E-2</v>
      </c>
      <c r="AD1336">
        <v>0.21655159555166903</v>
      </c>
      <c r="AE1336">
        <v>0.73485811080395369</v>
      </c>
      <c r="AF1336">
        <v>2.9705093561635532E-3</v>
      </c>
      <c r="AG1336">
        <v>0.21687394816363612</v>
      </c>
      <c r="AH1336">
        <v>0.73927982938795544</v>
      </c>
      <c r="AI1336">
        <v>1.0779393837160548E-5</v>
      </c>
    </row>
    <row r="1337" spans="23:35" x14ac:dyDescent="0.25">
      <c r="W1337">
        <v>1335</v>
      </c>
      <c r="X1337">
        <v>71.916414776658954</v>
      </c>
      <c r="Y1337">
        <v>0.18358522334104066</v>
      </c>
      <c r="Z1337">
        <v>71.915992844393713</v>
      </c>
      <c r="AA1337">
        <v>0.5312310491206792</v>
      </c>
      <c r="AB1337">
        <v>76.099999999999994</v>
      </c>
      <c r="AC1337">
        <v>6.3887210036911155E-2</v>
      </c>
      <c r="AD1337">
        <v>4.2147046349847068E-2</v>
      </c>
      <c r="AE1337">
        <v>0.74073715364228132</v>
      </c>
      <c r="AF1337">
        <v>2.2930209635191939E-3</v>
      </c>
      <c r="AG1337">
        <v>4.2195451641949808E-2</v>
      </c>
      <c r="AH1337">
        <v>0.74306435451304342</v>
      </c>
      <c r="AI1337">
        <v>3.1476971601660394E-7</v>
      </c>
    </row>
    <row r="1338" spans="23:35" x14ac:dyDescent="0.25">
      <c r="W1338">
        <v>1336</v>
      </c>
      <c r="X1338">
        <v>71.642657035348691</v>
      </c>
      <c r="Y1338">
        <v>0.45734296465130342</v>
      </c>
      <c r="Z1338">
        <v>71.640566189842758</v>
      </c>
      <c r="AA1338">
        <v>0.5312310491206792</v>
      </c>
      <c r="AB1338">
        <v>76.099999999999994</v>
      </c>
      <c r="AC1338">
        <v>6.3887210036911155E-2</v>
      </c>
      <c r="AD1338">
        <v>0.10499567872697008</v>
      </c>
      <c r="AE1338">
        <v>0.74200586048855943</v>
      </c>
      <c r="AF1338">
        <v>4.5509178029793686E-3</v>
      </c>
      <c r="AG1338">
        <v>0.10523541063994424</v>
      </c>
      <c r="AH1338">
        <v>0.74436413707650984</v>
      </c>
      <c r="AI1338">
        <v>3.8945778436878663E-6</v>
      </c>
    </row>
    <row r="1339" spans="23:35" x14ac:dyDescent="0.25">
      <c r="W1339">
        <v>1337</v>
      </c>
      <c r="X1339">
        <v>71.626351193860415</v>
      </c>
      <c r="Y1339">
        <v>0.37364880613958462</v>
      </c>
      <c r="Z1339">
        <v>71.625552924666934</v>
      </c>
      <c r="AA1339">
        <v>0.52516676773802307</v>
      </c>
      <c r="AB1339">
        <v>76.099999999999994</v>
      </c>
      <c r="AC1339">
        <v>4.1053957112594373E-2</v>
      </c>
      <c r="AD1339">
        <v>8.5781378611693354E-2</v>
      </c>
      <c r="AE1339">
        <v>0.74329223436604985</v>
      </c>
      <c r="AF1339">
        <v>2.1318612056668018E-3</v>
      </c>
      <c r="AG1339">
        <v>8.5872962066762246E-2</v>
      </c>
      <c r="AH1339">
        <v>0.74618703472649717</v>
      </c>
      <c r="AI1339">
        <v>1.2118679648316655E-6</v>
      </c>
    </row>
    <row r="1340" spans="23:35" x14ac:dyDescent="0.25">
      <c r="W1340">
        <v>1338</v>
      </c>
      <c r="X1340">
        <v>57.315001664396597</v>
      </c>
      <c r="Y1340">
        <v>14.4849983356034</v>
      </c>
      <c r="Z1340">
        <v>57.016181102851668</v>
      </c>
      <c r="AA1340">
        <v>0.51061249241964823</v>
      </c>
      <c r="AB1340">
        <v>76.2</v>
      </c>
      <c r="AC1340">
        <v>1.0640830227304372E-2</v>
      </c>
      <c r="AD1340">
        <v>3.3254304737480265</v>
      </c>
      <c r="AE1340">
        <v>0.74402767812872106</v>
      </c>
      <c r="AF1340">
        <v>2.0212677361907207E-2</v>
      </c>
      <c r="AG1340">
        <v>3.35955661622038</v>
      </c>
      <c r="AH1340">
        <v>0.74853939525631574</v>
      </c>
      <c r="AI1340">
        <v>1.7910701842130002E-2</v>
      </c>
    </row>
    <row r="1341" spans="23:35" x14ac:dyDescent="0.25">
      <c r="W1341">
        <v>1339</v>
      </c>
      <c r="X1341">
        <v>65.246959772827836</v>
      </c>
      <c r="Y1341">
        <v>-17.146959772827834</v>
      </c>
      <c r="Z1341">
        <v>65.374075658121356</v>
      </c>
      <c r="AA1341">
        <v>2.1224984839296544E-2</v>
      </c>
      <c r="AB1341">
        <v>76.2</v>
      </c>
      <c r="AC1341">
        <v>-2.0597982810364517</v>
      </c>
      <c r="AD1341">
        <v>-3.936557066806035</v>
      </c>
      <c r="AE1341">
        <v>0.74885489206144584</v>
      </c>
      <c r="AF1341">
        <v>7.3587662697164784E-3</v>
      </c>
      <c r="AG1341">
        <v>-3.9511216007130483</v>
      </c>
      <c r="AH1341">
        <v>0.75042626418063174</v>
      </c>
      <c r="AI1341">
        <v>8.9024621691512242E-3</v>
      </c>
    </row>
    <row r="1342" spans="23:35" x14ac:dyDescent="0.25">
      <c r="W1342">
        <v>1340</v>
      </c>
      <c r="X1342">
        <v>65.139120282886935</v>
      </c>
      <c r="Y1342">
        <v>-11.139120282886935</v>
      </c>
      <c r="Z1342">
        <v>65.220457836735875</v>
      </c>
      <c r="AA1342">
        <v>6.9739235900545787E-2</v>
      </c>
      <c r="AB1342">
        <v>76.2</v>
      </c>
      <c r="AC1342">
        <v>-1.4984336523422108</v>
      </c>
      <c r="AD1342">
        <v>-2.5572919776185725</v>
      </c>
      <c r="AE1342">
        <v>0.74965643046129171</v>
      </c>
      <c r="AF1342">
        <v>7.2490405500785348E-3</v>
      </c>
      <c r="AG1342">
        <v>-2.566611633885159</v>
      </c>
      <c r="AH1342">
        <v>0.75047546694046829</v>
      </c>
      <c r="AI1342">
        <v>3.7001316662068789E-3</v>
      </c>
    </row>
    <row r="1343" spans="23:35" x14ac:dyDescent="0.25">
      <c r="W1343">
        <v>1341</v>
      </c>
      <c r="X1343">
        <v>64.7290521380298</v>
      </c>
      <c r="Y1343">
        <v>-15.029052138029797</v>
      </c>
      <c r="Z1343">
        <v>64.831791942837327</v>
      </c>
      <c r="AA1343">
        <v>3.1534263189812006E-2</v>
      </c>
      <c r="AB1343">
        <v>76.2</v>
      </c>
      <c r="AC1343">
        <v>-1.8630011940066851</v>
      </c>
      <c r="AD1343">
        <v>-3.4503330144338804</v>
      </c>
      <c r="AE1343">
        <v>0.74973245170334568</v>
      </c>
      <c r="AF1343">
        <v>6.7896654405268262E-3</v>
      </c>
      <c r="AG1343">
        <v>-3.4621063044092506</v>
      </c>
      <c r="AH1343">
        <v>0.75461741571982555</v>
      </c>
      <c r="AI1343">
        <v>6.3029605734158901E-3</v>
      </c>
    </row>
    <row r="1344" spans="23:35" x14ac:dyDescent="0.25">
      <c r="W1344">
        <v>1342</v>
      </c>
      <c r="X1344">
        <v>64.128087277314904</v>
      </c>
      <c r="Y1344">
        <v>-15.228087277314906</v>
      </c>
      <c r="Z1344">
        <v>64.247359847130028</v>
      </c>
      <c r="AA1344">
        <v>2.6076409945421469E-2</v>
      </c>
      <c r="AB1344">
        <v>76.3</v>
      </c>
      <c r="AC1344">
        <v>-1.94690277624242</v>
      </c>
      <c r="AD1344">
        <v>-3.4960270146809167</v>
      </c>
      <c r="AE1344">
        <v>0.75404790923252174</v>
      </c>
      <c r="AF1344">
        <v>7.7715366684014565E-3</v>
      </c>
      <c r="AG1344">
        <v>-3.5096914628520381</v>
      </c>
      <c r="AH1344">
        <v>0.76229078142848372</v>
      </c>
      <c r="AI1344">
        <v>7.4214667422838835E-3</v>
      </c>
    </row>
    <row r="1345" spans="23:35" x14ac:dyDescent="0.25">
      <c r="W1345">
        <v>1343</v>
      </c>
      <c r="X1345">
        <v>61.823610188500837</v>
      </c>
      <c r="Y1345">
        <v>-13.723610188500835</v>
      </c>
      <c r="Z1345">
        <v>61.889325177352077</v>
      </c>
      <c r="AA1345">
        <v>2.1224984839296544E-2</v>
      </c>
      <c r="AB1345">
        <v>76.3</v>
      </c>
      <c r="AC1345">
        <v>-2.0597982810364517</v>
      </c>
      <c r="AD1345">
        <v>-3.15063284601879</v>
      </c>
      <c r="AE1345">
        <v>0.76103535288321733</v>
      </c>
      <c r="AF1345">
        <v>4.7656421185261495E-3</v>
      </c>
      <c r="AG1345">
        <v>-3.1581671804907994</v>
      </c>
      <c r="AH1345">
        <v>0.76368271935327525</v>
      </c>
      <c r="AI1345">
        <v>3.6738628939563807E-3</v>
      </c>
    </row>
    <row r="1346" spans="23:35" x14ac:dyDescent="0.25">
      <c r="W1346">
        <v>1344</v>
      </c>
      <c r="X1346">
        <v>63.333718083270149</v>
      </c>
      <c r="Y1346">
        <v>-16.233718083270148</v>
      </c>
      <c r="Z1346">
        <v>63.497922958384741</v>
      </c>
      <c r="AA1346">
        <v>1.758641600970285E-2</v>
      </c>
      <c r="AB1346">
        <v>76.3</v>
      </c>
      <c r="AC1346">
        <v>-2.1426564926871321</v>
      </c>
      <c r="AD1346">
        <v>-3.7268972743787439</v>
      </c>
      <c r="AE1346">
        <v>0.76161926327183949</v>
      </c>
      <c r="AF1346">
        <v>1.0013760616592387E-2</v>
      </c>
      <c r="AG1346">
        <v>-3.7456987263084138</v>
      </c>
      <c r="AH1346">
        <v>0.7673077970954113</v>
      </c>
      <c r="AI1346">
        <v>1.0916675008476619E-2</v>
      </c>
    </row>
    <row r="1347" spans="23:35" x14ac:dyDescent="0.25">
      <c r="W1347">
        <v>1345</v>
      </c>
      <c r="X1347">
        <v>59.569561039093529</v>
      </c>
      <c r="Y1347">
        <v>-13.369561039093526</v>
      </c>
      <c r="Z1347">
        <v>59.647259776496128</v>
      </c>
      <c r="AA1347">
        <v>1.3341419041843541E-2</v>
      </c>
      <c r="AB1347">
        <v>76.3</v>
      </c>
      <c r="AC1347">
        <v>-2.2435160869312201</v>
      </c>
      <c r="AD1347">
        <v>-3.0693511086402134</v>
      </c>
      <c r="AE1347">
        <v>0.76169625403626573</v>
      </c>
      <c r="AF1347">
        <v>5.7780349821459458E-3</v>
      </c>
      <c r="AG1347">
        <v>-3.0782571307972377</v>
      </c>
      <c r="AH1347">
        <v>0.7704167385137356</v>
      </c>
      <c r="AI1347">
        <v>4.2360711823349615E-3</v>
      </c>
    </row>
    <row r="1348" spans="23:35" x14ac:dyDescent="0.25">
      <c r="W1348">
        <v>1346</v>
      </c>
      <c r="X1348">
        <v>58.609691721271332</v>
      </c>
      <c r="Y1348">
        <v>-13.309691721271335</v>
      </c>
      <c r="Z1348">
        <v>58.69188209573143</v>
      </c>
      <c r="AA1348">
        <v>7.2771376591873865E-3</v>
      </c>
      <c r="AB1348">
        <v>76.3</v>
      </c>
      <c r="AC1348">
        <v>-2.5264513477970261</v>
      </c>
      <c r="AD1348">
        <v>-3.0556064571521242</v>
      </c>
      <c r="AE1348">
        <v>0.76445362791649629</v>
      </c>
      <c r="AF1348">
        <v>6.137328112102684E-3</v>
      </c>
      <c r="AG1348">
        <v>-3.0650264693806943</v>
      </c>
      <c r="AH1348">
        <v>0.77069198971046127</v>
      </c>
      <c r="AI1348">
        <v>4.4624983561908117E-3</v>
      </c>
    </row>
    <row r="1349" spans="23:35" x14ac:dyDescent="0.25">
      <c r="W1349">
        <v>1347</v>
      </c>
      <c r="X1349">
        <v>69.028243430394582</v>
      </c>
      <c r="Y1349">
        <v>-0.22824343039458483</v>
      </c>
      <c r="Z1349">
        <v>69.028997827854326</v>
      </c>
      <c r="AA1349">
        <v>0.41115827774408731</v>
      </c>
      <c r="AB1349">
        <v>76.3</v>
      </c>
      <c r="AC1349">
        <v>-0.23002600999886993</v>
      </c>
      <c r="AD1349">
        <v>-5.2399568248574536E-2</v>
      </c>
      <c r="AE1349">
        <v>0.76639684935356811</v>
      </c>
      <c r="AF1349">
        <v>3.2943432992958901E-3</v>
      </c>
      <c r="AG1349">
        <v>-5.2486093172736663E-2</v>
      </c>
      <c r="AH1349">
        <v>0.77145553377465037</v>
      </c>
      <c r="AI1349">
        <v>7.0040150918574032E-7</v>
      </c>
    </row>
    <row r="1350" spans="23:35" x14ac:dyDescent="0.25">
      <c r="W1350">
        <v>1348</v>
      </c>
      <c r="X1350">
        <v>69.150330415683484</v>
      </c>
      <c r="Y1350">
        <v>-0.35033041568348722</v>
      </c>
      <c r="Z1350">
        <v>69.151591880893804</v>
      </c>
      <c r="AA1350">
        <v>0.41115827774408731</v>
      </c>
      <c r="AB1350">
        <v>76.400000000000006</v>
      </c>
      <c r="AC1350">
        <v>-0.23002600999886993</v>
      </c>
      <c r="AD1350">
        <v>-8.0427999589835764E-2</v>
      </c>
      <c r="AE1350">
        <v>0.76951928089297472</v>
      </c>
      <c r="AF1350">
        <v>3.5878678629035743E-3</v>
      </c>
      <c r="AG1350">
        <v>-8.057267152177526E-2</v>
      </c>
      <c r="AH1350">
        <v>0.77503964376364443</v>
      </c>
      <c r="AI1350">
        <v>1.7981652819867503E-6</v>
      </c>
    </row>
    <row r="1351" spans="23:35" x14ac:dyDescent="0.25">
      <c r="W1351">
        <v>1349</v>
      </c>
      <c r="X1351">
        <v>69.284685867049589</v>
      </c>
      <c r="Y1351">
        <v>-0.58468586704958625</v>
      </c>
      <c r="Z1351">
        <v>69.286880716430147</v>
      </c>
      <c r="AA1351">
        <v>0.40873256519102485</v>
      </c>
      <c r="AB1351">
        <v>76.400000000000006</v>
      </c>
      <c r="AC1351">
        <v>-0.23783731322627524</v>
      </c>
      <c r="AD1351">
        <v>-0.13423075065720996</v>
      </c>
      <c r="AE1351">
        <v>0.77061667282500623</v>
      </c>
      <c r="AF1351">
        <v>3.7398560203410988E-3</v>
      </c>
      <c r="AG1351">
        <v>-0.13448245873210452</v>
      </c>
      <c r="AH1351">
        <v>0.78175098350819128</v>
      </c>
      <c r="AI1351">
        <v>5.2223990693785654E-6</v>
      </c>
    </row>
    <row r="1352" spans="23:35" x14ac:dyDescent="0.25">
      <c r="W1352">
        <v>1350</v>
      </c>
      <c r="X1352">
        <v>69.0610912604742</v>
      </c>
      <c r="Y1352">
        <v>-0.56109126047419977</v>
      </c>
      <c r="Z1352">
        <v>69.062977344013959</v>
      </c>
      <c r="AA1352">
        <v>0.40388114008489995</v>
      </c>
      <c r="AB1352">
        <v>76.400000000000006</v>
      </c>
      <c r="AC1352">
        <v>-0.25193465741015014</v>
      </c>
      <c r="AD1352">
        <v>-0.1288139586145744</v>
      </c>
      <c r="AE1352">
        <v>0.77339028116314057</v>
      </c>
      <c r="AF1352">
        <v>3.3501943902478448E-3</v>
      </c>
      <c r="AG1352">
        <v>-0.12903027820184357</v>
      </c>
      <c r="AH1352">
        <v>0.78237635437959541</v>
      </c>
      <c r="AI1352">
        <v>4.3049423080212061E-6</v>
      </c>
    </row>
    <row r="1353" spans="23:35" x14ac:dyDescent="0.25">
      <c r="W1353">
        <v>1351</v>
      </c>
      <c r="X1353">
        <v>67.324546156962739</v>
      </c>
      <c r="Y1353">
        <v>0.97545384303725768</v>
      </c>
      <c r="Z1353">
        <v>67.306571255902625</v>
      </c>
      <c r="AA1353">
        <v>0.39599757428744692</v>
      </c>
      <c r="AB1353">
        <v>76.5</v>
      </c>
      <c r="AC1353">
        <v>-0.27396491687072577</v>
      </c>
      <c r="AD1353">
        <v>0.223942306392788</v>
      </c>
      <c r="AE1353">
        <v>0.77516026194547127</v>
      </c>
      <c r="AF1353">
        <v>1.8093800050498262E-2</v>
      </c>
      <c r="AG1353">
        <v>0.22599620457806699</v>
      </c>
      <c r="AH1353">
        <v>0.78386853706192217</v>
      </c>
      <c r="AI1353">
        <v>7.2396692130980041E-5</v>
      </c>
    </row>
    <row r="1354" spans="23:35" x14ac:dyDescent="0.25">
      <c r="W1354">
        <v>1352</v>
      </c>
      <c r="X1354">
        <v>69.013172320365683</v>
      </c>
      <c r="Y1354">
        <v>-0.91317232036568896</v>
      </c>
      <c r="Z1354">
        <v>69.016337906815906</v>
      </c>
      <c r="AA1354">
        <v>0.38932686476652517</v>
      </c>
      <c r="AB1354">
        <v>76.5</v>
      </c>
      <c r="AC1354">
        <v>-0.29295400660571042</v>
      </c>
      <c r="AD1354">
        <v>-0.20964386681793556</v>
      </c>
      <c r="AE1354">
        <v>0.77717836428154474</v>
      </c>
      <c r="AF1354">
        <v>3.4546060210661894E-3</v>
      </c>
      <c r="AG1354">
        <v>-0.21000692624195674</v>
      </c>
      <c r="AH1354">
        <v>0.78472766924797599</v>
      </c>
      <c r="AI1354">
        <v>1.1760487483050879E-5</v>
      </c>
    </row>
    <row r="1355" spans="23:35" x14ac:dyDescent="0.25">
      <c r="W1355">
        <v>1353</v>
      </c>
      <c r="X1355">
        <v>68.292278583116271</v>
      </c>
      <c r="Y1355">
        <v>-0.29227858311627131</v>
      </c>
      <c r="Z1355">
        <v>68.293115884512801</v>
      </c>
      <c r="AA1355">
        <v>0.38447543966040026</v>
      </c>
      <c r="AB1355">
        <v>76.5</v>
      </c>
      <c r="AC1355">
        <v>-0.31204933220437475</v>
      </c>
      <c r="AD1355">
        <v>-6.7100601919279093E-2</v>
      </c>
      <c r="AE1355">
        <v>0.78161334699185492</v>
      </c>
      <c r="AF1355">
        <v>2.8565541506440145E-3</v>
      </c>
      <c r="AG1355">
        <v>-6.7196645986100964E-2</v>
      </c>
      <c r="AH1355">
        <v>0.78990178756972096</v>
      </c>
      <c r="AI1355">
        <v>9.9503111810261933E-7</v>
      </c>
    </row>
    <row r="1356" spans="23:35" x14ac:dyDescent="0.25">
      <c r="W1356">
        <v>1354</v>
      </c>
      <c r="X1356">
        <v>66.648769903508693</v>
      </c>
      <c r="Y1356">
        <v>0.95123009649130097</v>
      </c>
      <c r="Z1356">
        <v>66.631794820930025</v>
      </c>
      <c r="AA1356">
        <v>0.36264402668283807</v>
      </c>
      <c r="AB1356">
        <v>76.599999999999994</v>
      </c>
      <c r="AC1356">
        <v>-0.36030729595554811</v>
      </c>
      <c r="AD1356">
        <v>0.21838107793518616</v>
      </c>
      <c r="AE1356">
        <v>0.78309715561627746</v>
      </c>
      <c r="AF1356">
        <v>1.7532526106683308E-2</v>
      </c>
      <c r="AG1356">
        <v>0.22032101044832955</v>
      </c>
      <c r="AH1356">
        <v>0.79040286667998605</v>
      </c>
      <c r="AI1356">
        <v>6.6633832080468272E-5</v>
      </c>
    </row>
    <row r="1357" spans="23:35" x14ac:dyDescent="0.25">
      <c r="W1357">
        <v>1355</v>
      </c>
      <c r="X1357">
        <v>68.291370553843606</v>
      </c>
      <c r="Y1357">
        <v>-0.6913705538436119</v>
      </c>
      <c r="Z1357">
        <v>68.293813144061716</v>
      </c>
      <c r="AA1357">
        <v>0.36264402668283807</v>
      </c>
      <c r="AB1357">
        <v>76.599999999999994</v>
      </c>
      <c r="AC1357">
        <v>-0.36030729595554811</v>
      </c>
      <c r="AD1357">
        <v>-0.15872315999874945</v>
      </c>
      <c r="AE1357">
        <v>0.78715648291555185</v>
      </c>
      <c r="AF1357">
        <v>3.5205303315742199E-3</v>
      </c>
      <c r="AG1357">
        <v>-0.15900329473280456</v>
      </c>
      <c r="AH1357">
        <v>0.79237821151373367</v>
      </c>
      <c r="AI1357">
        <v>6.8708209256637612E-6</v>
      </c>
    </row>
    <row r="1358" spans="23:35" x14ac:dyDescent="0.25">
      <c r="W1358">
        <v>1356</v>
      </c>
      <c r="X1358">
        <v>65.919426892515474</v>
      </c>
      <c r="Y1358">
        <v>1.4805731074845312</v>
      </c>
      <c r="Z1358">
        <v>65.897443826096747</v>
      </c>
      <c r="AA1358">
        <v>0.3547604608853851</v>
      </c>
      <c r="AB1358">
        <v>76.599999999999994</v>
      </c>
      <c r="AC1358">
        <v>-0.38147581702590427</v>
      </c>
      <c r="AD1358">
        <v>0.33990635112045892</v>
      </c>
      <c r="AE1358">
        <v>0.79185043003818123</v>
      </c>
      <c r="AF1358">
        <v>1.463044563692943E-2</v>
      </c>
      <c r="AG1358">
        <v>0.34242046262751574</v>
      </c>
      <c r="AH1358">
        <v>0.79439819713661064</v>
      </c>
      <c r="AI1358">
        <v>1.3391662092050364E-4</v>
      </c>
    </row>
    <row r="1359" spans="23:35" x14ac:dyDescent="0.25">
      <c r="W1359">
        <v>1357</v>
      </c>
      <c r="X1359">
        <v>65.349381405815592</v>
      </c>
      <c r="Y1359">
        <v>1.7506185941844024</v>
      </c>
      <c r="Z1359">
        <v>65.317954156464623</v>
      </c>
      <c r="AA1359">
        <v>0.34141904184354155</v>
      </c>
      <c r="AB1359">
        <v>76.599999999999994</v>
      </c>
      <c r="AC1359">
        <v>-0.41272795222137554</v>
      </c>
      <c r="AD1359">
        <v>0.40190273316784841</v>
      </c>
      <c r="AE1359">
        <v>0.79514703275838849</v>
      </c>
      <c r="AF1359">
        <v>1.7635488708089418E-2</v>
      </c>
      <c r="AG1359">
        <v>0.40549418187250086</v>
      </c>
      <c r="AH1359">
        <v>0.79599226430094328</v>
      </c>
      <c r="AI1359">
        <v>2.2706005383563822E-4</v>
      </c>
    </row>
    <row r="1360" spans="23:35" x14ac:dyDescent="0.25">
      <c r="W1360">
        <v>1358</v>
      </c>
      <c r="X1360">
        <v>64.600424484618429</v>
      </c>
      <c r="Y1360">
        <v>2.1995755153815679</v>
      </c>
      <c r="Z1360">
        <v>64.587463727670595</v>
      </c>
      <c r="AA1360">
        <v>0.33232261976955729</v>
      </c>
      <c r="AB1360">
        <v>76.599999999999994</v>
      </c>
      <c r="AC1360">
        <v>-0.44438857281516719</v>
      </c>
      <c r="AD1360">
        <v>0.50497316455888885</v>
      </c>
      <c r="AE1360">
        <v>0.79748834820844738</v>
      </c>
      <c r="AF1360">
        <v>5.8578732063876158E-3</v>
      </c>
      <c r="AG1360">
        <v>0.50645872882493614</v>
      </c>
      <c r="AH1360">
        <v>0.80465812520005509</v>
      </c>
      <c r="AI1360">
        <v>1.1626159014240617E-4</v>
      </c>
    </row>
    <row r="1361" spans="23:35" x14ac:dyDescent="0.25">
      <c r="W1361">
        <v>1359</v>
      </c>
      <c r="X1361">
        <v>66.709549587273372</v>
      </c>
      <c r="Y1361">
        <v>-0.20954958727337214</v>
      </c>
      <c r="Z1361">
        <v>66.71015799389113</v>
      </c>
      <c r="AA1361">
        <v>0.32383262583383871</v>
      </c>
      <c r="AB1361">
        <v>76.599999999999994</v>
      </c>
      <c r="AC1361">
        <v>-0.46123068213767926</v>
      </c>
      <c r="AD1361">
        <v>-4.8107881487800326E-2</v>
      </c>
      <c r="AE1361">
        <v>0.80163629586290797</v>
      </c>
      <c r="AF1361">
        <v>2.8949963143924109E-3</v>
      </c>
      <c r="AG1361">
        <v>-4.8177669120413595E-2</v>
      </c>
      <c r="AH1361">
        <v>0.8071545368738946</v>
      </c>
      <c r="AI1361">
        <v>5.1838847362922307E-7</v>
      </c>
    </row>
    <row r="1362" spans="23:35" x14ac:dyDescent="0.25">
      <c r="W1362">
        <v>1360</v>
      </c>
      <c r="X1362">
        <v>66.862877711581703</v>
      </c>
      <c r="Y1362">
        <v>-0.66287771158170017</v>
      </c>
      <c r="Z1362">
        <v>66.864929007018063</v>
      </c>
      <c r="AA1362">
        <v>0.3171619163129169</v>
      </c>
      <c r="AB1362">
        <v>76.7</v>
      </c>
      <c r="AC1362">
        <v>-0.48332360885611292</v>
      </c>
      <c r="AD1362">
        <v>-0.15218184299296397</v>
      </c>
      <c r="AE1362">
        <v>0.80560099322774015</v>
      </c>
      <c r="AF1362">
        <v>3.0849841332054703E-3</v>
      </c>
      <c r="AG1362">
        <v>-0.15241712680374681</v>
      </c>
      <c r="AH1362">
        <v>0.80915058194297718</v>
      </c>
      <c r="AI1362">
        <v>5.5299217496476543E-6</v>
      </c>
    </row>
    <row r="1363" spans="23:35" x14ac:dyDescent="0.25">
      <c r="W1363">
        <v>1361</v>
      </c>
      <c r="X1363">
        <v>66.752487617526299</v>
      </c>
      <c r="Y1363">
        <v>-0.95248761752630173</v>
      </c>
      <c r="Z1363">
        <v>66.755476187085719</v>
      </c>
      <c r="AA1363">
        <v>0.30078835657974529</v>
      </c>
      <c r="AB1363">
        <v>76.7</v>
      </c>
      <c r="AC1363">
        <v>-0.53349185558387491</v>
      </c>
      <c r="AD1363">
        <v>-0.21866977653730418</v>
      </c>
      <c r="AE1363">
        <v>0.80838501567963628</v>
      </c>
      <c r="AF1363">
        <v>3.1278325925988711E-3</v>
      </c>
      <c r="AG1363">
        <v>-0.21901256210617259</v>
      </c>
      <c r="AH1363">
        <v>0.8102864260642203</v>
      </c>
      <c r="AI1363">
        <v>1.1577071868528677E-5</v>
      </c>
    </row>
    <row r="1364" spans="23:35" x14ac:dyDescent="0.25">
      <c r="W1364">
        <v>1362</v>
      </c>
      <c r="X1364">
        <v>67.144282866696656</v>
      </c>
      <c r="Y1364">
        <v>-5.1442828666966562</v>
      </c>
      <c r="Z1364">
        <v>67.204332386426273</v>
      </c>
      <c r="AA1364">
        <v>0.19890842935112188</v>
      </c>
      <c r="AB1364">
        <v>76.8</v>
      </c>
      <c r="AC1364">
        <v>-0.85973834429501084</v>
      </c>
      <c r="AD1364">
        <v>-1.1810118727072878</v>
      </c>
      <c r="AE1364">
        <v>0.81146186397532205</v>
      </c>
      <c r="AF1364">
        <v>1.1538371355033718E-2</v>
      </c>
      <c r="AG1364">
        <v>-1.1878848845321739</v>
      </c>
      <c r="AH1364">
        <v>0.81240052668129825</v>
      </c>
      <c r="AI1364">
        <v>1.2670392170415462E-3</v>
      </c>
    </row>
    <row r="1365" spans="23:35" x14ac:dyDescent="0.25">
      <c r="W1365">
        <v>1363</v>
      </c>
      <c r="X1365">
        <v>69.267974755762978</v>
      </c>
      <c r="Y1365">
        <v>-0.26797475576297813</v>
      </c>
      <c r="Z1365">
        <v>69.270456663797958</v>
      </c>
      <c r="AA1365">
        <v>0.42086112795633718</v>
      </c>
      <c r="AB1365">
        <v>76.8</v>
      </c>
      <c r="AC1365">
        <v>-0.21444491222324932</v>
      </c>
      <c r="AD1365">
        <v>-6.1520988705883087E-2</v>
      </c>
      <c r="AE1365">
        <v>0.81290713925836533</v>
      </c>
      <c r="AF1365">
        <v>9.1767309414036314E-3</v>
      </c>
      <c r="AG1365">
        <v>-6.1805227274766485E-2</v>
      </c>
      <c r="AH1365">
        <v>0.81555644406858707</v>
      </c>
      <c r="AI1365">
        <v>2.7214406312261091E-6</v>
      </c>
    </row>
    <row r="1366" spans="23:35" x14ac:dyDescent="0.25">
      <c r="W1366">
        <v>1364</v>
      </c>
      <c r="X1366">
        <v>66.323314609097324</v>
      </c>
      <c r="Y1366">
        <v>-7.1233146090973207</v>
      </c>
      <c r="Z1366">
        <v>66.352226748249237</v>
      </c>
      <c r="AA1366">
        <v>0.15767131594906003</v>
      </c>
      <c r="AB1366">
        <v>76.8</v>
      </c>
      <c r="AC1366">
        <v>-1.0205681915260707</v>
      </c>
      <c r="AD1366">
        <v>-1.6353531375259194</v>
      </c>
      <c r="AE1366">
        <v>0.81554164454650124</v>
      </c>
      <c r="AF1366">
        <v>4.0423968883520648E-3</v>
      </c>
      <c r="AG1366">
        <v>-1.6386685658439466</v>
      </c>
      <c r="AH1366">
        <v>0.81770720892012383</v>
      </c>
      <c r="AI1366">
        <v>8.3837243946268411E-4</v>
      </c>
    </row>
    <row r="1367" spans="23:35" x14ac:dyDescent="0.25">
      <c r="W1367">
        <v>1365</v>
      </c>
      <c r="X1367">
        <v>64.954932675785528</v>
      </c>
      <c r="Y1367">
        <v>-6.0549326757855297</v>
      </c>
      <c r="Z1367">
        <v>64.981805540312848</v>
      </c>
      <c r="AA1367">
        <v>0.14918132201334142</v>
      </c>
      <c r="AB1367">
        <v>76.8</v>
      </c>
      <c r="AC1367">
        <v>-1.0491313979639725</v>
      </c>
      <c r="AD1367">
        <v>-1.3900766275587637</v>
      </c>
      <c r="AE1367">
        <v>0.82000888758866264</v>
      </c>
      <c r="AF1367">
        <v>4.4185668793911021E-3</v>
      </c>
      <c r="AG1367">
        <v>-1.3931579157586469</v>
      </c>
      <c r="AH1367">
        <v>0.82276563827090321</v>
      </c>
      <c r="AI1367">
        <v>6.6261610247420673E-4</v>
      </c>
    </row>
    <row r="1368" spans="23:35" x14ac:dyDescent="0.25">
      <c r="W1368">
        <v>1366</v>
      </c>
      <c r="X1368">
        <v>64.010472098817488</v>
      </c>
      <c r="Y1368">
        <v>-6.0104720988174876</v>
      </c>
      <c r="Z1368">
        <v>64.043197194059289</v>
      </c>
      <c r="AA1368">
        <v>0.13159490600363857</v>
      </c>
      <c r="AB1368">
        <v>76.8</v>
      </c>
      <c r="AC1368">
        <v>-1.1375552391677688</v>
      </c>
      <c r="AD1368">
        <v>-1.3798694770914739</v>
      </c>
      <c r="AE1368">
        <v>0.8220601110142971</v>
      </c>
      <c r="AF1368">
        <v>5.415195663971935E-3</v>
      </c>
      <c r="AG1368">
        <v>-1.3836208514096175</v>
      </c>
      <c r="AH1368">
        <v>0.82541501647738125</v>
      </c>
      <c r="AI1368">
        <v>8.017946941339531E-4</v>
      </c>
    </row>
    <row r="1369" spans="23:35" x14ac:dyDescent="0.25">
      <c r="W1369">
        <v>1367</v>
      </c>
      <c r="X1369">
        <v>58.729923880809451</v>
      </c>
      <c r="Y1369">
        <v>-2.2299238808094515</v>
      </c>
      <c r="Z1369">
        <v>58.748744013995044</v>
      </c>
      <c r="AA1369">
        <v>0.10066707095209218</v>
      </c>
      <c r="AB1369">
        <v>76.900000000000006</v>
      </c>
      <c r="AC1369">
        <v>-1.2898891601746336</v>
      </c>
      <c r="AD1369">
        <v>-0.51194046803273641</v>
      </c>
      <c r="AE1369">
        <v>0.8235934366293044</v>
      </c>
      <c r="AF1369">
        <v>8.3691754457004414E-3</v>
      </c>
      <c r="AG1369">
        <v>-0.51409626901471528</v>
      </c>
      <c r="AH1369">
        <v>0.82657510532053391</v>
      </c>
      <c r="AI1369">
        <v>1.715845601548856E-4</v>
      </c>
    </row>
    <row r="1370" spans="23:35" x14ac:dyDescent="0.25">
      <c r="W1370">
        <v>1368</v>
      </c>
      <c r="X1370">
        <v>56.091798302451608</v>
      </c>
      <c r="Y1370">
        <v>-0.79179830245161043</v>
      </c>
      <c r="Z1370">
        <v>56.108518771513573</v>
      </c>
      <c r="AA1370">
        <v>8.6719223771983017E-2</v>
      </c>
      <c r="AB1370">
        <v>76.900000000000006</v>
      </c>
      <c r="AC1370">
        <v>-1.3946242806491973</v>
      </c>
      <c r="AD1370">
        <v>-0.1817791167819873</v>
      </c>
      <c r="AE1370">
        <v>0.82522710679805678</v>
      </c>
      <c r="AF1370">
        <v>2.0680372121309291E-2</v>
      </c>
      <c r="AG1370">
        <v>-0.18368841194208527</v>
      </c>
      <c r="AH1370">
        <v>0.82717612179594147</v>
      </c>
      <c r="AI1370">
        <v>5.4809274952944408E-5</v>
      </c>
    </row>
    <row r="1371" spans="23:35" x14ac:dyDescent="0.25">
      <c r="W1371">
        <v>1369</v>
      </c>
      <c r="X1371">
        <v>53.717930302032542</v>
      </c>
      <c r="Y1371">
        <v>0.78206969796745796</v>
      </c>
      <c r="Z1371">
        <v>53.706572346482275</v>
      </c>
      <c r="AA1371">
        <v>7.4590661006670708E-2</v>
      </c>
      <c r="AB1371">
        <v>76.900000000000006</v>
      </c>
      <c r="AC1371">
        <v>-1.4445835579455348</v>
      </c>
      <c r="AD1371">
        <v>0.17954564756997343</v>
      </c>
      <c r="AE1371">
        <v>0.82634244454836658</v>
      </c>
      <c r="AF1371">
        <v>1.4315048763315911E-2</v>
      </c>
      <c r="AG1371">
        <v>0.18084471382567749</v>
      </c>
      <c r="AH1371">
        <v>0.82779187896302953</v>
      </c>
      <c r="AI1371">
        <v>3.6536167587569307E-5</v>
      </c>
    </row>
    <row r="1372" spans="23:35" x14ac:dyDescent="0.25">
      <c r="W1372">
        <v>1370</v>
      </c>
      <c r="X1372">
        <v>52.938990593983817</v>
      </c>
      <c r="Y1372">
        <v>1.0610094060161828</v>
      </c>
      <c r="Z1372">
        <v>52.898118406006169</v>
      </c>
      <c r="AA1372">
        <v>6.9739235900545787E-2</v>
      </c>
      <c r="AB1372">
        <v>76.900000000000006</v>
      </c>
      <c r="AC1372">
        <v>-1.4984336523422108</v>
      </c>
      <c r="AD1372">
        <v>0.2435839431908729</v>
      </c>
      <c r="AE1372">
        <v>0.83063699519324297</v>
      </c>
      <c r="AF1372">
        <v>3.7093085319177738E-2</v>
      </c>
      <c r="AG1372">
        <v>0.24823127841522627</v>
      </c>
      <c r="AH1372">
        <v>0.84251532017875774</v>
      </c>
      <c r="AI1372">
        <v>1.8259055497598433E-4</v>
      </c>
    </row>
    <row r="1373" spans="23:35" x14ac:dyDescent="0.25">
      <c r="W1373">
        <v>1371</v>
      </c>
      <c r="X1373">
        <v>51.253597329129079</v>
      </c>
      <c r="Y1373">
        <v>2.5464026708709184</v>
      </c>
      <c r="Z1373">
        <v>51.205429975882069</v>
      </c>
      <c r="AA1373">
        <v>6.6707095209217707E-2</v>
      </c>
      <c r="AB1373">
        <v>77</v>
      </c>
      <c r="AC1373">
        <v>-1.5078422496152202</v>
      </c>
      <c r="AD1373">
        <v>0.58459689424567496</v>
      </c>
      <c r="AE1373">
        <v>0.85041077557243805</v>
      </c>
      <c r="AF1373">
        <v>1.856467653571435E-2</v>
      </c>
      <c r="AG1373">
        <v>0.59010006343942112</v>
      </c>
      <c r="AH1373">
        <v>0.85208878607349126</v>
      </c>
      <c r="AI1373">
        <v>5.0667989524858718E-4</v>
      </c>
    </row>
    <row r="1374" spans="23:35" x14ac:dyDescent="0.25">
      <c r="W1374">
        <v>1372</v>
      </c>
      <c r="X1374">
        <v>50.881641475665781</v>
      </c>
      <c r="Y1374">
        <v>2.8183585243342222</v>
      </c>
      <c r="Z1374">
        <v>50.826441025351521</v>
      </c>
      <c r="AA1374">
        <v>6.549423893268648E-2</v>
      </c>
      <c r="AB1374">
        <v>77</v>
      </c>
      <c r="AC1374">
        <v>-1.5125970273974985</v>
      </c>
      <c r="AD1374">
        <v>0.64703185362003168</v>
      </c>
      <c r="AE1374">
        <v>0.8537610976868607</v>
      </c>
      <c r="AF1374">
        <v>1.9209785078800772E-2</v>
      </c>
      <c r="AG1374">
        <v>0.65333751975658194</v>
      </c>
      <c r="AH1374">
        <v>0.85466421907778867</v>
      </c>
      <c r="AI1374">
        <v>6.4309958345222594E-4</v>
      </c>
    </row>
    <row r="1375" spans="23:35" x14ac:dyDescent="0.25">
      <c r="W1375">
        <v>1373</v>
      </c>
      <c r="X1375">
        <v>49.518756578913347</v>
      </c>
      <c r="Y1375">
        <v>4.4812434210866527</v>
      </c>
      <c r="Z1375">
        <v>49.385885118628742</v>
      </c>
      <c r="AA1375">
        <v>6.9739235900545787E-2</v>
      </c>
      <c r="AB1375">
        <v>77</v>
      </c>
      <c r="AC1375">
        <v>-1.4984336523422108</v>
      </c>
      <c r="AD1375">
        <v>1.0287928992118618</v>
      </c>
      <c r="AE1375">
        <v>0.85474584041100221</v>
      </c>
      <c r="AF1375">
        <v>2.8796738638010629E-2</v>
      </c>
      <c r="AG1375">
        <v>1.0439336384855959</v>
      </c>
      <c r="AH1375">
        <v>0.85618375379283296</v>
      </c>
      <c r="AI1375">
        <v>2.4856249768906379E-3</v>
      </c>
    </row>
    <row r="1376" spans="23:35" x14ac:dyDescent="0.25">
      <c r="W1376">
        <v>1374</v>
      </c>
      <c r="X1376">
        <v>49.305031806236002</v>
      </c>
      <c r="Y1376">
        <v>5.5949681937639966</v>
      </c>
      <c r="Z1376">
        <v>49.111850423486622</v>
      </c>
      <c r="AA1376">
        <v>7.9442086112795629E-2</v>
      </c>
      <c r="AB1376">
        <v>77</v>
      </c>
      <c r="AC1376">
        <v>-1.4191611772342045</v>
      </c>
      <c r="AD1376">
        <v>1.2844791072886714</v>
      </c>
      <c r="AE1376">
        <v>0.85537786097439583</v>
      </c>
      <c r="AF1376">
        <v>3.3375326638629667E-2</v>
      </c>
      <c r="AG1376">
        <v>1.3064659833552483</v>
      </c>
      <c r="AH1376">
        <v>0.85810430197838394</v>
      </c>
      <c r="AI1376">
        <v>4.5333631372697167E-3</v>
      </c>
    </row>
    <row r="1377" spans="23:35" x14ac:dyDescent="0.25">
      <c r="W1377">
        <v>1375</v>
      </c>
      <c r="X1377">
        <v>51.597487883100243</v>
      </c>
      <c r="Y1377">
        <v>4.4025121168997572</v>
      </c>
      <c r="Z1377">
        <v>51.524836279127456</v>
      </c>
      <c r="AA1377">
        <v>9.2783505154639179E-2</v>
      </c>
      <c r="AB1377">
        <v>77</v>
      </c>
      <c r="AC1377">
        <v>-1.3329906577816031</v>
      </c>
      <c r="AD1377">
        <v>1.0107179590485966</v>
      </c>
      <c r="AE1377">
        <v>0.85807676734269389</v>
      </c>
      <c r="AF1377">
        <v>1.6234401354734015E-2</v>
      </c>
      <c r="AG1377">
        <v>1.0190234231602615</v>
      </c>
      <c r="AH1377">
        <v>0.86509909008345787</v>
      </c>
      <c r="AI1377">
        <v>1.3181645512923912E-3</v>
      </c>
    </row>
    <row r="1378" spans="23:35" x14ac:dyDescent="0.25">
      <c r="W1378">
        <v>1376</v>
      </c>
      <c r="X1378">
        <v>53.095354462120461</v>
      </c>
      <c r="Y1378">
        <v>4.2046455378795358</v>
      </c>
      <c r="Z1378">
        <v>53.027225505409277</v>
      </c>
      <c r="AA1378">
        <v>0.11643420254699818</v>
      </c>
      <c r="AB1378">
        <v>77</v>
      </c>
      <c r="AC1378">
        <v>-1.207056068729359</v>
      </c>
      <c r="AD1378">
        <v>0.96529223400775854</v>
      </c>
      <c r="AE1378">
        <v>0.86182964906505943</v>
      </c>
      <c r="AF1378">
        <v>1.5944898753125776E-2</v>
      </c>
      <c r="AG1378">
        <v>0.97308124852691047</v>
      </c>
      <c r="AH1378">
        <v>0.86636529836303844</v>
      </c>
      <c r="AI1378">
        <v>1.1802043307933769E-3</v>
      </c>
    </row>
    <row r="1379" spans="23:35" x14ac:dyDescent="0.25">
      <c r="W1379">
        <v>1377</v>
      </c>
      <c r="X1379">
        <v>78.398568501366512</v>
      </c>
      <c r="Y1379">
        <v>4.2014314986334824</v>
      </c>
      <c r="Z1379">
        <v>78.367512333282093</v>
      </c>
      <c r="AA1379">
        <v>0.97271073377804729</v>
      </c>
      <c r="AB1379">
        <v>77</v>
      </c>
      <c r="AC1379">
        <v>1.917417123160428</v>
      </c>
      <c r="AD1379">
        <v>0.96455436274225914</v>
      </c>
      <c r="AE1379">
        <v>0.86379184317262492</v>
      </c>
      <c r="AF1379">
        <v>7.3375684774303895E-3</v>
      </c>
      <c r="AG1379">
        <v>0.96811269875419959</v>
      </c>
      <c r="AH1379">
        <v>0.8673987415714477</v>
      </c>
      <c r="AI1379">
        <v>5.3291637222113936E-4</v>
      </c>
    </row>
    <row r="1380" spans="23:35" x14ac:dyDescent="0.25">
      <c r="W1380">
        <v>1378</v>
      </c>
      <c r="X1380">
        <v>78.196310987973703</v>
      </c>
      <c r="Y1380">
        <v>4.2036890120263024</v>
      </c>
      <c r="Z1380">
        <v>78.180575989174216</v>
      </c>
      <c r="AA1380">
        <v>0.97089144936325045</v>
      </c>
      <c r="AB1380">
        <v>77</v>
      </c>
      <c r="AC1380">
        <v>1.8895099603334296</v>
      </c>
      <c r="AD1380">
        <v>0.965072637142949</v>
      </c>
      <c r="AE1380">
        <v>0.86401893383718709</v>
      </c>
      <c r="AF1380">
        <v>3.7291816985261178E-3</v>
      </c>
      <c r="AG1380">
        <v>0.96687715134340768</v>
      </c>
      <c r="AH1380">
        <v>0.86770261847881225</v>
      </c>
      <c r="AI1380">
        <v>2.6917540614420179E-4</v>
      </c>
    </row>
    <row r="1381" spans="23:35" x14ac:dyDescent="0.25">
      <c r="W1381">
        <v>1379</v>
      </c>
      <c r="X1381">
        <v>80.813506823705779</v>
      </c>
      <c r="Y1381">
        <v>1.1864931762942206</v>
      </c>
      <c r="Z1381">
        <v>80.808389027974115</v>
      </c>
      <c r="AA1381">
        <v>0.96604002425712554</v>
      </c>
      <c r="AB1381">
        <v>77</v>
      </c>
      <c r="AC1381">
        <v>1.7539324289023792</v>
      </c>
      <c r="AD1381">
        <v>0.27239220011815962</v>
      </c>
      <c r="AE1381">
        <v>0.86418346155661752</v>
      </c>
      <c r="AF1381">
        <v>4.2948544884234543E-3</v>
      </c>
      <c r="AG1381">
        <v>0.27297903350078867</v>
      </c>
      <c r="AH1381">
        <v>0.8681720120217189</v>
      </c>
      <c r="AI1381">
        <v>2.4724808362878323E-5</v>
      </c>
    </row>
    <row r="1382" spans="23:35" x14ac:dyDescent="0.25">
      <c r="W1382">
        <v>1380</v>
      </c>
      <c r="X1382">
        <v>81.030571550927334</v>
      </c>
      <c r="Y1382">
        <v>1.0694284490726602</v>
      </c>
      <c r="Z1382">
        <v>81.025072650333414</v>
      </c>
      <c r="AA1382">
        <v>0.96725288053365677</v>
      </c>
      <c r="AB1382">
        <v>77</v>
      </c>
      <c r="AC1382">
        <v>1.8295749434197284</v>
      </c>
      <c r="AD1382">
        <v>0.24551676649475906</v>
      </c>
      <c r="AE1382">
        <v>0.8642189839433071</v>
      </c>
      <c r="AF1382">
        <v>5.1156020875552143E-3</v>
      </c>
      <c r="AG1382">
        <v>0.24614716923727747</v>
      </c>
      <c r="AH1382">
        <v>0.86942222921613266</v>
      </c>
      <c r="AI1382">
        <v>2.3964616015321188E-5</v>
      </c>
    </row>
    <row r="1383" spans="23:35" x14ac:dyDescent="0.25">
      <c r="W1383">
        <v>1381</v>
      </c>
      <c r="X1383">
        <v>77.963753492345177</v>
      </c>
      <c r="Y1383">
        <v>3.936246507654829</v>
      </c>
      <c r="Z1383">
        <v>77.948244818568256</v>
      </c>
      <c r="AA1383">
        <v>0.95997574287446941</v>
      </c>
      <c r="AB1383">
        <v>77</v>
      </c>
      <c r="AC1383">
        <v>1.7330844772440364</v>
      </c>
      <c r="AD1383">
        <v>0.90367384140913232</v>
      </c>
      <c r="AE1383">
        <v>0.86648117115151568</v>
      </c>
      <c r="AF1383">
        <v>3.9245026741004914E-3</v>
      </c>
      <c r="AG1383">
        <v>0.90545231304053753</v>
      </c>
      <c r="AH1383">
        <v>0.87244807542337821</v>
      </c>
      <c r="AI1383">
        <v>2.4847356156618752E-4</v>
      </c>
    </row>
    <row r="1384" spans="23:35" x14ac:dyDescent="0.25">
      <c r="W1384">
        <v>1382</v>
      </c>
      <c r="X1384">
        <v>80.756698526363039</v>
      </c>
      <c r="Y1384">
        <v>0.84330147363695573</v>
      </c>
      <c r="Z1384">
        <v>80.752419590900331</v>
      </c>
      <c r="AA1384">
        <v>0.95148574893875071</v>
      </c>
      <c r="AB1384">
        <v>77.099999999999994</v>
      </c>
      <c r="AC1384">
        <v>1.6445597025796697</v>
      </c>
      <c r="AD1384">
        <v>0.19360308879677413</v>
      </c>
      <c r="AE1384">
        <v>0.86705799283499663</v>
      </c>
      <c r="AF1384">
        <v>5.0484124181760931E-3</v>
      </c>
      <c r="AG1384">
        <v>0.19409364108168023</v>
      </c>
      <c r="AH1384">
        <v>0.87380606497749314</v>
      </c>
      <c r="AI1384">
        <v>1.470388641295454E-5</v>
      </c>
    </row>
    <row r="1385" spans="23:35" x14ac:dyDescent="0.25">
      <c r="W1385">
        <v>1383</v>
      </c>
      <c r="X1385">
        <v>80.889123306281022</v>
      </c>
      <c r="Y1385">
        <v>0.41087669371897562</v>
      </c>
      <c r="Z1385">
        <v>80.886849004525175</v>
      </c>
      <c r="AA1385">
        <v>0.94481503941782896</v>
      </c>
      <c r="AB1385">
        <v>77.099999999999994</v>
      </c>
      <c r="AC1385">
        <v>1.5725296242490356</v>
      </c>
      <c r="AD1385">
        <v>9.43280659472025E-2</v>
      </c>
      <c r="AE1385">
        <v>0.86842077987378397</v>
      </c>
      <c r="AF1385">
        <v>5.5047713324243852E-3</v>
      </c>
      <c r="AG1385">
        <v>9.458876999608079E-2</v>
      </c>
      <c r="AH1385">
        <v>0.87578446856900161</v>
      </c>
      <c r="AI1385">
        <v>3.8095386415417182E-6</v>
      </c>
    </row>
    <row r="1386" spans="23:35" x14ac:dyDescent="0.25">
      <c r="W1386">
        <v>1384</v>
      </c>
      <c r="X1386">
        <v>77.298999669077105</v>
      </c>
      <c r="Y1386">
        <v>11.701000330922895</v>
      </c>
      <c r="Z1386">
        <v>77.255295136693533</v>
      </c>
      <c r="AA1386">
        <v>1</v>
      </c>
      <c r="AB1386">
        <v>77.2</v>
      </c>
      <c r="AC1386">
        <v>2.6570161854420777</v>
      </c>
      <c r="AD1386">
        <v>2.686287024151448</v>
      </c>
      <c r="AE1386">
        <v>0.87180945729748882</v>
      </c>
      <c r="AF1386">
        <v>3.721211634710446E-3</v>
      </c>
      <c r="AG1386">
        <v>2.691299138114156</v>
      </c>
      <c r="AH1386">
        <v>0.8760960703878049</v>
      </c>
      <c r="AI1386">
        <v>2.0810574930136701E-3</v>
      </c>
    </row>
    <row r="1387" spans="23:35" x14ac:dyDescent="0.25">
      <c r="W1387">
        <v>1385</v>
      </c>
      <c r="X1387">
        <v>79.787141204357695</v>
      </c>
      <c r="Y1387">
        <v>8.2128587956423047</v>
      </c>
      <c r="Z1387">
        <v>79.752764222878113</v>
      </c>
      <c r="AA1387">
        <v>0.99575500303214071</v>
      </c>
      <c r="AB1387">
        <v>77.2</v>
      </c>
      <c r="AC1387">
        <v>2.428517260365656</v>
      </c>
      <c r="AD1387">
        <v>1.8854880258072693</v>
      </c>
      <c r="AE1387">
        <v>0.87567602916366494</v>
      </c>
      <c r="AF1387">
        <v>4.168303466592414E-3</v>
      </c>
      <c r="AG1387">
        <v>1.8894299967322867</v>
      </c>
      <c r="AH1387">
        <v>0.88249360654278231</v>
      </c>
      <c r="AI1387">
        <v>1.1494541266342975E-3</v>
      </c>
    </row>
    <row r="1388" spans="23:35" x14ac:dyDescent="0.25">
      <c r="W1388">
        <v>1386</v>
      </c>
      <c r="X1388">
        <v>73.195128611450016</v>
      </c>
      <c r="Y1388">
        <v>7.8048713885499836</v>
      </c>
      <c r="Z1388">
        <v>73.115331832964742</v>
      </c>
      <c r="AA1388">
        <v>0.93571861734384476</v>
      </c>
      <c r="AB1388">
        <v>77.2</v>
      </c>
      <c r="AC1388">
        <v>1.4576525936309466</v>
      </c>
      <c r="AD1388">
        <v>1.7918232752138596</v>
      </c>
      <c r="AE1388">
        <v>0.87612441643673122</v>
      </c>
      <c r="AF1388">
        <v>1.0120499277179226E-2</v>
      </c>
      <c r="AG1388">
        <v>1.8009597563933764</v>
      </c>
      <c r="AH1388">
        <v>0.88279719141865487</v>
      </c>
      <c r="AI1388">
        <v>2.550846187020193E-3</v>
      </c>
    </row>
    <row r="1389" spans="23:35" x14ac:dyDescent="0.25">
      <c r="W1389">
        <v>1387</v>
      </c>
      <c r="X1389">
        <v>79.109069384030263</v>
      </c>
      <c r="Y1389">
        <v>1.8909306159697366</v>
      </c>
      <c r="Z1389">
        <v>79.101850509771765</v>
      </c>
      <c r="AA1389">
        <v>0.93571861734384476</v>
      </c>
      <c r="AB1389">
        <v>77.2</v>
      </c>
      <c r="AC1389">
        <v>1.4576525936309466</v>
      </c>
      <c r="AD1389">
        <v>0.43411522379211537</v>
      </c>
      <c r="AE1389">
        <v>0.87973686189398281</v>
      </c>
      <c r="AF1389">
        <v>3.803111554521091E-3</v>
      </c>
      <c r="AG1389">
        <v>0.4349430801763402</v>
      </c>
      <c r="AH1389">
        <v>0.88772999258478325</v>
      </c>
      <c r="AI1389">
        <v>5.5554006175390179E-5</v>
      </c>
    </row>
    <row r="1390" spans="23:35" x14ac:dyDescent="0.25">
      <c r="W1390">
        <v>1388</v>
      </c>
      <c r="X1390">
        <v>78.756617529752901</v>
      </c>
      <c r="Y1390">
        <v>0.64338247024710427</v>
      </c>
      <c r="Z1390">
        <v>78.754456985023481</v>
      </c>
      <c r="AA1390">
        <v>0.90661006670709521</v>
      </c>
      <c r="AB1390">
        <v>77.3</v>
      </c>
      <c r="AC1390">
        <v>1.2933897637306977</v>
      </c>
      <c r="AD1390">
        <v>0.14770617319134663</v>
      </c>
      <c r="AE1390">
        <v>0.88615035735167669</v>
      </c>
      <c r="AF1390">
        <v>3.346864080776257E-3</v>
      </c>
      <c r="AG1390">
        <v>0.1479539716186429</v>
      </c>
      <c r="AH1390">
        <v>0.88836288153151355</v>
      </c>
      <c r="AI1390">
        <v>5.654626720761616E-6</v>
      </c>
    </row>
    <row r="1391" spans="23:35" x14ac:dyDescent="0.25">
      <c r="W1391">
        <v>1389</v>
      </c>
      <c r="X1391">
        <v>76.500492563047956</v>
      </c>
      <c r="Y1391">
        <v>2.9995074369520438</v>
      </c>
      <c r="Z1391">
        <v>76.487428321557886</v>
      </c>
      <c r="AA1391">
        <v>0.90964220739842327</v>
      </c>
      <c r="AB1391">
        <v>77.3</v>
      </c>
      <c r="AC1391">
        <v>1.3219841213691266</v>
      </c>
      <c r="AD1391">
        <v>0.68861957771558491</v>
      </c>
      <c r="AE1391">
        <v>0.88904121145401516</v>
      </c>
      <c r="AF1391">
        <v>4.3365744900118611E-3</v>
      </c>
      <c r="AG1391">
        <v>0.69011757666515727</v>
      </c>
      <c r="AH1391">
        <v>0.8902204704185207</v>
      </c>
      <c r="AI1391">
        <v>1.5956479608565023E-4</v>
      </c>
    </row>
    <row r="1392" spans="23:35" x14ac:dyDescent="0.25">
      <c r="W1392">
        <v>1390</v>
      </c>
      <c r="X1392">
        <v>77.738443538742033</v>
      </c>
      <c r="Y1392">
        <v>1.6615564612579732</v>
      </c>
      <c r="Z1392">
        <v>77.735109565394225</v>
      </c>
      <c r="AA1392">
        <v>0.90661006670709521</v>
      </c>
      <c r="AB1392">
        <v>77.3</v>
      </c>
      <c r="AC1392">
        <v>1.2933897637306977</v>
      </c>
      <c r="AD1392">
        <v>0.38145606662163456</v>
      </c>
      <c r="AE1392">
        <v>0.89379482283952449</v>
      </c>
      <c r="AF1392">
        <v>2.0025181708719594E-3</v>
      </c>
      <c r="AG1392">
        <v>0.38183857755882561</v>
      </c>
      <c r="AH1392">
        <v>0.89475338359235823</v>
      </c>
      <c r="AI1392">
        <v>2.2504184245442433E-5</v>
      </c>
    </row>
    <row r="1393" spans="23:35" x14ac:dyDescent="0.25">
      <c r="W1393">
        <v>1391</v>
      </c>
      <c r="X1393">
        <v>77.502452853078864</v>
      </c>
      <c r="Y1393">
        <v>1.59754714692113</v>
      </c>
      <c r="Z1393">
        <v>77.498387765633126</v>
      </c>
      <c r="AA1393">
        <v>0.89326864766525171</v>
      </c>
      <c r="AB1393">
        <v>77.3</v>
      </c>
      <c r="AC1393">
        <v>1.2294035019788656</v>
      </c>
      <c r="AD1393">
        <v>0.36676096486409693</v>
      </c>
      <c r="AE1393">
        <v>0.89427340903600572</v>
      </c>
      <c r="AF1393">
        <v>2.5381221237625552E-3</v>
      </c>
      <c r="AG1393">
        <v>0.36722729481339156</v>
      </c>
      <c r="AH1393">
        <v>0.89885974834095461</v>
      </c>
      <c r="AI1393">
        <v>2.6396282212348122E-5</v>
      </c>
    </row>
    <row r="1394" spans="23:35" x14ac:dyDescent="0.25">
      <c r="W1394">
        <v>1392</v>
      </c>
      <c r="X1394">
        <v>70.664507242373872</v>
      </c>
      <c r="Y1394">
        <v>4.0354927576261304</v>
      </c>
      <c r="Z1394">
        <v>70.634770648059856</v>
      </c>
      <c r="AA1394">
        <v>0.7362037598544573</v>
      </c>
      <c r="AB1394">
        <v>77.3</v>
      </c>
      <c r="AC1394">
        <v>0.61415241452626612</v>
      </c>
      <c r="AD1394">
        <v>0.92645855262643129</v>
      </c>
      <c r="AE1394">
        <v>0.89438912987275132</v>
      </c>
      <c r="AF1394">
        <v>7.3148626411001496E-3</v>
      </c>
      <c r="AG1394">
        <v>0.92986571478247448</v>
      </c>
      <c r="AH1394">
        <v>0.9016495317715203</v>
      </c>
      <c r="AI1394">
        <v>4.9010797972484004E-4</v>
      </c>
    </row>
    <row r="1395" spans="23:35" x14ac:dyDescent="0.25">
      <c r="W1395">
        <v>1393</v>
      </c>
      <c r="X1395">
        <v>70.567665712598625</v>
      </c>
      <c r="Y1395">
        <v>4.032334287401369</v>
      </c>
      <c r="Z1395">
        <v>70.538516094851076</v>
      </c>
      <c r="AA1395">
        <v>0.73013947847180105</v>
      </c>
      <c r="AB1395">
        <v>77.5</v>
      </c>
      <c r="AC1395">
        <v>0.59589828697336056</v>
      </c>
      <c r="AD1395">
        <v>0.92573343876086522</v>
      </c>
      <c r="AE1395">
        <v>0.89566141360290386</v>
      </c>
      <c r="AF1395">
        <v>7.177085623949182E-3</v>
      </c>
      <c r="AG1395">
        <v>0.92907346235650012</v>
      </c>
      <c r="AH1395">
        <v>0.90344032035106836</v>
      </c>
      <c r="AI1395">
        <v>4.7999099919831579E-4</v>
      </c>
    </row>
    <row r="1396" spans="23:35" x14ac:dyDescent="0.25">
      <c r="W1396">
        <v>1394</v>
      </c>
      <c r="X1396">
        <v>70.315612408647013</v>
      </c>
      <c r="Y1396">
        <v>4.1843875913529871</v>
      </c>
      <c r="Z1396">
        <v>70.283827829903331</v>
      </c>
      <c r="AA1396">
        <v>0.72407519708914492</v>
      </c>
      <c r="AB1396">
        <v>77.5</v>
      </c>
      <c r="AC1396">
        <v>0.56531175535073552</v>
      </c>
      <c r="AD1396">
        <v>0.96064146421447805</v>
      </c>
      <c r="AE1396">
        <v>0.89591140784075141</v>
      </c>
      <c r="AF1396">
        <v>7.5387288425058704E-3</v>
      </c>
      <c r="AG1396">
        <v>0.96428307479137254</v>
      </c>
      <c r="AH1396">
        <v>0.90344870006871303</v>
      </c>
      <c r="AI1396">
        <v>5.4331324205203328E-4</v>
      </c>
    </row>
    <row r="1397" spans="23:35" x14ac:dyDescent="0.25">
      <c r="W1397">
        <v>1395</v>
      </c>
      <c r="X1397">
        <v>68.92888255449806</v>
      </c>
      <c r="Y1397">
        <v>5.5711174455019403</v>
      </c>
      <c r="Z1397">
        <v>68.880339768035057</v>
      </c>
      <c r="AA1397">
        <v>0.72407519708914492</v>
      </c>
      <c r="AB1397">
        <v>77.5</v>
      </c>
      <c r="AC1397">
        <v>0.56531175535073552</v>
      </c>
      <c r="AD1397">
        <v>1.2790035108643776</v>
      </c>
      <c r="AE1397">
        <v>0.89972929994096462</v>
      </c>
      <c r="AF1397">
        <v>8.6380287169113817E-3</v>
      </c>
      <c r="AG1397">
        <v>1.2845635925431009</v>
      </c>
      <c r="AH1397">
        <v>0.90545231304053753</v>
      </c>
      <c r="AI1397">
        <v>1.1059875897791117E-3</v>
      </c>
    </row>
    <row r="1398" spans="23:35" x14ac:dyDescent="0.25">
      <c r="W1398">
        <v>1396</v>
      </c>
      <c r="X1398">
        <v>70.260929513621676</v>
      </c>
      <c r="Y1398">
        <v>4.2390704863783242</v>
      </c>
      <c r="Z1398">
        <v>70.229946793328097</v>
      </c>
      <c r="AA1398">
        <v>0.72407519708914492</v>
      </c>
      <c r="AB1398">
        <v>77.599999999999994</v>
      </c>
      <c r="AC1398">
        <v>0.56531175535073552</v>
      </c>
      <c r="AD1398">
        <v>0.9731954294478089</v>
      </c>
      <c r="AE1398">
        <v>0.90114373129180014</v>
      </c>
      <c r="AF1398">
        <v>7.2558159802704339E-3</v>
      </c>
      <c r="AG1398">
        <v>0.97674542322200686</v>
      </c>
      <c r="AH1398">
        <v>0.90793699658816196</v>
      </c>
      <c r="AI1398">
        <v>5.3637475087588951E-4</v>
      </c>
    </row>
    <row r="1399" spans="23:35" x14ac:dyDescent="0.25">
      <c r="W1399">
        <v>1397</v>
      </c>
      <c r="X1399">
        <v>69.781418926559112</v>
      </c>
      <c r="Y1399">
        <v>2.0185810734408847</v>
      </c>
      <c r="Z1399">
        <v>69.766643486395424</v>
      </c>
      <c r="AA1399">
        <v>0.51061249241964823</v>
      </c>
      <c r="AB1399">
        <v>77.599999999999994</v>
      </c>
      <c r="AC1399">
        <v>1.0640830227304372E-2</v>
      </c>
      <c r="AD1399">
        <v>0.46342090346341025</v>
      </c>
      <c r="AE1399">
        <v>0.90268913100280845</v>
      </c>
      <c r="AF1399">
        <v>7.266527077187699E-3</v>
      </c>
      <c r="AG1399">
        <v>0.46511386580995812</v>
      </c>
      <c r="AH1399">
        <v>0.90982480845966085</v>
      </c>
      <c r="AI1399">
        <v>1.2180621600061097E-4</v>
      </c>
    </row>
    <row r="1400" spans="23:35" x14ac:dyDescent="0.25">
      <c r="W1400">
        <v>1398</v>
      </c>
      <c r="X1400">
        <v>69.704371370537046</v>
      </c>
      <c r="Y1400">
        <v>2.5956286294629507</v>
      </c>
      <c r="Z1400">
        <v>69.685323155629533</v>
      </c>
      <c r="AA1400">
        <v>0.54578532443905392</v>
      </c>
      <c r="AB1400">
        <v>77.599999999999994</v>
      </c>
      <c r="AC1400">
        <v>9.896716322379942E-2</v>
      </c>
      <c r="AD1400">
        <v>0.59589806936552581</v>
      </c>
      <c r="AE1400">
        <v>0.90367384140913232</v>
      </c>
      <c r="AF1400">
        <v>7.2851124790146802E-3</v>
      </c>
      <c r="AG1400">
        <v>0.59808059381431944</v>
      </c>
      <c r="AH1400">
        <v>0.91036532956912075</v>
      </c>
      <c r="AI1400">
        <v>2.0192393269480367E-4</v>
      </c>
    </row>
    <row r="1401" spans="23:35" x14ac:dyDescent="0.25">
      <c r="W1401">
        <v>1399</v>
      </c>
      <c r="X1401">
        <v>69.726282228311803</v>
      </c>
      <c r="Y1401">
        <v>3.9737177716882002</v>
      </c>
      <c r="Z1401">
        <v>69.698083227833678</v>
      </c>
      <c r="AA1401">
        <v>0.66040024257125529</v>
      </c>
      <c r="AB1401">
        <v>77.599999999999994</v>
      </c>
      <c r="AC1401">
        <v>0.39787592189543292</v>
      </c>
      <c r="AD1401">
        <v>0.91227640251541497</v>
      </c>
      <c r="AE1401">
        <v>0.90724081137376822</v>
      </c>
      <c r="AF1401">
        <v>7.0463735463590048E-3</v>
      </c>
      <c r="AG1401">
        <v>0.9155076089484907</v>
      </c>
      <c r="AH1401">
        <v>0.91413499415949406</v>
      </c>
      <c r="AI1401">
        <v>4.5752756056991644E-4</v>
      </c>
    </row>
    <row r="1402" spans="23:35" x14ac:dyDescent="0.25">
      <c r="W1402">
        <v>1400</v>
      </c>
      <c r="X1402">
        <v>69.663236903670096</v>
      </c>
      <c r="Y1402">
        <v>4.1367630963299007</v>
      </c>
      <c r="Z1402">
        <v>69.634877393430216</v>
      </c>
      <c r="AA1402">
        <v>0.66767738023044265</v>
      </c>
      <c r="AB1402">
        <v>77.7</v>
      </c>
      <c r="AC1402">
        <v>0.4143837514429769</v>
      </c>
      <c r="AD1402">
        <v>0.94970794918207635</v>
      </c>
      <c r="AE1402">
        <v>0.90772353811389883</v>
      </c>
      <c r="AF1402">
        <v>6.8088056267891538E-3</v>
      </c>
      <c r="AG1402">
        <v>0.95295774245264109</v>
      </c>
      <c r="AH1402">
        <v>0.9155076089484907</v>
      </c>
      <c r="AI1402">
        <v>4.7889688200086853E-4</v>
      </c>
    </row>
    <row r="1403" spans="23:35" x14ac:dyDescent="0.25">
      <c r="W1403">
        <v>1401</v>
      </c>
      <c r="X1403">
        <v>69.525477633113084</v>
      </c>
      <c r="Y1403">
        <v>4.6745223668869187</v>
      </c>
      <c r="Z1403">
        <v>69.493467248474147</v>
      </c>
      <c r="AA1403">
        <v>0.7010309278350515</v>
      </c>
      <c r="AB1403">
        <v>77.7</v>
      </c>
      <c r="AC1403">
        <v>0.5039283835636299</v>
      </c>
      <c r="AD1403">
        <v>1.0731654066437948</v>
      </c>
      <c r="AE1403">
        <v>0.91227640251541497</v>
      </c>
      <c r="AF1403">
        <v>6.8012667347443776E-3</v>
      </c>
      <c r="AG1403">
        <v>1.0768335704960876</v>
      </c>
      <c r="AH1403">
        <v>0.91767106554040523</v>
      </c>
      <c r="AI1403">
        <v>6.1081187374049906E-4</v>
      </c>
    </row>
    <row r="1404" spans="23:35" x14ac:dyDescent="0.25">
      <c r="W1404">
        <v>1402</v>
      </c>
      <c r="X1404">
        <v>69.357332284335499</v>
      </c>
      <c r="Y1404">
        <v>-0.25733228433550437</v>
      </c>
      <c r="Z1404">
        <v>69.359337079215081</v>
      </c>
      <c r="AA1404">
        <v>0.42510612492419647</v>
      </c>
      <c r="AB1404">
        <v>77.7</v>
      </c>
      <c r="AC1404">
        <v>-0.198915705174462</v>
      </c>
      <c r="AD1404">
        <v>-5.9077716157212842E-2</v>
      </c>
      <c r="AE1404">
        <v>0.91256102413929407</v>
      </c>
      <c r="AF1404">
        <v>7.7304598542326589E-3</v>
      </c>
      <c r="AG1404">
        <v>-5.9307397632489697E-2</v>
      </c>
      <c r="AH1404">
        <v>0.91821661885157246</v>
      </c>
      <c r="AI1404">
        <v>2.1079002370853425E-6</v>
      </c>
    </row>
    <row r="1405" spans="23:35" x14ac:dyDescent="0.25">
      <c r="W1405">
        <v>1403</v>
      </c>
      <c r="X1405">
        <v>69.471523181249154</v>
      </c>
      <c r="Y1405">
        <v>4.4284768187508519</v>
      </c>
      <c r="Z1405">
        <v>69.41920517412737</v>
      </c>
      <c r="AA1405">
        <v>0.67919951485748942</v>
      </c>
      <c r="AB1405">
        <v>77.8</v>
      </c>
      <c r="AC1405">
        <v>0.43434378704136062</v>
      </c>
      <c r="AD1405">
        <v>1.0166788717651125</v>
      </c>
      <c r="AE1405">
        <v>0.91674724857281142</v>
      </c>
      <c r="AF1405">
        <v>1.1676055064984221E-2</v>
      </c>
      <c r="AG1405">
        <v>1.022666758502317</v>
      </c>
      <c r="AH1405">
        <v>0.92348687740804625</v>
      </c>
      <c r="AI1405">
        <v>9.5043351809708237E-4</v>
      </c>
    </row>
    <row r="1406" spans="23:35" x14ac:dyDescent="0.25">
      <c r="W1406">
        <v>1404</v>
      </c>
      <c r="X1406">
        <v>73.878788254805983</v>
      </c>
      <c r="Y1406">
        <v>-2.478788254805977</v>
      </c>
      <c r="Z1406">
        <v>73.882263154223892</v>
      </c>
      <c r="AA1406">
        <v>0.4887810794420861</v>
      </c>
      <c r="AB1406">
        <v>77.8</v>
      </c>
      <c r="AC1406">
        <v>-4.7140240828996732E-2</v>
      </c>
      <c r="AD1406">
        <v>-0.56907414205492246</v>
      </c>
      <c r="AE1406">
        <v>0.91862108389116315</v>
      </c>
      <c r="AF1406">
        <v>1.3998916319548924E-3</v>
      </c>
      <c r="AG1406">
        <v>-0.56947288181284483</v>
      </c>
      <c r="AH1406">
        <v>0.92501535461890172</v>
      </c>
      <c r="AI1406">
        <v>3.497079876550121E-5</v>
      </c>
    </row>
    <row r="1407" spans="23:35" x14ac:dyDescent="0.25">
      <c r="W1407">
        <v>1405</v>
      </c>
      <c r="X1407">
        <v>73.858724112519326</v>
      </c>
      <c r="Y1407">
        <v>-2.6587241125193231</v>
      </c>
      <c r="Z1407">
        <v>73.862162178090514</v>
      </c>
      <c r="AA1407">
        <v>0.47907822922983628</v>
      </c>
      <c r="AB1407">
        <v>77.8</v>
      </c>
      <c r="AC1407">
        <v>-6.3887210036911155E-2</v>
      </c>
      <c r="AD1407">
        <v>-0.61038337597379699</v>
      </c>
      <c r="AE1407">
        <v>0.91968051217109215</v>
      </c>
      <c r="AF1407">
        <v>1.2914560951548431E-3</v>
      </c>
      <c r="AG1407">
        <v>-0.61077789981325326</v>
      </c>
      <c r="AH1407">
        <v>0.92809283104888896</v>
      </c>
      <c r="AI1407">
        <v>3.7107710295477955E-5</v>
      </c>
    </row>
    <row r="1408" spans="23:35" x14ac:dyDescent="0.25">
      <c r="W1408">
        <v>1406</v>
      </c>
      <c r="X1408">
        <v>73.340077894510785</v>
      </c>
      <c r="Y1408">
        <v>-2.0400778945107874</v>
      </c>
      <c r="Z1408">
        <v>73.342655238066556</v>
      </c>
      <c r="AA1408">
        <v>0.48089751364463312</v>
      </c>
      <c r="AB1408">
        <v>77.900000000000006</v>
      </c>
      <c r="AC1408">
        <v>-5.1706087511076533E-2</v>
      </c>
      <c r="AD1408">
        <v>-0.46835609104288367</v>
      </c>
      <c r="AE1408">
        <v>0.92194180052003649</v>
      </c>
      <c r="AF1408">
        <v>1.2617614111934663E-3</v>
      </c>
      <c r="AG1408">
        <v>-0.4686518477743416</v>
      </c>
      <c r="AH1408">
        <v>0.92901609160786536</v>
      </c>
      <c r="AI1408">
        <v>2.1344347268710408E-5</v>
      </c>
    </row>
    <row r="1409" spans="23:35" x14ac:dyDescent="0.25">
      <c r="W1409">
        <v>1407</v>
      </c>
      <c r="X1409">
        <v>73.533823239354106</v>
      </c>
      <c r="Y1409">
        <v>2.4661767606458938</v>
      </c>
      <c r="Z1409">
        <v>73.53091473947633</v>
      </c>
      <c r="AA1409">
        <v>0.80836870830806551</v>
      </c>
      <c r="AB1409">
        <v>78</v>
      </c>
      <c r="AC1409">
        <v>0.83794453378675593</v>
      </c>
      <c r="AD1409">
        <v>0.56617882608540981</v>
      </c>
      <c r="AE1409">
        <v>0.92573343876086522</v>
      </c>
      <c r="AF1409">
        <v>1.1779665628708098E-3</v>
      </c>
      <c r="AG1409">
        <v>0.56651259085003913</v>
      </c>
      <c r="AH1409">
        <v>0.92907346235650012</v>
      </c>
      <c r="AI1409">
        <v>2.9115257120218483E-5</v>
      </c>
    </row>
    <row r="1410" spans="23:35" x14ac:dyDescent="0.25">
      <c r="W1410">
        <v>1408</v>
      </c>
      <c r="X1410">
        <v>72.882932353524282</v>
      </c>
      <c r="Y1410">
        <v>0.11706764647571788</v>
      </c>
      <c r="Z1410">
        <v>72.88274955945684</v>
      </c>
      <c r="AA1410">
        <v>0.60946027895694366</v>
      </c>
      <c r="AB1410">
        <v>78</v>
      </c>
      <c r="AC1410">
        <v>0.22222871718700732</v>
      </c>
      <c r="AD1410">
        <v>2.6876103818626772E-2</v>
      </c>
      <c r="AE1410">
        <v>0.92645855262643129</v>
      </c>
      <c r="AF1410">
        <v>1.5590053785664983E-3</v>
      </c>
      <c r="AG1410">
        <v>2.6897078341565048E-2</v>
      </c>
      <c r="AH1410">
        <v>0.92986571478247448</v>
      </c>
      <c r="AI1410">
        <v>8.6894456824246977E-8</v>
      </c>
    </row>
    <row r="1411" spans="23:35" x14ac:dyDescent="0.25">
      <c r="W1411">
        <v>1409</v>
      </c>
      <c r="X1411">
        <v>72.925840131880989</v>
      </c>
      <c r="Y1411">
        <v>-2.9258401318809888</v>
      </c>
      <c r="Z1411">
        <v>72.929012413553238</v>
      </c>
      <c r="AA1411">
        <v>0.46088538508186777</v>
      </c>
      <c r="AB1411">
        <v>78</v>
      </c>
      <c r="AC1411">
        <v>-0.10660788786182936</v>
      </c>
      <c r="AD1411">
        <v>-0.67170721807795619</v>
      </c>
      <c r="AE1411">
        <v>0.93251509165290336</v>
      </c>
      <c r="AF1411">
        <v>1.0830550452995795E-3</v>
      </c>
      <c r="AG1411">
        <v>-0.67207126175992138</v>
      </c>
      <c r="AH1411">
        <v>0.933996977170238</v>
      </c>
      <c r="AI1411">
        <v>3.767111262287765E-5</v>
      </c>
    </row>
    <row r="1412" spans="23:35" x14ac:dyDescent="0.25">
      <c r="W1412">
        <v>1410</v>
      </c>
      <c r="X1412">
        <v>72.28236621685457</v>
      </c>
      <c r="Y1412">
        <v>-2.4823662168545724</v>
      </c>
      <c r="Z1412">
        <v>72.284928359618235</v>
      </c>
      <c r="AA1412">
        <v>0.4530018192844148</v>
      </c>
      <c r="AB1412">
        <v>78</v>
      </c>
      <c r="AC1412">
        <v>-0.12344005334831042</v>
      </c>
      <c r="AD1412">
        <v>-0.56989556182692669</v>
      </c>
      <c r="AE1412">
        <v>0.93558368674530801</v>
      </c>
      <c r="AF1412">
        <v>1.0310730905993563E-3</v>
      </c>
      <c r="AG1412">
        <v>-0.57018959120993773</v>
      </c>
      <c r="AH1412">
        <v>0.93723484001621737</v>
      </c>
      <c r="AI1412">
        <v>2.5812655821547184E-5</v>
      </c>
    </row>
    <row r="1413" spans="23:35" x14ac:dyDescent="0.25">
      <c r="W1413">
        <v>1411</v>
      </c>
      <c r="X1413">
        <v>72.185790387540777</v>
      </c>
      <c r="Y1413">
        <v>-2.6857903875407771</v>
      </c>
      <c r="Z1413">
        <v>72.188531999443796</v>
      </c>
      <c r="AA1413">
        <v>0.44269254093389931</v>
      </c>
      <c r="AB1413">
        <v>78</v>
      </c>
      <c r="AC1413">
        <v>-0.15567569037416348</v>
      </c>
      <c r="AD1413">
        <v>-0.61659718516326412</v>
      </c>
      <c r="AE1413">
        <v>0.93692469740493634</v>
      </c>
      <c r="AF1413">
        <v>1.0197430804561257E-3</v>
      </c>
      <c r="AG1413">
        <v>-0.61691181116849114</v>
      </c>
      <c r="AH1413">
        <v>0.93778371615924772</v>
      </c>
      <c r="AI1413">
        <v>2.9883859083703299E-5</v>
      </c>
    </row>
    <row r="1414" spans="23:35" x14ac:dyDescent="0.25">
      <c r="W1414">
        <v>1412</v>
      </c>
      <c r="X1414">
        <v>71.652542577218213</v>
      </c>
      <c r="Y1414">
        <v>-2.352542577218216</v>
      </c>
      <c r="Z1414">
        <v>71.655387089574603</v>
      </c>
      <c r="AA1414">
        <v>0.4329896907216495</v>
      </c>
      <c r="AB1414">
        <v>78</v>
      </c>
      <c r="AC1414">
        <v>-0.17879863688351211</v>
      </c>
      <c r="AD1414">
        <v>-0.54009096831182235</v>
      </c>
      <c r="AE1414">
        <v>0.93753970016532406</v>
      </c>
      <c r="AF1414">
        <v>1.2076623706459293E-3</v>
      </c>
      <c r="AG1414">
        <v>-0.54041738776454007</v>
      </c>
      <c r="AH1414">
        <v>0.9391087440942949</v>
      </c>
      <c r="AI1414">
        <v>2.716349250061513E-5</v>
      </c>
    </row>
    <row r="1415" spans="23:35" x14ac:dyDescent="0.25">
      <c r="W1415">
        <v>1413</v>
      </c>
      <c r="X1415">
        <v>71.871717138867055</v>
      </c>
      <c r="Y1415">
        <v>-2.9717171388670494</v>
      </c>
      <c r="Z1415">
        <v>71.874871845435464</v>
      </c>
      <c r="AA1415">
        <v>0.41479684657368104</v>
      </c>
      <c r="AB1415">
        <v>78</v>
      </c>
      <c r="AC1415">
        <v>-0.22378708008709278</v>
      </c>
      <c r="AD1415">
        <v>-0.68223954908284212</v>
      </c>
      <c r="AE1415">
        <v>0.94020943853411676</v>
      </c>
      <c r="AF1415">
        <v>1.0604512504462857E-3</v>
      </c>
      <c r="AG1415">
        <v>-0.68260157793522702</v>
      </c>
      <c r="AH1415">
        <v>0.94260062176081549</v>
      </c>
      <c r="AI1415">
        <v>3.8048954207384215E-5</v>
      </c>
    </row>
    <row r="1416" spans="23:35" x14ac:dyDescent="0.25">
      <c r="W1416">
        <v>1414</v>
      </c>
      <c r="X1416">
        <v>64.867658517078539</v>
      </c>
      <c r="Y1416">
        <v>-6.4676585170785401</v>
      </c>
      <c r="Z1416">
        <v>64.89625390365876</v>
      </c>
      <c r="AA1416">
        <v>0.1406913280776228</v>
      </c>
      <c r="AB1416">
        <v>78</v>
      </c>
      <c r="AC1416">
        <v>-1.0895196306228982</v>
      </c>
      <c r="AD1416">
        <v>-1.4848292162812322</v>
      </c>
      <c r="AE1416">
        <v>0.94078853756214964</v>
      </c>
      <c r="AF1416">
        <v>4.4018271151796268E-3</v>
      </c>
      <c r="AG1416">
        <v>-1.4881080255772174</v>
      </c>
      <c r="AH1416">
        <v>0.94358355539650218</v>
      </c>
      <c r="AI1416">
        <v>7.5313781823796726E-4</v>
      </c>
    </row>
    <row r="1417" spans="23:35" x14ac:dyDescent="0.25">
      <c r="W1417">
        <v>1415</v>
      </c>
      <c r="X1417">
        <v>63.301339073237671</v>
      </c>
      <c r="Y1417">
        <v>-5.7013390732376692</v>
      </c>
      <c r="Z1417">
        <v>63.33183887854004</v>
      </c>
      <c r="AA1417">
        <v>0.12431776834445118</v>
      </c>
      <c r="AB1417">
        <v>78</v>
      </c>
      <c r="AC1417">
        <v>-1.1700898139672218</v>
      </c>
      <c r="AD1417">
        <v>-1.3088994735134767</v>
      </c>
      <c r="AE1417">
        <v>0.94221142732780139</v>
      </c>
      <c r="AF1417">
        <v>5.3211204900677428E-3</v>
      </c>
      <c r="AG1417">
        <v>-1.3123958390580508</v>
      </c>
      <c r="AH1417">
        <v>0.94631689131990793</v>
      </c>
      <c r="AI1417">
        <v>7.0877196974548147E-4</v>
      </c>
    </row>
    <row r="1418" spans="23:35" x14ac:dyDescent="0.25">
      <c r="W1418">
        <v>1416</v>
      </c>
      <c r="X1418">
        <v>59.513916341884013</v>
      </c>
      <c r="Y1418">
        <v>-3.0139163418840127</v>
      </c>
      <c r="Z1418">
        <v>59.536477930625367</v>
      </c>
      <c r="AA1418">
        <v>0.10066707095209218</v>
      </c>
      <c r="AB1418">
        <v>78</v>
      </c>
      <c r="AC1418">
        <v>-1.2898891601746336</v>
      </c>
      <c r="AD1418">
        <v>-0.69192753885192371</v>
      </c>
      <c r="AE1418">
        <v>0.94449834693780466</v>
      </c>
      <c r="AF1418">
        <v>7.4301836722732214E-3</v>
      </c>
      <c r="AG1418">
        <v>-0.69451252735999902</v>
      </c>
      <c r="AH1418">
        <v>0.94659811913841896</v>
      </c>
      <c r="AI1418">
        <v>2.7775078847294048E-4</v>
      </c>
    </row>
    <row r="1419" spans="23:35" x14ac:dyDescent="0.25">
      <c r="W1419">
        <v>1417</v>
      </c>
      <c r="X1419">
        <v>56.708133547756354</v>
      </c>
      <c r="Y1419">
        <v>-1.7081335477563542</v>
      </c>
      <c r="Z1419">
        <v>56.720185534276418</v>
      </c>
      <c r="AA1419">
        <v>8.1261370527592483E-2</v>
      </c>
      <c r="AB1419">
        <v>78</v>
      </c>
      <c r="AC1419">
        <v>-1.4067868590764927</v>
      </c>
      <c r="AD1419">
        <v>-0.39214912016789594</v>
      </c>
      <c r="AE1419">
        <v>0.94498474333675608</v>
      </c>
      <c r="AF1419">
        <v>7.0062131554509991E-3</v>
      </c>
      <c r="AG1419">
        <v>-0.39353012127302262</v>
      </c>
      <c r="AH1419">
        <v>0.94844009243662009</v>
      </c>
      <c r="AI1419">
        <v>8.4052265062533054E-5</v>
      </c>
    </row>
    <row r="1420" spans="23:35" x14ac:dyDescent="0.25">
      <c r="W1420">
        <v>1418</v>
      </c>
      <c r="X1420">
        <v>54.451779923450523</v>
      </c>
      <c r="Y1420">
        <v>-0.85177992345052189</v>
      </c>
      <c r="Z1420">
        <v>54.458593176561735</v>
      </c>
      <c r="AA1420">
        <v>6.4887810794420867E-2</v>
      </c>
      <c r="AB1420">
        <v>78</v>
      </c>
      <c r="AC1420">
        <v>-1.5319668124298669</v>
      </c>
      <c r="AD1420">
        <v>-0.19554955055858708</v>
      </c>
      <c r="AE1420">
        <v>0.94880234833007726</v>
      </c>
      <c r="AF1420">
        <v>7.9353683411491314E-3</v>
      </c>
      <c r="AG1420">
        <v>-0.1963300778275511</v>
      </c>
      <c r="AH1420">
        <v>0.9515866287602871</v>
      </c>
      <c r="AI1420">
        <v>2.3716874140424777E-5</v>
      </c>
    </row>
    <row r="1421" spans="23:35" x14ac:dyDescent="0.25">
      <c r="W1421">
        <v>1419</v>
      </c>
      <c r="X1421">
        <v>46.834145472069046</v>
      </c>
      <c r="Y1421">
        <v>5.765854527930955</v>
      </c>
      <c r="Z1421">
        <v>46.724925592355028</v>
      </c>
      <c r="AA1421">
        <v>5.5184960582171011E-2</v>
      </c>
      <c r="AB1421">
        <v>78</v>
      </c>
      <c r="AC1421">
        <v>-1.6158584342289828</v>
      </c>
      <c r="AD1421">
        <v>1.3237107737355438</v>
      </c>
      <c r="AE1421">
        <v>0.94970794918207635</v>
      </c>
      <c r="AF1421">
        <v>1.8590382374033165E-2</v>
      </c>
      <c r="AG1421">
        <v>1.3361891742009127</v>
      </c>
      <c r="AH1421">
        <v>0.95295774245264109</v>
      </c>
      <c r="AI1421">
        <v>2.6015403019097544E-3</v>
      </c>
    </row>
    <row r="1422" spans="23:35" x14ac:dyDescent="0.25">
      <c r="W1422">
        <v>1420</v>
      </c>
      <c r="X1422">
        <v>43.427486110871556</v>
      </c>
      <c r="Y1422">
        <v>7.9725138891284431</v>
      </c>
      <c r="Z1422">
        <v>43.147841830535043</v>
      </c>
      <c r="AA1422">
        <v>4.1237113402061855E-2</v>
      </c>
      <c r="AB1422">
        <v>78</v>
      </c>
      <c r="AC1422">
        <v>-1.739949995904148</v>
      </c>
      <c r="AD1422">
        <v>1.8303102302829992</v>
      </c>
      <c r="AE1422">
        <v>0.95544403642377862</v>
      </c>
      <c r="AF1422">
        <v>3.3887411582980483E-2</v>
      </c>
      <c r="AG1422">
        <v>1.8621336006449845</v>
      </c>
      <c r="AH1422">
        <v>0.95611431245168066</v>
      </c>
      <c r="AI1422">
        <v>9.3559733801103634E-3</v>
      </c>
    </row>
    <row r="1423" spans="23:35" x14ac:dyDescent="0.25">
      <c r="W1423">
        <v>1421</v>
      </c>
      <c r="X1423">
        <v>41.92092251520797</v>
      </c>
      <c r="Y1423">
        <v>8.0790774847920304</v>
      </c>
      <c r="Z1423">
        <v>41.697023090890418</v>
      </c>
      <c r="AA1423">
        <v>3.5779260157671314E-2</v>
      </c>
      <c r="AB1423">
        <v>78</v>
      </c>
      <c r="AC1423">
        <v>-1.8215296776288319</v>
      </c>
      <c r="AD1423">
        <v>1.8547748398191173</v>
      </c>
      <c r="AE1423">
        <v>0.96064146421447805</v>
      </c>
      <c r="AF1423">
        <v>2.6966162470222019E-2</v>
      </c>
      <c r="AG1423">
        <v>1.8803003392331465</v>
      </c>
      <c r="AH1423">
        <v>0.96428307479137254</v>
      </c>
      <c r="AI1423">
        <v>7.5370656834813574E-3</v>
      </c>
    </row>
    <row r="1424" spans="23:35" x14ac:dyDescent="0.25">
      <c r="W1424">
        <v>1422</v>
      </c>
      <c r="X1424">
        <v>40.039770887927048</v>
      </c>
      <c r="Y1424">
        <v>7.760229112072949</v>
      </c>
      <c r="Z1424">
        <v>39.789213933306279</v>
      </c>
      <c r="AA1424">
        <v>1.9405700424499697E-2</v>
      </c>
      <c r="AB1424">
        <v>78</v>
      </c>
      <c r="AC1424">
        <v>-2.0994271873972417</v>
      </c>
      <c r="AD1424">
        <v>1.7815744106179059</v>
      </c>
      <c r="AE1424">
        <v>0.96455436274225914</v>
      </c>
      <c r="AF1424">
        <v>3.1277449245898988E-2</v>
      </c>
      <c r="AG1424">
        <v>1.810107055876893</v>
      </c>
      <c r="AH1424">
        <v>0.96687715134340768</v>
      </c>
      <c r="AI1424">
        <v>8.1376140541598533E-3</v>
      </c>
    </row>
    <row r="1425" spans="23:35" x14ac:dyDescent="0.25">
      <c r="W1425">
        <v>1423</v>
      </c>
      <c r="X1425">
        <v>36.472587191106228</v>
      </c>
      <c r="Y1425">
        <v>9.5274128088937715</v>
      </c>
      <c r="Z1425">
        <v>36.076021438033017</v>
      </c>
      <c r="AA1425">
        <v>1.2128562765312311E-2</v>
      </c>
      <c r="AB1425">
        <v>78</v>
      </c>
      <c r="AC1425">
        <v>-2.3261203997549518</v>
      </c>
      <c r="AD1425">
        <v>2.1872801195149618</v>
      </c>
      <c r="AE1425">
        <v>0.96456181729562573</v>
      </c>
      <c r="AF1425">
        <v>3.9960359708255198E-2</v>
      </c>
      <c r="AG1425">
        <v>2.2323373355659291</v>
      </c>
      <c r="AH1425">
        <v>0.96811269875419959</v>
      </c>
      <c r="AI1425">
        <v>1.5955724052241323E-2</v>
      </c>
    </row>
    <row r="1426" spans="23:35" x14ac:dyDescent="0.25">
      <c r="W1426">
        <v>1424</v>
      </c>
      <c r="X1426">
        <v>35.412983798720731</v>
      </c>
      <c r="Y1426">
        <v>10.18701620127927</v>
      </c>
      <c r="Z1426">
        <v>34.966078647915559</v>
      </c>
      <c r="AA1426">
        <v>9.0964220739842335E-3</v>
      </c>
      <c r="AB1426">
        <v>78.099999999999994</v>
      </c>
      <c r="AC1426">
        <v>-2.3742127090260081</v>
      </c>
      <c r="AD1426">
        <v>2.338710252318974</v>
      </c>
      <c r="AE1426">
        <v>0.965072637142949</v>
      </c>
      <c r="AF1426">
        <v>4.2026373527538692E-2</v>
      </c>
      <c r="AG1426">
        <v>2.3894593304414058</v>
      </c>
      <c r="AH1426">
        <v>0.96812544119985466</v>
      </c>
      <c r="AI1426">
        <v>1.9267452504462216E-2</v>
      </c>
    </row>
    <row r="1427" spans="23:35" x14ac:dyDescent="0.25">
      <c r="W1427">
        <v>1425</v>
      </c>
      <c r="X1427">
        <v>35.424742149871925</v>
      </c>
      <c r="Y1427">
        <v>10.475257850128074</v>
      </c>
      <c r="Z1427">
        <v>34.887374904063286</v>
      </c>
      <c r="AA1427">
        <v>9.7028502122498486E-3</v>
      </c>
      <c r="AB1427">
        <v>78.099999999999994</v>
      </c>
      <c r="AC1427">
        <v>-2.3494875599978426</v>
      </c>
      <c r="AD1427">
        <v>2.4048840647473244</v>
      </c>
      <c r="AE1427">
        <v>0.96529223400775854</v>
      </c>
      <c r="AF1427">
        <v>4.8795563376339016E-2</v>
      </c>
      <c r="AG1427">
        <v>2.4657963819495259</v>
      </c>
      <c r="AH1427">
        <v>0.97308124852691047</v>
      </c>
      <c r="AI1427">
        <v>2.3992612453844767E-2</v>
      </c>
    </row>
    <row r="1428" spans="23:35" x14ac:dyDescent="0.25">
      <c r="W1428">
        <v>1426</v>
      </c>
      <c r="X1428">
        <v>35.471148623487039</v>
      </c>
      <c r="Y1428">
        <v>10.928851376512959</v>
      </c>
      <c r="Z1428">
        <v>34.997860785683734</v>
      </c>
      <c r="AA1428">
        <v>1.4554275318374773E-2</v>
      </c>
      <c r="AB1428">
        <v>78.099999999999994</v>
      </c>
      <c r="AC1428">
        <v>-2.2073550198913567</v>
      </c>
      <c r="AD1428">
        <v>2.5090189566117971</v>
      </c>
      <c r="AE1428">
        <v>0.97215375207619514</v>
      </c>
      <c r="AF1428">
        <v>4.1508687879293231E-2</v>
      </c>
      <c r="AG1428">
        <v>2.562771302708692</v>
      </c>
      <c r="AH1428">
        <v>0.97674542322200686</v>
      </c>
      <c r="AI1428">
        <v>2.1878985306820725E-2</v>
      </c>
    </row>
    <row r="1429" spans="23:35" x14ac:dyDescent="0.25">
      <c r="W1429">
        <v>1427</v>
      </c>
      <c r="X1429">
        <v>36.112184590968162</v>
      </c>
      <c r="Y1429">
        <v>10.987815409031839</v>
      </c>
      <c r="Z1429">
        <v>35.659397607705621</v>
      </c>
      <c r="AA1429">
        <v>1.758641600970285E-2</v>
      </c>
      <c r="AB1429">
        <v>78.2</v>
      </c>
      <c r="AC1429">
        <v>-2.1426564926871321</v>
      </c>
      <c r="AD1429">
        <v>2.5225557749151446</v>
      </c>
      <c r="AE1429">
        <v>0.97299554381232889</v>
      </c>
      <c r="AF1429">
        <v>3.9577197750312987E-2</v>
      </c>
      <c r="AG1429">
        <v>2.5740059485921094</v>
      </c>
      <c r="AH1429">
        <v>0.97976812839034455</v>
      </c>
      <c r="AI1429">
        <v>2.1001887054774883E-2</v>
      </c>
    </row>
    <row r="1430" spans="23:35" x14ac:dyDescent="0.25">
      <c r="W1430">
        <v>1428</v>
      </c>
      <c r="X1430">
        <v>37.770406940839329</v>
      </c>
      <c r="Y1430">
        <v>10.629593059160669</v>
      </c>
      <c r="Z1430">
        <v>37.377563942239455</v>
      </c>
      <c r="AA1430">
        <v>2.3044269254093391E-2</v>
      </c>
      <c r="AB1430">
        <v>78.2</v>
      </c>
      <c r="AC1430">
        <v>-2.0001681446016244</v>
      </c>
      <c r="AD1430">
        <v>2.4403159643857086</v>
      </c>
      <c r="AE1430">
        <v>0.9731954294478089</v>
      </c>
      <c r="AF1430">
        <v>3.564030642058337E-2</v>
      </c>
      <c r="AG1430">
        <v>2.4850008173084301</v>
      </c>
      <c r="AH1430">
        <v>0.97987513657817282</v>
      </c>
      <c r="AI1430">
        <v>1.7555455345386401E-2</v>
      </c>
    </row>
    <row r="1431" spans="23:35" x14ac:dyDescent="0.25">
      <c r="W1431">
        <v>1429</v>
      </c>
      <c r="X1431">
        <v>79.428473846808927</v>
      </c>
      <c r="Y1431">
        <v>2.8715261531910699</v>
      </c>
      <c r="Z1431">
        <v>79.408147315340258</v>
      </c>
      <c r="AA1431">
        <v>0.97028502122498483</v>
      </c>
      <c r="AB1431">
        <v>78.2</v>
      </c>
      <c r="AC1431">
        <v>1.8630011940066851</v>
      </c>
      <c r="AD1431">
        <v>0.65923794775418887</v>
      </c>
      <c r="AE1431">
        <v>0.97604014528942684</v>
      </c>
      <c r="AF1431">
        <v>7.0288958965620159E-3</v>
      </c>
      <c r="AG1431">
        <v>0.66156709090304355</v>
      </c>
      <c r="AH1431">
        <v>0.98156899108956652</v>
      </c>
      <c r="AI1431">
        <v>2.3831695171794802E-4</v>
      </c>
    </row>
    <row r="1432" spans="23:35" x14ac:dyDescent="0.25">
      <c r="W1432">
        <v>1430</v>
      </c>
      <c r="X1432">
        <v>79.404298936598764</v>
      </c>
      <c r="Y1432">
        <v>2.495701063401242</v>
      </c>
      <c r="Z1432">
        <v>79.386699752447555</v>
      </c>
      <c r="AA1432">
        <v>0.95997574287446941</v>
      </c>
      <c r="AB1432">
        <v>78.3</v>
      </c>
      <c r="AC1432">
        <v>1.7330844772440364</v>
      </c>
      <c r="AD1432">
        <v>0.57295694326734092</v>
      </c>
      <c r="AE1432">
        <v>0.97685032815048911</v>
      </c>
      <c r="AF1432">
        <v>7.0024200922083309E-3</v>
      </c>
      <c r="AG1432">
        <v>0.57497358309449109</v>
      </c>
      <c r="AH1432">
        <v>0.98391083313294947</v>
      </c>
      <c r="AI1432">
        <v>1.7932977459077508E-4</v>
      </c>
    </row>
    <row r="1433" spans="23:35" x14ac:dyDescent="0.25">
      <c r="W1433">
        <v>1431</v>
      </c>
      <c r="X1433">
        <v>84.634282135815937</v>
      </c>
      <c r="Y1433">
        <v>-2.9342821358159341</v>
      </c>
      <c r="Z1433">
        <v>84.688770887254677</v>
      </c>
      <c r="AA1433">
        <v>0.95573074590661011</v>
      </c>
      <c r="AB1433">
        <v>78.3</v>
      </c>
      <c r="AC1433">
        <v>1.6624525291871317</v>
      </c>
      <c r="AD1433">
        <v>-0.67364531268413674</v>
      </c>
      <c r="AE1433">
        <v>0.97852078763600059</v>
      </c>
      <c r="AF1433">
        <v>1.8231157052250882E-2</v>
      </c>
      <c r="AG1433">
        <v>-0.67987123934218263</v>
      </c>
      <c r="AH1433">
        <v>0.98428784271804604</v>
      </c>
      <c r="AI1433">
        <v>6.6025997901637899E-4</v>
      </c>
    </row>
    <row r="1434" spans="23:35" x14ac:dyDescent="0.25">
      <c r="W1434">
        <v>1432</v>
      </c>
      <c r="X1434">
        <v>84.87875783014313</v>
      </c>
      <c r="Y1434">
        <v>-3.1787578301431267</v>
      </c>
      <c r="Z1434">
        <v>84.94582600882805</v>
      </c>
      <c r="AA1434">
        <v>0.95573074590661011</v>
      </c>
      <c r="AB1434">
        <v>78.3</v>
      </c>
      <c r="AC1434">
        <v>1.6624525291871317</v>
      </c>
      <c r="AD1434">
        <v>-0.72977144436673924</v>
      </c>
      <c r="AE1434">
        <v>0.97948383901803626</v>
      </c>
      <c r="AF1434">
        <v>2.066290013774659E-2</v>
      </c>
      <c r="AG1434">
        <v>-0.73742993304968918</v>
      </c>
      <c r="AH1434">
        <v>0.9938796996903273</v>
      </c>
      <c r="AI1434">
        <v>8.8258642159640024E-4</v>
      </c>
    </row>
    <row r="1435" spans="23:35" x14ac:dyDescent="0.25">
      <c r="W1435">
        <v>1433</v>
      </c>
      <c r="X1435">
        <v>68.538793188081769</v>
      </c>
      <c r="Y1435">
        <v>5.2612068119182283</v>
      </c>
      <c r="Z1435">
        <v>68.443332229992535</v>
      </c>
      <c r="AA1435">
        <v>0.66767738023044265</v>
      </c>
      <c r="AB1435">
        <v>78.3</v>
      </c>
      <c r="AC1435">
        <v>0.4143837514429769</v>
      </c>
      <c r="AD1435">
        <v>1.2078549859436183</v>
      </c>
      <c r="AE1435">
        <v>0.97963813302232972</v>
      </c>
      <c r="AF1435">
        <v>1.7820959258240818E-2</v>
      </c>
      <c r="AG1435">
        <v>1.2187635727793937</v>
      </c>
      <c r="AH1435">
        <v>0.99524457249230702</v>
      </c>
      <c r="AI1435">
        <v>2.0731751440178571E-3</v>
      </c>
    </row>
    <row r="1436" spans="23:35" x14ac:dyDescent="0.25">
      <c r="W1436">
        <v>1434</v>
      </c>
      <c r="X1436">
        <v>68.472356146897269</v>
      </c>
      <c r="Y1436">
        <v>5.2276438531027338</v>
      </c>
      <c r="Z1436">
        <v>68.378536634899802</v>
      </c>
      <c r="AA1436">
        <v>0.66040024257125529</v>
      </c>
      <c r="AB1436">
        <v>78.400000000000006</v>
      </c>
      <c r="AC1436">
        <v>0.39787592189543292</v>
      </c>
      <c r="AD1436">
        <v>1.2001496839858086</v>
      </c>
      <c r="AE1436">
        <v>0.98132759502751854</v>
      </c>
      <c r="AF1436">
        <v>1.7630397046942005E-2</v>
      </c>
      <c r="AG1436">
        <v>1.2108712205612342</v>
      </c>
      <c r="AH1436">
        <v>0.99861376365986743</v>
      </c>
      <c r="AI1436">
        <v>2.0241362341166433E-3</v>
      </c>
    </row>
    <row r="1437" spans="23:35" x14ac:dyDescent="0.25">
      <c r="W1437">
        <v>1435</v>
      </c>
      <c r="X1437">
        <v>68.19985888218595</v>
      </c>
      <c r="Y1437">
        <v>5.3001411178140501</v>
      </c>
      <c r="Z1437">
        <v>68.106219806129715</v>
      </c>
      <c r="AA1437">
        <v>0.64463311097634934</v>
      </c>
      <c r="AB1437">
        <v>78.400000000000006</v>
      </c>
      <c r="AC1437">
        <v>0.35220887014201224</v>
      </c>
      <c r="AD1437">
        <v>1.2167934286206847</v>
      </c>
      <c r="AE1437">
        <v>0.98969597389805308</v>
      </c>
      <c r="AF1437">
        <v>1.7360565816650696E-2</v>
      </c>
      <c r="AG1437">
        <v>1.227495083261166</v>
      </c>
      <c r="AH1437">
        <v>1.0009455735996708</v>
      </c>
      <c r="AI1437">
        <v>2.0476977684867072E-3</v>
      </c>
    </row>
    <row r="1438" spans="23:35" x14ac:dyDescent="0.25">
      <c r="W1438">
        <v>1436</v>
      </c>
      <c r="X1438">
        <v>69.678815089028532</v>
      </c>
      <c r="Y1438">
        <v>3.5211849109714706</v>
      </c>
      <c r="Z1438">
        <v>69.672142583280859</v>
      </c>
      <c r="AA1438">
        <v>0.62340812613705276</v>
      </c>
      <c r="AB1438">
        <v>78.5</v>
      </c>
      <c r="AC1438">
        <v>0.29295400660571058</v>
      </c>
      <c r="AD1438">
        <v>0.80838501567963628</v>
      </c>
      <c r="AE1438">
        <v>0.99123485406105338</v>
      </c>
      <c r="AF1438">
        <v>1.8913762546199282E-3</v>
      </c>
      <c r="AG1438">
        <v>0.80915058194297718</v>
      </c>
      <c r="AH1438">
        <v>1.0015366775487262</v>
      </c>
      <c r="AI1438">
        <v>9.5436713140193246E-5</v>
      </c>
    </row>
    <row r="1439" spans="23:35" x14ac:dyDescent="0.25">
      <c r="W1439">
        <v>1437</v>
      </c>
      <c r="X1439">
        <v>69.682183236411078</v>
      </c>
      <c r="Y1439">
        <v>3.3178167635889224</v>
      </c>
      <c r="Z1439">
        <v>69.677001898707957</v>
      </c>
      <c r="AA1439">
        <v>0.60946027895694366</v>
      </c>
      <c r="AB1439">
        <v>78.5</v>
      </c>
      <c r="AC1439">
        <v>0.22222871718700732</v>
      </c>
      <c r="AD1439">
        <v>0.76169625403626573</v>
      </c>
      <c r="AE1439">
        <v>0.99561572273803822</v>
      </c>
      <c r="AF1439">
        <v>1.5592358301686961E-3</v>
      </c>
      <c r="AG1439">
        <v>0.76229078142848372</v>
      </c>
      <c r="AH1439">
        <v>1.0050601469847478</v>
      </c>
      <c r="AI1439">
        <v>6.9805153309142047E-5</v>
      </c>
    </row>
    <row r="1440" spans="23:35" x14ac:dyDescent="0.25">
      <c r="W1440">
        <v>1438</v>
      </c>
      <c r="X1440">
        <v>70.094406048290679</v>
      </c>
      <c r="Y1440">
        <v>2.7055939517093179</v>
      </c>
      <c r="Z1440">
        <v>70.068005744636054</v>
      </c>
      <c r="AA1440">
        <v>0.58156458459672533</v>
      </c>
      <c r="AB1440">
        <v>78.5</v>
      </c>
      <c r="AC1440">
        <v>0.18343432307636306</v>
      </c>
      <c r="AD1440">
        <v>0.62114363896664637</v>
      </c>
      <c r="AE1440">
        <v>0.997125402022632</v>
      </c>
      <c r="AF1440">
        <v>9.6633818328093254E-3</v>
      </c>
      <c r="AG1440">
        <v>0.62416674081495882</v>
      </c>
      <c r="AH1440">
        <v>1.005166552666769</v>
      </c>
      <c r="AI1440">
        <v>2.924180636220819E-4</v>
      </c>
    </row>
    <row r="1441" spans="23:35" x14ac:dyDescent="0.25">
      <c r="W1441">
        <v>1439</v>
      </c>
      <c r="X1441">
        <v>69.771389953117236</v>
      </c>
      <c r="Y1441">
        <v>2.9286100468827669</v>
      </c>
      <c r="Z1441">
        <v>69.744099747231886</v>
      </c>
      <c r="AA1441">
        <v>0.57246816252274102</v>
      </c>
      <c r="AB1441">
        <v>78.5</v>
      </c>
      <c r="AC1441">
        <v>0.16337348484333708</v>
      </c>
      <c r="AD1441">
        <v>0.67234312838620691</v>
      </c>
      <c r="AE1441">
        <v>0.99769897313138156</v>
      </c>
      <c r="AF1441">
        <v>9.2324515550867986E-3</v>
      </c>
      <c r="AG1441">
        <v>0.67546847374374674</v>
      </c>
      <c r="AH1441">
        <v>1.0058810393328124</v>
      </c>
      <c r="AI1441">
        <v>3.2704843836764359E-4</v>
      </c>
    </row>
    <row r="1442" spans="23:35" x14ac:dyDescent="0.25">
      <c r="W1442">
        <v>1440</v>
      </c>
      <c r="X1442">
        <v>69.315498099742882</v>
      </c>
      <c r="Y1442">
        <v>3.2845019002571121</v>
      </c>
      <c r="Z1442">
        <v>69.310534883225486</v>
      </c>
      <c r="AA1442">
        <v>0.56458459672528805</v>
      </c>
      <c r="AB1442">
        <v>78.599999999999994</v>
      </c>
      <c r="AC1442">
        <v>0.14798710972583889</v>
      </c>
      <c r="AD1442">
        <v>0.75404790923252174</v>
      </c>
      <c r="AE1442">
        <v>0.99893808560343489</v>
      </c>
      <c r="AF1442">
        <v>1.5088217510170877E-3</v>
      </c>
      <c r="AG1442">
        <v>0.75461741571982555</v>
      </c>
      <c r="AH1442">
        <v>1.0072532043958813</v>
      </c>
      <c r="AI1442">
        <v>6.6191770793568353E-5</v>
      </c>
    </row>
    <row r="1443" spans="23:35" x14ac:dyDescent="0.25">
      <c r="W1443">
        <v>1441</v>
      </c>
      <c r="X1443">
        <v>70.642716056076239</v>
      </c>
      <c r="Y1443">
        <v>-1.0427160560762445</v>
      </c>
      <c r="Z1443">
        <v>70.645303022942258</v>
      </c>
      <c r="AA1443">
        <v>0.44815039417828989</v>
      </c>
      <c r="AB1443">
        <v>78.599999999999994</v>
      </c>
      <c r="AC1443">
        <v>-0.14337818601426075</v>
      </c>
      <c r="AD1443">
        <v>-0.23938420067466684</v>
      </c>
      <c r="AE1443">
        <v>0.99967107287596824</v>
      </c>
      <c r="AF1443">
        <v>2.4748487369127075E-3</v>
      </c>
      <c r="AG1443">
        <v>-0.2396809714788887</v>
      </c>
      <c r="AH1443">
        <v>1.0075258634291591</v>
      </c>
      <c r="AI1443">
        <v>1.0963483456622039E-5</v>
      </c>
    </row>
    <row r="1444" spans="23:35" x14ac:dyDescent="0.25">
      <c r="W1444">
        <v>1442</v>
      </c>
      <c r="X1444">
        <v>70.503976628764136</v>
      </c>
      <c r="Y1444">
        <v>-1.2039766287641385</v>
      </c>
      <c r="Z1444">
        <v>70.506951601847277</v>
      </c>
      <c r="AA1444">
        <v>0.4329896907216495</v>
      </c>
      <c r="AB1444">
        <v>78.599999999999994</v>
      </c>
      <c r="AC1444">
        <v>-0.17879863688351211</v>
      </c>
      <c r="AD1444">
        <v>-0.27640600835498114</v>
      </c>
      <c r="AE1444">
        <v>1.0020382936494809</v>
      </c>
      <c r="AF1444">
        <v>2.4648652676602248E-3</v>
      </c>
      <c r="AG1444">
        <v>-0.27674729118175684</v>
      </c>
      <c r="AH1444">
        <v>1.0107079138211803</v>
      </c>
      <c r="AI1444">
        <v>1.4557553308011177E-5</v>
      </c>
    </row>
    <row r="1445" spans="23:35" x14ac:dyDescent="0.25">
      <c r="W1445">
        <v>1443</v>
      </c>
      <c r="X1445">
        <v>70.346926134859444</v>
      </c>
      <c r="Y1445">
        <v>-1.5469261348594472</v>
      </c>
      <c r="Z1445">
        <v>70.350489026947145</v>
      </c>
      <c r="AA1445">
        <v>0.41115827774408731</v>
      </c>
      <c r="AB1445">
        <v>78.599999999999994</v>
      </c>
      <c r="AC1445">
        <v>-0.23002600999886993</v>
      </c>
      <c r="AD1445">
        <v>-0.35513951678231681</v>
      </c>
      <c r="AE1445">
        <v>1.0034679936109963</v>
      </c>
      <c r="AF1445">
        <v>2.2979150614892935E-3</v>
      </c>
      <c r="AG1445">
        <v>-0.3555482615852697</v>
      </c>
      <c r="AH1445">
        <v>1.0119541128271448</v>
      </c>
      <c r="AI1445">
        <v>2.2396845736060578E-5</v>
      </c>
    </row>
    <row r="1446" spans="23:35" x14ac:dyDescent="0.25">
      <c r="W1446">
        <v>1444</v>
      </c>
      <c r="X1446">
        <v>70.160389753608641</v>
      </c>
      <c r="Y1446">
        <v>-2.0603897536086464</v>
      </c>
      <c r="Z1446">
        <v>70.164860058217911</v>
      </c>
      <c r="AA1446">
        <v>0.38932686476652517</v>
      </c>
      <c r="AB1446">
        <v>78.7</v>
      </c>
      <c r="AC1446">
        <v>-0.29295400660571042</v>
      </c>
      <c r="AD1446">
        <v>-0.47301923795236395</v>
      </c>
      <c r="AE1446">
        <v>1.0034722332395638</v>
      </c>
      <c r="AF1446">
        <v>2.1649431357257986E-3</v>
      </c>
      <c r="AG1446">
        <v>-0.47353210071794138</v>
      </c>
      <c r="AH1446">
        <v>1.0132938135627825</v>
      </c>
      <c r="AI1446">
        <v>3.7423399324674439E-5</v>
      </c>
    </row>
    <row r="1447" spans="23:35" x14ac:dyDescent="0.25">
      <c r="W1447">
        <v>1445</v>
      </c>
      <c r="X1447">
        <v>69.954137168890156</v>
      </c>
      <c r="Y1447">
        <v>-2.6541371688901592</v>
      </c>
      <c r="Z1447">
        <v>69.959672469739786</v>
      </c>
      <c r="AA1447">
        <v>0.35112189205579136</v>
      </c>
      <c r="AB1447">
        <v>78.7</v>
      </c>
      <c r="AC1447">
        <v>-0.39787592189543292</v>
      </c>
      <c r="AD1447">
        <v>-0.60933031667945847</v>
      </c>
      <c r="AE1447">
        <v>1.0077278899333151</v>
      </c>
      <c r="AF1447">
        <v>2.0811964302422025E-3</v>
      </c>
      <c r="AG1447">
        <v>-0.60996537615414492</v>
      </c>
      <c r="AH1447">
        <v>1.0139398245648759</v>
      </c>
      <c r="AI1447">
        <v>5.9687705083234921E-5</v>
      </c>
    </row>
    <row r="1448" spans="23:35" x14ac:dyDescent="0.25">
      <c r="W1448">
        <v>1446</v>
      </c>
      <c r="X1448">
        <v>69.736611632582708</v>
      </c>
      <c r="Y1448">
        <v>-3.0366116325827051</v>
      </c>
      <c r="Z1448">
        <v>69.742711833150437</v>
      </c>
      <c r="AA1448">
        <v>0.328077622801698</v>
      </c>
      <c r="AB1448">
        <v>78.7</v>
      </c>
      <c r="AC1448">
        <v>-0.44774677320100181</v>
      </c>
      <c r="AD1448">
        <v>-0.69713786815617329</v>
      </c>
      <c r="AE1448">
        <v>1.0086798764416909</v>
      </c>
      <c r="AF1448">
        <v>2.0048564906025323E-3</v>
      </c>
      <c r="AG1448">
        <v>-0.69783775139617255</v>
      </c>
      <c r="AH1448">
        <v>1.0190234231602615</v>
      </c>
      <c r="AI1448">
        <v>7.5252413083587346E-5</v>
      </c>
    </row>
    <row r="1449" spans="23:35" x14ac:dyDescent="0.25">
      <c r="W1449">
        <v>1447</v>
      </c>
      <c r="X1449">
        <v>69.055389796730864</v>
      </c>
      <c r="Y1449">
        <v>-2.6553897967308586</v>
      </c>
      <c r="Z1449">
        <v>69.06009012439948</v>
      </c>
      <c r="AA1449">
        <v>0.32201334141904187</v>
      </c>
      <c r="AB1449">
        <v>78.7</v>
      </c>
      <c r="AC1449">
        <v>-0.46970075330452549</v>
      </c>
      <c r="AD1449">
        <v>-0.60961789191400217</v>
      </c>
      <c r="AE1449">
        <v>1.0107179590485966</v>
      </c>
      <c r="AF1449">
        <v>1.7669806092297541E-3</v>
      </c>
      <c r="AG1449">
        <v>-0.61015719822420511</v>
      </c>
      <c r="AH1449">
        <v>1.022666758502317</v>
      </c>
      <c r="AI1449">
        <v>5.069206444412979E-5</v>
      </c>
    </row>
    <row r="1450" spans="23:35" x14ac:dyDescent="0.25">
      <c r="W1450">
        <v>1448</v>
      </c>
      <c r="X1450">
        <v>68.819822084719149</v>
      </c>
      <c r="Y1450">
        <v>-2.719822084719155</v>
      </c>
      <c r="Z1450">
        <v>68.824544126823398</v>
      </c>
      <c r="AA1450">
        <v>0.31412977562158884</v>
      </c>
      <c r="AB1450">
        <v>78.7</v>
      </c>
      <c r="AC1450">
        <v>-0.4918835074548818</v>
      </c>
      <c r="AD1450">
        <v>-0.62441009892744292</v>
      </c>
      <c r="AE1450">
        <v>1.0153260809145841</v>
      </c>
      <c r="AF1450">
        <v>1.7331494314082663E-3</v>
      </c>
      <c r="AG1450">
        <v>-0.6249519013015663</v>
      </c>
      <c r="AH1450">
        <v>1.0243171507768156</v>
      </c>
      <c r="AI1450">
        <v>5.216019355315777E-5</v>
      </c>
    </row>
    <row r="1451" spans="23:35" x14ac:dyDescent="0.25">
      <c r="W1451">
        <v>1449</v>
      </c>
      <c r="X1451">
        <v>68.367162176870053</v>
      </c>
      <c r="Y1451">
        <v>-2.4671621768700476</v>
      </c>
      <c r="Z1451">
        <v>68.37167358589187</v>
      </c>
      <c r="AA1451">
        <v>0.30563978168587025</v>
      </c>
      <c r="AB1451">
        <v>78.7</v>
      </c>
      <c r="AC1451">
        <v>-0.52126361871264315</v>
      </c>
      <c r="AD1451">
        <v>-0.56640505553088183</v>
      </c>
      <c r="AE1451">
        <v>1.0166788717651125</v>
      </c>
      <c r="AF1451">
        <v>1.8252446632002729E-3</v>
      </c>
      <c r="AG1451">
        <v>-0.56692267813208608</v>
      </c>
      <c r="AH1451">
        <v>1.0245762116339079</v>
      </c>
      <c r="AI1451">
        <v>4.5208366292043949E-5</v>
      </c>
    </row>
    <row r="1452" spans="23:35" x14ac:dyDescent="0.25">
      <c r="W1452">
        <v>1450</v>
      </c>
      <c r="X1452">
        <v>68.39295482300497</v>
      </c>
      <c r="Y1452">
        <v>-2.8929548230049704</v>
      </c>
      <c r="Z1452">
        <v>68.397860359098388</v>
      </c>
      <c r="AA1452">
        <v>0.28987265009096425</v>
      </c>
      <c r="AB1452">
        <v>78.8</v>
      </c>
      <c r="AC1452">
        <v>-0.56174840893422073</v>
      </c>
      <c r="AD1452">
        <v>-0.66415748933507246</v>
      </c>
      <c r="AE1452">
        <v>1.0198398155877835</v>
      </c>
      <c r="AF1452">
        <v>1.6928131398801915E-3</v>
      </c>
      <c r="AG1452">
        <v>-0.66472035131352991</v>
      </c>
      <c r="AH1452">
        <v>1.0246491760758991</v>
      </c>
      <c r="AI1452">
        <v>5.7634087626670294E-5</v>
      </c>
    </row>
    <row r="1453" spans="23:35" x14ac:dyDescent="0.25">
      <c r="W1453">
        <v>1451</v>
      </c>
      <c r="X1453">
        <v>68.235017272749332</v>
      </c>
      <c r="Y1453">
        <v>-2.3350172727493259</v>
      </c>
      <c r="Z1453">
        <v>68.23896751630167</v>
      </c>
      <c r="AA1453">
        <v>0.30563978168587025</v>
      </c>
      <c r="AB1453">
        <v>78.8</v>
      </c>
      <c r="AC1453">
        <v>-0.52126361871264315</v>
      </c>
      <c r="AD1453">
        <v>-0.53606755179548682</v>
      </c>
      <c r="AE1453">
        <v>1.0202029504996966</v>
      </c>
      <c r="AF1453">
        <v>1.6888834602453609E-3</v>
      </c>
      <c r="AG1453">
        <v>-0.53652080380462353</v>
      </c>
      <c r="AH1453">
        <v>1.0260756114232361</v>
      </c>
      <c r="AI1453">
        <v>3.7459636279555101E-5</v>
      </c>
    </row>
    <row r="1454" spans="23:35" x14ac:dyDescent="0.25">
      <c r="W1454">
        <v>1452</v>
      </c>
      <c r="X1454">
        <v>67.953662938048865</v>
      </c>
      <c r="Y1454">
        <v>-2.753662938048862</v>
      </c>
      <c r="Z1454">
        <v>67.96079279291331</v>
      </c>
      <c r="AA1454">
        <v>0.28077622801697999</v>
      </c>
      <c r="AB1454">
        <v>78.8</v>
      </c>
      <c r="AC1454">
        <v>-0.59046081866695443</v>
      </c>
      <c r="AD1454">
        <v>-0.63217919922783017</v>
      </c>
      <c r="AE1454">
        <v>1.0210308987548999</v>
      </c>
      <c r="AF1454">
        <v>2.5825389296684105E-3</v>
      </c>
      <c r="AG1454">
        <v>-0.63299709745598443</v>
      </c>
      <c r="AH1454">
        <v>1.0265557391448807</v>
      </c>
      <c r="AI1454">
        <v>7.9804980342407402E-5</v>
      </c>
    </row>
    <row r="1455" spans="23:35" x14ac:dyDescent="0.25">
      <c r="W1455">
        <v>1453</v>
      </c>
      <c r="X1455">
        <v>67.890758448249898</v>
      </c>
      <c r="Y1455">
        <v>-3.5907584482499004</v>
      </c>
      <c r="Z1455">
        <v>67.906773931482732</v>
      </c>
      <c r="AA1455">
        <v>0.2498483929654336</v>
      </c>
      <c r="AB1455">
        <v>78.8</v>
      </c>
      <c r="AC1455">
        <v>-0.68742774275107121</v>
      </c>
      <c r="AD1455">
        <v>-0.82435753812469992</v>
      </c>
      <c r="AE1455">
        <v>1.0218531639755519</v>
      </c>
      <c r="AF1455">
        <v>4.4403900929394363E-3</v>
      </c>
      <c r="AG1455">
        <v>-0.82619389050606085</v>
      </c>
      <c r="AH1455">
        <v>1.0271471899650613</v>
      </c>
      <c r="AI1455">
        <v>2.3419329779357989E-4</v>
      </c>
    </row>
    <row r="1456" spans="23:35" x14ac:dyDescent="0.25">
      <c r="W1456">
        <v>1454</v>
      </c>
      <c r="X1456">
        <v>72.170253268603489</v>
      </c>
      <c r="Y1456">
        <v>2.4297467313965058</v>
      </c>
      <c r="Z1456">
        <v>72.164021178112876</v>
      </c>
      <c r="AA1456">
        <v>0.73013947847180105</v>
      </c>
      <c r="AB1456">
        <v>78.8</v>
      </c>
      <c r="AC1456">
        <v>0.59589828697336056</v>
      </c>
      <c r="AD1456">
        <v>0.55781530911297927</v>
      </c>
      <c r="AE1456">
        <v>1.025155170191145</v>
      </c>
      <c r="AF1456">
        <v>2.5583516714605256E-3</v>
      </c>
      <c r="AG1456">
        <v>0.55853022502476268</v>
      </c>
      <c r="AH1456">
        <v>1.03073056334205</v>
      </c>
      <c r="AI1456">
        <v>6.1549248114361592E-5</v>
      </c>
    </row>
    <row r="1457" spans="23:35" x14ac:dyDescent="0.25">
      <c r="W1457">
        <v>1455</v>
      </c>
      <c r="X1457">
        <v>72.017047745218449</v>
      </c>
      <c r="Y1457">
        <v>2.4829522547815515</v>
      </c>
      <c r="Z1457">
        <v>72.01063486946866</v>
      </c>
      <c r="AA1457">
        <v>0.72407519708914492</v>
      </c>
      <c r="AB1457">
        <v>78.900000000000006</v>
      </c>
      <c r="AC1457">
        <v>0.56531175535073552</v>
      </c>
      <c r="AD1457">
        <v>0.57003010298019408</v>
      </c>
      <c r="AE1457">
        <v>1.0266547243241788</v>
      </c>
      <c r="AF1457">
        <v>2.5761089328092401E-3</v>
      </c>
      <c r="AG1457">
        <v>0.570765754444575</v>
      </c>
      <c r="AH1457">
        <v>1.0353844121654734</v>
      </c>
      <c r="AI1457">
        <v>6.4722743844284787E-5</v>
      </c>
    </row>
    <row r="1458" spans="23:35" x14ac:dyDescent="0.25">
      <c r="W1458">
        <v>1456</v>
      </c>
      <c r="X1458">
        <v>70.025507210910234</v>
      </c>
      <c r="Y1458">
        <v>4.2744927890897628</v>
      </c>
      <c r="Z1458">
        <v>70.002973316653367</v>
      </c>
      <c r="AA1458">
        <v>0.7052759248029109</v>
      </c>
      <c r="AB1458">
        <v>78.900000000000006</v>
      </c>
      <c r="AC1458">
        <v>0.52824151828033117</v>
      </c>
      <c r="AD1458">
        <v>0.98132759502751854</v>
      </c>
      <c r="AE1458">
        <v>1.0287928992118618</v>
      </c>
      <c r="AF1458">
        <v>5.2440666343075929E-3</v>
      </c>
      <c r="AG1458">
        <v>0.98391083313294947</v>
      </c>
      <c r="AH1458">
        <v>1.0417642773898967</v>
      </c>
      <c r="AI1458">
        <v>3.9257242935380619E-4</v>
      </c>
    </row>
    <row r="1459" spans="23:35" x14ac:dyDescent="0.25">
      <c r="W1459">
        <v>1457</v>
      </c>
      <c r="X1459">
        <v>71.485332917549613</v>
      </c>
      <c r="Y1459">
        <v>2.6146670824503815</v>
      </c>
      <c r="Z1459">
        <v>71.478869635200965</v>
      </c>
      <c r="AA1459">
        <v>0.69254093389933291</v>
      </c>
      <c r="AB1459">
        <v>78.900000000000006</v>
      </c>
      <c r="AC1459">
        <v>0.48161589062349974</v>
      </c>
      <c r="AD1459">
        <v>0.60026887081614155</v>
      </c>
      <c r="AE1459">
        <v>1.0325145245968133</v>
      </c>
      <c r="AF1459">
        <v>2.465837806256894E-3</v>
      </c>
      <c r="AG1459">
        <v>0.60101032516567243</v>
      </c>
      <c r="AH1459">
        <v>1.0439336384855959</v>
      </c>
      <c r="AI1459">
        <v>6.8684263088132221E-5</v>
      </c>
    </row>
    <row r="1460" spans="23:35" x14ac:dyDescent="0.25">
      <c r="W1460">
        <v>1458</v>
      </c>
      <c r="X1460">
        <v>70.667951175334323</v>
      </c>
      <c r="Y1460">
        <v>3.2320488246656822</v>
      </c>
      <c r="Z1460">
        <v>70.658723365407226</v>
      </c>
      <c r="AA1460">
        <v>0.67919951485748942</v>
      </c>
      <c r="AB1460">
        <v>78.900000000000006</v>
      </c>
      <c r="AC1460">
        <v>0.43434378704136062</v>
      </c>
      <c r="AD1460">
        <v>0.74200586048855943</v>
      </c>
      <c r="AE1460">
        <v>1.032792252817033</v>
      </c>
      <c r="AF1460">
        <v>2.846967712846993E-3</v>
      </c>
      <c r="AG1460">
        <v>0.74306435451304342</v>
      </c>
      <c r="AH1460">
        <v>1.0439636608362317</v>
      </c>
      <c r="AI1460">
        <v>1.2126353710706794E-4</v>
      </c>
    </row>
    <row r="1461" spans="23:35" x14ac:dyDescent="0.25">
      <c r="W1461">
        <v>1459</v>
      </c>
      <c r="X1461">
        <v>70.853268140460784</v>
      </c>
      <c r="Y1461">
        <v>2.8467318595392186</v>
      </c>
      <c r="Z1461">
        <v>70.846010139046896</v>
      </c>
      <c r="AA1461">
        <v>0.66040024257125529</v>
      </c>
      <c r="AB1461">
        <v>78.900000000000006</v>
      </c>
      <c r="AC1461">
        <v>0.39787592189543292</v>
      </c>
      <c r="AD1461">
        <v>0.65354573448811892</v>
      </c>
      <c r="AE1461">
        <v>1.0336724823163612</v>
      </c>
      <c r="AF1461">
        <v>2.5431069371313906E-3</v>
      </c>
      <c r="AG1461">
        <v>0.65437834122663141</v>
      </c>
      <c r="AH1461">
        <v>1.0449813039922304</v>
      </c>
      <c r="AI1461">
        <v>8.398175912520567E-5</v>
      </c>
    </row>
    <row r="1462" spans="23:35" x14ac:dyDescent="0.25">
      <c r="W1462">
        <v>1460</v>
      </c>
      <c r="X1462">
        <v>70.634318472339231</v>
      </c>
      <c r="Y1462">
        <v>2.8656815276607688</v>
      </c>
      <c r="Z1462">
        <v>70.62644513982454</v>
      </c>
      <c r="AA1462">
        <v>0.64463311097634934</v>
      </c>
      <c r="AB1462">
        <v>78.900000000000006</v>
      </c>
      <c r="AC1462">
        <v>0.35220887014201224</v>
      </c>
      <c r="AD1462">
        <v>0.65789615292647829</v>
      </c>
      <c r="AE1462">
        <v>1.0396273195207435</v>
      </c>
      <c r="AF1462">
        <v>2.7399276846288541E-3</v>
      </c>
      <c r="AG1462">
        <v>0.65879930321718894</v>
      </c>
      <c r="AH1462">
        <v>1.0461246446841288</v>
      </c>
      <c r="AI1462">
        <v>9.1726237410629522E-5</v>
      </c>
    </row>
    <row r="1463" spans="23:35" x14ac:dyDescent="0.25">
      <c r="W1463">
        <v>1461</v>
      </c>
      <c r="X1463">
        <v>70.062347953850207</v>
      </c>
      <c r="Y1463">
        <v>3.2376520461497904</v>
      </c>
      <c r="Z1463">
        <v>70.05300317608436</v>
      </c>
      <c r="AA1463">
        <v>0.63007883565797451</v>
      </c>
      <c r="AB1463">
        <v>78.900000000000006</v>
      </c>
      <c r="AC1463">
        <v>0.3152427890443939</v>
      </c>
      <c r="AD1463">
        <v>0.74329223436604985</v>
      </c>
      <c r="AE1463">
        <v>1.0412176585221828</v>
      </c>
      <c r="AF1463">
        <v>2.8779756410643124E-3</v>
      </c>
      <c r="AG1463">
        <v>0.74436413707650984</v>
      </c>
      <c r="AH1463">
        <v>1.0484230375852006</v>
      </c>
      <c r="AI1463">
        <v>1.2301734066234391E-4</v>
      </c>
    </row>
    <row r="1464" spans="23:35" x14ac:dyDescent="0.25">
      <c r="W1464">
        <v>1462</v>
      </c>
      <c r="X1464">
        <v>69.828867548479877</v>
      </c>
      <c r="Y1464">
        <v>3.1711324515201227</v>
      </c>
      <c r="Z1464">
        <v>69.819329051770424</v>
      </c>
      <c r="AA1464">
        <v>0.60946027895694366</v>
      </c>
      <c r="AB1464">
        <v>79</v>
      </c>
      <c r="AC1464">
        <v>0.22222871718700732</v>
      </c>
      <c r="AD1464">
        <v>0.72802082860142869</v>
      </c>
      <c r="AE1464">
        <v>1.0455457289767556</v>
      </c>
      <c r="AF1464">
        <v>2.9988945303396752E-3</v>
      </c>
      <c r="AG1464">
        <v>0.72911491885371282</v>
      </c>
      <c r="AH1464">
        <v>1.0536259595462254</v>
      </c>
      <c r="AI1464">
        <v>1.2300256537787626E-4</v>
      </c>
    </row>
    <row r="1465" spans="23:35" x14ac:dyDescent="0.25">
      <c r="W1465">
        <v>1463</v>
      </c>
      <c r="X1465">
        <v>69.617809533773467</v>
      </c>
      <c r="Y1465">
        <v>2.8821904662265325</v>
      </c>
      <c r="Z1465">
        <v>69.608863018593169</v>
      </c>
      <c r="AA1465">
        <v>0.55852031534263191</v>
      </c>
      <c r="AB1465">
        <v>79</v>
      </c>
      <c r="AC1465">
        <v>0.12956927093944998</v>
      </c>
      <c r="AD1465">
        <v>0.66168623464577581</v>
      </c>
      <c r="AE1465">
        <v>1.0577964626794407</v>
      </c>
      <c r="AF1465">
        <v>3.09446257227844E-3</v>
      </c>
      <c r="AG1465">
        <v>0.66271239847388852</v>
      </c>
      <c r="AH1465">
        <v>1.0620253344908197</v>
      </c>
      <c r="AI1465">
        <v>1.0486681190986235E-4</v>
      </c>
    </row>
    <row r="1466" spans="23:35" x14ac:dyDescent="0.25">
      <c r="W1466">
        <v>1464</v>
      </c>
      <c r="X1466">
        <v>69.360928707127812</v>
      </c>
      <c r="Y1466">
        <v>2.2390712928721825</v>
      </c>
      <c r="Z1466">
        <v>69.353893952475048</v>
      </c>
      <c r="AA1466">
        <v>0.49787750151607035</v>
      </c>
      <c r="AB1466">
        <v>79</v>
      </c>
      <c r="AC1466">
        <v>-2.1282865457297767E-2</v>
      </c>
      <c r="AD1466">
        <v>0.51404050851079208</v>
      </c>
      <c r="AE1466">
        <v>1.0609189554621783</v>
      </c>
      <c r="AF1466">
        <v>3.1319779671632646E-3</v>
      </c>
      <c r="AG1466">
        <v>0.51484738612186676</v>
      </c>
      <c r="AH1466">
        <v>1.0653453458622706</v>
      </c>
      <c r="AI1466">
        <v>6.4061146289873561E-5</v>
      </c>
    </row>
    <row r="1467" spans="23:35" x14ac:dyDescent="0.25">
      <c r="W1467">
        <v>1465</v>
      </c>
      <c r="X1467">
        <v>67.840082749387236</v>
      </c>
      <c r="Y1467">
        <v>3.8599172506127672</v>
      </c>
      <c r="Z1467">
        <v>67.820783943858331</v>
      </c>
      <c r="AA1467">
        <v>0.50394178289872649</v>
      </c>
      <c r="AB1467">
        <v>79</v>
      </c>
      <c r="AC1467">
        <v>-4.5602855597810616E-3</v>
      </c>
      <c r="AD1467">
        <v>0.88615035735167669</v>
      </c>
      <c r="AE1467">
        <v>1.0638107690881007</v>
      </c>
      <c r="AF1467">
        <v>4.9749241211640739E-3</v>
      </c>
      <c r="AG1467">
        <v>0.88836288153151355</v>
      </c>
      <c r="AH1467">
        <v>1.065895897947903</v>
      </c>
      <c r="AI1467">
        <v>3.0352180166082752E-4</v>
      </c>
    </row>
    <row r="1468" spans="23:35" x14ac:dyDescent="0.25">
      <c r="W1468">
        <v>1466</v>
      </c>
      <c r="X1468">
        <v>67.304610768501306</v>
      </c>
      <c r="Y1468">
        <v>4.0953892314987002</v>
      </c>
      <c r="Z1468">
        <v>67.283753120376005</v>
      </c>
      <c r="AA1468">
        <v>0.4887810794420861</v>
      </c>
      <c r="AB1468">
        <v>79</v>
      </c>
      <c r="AC1468">
        <v>-4.7140240828996732E-2</v>
      </c>
      <c r="AD1468">
        <v>0.94020943853411676</v>
      </c>
      <c r="AE1468">
        <v>1.0639515661735808</v>
      </c>
      <c r="AF1468">
        <v>5.0671518825905881E-3</v>
      </c>
      <c r="AG1468">
        <v>0.94260062176081549</v>
      </c>
      <c r="AH1468">
        <v>1.0671616094794756</v>
      </c>
      <c r="AI1468">
        <v>3.4808254367315656E-4</v>
      </c>
    </row>
    <row r="1469" spans="23:35" x14ac:dyDescent="0.25">
      <c r="W1469">
        <v>1467</v>
      </c>
      <c r="X1469">
        <v>68.325772013759561</v>
      </c>
      <c r="Y1469">
        <v>2.8742279862404416</v>
      </c>
      <c r="Z1469">
        <v>68.316342808466388</v>
      </c>
      <c r="AA1469">
        <v>0.47907822922983628</v>
      </c>
      <c r="AB1469">
        <v>79</v>
      </c>
      <c r="AC1469">
        <v>-6.3887210036911155E-2</v>
      </c>
      <c r="AD1469">
        <v>0.65985822797439964</v>
      </c>
      <c r="AE1469">
        <v>1.0718722732797259</v>
      </c>
      <c r="AF1469">
        <v>3.2698773352329022E-3</v>
      </c>
      <c r="AG1469">
        <v>0.66093970866224228</v>
      </c>
      <c r="AH1469">
        <v>1.0768335704960876</v>
      </c>
      <c r="AI1469">
        <v>1.1023873336761236E-4</v>
      </c>
    </row>
    <row r="1470" spans="23:35" x14ac:dyDescent="0.25">
      <c r="W1470">
        <v>1468</v>
      </c>
      <c r="X1470">
        <v>67.922752740352394</v>
      </c>
      <c r="Y1470">
        <v>3.1772472596476007</v>
      </c>
      <c r="Z1470">
        <v>67.912114677655751</v>
      </c>
      <c r="AA1470">
        <v>0.47422680412371132</v>
      </c>
      <c r="AB1470">
        <v>79</v>
      </c>
      <c r="AC1470">
        <v>-7.6077819866612773E-2</v>
      </c>
      <c r="AD1470">
        <v>0.7294246512886744</v>
      </c>
      <c r="AE1470">
        <v>1.0731654066437948</v>
      </c>
      <c r="AF1470">
        <v>3.3370280361354797E-3</v>
      </c>
      <c r="AG1470">
        <v>0.73064476105043308</v>
      </c>
      <c r="AH1470">
        <v>1.0769368824014529</v>
      </c>
      <c r="AI1470">
        <v>1.3749304451663588E-4</v>
      </c>
    </row>
    <row r="1471" spans="23:35" x14ac:dyDescent="0.25">
      <c r="W1471">
        <v>1469</v>
      </c>
      <c r="X1471">
        <v>67.13275898481767</v>
      </c>
      <c r="Y1471">
        <v>0.86724101518232999</v>
      </c>
      <c r="Z1471">
        <v>67.114502026285507</v>
      </c>
      <c r="AA1471">
        <v>0.38447543966040026</v>
      </c>
      <c r="AB1471">
        <v>79.099999999999994</v>
      </c>
      <c r="AC1471">
        <v>-0.31204933220437475</v>
      </c>
      <c r="AD1471">
        <v>0.19909907016577913</v>
      </c>
      <c r="AE1471">
        <v>1.075180629038071</v>
      </c>
      <c r="AF1471">
        <v>2.0617730445599492E-2</v>
      </c>
      <c r="AG1471">
        <v>0.20118384917203083</v>
      </c>
      <c r="AH1471">
        <v>1.0781909304857034</v>
      </c>
      <c r="AI1471">
        <v>6.5543781464513684E-5</v>
      </c>
    </row>
    <row r="1472" spans="23:35" x14ac:dyDescent="0.25">
      <c r="W1472">
        <v>1470</v>
      </c>
      <c r="X1472">
        <v>66.826056227718468</v>
      </c>
      <c r="Y1472">
        <v>0.8739437722815353</v>
      </c>
      <c r="Z1472">
        <v>66.821648789904401</v>
      </c>
      <c r="AA1472">
        <v>0.36749545178896303</v>
      </c>
      <c r="AB1472">
        <v>79.099999999999994</v>
      </c>
      <c r="AC1472">
        <v>-0.35059197017921911</v>
      </c>
      <c r="AD1472">
        <v>0.20063787273926936</v>
      </c>
      <c r="AE1472">
        <v>1.0759523746488584</v>
      </c>
      <c r="AF1472">
        <v>5.0178536369079171E-3</v>
      </c>
      <c r="AG1472">
        <v>0.20114316087256781</v>
      </c>
      <c r="AH1472">
        <v>1.0785566205809156</v>
      </c>
      <c r="AI1472">
        <v>1.5695309726102744E-5</v>
      </c>
    </row>
    <row r="1473" spans="23:35" x14ac:dyDescent="0.25">
      <c r="W1473">
        <v>1471</v>
      </c>
      <c r="X1473">
        <v>66.86319741397331</v>
      </c>
      <c r="Y1473">
        <v>0.53680258602669539</v>
      </c>
      <c r="Z1473">
        <v>66.860360123957562</v>
      </c>
      <c r="AA1473">
        <v>0.3547604608853851</v>
      </c>
      <c r="AB1473">
        <v>79.099999999999994</v>
      </c>
      <c r="AC1473">
        <v>-0.38147581702590427</v>
      </c>
      <c r="AD1473">
        <v>0.1232378241682109</v>
      </c>
      <c r="AE1473">
        <v>1.080331273129673</v>
      </c>
      <c r="AF1473">
        <v>5.2577471415745291E-3</v>
      </c>
      <c r="AG1473">
        <v>0.1235630839909635</v>
      </c>
      <c r="AH1473">
        <v>1.0830753161523745</v>
      </c>
      <c r="AI1473">
        <v>6.2075933131544474E-6</v>
      </c>
    </row>
    <row r="1474" spans="23:35" x14ac:dyDescent="0.25">
      <c r="W1474">
        <v>1472</v>
      </c>
      <c r="X1474">
        <v>65.72572082400356</v>
      </c>
      <c r="Y1474">
        <v>1.4742791759964433</v>
      </c>
      <c r="Z1474">
        <v>65.717446336651292</v>
      </c>
      <c r="AA1474">
        <v>0.34505761067313523</v>
      </c>
      <c r="AB1474">
        <v>79.099999999999994</v>
      </c>
      <c r="AC1474">
        <v>-0.40776731506460179</v>
      </c>
      <c r="AD1474">
        <v>0.33846140573039113</v>
      </c>
      <c r="AE1474">
        <v>1.0807382744998075</v>
      </c>
      <c r="AF1474">
        <v>5.5812396925844637E-3</v>
      </c>
      <c r="AG1474">
        <v>0.33940989500770352</v>
      </c>
      <c r="AH1474">
        <v>1.0869995094329059</v>
      </c>
      <c r="AI1474">
        <v>4.9735559938792934E-5</v>
      </c>
    </row>
    <row r="1475" spans="23:35" x14ac:dyDescent="0.25">
      <c r="W1475">
        <v>1473</v>
      </c>
      <c r="X1475">
        <v>65.877555059968557</v>
      </c>
      <c r="Y1475">
        <v>1.0224449400314484</v>
      </c>
      <c r="Z1475">
        <v>65.872040345750705</v>
      </c>
      <c r="AA1475">
        <v>0.33474833232261975</v>
      </c>
      <c r="AB1475">
        <v>79.099999999999994</v>
      </c>
      <c r="AC1475">
        <v>-0.43267393579163727</v>
      </c>
      <c r="AD1475">
        <v>0.2347304074556123</v>
      </c>
      <c r="AE1475">
        <v>1.0837591699767399</v>
      </c>
      <c r="AF1475">
        <v>5.364718542266134E-3</v>
      </c>
      <c r="AG1475">
        <v>0.23536258346523348</v>
      </c>
      <c r="AH1475">
        <v>1.0891574602362561</v>
      </c>
      <c r="AI1475">
        <v>2.2983415799304594E-5</v>
      </c>
    </row>
    <row r="1476" spans="23:35" x14ac:dyDescent="0.25">
      <c r="W1476">
        <v>1474</v>
      </c>
      <c r="X1476">
        <v>66.019776788130159</v>
      </c>
      <c r="Y1476">
        <v>0.58022321186983561</v>
      </c>
      <c r="Z1476">
        <v>66.016771313722302</v>
      </c>
      <c r="AA1476">
        <v>0.32686476652516677</v>
      </c>
      <c r="AB1476">
        <v>79.2</v>
      </c>
      <c r="AC1476">
        <v>-0.45616451589519369</v>
      </c>
      <c r="AD1476">
        <v>0.13320622520095943</v>
      </c>
      <c r="AE1476">
        <v>1.0858675877485016</v>
      </c>
      <c r="AF1476">
        <v>5.1531662940744226E-3</v>
      </c>
      <c r="AG1476">
        <v>0.13355077432843013</v>
      </c>
      <c r="AH1476">
        <v>1.0909388183855007</v>
      </c>
      <c r="AI1476">
        <v>7.1066905299899536E-6</v>
      </c>
    </row>
    <row r="1477" spans="23:35" x14ac:dyDescent="0.25">
      <c r="W1477">
        <v>1475</v>
      </c>
      <c r="X1477">
        <v>65.391125836764644</v>
      </c>
      <c r="Y1477">
        <v>0.80887416323535888</v>
      </c>
      <c r="Z1477">
        <v>65.386790985493093</v>
      </c>
      <c r="AA1477">
        <v>0.3171619163129169</v>
      </c>
      <c r="AB1477">
        <v>79.2</v>
      </c>
      <c r="AC1477">
        <v>-0.48332360885611292</v>
      </c>
      <c r="AD1477">
        <v>0.18569935111685651</v>
      </c>
      <c r="AE1477">
        <v>1.0881822324421104</v>
      </c>
      <c r="AF1477">
        <v>5.3305499499093816E-3</v>
      </c>
      <c r="AG1477">
        <v>0.18619627850732545</v>
      </c>
      <c r="AH1477">
        <v>1.0919531127727597</v>
      </c>
      <c r="AI1477">
        <v>1.4291962849231403E-5</v>
      </c>
    </row>
    <row r="1478" spans="23:35" x14ac:dyDescent="0.25">
      <c r="W1478">
        <v>1476</v>
      </c>
      <c r="X1478">
        <v>65.133302633676095</v>
      </c>
      <c r="Y1478">
        <v>-5.4333026336760923</v>
      </c>
      <c r="Z1478">
        <v>65.143135089676136</v>
      </c>
      <c r="AA1478">
        <v>0.16919345057610674</v>
      </c>
      <c r="AB1478">
        <v>79.2</v>
      </c>
      <c r="AC1478">
        <v>-0.96823093621551704</v>
      </c>
      <c r="AD1478">
        <v>-1.2473643235920489</v>
      </c>
      <c r="AE1478">
        <v>1.0891926577204256</v>
      </c>
      <c r="AF1478">
        <v>1.8063957329836275E-3</v>
      </c>
      <c r="AG1478">
        <v>-1.2484924690259624</v>
      </c>
      <c r="AH1478">
        <v>1.0943094991731808</v>
      </c>
      <c r="AI1478">
        <v>2.1698345369984689E-4</v>
      </c>
    </row>
    <row r="1479" spans="23:35" x14ac:dyDescent="0.25">
      <c r="W1479">
        <v>1477</v>
      </c>
      <c r="X1479">
        <v>64.61519997891169</v>
      </c>
      <c r="Y1479">
        <v>-5.2151999789116914</v>
      </c>
      <c r="Z1479">
        <v>64.624303290484789</v>
      </c>
      <c r="AA1479">
        <v>0.16312916919345058</v>
      </c>
      <c r="AB1479">
        <v>79.2</v>
      </c>
      <c r="AC1479">
        <v>-0.99032898964496086</v>
      </c>
      <c r="AD1479">
        <v>-1.1972928497986297</v>
      </c>
      <c r="AE1479">
        <v>1.0922142038753639</v>
      </c>
      <c r="AF1479">
        <v>1.7424929348334079E-3</v>
      </c>
      <c r="AG1479">
        <v>-1.1983373521913956</v>
      </c>
      <c r="AH1479">
        <v>1.0986282506148459</v>
      </c>
      <c r="AI1479">
        <v>1.9281609438685031E-4</v>
      </c>
    </row>
    <row r="1480" spans="23:35" x14ac:dyDescent="0.25">
      <c r="W1480">
        <v>1478</v>
      </c>
      <c r="X1480">
        <v>64.312105487912476</v>
      </c>
      <c r="Y1480">
        <v>-5.412105487912477</v>
      </c>
      <c r="Z1480">
        <v>64.321679543581183</v>
      </c>
      <c r="AA1480">
        <v>0.14918132201334142</v>
      </c>
      <c r="AB1480">
        <v>79.2</v>
      </c>
      <c r="AC1480">
        <v>-1.0491313979639725</v>
      </c>
      <c r="AD1480">
        <v>-1.2424979347361009</v>
      </c>
      <c r="AE1480">
        <v>1.0946624636521738</v>
      </c>
      <c r="AF1480">
        <v>1.7658837250977568E-3</v>
      </c>
      <c r="AG1480">
        <v>-1.243596443269851</v>
      </c>
      <c r="AH1480">
        <v>1.0999828624423904</v>
      </c>
      <c r="AI1480">
        <v>2.104482340304937E-4</v>
      </c>
    </row>
    <row r="1481" spans="23:35" x14ac:dyDescent="0.25">
      <c r="W1481">
        <v>1479</v>
      </c>
      <c r="X1481">
        <v>63.574382419864932</v>
      </c>
      <c r="Y1481">
        <v>-5.2743824198649349</v>
      </c>
      <c r="Z1481">
        <v>63.582442985139927</v>
      </c>
      <c r="AA1481">
        <v>0.13765918738629473</v>
      </c>
      <c r="AB1481">
        <v>79.3</v>
      </c>
      <c r="AC1481">
        <v>-1.0950400512086547</v>
      </c>
      <c r="AD1481">
        <v>-1.2108798097759028</v>
      </c>
      <c r="AE1481">
        <v>1.0954157113880045</v>
      </c>
      <c r="AF1481">
        <v>1.5259161902300873E-3</v>
      </c>
      <c r="AG1481">
        <v>-1.2118047189641128</v>
      </c>
      <c r="AH1481">
        <v>1.1002090147939092</v>
      </c>
      <c r="AI1481">
        <v>1.7262981715333224E-4</v>
      </c>
    </row>
    <row r="1482" spans="23:35" x14ac:dyDescent="0.25">
      <c r="W1482">
        <v>1480</v>
      </c>
      <c r="X1482">
        <v>62.552791591691225</v>
      </c>
      <c r="Y1482">
        <v>-5.1527915916912264</v>
      </c>
      <c r="Z1482">
        <v>62.560716266242302</v>
      </c>
      <c r="AA1482">
        <v>0.11825348696179502</v>
      </c>
      <c r="AB1482">
        <v>79.3</v>
      </c>
      <c r="AC1482">
        <v>-1.1914554566319386</v>
      </c>
      <c r="AD1482">
        <v>-1.1829652849710737</v>
      </c>
      <c r="AE1482">
        <v>1.1068438336370832</v>
      </c>
      <c r="AF1482">
        <v>1.5355764863328289E-3</v>
      </c>
      <c r="AG1482">
        <v>-1.1838745991842046</v>
      </c>
      <c r="AH1482">
        <v>1.1150218512663062</v>
      </c>
      <c r="AI1482">
        <v>1.6580854607902736E-4</v>
      </c>
    </row>
    <row r="1483" spans="23:35" x14ac:dyDescent="0.25">
      <c r="W1483">
        <v>1481</v>
      </c>
      <c r="X1483">
        <v>60.823217873890712</v>
      </c>
      <c r="Y1483">
        <v>-4.1232178738907095</v>
      </c>
      <c r="Z1483">
        <v>60.836147130154423</v>
      </c>
      <c r="AA1483">
        <v>0.10491206791995149</v>
      </c>
      <c r="AB1483">
        <v>79.3</v>
      </c>
      <c r="AC1483">
        <v>-1.2726185683477402</v>
      </c>
      <c r="AD1483">
        <v>-0.9465982701590373</v>
      </c>
      <c r="AE1483">
        <v>1.1133951895137655</v>
      </c>
      <c r="AF1483">
        <v>3.1259178788521119E-3</v>
      </c>
      <c r="AG1483">
        <v>-0.94808124203072752</v>
      </c>
      <c r="AH1483">
        <v>1.1247358919149839</v>
      </c>
      <c r="AI1483">
        <v>2.1681284857860065E-4</v>
      </c>
    </row>
    <row r="1484" spans="23:35" x14ac:dyDescent="0.25">
      <c r="W1484">
        <v>1482</v>
      </c>
      <c r="X1484">
        <v>59.055684354394685</v>
      </c>
      <c r="Y1484">
        <v>-2.8556843543946826</v>
      </c>
      <c r="Z1484">
        <v>59.098918847067246</v>
      </c>
      <c r="AA1484">
        <v>9.5815645845967259E-2</v>
      </c>
      <c r="AB1484">
        <v>79.3</v>
      </c>
      <c r="AC1484">
        <v>-1.3147344895569</v>
      </c>
      <c r="AD1484">
        <v>-0.65560102635068385</v>
      </c>
      <c r="AE1484">
        <v>1.1210628980463555</v>
      </c>
      <c r="AF1484">
        <v>1.4914005859907977E-2</v>
      </c>
      <c r="AG1484">
        <v>-0.66054521764870233</v>
      </c>
      <c r="AH1484">
        <v>1.1249959672730434</v>
      </c>
      <c r="AI1484">
        <v>5.081382855609218E-4</v>
      </c>
    </row>
    <row r="1485" spans="23:35" x14ac:dyDescent="0.25">
      <c r="W1485">
        <v>1483</v>
      </c>
      <c r="X1485">
        <v>73.514988668966154</v>
      </c>
      <c r="Y1485">
        <v>-0.21498866896615709</v>
      </c>
      <c r="Z1485">
        <v>73.519152545595858</v>
      </c>
      <c r="AA1485">
        <v>0.63007883565797451</v>
      </c>
      <c r="AB1485">
        <v>79.3</v>
      </c>
      <c r="AC1485">
        <v>0.3152427890443939</v>
      </c>
      <c r="AD1485">
        <v>-4.9356572553641488E-2</v>
      </c>
      <c r="AE1485">
        <v>1.1267700320122129</v>
      </c>
      <c r="AF1485">
        <v>1.8999900815145365E-2</v>
      </c>
      <c r="AG1485">
        <v>-4.9832246701885741E-2</v>
      </c>
      <c r="AH1485">
        <v>1.1307959602898803</v>
      </c>
      <c r="AI1485">
        <v>3.6996434050336085E-6</v>
      </c>
    </row>
    <row r="1486" spans="23:35" x14ac:dyDescent="0.25">
      <c r="W1486">
        <v>1484</v>
      </c>
      <c r="X1486">
        <v>74.932579698526325</v>
      </c>
      <c r="Y1486">
        <v>-1.7325796985263224</v>
      </c>
      <c r="Z1486">
        <v>74.94190517936201</v>
      </c>
      <c r="AA1486">
        <v>0.62340812613705276</v>
      </c>
      <c r="AB1486">
        <v>79.3</v>
      </c>
      <c r="AC1486">
        <v>0.29295400660571058</v>
      </c>
      <c r="AD1486">
        <v>-0.39776140764303319</v>
      </c>
      <c r="AE1486">
        <v>1.1273701346320799</v>
      </c>
      <c r="AF1486">
        <v>5.3536099129661615E-3</v>
      </c>
      <c r="AG1486">
        <v>-0.39883043162365317</v>
      </c>
      <c r="AH1486">
        <v>1.1310344783451762</v>
      </c>
      <c r="AI1486">
        <v>6.5858409382727295E-5</v>
      </c>
    </row>
    <row r="1487" spans="23:35" x14ac:dyDescent="0.25">
      <c r="W1487">
        <v>1485</v>
      </c>
      <c r="X1487">
        <v>74.198443281743153</v>
      </c>
      <c r="Y1487">
        <v>-1.1984432817431525</v>
      </c>
      <c r="Z1487">
        <v>74.205169429059993</v>
      </c>
      <c r="AA1487">
        <v>0.60946027895694366</v>
      </c>
      <c r="AB1487">
        <v>79.3</v>
      </c>
      <c r="AC1487">
        <v>0.22222871718700732</v>
      </c>
      <c r="AD1487">
        <v>-0.27513567608575457</v>
      </c>
      <c r="AE1487">
        <v>1.128150950860169</v>
      </c>
      <c r="AF1487">
        <v>5.5810802652725717E-3</v>
      </c>
      <c r="AG1487">
        <v>-0.27590668202148216</v>
      </c>
      <c r="AH1487">
        <v>1.1327618296349342</v>
      </c>
      <c r="AI1487">
        <v>3.2864722882301777E-5</v>
      </c>
    </row>
    <row r="1488" spans="23:35" x14ac:dyDescent="0.25">
      <c r="W1488">
        <v>1486</v>
      </c>
      <c r="X1488">
        <v>74.261812863198429</v>
      </c>
      <c r="Y1488">
        <v>-1.3618128631984234</v>
      </c>
      <c r="Z1488">
        <v>74.268398020593068</v>
      </c>
      <c r="AA1488">
        <v>0.58762886597938147</v>
      </c>
      <c r="AB1488">
        <v>79.3</v>
      </c>
      <c r="AC1488">
        <v>0.206674078513852</v>
      </c>
      <c r="AD1488">
        <v>-0.31264166483823358</v>
      </c>
      <c r="AE1488">
        <v>1.1554272841654225</v>
      </c>
      <c r="AF1488">
        <v>4.812311400290821E-3</v>
      </c>
      <c r="AG1488">
        <v>-0.31339665539484196</v>
      </c>
      <c r="AH1488">
        <v>1.156426775829424</v>
      </c>
      <c r="AI1488">
        <v>3.6533736319703198E-5</v>
      </c>
    </row>
    <row r="1489" spans="23:35" x14ac:dyDescent="0.25">
      <c r="W1489">
        <v>1487</v>
      </c>
      <c r="X1489">
        <v>74.428327199216938</v>
      </c>
      <c r="Y1489">
        <v>-1.6283271992169404</v>
      </c>
      <c r="Z1489">
        <v>74.435667805377435</v>
      </c>
      <c r="AA1489">
        <v>0.58156458459672533</v>
      </c>
      <c r="AB1489">
        <v>79.3</v>
      </c>
      <c r="AC1489">
        <v>0.18343432307636306</v>
      </c>
      <c r="AD1489">
        <v>-0.37382737395276472</v>
      </c>
      <c r="AE1489">
        <v>1.155498898659767</v>
      </c>
      <c r="AF1489">
        <v>4.4878343489802739E-3</v>
      </c>
      <c r="AG1489">
        <v>-0.37466904564168191</v>
      </c>
      <c r="AH1489">
        <v>1.1567375557111079</v>
      </c>
      <c r="AI1489">
        <v>4.8679098007227835E-5</v>
      </c>
    </row>
    <row r="1490" spans="23:35" x14ac:dyDescent="0.25">
      <c r="W1490">
        <v>1488</v>
      </c>
      <c r="X1490">
        <v>74.051418545609522</v>
      </c>
      <c r="Y1490">
        <v>-1.551418545609522</v>
      </c>
      <c r="Z1490">
        <v>74.058525647219483</v>
      </c>
      <c r="AA1490">
        <v>0.55852031534263191</v>
      </c>
      <c r="AB1490">
        <v>79.400000000000006</v>
      </c>
      <c r="AC1490">
        <v>0.12956927093944998</v>
      </c>
      <c r="AD1490">
        <v>-0.35617087344959186</v>
      </c>
      <c r="AE1490">
        <v>1.158453203520293</v>
      </c>
      <c r="AF1490">
        <v>4.5601441481811708E-3</v>
      </c>
      <c r="AG1490">
        <v>-0.35698575676228705</v>
      </c>
      <c r="AH1490">
        <v>1.1660042486035225</v>
      </c>
      <c r="AI1490">
        <v>4.4907819769811077E-5</v>
      </c>
    </row>
    <row r="1491" spans="23:35" x14ac:dyDescent="0.25">
      <c r="W1491">
        <v>1489</v>
      </c>
      <c r="X1491">
        <v>74.426728929958614</v>
      </c>
      <c r="Y1491">
        <v>-1.8267289299586196</v>
      </c>
      <c r="Z1491">
        <v>74.434466925162823</v>
      </c>
      <c r="AA1491">
        <v>0.56458459672528805</v>
      </c>
      <c r="AB1491">
        <v>79.400000000000006</v>
      </c>
      <c r="AC1491">
        <v>0.14798710972583889</v>
      </c>
      <c r="AD1491">
        <v>-0.41937595781632281</v>
      </c>
      <c r="AE1491">
        <v>1.1631812715473846</v>
      </c>
      <c r="AF1491">
        <v>4.2181164991719382E-3</v>
      </c>
      <c r="AG1491">
        <v>-0.42026325416815752</v>
      </c>
      <c r="AH1491">
        <v>1.1685427063167109</v>
      </c>
      <c r="AI1491">
        <v>5.7551127332916982E-5</v>
      </c>
    </row>
    <row r="1492" spans="23:35" x14ac:dyDescent="0.25">
      <c r="W1492">
        <v>1490</v>
      </c>
      <c r="X1492">
        <v>70.158321470431829</v>
      </c>
      <c r="Y1492">
        <v>2.3416785295681706</v>
      </c>
      <c r="Z1492">
        <v>70.142537402769648</v>
      </c>
      <c r="AA1492">
        <v>0.55852031534263191</v>
      </c>
      <c r="AB1492">
        <v>79.400000000000006</v>
      </c>
      <c r="AC1492">
        <v>0.12956927093944998</v>
      </c>
      <c r="AD1492">
        <v>0.53759682683616117</v>
      </c>
      <c r="AE1492">
        <v>1.1648594474867906</v>
      </c>
      <c r="AF1492">
        <v>6.6953629214406285E-3</v>
      </c>
      <c r="AG1492">
        <v>0.53940561773514428</v>
      </c>
      <c r="AH1492">
        <v>1.1689002569737204</v>
      </c>
      <c r="AI1492">
        <v>1.5086178361715792E-4</v>
      </c>
    </row>
    <row r="1493" spans="23:35" x14ac:dyDescent="0.25">
      <c r="W1493">
        <v>1491</v>
      </c>
      <c r="X1493">
        <v>70.057403851069012</v>
      </c>
      <c r="Y1493">
        <v>2.3425961489309941</v>
      </c>
      <c r="Z1493">
        <v>70.04098613582093</v>
      </c>
      <c r="AA1493">
        <v>0.55124317768344455</v>
      </c>
      <c r="AB1493">
        <v>79.400000000000006</v>
      </c>
      <c r="AC1493">
        <v>0.11578501997911882</v>
      </c>
      <c r="AD1493">
        <v>0.53780749164410491</v>
      </c>
      <c r="AE1493">
        <v>1.1668937191524487</v>
      </c>
      <c r="AF1493">
        <v>6.9595670874941281E-3</v>
      </c>
      <c r="AG1493">
        <v>0.53968877068395404</v>
      </c>
      <c r="AH1493">
        <v>1.1691705953960783</v>
      </c>
      <c r="AI1493">
        <v>1.5702134937155333E-4</v>
      </c>
    </row>
    <row r="1494" spans="23:35" x14ac:dyDescent="0.25">
      <c r="W1494">
        <v>1492</v>
      </c>
      <c r="X1494">
        <v>72.470844593357938</v>
      </c>
      <c r="Y1494">
        <v>-0.17084459335794122</v>
      </c>
      <c r="Z1494">
        <v>72.473631815196086</v>
      </c>
      <c r="AA1494">
        <v>0.54578532443905392</v>
      </c>
      <c r="AB1494">
        <v>79.400000000000006</v>
      </c>
      <c r="AC1494">
        <v>9.896716322379942E-2</v>
      </c>
      <c r="AD1494">
        <v>-3.9222083694075954E-2</v>
      </c>
      <c r="AE1494">
        <v>1.1673699236783068</v>
      </c>
      <c r="AF1494">
        <v>1.6052483440348833E-2</v>
      </c>
      <c r="AG1494">
        <v>-3.9540731103742094E-2</v>
      </c>
      <c r="AH1494">
        <v>1.1750676395976929</v>
      </c>
      <c r="AI1494">
        <v>1.9620782996709293E-6</v>
      </c>
    </row>
    <row r="1495" spans="23:35" x14ac:dyDescent="0.25">
      <c r="W1495">
        <v>1493</v>
      </c>
      <c r="X1495">
        <v>72.567494641553296</v>
      </c>
      <c r="Y1495">
        <v>-0.36749464155329292</v>
      </c>
      <c r="Z1495">
        <v>72.574487374699444</v>
      </c>
      <c r="AA1495">
        <v>0.53911461491813217</v>
      </c>
      <c r="AB1495">
        <v>79.400000000000006</v>
      </c>
      <c r="AC1495">
        <v>7.9127168877726875E-2</v>
      </c>
      <c r="AD1495">
        <v>-8.4368520564936614E-2</v>
      </c>
      <c r="AE1495">
        <v>1.1699124734909763</v>
      </c>
      <c r="AF1495">
        <v>1.8672814141631969E-2</v>
      </c>
      <c r="AG1495">
        <v>-8.516742534150018E-2</v>
      </c>
      <c r="AH1495">
        <v>1.1750909885355911</v>
      </c>
      <c r="AI1495">
        <v>1.061694649824194E-5</v>
      </c>
    </row>
    <row r="1496" spans="23:35" x14ac:dyDescent="0.25">
      <c r="W1496">
        <v>1494</v>
      </c>
      <c r="X1496">
        <v>71.744321660999503</v>
      </c>
      <c r="Y1496">
        <v>0.25567833900049663</v>
      </c>
      <c r="Z1496">
        <v>71.739060928952455</v>
      </c>
      <c r="AA1496">
        <v>0.52516676773802307</v>
      </c>
      <c r="AB1496">
        <v>79.400000000000006</v>
      </c>
      <c r="AC1496">
        <v>4.1053957112594373E-2</v>
      </c>
      <c r="AD1496">
        <v>5.8698007434331657E-2</v>
      </c>
      <c r="AE1496">
        <v>1.1729180032365158</v>
      </c>
      <c r="AF1496">
        <v>2.0160767898544589E-2</v>
      </c>
      <c r="AG1496">
        <v>5.9298805720647767E-2</v>
      </c>
      <c r="AH1496">
        <v>1.1803113205438942</v>
      </c>
      <c r="AI1496">
        <v>5.5654564240040884E-6</v>
      </c>
    </row>
    <row r="1497" spans="23:35" x14ac:dyDescent="0.25">
      <c r="W1497">
        <v>1495</v>
      </c>
      <c r="X1497">
        <v>73.445595897794647</v>
      </c>
      <c r="Y1497">
        <v>-1.5455958977946409</v>
      </c>
      <c r="Z1497">
        <v>73.451029917026474</v>
      </c>
      <c r="AA1497">
        <v>0.51607034566403887</v>
      </c>
      <c r="AB1497">
        <v>79.400000000000006</v>
      </c>
      <c r="AC1497">
        <v>2.7365033500434649E-2</v>
      </c>
      <c r="AD1497">
        <v>-0.35483412421200888</v>
      </c>
      <c r="AE1497">
        <v>1.1754332612819078</v>
      </c>
      <c r="AF1497">
        <v>3.5034909205641737E-3</v>
      </c>
      <c r="AG1497">
        <v>-0.35545734133383866</v>
      </c>
      <c r="AH1497">
        <v>1.1804333134732163</v>
      </c>
      <c r="AI1497">
        <v>3.4170933155418611E-5</v>
      </c>
    </row>
    <row r="1498" spans="23:35" x14ac:dyDescent="0.25">
      <c r="W1498">
        <v>1496</v>
      </c>
      <c r="X1498">
        <v>73.605449790058486</v>
      </c>
      <c r="Y1498">
        <v>-1.8054497900584892</v>
      </c>
      <c r="Z1498">
        <v>73.61176029918181</v>
      </c>
      <c r="AA1498">
        <v>0.51061249241964823</v>
      </c>
      <c r="AB1498">
        <v>79.5</v>
      </c>
      <c r="AC1498">
        <v>1.0640830227304372E-2</v>
      </c>
      <c r="AD1498">
        <v>-0.41449074494714971</v>
      </c>
      <c r="AE1498">
        <v>1.1867712325172439</v>
      </c>
      <c r="AF1498">
        <v>3.4830816892137363E-3</v>
      </c>
      <c r="AG1498">
        <v>-0.41521448870288424</v>
      </c>
      <c r="AH1498">
        <v>1.1888129972236439</v>
      </c>
      <c r="AI1498">
        <v>4.6353297086043471E-5</v>
      </c>
    </row>
    <row r="1499" spans="23:35" x14ac:dyDescent="0.25">
      <c r="W1499">
        <v>1497</v>
      </c>
      <c r="X1499">
        <v>73.332276148746274</v>
      </c>
      <c r="Y1499">
        <v>-1.7322761487462799</v>
      </c>
      <c r="Z1499">
        <v>73.338873483523926</v>
      </c>
      <c r="AA1499">
        <v>0.49787750151607035</v>
      </c>
      <c r="AB1499">
        <v>79.5</v>
      </c>
      <c r="AC1499">
        <v>-2.1282865457297767E-2</v>
      </c>
      <c r="AD1499">
        <v>-0.39769171942730369</v>
      </c>
      <c r="AE1499">
        <v>1.1905231206079359</v>
      </c>
      <c r="AF1499">
        <v>3.7940280533170058E-3</v>
      </c>
      <c r="AG1499">
        <v>-0.3984482997445179</v>
      </c>
      <c r="AH1499">
        <v>1.1938733371852144</v>
      </c>
      <c r="AI1499">
        <v>4.6510606256599637E-5</v>
      </c>
    </row>
    <row r="1500" spans="23:35" x14ac:dyDescent="0.25">
      <c r="W1500">
        <v>1498</v>
      </c>
      <c r="X1500">
        <v>75.384886896318093</v>
      </c>
      <c r="Y1500">
        <v>-4.284886896318099</v>
      </c>
      <c r="Z1500">
        <v>75.394077563019195</v>
      </c>
      <c r="AA1500">
        <v>0.47422680412371132</v>
      </c>
      <c r="AB1500">
        <v>79.5</v>
      </c>
      <c r="AC1500">
        <v>-7.6077819866612773E-2</v>
      </c>
      <c r="AD1500">
        <v>-0.9837138487310868</v>
      </c>
      <c r="AE1500">
        <v>1.1914249639571994</v>
      </c>
      <c r="AF1500">
        <v>2.1403122245033084E-3</v>
      </c>
      <c r="AG1500">
        <v>-0.98476826901268977</v>
      </c>
      <c r="AH1500">
        <v>1.1996770906783378</v>
      </c>
      <c r="AI1500">
        <v>1.6000457273700235E-4</v>
      </c>
    </row>
    <row r="1501" spans="23:35" x14ac:dyDescent="0.25">
      <c r="W1501">
        <v>1499</v>
      </c>
      <c r="X1501">
        <v>73.453577111178816</v>
      </c>
      <c r="Y1501">
        <v>-2.4535771111788165</v>
      </c>
      <c r="Z1501">
        <v>73.458040366295847</v>
      </c>
      <c r="AA1501">
        <v>0.46937537901758641</v>
      </c>
      <c r="AB1501">
        <v>79.5</v>
      </c>
      <c r="AC1501">
        <v>-9.743972564826138E-2</v>
      </c>
      <c r="AD1501">
        <v>-0.56328622939153405</v>
      </c>
      <c r="AE1501">
        <v>1.1941242897069142</v>
      </c>
      <c r="AF1501">
        <v>1.8157777952829608E-3</v>
      </c>
      <c r="AG1501">
        <v>-0.56379832820425468</v>
      </c>
      <c r="AH1501">
        <v>1.2041273494830658</v>
      </c>
      <c r="AI1501">
        <v>4.447912295616539E-5</v>
      </c>
    </row>
    <row r="1502" spans="23:35" x14ac:dyDescent="0.25">
      <c r="W1502">
        <v>1500</v>
      </c>
      <c r="X1502">
        <v>74.950881186939228</v>
      </c>
      <c r="Y1502">
        <v>3.0491188130607725</v>
      </c>
      <c r="Z1502">
        <v>74.944476152675122</v>
      </c>
      <c r="AA1502">
        <v>0.86294724075197093</v>
      </c>
      <c r="AB1502">
        <v>79.5</v>
      </c>
      <c r="AC1502">
        <v>1.0491313979639725</v>
      </c>
      <c r="AD1502">
        <v>0.70000923604581966</v>
      </c>
      <c r="AE1502">
        <v>1.196613261715628</v>
      </c>
      <c r="AF1502">
        <v>2.0962147848108533E-3</v>
      </c>
      <c r="AG1502">
        <v>0.70074407639028991</v>
      </c>
      <c r="AH1502">
        <v>1.210353106716497</v>
      </c>
      <c r="AI1502">
        <v>7.9345559691368576E-5</v>
      </c>
    </row>
    <row r="1503" spans="23:35" x14ac:dyDescent="0.25">
      <c r="W1503">
        <v>1501</v>
      </c>
      <c r="X1503">
        <v>71.577415703547544</v>
      </c>
      <c r="Y1503">
        <v>4.422584296452456</v>
      </c>
      <c r="Z1503">
        <v>71.498741815035459</v>
      </c>
      <c r="AA1503">
        <v>0.80836870830806551</v>
      </c>
      <c r="AB1503">
        <v>79.599999999999994</v>
      </c>
      <c r="AC1503">
        <v>0.83794453378675593</v>
      </c>
      <c r="AD1503">
        <v>1.0153260809145841</v>
      </c>
      <c r="AE1503">
        <v>1.2001496839858086</v>
      </c>
      <c r="AF1503">
        <v>1.7478199489839551E-2</v>
      </c>
      <c r="AG1503">
        <v>1.0243171507768156</v>
      </c>
      <c r="AH1503">
        <v>1.2105442395072386</v>
      </c>
      <c r="AI1503">
        <v>1.435753993968393E-3</v>
      </c>
    </row>
    <row r="1504" spans="23:35" x14ac:dyDescent="0.25">
      <c r="W1504">
        <v>1502</v>
      </c>
      <c r="X1504">
        <v>72.924791465648966</v>
      </c>
      <c r="Y1504">
        <v>1.0752085343510345</v>
      </c>
      <c r="Z1504">
        <v>72.90596961155731</v>
      </c>
      <c r="AA1504">
        <v>0.68465736810187994</v>
      </c>
      <c r="AB1504">
        <v>79.599999999999994</v>
      </c>
      <c r="AC1504">
        <v>0.4663087141536239</v>
      </c>
      <c r="AD1504">
        <v>0.24684374432935938</v>
      </c>
      <c r="AE1504">
        <v>1.2078549859436183</v>
      </c>
      <c r="AF1504">
        <v>1.7204141942019368E-2</v>
      </c>
      <c r="AG1504">
        <v>0.24899490857836448</v>
      </c>
      <c r="AH1504">
        <v>1.2108427978561178</v>
      </c>
      <c r="AI1504">
        <v>8.348477494976777E-5</v>
      </c>
    </row>
    <row r="1505" spans="23:35" x14ac:dyDescent="0.25">
      <c r="W1505">
        <v>1503</v>
      </c>
      <c r="X1505">
        <v>69.65519862292868</v>
      </c>
      <c r="Y1505">
        <v>1.3448013770713203</v>
      </c>
      <c r="Z1505">
        <v>69.63598328905276</v>
      </c>
      <c r="AA1505">
        <v>0.46937537901758641</v>
      </c>
      <c r="AB1505">
        <v>79.599999999999994</v>
      </c>
      <c r="AC1505">
        <v>-9.743972564826138E-2</v>
      </c>
      <c r="AD1505">
        <v>0.30873620947951513</v>
      </c>
      <c r="AE1505">
        <v>1.2084316983639523</v>
      </c>
      <c r="AF1505">
        <v>1.4087315589095782E-2</v>
      </c>
      <c r="AG1505">
        <v>0.31093409082867879</v>
      </c>
      <c r="AH1505">
        <v>1.2108712205612342</v>
      </c>
      <c r="AI1505">
        <v>1.062632559979996E-4</v>
      </c>
    </row>
    <row r="1506" spans="23:35" x14ac:dyDescent="0.25">
      <c r="W1506">
        <v>1504</v>
      </c>
      <c r="X1506">
        <v>70.636285383490957</v>
      </c>
      <c r="Y1506">
        <v>-0.73628538349095152</v>
      </c>
      <c r="Z1506">
        <v>70.652573765903242</v>
      </c>
      <c r="AA1506">
        <v>0.45724681625227409</v>
      </c>
      <c r="AB1506">
        <v>79.599999999999994</v>
      </c>
      <c r="AC1506">
        <v>-0.11731546960548965</v>
      </c>
      <c r="AD1506">
        <v>-0.16903459668461651</v>
      </c>
      <c r="AE1506">
        <v>1.2096838784837936</v>
      </c>
      <c r="AF1506">
        <v>2.1643569242317896E-2</v>
      </c>
      <c r="AG1506">
        <v>-0.17089409231438499</v>
      </c>
      <c r="AH1506">
        <v>1.2115028104335459</v>
      </c>
      <c r="AI1506">
        <v>4.969841348633773E-5</v>
      </c>
    </row>
    <row r="1507" spans="23:35" x14ac:dyDescent="0.25">
      <c r="W1507">
        <v>1505</v>
      </c>
      <c r="X1507">
        <v>70.184613547628047</v>
      </c>
      <c r="Y1507">
        <v>-0.48461354762804376</v>
      </c>
      <c r="Z1507">
        <v>70.191852980398622</v>
      </c>
      <c r="AA1507">
        <v>0.45057610673135234</v>
      </c>
      <c r="AB1507">
        <v>79.7</v>
      </c>
      <c r="AC1507">
        <v>-0.12956927093944987</v>
      </c>
      <c r="AD1507">
        <v>-0.11125639243687944</v>
      </c>
      <c r="AE1507">
        <v>1.2103477045970021</v>
      </c>
      <c r="AF1507">
        <v>1.4718692493668546E-2</v>
      </c>
      <c r="AG1507">
        <v>-0.11208431752545281</v>
      </c>
      <c r="AH1507">
        <v>1.2171199435598117</v>
      </c>
      <c r="AI1507">
        <v>1.4436281423767183E-5</v>
      </c>
    </row>
    <row r="1508" spans="23:35" x14ac:dyDescent="0.25">
      <c r="W1508">
        <v>1506</v>
      </c>
      <c r="X1508">
        <v>71.954238184110466</v>
      </c>
      <c r="Y1508">
        <v>-2.3542381841104714</v>
      </c>
      <c r="Z1508">
        <v>71.958855994035957</v>
      </c>
      <c r="AA1508">
        <v>0.44815039417828989</v>
      </c>
      <c r="AB1508">
        <v>79.7</v>
      </c>
      <c r="AC1508">
        <v>-0.14337818601426075</v>
      </c>
      <c r="AD1508">
        <v>-0.54048024159307251</v>
      </c>
      <c r="AE1508">
        <v>1.2140511329064849</v>
      </c>
      <c r="AF1508">
        <v>1.9576480875321133E-3</v>
      </c>
      <c r="AG1508">
        <v>-0.54101005466641394</v>
      </c>
      <c r="AH1508">
        <v>1.2187635727793937</v>
      </c>
      <c r="AI1508">
        <v>4.4162431241387281E-5</v>
      </c>
    </row>
    <row r="1509" spans="23:35" x14ac:dyDescent="0.25">
      <c r="W1509">
        <v>1507</v>
      </c>
      <c r="X1509">
        <v>73.258864902448323</v>
      </c>
      <c r="Y1509">
        <v>-3.7588649024483232</v>
      </c>
      <c r="Z1509">
        <v>73.265069088589144</v>
      </c>
      <c r="AA1509">
        <v>0.44269254093389931</v>
      </c>
      <c r="AB1509">
        <v>79.7</v>
      </c>
      <c r="AC1509">
        <v>-0.15567569037416348</v>
      </c>
      <c r="AD1509">
        <v>-0.86295100653063705</v>
      </c>
      <c r="AE1509">
        <v>1.2167934286206847</v>
      </c>
      <c r="AF1509">
        <v>1.6478279667226298E-3</v>
      </c>
      <c r="AG1509">
        <v>-0.86366288384129075</v>
      </c>
      <c r="AH1509">
        <v>1.2268311493842607</v>
      </c>
      <c r="AI1509">
        <v>9.4705077121996637E-5</v>
      </c>
    </row>
    <row r="1510" spans="23:35" x14ac:dyDescent="0.25">
      <c r="W1510">
        <v>1508</v>
      </c>
      <c r="X1510">
        <v>71.414439827747074</v>
      </c>
      <c r="Y1510">
        <v>-2.0144398277470685</v>
      </c>
      <c r="Z1510">
        <v>71.418121154579893</v>
      </c>
      <c r="AA1510">
        <v>0.43784111582777441</v>
      </c>
      <c r="AB1510">
        <v>79.7</v>
      </c>
      <c r="AC1510">
        <v>-0.16799678341230881</v>
      </c>
      <c r="AD1510">
        <v>-0.46247016641046595</v>
      </c>
      <c r="AE1510">
        <v>1.2223132187846786</v>
      </c>
      <c r="AF1510">
        <v>1.8241356939636679E-3</v>
      </c>
      <c r="AG1510">
        <v>-0.46289254852908335</v>
      </c>
      <c r="AH1510">
        <v>1.227495083261166</v>
      </c>
      <c r="AI1510">
        <v>3.0120841735285104E-5</v>
      </c>
    </row>
    <row r="1511" spans="23:35" x14ac:dyDescent="0.25">
      <c r="W1511">
        <v>1509</v>
      </c>
      <c r="X1511">
        <v>71.564087140179396</v>
      </c>
      <c r="Y1511">
        <v>-2.2640871401793987</v>
      </c>
      <c r="Z1511">
        <v>71.567988995702123</v>
      </c>
      <c r="AA1511">
        <v>0.4329896907216495</v>
      </c>
      <c r="AB1511">
        <v>79.7</v>
      </c>
      <c r="AC1511">
        <v>-0.17879863688351211</v>
      </c>
      <c r="AD1511">
        <v>-0.51978358552292891</v>
      </c>
      <c r="AE1511">
        <v>1.2333407807321257</v>
      </c>
      <c r="AF1511">
        <v>1.7204031986598107E-3</v>
      </c>
      <c r="AG1511">
        <v>-0.52023128194115287</v>
      </c>
      <c r="AH1511">
        <v>1.2387304977175868</v>
      </c>
      <c r="AI1511">
        <v>3.5877950006358806E-5</v>
      </c>
    </row>
    <row r="1512" spans="23:35" x14ac:dyDescent="0.25">
      <c r="W1512">
        <v>1510</v>
      </c>
      <c r="X1512">
        <v>71.131211277955956</v>
      </c>
      <c r="Y1512">
        <v>-1.9312112779559527</v>
      </c>
      <c r="Z1512">
        <v>71.154861394376283</v>
      </c>
      <c r="AA1512">
        <v>0.42874469375379015</v>
      </c>
      <c r="AB1512">
        <v>79.8</v>
      </c>
      <c r="AC1512">
        <v>-0.1880739545732803</v>
      </c>
      <c r="AD1512">
        <v>-0.44336275960594168</v>
      </c>
      <c r="AE1512">
        <v>1.2373679917371252</v>
      </c>
      <c r="AF1512">
        <v>1.2098103982388324E-2</v>
      </c>
      <c r="AG1512">
        <v>-0.44606926660142976</v>
      </c>
      <c r="AH1512">
        <v>1.2429288298900072</v>
      </c>
      <c r="AI1512">
        <v>1.8744106619722069E-4</v>
      </c>
    </row>
    <row r="1513" spans="23:35" x14ac:dyDescent="0.25">
      <c r="W1513">
        <v>1511</v>
      </c>
      <c r="X1513">
        <v>70.648984861880322</v>
      </c>
      <c r="Y1513">
        <v>4.4510151381196721</v>
      </c>
      <c r="Z1513">
        <v>70.625231007649589</v>
      </c>
      <c r="AA1513">
        <v>0.76288659793814428</v>
      </c>
      <c r="AB1513">
        <v>79.8</v>
      </c>
      <c r="AC1513">
        <v>0.70876261491573156</v>
      </c>
      <c r="AD1513">
        <v>1.0218531639755519</v>
      </c>
      <c r="AE1513">
        <v>1.2582686641726601</v>
      </c>
      <c r="AF1513">
        <v>5.3083978796095201E-3</v>
      </c>
      <c r="AG1513">
        <v>1.0245762116339079</v>
      </c>
      <c r="AH1513">
        <v>1.2597972676544751</v>
      </c>
      <c r="AI1513">
        <v>4.3094336648702387E-4</v>
      </c>
    </row>
    <row r="1514" spans="23:35" x14ac:dyDescent="0.25">
      <c r="W1514">
        <v>1512</v>
      </c>
      <c r="X1514">
        <v>74.246566025869967</v>
      </c>
      <c r="Y1514">
        <v>0.65343397413003856</v>
      </c>
      <c r="Z1514">
        <v>74.24423889946101</v>
      </c>
      <c r="AA1514">
        <v>0.74833232261976956</v>
      </c>
      <c r="AB1514">
        <v>79.8</v>
      </c>
      <c r="AC1514">
        <v>0.64941472986293525</v>
      </c>
      <c r="AD1514">
        <v>0.15001377285721251</v>
      </c>
      <c r="AE1514">
        <v>1.2592741852767186</v>
      </c>
      <c r="AF1514">
        <v>3.5487411605209622E-3</v>
      </c>
      <c r="AG1514">
        <v>0.15028066343703625</v>
      </c>
      <c r="AH1514">
        <v>1.2658198054133927</v>
      </c>
      <c r="AI1514">
        <v>6.1870142830481297E-6</v>
      </c>
    </row>
    <row r="1515" spans="23:35" x14ac:dyDescent="0.25">
      <c r="W1515">
        <v>1513</v>
      </c>
      <c r="X1515">
        <v>74.056625864974777</v>
      </c>
      <c r="Y1515">
        <v>0.84337413502522907</v>
      </c>
      <c r="Z1515">
        <v>74.053785424124783</v>
      </c>
      <c r="AA1515">
        <v>0.74833232261976956</v>
      </c>
      <c r="AB1515">
        <v>79.8</v>
      </c>
      <c r="AC1515">
        <v>0.64941472986293525</v>
      </c>
      <c r="AD1515">
        <v>0.19361977022049479</v>
      </c>
      <c r="AE1515">
        <v>1.2597892616060331</v>
      </c>
      <c r="AF1515">
        <v>3.356643729582858E-3</v>
      </c>
      <c r="AG1515">
        <v>0.19394554688124574</v>
      </c>
      <c r="AH1515">
        <v>1.2691408214909667</v>
      </c>
      <c r="AI1515">
        <v>9.7449977801776794E-6</v>
      </c>
    </row>
    <row r="1516" spans="23:35" x14ac:dyDescent="0.25">
      <c r="W1516">
        <v>1514</v>
      </c>
      <c r="X1516">
        <v>73.986032215871546</v>
      </c>
      <c r="Y1516">
        <v>0.81396778412845094</v>
      </c>
      <c r="Z1516">
        <v>73.983341258239406</v>
      </c>
      <c r="AA1516">
        <v>0.74166161309884782</v>
      </c>
      <c r="AB1516">
        <v>79.8</v>
      </c>
      <c r="AC1516">
        <v>0.63261352584071384</v>
      </c>
      <c r="AD1516">
        <v>0.18686873213763122</v>
      </c>
      <c r="AE1516">
        <v>1.2715466623774641</v>
      </c>
      <c r="AF1516">
        <v>3.2950821371770015E-3</v>
      </c>
      <c r="AG1516">
        <v>0.18717736899589807</v>
      </c>
      <c r="AH1516">
        <v>1.2807945517295183</v>
      </c>
      <c r="AI1516">
        <v>8.9096976857539224E-6</v>
      </c>
    </row>
    <row r="1517" spans="23:35" x14ac:dyDescent="0.25">
      <c r="W1517">
        <v>1515</v>
      </c>
      <c r="X1517">
        <v>73.359663974824613</v>
      </c>
      <c r="Y1517">
        <v>1.4403360251753838</v>
      </c>
      <c r="Z1517">
        <v>73.355129417600622</v>
      </c>
      <c r="AA1517">
        <v>0.74166161309884782</v>
      </c>
      <c r="AB1517">
        <v>79.900000000000006</v>
      </c>
      <c r="AC1517">
        <v>0.63261352584071384</v>
      </c>
      <c r="AD1517">
        <v>0.33066882022225658</v>
      </c>
      <c r="AE1517">
        <v>1.2773317898078429</v>
      </c>
      <c r="AF1517">
        <v>3.1383829660817427E-3</v>
      </c>
      <c r="AG1517">
        <v>0.33118892746110723</v>
      </c>
      <c r="AH1517">
        <v>1.282371879743196</v>
      </c>
      <c r="AI1517">
        <v>2.6563134956386581E-5</v>
      </c>
    </row>
    <row r="1518" spans="23:35" x14ac:dyDescent="0.25">
      <c r="W1518">
        <v>1516</v>
      </c>
      <c r="X1518">
        <v>73.580761715867041</v>
      </c>
      <c r="Y1518">
        <v>1.1192382841329618</v>
      </c>
      <c r="Z1518">
        <v>73.577499225198338</v>
      </c>
      <c r="AA1518">
        <v>0.7362037598544573</v>
      </c>
      <c r="AB1518">
        <v>79.900000000000006</v>
      </c>
      <c r="AC1518">
        <v>0.61415241452626612</v>
      </c>
      <c r="AD1518">
        <v>0.25695198654547574</v>
      </c>
      <c r="AE1518">
        <v>1.2790035108643776</v>
      </c>
      <c r="AF1518">
        <v>2.9064484782053909E-3</v>
      </c>
      <c r="AG1518">
        <v>0.25732621134730388</v>
      </c>
      <c r="AH1518">
        <v>1.2845635925431009</v>
      </c>
      <c r="AI1518">
        <v>1.4847434587581391E-5</v>
      </c>
    </row>
    <row r="1519" spans="23:35" x14ac:dyDescent="0.25">
      <c r="W1519">
        <v>1517</v>
      </c>
      <c r="X1519">
        <v>72.95361389803135</v>
      </c>
      <c r="Y1519">
        <v>1.7463861019686533</v>
      </c>
      <c r="Z1519">
        <v>72.948534943434282</v>
      </c>
      <c r="AA1519">
        <v>0.7362037598544573</v>
      </c>
      <c r="AB1519">
        <v>79.900000000000006</v>
      </c>
      <c r="AC1519">
        <v>0.61415241452626612</v>
      </c>
      <c r="AD1519">
        <v>0.40093104796167489</v>
      </c>
      <c r="AE1519">
        <v>1.2812777323662379</v>
      </c>
      <c r="AF1519">
        <v>2.8998321022856528E-3</v>
      </c>
      <c r="AG1519">
        <v>0.4015136316763645</v>
      </c>
      <c r="AH1519">
        <v>1.2872006680421617</v>
      </c>
      <c r="AI1519">
        <v>3.6065445451614107E-5</v>
      </c>
    </row>
    <row r="1520" spans="23:35" x14ac:dyDescent="0.25">
      <c r="W1520">
        <v>1518</v>
      </c>
      <c r="X1520">
        <v>73.085040724308243</v>
      </c>
      <c r="Y1520">
        <v>1.5149592756917514</v>
      </c>
      <c r="Z1520">
        <v>73.080887141330308</v>
      </c>
      <c r="AA1520">
        <v>0.73013947847180105</v>
      </c>
      <c r="AB1520">
        <v>79.900000000000006</v>
      </c>
      <c r="AC1520">
        <v>0.59589828697336056</v>
      </c>
      <c r="AD1520">
        <v>0.34780064347606465</v>
      </c>
      <c r="AE1520">
        <v>1.2844791072886714</v>
      </c>
      <c r="AF1520">
        <v>2.7342161935004238E-3</v>
      </c>
      <c r="AG1520">
        <v>0.34827710182985372</v>
      </c>
      <c r="AH1520">
        <v>1.2963021221730455</v>
      </c>
      <c r="AI1520">
        <v>2.5581642405358595E-5</v>
      </c>
    </row>
    <row r="1521" spans="23:35" x14ac:dyDescent="0.25">
      <c r="W1521">
        <v>1519</v>
      </c>
      <c r="X1521">
        <v>72.904727515880495</v>
      </c>
      <c r="Y1521">
        <v>1.4952724841195106</v>
      </c>
      <c r="Z1521">
        <v>72.900815800163002</v>
      </c>
      <c r="AA1521">
        <v>0.71376591873862949</v>
      </c>
      <c r="AB1521">
        <v>79.900000000000006</v>
      </c>
      <c r="AC1521">
        <v>0.54051528578164909</v>
      </c>
      <c r="AD1521">
        <v>0.34328099803960366</v>
      </c>
      <c r="AE1521">
        <v>1.2867772745864294</v>
      </c>
      <c r="AF1521">
        <v>2.6092295515912612E-3</v>
      </c>
      <c r="AG1521">
        <v>0.34372972581841721</v>
      </c>
      <c r="AH1521">
        <v>1.3059642478462405</v>
      </c>
      <c r="AI1521">
        <v>2.3775944291685798E-5</v>
      </c>
    </row>
    <row r="1522" spans="23:35" x14ac:dyDescent="0.25">
      <c r="W1522">
        <v>1520</v>
      </c>
      <c r="X1522">
        <v>72.655327226960921</v>
      </c>
      <c r="Y1522">
        <v>1.5446727730390819</v>
      </c>
      <c r="Z1522">
        <v>72.651456054679301</v>
      </c>
      <c r="AA1522">
        <v>0.7010309278350515</v>
      </c>
      <c r="AB1522">
        <v>79.900000000000006</v>
      </c>
      <c r="AC1522">
        <v>0.5039283835636299</v>
      </c>
      <c r="AD1522">
        <v>0.35462219548947244</v>
      </c>
      <c r="AE1522">
        <v>1.3003204052030326</v>
      </c>
      <c r="AF1522">
        <v>2.4998788657677167E-3</v>
      </c>
      <c r="AG1522">
        <v>0.35506628455571665</v>
      </c>
      <c r="AH1522">
        <v>1.3064659833552483</v>
      </c>
      <c r="AI1522">
        <v>2.4304211000932214E-5</v>
      </c>
    </row>
    <row r="1523" spans="23:35" x14ac:dyDescent="0.25">
      <c r="W1523">
        <v>1521</v>
      </c>
      <c r="X1523">
        <v>72.359316338015674</v>
      </c>
      <c r="Y1523">
        <v>1.6406836619843261</v>
      </c>
      <c r="Z1523">
        <v>72.35544575009601</v>
      </c>
      <c r="AA1523">
        <v>0.68465736810187994</v>
      </c>
      <c r="AB1523">
        <v>80</v>
      </c>
      <c r="AC1523">
        <v>0.4663087141536239</v>
      </c>
      <c r="AD1523">
        <v>0.37666414043919222</v>
      </c>
      <c r="AE1523">
        <v>1.3050947694952948</v>
      </c>
      <c r="AF1523">
        <v>2.3535787401891511E-3</v>
      </c>
      <c r="AG1523">
        <v>0.37710817875902986</v>
      </c>
      <c r="AH1523">
        <v>1.3077964504015256</v>
      </c>
      <c r="AI1523">
        <v>2.5807184946209828E-5</v>
      </c>
    </row>
    <row r="1524" spans="23:35" x14ac:dyDescent="0.25">
      <c r="W1524">
        <v>1522</v>
      </c>
      <c r="X1524">
        <v>68.992491534273839</v>
      </c>
      <c r="Y1524">
        <v>4.7075084657261641</v>
      </c>
      <c r="Z1524">
        <v>68.972110024945067</v>
      </c>
      <c r="AA1524">
        <v>0.66040024257125529</v>
      </c>
      <c r="AB1524">
        <v>80</v>
      </c>
      <c r="AC1524">
        <v>0.39787592189543292</v>
      </c>
      <c r="AD1524">
        <v>1.0807382744998075</v>
      </c>
      <c r="AE1524">
        <v>1.3052313547586591</v>
      </c>
      <c r="AF1524">
        <v>4.3109102445928835E-3</v>
      </c>
      <c r="AG1524">
        <v>1.0830753161523745</v>
      </c>
      <c r="AH1524">
        <v>1.3098179260081462</v>
      </c>
      <c r="AI1524">
        <v>3.9067821639805913E-4</v>
      </c>
    </row>
    <row r="1525" spans="23:35" x14ac:dyDescent="0.25">
      <c r="W1525">
        <v>1523</v>
      </c>
      <c r="X1525">
        <v>71.862375292117122</v>
      </c>
      <c r="Y1525">
        <v>1.6376247078828783</v>
      </c>
      <c r="Z1525">
        <v>71.858672092145838</v>
      </c>
      <c r="AA1525">
        <v>0.64463311097634934</v>
      </c>
      <c r="AB1525">
        <v>80</v>
      </c>
      <c r="AC1525">
        <v>0.35220887014201224</v>
      </c>
      <c r="AD1525">
        <v>0.37596187324170499</v>
      </c>
      <c r="AE1525">
        <v>1.3056232170447712</v>
      </c>
      <c r="AF1525">
        <v>2.2562219003070651E-3</v>
      </c>
      <c r="AG1525">
        <v>0.37638671899278614</v>
      </c>
      <c r="AH1525">
        <v>1.3114580470338315</v>
      </c>
      <c r="AI1525">
        <v>2.4642684190111578E-5</v>
      </c>
    </row>
    <row r="1526" spans="23:35" x14ac:dyDescent="0.25">
      <c r="W1526">
        <v>1524</v>
      </c>
      <c r="X1526">
        <v>71.726048306279978</v>
      </c>
      <c r="Y1526">
        <v>1.473951693720025</v>
      </c>
      <c r="Z1526">
        <v>71.72269198711777</v>
      </c>
      <c r="AA1526">
        <v>0.62340812613705276</v>
      </c>
      <c r="AB1526">
        <v>80</v>
      </c>
      <c r="AC1526">
        <v>0.29295400660571058</v>
      </c>
      <c r="AD1526">
        <v>0.33838622315070543</v>
      </c>
      <c r="AE1526">
        <v>1.3134638072044145</v>
      </c>
      <c r="AF1526">
        <v>2.2719156282501318E-3</v>
      </c>
      <c r="AG1526">
        <v>0.33877127184805866</v>
      </c>
      <c r="AH1526">
        <v>1.3215597779092607</v>
      </c>
      <c r="AI1526">
        <v>2.0102487413184996E-5</v>
      </c>
    </row>
    <row r="1527" spans="23:35" x14ac:dyDescent="0.25">
      <c r="W1527">
        <v>1525</v>
      </c>
      <c r="X1527">
        <v>71.463152135871013</v>
      </c>
      <c r="Y1527">
        <v>1.4368478641289926</v>
      </c>
      <c r="Z1527">
        <v>71.460044570052546</v>
      </c>
      <c r="AA1527">
        <v>0.58762886597938147</v>
      </c>
      <c r="AB1527">
        <v>80</v>
      </c>
      <c r="AC1527">
        <v>0.206674078513852</v>
      </c>
      <c r="AD1527">
        <v>0.32986801674459931</v>
      </c>
      <c r="AE1527">
        <v>1.317247982368936</v>
      </c>
      <c r="AF1527">
        <v>2.1580986146133171E-3</v>
      </c>
      <c r="AG1527">
        <v>0.33022453775909155</v>
      </c>
      <c r="AH1527">
        <v>1.3220374160316346</v>
      </c>
      <c r="AI1527">
        <v>1.8141988137187873E-5</v>
      </c>
    </row>
    <row r="1528" spans="23:35" x14ac:dyDescent="0.25">
      <c r="W1528">
        <v>1526</v>
      </c>
      <c r="X1528">
        <v>76.026935830285709</v>
      </c>
      <c r="Y1528">
        <v>-0.52693583028570856</v>
      </c>
      <c r="Z1528">
        <v>76.029067028090182</v>
      </c>
      <c r="AA1528">
        <v>0.78411158277744086</v>
      </c>
      <c r="AB1528">
        <v>80</v>
      </c>
      <c r="AC1528">
        <v>0.77276680816182786</v>
      </c>
      <c r="AD1528">
        <v>-0.12097263852870292</v>
      </c>
      <c r="AE1528">
        <v>1.3182452543901153</v>
      </c>
      <c r="AF1528">
        <v>4.0282189048378297E-3</v>
      </c>
      <c r="AG1528">
        <v>-0.12121702925631103</v>
      </c>
      <c r="AH1528">
        <v>1.3301001130929635</v>
      </c>
      <c r="AI1528">
        <v>4.5714076406142375E-6</v>
      </c>
    </row>
    <row r="1529" spans="23:35" x14ac:dyDescent="0.25">
      <c r="W1529">
        <v>1527</v>
      </c>
      <c r="X1529">
        <v>76.031658243406511</v>
      </c>
      <c r="Y1529">
        <v>-0.83165824340650829</v>
      </c>
      <c r="Z1529">
        <v>76.035293495862092</v>
      </c>
      <c r="AA1529">
        <v>0.76652516676773808</v>
      </c>
      <c r="AB1529">
        <v>80</v>
      </c>
      <c r="AC1529">
        <v>0.71660092108895201</v>
      </c>
      <c r="AD1529">
        <v>-0.190930064490929</v>
      </c>
      <c r="AE1529">
        <v>1.3233723771876087</v>
      </c>
      <c r="AF1529">
        <v>4.3520660385785838E-3</v>
      </c>
      <c r="AG1529">
        <v>-0.19134689566775573</v>
      </c>
      <c r="AH1529">
        <v>1.3315360963193512</v>
      </c>
      <c r="AI1529">
        <v>1.2310882015886269E-5</v>
      </c>
    </row>
    <row r="1530" spans="23:35" x14ac:dyDescent="0.25">
      <c r="W1530">
        <v>1528</v>
      </c>
      <c r="X1530">
        <v>74.627471702037596</v>
      </c>
      <c r="Y1530">
        <v>0.17252829796240121</v>
      </c>
      <c r="Z1530">
        <v>74.626851625748472</v>
      </c>
      <c r="AA1530">
        <v>0.74166161309884782</v>
      </c>
      <c r="AB1530">
        <v>80</v>
      </c>
      <c r="AC1530">
        <v>0.63261352584071384</v>
      </c>
      <c r="AD1530">
        <v>3.9608624477218392E-2</v>
      </c>
      <c r="AE1530">
        <v>1.3237107737355438</v>
      </c>
      <c r="AF1530">
        <v>3.5811845869816038E-3</v>
      </c>
      <c r="AG1530">
        <v>3.9679738436227574E-2</v>
      </c>
      <c r="AH1530">
        <v>1.3361891742009127</v>
      </c>
      <c r="AI1530">
        <v>4.3529034662880461E-7</v>
      </c>
    </row>
    <row r="1531" spans="23:35" x14ac:dyDescent="0.25">
      <c r="W1531">
        <v>1529</v>
      </c>
      <c r="X1531">
        <v>75.362186271596485</v>
      </c>
      <c r="Y1531">
        <v>-0.8621862715964852</v>
      </c>
      <c r="Z1531">
        <v>75.365289852908603</v>
      </c>
      <c r="AA1531">
        <v>0.72407519708914492</v>
      </c>
      <c r="AB1531">
        <v>80</v>
      </c>
      <c r="AC1531">
        <v>0.56531175535073552</v>
      </c>
      <c r="AD1531">
        <v>-0.1979386145020712</v>
      </c>
      <c r="AE1531">
        <v>1.3371684870109251</v>
      </c>
      <c r="AF1531">
        <v>3.5867533886834385E-3</v>
      </c>
      <c r="AG1531">
        <v>-0.19829455077866912</v>
      </c>
      <c r="AH1531">
        <v>1.3408239401938147</v>
      </c>
      <c r="AI1531">
        <v>1.0887802440347921E-5</v>
      </c>
    </row>
    <row r="1532" spans="23:35" x14ac:dyDescent="0.25">
      <c r="W1532">
        <v>1530</v>
      </c>
      <c r="X1532">
        <v>73.921273660726953</v>
      </c>
      <c r="Y1532">
        <v>0.27872633927304946</v>
      </c>
      <c r="Z1532">
        <v>73.920399687628759</v>
      </c>
      <c r="AA1532">
        <v>0.7010309278350515</v>
      </c>
      <c r="AB1532">
        <v>81</v>
      </c>
      <c r="AC1532">
        <v>0.5039283835636299</v>
      </c>
      <c r="AD1532">
        <v>6.3989310939483721E-2</v>
      </c>
      <c r="AE1532">
        <v>1.3381272418244767</v>
      </c>
      <c r="AF1532">
        <v>3.1257944269831154E-3</v>
      </c>
      <c r="AG1532">
        <v>6.4089554722649267E-2</v>
      </c>
      <c r="AH1532">
        <v>1.3425600181537194</v>
      </c>
      <c r="AI1532">
        <v>9.907206380896271E-7</v>
      </c>
    </row>
    <row r="1533" spans="23:35" x14ac:dyDescent="0.25">
      <c r="W1533">
        <v>1531</v>
      </c>
      <c r="X1533">
        <v>73.823916727917947</v>
      </c>
      <c r="Y1533">
        <v>7.6083272082058784E-2</v>
      </c>
      <c r="Z1533">
        <v>73.823680321792366</v>
      </c>
      <c r="AA1533">
        <v>0.67919951485748942</v>
      </c>
      <c r="AB1533">
        <v>81</v>
      </c>
      <c r="AC1533">
        <v>0.43434378704136062</v>
      </c>
      <c r="AD1533">
        <v>1.7467011432252343E-2</v>
      </c>
      <c r="AE1533">
        <v>1.3390698139778459</v>
      </c>
      <c r="AF1533">
        <v>3.0975775989916226E-3</v>
      </c>
      <c r="AG1533">
        <v>1.7494127154996968E-2</v>
      </c>
      <c r="AH1533">
        <v>1.3440802112250243</v>
      </c>
      <c r="AI1533">
        <v>7.3149396761114699E-8</v>
      </c>
    </row>
    <row r="1534" spans="23:35" x14ac:dyDescent="0.25">
      <c r="W1534">
        <v>1532</v>
      </c>
      <c r="X1534">
        <v>69.947642055027842</v>
      </c>
      <c r="Y1534">
        <v>3.5523579449721581</v>
      </c>
      <c r="Z1534">
        <v>69.928751361825405</v>
      </c>
      <c r="AA1534">
        <v>0.64463311097634934</v>
      </c>
      <c r="AB1534">
        <v>81</v>
      </c>
      <c r="AC1534">
        <v>0.35220887014201224</v>
      </c>
      <c r="AD1534">
        <v>0.81554164454650124</v>
      </c>
      <c r="AE1534">
        <v>1.3420559690172904</v>
      </c>
      <c r="AF1534">
        <v>5.2896605967201488E-3</v>
      </c>
      <c r="AG1534">
        <v>0.81770720892012383</v>
      </c>
      <c r="AH1534">
        <v>1.3502137266071543</v>
      </c>
      <c r="AI1534">
        <v>2.7351646544887228E-4</v>
      </c>
    </row>
    <row r="1535" spans="23:35" x14ac:dyDescent="0.25">
      <c r="W1535">
        <v>1533</v>
      </c>
      <c r="X1535">
        <v>73.386801393585515</v>
      </c>
      <c r="Y1535">
        <v>-0.18680139358551173</v>
      </c>
      <c r="Z1535">
        <v>73.387344441557786</v>
      </c>
      <c r="AA1535">
        <v>0.62340812613705276</v>
      </c>
      <c r="AB1535">
        <v>81</v>
      </c>
      <c r="AC1535">
        <v>0.29295400660571058</v>
      </c>
      <c r="AD1535">
        <v>-4.2885406844748716E-2</v>
      </c>
      <c r="AE1535">
        <v>1.3530465698314462</v>
      </c>
      <c r="AF1535">
        <v>2.8986607115390074E-3</v>
      </c>
      <c r="AG1535">
        <v>-4.294769741889707E-2</v>
      </c>
      <c r="AH1535">
        <v>1.3614520159256385</v>
      </c>
      <c r="AI1535">
        <v>4.1247202765484496E-7</v>
      </c>
    </row>
    <row r="1536" spans="23:35" x14ac:dyDescent="0.25">
      <c r="W1536">
        <v>1534</v>
      </c>
      <c r="X1536">
        <v>68.794031210921489</v>
      </c>
      <c r="Y1536">
        <v>4.0059687890785085</v>
      </c>
      <c r="Z1536">
        <v>68.720410837224335</v>
      </c>
      <c r="AA1536">
        <v>0.58156458459672533</v>
      </c>
      <c r="AB1536">
        <v>81</v>
      </c>
      <c r="AC1536">
        <v>0.18343432307636306</v>
      </c>
      <c r="AD1536">
        <v>0.91968051217109215</v>
      </c>
      <c r="AE1536">
        <v>1.3666106167535568</v>
      </c>
      <c r="AF1536">
        <v>1.8046026391309603E-2</v>
      </c>
      <c r="AG1536">
        <v>0.92809283104888896</v>
      </c>
      <c r="AH1536">
        <v>1.3689569741579473</v>
      </c>
      <c r="AI1536">
        <v>1.2176709354571175E-3</v>
      </c>
    </row>
    <row r="1537" spans="23:35" x14ac:dyDescent="0.25">
      <c r="W1537">
        <v>1535</v>
      </c>
      <c r="X1537">
        <v>69.225736047116456</v>
      </c>
      <c r="Y1537">
        <v>3.1742639528835497</v>
      </c>
      <c r="Z1537">
        <v>69.164920199348359</v>
      </c>
      <c r="AA1537">
        <v>0.55124317768344455</v>
      </c>
      <c r="AB1537">
        <v>81</v>
      </c>
      <c r="AC1537">
        <v>0.11578501997911882</v>
      </c>
      <c r="AD1537">
        <v>0.72873975102180122</v>
      </c>
      <c r="AE1537">
        <v>1.3753200831994534</v>
      </c>
      <c r="AF1537">
        <v>1.8798870975562123E-2</v>
      </c>
      <c r="AG1537">
        <v>0.73568760710578773</v>
      </c>
      <c r="AH1537">
        <v>1.3797624931966379</v>
      </c>
      <c r="AI1537">
        <v>7.976589750563612E-4</v>
      </c>
    </row>
    <row r="1538" spans="23:35" x14ac:dyDescent="0.25">
      <c r="W1538">
        <v>1536</v>
      </c>
      <c r="X1538">
        <v>72.124281978379699</v>
      </c>
      <c r="Y1538">
        <v>-0.1242819783796989</v>
      </c>
      <c r="Z1538">
        <v>72.124615332607732</v>
      </c>
      <c r="AA1538">
        <v>0.52516676773802307</v>
      </c>
      <c r="AB1538">
        <v>81</v>
      </c>
      <c r="AC1538">
        <v>4.1053957112594373E-2</v>
      </c>
      <c r="AD1538">
        <v>-2.8532352483996864E-2</v>
      </c>
      <c r="AE1538">
        <v>1.3756757269921585</v>
      </c>
      <c r="AF1538">
        <v>2.6750659093308579E-3</v>
      </c>
      <c r="AG1538">
        <v>-2.8570592183130558E-2</v>
      </c>
      <c r="AH1538">
        <v>1.3803229730145508</v>
      </c>
      <c r="AI1538">
        <v>1.684197202921264E-7</v>
      </c>
    </row>
    <row r="1539" spans="23:35" x14ac:dyDescent="0.25">
      <c r="W1539">
        <v>1537</v>
      </c>
      <c r="X1539">
        <v>71.616711031539324</v>
      </c>
      <c r="Y1539">
        <v>-1.6711031539330179E-2</v>
      </c>
      <c r="Z1539">
        <v>71.616755000186203</v>
      </c>
      <c r="AA1539">
        <v>0.49787750151607035</v>
      </c>
      <c r="AB1539">
        <v>81</v>
      </c>
      <c r="AC1539">
        <v>-2.1282865457297767E-2</v>
      </c>
      <c r="AD1539">
        <v>-3.8364777296564347E-3</v>
      </c>
      <c r="AE1539">
        <v>1.3828128132992066</v>
      </c>
      <c r="AF1539">
        <v>2.6242104682226977E-3</v>
      </c>
      <c r="AG1539">
        <v>-3.8415215213179537E-3</v>
      </c>
      <c r="AH1539">
        <v>1.3841659046234422</v>
      </c>
      <c r="AI1539">
        <v>2.9867785971385774E-9</v>
      </c>
    </row>
    <row r="1540" spans="23:35" x14ac:dyDescent="0.25">
      <c r="W1540">
        <v>1538</v>
      </c>
      <c r="X1540">
        <v>71.365225270264062</v>
      </c>
      <c r="Y1540">
        <v>-0.16522527026405953</v>
      </c>
      <c r="Z1540">
        <v>71.36561554855993</v>
      </c>
      <c r="AA1540">
        <v>0.47907822922983628</v>
      </c>
      <c r="AB1540">
        <v>81</v>
      </c>
      <c r="AC1540">
        <v>-6.3887210036911155E-2</v>
      </c>
      <c r="AD1540">
        <v>-3.793201324841361E-2</v>
      </c>
      <c r="AE1540">
        <v>1.3843081424727885</v>
      </c>
      <c r="AF1540">
        <v>2.3565317342469699E-3</v>
      </c>
      <c r="AG1540">
        <v>-3.7976786392454664E-2</v>
      </c>
      <c r="AH1540">
        <v>1.3946186839906907</v>
      </c>
      <c r="AI1540">
        <v>2.6205412503899277E-7</v>
      </c>
    </row>
    <row r="1541" spans="23:35" x14ac:dyDescent="0.25">
      <c r="W1541">
        <v>1539</v>
      </c>
      <c r="X1541">
        <v>72.009344271867192</v>
      </c>
      <c r="Y1541">
        <v>5.9906557281328077</v>
      </c>
      <c r="Z1541">
        <v>71.965681561371667</v>
      </c>
      <c r="AA1541">
        <v>0.86294724075197093</v>
      </c>
      <c r="AB1541">
        <v>81</v>
      </c>
      <c r="AC1541">
        <v>1.0491313979639725</v>
      </c>
      <c r="AD1541">
        <v>1.3753200831994534</v>
      </c>
      <c r="AE1541">
        <v>1.3921582060542261</v>
      </c>
      <c r="AF1541">
        <v>7.2357319123278856E-3</v>
      </c>
      <c r="AG1541">
        <v>1.3803229730145508</v>
      </c>
      <c r="AH1541">
        <v>1.3948288444368953</v>
      </c>
      <c r="AI1541">
        <v>1.0682045168946192E-3</v>
      </c>
    </row>
    <row r="1542" spans="23:35" x14ac:dyDescent="0.25">
      <c r="W1542">
        <v>1540</v>
      </c>
      <c r="X1542">
        <v>71.626201718497228</v>
      </c>
      <c r="Y1542">
        <v>2.3737982815027721</v>
      </c>
      <c r="Z1542">
        <v>71.618315112364243</v>
      </c>
      <c r="AA1542">
        <v>0.68465736810187994</v>
      </c>
      <c r="AB1542">
        <v>81</v>
      </c>
      <c r="AC1542">
        <v>0.4663087141536239</v>
      </c>
      <c r="AD1542">
        <v>0.54497080088971783</v>
      </c>
      <c r="AE1542">
        <v>1.3935849768335298</v>
      </c>
      <c r="AF1542">
        <v>3.3113558279394659E-3</v>
      </c>
      <c r="AG1542">
        <v>0.54587534407770477</v>
      </c>
      <c r="AH1542">
        <v>1.4160290707718661</v>
      </c>
      <c r="AI1542">
        <v>7.6153513656043671E-5</v>
      </c>
    </row>
    <row r="1543" spans="23:35" x14ac:dyDescent="0.25">
      <c r="W1543">
        <v>1541</v>
      </c>
      <c r="X1543">
        <v>72.656851162192609</v>
      </c>
      <c r="Y1543">
        <v>-6.6568511621926092</v>
      </c>
      <c r="Z1543">
        <v>72.677163281699521</v>
      </c>
      <c r="AA1543">
        <v>0.31109763493026077</v>
      </c>
      <c r="AB1543">
        <v>81</v>
      </c>
      <c r="AC1543">
        <v>-0.50738317096904828</v>
      </c>
      <c r="AD1543">
        <v>-1.5282636008006221</v>
      </c>
      <c r="AE1543">
        <v>1.4071644286358591</v>
      </c>
      <c r="AF1543">
        <v>3.0420282760773593E-3</v>
      </c>
      <c r="AG1543">
        <v>-1.5305934282443696</v>
      </c>
      <c r="AH1543">
        <v>1.4160911302671968</v>
      </c>
      <c r="AI1543">
        <v>5.4987342687966441E-4</v>
      </c>
    </row>
    <row r="1544" spans="23:35" x14ac:dyDescent="0.25">
      <c r="W1544">
        <v>1542</v>
      </c>
      <c r="X1544">
        <v>71.653431404432311</v>
      </c>
      <c r="Y1544">
        <v>-6.2534314044323054</v>
      </c>
      <c r="Z1544">
        <v>71.675583434537273</v>
      </c>
      <c r="AA1544">
        <v>0.28684050939963612</v>
      </c>
      <c r="AB1544">
        <v>81</v>
      </c>
      <c r="AC1544">
        <v>-0.57067028430202504</v>
      </c>
      <c r="AD1544">
        <v>-1.4356474799640244</v>
      </c>
      <c r="AE1544">
        <v>1.4125067037755896</v>
      </c>
      <c r="AF1544">
        <v>3.5298758013559716E-3</v>
      </c>
      <c r="AG1544">
        <v>-1.4381880364821187</v>
      </c>
      <c r="AH1544">
        <v>1.4216833745314537</v>
      </c>
      <c r="AI1544">
        <v>5.6361576698316963E-4</v>
      </c>
    </row>
    <row r="1545" spans="23:35" x14ac:dyDescent="0.25">
      <c r="W1545">
        <v>1543</v>
      </c>
      <c r="X1545">
        <v>72.04233103650833</v>
      </c>
      <c r="Y1545">
        <v>-6.4423310365083353</v>
      </c>
      <c r="Z1545">
        <v>72.066265840012662</v>
      </c>
      <c r="AA1545">
        <v>0.29411764705882354</v>
      </c>
      <c r="AB1545">
        <v>81</v>
      </c>
      <c r="AC1545">
        <v>-0.55287102664223609</v>
      </c>
      <c r="AD1545">
        <v>-1.479014595267131</v>
      </c>
      <c r="AE1545">
        <v>1.419745626587372</v>
      </c>
      <c r="AF1545">
        <v>3.7014877050403623E-3</v>
      </c>
      <c r="AG1545">
        <v>-1.4817594949512876</v>
      </c>
      <c r="AH1545">
        <v>1.4265494464679485</v>
      </c>
      <c r="AI1545">
        <v>6.2747859392365472E-4</v>
      </c>
    </row>
    <row r="1546" spans="23:35" x14ac:dyDescent="0.25">
      <c r="W1546">
        <v>1544</v>
      </c>
      <c r="X1546">
        <v>71.72841197216718</v>
      </c>
      <c r="Y1546">
        <v>-6.1284119721671857</v>
      </c>
      <c r="Z1546">
        <v>71.750675444014163</v>
      </c>
      <c r="AA1546">
        <v>0.29411764705882354</v>
      </c>
      <c r="AB1546">
        <v>81.099999999999994</v>
      </c>
      <c r="AC1546">
        <v>-0.55287102664223609</v>
      </c>
      <c r="AD1546">
        <v>-1.4069458246215292</v>
      </c>
      <c r="AE1546">
        <v>1.4275250814972329</v>
      </c>
      <c r="AF1546">
        <v>3.6196791798934311E-3</v>
      </c>
      <c r="AG1546">
        <v>-1.4094991045110037</v>
      </c>
      <c r="AH1546">
        <v>1.436721911333269</v>
      </c>
      <c r="AI1546">
        <v>5.5517665347890293E-4</v>
      </c>
    </row>
    <row r="1547" spans="23:35" x14ac:dyDescent="0.25">
      <c r="W1547">
        <v>1545</v>
      </c>
      <c r="X1547">
        <v>58.17171441176081</v>
      </c>
      <c r="Y1547">
        <v>7.6282855882391871</v>
      </c>
      <c r="Z1547">
        <v>58.024862801287355</v>
      </c>
      <c r="AA1547">
        <v>0.30078835657974529</v>
      </c>
      <c r="AB1547">
        <v>81.099999999999994</v>
      </c>
      <c r="AC1547">
        <v>-0.53349185558387491</v>
      </c>
      <c r="AD1547">
        <v>1.7512831392760224</v>
      </c>
      <c r="AE1547">
        <v>1.4438349690478807</v>
      </c>
      <c r="AF1547">
        <v>1.8887333653452579E-2</v>
      </c>
      <c r="AG1547">
        <v>1.768059699754045</v>
      </c>
      <c r="AH1547">
        <v>1.4478479606200587</v>
      </c>
      <c r="AI1547">
        <v>4.6291608110729512E-3</v>
      </c>
    </row>
    <row r="1548" spans="23:35" x14ac:dyDescent="0.25">
      <c r="W1548">
        <v>1546</v>
      </c>
      <c r="X1548">
        <v>57.71118323742202</v>
      </c>
      <c r="Y1548">
        <v>7.8888167625779744</v>
      </c>
      <c r="Z1548">
        <v>57.563481325867521</v>
      </c>
      <c r="AA1548">
        <v>0.29411764705882354</v>
      </c>
      <c r="AB1548">
        <v>81.099999999999994</v>
      </c>
      <c r="AC1548">
        <v>-0.55287102664223609</v>
      </c>
      <c r="AD1548">
        <v>1.811095248772649</v>
      </c>
      <c r="AE1548">
        <v>1.4455740748330781</v>
      </c>
      <c r="AF1548">
        <v>1.837884257395123E-2</v>
      </c>
      <c r="AG1548">
        <v>1.8279711451721425</v>
      </c>
      <c r="AH1548">
        <v>1.4478653698213222</v>
      </c>
      <c r="AI1548">
        <v>4.8124869755191996E-3</v>
      </c>
    </row>
    <row r="1549" spans="23:35" x14ac:dyDescent="0.25">
      <c r="W1549">
        <v>1547</v>
      </c>
      <c r="X1549">
        <v>57.648768445834392</v>
      </c>
      <c r="Y1549">
        <v>6.8512315541656079</v>
      </c>
      <c r="Z1549">
        <v>57.521783438008853</v>
      </c>
      <c r="AA1549">
        <v>0.25409338993329289</v>
      </c>
      <c r="AB1549">
        <v>81.099999999999994</v>
      </c>
      <c r="AC1549">
        <v>-0.6664012884495929</v>
      </c>
      <c r="AD1549">
        <v>1.5728889755497018</v>
      </c>
      <c r="AE1549">
        <v>1.4542352796500631</v>
      </c>
      <c r="AF1549">
        <v>1.8197344077453277E-2</v>
      </c>
      <c r="AG1549">
        <v>1.5873985057361162</v>
      </c>
      <c r="AH1549">
        <v>1.4552041808694167</v>
      </c>
      <c r="AI1549">
        <v>3.5926291242759059E-3</v>
      </c>
    </row>
    <row r="1550" spans="23:35" x14ac:dyDescent="0.25">
      <c r="W1550">
        <v>1548</v>
      </c>
      <c r="X1550">
        <v>57.674814968748009</v>
      </c>
      <c r="Y1550">
        <v>6.4251850312519849</v>
      </c>
      <c r="Z1550">
        <v>57.555898313802075</v>
      </c>
      <c r="AA1550">
        <v>0.24257125530624621</v>
      </c>
      <c r="AB1550">
        <v>81.099999999999994</v>
      </c>
      <c r="AC1550">
        <v>-0.70291235686137066</v>
      </c>
      <c r="AD1550">
        <v>1.4750782573358823</v>
      </c>
      <c r="AE1550">
        <v>1.4712440404593636</v>
      </c>
      <c r="AF1550">
        <v>1.8171578109297731E-2</v>
      </c>
      <c r="AG1550">
        <v>1.4886659728960578</v>
      </c>
      <c r="AH1550">
        <v>1.4784025801280891</v>
      </c>
      <c r="AI1550">
        <v>3.1550643124789593E-3</v>
      </c>
    </row>
    <row r="1551" spans="23:35" x14ac:dyDescent="0.25">
      <c r="W1551">
        <v>1549</v>
      </c>
      <c r="X1551">
        <v>57.957952326323472</v>
      </c>
      <c r="Y1551">
        <v>5.7420476736765309</v>
      </c>
      <c r="Z1551">
        <v>57.854212536665656</v>
      </c>
      <c r="AA1551">
        <v>0.23408126137052759</v>
      </c>
      <c r="AB1551">
        <v>81.099999999999994</v>
      </c>
      <c r="AC1551">
        <v>-0.73042509746273321</v>
      </c>
      <c r="AD1551">
        <v>1.3182452543901153</v>
      </c>
      <c r="AE1551">
        <v>1.4750782573358823</v>
      </c>
      <c r="AF1551">
        <v>1.7746076180239007E-2</v>
      </c>
      <c r="AG1551">
        <v>1.3301001130929635</v>
      </c>
      <c r="AH1551">
        <v>1.4812345113426222</v>
      </c>
      <c r="AI1551">
        <v>2.4586905817406664E-3</v>
      </c>
    </row>
    <row r="1552" spans="23:35" x14ac:dyDescent="0.25">
      <c r="W1552">
        <v>1550</v>
      </c>
      <c r="X1552">
        <v>55.407755151552969</v>
      </c>
      <c r="Y1552">
        <v>7.892244848447028</v>
      </c>
      <c r="Z1552">
        <v>55.274195192150053</v>
      </c>
      <c r="AA1552">
        <v>0.22741055184960582</v>
      </c>
      <c r="AB1552">
        <v>81.2</v>
      </c>
      <c r="AC1552">
        <v>-0.75647701124006039</v>
      </c>
      <c r="AD1552">
        <v>1.8118822603380944</v>
      </c>
      <c r="AE1552">
        <v>1.4782250347492152</v>
      </c>
      <c r="AF1552">
        <v>1.6641316677958505E-2</v>
      </c>
      <c r="AG1552">
        <v>1.8271491255973176</v>
      </c>
      <c r="AH1552">
        <v>1.4886659728960578</v>
      </c>
      <c r="AI1552">
        <v>4.3459063611753111E-3</v>
      </c>
    </row>
    <row r="1553" spans="23:35" x14ac:dyDescent="0.25">
      <c r="W1553">
        <v>1551</v>
      </c>
      <c r="X1553">
        <v>55.562940057601217</v>
      </c>
      <c r="Y1553">
        <v>7.9370599423987827</v>
      </c>
      <c r="Z1553">
        <v>55.431815494478947</v>
      </c>
      <c r="AA1553">
        <v>0.23226197695573075</v>
      </c>
      <c r="AB1553">
        <v>81.2</v>
      </c>
      <c r="AC1553">
        <v>-0.74038552290047832</v>
      </c>
      <c r="AD1553">
        <v>1.8221707999470178</v>
      </c>
      <c r="AE1553">
        <v>1.4819125028410716</v>
      </c>
      <c r="AF1553">
        <v>1.6252053114618224E-2</v>
      </c>
      <c r="AG1553">
        <v>1.8371607711019757</v>
      </c>
      <c r="AH1553">
        <v>1.4971501254411288</v>
      </c>
      <c r="AI1553">
        <v>4.2891908260820413E-3</v>
      </c>
    </row>
    <row r="1554" spans="23:35" x14ac:dyDescent="0.25">
      <c r="W1554">
        <v>1552</v>
      </c>
      <c r="X1554">
        <v>56.724062116658921</v>
      </c>
      <c r="Y1554">
        <v>6.6759378833410778</v>
      </c>
      <c r="Z1554">
        <v>56.616399842574971</v>
      </c>
      <c r="AA1554">
        <v>0.22922983626440266</v>
      </c>
      <c r="AB1554">
        <v>81.2</v>
      </c>
      <c r="AC1554">
        <v>-0.74639716414434454</v>
      </c>
      <c r="AD1554">
        <v>1.5326454835375387</v>
      </c>
      <c r="AE1554">
        <v>1.4896151731656513</v>
      </c>
      <c r="AF1554">
        <v>1.5870964028755465E-2</v>
      </c>
      <c r="AG1554">
        <v>1.544954476224947</v>
      </c>
      <c r="AH1554">
        <v>1.4987073165052802</v>
      </c>
      <c r="AI1554">
        <v>2.9610059730944185E-3</v>
      </c>
    </row>
    <row r="1555" spans="23:35" x14ac:dyDescent="0.25">
      <c r="W1555">
        <v>1553</v>
      </c>
      <c r="X1555">
        <v>57.761363293089488</v>
      </c>
      <c r="Y1555">
        <v>5.5386367069105091</v>
      </c>
      <c r="Z1555">
        <v>57.666656323173989</v>
      </c>
      <c r="AA1555">
        <v>0.22741055184960582</v>
      </c>
      <c r="AB1555">
        <v>81.2</v>
      </c>
      <c r="AC1555">
        <v>-0.75647701124006039</v>
      </c>
      <c r="AD1555">
        <v>1.2715466623774641</v>
      </c>
      <c r="AE1555">
        <v>1.5025939505685995</v>
      </c>
      <c r="AF1555">
        <v>1.681185728204336E-2</v>
      </c>
      <c r="AG1555">
        <v>1.282371879743196</v>
      </c>
      <c r="AH1555">
        <v>1.5098881112528222</v>
      </c>
      <c r="AI1555">
        <v>2.1630356741912165E-3</v>
      </c>
    </row>
    <row r="1556" spans="23:35" x14ac:dyDescent="0.25">
      <c r="W1556">
        <v>1554</v>
      </c>
      <c r="X1556">
        <v>63.792527009836135</v>
      </c>
      <c r="Y1556">
        <v>-2.2925270098361352</v>
      </c>
      <c r="Z1556">
        <v>63.798161164656648</v>
      </c>
      <c r="AA1556">
        <v>0.18677986658580958</v>
      </c>
      <c r="AB1556">
        <v>81.3</v>
      </c>
      <c r="AC1556">
        <v>-0.89095501331493132</v>
      </c>
      <c r="AD1556">
        <v>-0.52631274120763982</v>
      </c>
      <c r="AE1556">
        <v>1.5036029413455543</v>
      </c>
      <c r="AF1556">
        <v>2.451592563288708E-3</v>
      </c>
      <c r="AG1556">
        <v>-0.52695908207523467</v>
      </c>
      <c r="AH1556">
        <v>1.5132317686469461</v>
      </c>
      <c r="AI1556">
        <v>5.2495823298762232E-5</v>
      </c>
    </row>
    <row r="1557" spans="23:35" x14ac:dyDescent="0.25">
      <c r="W1557">
        <v>1555</v>
      </c>
      <c r="X1557">
        <v>63.225758312783057</v>
      </c>
      <c r="Y1557">
        <v>3.7742416872169429</v>
      </c>
      <c r="Z1557">
        <v>63.215109987402315</v>
      </c>
      <c r="AA1557">
        <v>0.33959975742874471</v>
      </c>
      <c r="AB1557">
        <v>81.3</v>
      </c>
      <c r="AC1557">
        <v>-0.42600652312983872</v>
      </c>
      <c r="AD1557">
        <v>0.86648117115151568</v>
      </c>
      <c r="AE1557">
        <v>1.5066418321195614</v>
      </c>
      <c r="AF1557">
        <v>2.8133777587464473E-3</v>
      </c>
      <c r="AG1557">
        <v>0.86770261847881225</v>
      </c>
      <c r="AH1557">
        <v>1.5223373080339024</v>
      </c>
      <c r="AI1557">
        <v>1.6339925420334565E-4</v>
      </c>
    </row>
    <row r="1558" spans="23:35" x14ac:dyDescent="0.25">
      <c r="W1558">
        <v>1556</v>
      </c>
      <c r="X1558">
        <v>62.791245563791662</v>
      </c>
      <c r="Y1558">
        <v>-2.7912455637916622</v>
      </c>
      <c r="Z1558">
        <v>62.798754338400833</v>
      </c>
      <c r="AA1558">
        <v>0.17525773195876287</v>
      </c>
      <c r="AB1558">
        <v>81.3</v>
      </c>
      <c r="AC1558">
        <v>-0.93712127394454381</v>
      </c>
      <c r="AD1558">
        <v>-0.64080732648286642</v>
      </c>
      <c r="AE1558">
        <v>1.5201175811534653</v>
      </c>
      <c r="AF1558">
        <v>2.6828987832711016E-3</v>
      </c>
      <c r="AG1558">
        <v>-0.64166867064354793</v>
      </c>
      <c r="AH1558">
        <v>1.5314404522021399</v>
      </c>
      <c r="AI1558">
        <v>8.5201912055342667E-5</v>
      </c>
    </row>
    <row r="1559" spans="23:35" x14ac:dyDescent="0.25">
      <c r="W1559">
        <v>1557</v>
      </c>
      <c r="X1559">
        <v>61.51074780465629</v>
      </c>
      <c r="Y1559">
        <v>-2.2107478046562932</v>
      </c>
      <c r="Z1559">
        <v>61.526269297574146</v>
      </c>
      <c r="AA1559">
        <v>0.16070345664038813</v>
      </c>
      <c r="AB1559">
        <v>81.3</v>
      </c>
      <c r="AC1559">
        <v>-1.0028172174115717</v>
      </c>
      <c r="AD1559">
        <v>-0.50753807139249063</v>
      </c>
      <c r="AE1559">
        <v>1.5232362372291928</v>
      </c>
      <c r="AF1559">
        <v>6.971974565146124E-3</v>
      </c>
      <c r="AG1559">
        <v>-0.50931664822137912</v>
      </c>
      <c r="AH1559">
        <v>1.5342402439358769</v>
      </c>
      <c r="AI1559">
        <v>1.4009630500215123E-4</v>
      </c>
    </row>
    <row r="1560" spans="23:35" x14ac:dyDescent="0.25">
      <c r="W1560">
        <v>1558</v>
      </c>
      <c r="X1560">
        <v>59.401540394487064</v>
      </c>
      <c r="Y1560">
        <v>-1.0015403944870656</v>
      </c>
      <c r="Z1560">
        <v>59.423170400764725</v>
      </c>
      <c r="AA1560">
        <v>0.1406913280776228</v>
      </c>
      <c r="AB1560">
        <v>81.3</v>
      </c>
      <c r="AC1560">
        <v>-1.0895196306228982</v>
      </c>
      <c r="AD1560">
        <v>-0.22993119304201615</v>
      </c>
      <c r="AE1560">
        <v>1.5326454835375387</v>
      </c>
      <c r="AF1560">
        <v>2.1140179838565899E-2</v>
      </c>
      <c r="AG1560">
        <v>-0.23240081229362716</v>
      </c>
      <c r="AH1560">
        <v>1.544954476224947</v>
      </c>
      <c r="AI1560">
        <v>8.9726371712167815E-5</v>
      </c>
    </row>
    <row r="1561" spans="23:35" x14ac:dyDescent="0.25">
      <c r="W1561">
        <v>1559</v>
      </c>
      <c r="X1561">
        <v>60.005055809179098</v>
      </c>
      <c r="Y1561">
        <v>-2.5050558091790975</v>
      </c>
      <c r="Z1561">
        <v>60.019127711649048</v>
      </c>
      <c r="AA1561">
        <v>0.12067919951485749</v>
      </c>
      <c r="AB1561">
        <v>81.400000000000006</v>
      </c>
      <c r="AC1561">
        <v>-1.182232646923248</v>
      </c>
      <c r="AD1561">
        <v>-0.57510458291237865</v>
      </c>
      <c r="AE1561">
        <v>1.5432605239093775</v>
      </c>
      <c r="AF1561">
        <v>5.5860218618051221E-3</v>
      </c>
      <c r="AG1561">
        <v>-0.57671761728742821</v>
      </c>
      <c r="AH1561">
        <v>1.552883478460019</v>
      </c>
      <c r="AI1561">
        <v>1.4372042566030809E-4</v>
      </c>
    </row>
    <row r="1562" spans="23:35" x14ac:dyDescent="0.25">
      <c r="W1562">
        <v>1560</v>
      </c>
      <c r="X1562">
        <v>59.405965431355391</v>
      </c>
      <c r="Y1562">
        <v>-3.1059654313553935</v>
      </c>
      <c r="Z1562">
        <v>59.42646680886785</v>
      </c>
      <c r="AA1562">
        <v>9.7028502122498486E-2</v>
      </c>
      <c r="AB1562">
        <v>81.400000000000006</v>
      </c>
      <c r="AC1562">
        <v>-1.3039878652542525</v>
      </c>
      <c r="AD1562">
        <v>-0.71305994357277913</v>
      </c>
      <c r="AE1562">
        <v>1.5468947985230501</v>
      </c>
      <c r="AF1562">
        <v>6.5573629166035723E-3</v>
      </c>
      <c r="AG1562">
        <v>-0.7154094010070271</v>
      </c>
      <c r="AH1562">
        <v>1.5557196683922918</v>
      </c>
      <c r="AI1562">
        <v>2.5986773328503875E-4</v>
      </c>
    </row>
    <row r="1563" spans="23:35" x14ac:dyDescent="0.25">
      <c r="W1563">
        <v>1561</v>
      </c>
      <c r="X1563">
        <v>57.647645555520072</v>
      </c>
      <c r="Y1563">
        <v>-2.1476455555200715</v>
      </c>
      <c r="Z1563">
        <v>57.684541888179538</v>
      </c>
      <c r="AA1563">
        <v>8.7932080048514258E-2</v>
      </c>
      <c r="AB1563">
        <v>81.400000000000006</v>
      </c>
      <c r="AC1563">
        <v>-1.3593210527266006</v>
      </c>
      <c r="AD1563">
        <v>-0.49305121144416397</v>
      </c>
      <c r="AE1563">
        <v>1.5600895105758239</v>
      </c>
      <c r="AF1563">
        <v>1.688973457506519E-2</v>
      </c>
      <c r="AG1563">
        <v>-0.49726846048431067</v>
      </c>
      <c r="AH1563">
        <v>1.5631901615677672</v>
      </c>
      <c r="AI1563">
        <v>3.2678271062141047E-4</v>
      </c>
    </row>
    <row r="1564" spans="23:35" x14ac:dyDescent="0.25">
      <c r="W1564">
        <v>1562</v>
      </c>
      <c r="X1564">
        <v>58.530575981128855</v>
      </c>
      <c r="Y1564">
        <v>-3.6305759811288567</v>
      </c>
      <c r="Z1564">
        <v>58.55970853524969</v>
      </c>
      <c r="AA1564">
        <v>7.9442086112795629E-2</v>
      </c>
      <c r="AB1564">
        <v>81.400000000000006</v>
      </c>
      <c r="AC1564">
        <v>-1.4191611772342045</v>
      </c>
      <c r="AD1564">
        <v>-0.83349874989133765</v>
      </c>
      <c r="AE1564">
        <v>1.5604131337992317</v>
      </c>
      <c r="AF1564">
        <v>7.9603481644060191E-3</v>
      </c>
      <c r="AG1564">
        <v>-0.83683615848447968</v>
      </c>
      <c r="AH1564">
        <v>1.5647663847167479</v>
      </c>
      <c r="AI1564">
        <v>4.3225552576092372E-4</v>
      </c>
    </row>
    <row r="1565" spans="23:35" x14ac:dyDescent="0.25">
      <c r="W1565">
        <v>1563</v>
      </c>
      <c r="X1565">
        <v>58.151528947345142</v>
      </c>
      <c r="Y1565">
        <v>-4.9515289473451389</v>
      </c>
      <c r="Z1565">
        <v>58.191212756784118</v>
      </c>
      <c r="AA1565">
        <v>6.0642813826561552E-2</v>
      </c>
      <c r="AB1565">
        <v>81.5</v>
      </c>
      <c r="AC1565">
        <v>-1.5621464731395975</v>
      </c>
      <c r="AD1565">
        <v>-1.1367598995627424</v>
      </c>
      <c r="AE1565">
        <v>1.5624382834705099</v>
      </c>
      <c r="AF1565">
        <v>7.9507348960503772E-3</v>
      </c>
      <c r="AG1565">
        <v>-1.141306064913451</v>
      </c>
      <c r="AH1565">
        <v>1.5683665181245658</v>
      </c>
      <c r="AI1565">
        <v>8.0303584467690569E-4</v>
      </c>
    </row>
    <row r="1566" spans="23:35" x14ac:dyDescent="0.25">
      <c r="W1566">
        <v>1564</v>
      </c>
      <c r="X1566">
        <v>57.826247122897243</v>
      </c>
      <c r="Y1566">
        <v>-6.5262471228972458</v>
      </c>
      <c r="Z1566">
        <v>57.875874582206293</v>
      </c>
      <c r="AA1566">
        <v>4.0630685263796242E-2</v>
      </c>
      <c r="AB1566">
        <v>81.5</v>
      </c>
      <c r="AC1566">
        <v>-1.7468985212689381</v>
      </c>
      <c r="AD1566">
        <v>-1.4982798450414059</v>
      </c>
      <c r="AE1566">
        <v>1.5728889755497018</v>
      </c>
      <c r="AF1566">
        <v>7.5468986959300686E-3</v>
      </c>
      <c r="AG1566">
        <v>-1.5039657315699253</v>
      </c>
      <c r="AH1566">
        <v>1.5873985057361162</v>
      </c>
      <c r="AI1566">
        <v>1.3230950860690129E-3</v>
      </c>
    </row>
    <row r="1567" spans="23:35" x14ac:dyDescent="0.25">
      <c r="W1567">
        <v>1565</v>
      </c>
      <c r="X1567">
        <v>57.216234663538565</v>
      </c>
      <c r="Y1567">
        <v>-6.2162346635385646</v>
      </c>
      <c r="Z1567">
        <v>57.288621302686963</v>
      </c>
      <c r="AA1567">
        <v>3.7598544572468161E-2</v>
      </c>
      <c r="AB1567">
        <v>81.5</v>
      </c>
      <c r="AC1567">
        <v>-1.7980761038936304</v>
      </c>
      <c r="AD1567">
        <v>-1.4271079432083922</v>
      </c>
      <c r="AE1567">
        <v>1.5804200815754175</v>
      </c>
      <c r="AF1567">
        <v>1.1510732744786544E-2</v>
      </c>
      <c r="AG1567">
        <v>-1.4353930671675983</v>
      </c>
      <c r="AH1567">
        <v>1.5915447480908924</v>
      </c>
      <c r="AI1567">
        <v>1.8455650136598046E-3</v>
      </c>
    </row>
    <row r="1568" spans="23:35" x14ac:dyDescent="0.25">
      <c r="W1568">
        <v>1566</v>
      </c>
      <c r="X1568">
        <v>56.677439659884662</v>
      </c>
      <c r="Y1568">
        <v>-7.877439659884665</v>
      </c>
      <c r="Z1568">
        <v>56.85345356618771</v>
      </c>
      <c r="AA1568">
        <v>2.5469981807155852E-2</v>
      </c>
      <c r="AB1568">
        <v>81.5</v>
      </c>
      <c r="AC1568">
        <v>-1.957118520190694</v>
      </c>
      <c r="AD1568">
        <v>-1.808483321375578</v>
      </c>
      <c r="AE1568">
        <v>1.5859410337570352</v>
      </c>
      <c r="AF1568">
        <v>2.18557051153851E-2</v>
      </c>
      <c r="AG1568">
        <v>-1.8285761237437377</v>
      </c>
      <c r="AH1568">
        <v>1.5964573711729382</v>
      </c>
      <c r="AI1568">
        <v>5.7470454720472425E-3</v>
      </c>
    </row>
    <row r="1569" spans="23:35" x14ac:dyDescent="0.25">
      <c r="W1569">
        <v>1567</v>
      </c>
      <c r="X1569">
        <v>68.262097268922176</v>
      </c>
      <c r="Y1569">
        <v>9.7379027310778241</v>
      </c>
      <c r="Z1569">
        <v>68.1265814710939</v>
      </c>
      <c r="AA1569">
        <v>0.86294724075197093</v>
      </c>
      <c r="AB1569">
        <v>81.599999999999994</v>
      </c>
      <c r="AC1569">
        <v>1.0491313979639725</v>
      </c>
      <c r="AD1569">
        <v>2.2356038807905989</v>
      </c>
      <c r="AE1569">
        <v>1.597724595588021</v>
      </c>
      <c r="AF1569">
        <v>1.3725316862799746E-2</v>
      </c>
      <c r="AG1569">
        <v>2.2511058272413003</v>
      </c>
      <c r="AH1569">
        <v>1.6112872323663605</v>
      </c>
      <c r="AI1569">
        <v>5.4246655328321703E-3</v>
      </c>
    </row>
    <row r="1570" spans="23:35" x14ac:dyDescent="0.25">
      <c r="W1570">
        <v>1568</v>
      </c>
      <c r="X1570">
        <v>70.115574827680902</v>
      </c>
      <c r="Y1570">
        <v>0.8844251723190979</v>
      </c>
      <c r="Z1570">
        <v>70.108256724256009</v>
      </c>
      <c r="AA1570">
        <v>0.46937537901758641</v>
      </c>
      <c r="AB1570">
        <v>81.599999999999994</v>
      </c>
      <c r="AC1570">
        <v>-9.743972564826138E-2</v>
      </c>
      <c r="AD1570">
        <v>0.20304416691237823</v>
      </c>
      <c r="AE1570">
        <v>1.6070533009439314</v>
      </c>
      <c r="AF1570">
        <v>8.2065137175087004E-3</v>
      </c>
      <c r="AG1570">
        <v>0.2038824725007562</v>
      </c>
      <c r="AH1570">
        <v>1.6127745660154416</v>
      </c>
      <c r="AI1570">
        <v>2.6457809133581664E-5</v>
      </c>
    </row>
    <row r="1571" spans="23:35" x14ac:dyDescent="0.25">
      <c r="W1571">
        <v>1569</v>
      </c>
      <c r="X1571">
        <v>73.996418856501023</v>
      </c>
      <c r="Y1571">
        <v>3.0035811434989768</v>
      </c>
      <c r="Z1571">
        <v>73.983218268820309</v>
      </c>
      <c r="AA1571">
        <v>0.83747725894481506</v>
      </c>
      <c r="AB1571">
        <v>81.599999999999994</v>
      </c>
      <c r="AC1571">
        <v>0.95855995741850497</v>
      </c>
      <c r="AD1571">
        <v>0.68955480929645296</v>
      </c>
      <c r="AE1571">
        <v>1.6153665577629939</v>
      </c>
      <c r="AF1571">
        <v>4.3757185162848281E-3</v>
      </c>
      <c r="AG1571">
        <v>0.69106842736020335</v>
      </c>
      <c r="AH1571">
        <v>1.617566228204893</v>
      </c>
      <c r="AI1571">
        <v>1.6145542736746487E-4</v>
      </c>
    </row>
    <row r="1572" spans="23:35" x14ac:dyDescent="0.25">
      <c r="W1572">
        <v>1570</v>
      </c>
      <c r="X1572">
        <v>71.614745849611126</v>
      </c>
      <c r="Y1572">
        <v>3.3852541503888745</v>
      </c>
      <c r="Z1572">
        <v>71.569311330012127</v>
      </c>
      <c r="AA1572">
        <v>0.76046088538508183</v>
      </c>
      <c r="AB1572">
        <v>81.7</v>
      </c>
      <c r="AC1572">
        <v>0.67020216077934069</v>
      </c>
      <c r="AD1572">
        <v>0.77717836428154474</v>
      </c>
      <c r="AE1572">
        <v>1.6168553155481957</v>
      </c>
      <c r="AF1572">
        <v>1.3243556606130927E-2</v>
      </c>
      <c r="AG1572">
        <v>0.78237635437959541</v>
      </c>
      <c r="AH1572">
        <v>1.6265822009516202</v>
      </c>
      <c r="AI1572">
        <v>6.3195003412368548E-4</v>
      </c>
    </row>
    <row r="1573" spans="23:35" x14ac:dyDescent="0.25">
      <c r="W1573">
        <v>1571</v>
      </c>
      <c r="X1573">
        <v>72.620238483648649</v>
      </c>
      <c r="Y1573">
        <v>-2.8202384836486516</v>
      </c>
      <c r="Z1573">
        <v>72.633713642804523</v>
      </c>
      <c r="AA1573">
        <v>0.4530018192844148</v>
      </c>
      <c r="AB1573">
        <v>81.7</v>
      </c>
      <c r="AC1573">
        <v>-0.12344005334831042</v>
      </c>
      <c r="AD1573">
        <v>-0.64746345007926243</v>
      </c>
      <c r="AE1573">
        <v>1.6197263945091869</v>
      </c>
      <c r="AF1573">
        <v>4.7553002365235903E-3</v>
      </c>
      <c r="AG1573">
        <v>-0.64900840385590619</v>
      </c>
      <c r="AH1573">
        <v>1.6348403134127178</v>
      </c>
      <c r="AI1573">
        <v>1.5481226240723192E-4</v>
      </c>
    </row>
    <row r="1574" spans="23:35" x14ac:dyDescent="0.25">
      <c r="W1574">
        <v>1572</v>
      </c>
      <c r="X1574">
        <v>73.351964616033655</v>
      </c>
      <c r="Y1574">
        <v>-4.1519646160336521</v>
      </c>
      <c r="Z1574">
        <v>73.364492203428512</v>
      </c>
      <c r="AA1574">
        <v>0.42874469375379015</v>
      </c>
      <c r="AB1574">
        <v>81.7</v>
      </c>
      <c r="AC1574">
        <v>-0.1880739545732803</v>
      </c>
      <c r="AD1574">
        <v>-0.95319787687822821</v>
      </c>
      <c r="AE1574">
        <v>1.6247869253737226</v>
      </c>
      <c r="AF1574">
        <v>3.0081908628739966E-3</v>
      </c>
      <c r="AG1574">
        <v>-0.95463482021388069</v>
      </c>
      <c r="AH1574">
        <v>1.6368687413347653</v>
      </c>
      <c r="AI1574">
        <v>2.115168584367856E-4</v>
      </c>
    </row>
    <row r="1575" spans="23:35" x14ac:dyDescent="0.25">
      <c r="W1575">
        <v>1573</v>
      </c>
      <c r="X1575">
        <v>71.806182619822479</v>
      </c>
      <c r="Y1575">
        <v>-4.1061826198224765</v>
      </c>
      <c r="Z1575">
        <v>71.889897893367035</v>
      </c>
      <c r="AA1575">
        <v>0.36749545178896303</v>
      </c>
      <c r="AB1575">
        <v>81.7</v>
      </c>
      <c r="AC1575">
        <v>-0.35059197017921911</v>
      </c>
      <c r="AD1575">
        <v>-0.94268735821455329</v>
      </c>
      <c r="AE1575">
        <v>1.6299344784052647</v>
      </c>
      <c r="AF1575">
        <v>1.9980265790507087E-2</v>
      </c>
      <c r="AG1575">
        <v>-0.95224844597695868</v>
      </c>
      <c r="AH1575">
        <v>1.6408649122100709</v>
      </c>
      <c r="AI1575">
        <v>1.4220787049616407E-3</v>
      </c>
    </row>
    <row r="1576" spans="23:35" x14ac:dyDescent="0.25">
      <c r="W1576">
        <v>1574</v>
      </c>
      <c r="X1576">
        <v>73.462843117065148</v>
      </c>
      <c r="Y1576">
        <v>-5.9628431170651481</v>
      </c>
      <c r="Z1576">
        <v>73.4778470155603</v>
      </c>
      <c r="AA1576">
        <v>0.35900545785324439</v>
      </c>
      <c r="AB1576">
        <v>81.7</v>
      </c>
      <c r="AC1576">
        <v>-0.37168505980560429</v>
      </c>
      <c r="AD1576">
        <v>-1.3689349320067492</v>
      </c>
      <c r="AE1576">
        <v>1.632733490749543</v>
      </c>
      <c r="AF1576">
        <v>2.5099167737301234E-3</v>
      </c>
      <c r="AG1576">
        <v>-1.370656129105384</v>
      </c>
      <c r="AH1576">
        <v>1.6416496788322568</v>
      </c>
      <c r="AI1576">
        <v>3.6363393597945093E-4</v>
      </c>
    </row>
    <row r="1577" spans="23:35" x14ac:dyDescent="0.25">
      <c r="W1577">
        <v>1575</v>
      </c>
      <c r="X1577">
        <v>73.410964377931819</v>
      </c>
      <c r="Y1577">
        <v>-5.7109643779318162</v>
      </c>
      <c r="Z1577">
        <v>73.488318156242826</v>
      </c>
      <c r="AA1577">
        <v>0.36749545178896303</v>
      </c>
      <c r="AB1577">
        <v>81.7</v>
      </c>
      <c r="AC1577">
        <v>-0.35059197017921911</v>
      </c>
      <c r="AD1577">
        <v>-1.3111092274124712</v>
      </c>
      <c r="AE1577">
        <v>1.6477967926455137</v>
      </c>
      <c r="AF1577">
        <v>1.3363774454516609E-2</v>
      </c>
      <c r="AG1577">
        <v>-1.3199587076992363</v>
      </c>
      <c r="AH1577">
        <v>1.6547337110188971</v>
      </c>
      <c r="AI1577">
        <v>1.8153042258491354E-3</v>
      </c>
    </row>
    <row r="1578" spans="23:35" x14ac:dyDescent="0.25">
      <c r="W1578">
        <v>1576</v>
      </c>
      <c r="X1578">
        <v>73.003109907958361</v>
      </c>
      <c r="Y1578">
        <v>-6.0031099079583612</v>
      </c>
      <c r="Z1578">
        <v>73.014163305801731</v>
      </c>
      <c r="AA1578">
        <v>0.33959975742874471</v>
      </c>
      <c r="AB1578">
        <v>81.7</v>
      </c>
      <c r="AC1578">
        <v>-0.42600652312983872</v>
      </c>
      <c r="AD1578">
        <v>-1.3781792833289856</v>
      </c>
      <c r="AE1578">
        <v>1.6481336511158193</v>
      </c>
      <c r="AF1578">
        <v>1.8378945301835209E-3</v>
      </c>
      <c r="AG1578">
        <v>-1.3794475058245861</v>
      </c>
      <c r="AH1578">
        <v>1.6597991742156142</v>
      </c>
      <c r="AI1578">
        <v>2.6951721563757327E-4</v>
      </c>
    </row>
    <row r="1579" spans="23:35" x14ac:dyDescent="0.25">
      <c r="W1579">
        <v>1577</v>
      </c>
      <c r="X1579">
        <v>72.939496510996918</v>
      </c>
      <c r="Y1579">
        <v>-5.5394965109969121</v>
      </c>
      <c r="Z1579">
        <v>72.949665439677659</v>
      </c>
      <c r="AA1579">
        <v>0.3547604608853851</v>
      </c>
      <c r="AB1579">
        <v>81.8</v>
      </c>
      <c r="AC1579">
        <v>-0.38147581702590427</v>
      </c>
      <c r="AD1579">
        <v>-1.2717440540957183</v>
      </c>
      <c r="AE1579">
        <v>1.6499260557033715</v>
      </c>
      <c r="AF1579">
        <v>1.8323498580724695E-3</v>
      </c>
      <c r="AG1579">
        <v>-1.2729107977712468</v>
      </c>
      <c r="AH1579">
        <v>1.6599121080902339</v>
      </c>
      <c r="AI1579">
        <v>2.2880077805925096E-4</v>
      </c>
    </row>
    <row r="1580" spans="23:35" x14ac:dyDescent="0.25">
      <c r="W1580">
        <v>1578</v>
      </c>
      <c r="X1580">
        <v>72.831288781616664</v>
      </c>
      <c r="Y1580">
        <v>-5.2312887816166693</v>
      </c>
      <c r="Z1580">
        <v>72.842298031807957</v>
      </c>
      <c r="AA1580">
        <v>0.36264402668283807</v>
      </c>
      <c r="AB1580">
        <v>81.8</v>
      </c>
      <c r="AC1580">
        <v>-0.36030729595554811</v>
      </c>
      <c r="AD1580">
        <v>-1.2009864777550616</v>
      </c>
      <c r="AE1580">
        <v>1.6508097006486104</v>
      </c>
      <c r="AF1580">
        <v>2.1000809424583725E-3</v>
      </c>
      <c r="AG1580">
        <v>-1.2022495519291327</v>
      </c>
      <c r="AH1580">
        <v>1.6608453602039854</v>
      </c>
      <c r="AI1580">
        <v>2.3398873091229875E-4</v>
      </c>
    </row>
    <row r="1581" spans="23:35" x14ac:dyDescent="0.25">
      <c r="W1581">
        <v>1579</v>
      </c>
      <c r="X1581">
        <v>72.918640112791479</v>
      </c>
      <c r="Y1581">
        <v>-5.3186401127914849</v>
      </c>
      <c r="Z1581">
        <v>72.944024268576541</v>
      </c>
      <c r="AA1581">
        <v>0.36264402668283807</v>
      </c>
      <c r="AB1581">
        <v>81.8</v>
      </c>
      <c r="AC1581">
        <v>-0.36030729595554811</v>
      </c>
      <c r="AD1581">
        <v>-1.2210403826213949</v>
      </c>
      <c r="AE1581">
        <v>1.6509827736179077</v>
      </c>
      <c r="AF1581">
        <v>4.7500075803042531E-3</v>
      </c>
      <c r="AG1581">
        <v>-1.2239507304024</v>
      </c>
      <c r="AH1581">
        <v>1.6660302701881078</v>
      </c>
      <c r="AI1581">
        <v>5.4997967380152025E-4</v>
      </c>
    </row>
    <row r="1582" spans="23:35" x14ac:dyDescent="0.25">
      <c r="W1582">
        <v>1580</v>
      </c>
      <c r="X1582">
        <v>72.921307218774544</v>
      </c>
      <c r="Y1582">
        <v>-5.2213072187745411</v>
      </c>
      <c r="Z1582">
        <v>72.993029129707267</v>
      </c>
      <c r="AA1582">
        <v>0.36749545178896303</v>
      </c>
      <c r="AB1582">
        <v>81.8</v>
      </c>
      <c r="AC1582">
        <v>-0.35059197017921911</v>
      </c>
      <c r="AD1582">
        <v>-1.1986949349822014</v>
      </c>
      <c r="AE1582">
        <v>1.6722044443599455</v>
      </c>
      <c r="AF1582">
        <v>1.3550258117828085E-2</v>
      </c>
      <c r="AG1582">
        <v>-1.2068997254385418</v>
      </c>
      <c r="AH1582">
        <v>1.6841090867715713</v>
      </c>
      <c r="AI1582">
        <v>1.539116979393838E-3</v>
      </c>
    </row>
    <row r="1583" spans="23:35" x14ac:dyDescent="0.25">
      <c r="W1583">
        <v>1581</v>
      </c>
      <c r="X1583">
        <v>72.867546758298886</v>
      </c>
      <c r="Y1583">
        <v>-5.3675467582988858</v>
      </c>
      <c r="Z1583">
        <v>72.94075898291743</v>
      </c>
      <c r="AA1583">
        <v>0.35900545785324439</v>
      </c>
      <c r="AB1583">
        <v>81.900000000000006</v>
      </c>
      <c r="AC1583">
        <v>-0.37168505980560429</v>
      </c>
      <c r="AD1583">
        <v>-1.232268250624621</v>
      </c>
      <c r="AE1583">
        <v>1.6825570623751946</v>
      </c>
      <c r="AF1583">
        <v>1.3456252123722442E-2</v>
      </c>
      <c r="AG1583">
        <v>-1.2406437290970973</v>
      </c>
      <c r="AH1583">
        <v>1.685869780528269</v>
      </c>
      <c r="AI1583">
        <v>1.6149481534026022E-3</v>
      </c>
    </row>
    <row r="1584" spans="23:35" x14ac:dyDescent="0.25">
      <c r="W1584">
        <v>1582</v>
      </c>
      <c r="X1584">
        <v>77.68576058011746</v>
      </c>
      <c r="Y1584">
        <v>-0.88576058011746284</v>
      </c>
      <c r="Z1584">
        <v>77.688007695047219</v>
      </c>
      <c r="AA1584">
        <v>0.82838083687083086</v>
      </c>
      <c r="AB1584">
        <v>81.900000000000006</v>
      </c>
      <c r="AC1584">
        <v>0.93712127394454448</v>
      </c>
      <c r="AD1584">
        <v>-0.20335074656704399</v>
      </c>
      <c r="AE1584">
        <v>1.6837487576109202</v>
      </c>
      <c r="AF1584">
        <v>2.5305129024129785E-3</v>
      </c>
      <c r="AG1584">
        <v>-0.20360852675135654</v>
      </c>
      <c r="AH1584">
        <v>1.6976890548167272</v>
      </c>
      <c r="AI1584">
        <v>8.0901673870873795E-6</v>
      </c>
    </row>
    <row r="1585" spans="23:35" x14ac:dyDescent="0.25">
      <c r="W1585">
        <v>1583</v>
      </c>
      <c r="X1585">
        <v>77.586368928119668</v>
      </c>
      <c r="Y1585">
        <v>-0.7863689281196713</v>
      </c>
      <c r="Z1585">
        <v>77.588403007473502</v>
      </c>
      <c r="AA1585">
        <v>0.82838083687083086</v>
      </c>
      <c r="AB1585">
        <v>81.900000000000006</v>
      </c>
      <c r="AC1585">
        <v>0.93712127394454448</v>
      </c>
      <c r="AD1585">
        <v>-0.18053265430829565</v>
      </c>
      <c r="AE1585">
        <v>1.7062259907162576</v>
      </c>
      <c r="AF1585">
        <v>2.5799994857263779E-3</v>
      </c>
      <c r="AG1585">
        <v>-0.18076599299339755</v>
      </c>
      <c r="AH1585">
        <v>1.7183104993863467</v>
      </c>
      <c r="AI1585">
        <v>6.5017708184812121E-6</v>
      </c>
    </row>
    <row r="1586" spans="23:35" x14ac:dyDescent="0.25">
      <c r="W1586">
        <v>1584</v>
      </c>
      <c r="X1586">
        <v>75.948019339422956</v>
      </c>
      <c r="Y1586">
        <v>0.55198066057704409</v>
      </c>
      <c r="Z1586">
        <v>75.946486224228678</v>
      </c>
      <c r="AA1586">
        <v>0.82049727107337778</v>
      </c>
      <c r="AB1586">
        <v>82</v>
      </c>
      <c r="AC1586">
        <v>0.91148934236618206</v>
      </c>
      <c r="AD1586">
        <v>0.1267223693834138</v>
      </c>
      <c r="AE1586">
        <v>1.7111675377592406</v>
      </c>
      <c r="AF1586">
        <v>2.7697868804363356E-3</v>
      </c>
      <c r="AG1586">
        <v>0.12689823177194409</v>
      </c>
      <c r="AH1586">
        <v>1.7211149289460286</v>
      </c>
      <c r="AI1586">
        <v>3.4404774431050613E-6</v>
      </c>
    </row>
    <row r="1587" spans="23:35" x14ac:dyDescent="0.25">
      <c r="W1587">
        <v>1585</v>
      </c>
      <c r="X1587">
        <v>77.085733251835563</v>
      </c>
      <c r="Y1587">
        <v>-8.5733251835563351E-2</v>
      </c>
      <c r="Z1587">
        <v>77.085926655785102</v>
      </c>
      <c r="AA1587">
        <v>0.83747725894481506</v>
      </c>
      <c r="AB1587">
        <v>82</v>
      </c>
      <c r="AC1587">
        <v>0.95855995741850497</v>
      </c>
      <c r="AD1587">
        <v>-1.9682430170995246E-2</v>
      </c>
      <c r="AE1587">
        <v>1.7161567065592946</v>
      </c>
      <c r="AF1587">
        <v>2.2508027080824175E-3</v>
      </c>
      <c r="AG1587">
        <v>-1.9704618267364433E-2</v>
      </c>
      <c r="AH1587">
        <v>1.7229647640343007</v>
      </c>
      <c r="AI1587">
        <v>6.7376545653581183E-8</v>
      </c>
    </row>
    <row r="1588" spans="23:35" x14ac:dyDescent="0.25">
      <c r="W1588">
        <v>1586</v>
      </c>
      <c r="X1588">
        <v>76.761761836973889</v>
      </c>
      <c r="Y1588">
        <v>-0.46176183697389206</v>
      </c>
      <c r="Z1588">
        <v>76.762753458396375</v>
      </c>
      <c r="AA1588">
        <v>0.8168587022437841</v>
      </c>
      <c r="AB1588">
        <v>82</v>
      </c>
      <c r="AC1588">
        <v>0.89095501331493132</v>
      </c>
      <c r="AD1588">
        <v>-0.10601015262200804</v>
      </c>
      <c r="AE1588">
        <v>1.737050835195727</v>
      </c>
      <c r="AF1588">
        <v>2.1428719861432124E-3</v>
      </c>
      <c r="AG1588">
        <v>-0.10612391858726837</v>
      </c>
      <c r="AH1588">
        <v>1.7445480357976049</v>
      </c>
      <c r="AI1588">
        <v>1.8604202868018286E-6</v>
      </c>
    </row>
    <row r="1589" spans="23:35" x14ac:dyDescent="0.25">
      <c r="W1589">
        <v>1587</v>
      </c>
      <c r="X1589">
        <v>72.768018823156766</v>
      </c>
      <c r="Y1589">
        <v>3.8319811768432288</v>
      </c>
      <c r="Z1589">
        <v>72.741311922165195</v>
      </c>
      <c r="AA1589">
        <v>0.82413583990297146</v>
      </c>
      <c r="AB1589">
        <v>82</v>
      </c>
      <c r="AC1589">
        <v>0.91841998904288702</v>
      </c>
      <c r="AD1589">
        <v>0.87973686189398281</v>
      </c>
      <c r="AE1589">
        <v>1.7458906905551936</v>
      </c>
      <c r="AF1589">
        <v>6.9212386315920024E-3</v>
      </c>
      <c r="AG1589">
        <v>0.88279719141865487</v>
      </c>
      <c r="AH1589">
        <v>1.7600944129377123</v>
      </c>
      <c r="AI1589">
        <v>4.1780983864144681E-4</v>
      </c>
    </row>
    <row r="1590" spans="23:35" x14ac:dyDescent="0.25">
      <c r="W1590">
        <v>1588</v>
      </c>
      <c r="X1590">
        <v>71.631840181527522</v>
      </c>
      <c r="Y1590">
        <v>4.7681598184724834</v>
      </c>
      <c r="Z1590">
        <v>71.597229039316076</v>
      </c>
      <c r="AA1590">
        <v>0.81867798665858094</v>
      </c>
      <c r="AB1590">
        <v>82</v>
      </c>
      <c r="AC1590">
        <v>0.90460220385671419</v>
      </c>
      <c r="AD1590">
        <v>1.0946624636521738</v>
      </c>
      <c r="AE1590">
        <v>1.7512831392760224</v>
      </c>
      <c r="AF1590">
        <v>7.2064944372273957E-3</v>
      </c>
      <c r="AG1590">
        <v>1.0986282506148459</v>
      </c>
      <c r="AH1590">
        <v>1.768059699754045</v>
      </c>
      <c r="AI1590">
        <v>6.7394320797854854E-4</v>
      </c>
    </row>
    <row r="1591" spans="23:35" x14ac:dyDescent="0.25">
      <c r="W1591">
        <v>1589</v>
      </c>
      <c r="X1591">
        <v>74.963201477273117</v>
      </c>
      <c r="Y1591">
        <v>0.4367985227268889</v>
      </c>
      <c r="Z1591">
        <v>74.96213060844461</v>
      </c>
      <c r="AA1591">
        <v>0.77986658580958157</v>
      </c>
      <c r="AB1591">
        <v>82</v>
      </c>
      <c r="AC1591">
        <v>0.74840704313415274</v>
      </c>
      <c r="AD1591">
        <v>0.10027913602128888</v>
      </c>
      <c r="AE1591">
        <v>1.7626155197538631</v>
      </c>
      <c r="AF1591">
        <v>2.4456352719794501E-3</v>
      </c>
      <c r="AG1591">
        <v>0.10040198449523781</v>
      </c>
      <c r="AH1591">
        <v>1.7754762502421286</v>
      </c>
      <c r="AI1591">
        <v>1.9010623363207992E-6</v>
      </c>
    </row>
    <row r="1592" spans="23:35" x14ac:dyDescent="0.25">
      <c r="W1592">
        <v>1590</v>
      </c>
      <c r="X1592">
        <v>75.947886391730435</v>
      </c>
      <c r="Y1592">
        <v>0.25211360826956764</v>
      </c>
      <c r="Z1592">
        <v>75.946802179061038</v>
      </c>
      <c r="AA1592">
        <v>0.81322013341419042</v>
      </c>
      <c r="AB1592">
        <v>82</v>
      </c>
      <c r="AC1592">
        <v>0.88194836619248052</v>
      </c>
      <c r="AD1592">
        <v>5.7879625275860838E-2</v>
      </c>
      <c r="AE1592">
        <v>1.7656024606725595</v>
      </c>
      <c r="AF1592">
        <v>4.2820774103607346E-3</v>
      </c>
      <c r="AG1592">
        <v>5.8003947203687102E-2</v>
      </c>
      <c r="AH1592">
        <v>1.781158086123783</v>
      </c>
      <c r="AI1592">
        <v>1.1129865973861019E-6</v>
      </c>
    </row>
    <row r="1593" spans="23:35" x14ac:dyDescent="0.25">
      <c r="W1593">
        <v>1591</v>
      </c>
      <c r="X1593">
        <v>75.345362142485797</v>
      </c>
      <c r="Y1593">
        <v>0.35463785751420573</v>
      </c>
      <c r="Z1593">
        <v>75.343664256375206</v>
      </c>
      <c r="AA1593">
        <v>0.79199514857489384</v>
      </c>
      <c r="AB1593">
        <v>82</v>
      </c>
      <c r="AC1593">
        <v>0.80177968430189828</v>
      </c>
      <c r="AD1593">
        <v>8.1416891545215586E-2</v>
      </c>
      <c r="AE1593">
        <v>1.7815744106179059</v>
      </c>
      <c r="AF1593">
        <v>4.764849277581743E-3</v>
      </c>
      <c r="AG1593">
        <v>8.1611557094536102E-2</v>
      </c>
      <c r="AH1593">
        <v>1.7997495172622504</v>
      </c>
      <c r="AI1593">
        <v>2.452920296219112E-6</v>
      </c>
    </row>
    <row r="1594" spans="23:35" x14ac:dyDescent="0.25">
      <c r="W1594">
        <v>1592</v>
      </c>
      <c r="X1594">
        <v>75.638047814962533</v>
      </c>
      <c r="Y1594">
        <v>-0.23804781496252758</v>
      </c>
      <c r="Z1594">
        <v>75.6392240605458</v>
      </c>
      <c r="AA1594">
        <v>0.77986658580958157</v>
      </c>
      <c r="AB1594">
        <v>82</v>
      </c>
      <c r="AC1594">
        <v>0.74840704313415274</v>
      </c>
      <c r="AD1594">
        <v>-5.4650434866794523E-2</v>
      </c>
      <c r="AE1594">
        <v>1.7918232752138596</v>
      </c>
      <c r="AF1594">
        <v>4.9169200647640665E-3</v>
      </c>
      <c r="AG1594">
        <v>-5.4785288278518127E-2</v>
      </c>
      <c r="AH1594">
        <v>1.8009597563933764</v>
      </c>
      <c r="AI1594">
        <v>1.1408232312967195E-6</v>
      </c>
    </row>
    <row r="1595" spans="23:35" x14ac:dyDescent="0.25">
      <c r="W1595">
        <v>1593</v>
      </c>
      <c r="X1595">
        <v>74.533682220560351</v>
      </c>
      <c r="Y1595">
        <v>0.8663177794396546</v>
      </c>
      <c r="Z1595">
        <v>74.532403375497381</v>
      </c>
      <c r="AA1595">
        <v>0.77986658580958157</v>
      </c>
      <c r="AB1595">
        <v>82</v>
      </c>
      <c r="AC1595">
        <v>0.74840704313415274</v>
      </c>
      <c r="AD1595">
        <v>0.19888711596309205</v>
      </c>
      <c r="AE1595">
        <v>1.7957247011268072</v>
      </c>
      <c r="AF1595">
        <v>1.4740088041558879E-3</v>
      </c>
      <c r="AG1595">
        <v>0.1990338588882877</v>
      </c>
      <c r="AH1595">
        <v>1.810107055876893</v>
      </c>
      <c r="AI1595">
        <v>4.4983296426042694E-6</v>
      </c>
    </row>
    <row r="1596" spans="23:35" x14ac:dyDescent="0.25">
      <c r="W1596">
        <v>1594</v>
      </c>
      <c r="X1596">
        <v>74.34509188938344</v>
      </c>
      <c r="Y1596">
        <v>1.0549081106165659</v>
      </c>
      <c r="Z1596">
        <v>74.34317065106525</v>
      </c>
      <c r="AA1596">
        <v>0.77986658580958157</v>
      </c>
      <c r="AB1596">
        <v>82.1</v>
      </c>
      <c r="AC1596">
        <v>0.74840704313415274</v>
      </c>
      <c r="AD1596">
        <v>0.24218322272262441</v>
      </c>
      <c r="AE1596">
        <v>1.811095248772649</v>
      </c>
      <c r="AF1596">
        <v>1.8179267259426446E-3</v>
      </c>
      <c r="AG1596">
        <v>0.24240365899752556</v>
      </c>
      <c r="AH1596">
        <v>1.8271491255973176</v>
      </c>
      <c r="AI1596">
        <v>8.2319286640752264E-6</v>
      </c>
    </row>
    <row r="1597" spans="23:35" x14ac:dyDescent="0.25">
      <c r="W1597">
        <v>1595</v>
      </c>
      <c r="X1597">
        <v>74.842363772376871</v>
      </c>
      <c r="Y1597">
        <v>0.35763622762313219</v>
      </c>
      <c r="Z1597">
        <v>74.841850449213595</v>
      </c>
      <c r="AA1597">
        <v>0.76652516676773808</v>
      </c>
      <c r="AB1597">
        <v>82.1</v>
      </c>
      <c r="AC1597">
        <v>0.71660092108895201</v>
      </c>
      <c r="AD1597">
        <v>8.2105250017946052E-2</v>
      </c>
      <c r="AE1597">
        <v>1.8118822603380944</v>
      </c>
      <c r="AF1597">
        <v>1.4332648530393961E-3</v>
      </c>
      <c r="AG1597">
        <v>8.2164152627344222E-2</v>
      </c>
      <c r="AH1597">
        <v>1.8279711451721425</v>
      </c>
      <c r="AI1597">
        <v>7.4536803750980508E-7</v>
      </c>
    </row>
    <row r="1598" spans="23:35" x14ac:dyDescent="0.25">
      <c r="W1598">
        <v>1596</v>
      </c>
      <c r="X1598">
        <v>72.614324739665562</v>
      </c>
      <c r="Y1598">
        <v>2.4856752603344319</v>
      </c>
      <c r="Z1598">
        <v>72.562339588631588</v>
      </c>
      <c r="AA1598">
        <v>0.76288659793814428</v>
      </c>
      <c r="AB1598">
        <v>82.2</v>
      </c>
      <c r="AC1598">
        <v>0.70876261491573156</v>
      </c>
      <c r="AD1598">
        <v>0.57065524393195211</v>
      </c>
      <c r="AE1598">
        <v>1.8221707999470178</v>
      </c>
      <c r="AF1598">
        <v>2.0485464012872691E-2</v>
      </c>
      <c r="AG1598">
        <v>0.5765916779361292</v>
      </c>
      <c r="AH1598">
        <v>1.8291118054409008</v>
      </c>
      <c r="AI1598">
        <v>5.3484545251338315E-4</v>
      </c>
    </row>
    <row r="1599" spans="23:35" x14ac:dyDescent="0.25">
      <c r="W1599">
        <v>1597</v>
      </c>
      <c r="X1599">
        <v>72.385000974466678</v>
      </c>
      <c r="Y1599">
        <v>-3.185000974466675</v>
      </c>
      <c r="Z1599">
        <v>72.394365945033542</v>
      </c>
      <c r="AA1599">
        <v>0.42874469375379015</v>
      </c>
      <c r="AB1599">
        <v>82.2</v>
      </c>
      <c r="AC1599">
        <v>-0.1880739545732803</v>
      </c>
      <c r="AD1599">
        <v>-0.73120473016384591</v>
      </c>
      <c r="AE1599">
        <v>1.82622629123841</v>
      </c>
      <c r="AF1599">
        <v>2.9317150032328659E-3</v>
      </c>
      <c r="AG1599">
        <v>-0.7322789346266726</v>
      </c>
      <c r="AH1599">
        <v>1.8371607711019757</v>
      </c>
      <c r="AI1599">
        <v>1.2128485601604495E-4</v>
      </c>
    </row>
    <row r="1600" spans="23:35" x14ac:dyDescent="0.25">
      <c r="W1600">
        <v>1598</v>
      </c>
      <c r="X1600">
        <v>72.238029754850274</v>
      </c>
      <c r="Y1600">
        <v>-3.1380297548502796</v>
      </c>
      <c r="Z1600">
        <v>72.247123240428891</v>
      </c>
      <c r="AA1600">
        <v>0.42510612492419647</v>
      </c>
      <c r="AB1600">
        <v>82.3</v>
      </c>
      <c r="AC1600">
        <v>-0.198915705174462</v>
      </c>
      <c r="AD1600">
        <v>-0.72042119250077685</v>
      </c>
      <c r="AE1600">
        <v>1.8303102302829992</v>
      </c>
      <c r="AF1600">
        <v>2.8894596378665175E-3</v>
      </c>
      <c r="AG1600">
        <v>-0.72146426746711079</v>
      </c>
      <c r="AH1600">
        <v>1.8621336006449845</v>
      </c>
      <c r="AI1600">
        <v>1.16027150199207E-4</v>
      </c>
    </row>
    <row r="1601" spans="23:35" x14ac:dyDescent="0.25">
      <c r="W1601">
        <v>1599</v>
      </c>
      <c r="X1601">
        <v>72.048307370191139</v>
      </c>
      <c r="Y1601">
        <v>-3.2483073701911422</v>
      </c>
      <c r="Z1601">
        <v>72.057649975527681</v>
      </c>
      <c r="AA1601">
        <v>0.41115827774408731</v>
      </c>
      <c r="AB1601">
        <v>82.3</v>
      </c>
      <c r="AC1601">
        <v>-0.23002600999886993</v>
      </c>
      <c r="AD1601">
        <v>-0.74573845758636448</v>
      </c>
      <c r="AE1601">
        <v>1.8443065590899552</v>
      </c>
      <c r="AF1601">
        <v>2.8678972285932835E-3</v>
      </c>
      <c r="AG1601">
        <v>-0.7468101138158747</v>
      </c>
      <c r="AH1601">
        <v>1.8625744046194639</v>
      </c>
      <c r="AI1601">
        <v>1.233922589628761E-4</v>
      </c>
    </row>
    <row r="1602" spans="23:35" x14ac:dyDescent="0.25">
      <c r="W1602">
        <v>1600</v>
      </c>
      <c r="X1602">
        <v>71.733466441044953</v>
      </c>
      <c r="Y1602">
        <v>-3.2334664410449534</v>
      </c>
      <c r="Z1602">
        <v>71.738565434898462</v>
      </c>
      <c r="AA1602">
        <v>0.40388114008489995</v>
      </c>
      <c r="AB1602">
        <v>82.3</v>
      </c>
      <c r="AC1602">
        <v>-0.25193465741015014</v>
      </c>
      <c r="AD1602">
        <v>-0.7423313133880689</v>
      </c>
      <c r="AE1602">
        <v>1.8547748398191173</v>
      </c>
      <c r="AF1602">
        <v>1.5744606542661623E-3</v>
      </c>
      <c r="AG1602">
        <v>-0.74291639008664878</v>
      </c>
      <c r="AH1602">
        <v>1.8803003392331465</v>
      </c>
      <c r="AI1602">
        <v>6.6950320100356243E-5</v>
      </c>
    </row>
    <row r="1603" spans="23:35" x14ac:dyDescent="0.25">
      <c r="W1603">
        <v>1601</v>
      </c>
      <c r="X1603">
        <v>68.983493119933939</v>
      </c>
      <c r="Y1603">
        <v>-0.68349311993394224</v>
      </c>
      <c r="Z1603">
        <v>68.987177890860252</v>
      </c>
      <c r="AA1603">
        <v>0.39599757428744692</v>
      </c>
      <c r="AB1603">
        <v>82.4</v>
      </c>
      <c r="AC1603">
        <v>-0.27396491687072577</v>
      </c>
      <c r="AD1603">
        <v>-0.15691467799749415</v>
      </c>
      <c r="AE1603">
        <v>1.8854880258072693</v>
      </c>
      <c r="AF1603">
        <v>5.3621791028610252E-3</v>
      </c>
      <c r="AG1603">
        <v>-0.15733707980788336</v>
      </c>
      <c r="AH1603">
        <v>1.8894299967322867</v>
      </c>
      <c r="AI1603">
        <v>1.0265855928516151E-5</v>
      </c>
    </row>
    <row r="1604" spans="23:35" x14ac:dyDescent="0.25">
      <c r="W1604">
        <v>1602</v>
      </c>
      <c r="X1604">
        <v>68.934537468708498</v>
      </c>
      <c r="Y1604">
        <v>-0.93453746870849841</v>
      </c>
      <c r="Z1604">
        <v>68.939679868316901</v>
      </c>
      <c r="AA1604">
        <v>0.38447543966040026</v>
      </c>
      <c r="AB1604">
        <v>82.5</v>
      </c>
      <c r="AC1604">
        <v>-0.31204933220437475</v>
      </c>
      <c r="AD1604">
        <v>-0.21454882529492017</v>
      </c>
      <c r="AE1604">
        <v>1.8974139900368154</v>
      </c>
      <c r="AF1604">
        <v>5.472501627185029E-3</v>
      </c>
      <c r="AG1604">
        <v>-0.21513830524658337</v>
      </c>
      <c r="AH1604">
        <v>1.9094766021687333</v>
      </c>
      <c r="AI1604">
        <v>1.959120899556104E-5</v>
      </c>
    </row>
    <row r="1605" spans="23:35" x14ac:dyDescent="0.25">
      <c r="W1605">
        <v>1603</v>
      </c>
      <c r="X1605">
        <v>70.981358519617203</v>
      </c>
      <c r="Y1605">
        <v>-3.0813585196171971</v>
      </c>
      <c r="Z1605">
        <v>70.986316698634113</v>
      </c>
      <c r="AA1605">
        <v>0.37719830200121285</v>
      </c>
      <c r="AB1605">
        <v>82.5</v>
      </c>
      <c r="AC1605">
        <v>-0.32163939638952632</v>
      </c>
      <c r="AD1605">
        <v>-0.70741074898793088</v>
      </c>
      <c r="AE1605">
        <v>1.9075368313270109</v>
      </c>
      <c r="AF1605">
        <v>1.6065036420604573E-3</v>
      </c>
      <c r="AG1605">
        <v>-0.70797966352456976</v>
      </c>
      <c r="AH1605">
        <v>1.927657089220369</v>
      </c>
      <c r="AI1605">
        <v>6.2040913622742885E-5</v>
      </c>
    </row>
    <row r="1606" spans="23:35" x14ac:dyDescent="0.25">
      <c r="W1606">
        <v>1604</v>
      </c>
      <c r="X1606">
        <v>70.556154025447142</v>
      </c>
      <c r="Y1606">
        <v>-2.7561540254471453</v>
      </c>
      <c r="Z1606">
        <v>70.560872884464032</v>
      </c>
      <c r="AA1606">
        <v>0.37355973317161917</v>
      </c>
      <c r="AB1606">
        <v>82.6</v>
      </c>
      <c r="AC1606">
        <v>-0.337689309602062</v>
      </c>
      <c r="AD1606">
        <v>-0.63275109697714915</v>
      </c>
      <c r="AE1606">
        <v>1.9778264925377764</v>
      </c>
      <c r="AF1606">
        <v>1.7091909748678494E-3</v>
      </c>
      <c r="AG1606">
        <v>-0.63329253737702096</v>
      </c>
      <c r="AH1606">
        <v>1.986516999423884</v>
      </c>
      <c r="AI1606">
        <v>5.2820062007109305E-5</v>
      </c>
    </row>
    <row r="1607" spans="23:35" x14ac:dyDescent="0.25">
      <c r="W1607">
        <v>1605</v>
      </c>
      <c r="X1607">
        <v>70.266893565823949</v>
      </c>
      <c r="Y1607">
        <v>-2.6668935658239548</v>
      </c>
      <c r="Z1607">
        <v>70.271277764023466</v>
      </c>
      <c r="AA1607">
        <v>0.36264402668283807</v>
      </c>
      <c r="AB1607">
        <v>82.7</v>
      </c>
      <c r="AC1607">
        <v>-0.36030729595554811</v>
      </c>
      <c r="AD1607">
        <v>-0.61225889907318931</v>
      </c>
      <c r="AE1607">
        <v>1.9834967920722257</v>
      </c>
      <c r="AF1607">
        <v>1.6412363620722968E-3</v>
      </c>
      <c r="AG1607">
        <v>-0.61276194916010074</v>
      </c>
      <c r="AH1607">
        <v>1.9947996627538038</v>
      </c>
      <c r="AI1607">
        <v>4.7481531814390331E-5</v>
      </c>
    </row>
    <row r="1608" spans="23:35" x14ac:dyDescent="0.25">
      <c r="W1608">
        <v>1606</v>
      </c>
      <c r="X1608">
        <v>70.29150813482542</v>
      </c>
      <c r="Y1608">
        <v>-2.9915081348254233</v>
      </c>
      <c r="Z1608">
        <v>70.297302196124505</v>
      </c>
      <c r="AA1608">
        <v>0.35112189205579136</v>
      </c>
      <c r="AB1608">
        <v>83</v>
      </c>
      <c r="AC1608">
        <v>-0.39787592189543292</v>
      </c>
      <c r="AD1608">
        <v>-0.68678311750728815</v>
      </c>
      <c r="AE1608">
        <v>2.0920636561062889</v>
      </c>
      <c r="AF1608">
        <v>1.9330921341791131E-3</v>
      </c>
      <c r="AG1608">
        <v>-0.68744788898224984</v>
      </c>
      <c r="AH1608">
        <v>2.0964857231689078</v>
      </c>
      <c r="AI1608">
        <v>7.0409151463179993E-5</v>
      </c>
    </row>
    <row r="1609" spans="23:35" x14ac:dyDescent="0.25">
      <c r="W1609">
        <v>1607</v>
      </c>
      <c r="X1609">
        <v>70.112341689587893</v>
      </c>
      <c r="Y1609">
        <v>-2.3123416895878961</v>
      </c>
      <c r="Z1609">
        <v>70.116990242009933</v>
      </c>
      <c r="AA1609">
        <v>0.37355973317161917</v>
      </c>
      <c r="AB1609">
        <v>83</v>
      </c>
      <c r="AC1609">
        <v>-0.337689309602062</v>
      </c>
      <c r="AD1609">
        <v>-0.53086174689941845</v>
      </c>
      <c r="AE1609">
        <v>2.1521635215981929</v>
      </c>
      <c r="AF1609">
        <v>2.0062891667628471E-3</v>
      </c>
      <c r="AG1609">
        <v>-0.53139508063592644</v>
      </c>
      <c r="AH1609">
        <v>2.1647280039466801</v>
      </c>
      <c r="AI1609">
        <v>4.3667409678713839E-5</v>
      </c>
    </row>
    <row r="1610" spans="23:35" x14ac:dyDescent="0.25">
      <c r="W1610">
        <v>1608</v>
      </c>
      <c r="X1610">
        <v>69.919310722041033</v>
      </c>
      <c r="Y1610">
        <v>-2.7193107220410297</v>
      </c>
      <c r="Z1610">
        <v>69.924709681312777</v>
      </c>
      <c r="AA1610">
        <v>0.34505761067313523</v>
      </c>
      <c r="AB1610">
        <v>83</v>
      </c>
      <c r="AC1610">
        <v>-0.40776731506460179</v>
      </c>
      <c r="AD1610">
        <v>-0.62429270153508043</v>
      </c>
      <c r="AE1610">
        <v>2.1872801195149618</v>
      </c>
      <c r="AF1610">
        <v>1.9814805624144994E-3</v>
      </c>
      <c r="AG1610">
        <v>-0.62491213415918745</v>
      </c>
      <c r="AH1610">
        <v>2.2323373355659291</v>
      </c>
      <c r="AI1610">
        <v>5.9641118441636639E-5</v>
      </c>
    </row>
    <row r="1611" spans="23:35" x14ac:dyDescent="0.25">
      <c r="W1611">
        <v>1609</v>
      </c>
      <c r="X1611">
        <v>70.130818439729751</v>
      </c>
      <c r="Y1611">
        <v>-3.0308184397297566</v>
      </c>
      <c r="Z1611">
        <v>70.141033452754641</v>
      </c>
      <c r="AA1611">
        <v>0.34141904184354155</v>
      </c>
      <c r="AB1611">
        <v>83</v>
      </c>
      <c r="AC1611">
        <v>-0.41272795222137554</v>
      </c>
      <c r="AD1611">
        <v>-0.69580788111667591</v>
      </c>
      <c r="AE1611">
        <v>2.2240914579563422</v>
      </c>
      <c r="AF1611">
        <v>3.3590597353120068E-3</v>
      </c>
      <c r="AG1611">
        <v>-0.69697946362447982</v>
      </c>
      <c r="AH1611">
        <v>2.2323534299331227</v>
      </c>
      <c r="AI1611">
        <v>1.2594345853814416E-4</v>
      </c>
    </row>
    <row r="1612" spans="23:35" x14ac:dyDescent="0.25">
      <c r="W1612">
        <v>1610</v>
      </c>
      <c r="X1612">
        <v>69.99307257053124</v>
      </c>
      <c r="Y1612">
        <v>1.7069274294687631</v>
      </c>
      <c r="Z1612">
        <v>69.987496599735195</v>
      </c>
      <c r="AA1612">
        <v>0.50394178289872649</v>
      </c>
      <c r="AB1612">
        <v>83</v>
      </c>
      <c r="AC1612">
        <v>-4.5602855597810616E-3</v>
      </c>
      <c r="AD1612">
        <v>0.391872222482748</v>
      </c>
      <c r="AE1612">
        <v>2.2299367882581325</v>
      </c>
      <c r="AF1612">
        <v>3.2560348757151168E-3</v>
      </c>
      <c r="AG1612">
        <v>0.39251175948490441</v>
      </c>
      <c r="AH1612">
        <v>2.2368156275861959</v>
      </c>
      <c r="AI1612">
        <v>3.8713944751759788E-5</v>
      </c>
    </row>
    <row r="1613" spans="23:35" x14ac:dyDescent="0.25">
      <c r="W1613">
        <v>1611</v>
      </c>
      <c r="X1613">
        <v>69.635796427828723</v>
      </c>
      <c r="Y1613">
        <v>1.9642035721712716</v>
      </c>
      <c r="Z1613">
        <v>69.628685894195243</v>
      </c>
      <c r="AA1613">
        <v>0.49787750151607035</v>
      </c>
      <c r="AB1613">
        <v>83</v>
      </c>
      <c r="AC1613">
        <v>-2.1282865457297767E-2</v>
      </c>
      <c r="AD1613">
        <v>0.45093704978123372</v>
      </c>
      <c r="AE1613">
        <v>2.2356038807905989</v>
      </c>
      <c r="AF1613">
        <v>3.6070018535091877E-3</v>
      </c>
      <c r="AG1613">
        <v>0.45175252188978032</v>
      </c>
      <c r="AH1613">
        <v>2.2511058272413003</v>
      </c>
      <c r="AI1613">
        <v>5.6829458452249553E-5</v>
      </c>
    </row>
    <row r="1614" spans="23:35" x14ac:dyDescent="0.25">
      <c r="W1614">
        <v>1612</v>
      </c>
      <c r="X1614">
        <v>66.516844468558091</v>
      </c>
      <c r="Y1614">
        <v>4.8831555314419148</v>
      </c>
      <c r="Z1614">
        <v>66.482520829809815</v>
      </c>
      <c r="AA1614">
        <v>0.4887810794420861</v>
      </c>
      <c r="AB1614">
        <v>83</v>
      </c>
      <c r="AC1614">
        <v>-4.7140240828996732E-2</v>
      </c>
      <c r="AD1614">
        <v>1.1210628980463555</v>
      </c>
      <c r="AE1614">
        <v>2.3386126512045302</v>
      </c>
      <c r="AF1614">
        <v>6.9799256001623951E-3</v>
      </c>
      <c r="AG1614">
        <v>1.1249959672730434</v>
      </c>
      <c r="AH1614">
        <v>2.3584243023447065</v>
      </c>
      <c r="AI1614">
        <v>6.843075701207065E-4</v>
      </c>
    </row>
    <row r="1615" spans="23:35" x14ac:dyDescent="0.25">
      <c r="W1615">
        <v>1613</v>
      </c>
      <c r="X1615">
        <v>69.519677018054722</v>
      </c>
      <c r="Y1615">
        <v>1.680322981945281</v>
      </c>
      <c r="Z1615">
        <v>69.514330991772439</v>
      </c>
      <c r="AA1615">
        <v>0.47907822922983628</v>
      </c>
      <c r="AB1615">
        <v>83</v>
      </c>
      <c r="AC1615">
        <v>-6.3887210036911155E-2</v>
      </c>
      <c r="AD1615">
        <v>0.38576443852019415</v>
      </c>
      <c r="AE1615">
        <v>2.338710252318974</v>
      </c>
      <c r="AF1615">
        <v>3.1714567072151055E-3</v>
      </c>
      <c r="AG1615">
        <v>0.38637761501126638</v>
      </c>
      <c r="AH1615">
        <v>2.3894593304414058</v>
      </c>
      <c r="AI1615">
        <v>3.6535822162385076E-5</v>
      </c>
    </row>
    <row r="1616" spans="23:35" x14ac:dyDescent="0.25">
      <c r="W1616">
        <v>1614</v>
      </c>
      <c r="X1616">
        <v>69.580395190140578</v>
      </c>
      <c r="Y1616">
        <v>1.4196048098594218</v>
      </c>
      <c r="Z1616">
        <v>69.576442180032373</v>
      </c>
      <c r="AA1616">
        <v>0.46937537901758641</v>
      </c>
      <c r="AB1616">
        <v>83</v>
      </c>
      <c r="AC1616">
        <v>-9.743972564826138E-2</v>
      </c>
      <c r="AD1616">
        <v>0.32590939853836998</v>
      </c>
      <c r="AE1616">
        <v>2.3673482346740045</v>
      </c>
      <c r="AF1616">
        <v>2.7768525118970406E-3</v>
      </c>
      <c r="AG1616">
        <v>0.32636284428716983</v>
      </c>
      <c r="AH1616">
        <v>2.4027802669757761</v>
      </c>
      <c r="AI1616">
        <v>2.2814897881059378E-5</v>
      </c>
    </row>
    <row r="1617" spans="23:35" x14ac:dyDescent="0.25">
      <c r="W1617">
        <v>1615</v>
      </c>
      <c r="X1617">
        <v>69.360232018485476</v>
      </c>
      <c r="Y1617">
        <v>8.6397679815145239</v>
      </c>
      <c r="Z1617">
        <v>69.333900988310177</v>
      </c>
      <c r="AA1617">
        <v>0.86294724075197093</v>
      </c>
      <c r="AB1617">
        <v>84</v>
      </c>
      <c r="AC1617">
        <v>1.0491313979639725</v>
      </c>
      <c r="AD1617">
        <v>1.9834967920722257</v>
      </c>
      <c r="AE1617">
        <v>2.4048840647473244</v>
      </c>
      <c r="AF1617">
        <v>3.0383948002182595E-3</v>
      </c>
      <c r="AG1617">
        <v>1.986516999423884</v>
      </c>
      <c r="AH1617">
        <v>2.4657963819495259</v>
      </c>
      <c r="AI1617">
        <v>9.2513900209191394E-4</v>
      </c>
    </row>
    <row r="1618" spans="23:35" x14ac:dyDescent="0.25">
      <c r="W1618">
        <v>1616</v>
      </c>
      <c r="X1618">
        <v>69.154236983462781</v>
      </c>
      <c r="Y1618">
        <v>5.8457630165372194</v>
      </c>
      <c r="Z1618">
        <v>69.136589188392236</v>
      </c>
      <c r="AA1618">
        <v>0.76046088538508183</v>
      </c>
      <c r="AB1618">
        <v>84</v>
      </c>
      <c r="AC1618">
        <v>0.67020216077934069</v>
      </c>
      <c r="AD1618">
        <v>1.3420559690172904</v>
      </c>
      <c r="AE1618">
        <v>2.4403159643857086</v>
      </c>
      <c r="AF1618">
        <v>3.0098172612440348E-3</v>
      </c>
      <c r="AG1618">
        <v>1.3440802112250243</v>
      </c>
      <c r="AH1618">
        <v>2.4708869550655281</v>
      </c>
      <c r="AI1618">
        <v>4.1952347605878635E-4</v>
      </c>
    </row>
    <row r="1619" spans="23:35" x14ac:dyDescent="0.25">
      <c r="W1619">
        <v>1617</v>
      </c>
      <c r="X1619">
        <v>69.412569845327852</v>
      </c>
      <c r="Y1619">
        <v>3.5874301546721483</v>
      </c>
      <c r="Z1619">
        <v>69.381290849832951</v>
      </c>
      <c r="AA1619">
        <v>0.60946027895694366</v>
      </c>
      <c r="AB1619">
        <v>84</v>
      </c>
      <c r="AC1619">
        <v>0.22222871718700732</v>
      </c>
      <c r="AD1619">
        <v>0.8235934366293044</v>
      </c>
      <c r="AE1619">
        <v>2.4592486182591129</v>
      </c>
      <c r="AF1619">
        <v>8.6436887290195184E-3</v>
      </c>
      <c r="AG1619">
        <v>0.82717612179594147</v>
      </c>
      <c r="AH1619">
        <v>2.4850008173084301</v>
      </c>
      <c r="AI1619">
        <v>4.5890413298244325E-4</v>
      </c>
    </row>
    <row r="1620" spans="23:35" x14ac:dyDescent="0.25">
      <c r="W1620">
        <v>1618</v>
      </c>
      <c r="X1620">
        <v>68.699043205473416</v>
      </c>
      <c r="Y1620">
        <v>2.3009567945265843</v>
      </c>
      <c r="Z1620">
        <v>68.692340435313881</v>
      </c>
      <c r="AA1620">
        <v>0.46937537901758641</v>
      </c>
      <c r="AB1620">
        <v>84</v>
      </c>
      <c r="AC1620">
        <v>-9.743972564826138E-2</v>
      </c>
      <c r="AD1620">
        <v>0.52824803054956893</v>
      </c>
      <c r="AE1620">
        <v>2.4936255595096326</v>
      </c>
      <c r="AF1620">
        <v>2.9045749477564073E-3</v>
      </c>
      <c r="AG1620">
        <v>0.52901687382561491</v>
      </c>
      <c r="AH1620">
        <v>2.5143465818719766</v>
      </c>
      <c r="AI1620">
        <v>6.2710687332008015E-5</v>
      </c>
    </row>
    <row r="1621" spans="23:35" x14ac:dyDescent="0.25">
      <c r="W1621">
        <v>1619</v>
      </c>
      <c r="X1621">
        <v>57.314531531660386</v>
      </c>
      <c r="Y1621">
        <v>12.58546846833962</v>
      </c>
      <c r="Z1621">
        <v>57.118181575959177</v>
      </c>
      <c r="AA1621">
        <v>0.45724681625227409</v>
      </c>
      <c r="AB1621">
        <v>84</v>
      </c>
      <c r="AC1621">
        <v>-0.11731546960548965</v>
      </c>
      <c r="AD1621">
        <v>2.8893410548858061</v>
      </c>
      <c r="AE1621">
        <v>2.5090189566117971</v>
      </c>
      <c r="AF1621">
        <v>1.5361660538996624E-2</v>
      </c>
      <c r="AG1621">
        <v>2.9117925965412921</v>
      </c>
      <c r="AH1621">
        <v>2.5185170619397641</v>
      </c>
      <c r="AI1621">
        <v>1.017510605001623E-2</v>
      </c>
    </row>
    <row r="1622" spans="23:35" x14ac:dyDescent="0.25">
      <c r="W1622">
        <v>1620</v>
      </c>
      <c r="X1622">
        <v>57.303173725363649</v>
      </c>
      <c r="Y1622">
        <v>12.296826274636345</v>
      </c>
      <c r="Z1622">
        <v>57.114267148854353</v>
      </c>
      <c r="AA1622">
        <v>0.44815039417828989</v>
      </c>
      <c r="AB1622">
        <v>84</v>
      </c>
      <c r="AC1622">
        <v>-0.14337818601426075</v>
      </c>
      <c r="AD1622">
        <v>2.8230752863498814</v>
      </c>
      <c r="AE1622">
        <v>2.5121143280170175</v>
      </c>
      <c r="AF1622">
        <v>1.5129794843557195E-2</v>
      </c>
      <c r="AG1622">
        <v>2.8446769947818935</v>
      </c>
      <c r="AH1622">
        <v>2.562771302708692</v>
      </c>
      <c r="AI1622">
        <v>9.5626136317927754E-3</v>
      </c>
    </row>
    <row r="1623" spans="23:35" x14ac:dyDescent="0.25">
      <c r="W1623">
        <v>1621</v>
      </c>
      <c r="X1623">
        <v>57.072677043569819</v>
      </c>
      <c r="Y1623">
        <v>12.327322956430187</v>
      </c>
      <c r="Z1623">
        <v>56.886228046877775</v>
      </c>
      <c r="AA1623">
        <v>0.43784111582777441</v>
      </c>
      <c r="AB1623">
        <v>85</v>
      </c>
      <c r="AC1623">
        <v>-0.16799678341230881</v>
      </c>
      <c r="AD1623">
        <v>2.830076639932102</v>
      </c>
      <c r="AE1623">
        <v>2.5225557749151446</v>
      </c>
      <c r="AF1623">
        <v>1.4899504113587463E-2</v>
      </c>
      <c r="AG1623">
        <v>2.8513985719214388</v>
      </c>
      <c r="AH1623">
        <v>2.5723354374068599</v>
      </c>
      <c r="AI1623">
        <v>9.4594041281225814E-3</v>
      </c>
    </row>
    <row r="1624" spans="23:35" x14ac:dyDescent="0.25">
      <c r="W1624">
        <v>1622</v>
      </c>
      <c r="X1624">
        <v>55.428697796859268</v>
      </c>
      <c r="Y1624">
        <v>13.871302203140729</v>
      </c>
      <c r="Z1624">
        <v>55.098130849324129</v>
      </c>
      <c r="AA1624">
        <v>0.4329896907216495</v>
      </c>
      <c r="AB1624">
        <v>85</v>
      </c>
      <c r="AC1624">
        <v>-0.17879863688351211</v>
      </c>
      <c r="AD1624">
        <v>3.1845396173440959</v>
      </c>
      <c r="AE1624">
        <v>2.5567979299217165</v>
      </c>
      <c r="AF1624">
        <v>2.3276298635620831E-2</v>
      </c>
      <c r="AG1624">
        <v>3.2222615780487347</v>
      </c>
      <c r="AH1624">
        <v>2.5740059485921094</v>
      </c>
      <c r="AI1624">
        <v>1.9033577616320147E-2</v>
      </c>
    </row>
    <row r="1625" spans="23:35" x14ac:dyDescent="0.25">
      <c r="W1625">
        <v>1623</v>
      </c>
      <c r="X1625">
        <v>55.354682868768052</v>
      </c>
      <c r="Y1625">
        <v>13.745317131231943</v>
      </c>
      <c r="Z1625">
        <v>55.025791904807321</v>
      </c>
      <c r="AA1625">
        <v>0.42510612492419647</v>
      </c>
      <c r="AB1625">
        <v>85</v>
      </c>
      <c r="AC1625">
        <v>-0.198915705174462</v>
      </c>
      <c r="AD1625">
        <v>3.1556162728150845</v>
      </c>
      <c r="AE1625">
        <v>2.5849240819470505</v>
      </c>
      <c r="AF1625">
        <v>2.3368345965629721E-2</v>
      </c>
      <c r="AG1625">
        <v>3.1931460926547546</v>
      </c>
      <c r="AH1625">
        <v>2.595696870702382</v>
      </c>
      <c r="AI1625">
        <v>1.8766850862167627E-2</v>
      </c>
    </row>
    <row r="1626" spans="23:35" x14ac:dyDescent="0.25">
      <c r="W1626">
        <v>1624</v>
      </c>
      <c r="X1626">
        <v>57.343096680467433</v>
      </c>
      <c r="Y1626">
        <v>11.656903319532567</v>
      </c>
      <c r="Z1626">
        <v>57.085981266673549</v>
      </c>
      <c r="AA1626">
        <v>0.42086112795633718</v>
      </c>
      <c r="AB1626">
        <v>85</v>
      </c>
      <c r="AC1626">
        <v>-0.21444491222324932</v>
      </c>
      <c r="AD1626">
        <v>2.6761633401798615</v>
      </c>
      <c r="AE1626">
        <v>2.6018825471253821</v>
      </c>
      <c r="AF1626">
        <v>2.1580914009701135E-2</v>
      </c>
      <c r="AG1626">
        <v>2.7055163276306247</v>
      </c>
      <c r="AH1626">
        <v>2.6152397537874625</v>
      </c>
      <c r="AI1626">
        <v>1.241943630646085E-2</v>
      </c>
    </row>
    <row r="1627" spans="23:35" x14ac:dyDescent="0.25">
      <c r="W1627">
        <v>1625</v>
      </c>
      <c r="X1627">
        <v>64.914591109087397</v>
      </c>
      <c r="Y1627">
        <v>-3.8145911090873952</v>
      </c>
      <c r="Z1627">
        <v>64.922610654152663</v>
      </c>
      <c r="AA1627">
        <v>0.17889630078835658</v>
      </c>
      <c r="AB1627">
        <v>85</v>
      </c>
      <c r="AC1627">
        <v>-0.9277300733017374</v>
      </c>
      <c r="AD1627">
        <v>-0.8757444926913126</v>
      </c>
      <c r="AE1627">
        <v>2.6237927365369389</v>
      </c>
      <c r="AF1627">
        <v>2.0979235896162025E-3</v>
      </c>
      <c r="AG1627">
        <v>-0.87666456313763852</v>
      </c>
      <c r="AH1627">
        <v>2.6454573963095722</v>
      </c>
      <c r="AI1627">
        <v>1.2428688146836394E-4</v>
      </c>
    </row>
    <row r="1628" spans="23:35" x14ac:dyDescent="0.25">
      <c r="W1628">
        <v>1626</v>
      </c>
      <c r="X1628">
        <v>64.003486200397518</v>
      </c>
      <c r="Y1628">
        <v>-1.0034862003975178</v>
      </c>
      <c r="Z1628">
        <v>64.004923600206268</v>
      </c>
      <c r="AA1628">
        <v>0.22195269860521527</v>
      </c>
      <c r="AB1628">
        <v>86</v>
      </c>
      <c r="AC1628">
        <v>-0.78098898173722842</v>
      </c>
      <c r="AD1628">
        <v>-0.23037790640163816</v>
      </c>
      <c r="AE1628">
        <v>2.6761633401798615</v>
      </c>
      <c r="AF1628">
        <v>1.4303573012524199E-3</v>
      </c>
      <c r="AG1628">
        <v>-0.23054284472352807</v>
      </c>
      <c r="AH1628">
        <v>2.691299138114156</v>
      </c>
      <c r="AI1628">
        <v>5.8563378259393541E-6</v>
      </c>
    </row>
    <row r="1629" spans="23:35" x14ac:dyDescent="0.25">
      <c r="W1629">
        <v>1627</v>
      </c>
      <c r="X1629">
        <v>61.751189023074673</v>
      </c>
      <c r="Y1629">
        <v>-2.5511890230746701</v>
      </c>
      <c r="Z1629">
        <v>61.781548013100497</v>
      </c>
      <c r="AA1629">
        <v>0.15767131594906003</v>
      </c>
      <c r="AB1629">
        <v>86</v>
      </c>
      <c r="AC1629">
        <v>-1.0205681915260707</v>
      </c>
      <c r="AD1629">
        <v>-0.58569573327262359</v>
      </c>
      <c r="AE1629">
        <v>2.686287024151448</v>
      </c>
      <c r="AF1629">
        <v>1.1759994341287083E-2</v>
      </c>
      <c r="AG1629">
        <v>-0.58917029838731316</v>
      </c>
      <c r="AH1629">
        <v>2.7055163276306247</v>
      </c>
      <c r="AI1629">
        <v>3.1774814158074449E-4</v>
      </c>
    </row>
    <row r="1630" spans="23:35" x14ac:dyDescent="0.25">
      <c r="W1630">
        <v>1628</v>
      </c>
      <c r="X1630">
        <v>62.877960288906792</v>
      </c>
      <c r="Y1630">
        <v>-4.6779602889067888</v>
      </c>
      <c r="Z1630">
        <v>62.888694386558214</v>
      </c>
      <c r="AA1630">
        <v>0.13644633110976348</v>
      </c>
      <c r="AB1630">
        <v>86</v>
      </c>
      <c r="AC1630">
        <v>-1.1005940465096573</v>
      </c>
      <c r="AD1630">
        <v>-1.0739546763686758</v>
      </c>
      <c r="AE1630">
        <v>2.6868037989663569</v>
      </c>
      <c r="AF1630">
        <v>2.2893574983679247E-3</v>
      </c>
      <c r="AG1630">
        <v>-1.0751861242865461</v>
      </c>
      <c r="AH1630">
        <v>2.7094132722560103</v>
      </c>
      <c r="AI1630">
        <v>2.0404829057456741E-4</v>
      </c>
    </row>
    <row r="1631" spans="23:35" x14ac:dyDescent="0.25">
      <c r="W1631">
        <v>1629</v>
      </c>
      <c r="X1631">
        <v>59.359071083833683</v>
      </c>
      <c r="Y1631">
        <v>-1.3590710838336832</v>
      </c>
      <c r="Z1631">
        <v>59.379911316870171</v>
      </c>
      <c r="AA1631">
        <v>0.13159490600363857</v>
      </c>
      <c r="AB1631">
        <v>86</v>
      </c>
      <c r="AC1631">
        <v>-1.1375552391677688</v>
      </c>
      <c r="AD1631">
        <v>-0.31201221384068739</v>
      </c>
      <c r="AE1631">
        <v>2.7286308896526399</v>
      </c>
      <c r="AF1631">
        <v>1.5102588682115257E-2</v>
      </c>
      <c r="AG1631">
        <v>-0.31439533764093747</v>
      </c>
      <c r="AH1631">
        <v>2.765023604041446</v>
      </c>
      <c r="AI1631">
        <v>1.1659213104428961E-4</v>
      </c>
    </row>
    <row r="1632" spans="23:35" x14ac:dyDescent="0.25">
      <c r="W1632">
        <v>1630</v>
      </c>
      <c r="X1632">
        <v>59.816446852848017</v>
      </c>
      <c r="Y1632">
        <v>-2.4164468528480185</v>
      </c>
      <c r="Z1632">
        <v>59.826973501266643</v>
      </c>
      <c r="AA1632">
        <v>0.11825348696179502</v>
      </c>
      <c r="AB1632">
        <v>86</v>
      </c>
      <c r="AC1632">
        <v>-1.1914554566319386</v>
      </c>
      <c r="AD1632">
        <v>-0.5547619555400225</v>
      </c>
      <c r="AE1632">
        <v>2.7642571387169319</v>
      </c>
      <c r="AF1632">
        <v>4.3373561405328047E-3</v>
      </c>
      <c r="AG1632">
        <v>-0.55596898353222457</v>
      </c>
      <c r="AH1632">
        <v>2.7810192370850371</v>
      </c>
      <c r="AI1632">
        <v>1.0357874523475839E-4</v>
      </c>
    </row>
    <row r="1633" spans="23:35" x14ac:dyDescent="0.25">
      <c r="W1633">
        <v>1631</v>
      </c>
      <c r="X1633">
        <v>56.883291329823074</v>
      </c>
      <c r="Y1633">
        <v>-1.1832913298230707</v>
      </c>
      <c r="Z1633">
        <v>56.900310124908472</v>
      </c>
      <c r="AA1633">
        <v>8.9751364463311098E-2</v>
      </c>
      <c r="AB1633">
        <v>86</v>
      </c>
      <c r="AC1633">
        <v>-1.3441610904494867</v>
      </c>
      <c r="AD1633">
        <v>-0.27165712804008746</v>
      </c>
      <c r="AE1633">
        <v>2.8230752863498814</v>
      </c>
      <c r="AF1633">
        <v>1.4178664940193327E-2</v>
      </c>
      <c r="AG1633">
        <v>-0.27360372043283299</v>
      </c>
      <c r="AH1633">
        <v>2.8446769947818935</v>
      </c>
      <c r="AI1633">
        <v>8.2820485428409475E-5</v>
      </c>
    </row>
    <row r="1634" spans="23:35" x14ac:dyDescent="0.25">
      <c r="W1634">
        <v>1632</v>
      </c>
      <c r="X1634">
        <v>55.501610045726686</v>
      </c>
      <c r="Y1634">
        <v>-2.9016100457266845</v>
      </c>
      <c r="Z1634">
        <v>55.545184301592485</v>
      </c>
      <c r="AA1634">
        <v>5.5184960582171011E-2</v>
      </c>
      <c r="AB1634">
        <v>86</v>
      </c>
      <c r="AC1634">
        <v>-1.6158584342289828</v>
      </c>
      <c r="AD1634">
        <v>-0.66614453418858266</v>
      </c>
      <c r="AE1634">
        <v>2.830076639932102</v>
      </c>
      <c r="AF1634">
        <v>1.4795086284494656E-2</v>
      </c>
      <c r="AG1634">
        <v>-0.67112773092215827</v>
      </c>
      <c r="AH1634">
        <v>2.8513985719214388</v>
      </c>
      <c r="AI1634">
        <v>5.2030493981740724E-4</v>
      </c>
    </row>
    <row r="1635" spans="23:35" x14ac:dyDescent="0.25">
      <c r="W1635">
        <v>1633</v>
      </c>
      <c r="X1635">
        <v>55.562833283545508</v>
      </c>
      <c r="Y1635">
        <v>2.4371667164544917</v>
      </c>
      <c r="Z1635">
        <v>55.552296737411304</v>
      </c>
      <c r="AA1635">
        <v>0.13159490600363857</v>
      </c>
      <c r="AB1635">
        <v>86</v>
      </c>
      <c r="AC1635">
        <v>-1.1375552391677688</v>
      </c>
      <c r="AD1635">
        <v>0.55951877112622184</v>
      </c>
      <c r="AE1635">
        <v>2.8379868431469788</v>
      </c>
      <c r="AF1635">
        <v>4.3046664582469685E-3</v>
      </c>
      <c r="AG1635">
        <v>0.56072694395767908</v>
      </c>
      <c r="AH1635">
        <v>2.8573001742796742</v>
      </c>
      <c r="AI1635">
        <v>1.0456167525326527E-4</v>
      </c>
    </row>
    <row r="1636" spans="23:35" x14ac:dyDescent="0.25">
      <c r="W1636">
        <v>1634</v>
      </c>
      <c r="X1636">
        <v>54.94741302681544</v>
      </c>
      <c r="Y1636">
        <v>-5.6474130268154425</v>
      </c>
      <c r="Z1636">
        <v>54.976542250831741</v>
      </c>
      <c r="AA1636">
        <v>2.8502122498483929E-2</v>
      </c>
      <c r="AB1636">
        <v>87</v>
      </c>
      <c r="AC1636">
        <v>-1.907948933309944</v>
      </c>
      <c r="AD1636">
        <v>-1.2965192637304734</v>
      </c>
      <c r="AE1636">
        <v>2.8411433056109643</v>
      </c>
      <c r="AF1636">
        <v>5.1315083600466738E-3</v>
      </c>
      <c r="AG1636">
        <v>-1.2998586711085847</v>
      </c>
      <c r="AH1636">
        <v>2.8606118567206886</v>
      </c>
      <c r="AI1636">
        <v>6.7039116648814846E-4</v>
      </c>
    </row>
    <row r="1637" spans="23:35" x14ac:dyDescent="0.25">
      <c r="W1637">
        <v>1635</v>
      </c>
      <c r="X1637">
        <v>63.151162722295091</v>
      </c>
      <c r="Y1637">
        <v>-3.9511627222950878</v>
      </c>
      <c r="Z1637">
        <v>63.159935377951989</v>
      </c>
      <c r="AA1637">
        <v>0.15767131594906003</v>
      </c>
      <c r="AB1637">
        <v>87</v>
      </c>
      <c r="AC1637">
        <v>-1.0205681915260707</v>
      </c>
      <c r="AD1637">
        <v>-0.90709826946693628</v>
      </c>
      <c r="AE1637">
        <v>2.8893410548858061</v>
      </c>
      <c r="AF1637">
        <v>2.2153532367580587E-3</v>
      </c>
      <c r="AG1637">
        <v>-0.90810471354150657</v>
      </c>
      <c r="AH1637">
        <v>2.9117925965412921</v>
      </c>
      <c r="AI1637">
        <v>1.408428078310492E-4</v>
      </c>
    </row>
    <row r="1638" spans="23:35" x14ac:dyDescent="0.25">
      <c r="W1638">
        <v>1636</v>
      </c>
      <c r="X1638">
        <v>60.971268119173175</v>
      </c>
      <c r="Y1638">
        <v>-2.9712681191731747</v>
      </c>
      <c r="Z1638">
        <v>60.98486427163968</v>
      </c>
      <c r="AA1638">
        <v>0.13159490600363857</v>
      </c>
      <c r="AB1638">
        <v>87</v>
      </c>
      <c r="AC1638">
        <v>-1.1375552391677688</v>
      </c>
      <c r="AD1638">
        <v>-0.68213646424025332</v>
      </c>
      <c r="AE1638">
        <v>3.1556162728150845</v>
      </c>
      <c r="AF1638">
        <v>4.5550320648368873E-3</v>
      </c>
      <c r="AG1638">
        <v>-0.68369536864467639</v>
      </c>
      <c r="AH1638">
        <v>3.1931460926547546</v>
      </c>
      <c r="AI1638">
        <v>1.6453417073000496E-4</v>
      </c>
    </row>
    <row r="1639" spans="23:35" x14ac:dyDescent="0.25">
      <c r="W1639">
        <v>1637</v>
      </c>
      <c r="X1639">
        <v>59.240124013162884</v>
      </c>
      <c r="Y1639">
        <v>-2.6401240131628825</v>
      </c>
      <c r="Z1639">
        <v>59.252706760133563</v>
      </c>
      <c r="AA1639">
        <v>0.10127349909035779</v>
      </c>
      <c r="AB1639">
        <v>88</v>
      </c>
      <c r="AC1639">
        <v>-1.2760422901524544</v>
      </c>
      <c r="AD1639">
        <v>-0.6061132106771524</v>
      </c>
      <c r="AE1639">
        <v>3.1845396173440959</v>
      </c>
      <c r="AF1639">
        <v>4.7433614449144965E-3</v>
      </c>
      <c r="AG1639">
        <v>-0.60755585195479644</v>
      </c>
      <c r="AH1639">
        <v>3.2222615780487347</v>
      </c>
      <c r="AI1639">
        <v>1.3532567452182633E-4</v>
      </c>
    </row>
    <row r="1640" spans="23:35" x14ac:dyDescent="0.25">
      <c r="W1640">
        <v>1638</v>
      </c>
      <c r="X1640">
        <v>57.84710226679023</v>
      </c>
      <c r="Y1640">
        <v>-2.9471022667902318</v>
      </c>
      <c r="Z1640">
        <v>57.858995601917677</v>
      </c>
      <c r="AA1640">
        <v>7.9442086112795629E-2</v>
      </c>
      <c r="AB1640">
        <v>88</v>
      </c>
      <c r="AC1640">
        <v>-1.4191611772342045</v>
      </c>
      <c r="AD1640">
        <v>-0.67658852698293181</v>
      </c>
      <c r="AE1640">
        <v>3.2373317864889608</v>
      </c>
      <c r="AF1640">
        <v>4.0193824957820267E-3</v>
      </c>
      <c r="AG1640">
        <v>-0.6779523737703318</v>
      </c>
      <c r="AH1640">
        <v>3.2615091325002932</v>
      </c>
      <c r="AI1640">
        <v>1.4268012104982333E-4</v>
      </c>
    </row>
    <row r="1641" spans="23:35" x14ac:dyDescent="0.25">
      <c r="W1641">
        <v>1639</v>
      </c>
      <c r="X1641">
        <v>56.270137434196549</v>
      </c>
      <c r="Y1641">
        <v>-3.8701374341965504</v>
      </c>
      <c r="Z1641">
        <v>56.319899953045905</v>
      </c>
      <c r="AA1641">
        <v>5.2759248029108551E-2</v>
      </c>
      <c r="AB1641">
        <v>88</v>
      </c>
      <c r="AC1641">
        <v>-1.6271784104016083</v>
      </c>
      <c r="AD1641">
        <v>-0.8884966820905118</v>
      </c>
      <c r="AE1641">
        <v>3.2383026742959027</v>
      </c>
      <c r="AF1641">
        <v>1.269484411475642E-2</v>
      </c>
      <c r="AG1641">
        <v>-0.89419061594913896</v>
      </c>
      <c r="AH1641">
        <v>3.2686432962847607</v>
      </c>
      <c r="AI1641">
        <v>7.9084765427824336E-4</v>
      </c>
    </row>
    <row r="1642" spans="23:35" x14ac:dyDescent="0.25">
      <c r="W1642">
        <v>1640</v>
      </c>
      <c r="X1642">
        <v>53.108801443348383</v>
      </c>
      <c r="Y1642">
        <v>-3.1088014433483835</v>
      </c>
      <c r="Z1642">
        <v>53.125738060585448</v>
      </c>
      <c r="AA1642">
        <v>3.5779260157671314E-2</v>
      </c>
      <c r="AB1642">
        <v>88</v>
      </c>
      <c r="AC1642">
        <v>-1.8215296776288319</v>
      </c>
      <c r="AD1642">
        <v>-0.71371102826653587</v>
      </c>
      <c r="AE1642">
        <v>3.2719908280209729</v>
      </c>
      <c r="AF1642">
        <v>5.4184377925423398E-3</v>
      </c>
      <c r="AG1642">
        <v>-0.71565252113680888</v>
      </c>
      <c r="AH1642">
        <v>3.3046699300159164</v>
      </c>
      <c r="AI1642">
        <v>2.1463213550487401E-4</v>
      </c>
    </row>
    <row r="1643" spans="23:35" x14ac:dyDescent="0.25">
      <c r="W1643">
        <v>1641</v>
      </c>
      <c r="X1643">
        <v>51.639465750911889</v>
      </c>
      <c r="Y1643">
        <v>-3.4394657509118858</v>
      </c>
      <c r="Z1643">
        <v>51.66296417243948</v>
      </c>
      <c r="AA1643">
        <v>2.2437841115827774E-2</v>
      </c>
      <c r="AB1643">
        <v>88</v>
      </c>
      <c r="AC1643">
        <v>-2.0231624874260845</v>
      </c>
      <c r="AD1643">
        <v>-0.78962413087626804</v>
      </c>
      <c r="AE1643">
        <v>3.3254304737480265</v>
      </c>
      <c r="AF1643">
        <v>6.7856380711660402E-3</v>
      </c>
      <c r="AG1643">
        <v>-0.7923168945237562</v>
      </c>
      <c r="AH1643">
        <v>3.35955661622038</v>
      </c>
      <c r="AI1643">
        <v>3.2991509099148227E-4</v>
      </c>
    </row>
    <row r="1644" spans="23:35" x14ac:dyDescent="0.25">
      <c r="W1644">
        <v>1642</v>
      </c>
      <c r="X1644">
        <v>49.300495157868198</v>
      </c>
      <c r="Y1644">
        <v>-2.7004951578681968</v>
      </c>
      <c r="Z1644">
        <v>49.325444235291783</v>
      </c>
      <c r="AA1644">
        <v>1.5160703456640388E-2</v>
      </c>
      <c r="AB1644">
        <v>88</v>
      </c>
      <c r="AC1644">
        <v>-2.1738689464820578</v>
      </c>
      <c r="AD1644">
        <v>-0.6199730703531211</v>
      </c>
      <c r="AE1644">
        <v>3.4334448356347091</v>
      </c>
      <c r="AF1644">
        <v>9.154132416476694E-3</v>
      </c>
      <c r="AG1644">
        <v>-0.62283036018416371</v>
      </c>
      <c r="AH1644">
        <v>3.4679321620246593</v>
      </c>
      <c r="AI1644">
        <v>2.7568128483683441E-4</v>
      </c>
    </row>
    <row r="1645" spans="23:35" x14ac:dyDescent="0.25">
      <c r="W1645">
        <v>1643</v>
      </c>
      <c r="X1645">
        <v>45.580277310549832</v>
      </c>
      <c r="Y1645">
        <v>-0.1802773105498332</v>
      </c>
      <c r="Z1645">
        <v>45.584418347181398</v>
      </c>
      <c r="AA1645">
        <v>7.8835657974530016E-3</v>
      </c>
      <c r="AB1645">
        <v>89</v>
      </c>
      <c r="AC1645">
        <v>-2.4285172603656537</v>
      </c>
      <c r="AD1645">
        <v>-4.138762382555556E-2</v>
      </c>
      <c r="AE1645">
        <v>3.5453958996103494</v>
      </c>
      <c r="AF1645">
        <v>2.2454580549386174E-2</v>
      </c>
      <c r="AG1645">
        <v>-4.18602695522809E-2</v>
      </c>
      <c r="AH1645">
        <v>3.5646945357673228</v>
      </c>
      <c r="AI1645">
        <v>3.0961977497628217E-6</v>
      </c>
    </row>
    <row r="1646" spans="23:35" x14ac:dyDescent="0.25">
      <c r="W1646">
        <v>1644</v>
      </c>
      <c r="X1646">
        <v>45.08102072146113</v>
      </c>
      <c r="Y1646">
        <v>-0.48102072146112818</v>
      </c>
      <c r="Z1646">
        <v>45.087992043927137</v>
      </c>
      <c r="AA1646">
        <v>3.6385688295936932E-3</v>
      </c>
      <c r="AB1646">
        <v>89</v>
      </c>
      <c r="AC1646">
        <v>-2.7786903070508315</v>
      </c>
      <c r="AD1646">
        <v>-0.11043156019696308</v>
      </c>
      <c r="AE1646">
        <v>3.5470594908134925</v>
      </c>
      <c r="AF1646">
        <v>1.4285729762937821E-2</v>
      </c>
      <c r="AG1646">
        <v>-0.11122891120953458</v>
      </c>
      <c r="AH1646">
        <v>3.5901436207326078</v>
      </c>
      <c r="AI1646">
        <v>1.3792513140324001E-5</v>
      </c>
    </row>
    <row r="1647" spans="23:35" x14ac:dyDescent="0.25">
      <c r="W1647">
        <v>1645</v>
      </c>
      <c r="X1647">
        <v>42.957184136288227</v>
      </c>
      <c r="Y1647">
        <v>1.3428158637117704</v>
      </c>
      <c r="Z1647">
        <v>42.932908779735008</v>
      </c>
      <c r="AA1647">
        <v>1.2128562765312311E-3</v>
      </c>
      <c r="AB1647">
        <v>89</v>
      </c>
      <c r="AC1647">
        <v>-3.118249953252767</v>
      </c>
      <c r="AD1647">
        <v>0.3082803801808916</v>
      </c>
      <c r="AE1647">
        <v>3.7482582395492132</v>
      </c>
      <c r="AF1647">
        <v>1.7756939839402422E-2</v>
      </c>
      <c r="AG1647">
        <v>0.31105443749846939</v>
      </c>
      <c r="AH1647">
        <v>3.7910064232999159</v>
      </c>
      <c r="AI1647">
        <v>1.3454842075233693E-4</v>
      </c>
    </row>
    <row r="1648" spans="23:35" x14ac:dyDescent="0.25">
      <c r="W1648">
        <v>1646</v>
      </c>
      <c r="X1648">
        <v>40.163270604931071</v>
      </c>
      <c r="Y1648">
        <v>4.3367293950689287</v>
      </c>
      <c r="Z1648">
        <v>40.019768340716702</v>
      </c>
      <c r="AA1648">
        <v>2.4257125530624622E-3</v>
      </c>
      <c r="AB1648">
        <v>89</v>
      </c>
      <c r="AC1648">
        <v>-2.9644605992605717</v>
      </c>
      <c r="AD1648">
        <v>0.99561572273803822</v>
      </c>
      <c r="AE1648">
        <v>4.0661778482931759</v>
      </c>
      <c r="AF1648">
        <v>3.2030099139409886E-2</v>
      </c>
      <c r="AG1648">
        <v>1.0119541128271448</v>
      </c>
      <c r="AH1648">
        <v>4.1162835583492292</v>
      </c>
      <c r="AI1648">
        <v>2.6066019579443342E-3</v>
      </c>
    </row>
    <row r="1649" spans="23:35" x14ac:dyDescent="0.25">
      <c r="W1649">
        <v>1647</v>
      </c>
      <c r="X1649">
        <v>40.482352909010366</v>
      </c>
      <c r="Y1649">
        <v>4.317647090989631</v>
      </c>
      <c r="Z1649">
        <v>40.361071823921904</v>
      </c>
      <c r="AA1649">
        <v>4.8514251061249243E-3</v>
      </c>
      <c r="AB1649">
        <v>89</v>
      </c>
      <c r="AC1649">
        <v>-2.6570161854420777</v>
      </c>
      <c r="AD1649">
        <v>0.99123485406105338</v>
      </c>
      <c r="AE1649">
        <v>4.1207948954405413</v>
      </c>
      <c r="AF1649">
        <v>2.7322155321651682E-2</v>
      </c>
      <c r="AG1649">
        <v>1.0050601469847478</v>
      </c>
      <c r="AH1649">
        <v>4.1519083305919926</v>
      </c>
      <c r="AI1649">
        <v>2.1826629920185131E-3</v>
      </c>
    </row>
    <row r="1650" spans="23:35" x14ac:dyDescent="0.25">
      <c r="W1650">
        <v>1648</v>
      </c>
      <c r="X1650">
        <v>39.229785563309562</v>
      </c>
      <c r="Y1650">
        <v>6.0702144366904349</v>
      </c>
      <c r="Z1650">
        <v>39.032685907970787</v>
      </c>
      <c r="AA1650">
        <v>7.2771376591873865E-3</v>
      </c>
      <c r="AB1650">
        <v>89</v>
      </c>
      <c r="AC1650">
        <v>-2.5264513477970261</v>
      </c>
      <c r="AD1650">
        <v>1.3935849768335298</v>
      </c>
      <c r="AE1650">
        <v>4.1672339138639805</v>
      </c>
      <c r="AF1650">
        <v>3.1448823602035353E-2</v>
      </c>
      <c r="AG1650">
        <v>1.4160290707718661</v>
      </c>
      <c r="AH1650">
        <v>4.1977183007333663</v>
      </c>
      <c r="AI1650">
        <v>5.0082133104163923E-3</v>
      </c>
    </row>
    <row r="1651" spans="23:35" x14ac:dyDescent="0.25">
      <c r="W1651">
        <v>1649</v>
      </c>
      <c r="X1651">
        <v>37.73519377277578</v>
      </c>
      <c r="Y1651">
        <v>8.26480622722422</v>
      </c>
      <c r="Z1651">
        <v>37.469626665780133</v>
      </c>
      <c r="AA1651">
        <v>1.2128562765312311E-2</v>
      </c>
      <c r="AB1651">
        <v>89</v>
      </c>
      <c r="AC1651">
        <v>-2.3261203997549518</v>
      </c>
      <c r="AD1651">
        <v>1.8974139900368154</v>
      </c>
      <c r="AE1651">
        <v>4.2847444031469539</v>
      </c>
      <c r="AF1651">
        <v>3.1131944240976591E-2</v>
      </c>
      <c r="AG1651">
        <v>1.927657089220369</v>
      </c>
      <c r="AH1651">
        <v>4.3236442242833997</v>
      </c>
      <c r="AI1651">
        <v>9.1845485482136748E-3</v>
      </c>
    </row>
  </sheetData>
  <dataValidations count="1">
    <dataValidation type="list" allowBlank="1" showInputMessage="1" showErrorMessage="1" sqref="B2:B16000" xr:uid="{477BD9AC-8CAD-48D7-B8E6-54CC9920E0E1}">
      <formula1>"TRUE,FALSE"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LAMBDA_functions</vt:lpstr>
      <vt:lpstr>Life Expectancy Data</vt:lpstr>
      <vt:lpstr>Regression</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2026-06-08T02:47:19Z</dcterms:modified>
</cp:coreProperties>
</file>