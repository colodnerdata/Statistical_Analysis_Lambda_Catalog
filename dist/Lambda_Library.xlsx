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B38D73A2-2617-41AD-A17F-C56B5820339E}"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98" r:id="rId5"/>
    <sheet name="Regression" sheetId="7" r:id="rId6"/>
    <sheet name="Diagnostic Guide" sheetId="9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D21" i="7" a="1"/>
  <c r="AB21" i="7" a="1"/>
  <c r="AA21" i="7" a="1"/>
  <c r="AL19" i="7" a="1"/>
  <c r="AJ19" i="7" a="1"/>
  <c r="AC16" i="7" a="1"/>
  <c r="AK12" i="7"/>
  <c r="AE12" i="7" a="1"/>
  <c r="AE11" i="7" a="1"/>
  <c r="AE10" i="7" a="1"/>
  <c r="BD96" i="7" s="1"/>
  <c r="AB8" i="7" a="1"/>
  <c r="BD99" i="7" s="1"/>
  <c r="AB7" i="7" a="1"/>
  <c r="AH6" i="7" a="1"/>
  <c r="AE6" i="7" a="1"/>
  <c r="BD100" i="7" s="1"/>
  <c r="BS5" i="7" a="1"/>
  <c r="AH5" i="7" a="1"/>
  <c r="BS4" i="7" a="1"/>
  <c r="AE4" i="7" a="1"/>
  <c r="BD101" i="7" s="1"/>
  <c r="O4" i="7" a="1"/>
  <c r="L4" i="7" a="1"/>
  <c r="K4" i="7" a="1"/>
  <c r="J4" i="7" a="1"/>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P2" i="7" a="1"/>
  <c r="M2" i="7"/>
  <c r="L2" i="7" a="1"/>
  <c r="K2" i="7" a="1"/>
  <c r="J2" i="7" a="1"/>
  <c r="I2" i="7" a="1"/>
  <c r="BY1" i="7" a="1"/>
  <c r="O1" i="7"/>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6" i="7" a="1"/>
  <c r="AK25" i="7" a="1"/>
  <c r="AK24" i="7" a="1"/>
  <c r="AK23" i="7" a="1"/>
  <c r="AK22" i="7" a="1"/>
  <c r="AK21" i="7" a="1"/>
  <c r="AK19" i="7" a="1"/>
  <c r="AK3" i="7" s="1" a="1"/>
  <c r="AK62" i="7" a="1"/>
  <c r="AK61" i="7" a="1"/>
  <c r="AK50" i="7" a="1"/>
  <c r="AK59" i="7" a="1"/>
  <c r="AK58" i="7" a="1"/>
  <c r="AK57" i="7" a="1"/>
  <c r="AK56" i="7" a="1"/>
  <c r="AK55" i="7" a="1"/>
  <c r="AK54" i="7" a="1"/>
  <c r="AK53" i="7" a="1"/>
  <c r="AK52" i="7" a="1"/>
  <c r="AK51" i="7" a="1"/>
  <c r="AK20" i="7"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14" i="7" a="1"/>
  <c r="AK13" i="7" a="1"/>
  <c r="AH9" i="7" a="1"/>
  <c r="AH8" i="7" a="1"/>
  <c r="AH7" i="7" a="1"/>
  <c r="AE21" i="7" a="1"/>
  <c r="AB16" i="7" a="1"/>
  <c r="AD16" i="7" a="1"/>
  <c r="AE9" i="7" a="1"/>
  <c r="AE8" i="7" a="1"/>
  <c r="AC21" i="7" a="1"/>
  <c r="AF21" i="7" a="1"/>
  <c r="AE7" i="7" a="1"/>
  <c r="AG21" i="7" a="1"/>
  <c r="AB5" i="7" a="1"/>
  <c r="AE15" i="7" a="1"/>
  <c r="AB4" i="7" a="1"/>
  <c r="AH21" i="7" a="1"/>
  <c r="AD15" i="7" a="1"/>
  <c r="AC17" i="7" a="1"/>
  <c r="AB15" i="7" a="1"/>
  <c r="AB6" i="7" a="1"/>
  <c r="BD97" i="7" s="1"/>
  <c r="AF15" i="7" a="1"/>
  <c r="AC15" i="7" a="1"/>
  <c r="AB17" i="7" a="1"/>
  <c r="AE5" i="7" a="1"/>
  <c r="BS6" i="7" a="1"/>
  <c r="BF97" i="7"/>
  <c r="BE97" i="7"/>
  <c r="BD95" i="7"/>
  <c r="AL3" i="7" l="1" a="1"/>
  <c r="AL10" i="7" a="1"/>
  <c r="AL8" i="7" a="1"/>
  <c r="AL7" i="7" a="1"/>
  <c r="AL9"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F13EECEC-8C06-4C60-AD5E-B7579B3966D8}">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16B397B7-22B7-4EFB-91F7-B7C43FCB2035}">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5AA13CD2-7A47-4C8C-83F9-8DA6ABD6CD38}">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ADF609C-6A04-4E6C-A6FC-45614728B6B5}">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E7696603-AA45-4305-89D9-061545603AC8}">
      <text>
        <r>
          <rPr>
            <b/>
            <sz val="9"/>
            <color indexed="81"/>
            <rFont val="Tahoma"/>
            <family val="2"/>
          </rPr>
          <t>Shows whether the data have a longer tail on one side. Positive means a longer right tail; negative means a longer left tail.</t>
        </r>
      </text>
    </comment>
    <comment ref="W2" authorId="0" shapeId="0" xr:uid="{20BE2C9C-BA6B-432C-B1AA-83E9BA96CB8D}">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0A7C55BD-9BEF-428D-B8D0-FE9FC1A7F8D2}">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D2976263-5CAE-4081-9D83-02F8EAA0177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326D577E-6CF2-4B83-9C84-6799961276BA}">
      <text>
        <r>
          <rPr>
            <b/>
            <sz val="9"/>
            <color indexed="81"/>
            <rFont val="Tahoma"/>
            <family val="2"/>
          </rPr>
          <t>The actual observed outcome values.</t>
        </r>
      </text>
    </comment>
    <comment ref="AP2" authorId="0" shapeId="0" xr:uid="{85E021B6-707F-4F33-A22E-5BABAB4B37EE}">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20DC09DF-0407-4CF5-9926-95ADE9ED4A90}">
      <text>
        <r>
          <rPr>
            <b/>
            <sz val="9"/>
            <color indexed="81"/>
            <rFont val="Tahoma"/>
            <family val="2"/>
          </rPr>
          <t>Actual Y minus predicted Y. Positive means the row came in above the model's prediction; negative means below.</t>
        </r>
      </text>
    </comment>
    <comment ref="AR2" authorId="0" shapeId="0" xr:uid="{3A5EE5BC-125F-4BB6-A704-D69243B245B8}">
      <text>
        <r>
          <rPr>
            <b/>
            <sz val="9"/>
            <color indexed="81"/>
            <rFont val="Tahoma"/>
            <family val="2"/>
          </rPr>
          <t>Leverage. It shows how unusual a row's predictor values are relative to the rest of the data.</t>
        </r>
      </text>
    </comment>
    <comment ref="AS2" authorId="0" shapeId="0" xr:uid="{AEBB03CD-B8FA-475B-89A8-0FD566DB5BBB}">
      <text>
        <r>
          <rPr>
            <b/>
            <sz val="9"/>
            <color indexed="81"/>
            <rFont val="Tahoma"/>
            <family val="2"/>
          </rPr>
          <t>Residuals scaled to account for overall error size and leverage, making outliers easier to compare fairly.</t>
        </r>
      </text>
    </comment>
    <comment ref="AT2" authorId="0" shapeId="0" xr:uid="{0FA023C5-2713-4845-B831-2733CB1618FD}">
      <text>
        <r>
          <rPr>
            <b/>
            <sz val="9"/>
            <color indexed="81"/>
            <rFont val="Tahoma"/>
            <family val="2"/>
          </rPr>
          <t>How much a single row can pull the fitted coefficients and predictions around.</t>
        </r>
      </text>
    </comment>
    <comment ref="AU2" authorId="0" shapeId="0" xr:uid="{A0858F21-911D-442E-9A90-3288C8BC361B}">
      <text>
        <r>
          <rPr>
            <b/>
            <sz val="9"/>
            <color indexed="81"/>
            <rFont val="Tahoma"/>
            <family val="2"/>
          </rPr>
          <t>Expected bell-curve quantiles used for the Q-Q comparison.</t>
        </r>
      </text>
    </comment>
    <comment ref="AV2" authorId="0" shapeId="0" xr:uid="{DEAC05E2-A745-4AA5-A341-96B450D9053C}">
      <text>
        <r>
          <rPr>
            <b/>
            <sz val="9"/>
            <color indexed="81"/>
            <rFont val="Tahoma"/>
            <family val="2"/>
          </rPr>
          <t>Studentized residuals sorted from smallest to largest for the Q-Q plot.</t>
        </r>
      </text>
    </comment>
    <comment ref="AW2" authorId="0" shapeId="0" xr:uid="{284E6E91-16E1-40A9-A0DC-D2095BF0C8C5}">
      <text>
        <r>
          <rPr>
            <b/>
            <sz val="9"/>
            <color indexed="81"/>
            <rFont val="Tahoma"/>
            <family val="2"/>
          </rPr>
          <t>The square root of the absolute studentized residual. A flat pattern suggests stable error spread.</t>
        </r>
      </text>
    </comment>
    <comment ref="AX2" authorId="0" shapeId="0" xr:uid="{0F372E1D-9E81-4DC7-9BBD-A15CDBFF5A5F}">
      <text>
        <r>
          <rPr>
            <b/>
            <sz val="9"/>
            <color indexed="81"/>
            <rFont val="Tahoma"/>
            <family val="2"/>
          </rPr>
          <t>The prediction error for a row when that row is left out of the fitting step (the leave-one-out / LOOCV residual). Summing its squares gives PRESS.</t>
        </r>
      </text>
    </comment>
    <comment ref="AY2" authorId="0" shapeId="0" xr:uid="{5D7FDB59-A9D8-4D7F-8F3E-4F42A311A22E}">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3DF60360-E642-4E43-9D03-26C313ED2983}">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199BC2AD-FAE6-4AB8-877F-323EA649543E}">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AFC56A87-5D90-41CE-88AE-D533813FA1DA}">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2D14ED62-83B6-4182-97F4-99C1055D1FF4}">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1BE40F4C-FFB3-44F4-B515-FCF0FC7EB847}">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4475FDE3-4141-48E8-96AD-6A95F9EA5AC5}">
      <text>
        <r>
          <rPr>
            <b/>
            <sz val="9"/>
            <color indexed="81"/>
            <rFont val="Tahoma"/>
            <family val="2"/>
          </rPr>
          <t>Reserved for a future release — not yet used by any formula.</t>
        </r>
      </text>
    </comment>
    <comment ref="G3" authorId="0" shapeId="0" xr:uid="{73CC4F2E-2AFE-49D2-958C-E71955124D32}">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1CEB73DC-4DDC-4AF3-AF1E-73A14DC3EB5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5A201F3B-7667-48B1-B595-700EF82CA06A}">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70430FBD-9E79-45AE-BC50-28F498ACACC9}">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881F3A60-81D6-4A92-A04E-E248394B564E}">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22CC2637-15FC-4FDD-8CDA-269FF8667E66}">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6CBDBDFC-FDF0-4C7C-BA74-5957159E7B04}">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CA1DC0CB-8FAD-48F9-8270-F5727550C235}">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2213B498-FC12-439F-9C29-9FED8E180858}">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BF3C7FFB-BA7A-45D5-BEA7-81EF524A1952}">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C7995B42-C6C0-435D-B26F-EDCB4CD283F1}">
      <text>
        <r>
          <rPr>
            <b/>
            <sz val="9"/>
            <color indexed="81"/>
            <rFont val="Tahoma"/>
            <family val="2"/>
          </rPr>
          <t>How closely the model's predicted Y values track the actual Y values overall.</t>
        </r>
      </text>
    </comment>
    <comment ref="AD4" authorId="0" shapeId="0" xr:uid="{A26E4F5E-0056-4F12-85F0-DC791AA36C29}">
      <text>
        <r>
          <rPr>
            <b/>
            <sz val="9"/>
            <color indexed="81"/>
            <rFont val="Tahoma"/>
            <family val="2"/>
          </rPr>
          <t>A leave-one-out prediction error score. Lower is better because it means the model predicts unseen rows more accurately.</t>
        </r>
      </text>
    </comment>
    <comment ref="AG4" authorId="0" shapeId="0" xr:uid="{17986931-A228-4194-B8DF-BB869F566DA2}">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EDFB9E1B-02AA-4A30-A894-2E0D6DF8C6AF}">
      <text>
        <r>
          <rPr>
            <b/>
            <sz val="9"/>
            <color indexed="81"/>
            <rFont val="Tahoma"/>
            <family val="2"/>
          </rPr>
          <t>Standard error for the MEAN of Y at the chosen X values. Builds the confidence interval — the narrower band — for where the average response sits.</t>
        </r>
      </text>
    </comment>
    <comment ref="AA5" authorId="0" shapeId="0" xr:uid="{19AD14A1-6C2E-4DD1-8530-9767799B3C49}">
      <text>
        <r>
          <rPr>
            <b/>
            <sz val="9"/>
            <color indexed="81"/>
            <rFont val="Tahoma"/>
            <family val="2"/>
          </rPr>
          <t>The share of the outcome's variation explained by the model.</t>
        </r>
      </text>
    </comment>
    <comment ref="AD5" authorId="0" shapeId="0" xr:uid="{4E3C5B62-4C1D-4045-87F7-6D3F9D44B93C}">
      <text>
        <r>
          <rPr>
            <b/>
            <sz val="9"/>
            <color indexed="81"/>
            <rFont val="Tahoma"/>
            <family val="2"/>
          </rPr>
          <t>An out-of-sample version of R Square based on leave-one-out prediction. Negative values mean the model predicts worse than just using the average Y.</t>
        </r>
      </text>
    </comment>
    <comment ref="AJ5" authorId="0" shapeId="0" xr:uid="{58BD4D36-5AC5-4348-A283-F5580655DB58}">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74627B6F-7501-4082-BF39-59DB80D2EF4E}">
      <text>
        <r>
          <rPr>
            <b/>
            <sz val="9"/>
            <color indexed="81"/>
            <rFont val="Tahoma"/>
            <family val="2"/>
          </rPr>
          <t>R Square with a penalty for adding predictors that do not help enough.</t>
        </r>
      </text>
    </comment>
    <comment ref="AD6" authorId="0" shapeId="0" xr:uid="{B6EB2234-B607-49D3-BC4E-E6AAE68DC1C4}">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62815603-CBEC-4F54-A2FE-5E47A3776D0C}">
      <text>
        <r>
          <rPr>
            <b/>
            <sz val="9"/>
            <color indexed="81"/>
            <rFont val="Tahoma"/>
            <family val="2"/>
          </rPr>
          <t>The t-distribution cutoff at the chosen confidence level. Multiply by SE (Mean) to get the CI half-width and by SE (New Obs) to get the PI half-width.</t>
        </r>
      </text>
    </comment>
    <comment ref="AA7" authorId="0" shapeId="0" xr:uid="{441BB6E0-250E-4BD4-AB63-6C1091630A05}">
      <text>
        <r>
          <rPr>
            <b/>
            <sz val="9"/>
            <color indexed="81"/>
            <rFont val="Tahoma"/>
            <family val="2"/>
          </rPr>
          <t>The typical size of the model's prediction errors, measured in the same units as Y.</t>
        </r>
      </text>
    </comment>
    <comment ref="AD7" authorId="0" shapeId="0" xr:uid="{55D5B0BD-32F2-4ECD-8A98-CBBB2606C1B2}">
      <text>
        <r>
          <rPr>
            <b/>
            <sz val="9"/>
            <color indexed="81"/>
            <rFont val="Tahoma"/>
            <family val="2"/>
          </rPr>
          <t>A model-comparison score that balances fit against complexity. Lower is better when comparing models on the same data.</t>
        </r>
      </text>
    </comment>
    <comment ref="AJ7" authorId="0" shapeId="0" xr:uid="{15806AD9-1AA0-4B0A-B2CF-095D1D3511A0}">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399FF07F-3230-44C2-AE9B-8436DC688EB7}">
      <text>
        <r>
          <rPr>
            <b/>
            <sz val="9"/>
            <color indexed="81"/>
            <rFont val="Tahoma"/>
            <family val="2"/>
          </rPr>
          <t>The number of rows actually used in the regression after filtering.</t>
        </r>
      </text>
    </comment>
    <comment ref="AD8" authorId="0" shapeId="0" xr:uid="{C68F65F9-0629-434A-9C03-81F3C6B25F34}">
      <text>
        <r>
          <rPr>
            <b/>
            <sz val="9"/>
            <color indexed="81"/>
            <rFont val="Tahoma"/>
            <family val="2"/>
          </rPr>
          <t>Another model-comparison score like AIC, but it penalizes extra predictors more strongly.</t>
        </r>
      </text>
    </comment>
    <comment ref="AJ8" authorId="0" shapeId="0" xr:uid="{5F2952A8-768A-4796-AF57-0E01DEA3AD43}">
      <text>
        <r>
          <rPr>
            <b/>
            <sz val="9"/>
            <color indexed="81"/>
            <rFont val="Tahoma"/>
            <family val="2"/>
          </rPr>
          <t>Upper bound of the confidence interval for the MEAN response at the chosen X values.</t>
        </r>
      </text>
    </comment>
    <comment ref="AD9" authorId="0" shapeId="0" xr:uid="{D68EFF3C-764E-4D2F-9B82-AEA4E174E366}">
      <text>
        <r>
          <rPr>
            <b/>
            <sz val="9"/>
            <color indexed="81"/>
            <rFont val="Tahoma"/>
            <family val="2"/>
          </rPr>
          <t>AIC with an extra correction for small samples.</t>
        </r>
      </text>
    </comment>
    <comment ref="AJ9" authorId="0" shapeId="0" xr:uid="{244DF5F7-F8BA-4E22-BDAD-25E7C600DF3F}">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4AE79F48-3B87-47F3-8D09-2C6E4C04D02B}">
      <text>
        <r>
          <rPr>
            <b/>
            <sz val="9"/>
            <color indexed="81"/>
            <rFont val="Tahoma"/>
            <family val="2"/>
          </rPr>
          <t>A numeric check of how close the residuals are to a normal bell shape. Values closer to 1 are better.</t>
        </r>
      </text>
    </comment>
    <comment ref="AJ10" authorId="0" shapeId="0" xr:uid="{8D96B367-5406-49BB-A5CB-28287390F478}">
      <text>
        <r>
          <rPr>
            <b/>
            <sz val="9"/>
            <color indexed="81"/>
            <rFont val="Tahoma"/>
            <family val="2"/>
          </rPr>
          <t>Upper bound of the prediction interval for a SINGLE new observation at the chosen X values.</t>
        </r>
      </text>
    </comment>
    <comment ref="AD11" authorId="0" shapeId="0" xr:uid="{4D5CE9A0-5F26-4491-95BC-D17738971B8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5F992C5E-F424-451E-9A93-356D18DA7E9C}">
      <text>
        <r>
          <rPr>
            <b/>
            <sz val="9"/>
            <color indexed="81"/>
            <rFont val="Tahoma"/>
            <family val="2"/>
          </rPr>
          <t>The probability level associated with the interval. With alpha 0.05, this is 95%.</t>
        </r>
      </text>
    </comment>
    <comment ref="AA12" authorId="0" shapeId="0" xr:uid="{84FEF8C0-72E1-476E-947F-EBBAE21EB966}">
      <text>
        <r>
          <rPr>
            <b/>
            <sz val="9"/>
            <color indexed="81"/>
            <rFont val="Tahoma"/>
            <family val="2"/>
          </rPr>
          <t>The cutoff for statistical significance. At 0.05, results with p-values below 0.05 are treated as statistically significant.</t>
        </r>
      </text>
    </comment>
    <comment ref="AD12" authorId="0" shapeId="0" xr:uid="{CE09F973-EAD9-4BA8-98C5-2625A9D7DFCF}">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A99116ED-9565-4A74-8E7D-5121E02B2553}">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828E739D-0E51-4B90-B365-571C35C96512}">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87E8A95D-E033-439B-B692-1BD909EA3354}">
      <text>
        <r>
          <rPr>
            <b/>
            <sz val="9"/>
            <color indexed="81"/>
            <rFont val="Tahoma"/>
            <family val="2"/>
          </rPr>
          <t>The number of independent data points available to estimate each part of the model — total rows minus one for each estimated parameter.</t>
        </r>
      </text>
    </comment>
    <comment ref="AC14" authorId="0" shapeId="0" xr:uid="{DFB603B2-8733-43BD-B8B7-9B9DF4B3E60D}">
      <text>
        <r>
          <rPr>
            <b/>
            <sz val="9"/>
            <color indexed="81"/>
            <rFont val="Tahoma"/>
            <family val="2"/>
          </rPr>
          <t>The total variation attributed to that source — regression, residual, or total. The raw material from which MS and F are calculated.</t>
        </r>
      </text>
    </comment>
    <comment ref="AD14" authorId="0" shapeId="0" xr:uid="{27E40CE1-A2B1-4F35-BDB2-805BC1DFEDC8}">
      <text>
        <r>
          <rPr>
            <b/>
            <sz val="9"/>
            <color indexed="81"/>
            <rFont val="Tahoma"/>
            <family val="2"/>
          </rPr>
          <t>Sum of squares averaged over its degrees of freedom — a per-unit measure of variation for that source.</t>
        </r>
      </text>
    </comment>
    <comment ref="AE14" authorId="0" shapeId="0" xr:uid="{D3145FC9-73FB-42EC-94AD-08FBE2C8EF27}">
      <text>
        <r>
          <rPr>
            <b/>
            <sz val="9"/>
            <color indexed="81"/>
            <rFont val="Tahoma"/>
            <family val="2"/>
          </rPr>
          <t>The model-vs-noise ratio used in the overall regression significance test.</t>
        </r>
      </text>
    </comment>
    <comment ref="AF14" authorId="0" shapeId="0" xr:uid="{E0667D4A-E5C4-4F22-8135-526E95C261CB}">
      <text>
        <r>
          <rPr>
            <b/>
            <sz val="9"/>
            <color indexed="81"/>
            <rFont val="Tahoma"/>
            <family val="2"/>
          </rPr>
          <t>The p-value for the overall F test. Small values mean the model as a whole is unlikely to be pure noise.</t>
        </r>
      </text>
    </comment>
    <comment ref="AJ14" authorId="0" shapeId="0" xr:uid="{4EFD178D-816B-47A1-8CEE-0A0D5F37A2DF}">
      <text>
        <r>
          <rPr>
            <b/>
            <sz val="9"/>
            <color indexed="81"/>
            <rFont val="Tahoma"/>
            <family val="2"/>
          </rPr>
          <t>Number of analysis-sample observations in the selected FE group. The Tᵢ used to scale the within-group mean's standard error.</t>
        </r>
      </text>
    </comment>
    <comment ref="AA15" authorId="0" shapeId="0" xr:uid="{550EE88D-E269-40A2-9AE6-13960D8C18AE}">
      <text>
        <r>
          <rPr>
            <b/>
            <sz val="9"/>
            <color indexed="81"/>
            <rFont val="Tahoma"/>
            <family val="2"/>
          </rPr>
          <t>The variation explained by the predictors taken together.</t>
        </r>
      </text>
    </comment>
    <comment ref="AA16" authorId="0" shapeId="0" xr:uid="{A8582505-0AA5-4C91-ACE0-DC8C1827039B}">
      <text>
        <r>
          <rPr>
            <b/>
            <sz val="9"/>
            <color indexed="81"/>
            <rFont val="Tahoma"/>
            <family val="2"/>
          </rPr>
          <t>The variation the model does not explain.</t>
        </r>
      </text>
    </comment>
    <comment ref="AA17" authorId="0" shapeId="0" xr:uid="{67FEB68B-2B07-4698-81D7-986BEFE5516C}">
      <text>
        <r>
          <rPr>
            <b/>
            <sz val="9"/>
            <color indexed="81"/>
            <rFont val="Tahoma"/>
            <family val="2"/>
          </rPr>
          <t>All variation in the outcome before splitting it into explained and unexplained parts.</t>
        </r>
      </text>
    </comment>
    <comment ref="AJ17" authorId="0" shapeId="0" xr:uid="{7714C516-8D63-4F7F-BC6D-2A7AF5ECFB5B}">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DBF6198B-0492-4AAA-BE1E-7B2CC65003AB}">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C7E6CED4-93BD-4946-8364-2F65F5455D8C}">
      <text>
        <r>
          <rPr>
            <b/>
            <sz val="9"/>
            <color indexed="81"/>
            <rFont val="Tahoma"/>
            <family val="2"/>
          </rPr>
          <t>The fitted weights used to turn predictor values into predictions.</t>
        </r>
      </text>
    </comment>
    <comment ref="AC20" authorId="0" shapeId="0" xr:uid="{F1218E9B-521D-472F-BE8C-F10039077C06}">
      <text>
        <r>
          <rPr>
            <b/>
            <sz val="9"/>
            <color indexed="81"/>
            <rFont val="Tahoma"/>
            <family val="2"/>
          </rPr>
          <t>How uncertain each coefficient estimate is.</t>
        </r>
      </text>
    </comment>
    <comment ref="AD20" authorId="0" shapeId="0" xr:uid="{8BA58748-B53F-495D-8ABF-7BB1B97FCA29}">
      <text>
        <r>
          <rPr>
            <b/>
            <sz val="9"/>
            <color indexed="81"/>
            <rFont val="Tahoma"/>
            <family val="2"/>
          </rPr>
          <t>How many standard errors the coefficient is away from zero.</t>
        </r>
      </text>
    </comment>
    <comment ref="AE20" authorId="0" shapeId="0" xr:uid="{519937AB-C7E9-4847-9245-06888FE46C60}">
      <text>
        <r>
          <rPr>
            <b/>
            <sz val="9"/>
            <color indexed="81"/>
            <rFont val="Tahoma"/>
            <family val="2"/>
          </rPr>
          <t>How surprising this coefficient would be if its true effect were zero. Smaller values mean stronger evidence of a real effect.</t>
        </r>
      </text>
    </comment>
    <comment ref="AF20" authorId="0" shapeId="0" xr:uid="{58030079-E30B-4A52-87DC-8FFD7BF90619}">
      <text>
        <r>
          <rPr>
            <b/>
            <sz val="9"/>
            <color indexed="81"/>
            <rFont val="Tahoma"/>
            <family val="2"/>
          </rPr>
          <t>The lower bound of the 95% confidence interval.</t>
        </r>
      </text>
    </comment>
    <comment ref="AG20" authorId="0" shapeId="0" xr:uid="{5E4A792E-BA15-431E-98A9-1A0A3E75AA00}">
      <text>
        <r>
          <rPr>
            <b/>
            <sz val="9"/>
            <color indexed="81"/>
            <rFont val="Tahoma"/>
            <family val="2"/>
          </rPr>
          <t>The upper bound of the 95% confidence interval.</t>
        </r>
      </text>
    </comment>
    <comment ref="AH20" authorId="0" shapeId="0" xr:uid="{103DF62D-A013-4C13-BD1B-D0AEAE1C6D0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<sst xmlns="http://schemas.openxmlformats.org/spreadsheetml/2006/main" count="8895" uniqueCount="1944">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</sst>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2-93CB-498B-9F59-306E8CB87B10}"/>
            </c:ext>
          </c:extLst>
        </c:ser>
        <c:dLbls>
          <c:showLegendKey val="0"/>
          <c:showVal val="0"/>
          <c:showCatName val="0"/>
          <c:showSerName val="0"/>
          <c:showPercent val="0"/>
          <c:showBubbleSize val="0"/>
        </c:dLbls>
        <c:axId val="1654143407"/>
        <c:axId val="2070720047"/>
      </c:scatterChart>
      <c:valAx>
        <c:axId val="1654143407"/>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2070720047"/>
        <c:crosses val="autoZero"/>
        <c:crossBetween val="midCat"/>
      </c:valAx>
      <c:valAx>
        <c:axId val="2070720047"/>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654143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2-FDCB-4E0F-B72F-26BD2CE71196}"/>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FDCB-4E0F-B72F-26BD2CE71196}"/>
            </c:ext>
          </c:extLst>
        </c:ser>
        <c:dLbls>
          <c:showLegendKey val="0"/>
          <c:showVal val="0"/>
          <c:showCatName val="0"/>
          <c:showSerName val="0"/>
          <c:showPercent val="0"/>
          <c:showBubbleSize val="0"/>
        </c:dLbls>
        <c:axId val="2067783839"/>
        <c:axId val="2070744047"/>
      </c:scatterChart>
      <c:valAx>
        <c:axId val="2067783839"/>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2070744047"/>
        <c:crosses val="autoZero"/>
        <c:crossBetween val="midCat"/>
      </c:valAx>
      <c:valAx>
        <c:axId val="2070744047"/>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2067783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DD77-4178-8C25-E2D5B7C6AD9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3-DD77-4178-8C25-E2D5B7C6AD95}"/>
            </c:ext>
          </c:extLst>
        </c:ser>
        <c:dLbls>
          <c:showLegendKey val="0"/>
          <c:showVal val="0"/>
          <c:showCatName val="0"/>
          <c:showSerName val="0"/>
          <c:showPercent val="0"/>
          <c:showBubbleSize val="0"/>
        </c:dLbls>
        <c:axId val="2067783839"/>
        <c:axId val="2070756527"/>
      </c:scatterChart>
      <c:valAx>
        <c:axId val="2067783839"/>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2070756527"/>
        <c:crosses val="autoZero"/>
        <c:crossBetween val="midCat"/>
      </c:valAx>
      <c:valAx>
        <c:axId val="2070756527"/>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2067783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2-3B66-4DF4-AC5F-6ABEA5E10805}"/>
            </c:ext>
          </c:extLst>
        </c:ser>
        <c:dLbls>
          <c:showLegendKey val="0"/>
          <c:showVal val="0"/>
          <c:showCatName val="0"/>
          <c:showSerName val="0"/>
          <c:showPercent val="0"/>
          <c:showBubbleSize val="0"/>
        </c:dLbls>
        <c:axId val="2067785695"/>
        <c:axId val="2070773327"/>
      </c:scatterChart>
      <c:valAx>
        <c:axId val="2067785695"/>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2070773327"/>
        <c:crosses val="autoZero"/>
        <c:crossBetween val="midCat"/>
      </c:valAx>
      <c:valAx>
        <c:axId val="2070773327"/>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20677856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2-6AB2-458F-ACC2-0D5B65C23641}"/>
            </c:ext>
          </c:extLst>
        </c:ser>
        <c:dLbls>
          <c:showLegendKey val="0"/>
          <c:showVal val="0"/>
          <c:showCatName val="0"/>
          <c:showSerName val="0"/>
          <c:showPercent val="0"/>
          <c:showBubbleSize val="0"/>
        </c:dLbls>
        <c:gapWidth val="150"/>
        <c:axId val="2074077999"/>
        <c:axId val="2070787727"/>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3-6AB2-458F-ACC2-0D5B65C23641}"/>
            </c:ext>
          </c:extLst>
        </c:ser>
        <c:dLbls>
          <c:showLegendKey val="0"/>
          <c:showVal val="0"/>
          <c:showCatName val="0"/>
          <c:showSerName val="0"/>
          <c:showPercent val="0"/>
          <c:showBubbleSize val="0"/>
        </c:dLbls>
        <c:marker val="1"/>
        <c:smooth val="0"/>
        <c:axId val="2074077999"/>
        <c:axId val="2070787727"/>
      </c:lineChart>
      <c:catAx>
        <c:axId val="2074077999"/>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2070787727"/>
        <c:crosses val="autoZero"/>
        <c:auto val="1"/>
        <c:lblAlgn val="ctr"/>
        <c:lblOffset val="100"/>
        <c:noMultiLvlLbl val="0"/>
      </c:catAx>
      <c:valAx>
        <c:axId val="2070787727"/>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20740779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2-71CA-433F-A988-971C4CA6FD32}"/>
            </c:ext>
          </c:extLst>
        </c:ser>
        <c:dLbls>
          <c:showLegendKey val="0"/>
          <c:showVal val="0"/>
          <c:showCatName val="0"/>
          <c:showSerName val="0"/>
          <c:showPercent val="0"/>
          <c:showBubbleSize val="0"/>
        </c:dLbls>
        <c:axId val="12849312"/>
        <c:axId val="2070785327"/>
      </c:scatterChart>
      <c:valAx>
        <c:axId val="12849312"/>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2070785327"/>
        <c:crosses val="autoZero"/>
        <c:crossBetween val="midCat"/>
      </c:valAx>
      <c:valAx>
        <c:axId val="2070785327"/>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28493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2-10AC-40C4-A1EF-E197A39732AD}"/>
            </c:ext>
          </c:extLst>
        </c:ser>
        <c:dLbls>
          <c:showLegendKey val="0"/>
          <c:showVal val="0"/>
          <c:showCatName val="0"/>
          <c:showSerName val="0"/>
          <c:showPercent val="0"/>
          <c:showBubbleSize val="0"/>
        </c:dLbls>
        <c:gapWidth val="150"/>
        <c:axId val="12851168"/>
        <c:axId val="2070779567"/>
      </c:barChart>
      <c:catAx>
        <c:axId val="12851168"/>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2070779567"/>
        <c:crosses val="autoZero"/>
        <c:auto val="1"/>
        <c:lblAlgn val="ctr"/>
        <c:lblOffset val="100"/>
        <c:noMultiLvlLbl val="0"/>
      </c:catAx>
      <c:valAx>
        <c:axId val="2070779567"/>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285116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753A6B60-2BBE-CB00-21CF-9EA4937D7D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000B62F2-F74F-EE65-424F-B093B4071C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29D3D11A-CDB5-7E5D-A8CE-A4E855140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285BD04E-DA08-89CC-9467-0371D8046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4E89CE89-C1AF-0BCA-10D0-C8480B4154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D5076231-B8AC-7E18-12AA-C902890206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02468833-F0CB-73AB-8A23-04C118D61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20C6B6B-36CA-4609-B433-FEA65ABA95E4}" name="MileageData" displayName="MileageData" ref="A1:L407" totalsRowShown="0">
  <autoFilter ref="A1:L407" xr:uid="{420C6B6B-36CA-4609-B433-FEA65ABA95E4}"/>
  <tableColumns count="12">
    <tableColumn id="1" xr3:uid="{3F29E6D1-35BD-4C52-B78A-0E2363DC46B7}" name="MPG"/>
    <tableColumn id="2" xr3:uid="{A530947E-0BE5-4F1A-B3A0-1459D36848C5}" name="Cylinders"/>
    <tableColumn id="3" xr3:uid="{2D06A348-E43D-4AA5-B4F9-3C6457E5D08D}" name="Displacement"/>
    <tableColumn id="4" xr3:uid="{A55CDA07-7E61-4599-A78B-DFA8469B1C85}" name="Horsepower"/>
    <tableColumn id="5" xr3:uid="{4AEFE515-3E65-4165-9C09-CA1980B3D6E7}" name="Weight"/>
    <tableColumn id="6" xr3:uid="{5AF40B8C-D8FE-4E8D-B00D-4F1EC83A0023}" name="Acceleration"/>
    <tableColumn id="7" xr3:uid="{2A2C2DC0-5A4F-4E1F-B253-E4ADC5E08602}" name="Model Year"/>
    <tableColumn id="8" xr3:uid="{6BB80563-1C90-42BE-B59B-9ED7A4EA8643}" name="Origin"/>
    <tableColumn id="9" xr3:uid="{E82FDB6D-D537-4E28-AFD7-5DFA3003AC00}" name="Car Name"/>
    <tableColumn id="10" xr3:uid="{8A264856-1568-4286-A4CC-6C705AFA84F8}" name="Make"/>
    <tableColumn id="11" xr3:uid="{E184A74F-A757-4A93-B32B-205094726669}" name="Model?"/>
    <tableColumn id="12" xr3:uid="{D0E12EA8-9FF9-4B26-9234-B6F2A9165701}"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B21335-36A6-487C-A83D-39735583815E}" name="LifeExpectancyData" displayName="LifeExpectancyData" ref="A1:W2939" totalsRowShown="0">
  <autoFilter ref="A1:W2939" xr:uid="{ACB21335-36A6-487C-A83D-39735583815E}"/>
  <tableColumns count="23">
    <tableColumn id="1" xr3:uid="{BB4FBC29-8E28-4DCA-8656-509DDFB34161}" name="Country"/>
    <tableColumn id="2" xr3:uid="{10C3C97B-F322-4589-9378-6ED4D4343009}" name="Year"/>
    <tableColumn id="3" xr3:uid="{50AE093B-8F96-4096-B7D0-DA373693E1B8}" name="Status"/>
    <tableColumn id="4" xr3:uid="{42F0A0C5-0992-4432-B99C-42710CBF410E}" name="Life expectancy"/>
    <tableColumn id="5" xr3:uid="{3F65334D-A08E-41D3-B68A-00A8FAC6BB8C}" name="Adult Mortality"/>
    <tableColumn id="6" xr3:uid="{3B5BC703-128A-45C6-8C55-1054B1921726}" name="infant deaths"/>
    <tableColumn id="7" xr3:uid="{F8BA6B1F-A543-47BC-81F8-46080222889E}" name="Alcohol"/>
    <tableColumn id="8" xr3:uid="{6B4716BE-D78A-4BD5-A845-E095F8B22E2A}" name="percentage expenditure"/>
    <tableColumn id="9" xr3:uid="{91B8F147-BBD8-43CB-B460-B9227A1E8079}" name="Hepatitis B"/>
    <tableColumn id="10" xr3:uid="{042ABEC4-6BB1-487D-8F62-F13D17FC7972}" name="Measles"/>
    <tableColumn id="11" xr3:uid="{7CD49832-6F10-4031-AC4B-69728DDAEC4E}" name="BMI"/>
    <tableColumn id="12" xr3:uid="{F0774F1E-C352-43E7-8E5C-1EAA6687B48C}" name="under-five deaths"/>
    <tableColumn id="13" xr3:uid="{F0116389-3D46-4AB6-B38F-5774AF153DBC}" name="Polio"/>
    <tableColumn id="14" xr3:uid="{033F732C-AFB5-4797-AD5E-4A0C8A4A1004}" name="Total expenditure"/>
    <tableColumn id="15" xr3:uid="{F6D03CBE-4165-4EF4-8B5C-1133E22017F6}" name="Diphtheria"/>
    <tableColumn id="16" xr3:uid="{65A0000F-BA76-4D21-87B1-0CB0C20DC352}" name="HIV/AIDS"/>
    <tableColumn id="17" xr3:uid="{51A0BEDF-D8E9-45FD-A749-9AFF0D7DA910}" name="GDP"/>
    <tableColumn id="18" xr3:uid="{02EAF3B1-33F5-46E4-8799-4BCCB110E404}" name="Population"/>
    <tableColumn id="19" xr3:uid="{61D2BB5F-12A4-4255-ADF1-690EB6283980}" name="thinness 1-19 years"/>
    <tableColumn id="20" xr3:uid="{00716277-C7A3-4A6B-8A1F-1B3301FACECE}" name="thinness 5-9 years"/>
    <tableColumn id="21" xr3:uid="{C2DE5EB5-76EC-4114-AE64-666EEB6E2FE9}" name="Income composition of resources"/>
    <tableColumn id="22" xr3:uid="{3D6A9DC7-711A-4395-97E2-B4C780C2B67F}" name="Schooling"/>
    <tableColumn id="23" xr3:uid="{0124D600-E7AC-46A7-9531-CB3D3161EA2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4FD814-925C-469B-A052-A956AB64E5CD}" name="ProductionLotsData" displayName="ProductionLotsData" ref="A1:K52" totalsRowShown="0">
  <autoFilter ref="A1:K52" xr:uid="{C74FD814-925C-469B-A052-A956AB64E5CD}"/>
  <tableColumns count="11">
    <tableColumn id="1" xr3:uid="{857CCF54-4818-4449-829D-E645555E084E}" name="Lot_ID"/>
    <tableColumn id="2" xr3:uid="{2A3CB243-D0E6-42C8-B51C-5EB13BD2A560}" name="Facility"/>
    <tableColumn id="3" xr3:uid="{3F7D6453-A3B4-41CF-AB2B-5886E055D5D0}" name="Fiscal_Year"/>
    <tableColumn id="4" xr3:uid="{8B4DB328-2471-457C-BA6F-383F8D8D8A0E}" name="Lot_Quantity"/>
    <tableColumn id="5" xr3:uid="{1FF83862-8151-49E1-88D0-4F3B994FF922}" name="Cumulative_Units"/>
    <tableColumn id="6" xr3:uid="{CE6C9583-E46C-4FEE-B8D8-71C915AE9E17}" name="Experience_Stock"/>
    <tableColumn id="7" xr3:uid="{E3B9F561-D005-4F36-8625-193A7F8552DD}" name="Unit_Cost_BY"/>
    <tableColumn id="8" xr3:uid="{CC72231C-4874-40AF-ABB2-D117A7B70E29}" name="log Cum Units"/>
    <tableColumn id="9" xr3:uid="{A2D4697C-7D31-4561-A57A-F9707ECE4DB4}" name="log experience"/>
    <tableColumn id="10" xr3:uid="{3C9B6556-D4C2-461C-9635-1FDD0721FA27}" name="log Unit Cost"/>
    <tableColumn id="11" xr3:uid="{C02DE2E3-BF64-403B-A20D-EB959B0BEE7E}"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9E72C8-BB6B-42E9-9403-546F95373943}" name="LAMBDAFunctionsCatalog" displayName="LAMBDAFunctionsCatalog" ref="A1:G141" totalsRowShown="0" headerRowDxfId="57" dataDxfId="56">
  <autoFilter ref="A1:G141" xr:uid="{929E72C8-BB6B-42E9-9403-546F95373943}"/>
  <tableColumns count="7">
    <tableColumn id="1" xr3:uid="{7664F3FC-0608-4BAA-A698-33331716D57E}" name="Function Name" dataDxfId="55"/>
    <tableColumn id="2" xr3:uid="{DB2C35C7-3F36-4C5B-9C31-9E426418E95C}" name="Scope" dataDxfId="54"/>
    <tableColumn id="3" xr3:uid="{64E2C676-A914-4DAE-81E4-87E0A7771E9F}" name="Definition" dataDxfId="53"/>
    <tableColumn id="4" xr3:uid="{FD93853B-BAA9-40FD-81FC-731B70F83B51}" name="Arguments" dataDxfId="52"/>
    <tableColumn id="5" xr3:uid="{C38D825D-BD24-461D-9420-704B0F1ED054}" name="Yields" dataDxfId="51"/>
    <tableColumn id="6" xr3:uid="{9E5D9492-E86D-4F2A-B5F2-989427EECB2E}" name="Plain-Language Summary" dataDxfId="50"/>
    <tableColumn id="7" xr3:uid="{D1BED674-8BC5-49A5-A1C7-43224C03E7B1}"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1866</v>
      </c>
      <c r="B7" s="18">
        <v>46236</v>
      </c>
      <c r="C7" t="s">
        <v>812</v>
      </c>
      <c r="D7" s="2" t="s">
        <v>1867</v>
      </c>
    </row>
    <row r="8" spans="1:4" ht="150" x14ac:dyDescent="0.25">
      <c r="A8" t="s">
        <v>1868</v>
      </c>
      <c r="B8" s="18">
        <v>46236</v>
      </c>
      <c r="C8" t="s">
        <v>812</v>
      </c>
      <c r="D8" s="2" t="s">
        <v>1869</v>
      </c>
    </row>
    <row r="9" spans="1:4" ht="300" x14ac:dyDescent="0.25">
      <c r="A9" t="s">
        <v>1844</v>
      </c>
      <c r="B9" s="18">
        <v>46236</v>
      </c>
      <c r="C9" t="s">
        <v>815</v>
      </c>
      <c r="D9" s="2" t="s">
        <v>1852</v>
      </c>
    </row>
    <row r="10" spans="1:4" ht="225" x14ac:dyDescent="0.25">
      <c r="A10" t="s">
        <v>1870</v>
      </c>
      <c r="B10" s="18">
        <v>46237</v>
      </c>
      <c r="C10" t="s">
        <v>812</v>
      </c>
      <c r="D10" s="2" t="s">
        <v>1871</v>
      </c>
    </row>
    <row r="11" spans="1:4" ht="405" x14ac:dyDescent="0.25">
      <c r="A11" t="s">
        <v>1903</v>
      </c>
      <c r="B11" s="18">
        <v>46237</v>
      </c>
      <c r="C11" t="s">
        <v>812</v>
      </c>
      <c r="D11" s="2" t="s">
        <v>1935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D4925-E5B6-4322-82C3-788CD5064519}">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1850</v>
      </c>
    </row>
    <row r="9" spans="1:1" ht="180" x14ac:dyDescent="0.25">
      <c r="A9" s="2" t="s">
        <v>1694</v>
      </c>
    </row>
    <row r="10" spans="1:1" ht="90" x14ac:dyDescent="0.25">
      <c r="A10" s="2" t="s">
        <v>805</v>
      </c>
    </row>
    <row r="11" spans="1:1" ht="360" x14ac:dyDescent="0.25">
      <c r="A11" s="2" t="s">
        <v>1902</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M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1848</v>
      </c>
      <c r="O1" s="3">
        <f>SUM(_xlfn.TAKE(Spec_Design_Columns,COLUMNS(Source_Data)))+N(Allow_Intercept)</f>
        <v>17</v>
      </c>
      <c r="P1" s="3" t="s">
        <v>876</v>
      </c>
      <c r="Q1" s="3" t="s">
        <v>877</v>
      </c>
      <c r="S1" s="4" t="s">
        <v>607</v>
      </c>
      <c r="AA1" s="4" t="s">
        <v>610</v>
      </c>
      <c r="AJ1" s="37" t="s">
        <v>634</v>
      </c>
      <c r="AK1" s="38"/>
      <c r="AL1" s="45"/>
      <c r="AN1" s="4" t="s">
        <v>643</v>
      </c>
      <c r="BR1" s="37" t="s">
        <v>1853</v>
      </c>
      <c r="BS1" s="46"/>
      <c r="BU1" s="4" t="s">
        <v>1842</v>
      </c>
      <c r="BW1" s="4" t="s">
        <v>1849</v>
      </c>
      <c r="BX1" s="4" t="s">
        <v>1904</v>
      </c>
      <c r="BY1" t="str" cm="1">
        <f t="array" ref="BY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1912</v>
      </c>
      <c r="AL2" s="35" t="s">
        <v>1913</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1914</v>
      </c>
      <c r="BA2" s="28" t="s">
        <v>1915</v>
      </c>
      <c r="BR2" s="8" t="s">
        <v>1854</v>
      </c>
      <c r="BS2" s="24" t="b">
        <f>Allow_Intercept</f>
        <v>1</v>
      </c>
      <c r="BU2" s="3" t="s">
        <v>1916</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1845</v>
      </c>
      <c r="N3" s="34" t="s">
        <v>1846</v>
      </c>
      <c r="O3" s="34" t="s">
        <v>1847</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611</v>
      </c>
      <c r="AB3" s="39"/>
      <c r="AD3" s="37" t="s">
        <v>616</v>
      </c>
      <c r="AE3" s="39"/>
      <c r="AG3" s="37" t="s">
        <v>1905</v>
      </c>
      <c r="AH3" s="39"/>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1855</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t="s">
        <v>798</v>
      </c>
      <c r="C4" t="b">
        <v>0</v>
      </c>
      <c r="D4" t="s">
        <v>781</v>
      </c>
      <c r="G4" t="s">
        <v>1695</v>
      </c>
      <c r="J4" t="str" cm="1">
        <f t="array" ref="J4:J15">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15">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15">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15">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1906</v>
      </c>
      <c r="AH4" s="33" t="s">
        <v>1934</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1856</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t="s">
        <v>797</v>
      </c>
      <c r="C5" t="b">
        <v>0</v>
      </c>
      <c r="D5" t="s">
        <v>781</v>
      </c>
      <c r="G5" t="s">
        <v>1695</v>
      </c>
      <c r="J5" t="str">
        <v/>
      </c>
      <c r="K5" t="str">
        <v/>
      </c>
      <c r="L5" t="str">
        <v/>
      </c>
      <c r="O5">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1907</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1857</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t="s">
        <v>797</v>
      </c>
      <c r="C6" t="b">
        <v>0</v>
      </c>
      <c r="D6" t="s">
        <v>781</v>
      </c>
      <c r="G6" t="s">
        <v>1695</v>
      </c>
      <c r="J6" t="str">
        <v/>
      </c>
      <c r="K6" t="str">
        <v/>
      </c>
      <c r="L6" t="str">
        <v/>
      </c>
      <c r="O6">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1908</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1858</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t="s">
        <v>797</v>
      </c>
      <c r="C7" t="b">
        <v>1</v>
      </c>
      <c r="D7" t="s">
        <v>781</v>
      </c>
      <c r="G7" t="s">
        <v>1695</v>
      </c>
      <c r="J7" t="str">
        <v/>
      </c>
      <c r="K7" t="str">
        <v/>
      </c>
      <c r="L7" t="str">
        <v/>
      </c>
      <c r="O7">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1909</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t="s">
        <v>797</v>
      </c>
      <c r="C8" t="b">
        <v>1</v>
      </c>
      <c r="D8" t="s">
        <v>781</v>
      </c>
      <c r="G8" t="s">
        <v>1695</v>
      </c>
      <c r="J8" t="str">
        <v/>
      </c>
      <c r="K8" t="str">
        <v/>
      </c>
      <c r="L8" t="str">
        <v/>
      </c>
      <c r="O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1910</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t="s">
        <v>797</v>
      </c>
      <c r="C9" t="b">
        <v>0</v>
      </c>
      <c r="D9" t="s">
        <v>781</v>
      </c>
      <c r="G9" t="s">
        <v>1695</v>
      </c>
      <c r="J9" t="str">
        <v/>
      </c>
      <c r="K9" t="str">
        <v/>
      </c>
      <c r="L9" t="str">
        <v/>
      </c>
      <c r="O9">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1911</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t="s">
        <v>797</v>
      </c>
      <c r="C10" t="b">
        <v>1</v>
      </c>
      <c r="D10" t="s">
        <v>1693</v>
      </c>
      <c r="G10" t="s">
        <v>1695</v>
      </c>
      <c r="J10" t="str">
        <v/>
      </c>
      <c r="K10">
        <v>13</v>
      </c>
      <c r="L10">
        <v>70</v>
      </c>
      <c r="O10">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t="s">
        <v>797</v>
      </c>
      <c r="C11" t="b">
        <v>1</v>
      </c>
      <c r="D11" t="s">
        <v>1693</v>
      </c>
      <c r="G11" t="s">
        <v>1695</v>
      </c>
      <c r="J11" t="str">
        <v/>
      </c>
      <c r="K11">
        <v>3</v>
      </c>
      <c r="L11" t="str">
        <v>Asia</v>
      </c>
      <c r="O11">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t="s">
        <v>880</v>
      </c>
      <c r="C12" t="b">
        <v>0</v>
      </c>
      <c r="D12" t="s">
        <v>781</v>
      </c>
      <c r="G12" t="s">
        <v>1695</v>
      </c>
      <c r="J12" t="str">
        <v/>
      </c>
      <c r="K12" t="str">
        <v/>
      </c>
      <c r="L12" t="str">
        <v/>
      </c>
      <c r="O12" t="str">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t="s">
        <v>868</v>
      </c>
      <c r="C13" t="b">
        <v>0</v>
      </c>
      <c r="D13" t="s">
        <v>781</v>
      </c>
      <c r="G13" t="s">
        <v>1695</v>
      </c>
      <c r="J13" t="str">
        <v/>
      </c>
      <c r="K13" t="str">
        <v/>
      </c>
      <c r="L13" t="str">
        <v/>
      </c>
      <c r="O13" t="str">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t="s">
        <v>868</v>
      </c>
      <c r="C14" t="b">
        <v>0</v>
      </c>
      <c r="D14" t="s">
        <v>781</v>
      </c>
      <c r="G14" t="s">
        <v>1695</v>
      </c>
      <c r="J14" t="str">
        <v/>
      </c>
      <c r="K14" t="str">
        <v/>
      </c>
      <c r="L14" t="str">
        <v/>
      </c>
      <c r="O14" t="str">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6"/>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t="s">
        <v>868</v>
      </c>
      <c r="C15" t="b">
        <v>0</v>
      </c>
      <c r="D15" t="s">
        <v>781</v>
      </c>
      <c r="G15" t="s">
        <v>1695</v>
      </c>
      <c r="J15" t="str">
        <v/>
      </c>
      <c r="K15" t="str">
        <v/>
      </c>
      <c r="L15" t="str">
        <v/>
      </c>
      <c r="O15" t="str">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CEF7F2DE-6B98-4DC7-B85C-6205A491AEEF}">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4F691-BAB5-4CEF-946B-2878F1728F11}">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1774</v>
      </c>
      <c r="D3" s="2" t="s">
        <v>1775</v>
      </c>
      <c r="E3" s="2" t="s">
        <v>11</v>
      </c>
      <c r="F3" s="2" t="s">
        <v>12</v>
      </c>
      <c r="G3" s="2" t="s">
        <v>1697</v>
      </c>
    </row>
    <row r="4" spans="1:7" ht="195" x14ac:dyDescent="0.25">
      <c r="A4" s="2" t="s">
        <v>723</v>
      </c>
      <c r="B4" s="2" t="s">
        <v>785</v>
      </c>
      <c r="C4" s="1" t="s">
        <v>1776</v>
      </c>
      <c r="D4" s="2" t="s">
        <v>1777</v>
      </c>
      <c r="E4" s="2" t="s">
        <v>13</v>
      </c>
      <c r="F4" s="2" t="s">
        <v>14</v>
      </c>
      <c r="G4" s="2" t="s">
        <v>1698</v>
      </c>
    </row>
    <row r="5" spans="1:7" ht="255" x14ac:dyDescent="0.25">
      <c r="A5" s="2" t="s">
        <v>724</v>
      </c>
      <c r="B5" s="2" t="s">
        <v>785</v>
      </c>
      <c r="C5" s="1" t="s">
        <v>1778</v>
      </c>
      <c r="D5" s="2" t="s">
        <v>1779</v>
      </c>
      <c r="E5" s="2" t="s">
        <v>15</v>
      </c>
      <c r="F5" s="2" t="s">
        <v>16</v>
      </c>
      <c r="G5" s="2" t="s">
        <v>1699</v>
      </c>
    </row>
    <row r="6" spans="1:7" ht="255" x14ac:dyDescent="0.25">
      <c r="A6" s="2" t="s">
        <v>725</v>
      </c>
      <c r="B6" s="2" t="s">
        <v>785</v>
      </c>
      <c r="C6" s="1" t="s">
        <v>1780</v>
      </c>
      <c r="D6" s="2" t="s">
        <v>1779</v>
      </c>
      <c r="E6" s="2" t="s">
        <v>1546</v>
      </c>
      <c r="F6" s="2" t="s">
        <v>1547</v>
      </c>
      <c r="G6" s="2" t="s">
        <v>1700</v>
      </c>
    </row>
    <row r="7" spans="1:7" ht="255" x14ac:dyDescent="0.25">
      <c r="A7" s="2" t="s">
        <v>17</v>
      </c>
      <c r="B7" s="2" t="s">
        <v>785</v>
      </c>
      <c r="C7" s="1" t="s">
        <v>1781</v>
      </c>
      <c r="D7" s="2" t="s">
        <v>1779</v>
      </c>
      <c r="E7" s="2" t="s">
        <v>18</v>
      </c>
      <c r="F7" s="2" t="s">
        <v>19</v>
      </c>
      <c r="G7" s="2" t="s">
        <v>726</v>
      </c>
    </row>
    <row r="8" spans="1:7" ht="255" x14ac:dyDescent="0.25">
      <c r="A8" s="2" t="s">
        <v>727</v>
      </c>
      <c r="B8" s="2" t="s">
        <v>785</v>
      </c>
      <c r="C8" s="1" t="s">
        <v>1782</v>
      </c>
      <c r="D8" s="2" t="s">
        <v>1779</v>
      </c>
      <c r="E8" s="2" t="s">
        <v>20</v>
      </c>
      <c r="F8" s="2" t="s">
        <v>21</v>
      </c>
      <c r="G8" s="2" t="s">
        <v>1701</v>
      </c>
    </row>
    <row r="9" spans="1:7" ht="255" x14ac:dyDescent="0.25">
      <c r="A9" s="2" t="s">
        <v>22</v>
      </c>
      <c r="B9" s="2" t="s">
        <v>785</v>
      </c>
      <c r="C9" s="1" t="s">
        <v>1783</v>
      </c>
      <c r="D9" s="2" t="s">
        <v>1779</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1784</v>
      </c>
      <c r="D11" s="2" t="s">
        <v>1779</v>
      </c>
      <c r="E11" s="2" t="s">
        <v>29</v>
      </c>
      <c r="F11" s="2" t="s">
        <v>30</v>
      </c>
      <c r="G11" s="2" t="s">
        <v>1706</v>
      </c>
    </row>
    <row r="12" spans="1:7" ht="255" x14ac:dyDescent="0.25">
      <c r="A12" s="2" t="s">
        <v>31</v>
      </c>
      <c r="B12" s="2" t="s">
        <v>785</v>
      </c>
      <c r="C12" s="1" t="s">
        <v>1785</v>
      </c>
      <c r="D12" s="2" t="s">
        <v>1779</v>
      </c>
      <c r="E12" s="2" t="s">
        <v>32</v>
      </c>
      <c r="F12" s="2" t="s">
        <v>33</v>
      </c>
      <c r="G12" s="2" t="s">
        <v>34</v>
      </c>
    </row>
    <row r="13" spans="1:7" ht="255" x14ac:dyDescent="0.25">
      <c r="A13" s="2" t="s">
        <v>35</v>
      </c>
      <c r="B13" s="2" t="s">
        <v>785</v>
      </c>
      <c r="C13" s="1" t="s">
        <v>1786</v>
      </c>
      <c r="D13" s="2" t="s">
        <v>1779</v>
      </c>
      <c r="E13" s="2" t="s">
        <v>36</v>
      </c>
      <c r="F13" s="2" t="s">
        <v>37</v>
      </c>
      <c r="G13" s="2" t="s">
        <v>1548</v>
      </c>
    </row>
    <row r="14" spans="1:7" ht="255" x14ac:dyDescent="0.25">
      <c r="A14" s="2" t="s">
        <v>38</v>
      </c>
      <c r="B14" s="2" t="s">
        <v>785</v>
      </c>
      <c r="C14" s="1" t="s">
        <v>1787</v>
      </c>
      <c r="D14" s="2" t="s">
        <v>1779</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1788</v>
      </c>
      <c r="D16" s="2" t="s">
        <v>1779</v>
      </c>
      <c r="E16" s="2" t="s">
        <v>45</v>
      </c>
      <c r="F16" s="2" t="s">
        <v>46</v>
      </c>
      <c r="G16" s="2" t="s">
        <v>1708</v>
      </c>
    </row>
    <row r="17" spans="1:7" ht="255" x14ac:dyDescent="0.25">
      <c r="A17" s="2" t="s">
        <v>47</v>
      </c>
      <c r="B17" s="2" t="s">
        <v>785</v>
      </c>
      <c r="C17" s="1" t="s">
        <v>1789</v>
      </c>
      <c r="D17" s="2" t="s">
        <v>1779</v>
      </c>
      <c r="E17" s="2" t="s">
        <v>48</v>
      </c>
      <c r="F17" s="2" t="s">
        <v>49</v>
      </c>
      <c r="G17" s="2" t="s">
        <v>1550</v>
      </c>
    </row>
    <row r="18" spans="1:7" ht="255" x14ac:dyDescent="0.25">
      <c r="A18" s="2" t="s">
        <v>50</v>
      </c>
      <c r="B18" s="2" t="s">
        <v>785</v>
      </c>
      <c r="C18" s="1" t="s">
        <v>1790</v>
      </c>
      <c r="D18" s="2" t="s">
        <v>1779</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1791</v>
      </c>
      <c r="D22" s="2" t="s">
        <v>1779</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1792</v>
      </c>
      <c r="D24" s="2" t="s">
        <v>1779</v>
      </c>
      <c r="E24" s="2" t="s">
        <v>65</v>
      </c>
      <c r="F24" s="2" t="s">
        <v>1552</v>
      </c>
      <c r="G24" s="2" t="s">
        <v>1716</v>
      </c>
    </row>
    <row r="25" spans="1:7" ht="255" x14ac:dyDescent="0.25">
      <c r="A25" s="2" t="s">
        <v>728</v>
      </c>
      <c r="B25" s="2" t="s">
        <v>785</v>
      </c>
      <c r="C25" s="1" t="s">
        <v>1793</v>
      </c>
      <c r="D25" s="2" t="s">
        <v>1779</v>
      </c>
      <c r="E25" s="2" t="s">
        <v>66</v>
      </c>
      <c r="F25" s="2" t="s">
        <v>67</v>
      </c>
      <c r="G25" s="2" t="s">
        <v>1553</v>
      </c>
    </row>
    <row r="26" spans="1:7" ht="255" x14ac:dyDescent="0.25">
      <c r="A26" s="2" t="s">
        <v>68</v>
      </c>
      <c r="B26" s="2" t="s">
        <v>785</v>
      </c>
      <c r="C26" s="1" t="s">
        <v>1794</v>
      </c>
      <c r="D26" s="2" t="s">
        <v>1779</v>
      </c>
      <c r="E26" s="2" t="s">
        <v>69</v>
      </c>
      <c r="F26" s="2" t="s">
        <v>70</v>
      </c>
      <c r="G26" s="2" t="s">
        <v>1554</v>
      </c>
    </row>
    <row r="27" spans="1:7" ht="285" x14ac:dyDescent="0.25">
      <c r="A27" s="2" t="s">
        <v>729</v>
      </c>
      <c r="B27" s="2" t="s">
        <v>785</v>
      </c>
      <c r="C27" s="1" t="s">
        <v>1795</v>
      </c>
      <c r="D27" s="2" t="s">
        <v>1796</v>
      </c>
      <c r="E27" s="2" t="s">
        <v>71</v>
      </c>
      <c r="F27" s="2" t="s">
        <v>72</v>
      </c>
      <c r="G27" s="2" t="s">
        <v>1555</v>
      </c>
    </row>
    <row r="28" spans="1:7" ht="285" x14ac:dyDescent="0.25">
      <c r="A28" s="2" t="s">
        <v>730</v>
      </c>
      <c r="B28" s="2" t="s">
        <v>785</v>
      </c>
      <c r="C28" s="1" t="s">
        <v>1797</v>
      </c>
      <c r="D28" s="2" t="s">
        <v>1796</v>
      </c>
      <c r="E28" s="2" t="s">
        <v>73</v>
      </c>
      <c r="F28" s="2" t="s">
        <v>74</v>
      </c>
      <c r="G28" s="2" t="s">
        <v>1556</v>
      </c>
    </row>
    <row r="29" spans="1:7" ht="255" x14ac:dyDescent="0.25">
      <c r="A29" s="2" t="s">
        <v>731</v>
      </c>
      <c r="B29" s="2" t="s">
        <v>785</v>
      </c>
      <c r="C29" s="1" t="s">
        <v>1798</v>
      </c>
      <c r="D29" s="2" t="s">
        <v>1779</v>
      </c>
      <c r="E29" s="2" t="s">
        <v>75</v>
      </c>
      <c r="F29" s="2" t="s">
        <v>76</v>
      </c>
      <c r="G29" s="2" t="s">
        <v>1557</v>
      </c>
    </row>
    <row r="30" spans="1:7" ht="255" x14ac:dyDescent="0.25">
      <c r="A30" s="2" t="s">
        <v>77</v>
      </c>
      <c r="B30" s="2" t="s">
        <v>785</v>
      </c>
      <c r="C30" s="1" t="s">
        <v>1799</v>
      </c>
      <c r="D30" s="2" t="s">
        <v>1779</v>
      </c>
      <c r="E30" s="2" t="s">
        <v>78</v>
      </c>
      <c r="F30" s="2" t="s">
        <v>79</v>
      </c>
      <c r="G30" s="2" t="s">
        <v>1558</v>
      </c>
    </row>
    <row r="31" spans="1:7" ht="255" x14ac:dyDescent="0.25">
      <c r="A31" s="2" t="s">
        <v>80</v>
      </c>
      <c r="B31" s="2" t="s">
        <v>785</v>
      </c>
      <c r="C31" s="1" t="s">
        <v>1800</v>
      </c>
      <c r="D31" s="2" t="s">
        <v>1779</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1801</v>
      </c>
      <c r="D36" s="2" t="s">
        <v>1802</v>
      </c>
      <c r="E36" s="2" t="s">
        <v>90</v>
      </c>
      <c r="F36" s="2" t="s">
        <v>91</v>
      </c>
      <c r="G36" s="2" t="s">
        <v>1729</v>
      </c>
    </row>
    <row r="37" spans="1:7" ht="409.5" x14ac:dyDescent="0.25">
      <c r="A37" s="2" t="s">
        <v>1559</v>
      </c>
      <c r="B37" s="2" t="s">
        <v>785</v>
      </c>
      <c r="C37" s="1" t="s">
        <v>1803</v>
      </c>
      <c r="D37" s="2" t="s">
        <v>1804</v>
      </c>
      <c r="E37" s="2" t="s">
        <v>1560</v>
      </c>
      <c r="F37" s="2" t="s">
        <v>1561</v>
      </c>
      <c r="G37" s="2" t="s">
        <v>1943</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1730</v>
      </c>
      <c r="D43" s="2" t="s">
        <v>1731</v>
      </c>
      <c r="E43" s="2" t="s">
        <v>116</v>
      </c>
      <c r="F43" s="2" t="s">
        <v>117</v>
      </c>
      <c r="G43" s="2" t="s">
        <v>1732</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1733</v>
      </c>
      <c r="D45" s="2" t="s">
        <v>1704</v>
      </c>
      <c r="E45" s="2" t="s">
        <v>124</v>
      </c>
      <c r="F45" s="2" t="s">
        <v>125</v>
      </c>
      <c r="G45" s="2" t="s">
        <v>126</v>
      </c>
    </row>
    <row r="46" spans="1:7" ht="120" x14ac:dyDescent="0.25">
      <c r="A46" s="2" t="s">
        <v>127</v>
      </c>
      <c r="B46" s="2" t="s">
        <v>785</v>
      </c>
      <c r="C46" s="1" t="s">
        <v>1734</v>
      </c>
      <c r="D46" s="2" t="s">
        <v>1704</v>
      </c>
      <c r="E46" s="2" t="s">
        <v>128</v>
      </c>
      <c r="F46" s="2" t="s">
        <v>129</v>
      </c>
      <c r="G46" s="2" t="s">
        <v>130</v>
      </c>
    </row>
    <row r="47" spans="1:7" ht="270" x14ac:dyDescent="0.25">
      <c r="A47" s="2" t="s">
        <v>131</v>
      </c>
      <c r="B47" s="2" t="s">
        <v>785</v>
      </c>
      <c r="C47" s="1" t="s">
        <v>1805</v>
      </c>
      <c r="D47" s="2" t="s">
        <v>1779</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1735</v>
      </c>
      <c r="D50" s="2" t="s">
        <v>1736</v>
      </c>
      <c r="E50" s="2" t="s">
        <v>1737</v>
      </c>
      <c r="F50" s="2" t="s">
        <v>144</v>
      </c>
      <c r="G50" s="2" t="s">
        <v>739</v>
      </c>
    </row>
    <row r="51" spans="1:7" ht="135" x14ac:dyDescent="0.25">
      <c r="A51" s="2" t="s">
        <v>740</v>
      </c>
      <c r="B51" s="2" t="s">
        <v>785</v>
      </c>
      <c r="C51" s="1" t="s">
        <v>1738</v>
      </c>
      <c r="D51" s="2" t="s">
        <v>1704</v>
      </c>
      <c r="E51" s="2" t="s">
        <v>145</v>
      </c>
      <c r="F51" s="2" t="s">
        <v>146</v>
      </c>
      <c r="G51" s="2" t="s">
        <v>756</v>
      </c>
    </row>
    <row r="52" spans="1:7" ht="120" x14ac:dyDescent="0.25">
      <c r="A52" s="2" t="s">
        <v>757</v>
      </c>
      <c r="B52" s="2" t="s">
        <v>785</v>
      </c>
      <c r="C52" s="1" t="s">
        <v>1739</v>
      </c>
      <c r="D52" s="2" t="s">
        <v>1704</v>
      </c>
      <c r="E52" s="2" t="s">
        <v>758</v>
      </c>
      <c r="F52" s="2" t="s">
        <v>759</v>
      </c>
      <c r="G52" s="2" t="s">
        <v>879</v>
      </c>
    </row>
    <row r="53" spans="1:7" ht="135" x14ac:dyDescent="0.25">
      <c r="A53" s="2" t="s">
        <v>741</v>
      </c>
      <c r="B53" s="2" t="s">
        <v>785</v>
      </c>
      <c r="C53" s="1" t="s">
        <v>1740</v>
      </c>
      <c r="D53" s="2" t="s">
        <v>1731</v>
      </c>
      <c r="E53" s="2" t="s">
        <v>147</v>
      </c>
      <c r="F53" s="2" t="s">
        <v>148</v>
      </c>
      <c r="G53" s="2" t="s">
        <v>742</v>
      </c>
    </row>
    <row r="54" spans="1:7" ht="270" x14ac:dyDescent="0.25">
      <c r="A54" s="2" t="s">
        <v>149</v>
      </c>
      <c r="B54" s="2" t="s">
        <v>785</v>
      </c>
      <c r="C54" s="1" t="s">
        <v>1806</v>
      </c>
      <c r="D54" s="2" t="s">
        <v>1779</v>
      </c>
      <c r="E54" s="2" t="s">
        <v>150</v>
      </c>
      <c r="F54" s="2" t="s">
        <v>151</v>
      </c>
      <c r="G54" s="2" t="s">
        <v>1562</v>
      </c>
    </row>
    <row r="55" spans="1:7" ht="270" x14ac:dyDescent="0.25">
      <c r="A55" s="2" t="s">
        <v>152</v>
      </c>
      <c r="B55" s="2" t="s">
        <v>785</v>
      </c>
      <c r="C55" s="1" t="s">
        <v>1807</v>
      </c>
      <c r="D55" s="2" t="s">
        <v>1779</v>
      </c>
      <c r="E55" s="2" t="s">
        <v>153</v>
      </c>
      <c r="F55" s="2" t="s">
        <v>154</v>
      </c>
      <c r="G55" s="2" t="s">
        <v>155</v>
      </c>
    </row>
    <row r="56" spans="1:7" ht="270" x14ac:dyDescent="0.25">
      <c r="A56" s="2" t="s">
        <v>156</v>
      </c>
      <c r="B56" s="2" t="s">
        <v>785</v>
      </c>
      <c r="C56" s="1" t="s">
        <v>1808</v>
      </c>
      <c r="D56" s="2" t="s">
        <v>1779</v>
      </c>
      <c r="E56" s="2" t="s">
        <v>157</v>
      </c>
      <c r="F56" s="2" t="s">
        <v>158</v>
      </c>
      <c r="G56" s="2" t="s">
        <v>159</v>
      </c>
    </row>
    <row r="57" spans="1:7" ht="270" x14ac:dyDescent="0.25">
      <c r="A57" s="2" t="s">
        <v>160</v>
      </c>
      <c r="B57" s="2" t="s">
        <v>785</v>
      </c>
      <c r="C57" s="1" t="s">
        <v>1809</v>
      </c>
      <c r="D57" s="2" t="s">
        <v>1779</v>
      </c>
      <c r="E57" s="2" t="s">
        <v>161</v>
      </c>
      <c r="F57" s="2" t="s">
        <v>162</v>
      </c>
      <c r="G57" s="2" t="s">
        <v>163</v>
      </c>
    </row>
    <row r="58" spans="1:7" ht="135" x14ac:dyDescent="0.25">
      <c r="A58" s="2" t="s">
        <v>743</v>
      </c>
      <c r="B58" s="2" t="s">
        <v>785</v>
      </c>
      <c r="C58" s="1" t="s">
        <v>164</v>
      </c>
      <c r="D58" s="2" t="s">
        <v>165</v>
      </c>
      <c r="E58" s="2" t="s">
        <v>166</v>
      </c>
      <c r="F58" s="2" t="s">
        <v>167</v>
      </c>
      <c r="G58" s="2" t="s">
        <v>1741</v>
      </c>
    </row>
    <row r="59" spans="1:7" ht="165" x14ac:dyDescent="0.25">
      <c r="A59" s="2" t="s">
        <v>168</v>
      </c>
      <c r="B59" s="2" t="s">
        <v>785</v>
      </c>
      <c r="C59" s="1" t="s">
        <v>1742</v>
      </c>
      <c r="D59" s="2" t="s">
        <v>1743</v>
      </c>
      <c r="E59" s="2" t="s">
        <v>169</v>
      </c>
      <c r="F59" s="2" t="s">
        <v>170</v>
      </c>
      <c r="G59" s="2" t="s">
        <v>1744</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1745</v>
      </c>
      <c r="D61" s="2" t="s">
        <v>1746</v>
      </c>
      <c r="E61" s="2" t="s">
        <v>178</v>
      </c>
      <c r="F61" s="2" t="s">
        <v>179</v>
      </c>
      <c r="G61" s="2" t="s">
        <v>1747</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1748</v>
      </c>
      <c r="D63" s="2" t="s">
        <v>1719</v>
      </c>
      <c r="E63" s="2" t="s">
        <v>1749</v>
      </c>
      <c r="F63" s="2" t="s">
        <v>187</v>
      </c>
      <c r="G63" s="2" t="s">
        <v>1750</v>
      </c>
    </row>
    <row r="64" spans="1:7" ht="150" x14ac:dyDescent="0.25">
      <c r="A64" s="2" t="s">
        <v>188</v>
      </c>
      <c r="B64" s="2" t="s">
        <v>785</v>
      </c>
      <c r="C64" s="1" t="s">
        <v>1751</v>
      </c>
      <c r="D64" s="2" t="s">
        <v>1719</v>
      </c>
      <c r="E64" s="2" t="s">
        <v>1752</v>
      </c>
      <c r="F64" s="2" t="s">
        <v>189</v>
      </c>
      <c r="G64" s="2" t="s">
        <v>1753</v>
      </c>
    </row>
    <row r="65" spans="1:7" ht="270" x14ac:dyDescent="0.25">
      <c r="A65" s="2" t="s">
        <v>744</v>
      </c>
      <c r="B65" s="2" t="s">
        <v>785</v>
      </c>
      <c r="C65" s="1" t="s">
        <v>1810</v>
      </c>
      <c r="D65" s="2" t="s">
        <v>1779</v>
      </c>
      <c r="E65" s="2" t="s">
        <v>190</v>
      </c>
      <c r="F65" s="2" t="s">
        <v>191</v>
      </c>
      <c r="G65" s="2" t="s">
        <v>1563</v>
      </c>
    </row>
    <row r="66" spans="1:7" ht="270" x14ac:dyDescent="0.25">
      <c r="A66" s="2" t="s">
        <v>745</v>
      </c>
      <c r="B66" s="2" t="s">
        <v>785</v>
      </c>
      <c r="C66" s="1" t="s">
        <v>1811</v>
      </c>
      <c r="D66" s="2" t="s">
        <v>1779</v>
      </c>
      <c r="E66" s="2" t="s">
        <v>192</v>
      </c>
      <c r="F66" s="2" t="s">
        <v>193</v>
      </c>
      <c r="G66" s="2" t="s">
        <v>1564</v>
      </c>
    </row>
    <row r="67" spans="1:7" ht="150" x14ac:dyDescent="0.25">
      <c r="A67" s="2" t="s">
        <v>194</v>
      </c>
      <c r="B67" s="2" t="s">
        <v>785</v>
      </c>
      <c r="C67" s="1" t="s">
        <v>1754</v>
      </c>
      <c r="D67" s="2" t="s">
        <v>1719</v>
      </c>
      <c r="E67" s="2" t="s">
        <v>195</v>
      </c>
      <c r="F67" s="2" t="s">
        <v>196</v>
      </c>
      <c r="G67" s="2" t="s">
        <v>1755</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1756</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1936</v>
      </c>
      <c r="D104" s="2"/>
      <c r="E104" s="2" t="s">
        <v>871</v>
      </c>
      <c r="F104" s="2" t="s">
        <v>828</v>
      </c>
      <c r="G104" s="2" t="s">
        <v>1937</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1757</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1758</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1759</v>
      </c>
    </row>
    <row r="114" spans="1:7" ht="135" x14ac:dyDescent="0.25">
      <c r="A114" s="2" t="s">
        <v>791</v>
      </c>
      <c r="B114" s="2" t="s">
        <v>624</v>
      </c>
      <c r="C114" s="1" t="s">
        <v>796</v>
      </c>
      <c r="D114" s="2"/>
      <c r="E114" s="2" t="s">
        <v>792</v>
      </c>
      <c r="F114" s="2" t="s">
        <v>793</v>
      </c>
      <c r="G114" s="2" t="s">
        <v>1760</v>
      </c>
    </row>
    <row r="115" spans="1:7" ht="409.5" x14ac:dyDescent="0.25">
      <c r="A115" s="2" t="s">
        <v>1761</v>
      </c>
      <c r="B115" s="2" t="s">
        <v>624</v>
      </c>
      <c r="C115" s="1" t="s">
        <v>1859</v>
      </c>
      <c r="D115" s="2"/>
      <c r="E115" s="2" t="s">
        <v>1860</v>
      </c>
      <c r="F115" s="2" t="s">
        <v>1688</v>
      </c>
      <c r="G115" s="2" t="s">
        <v>1861</v>
      </c>
    </row>
    <row r="116" spans="1:7" ht="375" x14ac:dyDescent="0.25">
      <c r="A116" s="2" t="s">
        <v>794</v>
      </c>
      <c r="B116" s="2" t="s">
        <v>624</v>
      </c>
      <c r="C116" s="1" t="s">
        <v>1862</v>
      </c>
      <c r="D116" s="2"/>
      <c r="E116" s="2" t="s">
        <v>1863</v>
      </c>
      <c r="F116" s="2" t="s">
        <v>1689</v>
      </c>
      <c r="G116" s="2" t="s">
        <v>1762</v>
      </c>
    </row>
    <row r="117" spans="1:7" ht="409.5" x14ac:dyDescent="0.25">
      <c r="A117" s="2" t="s">
        <v>1690</v>
      </c>
      <c r="B117" s="2" t="s">
        <v>624</v>
      </c>
      <c r="C117" s="1" t="s">
        <v>1864</v>
      </c>
      <c r="D117" s="2"/>
      <c r="E117" s="2" t="s">
        <v>1865</v>
      </c>
      <c r="F117" s="2" t="s">
        <v>1691</v>
      </c>
      <c r="G117" s="2" t="s">
        <v>1763</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1764</v>
      </c>
    </row>
    <row r="121" spans="1:7" ht="330" x14ac:dyDescent="0.25">
      <c r="A121" s="2" t="s">
        <v>1596</v>
      </c>
      <c r="B121" s="2" t="s">
        <v>624</v>
      </c>
      <c r="C121" s="1" t="s">
        <v>1597</v>
      </c>
      <c r="D121" s="2"/>
      <c r="E121" s="2" t="s">
        <v>1598</v>
      </c>
      <c r="F121" s="2" t="s">
        <v>1599</v>
      </c>
      <c r="G121" s="2" t="s">
        <v>1765</v>
      </c>
    </row>
    <row r="122" spans="1:7" ht="405" x14ac:dyDescent="0.25">
      <c r="A122" s="2" t="s">
        <v>1766</v>
      </c>
      <c r="B122" s="2" t="s">
        <v>624</v>
      </c>
      <c r="C122" s="1" t="s">
        <v>1600</v>
      </c>
      <c r="D122" s="2"/>
      <c r="E122" s="2" t="s">
        <v>1601</v>
      </c>
      <c r="F122" s="2" t="s">
        <v>1602</v>
      </c>
      <c r="G122" s="2" t="s">
        <v>1767</v>
      </c>
    </row>
    <row r="123" spans="1:7" ht="405" x14ac:dyDescent="0.25">
      <c r="A123" s="2" t="s">
        <v>1768</v>
      </c>
      <c r="B123" s="2" t="s">
        <v>624</v>
      </c>
      <c r="C123" s="1" t="s">
        <v>1843</v>
      </c>
      <c r="D123" s="2"/>
      <c r="E123" s="2" t="s">
        <v>1769</v>
      </c>
      <c r="F123" s="2" t="s">
        <v>1603</v>
      </c>
      <c r="G123" s="2" t="s">
        <v>1770</v>
      </c>
    </row>
    <row r="124" spans="1:7" ht="409.5" x14ac:dyDescent="0.25">
      <c r="A124" s="2" t="s">
        <v>851</v>
      </c>
      <c r="B124" s="2" t="s">
        <v>624</v>
      </c>
      <c r="C124" s="1" t="s">
        <v>1771</v>
      </c>
      <c r="D124" s="2"/>
      <c r="E124" s="2" t="s">
        <v>1772</v>
      </c>
      <c r="F124" s="2" t="s">
        <v>852</v>
      </c>
      <c r="G124" s="2" t="s">
        <v>1773</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1938</v>
      </c>
      <c r="B128" s="2" t="s">
        <v>624</v>
      </c>
      <c r="C128" s="1" t="s">
        <v>1939</v>
      </c>
      <c r="D128" s="2"/>
      <c r="E128" s="2" t="s">
        <v>1940</v>
      </c>
      <c r="F128" s="2" t="s">
        <v>1941</v>
      </c>
      <c r="G128" s="2" t="s">
        <v>1942</v>
      </c>
    </row>
    <row r="129" spans="1:7" ht="225" x14ac:dyDescent="0.25">
      <c r="A129" s="2" t="s">
        <v>1812</v>
      </c>
      <c r="B129" s="2" t="s">
        <v>785</v>
      </c>
      <c r="C129" s="1" t="s">
        <v>1813</v>
      </c>
      <c r="D129" s="2" t="s">
        <v>1814</v>
      </c>
      <c r="E129" s="2" t="s">
        <v>1815</v>
      </c>
      <c r="F129" s="2" t="s">
        <v>1816</v>
      </c>
      <c r="G129" s="2" t="s">
        <v>1817</v>
      </c>
    </row>
    <row r="130" spans="1:7" ht="60" x14ac:dyDescent="0.25">
      <c r="A130" s="2" t="s">
        <v>1818</v>
      </c>
      <c r="B130" s="2" t="s">
        <v>785</v>
      </c>
      <c r="C130" s="1" t="s">
        <v>1819</v>
      </c>
      <c r="D130" s="2" t="s">
        <v>1820</v>
      </c>
      <c r="E130" s="2" t="s">
        <v>1821</v>
      </c>
      <c r="F130" s="2" t="s">
        <v>1822</v>
      </c>
      <c r="G130" s="2" t="s">
        <v>1823</v>
      </c>
    </row>
    <row r="131" spans="1:7" ht="60" x14ac:dyDescent="0.25">
      <c r="A131" s="2" t="s">
        <v>1824</v>
      </c>
      <c r="B131" s="2" t="s">
        <v>785</v>
      </c>
      <c r="C131" s="1" t="s">
        <v>1825</v>
      </c>
      <c r="D131" s="2" t="s">
        <v>1826</v>
      </c>
      <c r="E131" s="2" t="s">
        <v>1827</v>
      </c>
      <c r="F131" s="2" t="s">
        <v>1828</v>
      </c>
      <c r="G131" s="2" t="s">
        <v>1829</v>
      </c>
    </row>
    <row r="132" spans="1:7" ht="60" x14ac:dyDescent="0.25">
      <c r="A132" s="2" t="s">
        <v>1830</v>
      </c>
      <c r="B132" s="2" t="s">
        <v>785</v>
      </c>
      <c r="C132" s="1" t="s">
        <v>1831</v>
      </c>
      <c r="D132" s="2" t="s">
        <v>1832</v>
      </c>
      <c r="E132" s="2" t="s">
        <v>1833</v>
      </c>
      <c r="F132" s="2" t="s">
        <v>1834</v>
      </c>
      <c r="G132" s="2" t="s">
        <v>1835</v>
      </c>
    </row>
    <row r="133" spans="1:7" ht="60" x14ac:dyDescent="0.25">
      <c r="A133" s="2" t="s">
        <v>1836</v>
      </c>
      <c r="B133" s="2" t="s">
        <v>785</v>
      </c>
      <c r="C133" s="1" t="s">
        <v>1837</v>
      </c>
      <c r="D133" s="2" t="s">
        <v>1838</v>
      </c>
      <c r="E133" s="2" t="s">
        <v>1839</v>
      </c>
      <c r="F133" s="2" t="s">
        <v>1840</v>
      </c>
      <c r="G133" s="2" t="s">
        <v>1841</v>
      </c>
    </row>
    <row r="134" spans="1:7" ht="315" x14ac:dyDescent="0.25">
      <c r="A134" s="2" t="s">
        <v>1872</v>
      </c>
      <c r="B134" s="2" t="s">
        <v>785</v>
      </c>
      <c r="C134" s="1" t="s">
        <v>1873</v>
      </c>
      <c r="D134" s="2" t="s">
        <v>1874</v>
      </c>
      <c r="E134" s="2" t="s">
        <v>1875</v>
      </c>
      <c r="F134" s="2" t="s">
        <v>1876</v>
      </c>
      <c r="G134" s="2" t="s">
        <v>1877</v>
      </c>
    </row>
    <row r="135" spans="1:7" ht="360" x14ac:dyDescent="0.25">
      <c r="A135" s="2" t="s">
        <v>1878</v>
      </c>
      <c r="B135" s="2" t="s">
        <v>785</v>
      </c>
      <c r="C135" s="1" t="s">
        <v>1879</v>
      </c>
      <c r="D135" s="2" t="s">
        <v>1880</v>
      </c>
      <c r="E135" s="2" t="s">
        <v>1881</v>
      </c>
      <c r="F135" s="2" t="s">
        <v>1882</v>
      </c>
      <c r="G135" s="2" t="s">
        <v>1883</v>
      </c>
    </row>
    <row r="136" spans="1:7" ht="409.5" x14ac:dyDescent="0.25">
      <c r="A136" s="2" t="s">
        <v>1884</v>
      </c>
      <c r="B136" s="2" t="s">
        <v>785</v>
      </c>
      <c r="C136" s="1" t="s">
        <v>1917</v>
      </c>
      <c r="D136" s="2" t="s">
        <v>1885</v>
      </c>
      <c r="E136" s="2" t="s">
        <v>1886</v>
      </c>
      <c r="F136" s="2" t="s">
        <v>1887</v>
      </c>
      <c r="G136" s="2" t="s">
        <v>1918</v>
      </c>
    </row>
    <row r="137" spans="1:7" ht="300" x14ac:dyDescent="0.25">
      <c r="A137" s="2" t="s">
        <v>1919</v>
      </c>
      <c r="B137" s="2" t="s">
        <v>785</v>
      </c>
      <c r="C137" s="1" t="s">
        <v>1920</v>
      </c>
      <c r="D137" s="2" t="s">
        <v>1921</v>
      </c>
      <c r="E137" s="2" t="s">
        <v>1922</v>
      </c>
      <c r="F137" s="2" t="s">
        <v>1923</v>
      </c>
      <c r="G137" s="2" t="s">
        <v>1924</v>
      </c>
    </row>
    <row r="138" spans="1:7" ht="375" x14ac:dyDescent="0.25">
      <c r="A138" s="2" t="s">
        <v>1888</v>
      </c>
      <c r="B138" s="2" t="s">
        <v>785</v>
      </c>
      <c r="C138" s="1" t="s">
        <v>1925</v>
      </c>
      <c r="D138" s="2" t="s">
        <v>1926</v>
      </c>
      <c r="E138" s="2" t="s">
        <v>1889</v>
      </c>
      <c r="F138" s="2" t="s">
        <v>1890</v>
      </c>
      <c r="G138" s="2" t="s">
        <v>1927</v>
      </c>
    </row>
    <row r="139" spans="1:7" ht="409.5" x14ac:dyDescent="0.25">
      <c r="A139" s="2" t="s">
        <v>1891</v>
      </c>
      <c r="B139" s="2" t="s">
        <v>785</v>
      </c>
      <c r="C139" s="1" t="s">
        <v>1928</v>
      </c>
      <c r="D139" s="2" t="s">
        <v>1929</v>
      </c>
      <c r="E139" s="2" t="s">
        <v>1892</v>
      </c>
      <c r="F139" s="2" t="s">
        <v>1893</v>
      </c>
      <c r="G139" s="2" t="s">
        <v>1930</v>
      </c>
    </row>
    <row r="140" spans="1:7" ht="375" x14ac:dyDescent="0.25">
      <c r="A140" s="2" t="s">
        <v>1894</v>
      </c>
      <c r="B140" s="2" t="s">
        <v>785</v>
      </c>
      <c r="C140" s="1" t="s">
        <v>1895</v>
      </c>
      <c r="D140" s="2" t="s">
        <v>1931</v>
      </c>
      <c r="E140" s="2" t="s">
        <v>1896</v>
      </c>
      <c r="F140" s="2" t="s">
        <v>1897</v>
      </c>
      <c r="G140" s="2" t="s">
        <v>1898</v>
      </c>
    </row>
    <row r="141" spans="1:7" ht="375" x14ac:dyDescent="0.25">
      <c r="A141" s="2" t="s">
        <v>1899</v>
      </c>
      <c r="B141" s="2" t="s">
        <v>785</v>
      </c>
      <c r="C141" s="1" t="s">
        <v>1932</v>
      </c>
      <c r="D141" s="2" t="s">
        <v>1926</v>
      </c>
      <c r="E141" s="2" t="s">
        <v>1900</v>
      </c>
      <c r="F141" s="2" t="s">
        <v>1901</v>
      </c>
      <c r="G141" s="2" t="s">
        <v>1933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2026-08-06T11:55:03Z</dcterms:modified>
</cp:coreProperties>
</file>