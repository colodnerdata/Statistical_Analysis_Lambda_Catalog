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AFF8744D-922C-4735-B353-2D99CC2FFCB7}" xr6:coauthVersionLast="47" xr6:coauthVersionMax="47" xr10:uidLastSave="{00000000-0000-0000-0000-000000000000}"/>
  <bookViews>
    <workbookView xWindow="-120" yWindow="-120" windowWidth="29040" windowHeight="15720" xr2:uid="{81B942E5-0033-4148-9F57-6D9B583AA62D}"/>
  </bookViews>
  <sheets>
    <sheet name="LAMBDA_functions" sheetId="1" r:id="rId1"/>
    <sheet name="Life Expectancy Data" sheetId="2" r:id="rId2"/>
    <sheet name="Regression" sheetId="3" r:id="rId3"/>
  </sheets>
  <definedNames>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2">LifeExpectancyData[[Adult Mortality]:[Schooling]]</definedName>
    <definedName name="Allow_Intercept" localSheetId="2">Regression!$B$2</definedName>
    <definedName name="alpha" localSheetId="2">Regression!$M$12</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2">_xlfn.LAMBDA(_xlpm.All_Xs,TRANSPOSE(_xlfn.CHOOSECOLS(OFFSET(_xlpm.All_Xs,-1,0,1,COLUMNS(_xlpm.All_Xs)),Regression!Selected_Col_Nums(_xlpm.All_Xs))))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il" localSheetId="2">LifeExpectancyData[Full_Data]</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2">_xlfn._TRO_TRAILING(Regression!$B$3:$B$16000)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2">Regression!$U$12:INDEX(Regression!$U:$U,12+COLUMNS(Regression!x_s))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elected_Col_Nums" localSheetId="2">_xlfn.LAMBDA(_xlpm.All_Xs,_xlfn.LET(_xlpm.selected,_xlfn._xlws.FILTER(_xlfn.SEQUENCE(COLUMNS(_xlpm.All_Xs)),Regression!$B$3:INDEX(Regression!$B:$B,2+COLUMNS(_xlpm.All_Xs))),IFERROR(_xlpm.selected,1)))</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2">_xlfn.CHOOSECOLS(Regression!All_Xs,Regression!Selected_Col_Nums(Regression!All_Xs))</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23" i="3" l="1"/>
  <c r="Q17" i="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R21" i="3" a="1"/>
  <c r="Q21" i="3" a="1"/>
  <c r="P21" i="3" a="1"/>
  <c r="O21" i="3" a="1"/>
  <c r="N21" i="3" a="1"/>
  <c r="M21" i="3" a="1"/>
  <c r="L21" i="3" a="1"/>
  <c r="N17" i="3" a="1"/>
  <c r="M17" i="3" a="1"/>
  <c r="O16" i="3" a="1"/>
  <c r="N16" i="3" a="1"/>
  <c r="M16" i="3" a="1"/>
  <c r="Q15" i="3" a="1"/>
  <c r="P15" i="3" a="1"/>
  <c r="O15" i="3" a="1"/>
  <c r="N15" i="3" a="1"/>
  <c r="M15" i="3" a="1"/>
  <c r="U12" i="3"/>
  <c r="P10" i="3" a="1"/>
  <c r="P9" i="3" a="1"/>
  <c r="U8" i="3" a="1"/>
  <c r="P8" i="3" a="1"/>
  <c r="M8" i="3" a="1"/>
  <c r="U7" i="3" a="1"/>
  <c r="P7" i="3" a="1"/>
  <c r="M7" i="3" a="1"/>
  <c r="U6" i="3" a="1"/>
  <c r="P6" i="3" a="1"/>
  <c r="M6" i="3" a="1"/>
  <c r="U5" i="3" a="1"/>
  <c r="P5" i="3" a="1"/>
  <c r="M5" i="3" a="1"/>
  <c r="U4" i="3" a="1"/>
  <c r="P4" i="3" a="1"/>
  <c r="M4" i="3" a="1"/>
  <c r="AI3" i="3" a="1"/>
  <c r="AH3" i="3" a="1"/>
  <c r="AG3" i="3" a="1"/>
  <c r="AF3" i="3" a="1"/>
  <c r="AE3" i="3" a="1"/>
  <c r="AD3" i="3" a="1"/>
  <c r="AC3" i="3" a="1"/>
  <c r="AB3" i="3" a="1"/>
  <c r="AA3" i="3" a="1"/>
  <c r="Z3" i="3" a="1"/>
  <c r="Y3" i="3" a="1"/>
  <c r="X3" i="3" a="1"/>
  <c r="W3" i="3" a="1"/>
  <c r="U3" i="3" a="1"/>
  <c r="J3" i="3" a="1"/>
  <c r="I3" i="3" a="1"/>
  <c r="H3" i="3" a="1"/>
  <c r="G3" i="3" a="1"/>
  <c r="F3" i="3" a="1"/>
  <c r="E3" i="3" a="1"/>
  <c r="D3" i="3"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<sst xmlns="http://schemas.openxmlformats.org/spreadsheetml/2006/main" count="6293" uniqueCount="524">
  <si>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</si>
  <si>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</si>
  <si>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</si>
  <si>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</si>
  <si>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</si>
  <si>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</si>
  <si>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</si>
  <si>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</si>
  <si>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</si>
  <si>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</si>
  <si>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</si>
  <si>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</si>
  <si>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</si>
  <si>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</si>
  <si>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</si>
  <si>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</si>
  <si>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</si>
  <si>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</si>
  <si>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</si>
  <si>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</si>
  <si>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</si>
  <si>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</si>
  <si>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</si>
  <si>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</si>
  <si>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</si>
  <si>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</si>
  <si>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</si>
  <si>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</si>
  <si>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</si>
  <si>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</si>
  <si>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</si>
  <si>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</si>
  <si>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</si>
  <si>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</si>
  <si>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</si>
  <si>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</si>
  <si>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</si>
  <si>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</si>
  <si>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</si>
  <si>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</si>
  <si>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</si>
  <si>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</si>
  <si>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</si>
  <si>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</si>
  <si>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</si>
  <si>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</si>
  <si>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</si>
  <si>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</si>
  <si>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</si>
  <si>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</si>
  <si>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</si>
  <si>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</si>
  <si>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</si>
  <si>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</si>
  <si>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</si>
  <si>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</si>
  <si>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</si>
  <si>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</si>
  <si>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</si>
  <si>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</si>
  <si>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</si>
  <si>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</si>
  <si>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</si>
  <si>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</si>
  <si>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</si>
  <si>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</si>
  <si>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</si>
  <si>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</si>
  <si>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</si>
  <si>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</si>
  <si>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</si>
  <si>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</si>
  <si>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</si>
  <si>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</si>
  <si>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</si>
  <si>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</si>
  <si>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</si>
  <si>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</si>
  <si>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</si>
  <si>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</si>
  <si>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</si>
  <si>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</si>
  <si>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</si>
  <si>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</si>
  <si>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</si>
  <si>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</si>
  <si>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</si>
  <si>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</si>
  <si>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</si>
  <si>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</si>
  <si>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</si>
  <si>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</si>
  <si>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</si>
  <si>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</si>
  <si>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</si>
  <si>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</si>
  <si>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</si>
  <si>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</si>
  <si>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</si>
  <si>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</si>
  <si>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</si>
  <si>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</si>
  <si>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</si>
  <si>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</si>
  <si>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</si>
  <si>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</si>
  <si>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</si>
  <si>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</si>
  <si>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</si>
  <si>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</si>
  <si>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</si>
  <si>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</si>
  <si>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</si>
  <si>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</si>
  <si>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</si>
  <si>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</si>
  <si>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</si>
  <si>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</si>
  <si>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</si>
  <si>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</si>
  <si>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</si>
  <si>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</si>
  <si>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</si>
  <si>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</si>
  <si>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</si>
  <si>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</si>
  <si>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</si>
  <si>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</si>
  <si>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</si>
  <si>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</si>
  <si>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</si>
  <si>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</si>
  <si>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</si>
  <si>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</si>
  <si>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</si>
  <si>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</si>
  <si>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</si>
  <si>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</si>
  <si>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</si>
  <si>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</si>
  <si>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</si>
  <si>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</si>
  <si>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</si>
  <si>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</si>
  <si>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</si>
  <si>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</si>
  <si>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</si>
  <si>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</si>
  <si>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</si>
  <si>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</si>
  <si>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</si>
  <si>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</si>
  <si>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</si>
  <si>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</si>
  <si>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</si>
  <si>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</si>
  <si>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</si>
  <si>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</si>
  <si>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</si>
  <si>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</si>
  <si>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</si>
  <si>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</si>
  <si>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</si>
  <si>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</si>
  <si>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</si>
  <si>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</si>
  <si>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</si>
  <si>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</si>
  <si>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</si>
  <si>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</si>
  <si>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</si>
  <si>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</si>
  <si>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</si>
  <si>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</si>
  <si>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</si>
  <si>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</si>
  <si>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</si>
  <si>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</si>
  <si>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</si>
  <si>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</si>
  <si>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</si>
  <si>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</si>
  <si>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</si>
  <si>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</si>
  <si>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</si>
  <si>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</si>
  <si>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</si>
  <si>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</si>
  <si>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</si>
  <si>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</si>
  <si>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</si>
  <si>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</si>
  <si>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</si>
  <si>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</si>
  <si>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</si>
  <si>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</si>
  <si>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</si>
  <si>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</si>
  <si>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</si>
  <si>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</si>
  <si>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</si>
  <si>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</si>
  <si>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</si>
  <si>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</si>
  <si>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</si>
  <si>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</si>
  <si>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</si>
  <si>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</si>
  <si>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</si>
  <si>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</si>
  <si>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</si>
  <si>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</si>
  <si>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</si>
  <si>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</si>
  <si>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</si>
  <si>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</si>
  <si>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</si>
  <si>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</si>
  <si>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</si>
  <si>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</si>
  <si>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</si>
  <si>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</si>
  <si>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</si>
  <si>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</si>
  <si>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</si>
  <si>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</si>
  <si>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</si>
  <si>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</si>
  <si>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</si>
  <si>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</si>
  <si>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</si>
  <si>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</si>
  <si>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</si>
  <si>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</si>
  <si>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</si>
  <si>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</si>
  <si>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</si>
  <si>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</si>
  <si>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</si>
  <si>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</si>
  <si>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</si>
  <si>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</si>
  <si>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</si>
  <si>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</si>
  <si>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</si>
  <si>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</si>
  <si>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</si>
  <si>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</si>
  <si>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</si>
  <si>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</si>
  <si>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</si>
  <si>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</si>
  <si>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</si>
  <si>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</si>
  <si>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</si>
  <si>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</si>
  <si>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</si>
  <si>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</si>
  <si>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</si>
  <si>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</si>
  <si>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</si>
  <si>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</si>
  <si>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</si>
  <si>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</si>
  <si>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</si>
  <si>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</si>
  <si>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</si>
  <si>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</si>
  <si>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</si>
  <si>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</si>
  <si>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</si>
  <si>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</si>
  <si>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</si>
  <si>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</si>
  <si>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</si>
  <si>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</si>
  <si>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</si>
  <si>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</si>
  <si>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</si>
  <si>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</si>
  <si>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</si>
  <si>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</si>
  <si>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</si>
  <si>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</si>
  <si>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</si>
  <si>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</si>
  <si>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</si>
  <si>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</si>
  <si>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</si>
  <si>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</si>
  <si>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</si>
  <si>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</si>
  <si>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</si>
  <si>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</si>
  <si>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</si>
  <si>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</si>
  <si>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</si>
  <si>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</si>
  <si>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</si>
  <si>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</si>
  <si>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</si>
  <si>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</si>
  <si>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</si>
  <si>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</si>
  <si>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</si>
  <si>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</si>
  <si>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</si>
  <si>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</si>
  <si>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</si>
  <si>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</si>
  <si>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</si>
  <si>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</si>
  <si>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</si>
  <si>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</si>
  <si>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</si>
  <si>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</si>
  <si>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</si>
  <si>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</si>
  <si>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</si>
  <si>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</si>
  <si>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</si>
  <si>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</si>
  <si>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</si>
  <si>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</si>
  <si>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</si>
  <si>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</si>
  <si>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</si>
  <si>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</si>
  <si>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</si>
  <si>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</si>
  <si>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</si>
  <si>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</si>
  <si>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</si>
  <si>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</si>
  <si>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</si>
  <si>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</si>
  <si>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</si>
  <si>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</si>
  <si>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</si>
  <si>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</si>
  <si>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</si>
  <si>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</si>
  <si>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</si>
  <si>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</si>
  <si>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</si>
  <si>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</si>
  <si>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</si>
  <si>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</si>
  <si>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</si>
  <si>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</si>
  <si>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</si>
  <si>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</si>
  <si>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</si>
  <si>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</si>
  <si>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</si>
  <si>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</si>
  <si>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</si>
  <si>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</si>
  <si>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</si>
  <si>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</si>
  <si>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</si>
  <si>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</si>
  <si>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</si>
  <si>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</si>
  <si>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</si>
  <si>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</si>
  <si>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</si>
  <si>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</si>
  <si>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</si>
  <si>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</si>
  <si>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</si>
  <si>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</si>
  <si>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</si>
  <si>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</si>
  <si>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</si>
  <si>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</si>
  <si>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</si>
  <si>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</si>
  <si>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</si>
  <si>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</si>
  <si>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</si>
  <si>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</si>
  <si>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</si>
  <si>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</si>
  <si>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</si>
  <si>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</si>
  <si>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</si>
  <si>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</si>
  <si>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</si>
  <si>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</si>
  <si>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</si>
  <si>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</si>
  <si>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</si>
  <si>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</si>
  <si>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</si>
  <si>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</si>
  <si>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</si>
  <si>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</si>
  <si>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</si>
  <si>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</si>
  <si>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</si>
  <si>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</si>
  <si>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</si>
  <si>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</si>
  <si>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</si>
  <si>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</si>
  <si>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</si>
  <si>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</si>
  <si>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</si>
  <si>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</si>
  <si>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</si>
  <si>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</si>
  <si>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</si>
  <si>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</si>
  <si>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</si>
  <si>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</si>
  <si>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</si>
  <si>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</si>
  <si>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</si>
  <si>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</si>
  <si>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</si>
  <si>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</si>
  <si>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</si>
  <si>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</si>
  <si>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</si>
  <si>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</si>
  <si>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</si>
  <si>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</si>
  <si>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</si>
  <si>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</si>
  <si>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</si>
  <si>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</si>
  <si>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</si>
  <si>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</si>
  <si>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</si>
  <si>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</si>
  <si>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</si>
  <si>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</si>
  <si>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</si>
  <si>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</si>
  <si>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</si>
  <si>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</si>
  <si>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</si>
  <si>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</si>
  <si>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</si>
  <si>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</si>
  <si>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</si>
  <si>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</si>
  <si>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</si>
  <si>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</si>
  <si>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</si>
  <si>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</si>
  <si>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</si>
  <si>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</si>
  <si>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</si>
  <si>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</si>
  <si>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</si>
  <si>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</si>
  <si>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</si>
  <si>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</si>
  <si>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</si>
  <si>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</si>
  <si>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</si>
  <si>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</si>
  <si>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</si>
  <si>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</si>
  <si>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</si>
  <si>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</si>
  <si>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</si>
  <si>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</si>
  <si>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</si>
  <si>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</si>
  <si>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</si>
  <si>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</si>
  <si>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</si>
  <si>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</si>
  <si>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</si>
  <si>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</si>
  <si>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</si>
  <si>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</si>
  <si>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</si>
  <si>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</si>
  <si>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</si>
  <si>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</si>
  <si>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</si>
  <si>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</si>
  <si>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</si>
  <si>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</si>
  <si>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</si>
  <si>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</si>
  <si>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</si>
  <si>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</si>
  <si>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</si>
  <si>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</si>
  <si>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</si>
  <si>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</si>
  <si>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</si>
  <si>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</si>
  <si>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</si>
  <si>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</si>
  <si>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</si>
  <si>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</si>
  <si>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</si>
  <si>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</si>
  <si>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</si>
  <si>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</si>
  <si>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</si>
  <si>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</si>
  <si>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</si>
  <si>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Observation</t>
  </si>
  <si>
    <t>Predicted Y</t>
  </si>
  <si>
    <t>LOOCV Prediction</t>
  </si>
  <si>
    <t>Rank Fraction</t>
  </si>
  <si>
    <t>Y Ranked</t>
  </si>
  <si>
    <t>Normal Scores</t>
  </si>
  <si>
    <t>Scaled Residuals</t>
  </si>
  <si>
    <t>Scaled Residuals Ranked</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</si>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</sst>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18">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1" fillId="2" borderId="7" xfId="0" applyFont="1" applyFill="1" applyBorder="1"/>
    <xf numFmtId="0" fontId="0" fillId="0" borderId="8" xfId="0" applyBorder="1"/>
    <xf numFmtId="0" fontId="1" fillId="0" borderId="6" xfId="0" applyFont="1" applyBorder="1"/>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EF1B28-CF3C-4EAC-B5B7-5CDC878A423D}" name="LAMBDAFunctionsCatalog" displayName="LAMBDAFunctionsCatalog" ref="A1:E58" totalsRowShown="0" headerRowDxfId="6" dataDxfId="5">
  <autoFilter ref="A1:E58" xr:uid="{F1EF1B28-CF3C-4EAC-B5B7-5CDC878A423D}"/>
  <tableColumns count="5">
    <tableColumn id="1" xr3:uid="{4ED6D381-CCF6-4EE3-921B-A5ABCD03092A}" name="Function Name" dataDxfId="4"/>
    <tableColumn id="2" xr3:uid="{2AE2A552-7E0E-42C0-82F8-1DAED9732D90}" name="Definition" dataDxfId="3"/>
    <tableColumn id="3" xr3:uid="{01096926-FF09-4D5B-A669-CAD606190B52}" name="Arguments" dataDxfId="2"/>
    <tableColumn id="4" xr3:uid="{2AA3728E-D30B-44AD-85A7-05B0A91F9A78}" name="Yields" dataDxfId="1"/>
    <tableColumn id="5" xr3:uid="{7190A8E2-77EF-4C32-BEAA-CEEB703EC952}" name="Description"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DEB2C-4CAF-4049-8B34-35CF10CE7283}" name="LifeExpectancyData" displayName="LifeExpectancyData" ref="A1:W2939" totalsRowShown="0">
  <autoFilter ref="A1:W2939" xr:uid="{6A8DEB2C-4CAF-4049-8B34-35CF10CE7283}"/>
  <tableColumns count="23">
    <tableColumn id="1" xr3:uid="{5A9F35E4-C6C8-408F-BC37-F6A435B69D18}" name="Country"/>
    <tableColumn id="2" xr3:uid="{4BEF3D48-5D22-4E51-AB5D-E95AE585ED19}" name="Year"/>
    <tableColumn id="3" xr3:uid="{C30803C7-371B-426D-AA21-A0F8AFAD2CF7}" name="Status"/>
    <tableColumn id="4" xr3:uid="{B258F3E6-393F-43D5-8A23-C07DE5CCC9F5}" name="Life expectancy"/>
    <tableColumn id="5" xr3:uid="{46E4FBA1-BEDC-446E-8FF8-05CA5786F93A}" name="Adult Mortality"/>
    <tableColumn id="6" xr3:uid="{5CBF4E35-ED3C-4275-8B9E-3079E4867716}" name="infant deaths"/>
    <tableColumn id="7" xr3:uid="{5044E38F-730C-4672-8635-CD3E170E2087}" name="Alcohol"/>
    <tableColumn id="8" xr3:uid="{5631EAF9-BDA1-4533-8A92-0D2AC9C6470F}" name="percentage expenditure"/>
    <tableColumn id="9" xr3:uid="{681748AC-EB1D-4554-B283-7F5B36F5662D}" name="Hepatitis B"/>
    <tableColumn id="10" xr3:uid="{A9F3384B-68FD-40F3-8548-FCCCA6935EDD}" name="Measles"/>
    <tableColumn id="11" xr3:uid="{7A639EA3-0C63-41CA-B571-B6C029B19BE5}" name="BMI"/>
    <tableColumn id="12" xr3:uid="{73F950F6-5AC9-4930-BD03-100257EFF912}" name="under-five deaths"/>
    <tableColumn id="13" xr3:uid="{AF3DAEF7-B8F1-4851-A5FA-0A7EFF98DFA7}" name="Polio"/>
    <tableColumn id="14" xr3:uid="{C1D9F3C2-DD02-4879-A7FF-95574077C776}" name="Total expenditure"/>
    <tableColumn id="15" xr3:uid="{5B197989-B8CA-4D8D-B309-31A19D896F19}" name="Diphtheria"/>
    <tableColumn id="16" xr3:uid="{104FE792-DEFB-4CAD-81D0-797F9AEA6745}" name="HIV/AIDS"/>
    <tableColumn id="17" xr3:uid="{7ACBBA4E-73A9-4E22-9C1C-187C253A1016}" name="GDP"/>
    <tableColumn id="18" xr3:uid="{0398D011-4B96-4A5C-B363-85B9C5BFC133}" name="Population"/>
    <tableColumn id="19" xr3:uid="{96FCACAD-BBE3-41E7-90D6-B3F8B5A23E4A}" name="thinness 1-19 years"/>
    <tableColumn id="20" xr3:uid="{E1C66EA9-B0E7-423A-83B7-64DD49DE4E23}" name="thinness 5-9 years"/>
    <tableColumn id="21" xr3:uid="{4ECD1CB1-2E67-41D3-9DF4-139D04DAB89F}" name="Income composition of resources"/>
    <tableColumn id="22" xr3:uid="{93EAEEAD-06F3-4B13-8DB2-A55E328E1C4C}" name="Schooling"/>
    <tableColumn id="23" xr3:uid="{BE29BD5E-8F23-4FED-84E9-FFF641E5543B}"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58"/>
  <sheetViews>
    <sheetView tabSelected="1" workbookViewId="0">
      <pane ySplit="1" topLeftCell="A56"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120" x14ac:dyDescent="0.25">
      <c r="A35" s="2" t="s">
        <v>145</v>
      </c>
      <c r="B35" s="1" t="s">
        <v>146</v>
      </c>
      <c r="C35" s="2" t="s">
        <v>7</v>
      </c>
      <c r="D35" s="2" t="s">
        <v>147</v>
      </c>
      <c r="E35" s="2" t="s">
        <v>148</v>
      </c>
    </row>
    <row r="36" spans="1:5" ht="165" x14ac:dyDescent="0.25">
      <c r="A36" s="2" t="s">
        <v>149</v>
      </c>
      <c r="B36" s="1" t="s">
        <v>150</v>
      </c>
      <c r="C36" s="2" t="s">
        <v>151</v>
      </c>
      <c r="D36" s="2" t="s">
        <v>152</v>
      </c>
      <c r="E36" s="2" t="s">
        <v>153</v>
      </c>
    </row>
    <row r="37" spans="1:5" ht="105" x14ac:dyDescent="0.25">
      <c r="A37" s="2" t="s">
        <v>154</v>
      </c>
      <c r="B37" s="1" t="s">
        <v>155</v>
      </c>
      <c r="C37" s="2" t="s">
        <v>156</v>
      </c>
      <c r="D37" s="2" t="s">
        <v>157</v>
      </c>
      <c r="E37" s="2" t="s">
        <v>158</v>
      </c>
    </row>
    <row r="38" spans="1:5" ht="135" x14ac:dyDescent="0.25">
      <c r="A38" s="2" t="s">
        <v>159</v>
      </c>
      <c r="B38" s="1" t="s">
        <v>160</v>
      </c>
      <c r="C38" s="2" t="s">
        <v>22</v>
      </c>
      <c r="D38" s="2" t="s">
        <v>161</v>
      </c>
      <c r="E38" s="2" t="s">
        <v>162</v>
      </c>
    </row>
    <row r="39" spans="1:5" ht="120" x14ac:dyDescent="0.25">
      <c r="A39" s="2" t="s">
        <v>163</v>
      </c>
      <c r="B39" s="1" t="s">
        <v>164</v>
      </c>
      <c r="C39" s="2" t="s">
        <v>22</v>
      </c>
      <c r="D39" s="2" t="s">
        <v>165</v>
      </c>
      <c r="E39" s="2" t="s">
        <v>166</v>
      </c>
    </row>
    <row r="40" spans="1:5" ht="120" x14ac:dyDescent="0.25">
      <c r="A40" s="2" t="s">
        <v>167</v>
      </c>
      <c r="B40" s="1" t="s">
        <v>168</v>
      </c>
      <c r="C40" s="2" t="s">
        <v>22</v>
      </c>
      <c r="D40" s="2" t="s">
        <v>169</v>
      </c>
      <c r="E40" s="2" t="s">
        <v>170</v>
      </c>
    </row>
    <row r="41" spans="1:5" ht="105" x14ac:dyDescent="0.25">
      <c r="A41" s="2" t="s">
        <v>171</v>
      </c>
      <c r="B41" s="1" t="s">
        <v>172</v>
      </c>
      <c r="C41" s="2" t="s">
        <v>173</v>
      </c>
      <c r="D41" s="2" t="s">
        <v>174</v>
      </c>
      <c r="E41" s="2" t="s">
        <v>175</v>
      </c>
    </row>
    <row r="42" spans="1:5" ht="210" x14ac:dyDescent="0.25">
      <c r="A42" s="2" t="s">
        <v>176</v>
      </c>
      <c r="B42" s="1" t="s">
        <v>177</v>
      </c>
      <c r="C42" s="2" t="s">
        <v>178</v>
      </c>
      <c r="D42" s="2" t="s">
        <v>179</v>
      </c>
      <c r="E42" s="2" t="s">
        <v>180</v>
      </c>
    </row>
    <row r="43" spans="1:5" ht="195" x14ac:dyDescent="0.25">
      <c r="A43" s="2" t="s">
        <v>181</v>
      </c>
      <c r="B43" s="1" t="s">
        <v>182</v>
      </c>
      <c r="C43" s="2" t="s">
        <v>183</v>
      </c>
      <c r="D43" s="2" t="s">
        <v>184</v>
      </c>
      <c r="E43" s="2" t="s">
        <v>185</v>
      </c>
    </row>
    <row r="44" spans="1:5" ht="150" x14ac:dyDescent="0.25">
      <c r="A44" s="2" t="s">
        <v>186</v>
      </c>
      <c r="B44" s="1" t="s">
        <v>187</v>
      </c>
      <c r="C44" s="2" t="s">
        <v>22</v>
      </c>
      <c r="D44" s="2" t="s">
        <v>188</v>
      </c>
      <c r="E44" s="2" t="s">
        <v>189</v>
      </c>
    </row>
    <row r="45" spans="1:5" ht="150" x14ac:dyDescent="0.25">
      <c r="A45" s="2" t="s">
        <v>190</v>
      </c>
      <c r="B45" s="1" t="s">
        <v>191</v>
      </c>
      <c r="C45" s="2" t="s">
        <v>151</v>
      </c>
      <c r="D45" s="2" t="s">
        <v>192</v>
      </c>
      <c r="E45" s="2" t="s">
        <v>193</v>
      </c>
    </row>
    <row r="46" spans="1:5" ht="135" x14ac:dyDescent="0.25">
      <c r="A46" s="2" t="s">
        <v>194</v>
      </c>
      <c r="B46" s="1" t="s">
        <v>195</v>
      </c>
      <c r="C46" s="2" t="s">
        <v>22</v>
      </c>
      <c r="D46" s="2" t="s">
        <v>196</v>
      </c>
      <c r="E46" s="2" t="s">
        <v>197</v>
      </c>
    </row>
    <row r="47" spans="1:5" ht="120" x14ac:dyDescent="0.25">
      <c r="A47" s="2" t="s">
        <v>198</v>
      </c>
      <c r="B47" s="1" t="s">
        <v>199</v>
      </c>
      <c r="C47" s="2" t="s">
        <v>22</v>
      </c>
      <c r="D47" s="2" t="s">
        <v>200</v>
      </c>
      <c r="E47" s="2" t="s">
        <v>201</v>
      </c>
    </row>
    <row r="48" spans="1:5" ht="135" x14ac:dyDescent="0.25">
      <c r="A48" s="2" t="s">
        <v>202</v>
      </c>
      <c r="B48" s="1" t="s">
        <v>203</v>
      </c>
      <c r="C48" s="2" t="s">
        <v>22</v>
      </c>
      <c r="D48" s="2" t="s">
        <v>204</v>
      </c>
      <c r="E48" s="2" t="s">
        <v>205</v>
      </c>
    </row>
    <row r="49" spans="1:5" ht="120" x14ac:dyDescent="0.25">
      <c r="A49" s="2" t="s">
        <v>206</v>
      </c>
      <c r="B49" s="1" t="s">
        <v>207</v>
      </c>
      <c r="C49" s="2" t="s">
        <v>22</v>
      </c>
      <c r="D49" s="2" t="s">
        <v>208</v>
      </c>
      <c r="E49" s="2" t="s">
        <v>209</v>
      </c>
    </row>
    <row r="50" spans="1:5" ht="135" x14ac:dyDescent="0.25">
      <c r="A50" s="2" t="s">
        <v>210</v>
      </c>
      <c r="B50" s="1" t="s">
        <v>211</v>
      </c>
      <c r="C50" s="2" t="s">
        <v>212</v>
      </c>
      <c r="D50" s="2" t="s">
        <v>213</v>
      </c>
      <c r="E50" s="2" t="s">
        <v>214</v>
      </c>
    </row>
    <row r="51" spans="1:5" ht="150" x14ac:dyDescent="0.25">
      <c r="A51" s="2" t="s">
        <v>215</v>
      </c>
      <c r="B51" s="1" t="s">
        <v>216</v>
      </c>
      <c r="C51" s="2" t="s">
        <v>217</v>
      </c>
      <c r="D51" s="2" t="s">
        <v>218</v>
      </c>
      <c r="E51" s="2" t="s">
        <v>219</v>
      </c>
    </row>
    <row r="52" spans="1:5" ht="150" x14ac:dyDescent="0.25">
      <c r="A52" s="2" t="s">
        <v>220</v>
      </c>
      <c r="B52" s="1" t="s">
        <v>221</v>
      </c>
      <c r="C52" s="2" t="s">
        <v>222</v>
      </c>
      <c r="D52" s="2" t="s">
        <v>223</v>
      </c>
      <c r="E52" s="2" t="s">
        <v>224</v>
      </c>
    </row>
    <row r="53" spans="1:5" ht="315" x14ac:dyDescent="0.25">
      <c r="A53" s="2" t="s">
        <v>225</v>
      </c>
      <c r="B53" s="1" t="s">
        <v>521</v>
      </c>
      <c r="C53" s="2" t="s">
        <v>522</v>
      </c>
      <c r="D53" s="2" t="s">
        <v>226</v>
      </c>
      <c r="E53" s="2" t="s">
        <v>523</v>
      </c>
    </row>
    <row r="54" spans="1:5" ht="135" x14ac:dyDescent="0.25">
      <c r="A54" s="2" t="s">
        <v>227</v>
      </c>
      <c r="B54" s="1" t="s">
        <v>228</v>
      </c>
      <c r="C54" s="2" t="s">
        <v>229</v>
      </c>
      <c r="D54" s="2" t="s">
        <v>230</v>
      </c>
      <c r="E54" s="2" t="s">
        <v>231</v>
      </c>
    </row>
    <row r="55" spans="1:5" ht="150" x14ac:dyDescent="0.25">
      <c r="A55" s="2" t="s">
        <v>232</v>
      </c>
      <c r="B55" s="1" t="s">
        <v>233</v>
      </c>
      <c r="C55" s="2" t="s">
        <v>229</v>
      </c>
      <c r="D55" s="2" t="s">
        <v>234</v>
      </c>
      <c r="E55" s="2" t="s">
        <v>235</v>
      </c>
    </row>
    <row r="56" spans="1:5" ht="165" x14ac:dyDescent="0.25">
      <c r="A56" s="2" t="s">
        <v>236</v>
      </c>
      <c r="B56" s="1" t="s">
        <v>237</v>
      </c>
      <c r="C56" s="2" t="s">
        <v>22</v>
      </c>
      <c r="D56" s="2" t="s">
        <v>238</v>
      </c>
      <c r="E56" s="2" t="s">
        <v>239</v>
      </c>
    </row>
    <row r="57" spans="1:5" ht="150" x14ac:dyDescent="0.25">
      <c r="A57" s="2" t="s">
        <v>240</v>
      </c>
      <c r="B57" s="1" t="s">
        <v>241</v>
      </c>
      <c r="C57" s="2" t="s">
        <v>22</v>
      </c>
      <c r="D57" s="2" t="s">
        <v>242</v>
      </c>
      <c r="E57" s="2" t="s">
        <v>243</v>
      </c>
    </row>
    <row r="58" spans="1:5" ht="150" x14ac:dyDescent="0.25">
      <c r="A58" s="2" t="s">
        <v>244</v>
      </c>
      <c r="B58" s="1" t="s">
        <v>245</v>
      </c>
      <c r="C58" s="2" t="s">
        <v>246</v>
      </c>
      <c r="D58" s="2" t="s">
        <v>247</v>
      </c>
      <c r="E58"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I1651"/>
  <sheetViews>
    <sheetView workbookViewId="0">
      <pane ySplit="2" topLeftCell="A3" activePane="bottomLeft" state="frozenSplit"/>
      <selection pane="bottomLeft" activeCell="H23" sqref="H2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20.7109375" customWidth="1"/>
    <col min="21" max="21" width="14.7109375" customWidth="1"/>
    <col min="22" max="22" width="2.7109375" customWidth="1"/>
    <col min="23" max="23" width="12.7109375" customWidth="1"/>
    <col min="24" max="24" width="14.7109375" customWidth="1"/>
    <col min="25" max="25" width="12.7109375" customWidth="1"/>
    <col min="26" max="26" width="18.7109375" customWidth="1"/>
    <col min="27" max="28" width="12.7109375" customWidth="1"/>
    <col min="29" max="29" width="14.7109375" customWidth="1"/>
    <col min="30" max="30" width="16.7109375" customWidth="1"/>
    <col min="31" max="31" width="22.7109375" customWidth="1"/>
    <col min="32" max="32" width="14.7109375" customWidth="1"/>
    <col min="33" max="33" width="22.7109375" customWidth="1"/>
    <col min="34" max="34" width="26.7109375" customWidth="1"/>
    <col min="35" max="35" width="14.7109375" customWidth="1"/>
  </cols>
  <sheetData>
    <row r="1" spans="1:35" x14ac:dyDescent="0.25">
      <c r="A1" s="4" t="s">
        <v>467</v>
      </c>
      <c r="B1" s="3" t="s">
        <v>468</v>
      </c>
      <c r="D1" s="4" t="s">
        <v>470</v>
      </c>
      <c r="L1" s="4" t="s">
        <v>473</v>
      </c>
      <c r="T1" s="15" t="s">
        <v>499</v>
      </c>
      <c r="U1" s="10"/>
      <c r="W1" s="4" t="s">
        <v>508</v>
      </c>
    </row>
    <row r="2" spans="1:35" x14ac:dyDescent="0.25">
      <c r="A2" t="s">
        <v>469</v>
      </c>
      <c r="B2" s="5" t="b">
        <v>0</v>
      </c>
      <c r="D2" s="3"/>
      <c r="E2" s="3" t="s">
        <v>471</v>
      </c>
      <c r="F2" s="3" t="s">
        <v>472</v>
      </c>
      <c r="G2" s="3" t="s">
        <v>227</v>
      </c>
      <c r="H2" s="3" t="s">
        <v>232</v>
      </c>
      <c r="I2" s="3" t="s">
        <v>118</v>
      </c>
      <c r="J2" s="3" t="s">
        <v>123</v>
      </c>
      <c r="T2" s="17" t="s">
        <v>500</v>
      </c>
      <c r="U2" s="11"/>
      <c r="W2" s="3" t="s">
        <v>509</v>
      </c>
      <c r="X2" s="3" t="s">
        <v>510</v>
      </c>
      <c r="Y2" s="3" t="s">
        <v>163</v>
      </c>
      <c r="Z2" s="3" t="s">
        <v>511</v>
      </c>
      <c r="AA2" s="3" t="s">
        <v>512</v>
      </c>
      <c r="AB2" s="3" t="s">
        <v>513</v>
      </c>
      <c r="AC2" s="3" t="s">
        <v>514</v>
      </c>
      <c r="AD2" s="3" t="s">
        <v>515</v>
      </c>
      <c r="AE2" s="3" t="s">
        <v>516</v>
      </c>
      <c r="AF2" s="3" t="s">
        <v>517</v>
      </c>
      <c r="AG2" s="3" t="s">
        <v>518</v>
      </c>
      <c r="AH2" s="3" t="s">
        <v>519</v>
      </c>
      <c r="AI2" s="3" t="s">
        <v>520</v>
      </c>
    </row>
    <row r="3" spans="1:35" x14ac:dyDescent="0.25">
      <c r="A3" t="s">
        <v>253</v>
      </c>
      <c r="B3" s="5" t="b">
        <v>1</v>
      </c>
      <c r="D3" t="str" cm="1">
        <f t="array" aca="1" ref="D3:D20" ca="1">Coefficient_Name_Col(All_Xs)</f>
        <v>Adult Mortality</v>
      </c>
      <c r="E3" s="6" cm="1">
        <f t="array" ref="E3:E20">Pearson_R(x_s,y,fil)</f>
        <v>-0.70252306230697348</v>
      </c>
      <c r="F3" s="6" cm="1">
        <f t="array" ref="F3:F20">Spearman_R(x_s,y,fil)</f>
        <v>-0.65562080697254088</v>
      </c>
      <c r="G3" s="7" cm="1">
        <f t="array" ref="G3:G20">Skewness(x_s,fil)</f>
        <v>1.2764291138226984</v>
      </c>
      <c r="H3" s="7" cm="1">
        <f t="array" ref="H3:H20">Kurtosis(x_s,fil)</f>
        <v>2.4009445877439255</v>
      </c>
      <c r="I3" s="7" cm="1">
        <f t="array" ref="I3:I20">VIF(x_s,Allow_Intercept,fil)</f>
        <v>1.7959837847979341</v>
      </c>
      <c r="J3" s="6" cm="1">
        <f t="array" ref="J3:J20">Tolerance(x_s,Allow_Intercept,fil)</f>
        <v>0.55679790010604679</v>
      </c>
      <c r="L3" s="15" t="s">
        <v>474</v>
      </c>
      <c r="M3" s="10"/>
      <c r="O3" s="15" t="s">
        <v>479</v>
      </c>
      <c r="P3" s="10"/>
      <c r="T3" s="14" t="s">
        <v>501</v>
      </c>
      <c r="U3" s="11" cm="1">
        <f t="array" ref="U3">INDEX(Prediction_Interval(x_s,y,pred_input,Allow_Intercept,fil,alpha),1)</f>
        <v>0</v>
      </c>
      <c r="W3" cm="1">
        <f t="array" ref="W3:W1651">_xlfn.SEQUENCE(Observations(y,fil))</f>
        <v>1</v>
      </c>
      <c r="X3" cm="1">
        <f t="array" ref="X3:X1651">Predictions(x_s,y,Allow_Intercept,fil)</f>
        <v>66.770802387157403</v>
      </c>
      <c r="Y3" cm="1">
        <f t="array" ref="Y3:Y1651">Residuals(x_s,y,Allow_Intercept,fil)</f>
        <v>-1.7708023871574028</v>
      </c>
      <c r="Z3" cm="1">
        <f t="array" ref="Z3:Z1651">LOOCV_prediction(x_s,y,Allow_Intercept,fil)</f>
        <v>66.80264450469268</v>
      </c>
      <c r="AA3" cm="1">
        <f t="array" ref="AA3:AA1651">Rank_Fraction(y,fil)</f>
        <v>0.27289266221952696</v>
      </c>
      <c r="AB3" cm="1">
        <f t="array" ref="AB3:AB1651">Y_Ranked(y,fil)</f>
        <v>44</v>
      </c>
      <c r="AC3" cm="1">
        <f t="array" ref="AC3:AC1651">Normal_Scores(y,fil)</f>
        <v>-0.62335641379693996</v>
      </c>
      <c r="AD3" cm="1">
        <f t="array" ref="AD3:AD1651">Scaled_Residuals(x_s,y,Allow_Intercept,fil)</f>
        <v>-0.23988922003646979</v>
      </c>
      <c r="AE3" cm="1">
        <f t="array" ref="AE3:AE1651">Scaled_Residuals_Ranked(x_s,y,Allow_Intercept,fil)</f>
        <v>-2.9257015669417155</v>
      </c>
      <c r="AF3" cm="1">
        <f t="array" ref="AF3:AF1651">Hat_diagonal(x_s,Allow_Intercept,fil)</f>
        <v>1.7664113724243743E-2</v>
      </c>
      <c r="AG3" cm="1">
        <f t="array" ref="AG3:AG1651">Studentized_Residuals(x_s,y,Allow_Intercept,fil)</f>
        <v>-0.24203642385501425</v>
      </c>
      <c r="AH3" cm="1">
        <f t="array" ref="AH3:AH1651">Studentized_Residuals_Ranked(x_s,y,Allow_Intercept,fil)</f>
        <v>-2.9423839391785425</v>
      </c>
      <c r="AI3" cm="1">
        <f t="array" ref="AI3:AI1651">Cooks_Distance(x_s,y,Allow_Intercept,fil)</f>
        <v>5.8522219972222816E-5</v>
      </c>
    </row>
    <row r="4" spans="1:35" x14ac:dyDescent="0.25">
      <c r="A4" t="s">
        <v>254</v>
      </c>
      <c r="B4" s="5" t="b">
        <v>1</v>
      </c>
      <c r="D4" t="str">
        <f ca="1"/>
        <v>infant deaths</v>
      </c>
      <c r="E4" s="6">
        <v>-0.16907380399959634</v>
      </c>
      <c r="F4" s="6">
        <v>-0.52145512663077931</v>
      </c>
      <c r="G4" s="7">
        <v>8.4773694116605309</v>
      </c>
      <c r="H4" s="7">
        <v>85.319968793192416</v>
      </c>
      <c r="I4" s="7">
        <v>212.1776986884056</v>
      </c>
      <c r="J4" s="6">
        <v>4.7130306633618169E-3</v>
      </c>
      <c r="L4" s="14" t="s">
        <v>475</v>
      </c>
      <c r="M4" s="11" cm="1">
        <f t="array" ref="M4">Multiple_R(x_s,y,Allow_Intercept,fil)</f>
        <v>0.99446276158433222</v>
      </c>
      <c r="O4" s="14" t="s">
        <v>61</v>
      </c>
      <c r="P4" s="11" cm="1">
        <f t="array" ref="P4">PRESS(x_s,y,Allow_Intercept,fil)</f>
        <v>91663.426953381495</v>
      </c>
      <c r="T4" s="14" t="s">
        <v>502</v>
      </c>
      <c r="U4" s="11" cm="1">
        <f t="array" ref="U4">INDEX(Prediction_Interval(x_s,y,pred_input,Allow_Intercept,fil,alpha),2)</f>
        <v>7.3817505717355365</v>
      </c>
      <c r="W4">
        <v>2</v>
      </c>
      <c r="X4">
        <v>70.021718681640252</v>
      </c>
      <c r="Y4">
        <v>-10.121718681640253</v>
      </c>
      <c r="Z4">
        <v>70.116953699524032</v>
      </c>
      <c r="AA4">
        <v>0.17404487568223165</v>
      </c>
      <c r="AB4">
        <v>44.3</v>
      </c>
      <c r="AC4">
        <v>-0.94897780985887348</v>
      </c>
      <c r="AD4">
        <v>-1.3711813455734956</v>
      </c>
      <c r="AE4">
        <v>-2.5139793860879376</v>
      </c>
      <c r="AF4">
        <v>9.3212733153729983E-3</v>
      </c>
      <c r="AG4">
        <v>-1.3776169497477375</v>
      </c>
      <c r="AH4">
        <v>-2.5255421447605881</v>
      </c>
      <c r="AI4">
        <v>9.9203468104021547E-4</v>
      </c>
    </row>
    <row r="5" spans="1:35" x14ac:dyDescent="0.25">
      <c r="A5" t="s">
        <v>255</v>
      </c>
      <c r="B5" s="5" t="b">
        <v>1</v>
      </c>
      <c r="D5" t="str">
        <f ca="1"/>
        <v>Alcohol</v>
      </c>
      <c r="E5" s="6">
        <v>0.4027183217273525</v>
      </c>
      <c r="F5" s="6">
        <v>0.45156709663151606</v>
      </c>
      <c r="G5" s="7">
        <v>0.66251839935723011</v>
      </c>
      <c r="H5" s="7">
        <v>-0.59110044260500194</v>
      </c>
      <c r="I5" s="7">
        <v>1.9383807427033666</v>
      </c>
      <c r="J5" s="6">
        <v>0.5158945185378534</v>
      </c>
      <c r="L5" s="14" t="s">
        <v>476</v>
      </c>
      <c r="M5" s="11" cm="1">
        <f t="array" ref="M5">R_squared(x_s,y,Allow_Intercept,fil)</f>
        <v>0.9889561841779364</v>
      </c>
      <c r="O5" s="14" t="s">
        <v>480</v>
      </c>
      <c r="P5" s="11" cm="1">
        <f t="array" ref="P5">1-PRESS(x_s,y,Allow_Intercept,fil)/SS_Total(y,Allow_Intercept,fil)</f>
        <v>0.98860950621589083</v>
      </c>
      <c r="T5" s="14" t="s">
        <v>503</v>
      </c>
      <c r="U5" s="11" cm="1">
        <f t="array" ref="U5">INDEX(Prediction_Interval(x_s,y,pred_input,Allow_Intercept,fil,alpha),3)</f>
        <v>1.9614195349532735</v>
      </c>
      <c r="W5">
        <v>3</v>
      </c>
      <c r="X5">
        <v>69.75415889830488</v>
      </c>
      <c r="Y5">
        <v>-9.8541588983048811</v>
      </c>
      <c r="Z5">
        <v>69.843839814469462</v>
      </c>
      <c r="AA5">
        <v>0.17404487568223165</v>
      </c>
      <c r="AB5">
        <v>44.5</v>
      </c>
      <c r="AC5">
        <v>-0.94897780985887348</v>
      </c>
      <c r="AD5">
        <v>-1.3349352301385133</v>
      </c>
      <c r="AE5">
        <v>-2.2909842404407037</v>
      </c>
      <c r="AF5">
        <v>9.0187410334267217E-3</v>
      </c>
      <c r="AG5">
        <v>-1.3409959738657862</v>
      </c>
      <c r="AH5">
        <v>-2.3039470591119264</v>
      </c>
      <c r="AI5">
        <v>9.0920730855504435E-4</v>
      </c>
    </row>
    <row r="6" spans="1:35" x14ac:dyDescent="0.25">
      <c r="A6" t="s">
        <v>256</v>
      </c>
      <c r="B6" s="5" t="b">
        <v>1</v>
      </c>
      <c r="D6" t="str">
        <f ca="1"/>
        <v>percentage expenditure</v>
      </c>
      <c r="E6" s="6">
        <v>0.40963082412504903</v>
      </c>
      <c r="F6" s="6">
        <v>0.57668637597311545</v>
      </c>
      <c r="G6" s="7">
        <v>4.9805739179663373</v>
      </c>
      <c r="H6" s="7">
        <v>30.992195235914028</v>
      </c>
      <c r="I6" s="7">
        <v>12.847294716102079</v>
      </c>
      <c r="J6" s="6">
        <v>7.7837398619544085E-2</v>
      </c>
      <c r="L6" s="14" t="s">
        <v>477</v>
      </c>
      <c r="M6" s="11" cm="1">
        <f t="array" ref="M6">Adjusted_R2(x_s,y,Allow_Intercept,fil)</f>
        <v>0.98883430270350525</v>
      </c>
      <c r="O6" s="14" t="s">
        <v>481</v>
      </c>
      <c r="P6" s="11" cm="1">
        <f t="array" ref="P6">(DF_Regression(x_s)+IF(Allow_Intercept,1,0))/Observations(y,fil)</f>
        <v>1.0915706488781079E-2</v>
      </c>
      <c r="T6" s="14" t="s">
        <v>497</v>
      </c>
      <c r="U6" s="11" cm="1">
        <f t="array" ref="U6">INDEX(Prediction_Interval(x_s,y,pred_input,Allow_Intercept,fil,alpha),4)</f>
        <v>-14.478709773554577</v>
      </c>
      <c r="W6">
        <v>4</v>
      </c>
      <c r="X6">
        <v>70.905647249082676</v>
      </c>
      <c r="Y6">
        <v>-11.405647249082676</v>
      </c>
      <c r="Z6">
        <v>71.012398669460893</v>
      </c>
      <c r="AA6">
        <v>0.16434202546998181</v>
      </c>
      <c r="AB6">
        <v>44.5</v>
      </c>
      <c r="AC6">
        <v>-0.98044852568054008</v>
      </c>
      <c r="AD6">
        <v>-1.5451141484994764</v>
      </c>
      <c r="AE6">
        <v>-2.2670702985138909</v>
      </c>
      <c r="AF6">
        <v>9.2727348525028352E-3</v>
      </c>
      <c r="AG6">
        <v>-1.552328073969264</v>
      </c>
      <c r="AH6">
        <v>-2.2821308163474114</v>
      </c>
      <c r="AI6">
        <v>1.2529918467148508E-3</v>
      </c>
    </row>
    <row r="7" spans="1:35" x14ac:dyDescent="0.25">
      <c r="A7" t="s">
        <v>257</v>
      </c>
      <c r="B7" s="5" t="b">
        <v>1</v>
      </c>
      <c r="D7" t="str">
        <f ca="1"/>
        <v>Hepatitis B</v>
      </c>
      <c r="E7" s="6">
        <v>0.19993527639757758</v>
      </c>
      <c r="F7" s="6">
        <v>0.29839199664291366</v>
      </c>
      <c r="G7" s="7">
        <v>-1.7933774066676584</v>
      </c>
      <c r="H7" s="7">
        <v>2.2314153470486389</v>
      </c>
      <c r="I7" s="7">
        <v>1.6518638507945069</v>
      </c>
      <c r="J7" s="6">
        <v>0.60537676850245492</v>
      </c>
      <c r="L7" s="14" t="s">
        <v>478</v>
      </c>
      <c r="M7" s="11" cm="1">
        <f t="array" ref="M7">SE_Regression(x_s,y,Allow_Intercept,fil)</f>
        <v>7.3817505717355365</v>
      </c>
      <c r="O7" s="14" t="s">
        <v>65</v>
      </c>
      <c r="P7" s="11" cm="1">
        <f t="array" ref="P7">AIC(x_s,y,Allow_Intercept,fil)</f>
        <v>6610.6387067663363</v>
      </c>
      <c r="T7" s="14" t="s">
        <v>498</v>
      </c>
      <c r="U7" s="11" cm="1">
        <f t="array" ref="U7">INDEX(Prediction_Interval(x_s,y,pred_input,Allow_Intercept,fil,alpha),5)</f>
        <v>14.478709773554577</v>
      </c>
      <c r="W7">
        <v>5</v>
      </c>
      <c r="X7">
        <v>69.836577941722837</v>
      </c>
      <c r="Y7">
        <v>-10.636577941722834</v>
      </c>
      <c r="Z7">
        <v>69.932406820052861</v>
      </c>
      <c r="AA7">
        <v>0.15767131594906003</v>
      </c>
      <c r="AB7">
        <v>44.6</v>
      </c>
      <c r="AC7">
        <v>-1.0205681915260707</v>
      </c>
      <c r="AD7">
        <v>-1.4409289284915583</v>
      </c>
      <c r="AE7">
        <v>-2.2210375019068658</v>
      </c>
      <c r="AF7">
        <v>8.9289271210788532E-3</v>
      </c>
      <c r="AG7">
        <v>-1.4474053059284981</v>
      </c>
      <c r="AH7">
        <v>-2.2820857209244902</v>
      </c>
      <c r="AI7">
        <v>1.0485817470072601E-3</v>
      </c>
    </row>
    <row r="8" spans="1:35" x14ac:dyDescent="0.25">
      <c r="A8" t="s">
        <v>258</v>
      </c>
      <c r="B8" s="5" t="b">
        <v>1</v>
      </c>
      <c r="D8" t="str">
        <f ca="1"/>
        <v>Measles</v>
      </c>
      <c r="E8" s="6">
        <v>-6.8881222111176282E-2</v>
      </c>
      <c r="F8" s="6">
        <v>-0.24957375369248747</v>
      </c>
      <c r="G8" s="7">
        <v>7.9578377460109904</v>
      </c>
      <c r="H8" s="7">
        <v>74.67143971345466</v>
      </c>
      <c r="I8" s="7">
        <v>1.5141144309884405</v>
      </c>
      <c r="J8" s="6">
        <v>0.66045206328770178</v>
      </c>
      <c r="L8" s="16" t="s">
        <v>5</v>
      </c>
      <c r="M8" s="12" cm="1">
        <f t="array" ref="M8">Observations(y,fil)</f>
        <v>1649</v>
      </c>
      <c r="O8" s="14" t="s">
        <v>69</v>
      </c>
      <c r="P8" s="11" cm="1">
        <f t="array" ref="P8">BIC(x_s,y,Allow_Intercept,fil)</f>
        <v>6707.9813445724094</v>
      </c>
      <c r="T8" s="16" t="s">
        <v>504</v>
      </c>
      <c r="U8" s="12" cm="1">
        <f t="array" ref="U8">INDEX(Prediction_Interval(x_s,y,pred_input,Allow_Intercept,fil,alpha),6)</f>
        <v>0.95</v>
      </c>
      <c r="W8">
        <v>6</v>
      </c>
      <c r="X8">
        <v>69.712451621060808</v>
      </c>
      <c r="Y8">
        <v>-10.912451621060811</v>
      </c>
      <c r="Z8">
        <v>69.827925806268226</v>
      </c>
      <c r="AA8">
        <v>0.14675560946027896</v>
      </c>
      <c r="AB8">
        <v>44.6</v>
      </c>
      <c r="AC8">
        <v>-1.0570712344634026</v>
      </c>
      <c r="AD8">
        <v>-1.4783013209419733</v>
      </c>
      <c r="AE8">
        <v>-2.1961800976902635</v>
      </c>
      <c r="AF8">
        <v>1.0471070193614953E-2</v>
      </c>
      <c r="AG8">
        <v>-1.4861023368702495</v>
      </c>
      <c r="AH8">
        <v>-2.2621650471651433</v>
      </c>
      <c r="AI8">
        <v>1.2983372107595924E-3</v>
      </c>
    </row>
    <row r="9" spans="1:35" x14ac:dyDescent="0.25">
      <c r="A9" t="s">
        <v>259</v>
      </c>
      <c r="B9" s="5" t="b">
        <v>1</v>
      </c>
      <c r="D9" t="str">
        <f ca="1"/>
        <v>BMI</v>
      </c>
      <c r="E9" s="6">
        <v>0.54204158769157829</v>
      </c>
      <c r="F9" s="6">
        <v>0.5836370658786586</v>
      </c>
      <c r="G9" s="7">
        <v>-0.23360071764187307</v>
      </c>
      <c r="H9" s="7">
        <v>-1.2702262093966004</v>
      </c>
      <c r="I9" s="7">
        <v>1.7969198098458758</v>
      </c>
      <c r="J9" s="6">
        <v>0.55650786113030348</v>
      </c>
      <c r="O9" s="14" t="s">
        <v>73</v>
      </c>
      <c r="P9" s="11" cm="1">
        <f t="array" ref="P9">AICc(x_s,y,Allow_Intercept,fil)</f>
        <v>6611.0583386681765</v>
      </c>
      <c r="W9">
        <v>7</v>
      </c>
      <c r="X9">
        <v>68.538343789444795</v>
      </c>
      <c r="Y9">
        <v>-9.9383437894447937</v>
      </c>
      <c r="Z9">
        <v>68.652513410210076</v>
      </c>
      <c r="AA9">
        <v>0.14432989690721648</v>
      </c>
      <c r="AB9">
        <v>44.8</v>
      </c>
      <c r="AC9">
        <v>-1.0704544602760233</v>
      </c>
      <c r="AD9">
        <v>-1.3463396917661188</v>
      </c>
      <c r="AE9">
        <v>-2.134403832814654</v>
      </c>
      <c r="AF9">
        <v>1.1357320911337116E-2</v>
      </c>
      <c r="AG9">
        <v>-1.354050843775906</v>
      </c>
      <c r="AH9">
        <v>-2.2328190586347727</v>
      </c>
      <c r="AI9">
        <v>1.1701296437247265E-3</v>
      </c>
    </row>
    <row r="10" spans="1:35" x14ac:dyDescent="0.25">
      <c r="A10" t="s">
        <v>260</v>
      </c>
      <c r="B10" s="5" t="b">
        <v>1</v>
      </c>
      <c r="D10" t="str">
        <f ca="1"/>
        <v>under-five deaths</v>
      </c>
      <c r="E10" s="6">
        <v>-0.19226530105304498</v>
      </c>
      <c r="F10" s="6">
        <v>-0.5384373468110879</v>
      </c>
      <c r="G10" s="7">
        <v>8.3408629723813945</v>
      </c>
      <c r="H10" s="7">
        <v>82.187220775460347</v>
      </c>
      <c r="I10" s="7">
        <v>201.99931076514267</v>
      </c>
      <c r="J10" s="6">
        <v>4.9505119409177789E-3</v>
      </c>
      <c r="O10" s="16" t="s">
        <v>482</v>
      </c>
      <c r="P10" s="12" cm="1">
        <f t="array" ref="P10">QQ_Correlation(x_s,y,Allow_Intercept,fil)</f>
        <v>0.99712735927813012</v>
      </c>
      <c r="T10" s="4" t="s">
        <v>467</v>
      </c>
      <c r="W10">
        <v>8</v>
      </c>
      <c r="X10">
        <v>67.298724988123709</v>
      </c>
      <c r="Y10">
        <v>-9.1987249881237076</v>
      </c>
      <c r="Z10">
        <v>67.395446161329787</v>
      </c>
      <c r="AA10">
        <v>0.13523347483323225</v>
      </c>
      <c r="AB10">
        <v>44.8</v>
      </c>
      <c r="AC10">
        <v>-1.1174634002413726</v>
      </c>
      <c r="AD10">
        <v>-1.246144108871045</v>
      </c>
      <c r="AE10">
        <v>-2.1226765556972675</v>
      </c>
      <c r="AF10">
        <v>1.0405221172539933E-2</v>
      </c>
      <c r="AG10">
        <v>-1.2526783485077029</v>
      </c>
      <c r="AH10">
        <v>-2.1418358985002528</v>
      </c>
      <c r="AI10">
        <v>9.1664369965213156E-4</v>
      </c>
    </row>
    <row r="11" spans="1:35" x14ac:dyDescent="0.25">
      <c r="A11" t="s">
        <v>261</v>
      </c>
      <c r="B11" s="5" t="b">
        <v>1</v>
      </c>
      <c r="D11" t="str">
        <f ca="1"/>
        <v>Polio</v>
      </c>
      <c r="E11" s="6">
        <v>0.32729440310492808</v>
      </c>
      <c r="F11" s="6">
        <v>0.43534266254009202</v>
      </c>
      <c r="G11" s="7">
        <v>-2.3601768849724745</v>
      </c>
      <c r="H11" s="7">
        <v>5.0635507264435367</v>
      </c>
      <c r="I11" s="7">
        <v>1.7126197216980923</v>
      </c>
      <c r="J11" s="6">
        <v>0.58390078505488807</v>
      </c>
      <c r="T11" s="3" t="s">
        <v>505</v>
      </c>
      <c r="U11" s="3" t="s">
        <v>506</v>
      </c>
      <c r="W11">
        <v>9</v>
      </c>
      <c r="X11">
        <v>64.608156421477787</v>
      </c>
      <c r="Y11">
        <v>-7.108156421477787</v>
      </c>
      <c r="Z11">
        <v>64.676858358919063</v>
      </c>
      <c r="AA11">
        <v>0.12067919951485749</v>
      </c>
      <c r="AB11">
        <v>45.1</v>
      </c>
      <c r="AC11">
        <v>-1.182232646923248</v>
      </c>
      <c r="AD11">
        <v>-0.96293641357846305</v>
      </c>
      <c r="AE11">
        <v>-2.0776446649195375</v>
      </c>
      <c r="AF11">
        <v>9.5727035431724897E-3</v>
      </c>
      <c r="AG11">
        <v>-0.96757872228716491</v>
      </c>
      <c r="AH11">
        <v>-2.1102119694999733</v>
      </c>
      <c r="AI11">
        <v>5.0270374657543175E-4</v>
      </c>
    </row>
    <row r="12" spans="1:35" x14ac:dyDescent="0.25">
      <c r="A12" t="s">
        <v>262</v>
      </c>
      <c r="B12" s="5" t="b">
        <v>1</v>
      </c>
      <c r="D12" t="str">
        <f ca="1"/>
        <v>Total expenditure</v>
      </c>
      <c r="E12" s="6">
        <v>0.17471764064230411</v>
      </c>
      <c r="F12" s="6">
        <v>0.27107970455247493</v>
      </c>
      <c r="G12" s="7">
        <v>0.21336165862070411</v>
      </c>
      <c r="H12" s="7">
        <v>-1.0252562552346411E-2</v>
      </c>
      <c r="I12" s="7">
        <v>1.1185619729448348</v>
      </c>
      <c r="J12" s="6">
        <v>0.89400500301945984</v>
      </c>
      <c r="L12" s="3" t="s">
        <v>483</v>
      </c>
      <c r="M12" s="5">
        <v>0.05</v>
      </c>
      <c r="T12" t="s">
        <v>507</v>
      </c>
      <c r="U12" s="5">
        <f>IF(Allow_Intercept,1,0)</f>
        <v>0</v>
      </c>
      <c r="W12">
        <v>10</v>
      </c>
      <c r="X12">
        <v>63.8799186295863</v>
      </c>
      <c r="Y12">
        <v>-6.5799186295863024</v>
      </c>
      <c r="Z12">
        <v>63.951350433250745</v>
      </c>
      <c r="AA12">
        <v>0.11643420254699818</v>
      </c>
      <c r="AB12">
        <v>45.3</v>
      </c>
      <c r="AC12">
        <v>-1.207056068729359</v>
      </c>
      <c r="AD12">
        <v>-0.891376451377344</v>
      </c>
      <c r="AE12">
        <v>-2.0742710957586596</v>
      </c>
      <c r="AF12">
        <v>1.0739443723691698E-2</v>
      </c>
      <c r="AG12">
        <v>-0.89620179610548867</v>
      </c>
      <c r="AH12">
        <v>-2.1021462152394563</v>
      </c>
      <c r="AI12">
        <v>4.8440677443999504E-4</v>
      </c>
    </row>
    <row r="13" spans="1:35" x14ac:dyDescent="0.25">
      <c r="A13" t="s">
        <v>263</v>
      </c>
      <c r="B13" s="5" t="b">
        <v>1</v>
      </c>
      <c r="D13" t="str">
        <f ca="1"/>
        <v>Diphtheria</v>
      </c>
      <c r="E13" s="6">
        <v>0.34133123426064216</v>
      </c>
      <c r="F13" s="6">
        <v>0.44819623351132853</v>
      </c>
      <c r="G13" s="7">
        <v>-2.4874916081791545</v>
      </c>
      <c r="H13" s="7">
        <v>5.8556393600326784</v>
      </c>
      <c r="I13" s="7">
        <v>2.0929357702033715</v>
      </c>
      <c r="J13" s="6">
        <v>0.47779774909328898</v>
      </c>
      <c r="L13" s="15" t="s">
        <v>484</v>
      </c>
      <c r="M13" s="8"/>
      <c r="N13" s="8"/>
      <c r="O13" s="8"/>
      <c r="P13" s="8"/>
      <c r="Q13" s="10"/>
      <c r="T13" t="s">
        <v>253</v>
      </c>
      <c r="U13" s="5">
        <v>0</v>
      </c>
      <c r="W13">
        <v>11</v>
      </c>
      <c r="X13">
        <v>64.203660564646114</v>
      </c>
      <c r="Y13">
        <v>-6.9036605646461169</v>
      </c>
      <c r="Z13">
        <v>64.287689880323654</v>
      </c>
      <c r="AA13">
        <v>0.11643420254699818</v>
      </c>
      <c r="AB13">
        <v>45.3</v>
      </c>
      <c r="AC13">
        <v>-1.207056068729359</v>
      </c>
      <c r="AD13">
        <v>-0.93523351914381803</v>
      </c>
      <c r="AE13">
        <v>-2.0741627063007408</v>
      </c>
      <c r="AF13">
        <v>1.2025335571081503E-2</v>
      </c>
      <c r="AG13">
        <v>-0.94090799732142394</v>
      </c>
      <c r="AH13">
        <v>-2.0791787840439446</v>
      </c>
      <c r="AI13">
        <v>5.986503093756624E-4</v>
      </c>
    </row>
    <row r="14" spans="1:35" x14ac:dyDescent="0.25">
      <c r="A14" t="s">
        <v>264</v>
      </c>
      <c r="B14" s="5" t="b">
        <v>1</v>
      </c>
      <c r="D14" t="str">
        <f ca="1"/>
        <v>HIV/AIDS</v>
      </c>
      <c r="E14" s="6">
        <v>-0.59223629259263988</v>
      </c>
      <c r="F14" s="6">
        <v>-0.72026469818695804</v>
      </c>
      <c r="G14" s="7">
        <v>4.9741755969625574</v>
      </c>
      <c r="H14" s="7">
        <v>27.751491599089142</v>
      </c>
      <c r="I14" s="7">
        <v>1.4820785003440076</v>
      </c>
      <c r="J14" s="6">
        <v>0.67472809285600488</v>
      </c>
      <c r="L14" s="17"/>
      <c r="M14" s="3" t="s">
        <v>485</v>
      </c>
      <c r="N14" s="3" t="s">
        <v>486</v>
      </c>
      <c r="O14" s="3" t="s">
        <v>487</v>
      </c>
      <c r="P14" s="3" t="s">
        <v>488</v>
      </c>
      <c r="Q14" s="13" t="s">
        <v>489</v>
      </c>
      <c r="T14" t="s">
        <v>254</v>
      </c>
      <c r="U14" s="5">
        <v>0</v>
      </c>
      <c r="W14">
        <v>12</v>
      </c>
      <c r="X14">
        <v>53.060871369076111</v>
      </c>
      <c r="Y14">
        <v>3.9391286309238893</v>
      </c>
      <c r="Z14">
        <v>52.961419106770308</v>
      </c>
      <c r="AA14">
        <v>0.11097634930260764</v>
      </c>
      <c r="AB14">
        <v>45.3</v>
      </c>
      <c r="AC14">
        <v>-1.2294035019788656</v>
      </c>
      <c r="AD14">
        <v>0.53363068727988106</v>
      </c>
      <c r="AE14">
        <v>-2.0525371598369313</v>
      </c>
      <c r="AF14">
        <v>2.4625546679658442E-2</v>
      </c>
      <c r="AG14">
        <v>0.54032505726692803</v>
      </c>
      <c r="AH14">
        <v>-2.0710340525417847</v>
      </c>
      <c r="AI14">
        <v>4.0949840564289498E-4</v>
      </c>
    </row>
    <row r="15" spans="1:35" x14ac:dyDescent="0.25">
      <c r="A15" t="s">
        <v>265</v>
      </c>
      <c r="B15" s="5" t="b">
        <v>1</v>
      </c>
      <c r="D15" t="str">
        <f ca="1"/>
        <v>GDP</v>
      </c>
      <c r="E15" s="6">
        <v>0.44132180991356607</v>
      </c>
      <c r="F15" s="6">
        <v>0.57079636904265585</v>
      </c>
      <c r="G15" s="7">
        <v>4.5172974225641669</v>
      </c>
      <c r="H15" s="7">
        <v>28.015318265499179</v>
      </c>
      <c r="I15" s="7">
        <v>13.516874113156392</v>
      </c>
      <c r="J15" s="6">
        <v>7.3981601931667695E-2</v>
      </c>
      <c r="L15" s="14" t="s">
        <v>490</v>
      </c>
      <c r="M15" cm="1">
        <f t="array" ref="M15">DF_Regression(x_s)</f>
        <v>18</v>
      </c>
      <c r="N15" cm="1">
        <f t="array" ref="N15">SS_Regression(x_s,y,Allow_Intercept,fil)</f>
        <v>7958488.4261080911</v>
      </c>
      <c r="O15" cm="1">
        <f t="array" ref="O15">MS_Regression(x_s,y,Allow_Intercept,fil)</f>
        <v>442138.24589489395</v>
      </c>
      <c r="P15" cm="1">
        <f t="array" ref="P15">F_Stat(x_s,y,Allow_Intercept,fil)</f>
        <v>8114.0812317371001</v>
      </c>
      <c r="Q15" s="11" cm="1">
        <f t="array" ref="Q15">P_Value_F(x_s,y,Allow_Intercept,fil)</f>
        <v>0</v>
      </c>
      <c r="T15" t="s">
        <v>255</v>
      </c>
      <c r="U15" s="5">
        <v>0</v>
      </c>
      <c r="W15">
        <v>13</v>
      </c>
      <c r="X15">
        <v>57.753786543198714</v>
      </c>
      <c r="Y15">
        <v>-1.0537865431987115</v>
      </c>
      <c r="Z15">
        <v>57.770462382930617</v>
      </c>
      <c r="AA15">
        <v>0.10491206791995149</v>
      </c>
      <c r="AB15">
        <v>45.4</v>
      </c>
      <c r="AC15">
        <v>-1.2726185683477402</v>
      </c>
      <c r="AD15">
        <v>-0.14275564216889461</v>
      </c>
      <c r="AE15">
        <v>-2.0222587827070191</v>
      </c>
      <c r="AF15">
        <v>1.5578165097450428E-2</v>
      </c>
      <c r="AG15">
        <v>-0.14388074006977872</v>
      </c>
      <c r="AH15">
        <v>-2.0534578472762748</v>
      </c>
      <c r="AI15">
        <v>1.8199853205413255E-5</v>
      </c>
    </row>
    <row r="16" spans="1:35" x14ac:dyDescent="0.25">
      <c r="A16" t="s">
        <v>266</v>
      </c>
      <c r="B16" s="5" t="b">
        <v>1</v>
      </c>
      <c r="D16" t="str">
        <f ca="1"/>
        <v>Population</v>
      </c>
      <c r="E16" s="6">
        <v>-2.2304977802841353E-2</v>
      </c>
      <c r="F16" s="6">
        <v>-7.9789533339711019E-2</v>
      </c>
      <c r="G16" s="7">
        <v>14.186299010071318</v>
      </c>
      <c r="H16" s="7">
        <v>230.16446135150653</v>
      </c>
      <c r="I16" s="7">
        <v>1.9433905318505209</v>
      </c>
      <c r="J16" s="6">
        <v>0.5145646145799565</v>
      </c>
      <c r="L16" s="14" t="s">
        <v>491</v>
      </c>
      <c r="M16" cm="1">
        <f t="array" ref="M16">DF_Residual(x_s,y,Allow_Intercept,fil)</f>
        <v>1631</v>
      </c>
      <c r="N16" cm="1">
        <f t="array" ref="N16">SS_Residual(x_s,y,Allow_Intercept,fil)</f>
        <v>88873.583891911534</v>
      </c>
      <c r="O16" cm="1">
        <f t="array" ref="O16">MS_Residual(x_s,y,Allow_Intercept,fil)</f>
        <v>54.490241503317925</v>
      </c>
      <c r="Q16" s="11"/>
      <c r="T16" t="s">
        <v>256</v>
      </c>
      <c r="U16" s="5">
        <v>0</v>
      </c>
      <c r="W16">
        <v>14</v>
      </c>
      <c r="X16">
        <v>47.712217622001688</v>
      </c>
      <c r="Y16">
        <v>8.4877823779983146</v>
      </c>
      <c r="Z16">
        <v>47.078280970493672</v>
      </c>
      <c r="AA16">
        <v>9.5815645845967259E-2</v>
      </c>
      <c r="AB16">
        <v>45.5</v>
      </c>
      <c r="AC16">
        <v>-1.3147344895569</v>
      </c>
      <c r="AD16">
        <v>1.1498332672601721</v>
      </c>
      <c r="AE16">
        <v>-2.0151113735845274</v>
      </c>
      <c r="AF16">
        <v>6.9497498164260416E-2</v>
      </c>
      <c r="AG16">
        <v>1.1919995653146549</v>
      </c>
      <c r="AH16">
        <v>-2.0194967113992219</v>
      </c>
      <c r="AI16">
        <v>5.8956448572030449E-3</v>
      </c>
    </row>
    <row r="17" spans="1:35" x14ac:dyDescent="0.25">
      <c r="A17" t="s">
        <v>267</v>
      </c>
      <c r="B17" s="5" t="b">
        <v>1</v>
      </c>
      <c r="D17" t="str">
        <f ca="1"/>
        <v>thinness 1-19 years</v>
      </c>
      <c r="E17" s="6">
        <v>-0.45783819334984405</v>
      </c>
      <c r="F17" s="6">
        <v>-0.61960046774864874</v>
      </c>
      <c r="G17" s="7">
        <v>1.8210735142413568</v>
      </c>
      <c r="H17" s="7">
        <v>4.1593458501427047</v>
      </c>
      <c r="I17" s="7">
        <v>7.6025617770389342</v>
      </c>
      <c r="J17" s="6">
        <v>0.13153461021785773</v>
      </c>
      <c r="L17" s="16" t="s">
        <v>492</v>
      </c>
      <c r="M17" s="9" cm="1">
        <f t="array" ref="M17">DF_Total(y,Allow_Intercept,fil)</f>
        <v>1649</v>
      </c>
      <c r="N17" s="9" cm="1">
        <f t="array" ref="N17">SS_Total(y,Allow_Intercept,fil)</f>
        <v>8047362.0100000026</v>
      </c>
      <c r="O17" s="9"/>
      <c r="P17" s="9"/>
      <c r="Q17" s="12">
        <f>_xlfn.T.DIST.2T(P15,M15)</f>
        <v>1.5827715732057821E-60</v>
      </c>
      <c r="T17" t="s">
        <v>257</v>
      </c>
      <c r="U17" s="5">
        <v>0</v>
      </c>
      <c r="W17">
        <v>15</v>
      </c>
      <c r="X17">
        <v>42.163375648576022</v>
      </c>
      <c r="Y17">
        <v>13.136624351423976</v>
      </c>
      <c r="Z17">
        <v>42.047739454740324</v>
      </c>
      <c r="AA17">
        <v>8.6719223771983017E-2</v>
      </c>
      <c r="AB17">
        <v>45.6</v>
      </c>
      <c r="AC17">
        <v>-1.3946242806491973</v>
      </c>
      <c r="AD17">
        <v>1.7796082682234819</v>
      </c>
      <c r="AE17">
        <v>-2.0082188685798239</v>
      </c>
      <c r="AF17">
        <v>8.7257712328228255E-3</v>
      </c>
      <c r="AG17">
        <v>1.7874236795123002</v>
      </c>
      <c r="AH17">
        <v>-2.0192153782638256</v>
      </c>
      <c r="AI17">
        <v>1.5624010290596242E-3</v>
      </c>
    </row>
    <row r="18" spans="1:35" x14ac:dyDescent="0.25">
      <c r="A18" t="s">
        <v>268</v>
      </c>
      <c r="B18" s="5" t="b">
        <v>1</v>
      </c>
      <c r="D18" t="str">
        <f ca="1"/>
        <v>thinness 5-9 years</v>
      </c>
      <c r="E18" s="6">
        <v>-0.45750828676579908</v>
      </c>
      <c r="F18" s="6">
        <v>-0.62981654942690735</v>
      </c>
      <c r="G18" s="7">
        <v>1.8669799469852892</v>
      </c>
      <c r="H18" s="7">
        <v>4.5198333738580816</v>
      </c>
      <c r="I18" s="7">
        <v>7.5845186690958011</v>
      </c>
      <c r="J18" s="6">
        <v>0.13184752304383429</v>
      </c>
      <c r="T18" t="s">
        <v>258</v>
      </c>
      <c r="U18" s="5">
        <v>0</v>
      </c>
      <c r="W18">
        <v>16</v>
      </c>
      <c r="X18">
        <v>39.901352988554109</v>
      </c>
      <c r="Y18">
        <v>14.898647011445888</v>
      </c>
      <c r="Z18">
        <v>39.740550659468674</v>
      </c>
      <c r="AA18">
        <v>7.7622801697998789E-2</v>
      </c>
      <c r="AB18">
        <v>45.9</v>
      </c>
      <c r="AC18">
        <v>-1.4402815816722083</v>
      </c>
      <c r="AD18">
        <v>2.0183081054638019</v>
      </c>
      <c r="AE18">
        <v>-1.9986537606556041</v>
      </c>
      <c r="AF18">
        <v>1.0677835918784011E-2</v>
      </c>
      <c r="AG18">
        <v>2.0291707568862245</v>
      </c>
      <c r="AH18">
        <v>-2.0114637338995034</v>
      </c>
      <c r="AI18">
        <v>2.468938027446908E-3</v>
      </c>
    </row>
    <row r="19" spans="1:35" x14ac:dyDescent="0.25">
      <c r="A19" t="s">
        <v>269</v>
      </c>
      <c r="B19" s="5" t="b">
        <v>1</v>
      </c>
      <c r="D19" t="str">
        <f ca="1"/>
        <v>Income composition of resources</v>
      </c>
      <c r="E19" s="6">
        <v>0.72108259291729193</v>
      </c>
      <c r="F19" s="6">
        <v>0.84902333027593679</v>
      </c>
      <c r="G19" s="7">
        <v>-1.1552436094975105</v>
      </c>
      <c r="H19" s="7">
        <v>2.0611920694297563</v>
      </c>
      <c r="I19" s="7">
        <v>2.9714887896518474</v>
      </c>
      <c r="J19" s="6">
        <v>0.33653164147294812</v>
      </c>
      <c r="L19" s="4" t="s">
        <v>493</v>
      </c>
      <c r="T19" t="s">
        <v>259</v>
      </c>
      <c r="U19" s="5">
        <v>0</v>
      </c>
      <c r="W19">
        <v>17</v>
      </c>
      <c r="X19">
        <v>78.406386961822605</v>
      </c>
      <c r="Y19">
        <v>-0.60638696182260787</v>
      </c>
      <c r="Z19">
        <v>78.407636586814633</v>
      </c>
      <c r="AA19">
        <v>0.85203153426318978</v>
      </c>
      <c r="AB19">
        <v>46</v>
      </c>
      <c r="AC19">
        <v>1.0386467129748296</v>
      </c>
      <c r="AD19">
        <v>-8.214676937804459E-2</v>
      </c>
      <c r="AE19">
        <v>-1.9838033734464924</v>
      </c>
      <c r="AF19">
        <v>2.0565334924508476E-3</v>
      </c>
      <c r="AG19">
        <v>-8.2231368677661121E-2</v>
      </c>
      <c r="AH19">
        <v>-2.0062149173214912</v>
      </c>
      <c r="AI19">
        <v>7.7416294490165469E-7</v>
      </c>
    </row>
    <row r="20" spans="1:35" x14ac:dyDescent="0.25">
      <c r="A20" t="s">
        <v>270</v>
      </c>
      <c r="B20" s="5" t="b">
        <v>1</v>
      </c>
      <c r="D20" t="str">
        <f ca="1"/>
        <v>Schooling</v>
      </c>
      <c r="E20" s="6">
        <v>0.72763003232110479</v>
      </c>
      <c r="F20" s="6">
        <v>0.77476911930540282</v>
      </c>
      <c r="G20" s="7">
        <v>-0.12816419625645914</v>
      </c>
      <c r="H20" s="7">
        <v>4.5707552951051778E-2</v>
      </c>
      <c r="I20" s="7">
        <v>3.5129929693031889</v>
      </c>
      <c r="J20" s="6">
        <v>0.284657558024761</v>
      </c>
      <c r="L20" s="3"/>
      <c r="M20" s="3" t="s">
        <v>85</v>
      </c>
      <c r="N20" s="3" t="s">
        <v>494</v>
      </c>
      <c r="O20" s="3" t="s">
        <v>495</v>
      </c>
      <c r="P20" s="3" t="s">
        <v>496</v>
      </c>
      <c r="Q20" s="3" t="s">
        <v>497</v>
      </c>
      <c r="R20" s="3" t="s">
        <v>498</v>
      </c>
      <c r="T20" t="s">
        <v>260</v>
      </c>
      <c r="U20" s="5">
        <v>0</v>
      </c>
      <c r="W20">
        <v>18</v>
      </c>
      <c r="X20">
        <v>77.320526721959766</v>
      </c>
      <c r="Y20">
        <v>0.17947327804023416</v>
      </c>
      <c r="Z20">
        <v>77.320028897371344</v>
      </c>
      <c r="AA20">
        <v>0.84596725288053365</v>
      </c>
      <c r="AB20">
        <v>46</v>
      </c>
      <c r="AC20">
        <v>1.0129215482717411</v>
      </c>
      <c r="AD20">
        <v>2.431310517689815E-2</v>
      </c>
      <c r="AE20">
        <v>-1.9828177539059615</v>
      </c>
      <c r="AF20">
        <v>2.7661362360376245E-3</v>
      </c>
      <c r="AG20">
        <v>2.4346801780702663E-2</v>
      </c>
      <c r="AH20">
        <v>-2.0061258217670215</v>
      </c>
      <c r="AI20">
        <v>9.134565262610334E-8</v>
      </c>
    </row>
    <row r="21" spans="1:35" x14ac:dyDescent="0.25">
      <c r="L21" t="str" cm="1">
        <f t="array" aca="1" ref="L21:L39" ca="1">IF(Allow_Intercept,_xlfn.VSTACK("Intercept",Coefficient_Name_Col(All_Xs)),_xlfn.VSTACK("",Coefficient_Name_Col(All_Xs)))</f>
        <v/>
      </c>
      <c r="M21" t="str" cm="1">
        <f t="array" ref="M21:M39">IF(Allow_Intercept,Coefficients(x_s,y,Allow_Intercept,fil),_xlfn.VSTACK("",Coefficients(x_s,y,Allow_Intercept,fil)))</f>
        <v/>
      </c>
      <c r="N21" t="str" cm="1">
        <f t="array" ref="N21:N39">IF(Allow_Intercept,SE_Coefficients(x_s,y,Allow_Intercept,fil),_xlfn.VSTACK("",SE_Coefficients(x_s,y,Allow_Intercept,fil)))</f>
        <v/>
      </c>
      <c r="O21" t="str" cm="1">
        <f t="array" ref="O21:O39">IF(Allow_Intercept,T_Stats(x_s,y,Allow_Intercept,fil),_xlfn.VSTACK("",T_Stats(x_s,y,Allow_Intercept,fil)))</f>
        <v/>
      </c>
      <c r="P21" t="str" cm="1">
        <f t="array" ref="P21:P39">IF(Allow_Intercept,P_Values(x_s,y,Allow_Intercept,fil),_xlfn.VSTACK("",P_Values(x_s,y,Allow_Intercept,fil)))</f>
        <v/>
      </c>
      <c r="Q21" t="str" cm="1">
        <f t="array" ref="Q21:Q39">IF(Allow_Intercept,CI_Lower(x_s,y,Allow_Intercept,fil),_xlfn.VSTACK("",CI_Lower(x_s,y,Allow_Intercept,fil)))</f>
        <v/>
      </c>
      <c r="R21" t="str" cm="1">
        <f t="array" ref="R21:R39">IF(Allow_Intercept,CI_Upper(x_s,y,Allow_Intercept,fil),_xlfn.VSTACK("",CI_Upper(x_s,y,Allow_Intercept,fil)))</f>
        <v/>
      </c>
      <c r="T21" t="s">
        <v>261</v>
      </c>
      <c r="U21" s="5">
        <v>0</v>
      </c>
      <c r="W21">
        <v>19</v>
      </c>
      <c r="X21">
        <v>78.024813053525193</v>
      </c>
      <c r="Y21">
        <v>-0.8248130535251903</v>
      </c>
      <c r="Z21">
        <v>78.026443968705479</v>
      </c>
      <c r="AA21">
        <v>0.84111582777440874</v>
      </c>
      <c r="AB21">
        <v>46</v>
      </c>
      <c r="AC21">
        <v>0.99032898964496086</v>
      </c>
      <c r="AD21">
        <v>-0.11173678187981188</v>
      </c>
      <c r="AE21">
        <v>-1.9557869729531789</v>
      </c>
      <c r="AF21">
        <v>1.9734128894908611E-3</v>
      </c>
      <c r="AG21">
        <v>-0.11184719673007557</v>
      </c>
      <c r="AH21">
        <v>-1.9954977028377188</v>
      </c>
      <c r="AI21">
        <v>1.3742114153850361E-6</v>
      </c>
    </row>
    <row r="22" spans="1:35" x14ac:dyDescent="0.25">
      <c r="L22" t="str">
        <f ca="1"/>
        <v>Adult Mortality</v>
      </c>
      <c r="M22">
        <v>1.1694913550978301E-2</v>
      </c>
      <c r="N22">
        <v>1.7677880064828426E-3</v>
      </c>
      <c r="O22">
        <v>6.6155633526704811</v>
      </c>
      <c r="P22">
        <v>5.0041597531470924E-11</v>
      </c>
      <c r="Q22">
        <v>8.227539621406748E-3</v>
      </c>
      <c r="R22">
        <v>1.5162287480549853E-2</v>
      </c>
      <c r="T22" t="s">
        <v>262</v>
      </c>
      <c r="U22" s="5">
        <v>0</v>
      </c>
      <c r="W22">
        <v>20</v>
      </c>
      <c r="X22">
        <v>77.549745512662213</v>
      </c>
      <c r="Y22">
        <v>-0.64974551266220715</v>
      </c>
      <c r="Z22">
        <v>77.550987802107571</v>
      </c>
      <c r="AA22">
        <v>0.83080654942389331</v>
      </c>
      <c r="AB22">
        <v>46</v>
      </c>
      <c r="AC22">
        <v>0.94897780985887181</v>
      </c>
      <c r="AD22">
        <v>-8.8020518486503718E-2</v>
      </c>
      <c r="AE22">
        <v>-1.9516936341349946</v>
      </c>
      <c r="AF22">
        <v>1.9083144743076816E-3</v>
      </c>
      <c r="AG22">
        <v>-8.8104624295646458E-2</v>
      </c>
      <c r="AH22">
        <v>-1.9885416509650544</v>
      </c>
      <c r="AI22">
        <v>8.2452610198800509E-7</v>
      </c>
    </row>
    <row r="23" spans="1:35" x14ac:dyDescent="0.25">
      <c r="H23">
        <f>_xlfn.F.DIST.RT(P15,M16,M15)</f>
        <v>7.3102562484457736E-33</v>
      </c>
      <c r="L23" t="str">
        <f ca="1"/>
        <v>infant deaths</v>
      </c>
      <c r="M23">
        <v>-2.659738101708722E-2</v>
      </c>
      <c r="N23">
        <v>2.1650722881030926E-2</v>
      </c>
      <c r="O23">
        <v>-1.2284754261203104</v>
      </c>
      <c r="P23">
        <v>0.21944577976748644</v>
      </c>
      <c r="Q23">
        <v>-6.9063531821801097E-2</v>
      </c>
      <c r="R23">
        <v>1.5868769787626653E-2</v>
      </c>
      <c r="T23" t="s">
        <v>263</v>
      </c>
      <c r="U23" s="5">
        <v>0</v>
      </c>
      <c r="W23">
        <v>21</v>
      </c>
      <c r="X23">
        <v>74.781353351439037</v>
      </c>
      <c r="Y23">
        <v>1.8186466485609571</v>
      </c>
      <c r="Z23">
        <v>74.77800115216904</v>
      </c>
      <c r="AA23">
        <v>0.82413583990297146</v>
      </c>
      <c r="AB23">
        <v>46.2</v>
      </c>
      <c r="AC23">
        <v>0.91841998904288702</v>
      </c>
      <c r="AD23">
        <v>0.24637064486092111</v>
      </c>
      <c r="AE23">
        <v>-1.9329888647085496</v>
      </c>
      <c r="AF23">
        <v>1.8398470855201681E-3</v>
      </c>
      <c r="AG23">
        <v>0.24659760023782523</v>
      </c>
      <c r="AH23">
        <v>-1.9789120276020182</v>
      </c>
      <c r="AI23">
        <v>6.2271121490351476E-6</v>
      </c>
    </row>
    <row r="24" spans="1:35" x14ac:dyDescent="0.25">
      <c r="L24" t="str">
        <f ca="1"/>
        <v>Alcohol</v>
      </c>
      <c r="M24">
        <v>-0.65561401174294509</v>
      </c>
      <c r="N24">
        <v>6.0475883921003504E-2</v>
      </c>
      <c r="O24">
        <v>-10.840916564350502</v>
      </c>
      <c r="P24">
        <v>1.7199666215804826E-26</v>
      </c>
      <c r="Q24">
        <v>-0.77423259185916793</v>
      </c>
      <c r="R24">
        <v>-0.53699543162672225</v>
      </c>
      <c r="T24" t="s">
        <v>264</v>
      </c>
      <c r="U24" s="5">
        <v>0</v>
      </c>
      <c r="W24">
        <v>22</v>
      </c>
      <c r="X24">
        <v>72.290760420898977</v>
      </c>
      <c r="Y24">
        <v>3.9092395791010262</v>
      </c>
      <c r="Z24">
        <v>72.281449844133405</v>
      </c>
      <c r="AA24">
        <v>0.81322013341419042</v>
      </c>
      <c r="AB24">
        <v>46.2</v>
      </c>
      <c r="AC24">
        <v>0.88194836619248052</v>
      </c>
      <c r="AD24">
        <v>0.52958164071126534</v>
      </c>
      <c r="AE24">
        <v>-1.9311616034758294</v>
      </c>
      <c r="AF24">
        <v>2.3760259267403363E-3</v>
      </c>
      <c r="AG24">
        <v>0.53021191394740819</v>
      </c>
      <c r="AH24">
        <v>-1.9617428230881191</v>
      </c>
      <c r="AI24">
        <v>3.7197243466995936E-5</v>
      </c>
    </row>
    <row r="25" spans="1:35" x14ac:dyDescent="0.25">
      <c r="L25" t="str">
        <f ca="1"/>
        <v>percentage expenditure</v>
      </c>
      <c r="M25">
        <v>1.1415767872093941E-3</v>
      </c>
      <c r="N25">
        <v>3.698459703878289E-4</v>
      </c>
      <c r="O25">
        <v>3.0866276196339539</v>
      </c>
      <c r="P25">
        <v>2.0584834135213216E-3</v>
      </c>
      <c r="Q25">
        <v>4.1615367596695662E-4</v>
      </c>
      <c r="R25">
        <v>1.8669998984518314E-3</v>
      </c>
      <c r="T25" t="s">
        <v>265</v>
      </c>
      <c r="U25" s="5">
        <v>0</v>
      </c>
      <c r="W25">
        <v>23</v>
      </c>
      <c r="X25">
        <v>70.9178926073632</v>
      </c>
      <c r="Y25">
        <v>5.1821073926367944</v>
      </c>
      <c r="Z25">
        <v>70.906977002581783</v>
      </c>
      <c r="AA25">
        <v>0.81079442086112796</v>
      </c>
      <c r="AB25">
        <v>46.4</v>
      </c>
      <c r="AC25">
        <v>0.873012700415573</v>
      </c>
      <c r="AD25">
        <v>0.70201605192119354</v>
      </c>
      <c r="AE25">
        <v>-1.9278426951626308</v>
      </c>
      <c r="AF25">
        <v>2.1019750513041544E-3</v>
      </c>
      <c r="AG25">
        <v>0.70275502721957894</v>
      </c>
      <c r="AH25">
        <v>-1.9387306473246588</v>
      </c>
      <c r="AI25">
        <v>5.7793209182235092E-5</v>
      </c>
    </row>
    <row r="26" spans="1:35" x14ac:dyDescent="0.25">
      <c r="L26" t="str">
        <f ca="1"/>
        <v>Hepatitis B</v>
      </c>
      <c r="M26">
        <v>1.5686452510347944E-2</v>
      </c>
      <c r="N26">
        <v>9.1074978079920092E-3</v>
      </c>
      <c r="O26">
        <v>1.7223668718956784</v>
      </c>
      <c r="P26">
        <v>8.5192656977017694E-2</v>
      </c>
      <c r="Q26">
        <v>-2.1771716047917014E-3</v>
      </c>
      <c r="R26">
        <v>3.355007662548759E-2</v>
      </c>
      <c r="T26" t="s">
        <v>266</v>
      </c>
      <c r="U26" s="5">
        <v>0</v>
      </c>
      <c r="W26">
        <v>24</v>
      </c>
      <c r="X26">
        <v>69.759767961954708</v>
      </c>
      <c r="Y26">
        <v>5.5402320380452892</v>
      </c>
      <c r="Z26">
        <v>69.74117748013731</v>
      </c>
      <c r="AA26">
        <v>0.77258944815039421</v>
      </c>
      <c r="AB26">
        <v>46.4</v>
      </c>
      <c r="AC26">
        <v>0.72844171022016913</v>
      </c>
      <c r="AD26">
        <v>0.75053091867647803</v>
      </c>
      <c r="AE26">
        <v>-1.9187020549969134</v>
      </c>
      <c r="AF26">
        <v>3.3443200877465362E-3</v>
      </c>
      <c r="AG26">
        <v>0.75178908314989012</v>
      </c>
      <c r="AH26">
        <v>-1.9382169934958167</v>
      </c>
      <c r="AI26">
        <v>1.0536156580066864E-4</v>
      </c>
    </row>
    <row r="27" spans="1:35" x14ac:dyDescent="0.25">
      <c r="L27" t="str">
        <f ca="1"/>
        <v>Measles</v>
      </c>
      <c r="M27">
        <v>7.1740751306677544E-5</v>
      </c>
      <c r="N27">
        <v>2.2067219218583282E-5</v>
      </c>
      <c r="O27">
        <v>3.2510100432710209</v>
      </c>
      <c r="P27">
        <v>1.1734157034034877E-3</v>
      </c>
      <c r="Q27">
        <v>2.8457676449251982E-5</v>
      </c>
      <c r="R27">
        <v>1.150238261641031E-4</v>
      </c>
      <c r="T27" t="s">
        <v>267</v>
      </c>
      <c r="U27" s="5">
        <v>0</v>
      </c>
      <c r="W27">
        <v>25</v>
      </c>
      <c r="X27">
        <v>68.641120033989495</v>
      </c>
      <c r="Y27">
        <v>7.258879966010511</v>
      </c>
      <c r="Z27">
        <v>68.616552814257545</v>
      </c>
      <c r="AA27">
        <v>0.79866585809581569</v>
      </c>
      <c r="AB27">
        <v>46.6</v>
      </c>
      <c r="AC27">
        <v>0.82933781119598415</v>
      </c>
      <c r="AD27">
        <v>0.98335481475146391</v>
      </c>
      <c r="AE27">
        <v>-1.9041954273499448</v>
      </c>
      <c r="AF27">
        <v>3.3730209206488298E-3</v>
      </c>
      <c r="AG27">
        <v>0.98501746022048653</v>
      </c>
      <c r="AH27">
        <v>-1.9377980663944057</v>
      </c>
      <c r="AI27">
        <v>1.8243230600320092E-4</v>
      </c>
    </row>
    <row r="28" spans="1:35" x14ac:dyDescent="0.25">
      <c r="L28" t="str">
        <f ca="1"/>
        <v>BMI</v>
      </c>
      <c r="M28">
        <v>0.10158241469525493</v>
      </c>
      <c r="N28">
        <v>1.2187228667517534E-2</v>
      </c>
      <c r="O28">
        <v>8.3351529266043283</v>
      </c>
      <c r="P28">
        <v>1.6225438346515406E-16</v>
      </c>
      <c r="Q28">
        <v>7.7678146309843488E-2</v>
      </c>
      <c r="R28">
        <v>0.12548668308066638</v>
      </c>
      <c r="T28" t="s">
        <v>268</v>
      </c>
      <c r="U28" s="5">
        <v>0</v>
      </c>
      <c r="W28">
        <v>26</v>
      </c>
      <c r="X28">
        <v>64.195156037357421</v>
      </c>
      <c r="Y28">
        <v>10.004843962642582</v>
      </c>
      <c r="Z28">
        <v>64.134594831513795</v>
      </c>
      <c r="AA28">
        <v>0.7010309278350515</v>
      </c>
      <c r="AB28">
        <v>46.7</v>
      </c>
      <c r="AC28">
        <v>0.5039283835636299</v>
      </c>
      <c r="AD28">
        <v>1.3553484184294682</v>
      </c>
      <c r="AE28">
        <v>-1.9018445333238041</v>
      </c>
      <c r="AF28">
        <v>6.0167678131062031E-3</v>
      </c>
      <c r="AG28">
        <v>1.3594443191573355</v>
      </c>
      <c r="AH28">
        <v>-1.9364847998776042</v>
      </c>
      <c r="AI28">
        <v>6.2149056162348571E-4</v>
      </c>
    </row>
    <row r="29" spans="1:35" x14ac:dyDescent="0.25">
      <c r="L29" t="str">
        <f ca="1"/>
        <v>under-five deaths</v>
      </c>
      <c r="M29">
        <v>2.2849053851415821E-2</v>
      </c>
      <c r="N29">
        <v>1.5642855632048151E-2</v>
      </c>
      <c r="O29">
        <v>1.4606702502965021</v>
      </c>
      <c r="P29">
        <v>0.144298559518488</v>
      </c>
      <c r="Q29">
        <v>-7.8331487677372573E-3</v>
      </c>
      <c r="R29">
        <v>5.3531256470568903E-2</v>
      </c>
      <c r="T29" t="s">
        <v>269</v>
      </c>
      <c r="U29" s="5">
        <v>0</v>
      </c>
      <c r="W29">
        <v>27</v>
      </c>
      <c r="X29">
        <v>66.285148649370115</v>
      </c>
      <c r="Y29">
        <v>7.2148513506298855</v>
      </c>
      <c r="Z29">
        <v>66.258757094564402</v>
      </c>
      <c r="AA29">
        <v>0.64463311097634934</v>
      </c>
      <c r="AB29">
        <v>47.1</v>
      </c>
      <c r="AC29">
        <v>0.35220887014201224</v>
      </c>
      <c r="AD29">
        <v>0.97739029252157306</v>
      </c>
      <c r="AE29">
        <v>-1.8837462100417599</v>
      </c>
      <c r="AF29">
        <v>3.6446166977626418E-3</v>
      </c>
      <c r="AG29">
        <v>0.97917628243368282</v>
      </c>
      <c r="AH29">
        <v>-1.9067847430742471</v>
      </c>
      <c r="AI29">
        <v>1.9484391835615316E-4</v>
      </c>
    </row>
    <row r="30" spans="1:35" x14ac:dyDescent="0.25">
      <c r="L30" t="str">
        <f ca="1"/>
        <v>Polio</v>
      </c>
      <c r="M30">
        <v>6.3337454517096367E-2</v>
      </c>
      <c r="N30">
        <v>1.0482032001796791E-2</v>
      </c>
      <c r="O30">
        <v>6.0424786440491021</v>
      </c>
      <c r="P30">
        <v>1.8765612130493428E-9</v>
      </c>
      <c r="Q30">
        <v>4.2777792182766776E-2</v>
      </c>
      <c r="R30">
        <v>8.3897116851425951E-2</v>
      </c>
      <c r="T30" t="s">
        <v>270</v>
      </c>
      <c r="U30" s="5">
        <v>0</v>
      </c>
      <c r="W30">
        <v>28</v>
      </c>
      <c r="X30">
        <v>66.872445246014962</v>
      </c>
      <c r="Y30">
        <v>6.1275547539850379</v>
      </c>
      <c r="Z30">
        <v>66.852172234101744</v>
      </c>
      <c r="AA30">
        <v>0.60946027895694366</v>
      </c>
      <c r="AB30">
        <v>47.1</v>
      </c>
      <c r="AC30">
        <v>0.22222871718700732</v>
      </c>
      <c r="AD30">
        <v>0.83009506951470691</v>
      </c>
      <c r="AE30">
        <v>-1.8798304906422643</v>
      </c>
      <c r="AF30">
        <v>3.2975894389361349E-3</v>
      </c>
      <c r="AG30">
        <v>0.83146712016079827</v>
      </c>
      <c r="AH30">
        <v>-1.8824490948523451</v>
      </c>
      <c r="AI30">
        <v>1.2707166773758566E-4</v>
      </c>
    </row>
    <row r="31" spans="1:35" x14ac:dyDescent="0.25">
      <c r="L31" t="str">
        <f ca="1"/>
        <v>Total expenditure</v>
      </c>
      <c r="M31">
        <v>0.78195921051006623</v>
      </c>
      <c r="N31">
        <v>8.1233352226015215E-2</v>
      </c>
      <c r="O31">
        <v>9.6260857034980454</v>
      </c>
      <c r="P31">
        <v>2.2670993466795489E-21</v>
      </c>
      <c r="Q31">
        <v>0.62262652656422002</v>
      </c>
      <c r="R31">
        <v>0.94129189445591244</v>
      </c>
      <c r="W31">
        <v>29</v>
      </c>
      <c r="X31">
        <v>66.311784364460138</v>
      </c>
      <c r="Y31">
        <v>6.4882156355398592</v>
      </c>
      <c r="Z31">
        <v>66.289387321328377</v>
      </c>
      <c r="AA31">
        <v>0.58156458459672533</v>
      </c>
      <c r="AB31">
        <v>47.1</v>
      </c>
      <c r="AC31">
        <v>0.18343432307636306</v>
      </c>
      <c r="AD31">
        <v>0.87895351820515433</v>
      </c>
      <c r="AE31">
        <v>-1.8461792621034467</v>
      </c>
      <c r="AF31">
        <v>3.4400822529538798E-3</v>
      </c>
      <c r="AG31">
        <v>0.88046926625122712</v>
      </c>
      <c r="AH31">
        <v>-1.8575155796602028</v>
      </c>
      <c r="AI31">
        <v>1.4866930395384905E-4</v>
      </c>
    </row>
    <row r="32" spans="1:35" x14ac:dyDescent="0.25">
      <c r="L32" t="str">
        <f ca="1"/>
        <v>Diphtheria</v>
      </c>
      <c r="M32">
        <v>8.2129769121988272E-2</v>
      </c>
      <c r="N32">
        <v>1.2038336375633132E-2</v>
      </c>
      <c r="O32">
        <v>6.822352072519557</v>
      </c>
      <c r="P32">
        <v>1.2580671939662868E-11</v>
      </c>
      <c r="Q32">
        <v>5.8517540986482861E-2</v>
      </c>
      <c r="R32">
        <v>0.10574199725749368</v>
      </c>
      <c r="W32">
        <v>30</v>
      </c>
      <c r="X32">
        <v>66.56998974357893</v>
      </c>
      <c r="Y32">
        <v>6.7300102564210675</v>
      </c>
      <c r="Z32">
        <v>66.547456291944997</v>
      </c>
      <c r="AA32">
        <v>0.63007883565797451</v>
      </c>
      <c r="AB32">
        <v>47.8</v>
      </c>
      <c r="AC32">
        <v>0.3152427890443939</v>
      </c>
      <c r="AD32">
        <v>0.91170924715202928</v>
      </c>
      <c r="AE32">
        <v>-1.8392675589671723</v>
      </c>
      <c r="AF32">
        <v>3.3370315851562662E-3</v>
      </c>
      <c r="AG32">
        <v>0.91323426627003246</v>
      </c>
      <c r="AH32">
        <v>-1.8443670111902977</v>
      </c>
      <c r="AI32">
        <v>1.5513289153921804E-4</v>
      </c>
    </row>
    <row r="33" spans="12:35" x14ac:dyDescent="0.25">
      <c r="L33" t="str">
        <f ca="1"/>
        <v>HIV/AIDS</v>
      </c>
      <c r="M33">
        <v>-0.53841223383207071</v>
      </c>
      <c r="N33">
        <v>3.6586957214359929E-2</v>
      </c>
      <c r="O33">
        <v>-14.715960955090043</v>
      </c>
      <c r="P33">
        <v>4.0212216223103381E-46</v>
      </c>
      <c r="Q33">
        <v>-0.61017460643681587</v>
      </c>
      <c r="R33">
        <v>-0.46664986122732555</v>
      </c>
      <c r="W33">
        <v>31</v>
      </c>
      <c r="X33">
        <v>65.379827875708571</v>
      </c>
      <c r="Y33">
        <v>8.2201721242914232</v>
      </c>
      <c r="Z33">
        <v>65.353359462140375</v>
      </c>
      <c r="AA33">
        <v>0.65433596118859916</v>
      </c>
      <c r="AB33">
        <v>47.8</v>
      </c>
      <c r="AC33">
        <v>0.3716850598056044</v>
      </c>
      <c r="AD33">
        <v>1.1135803146432735</v>
      </c>
      <c r="AE33">
        <v>-1.8377783149486038</v>
      </c>
      <c r="AF33">
        <v>3.2095995268231307E-3</v>
      </c>
      <c r="AG33">
        <v>1.1153717014496687</v>
      </c>
      <c r="AH33">
        <v>-1.8435554113903461</v>
      </c>
      <c r="AI33">
        <v>2.2254289767443644E-4</v>
      </c>
    </row>
    <row r="34" spans="12:35" x14ac:dyDescent="0.25">
      <c r="L34" t="str">
        <f ca="1"/>
        <v>GDP</v>
      </c>
      <c r="M34">
        <v>-1.7715285139888778E-4</v>
      </c>
      <c r="N34">
        <v>5.8002692539489708E-5</v>
      </c>
      <c r="O34">
        <v>-3.054217720639048</v>
      </c>
      <c r="P34">
        <v>2.2930128936129476E-3</v>
      </c>
      <c r="Q34">
        <v>-2.909204656257314E-4</v>
      </c>
      <c r="R34">
        <v>-6.3385237172044174E-5</v>
      </c>
      <c r="W34">
        <v>32</v>
      </c>
      <c r="X34">
        <v>66.077410618622793</v>
      </c>
      <c r="Y34">
        <v>6.5225893813772018</v>
      </c>
      <c r="Z34">
        <v>66.056647696534256</v>
      </c>
      <c r="AA34">
        <v>0.56458459672528805</v>
      </c>
      <c r="AB34">
        <v>47.8</v>
      </c>
      <c r="AC34">
        <v>0.14798710972583889</v>
      </c>
      <c r="AD34">
        <v>0.88361010277859664</v>
      </c>
      <c r="AE34">
        <v>-1.7823987179324972</v>
      </c>
      <c r="AF34">
        <v>3.1731322303312189E-3</v>
      </c>
      <c r="AG34">
        <v>0.88501535379788643</v>
      </c>
      <c r="AH34">
        <v>-1.7873736284080954</v>
      </c>
      <c r="AI34">
        <v>1.3851523413136685E-4</v>
      </c>
    </row>
    <row r="35" spans="12:35" x14ac:dyDescent="0.25">
      <c r="L35" t="str">
        <f ca="1"/>
        <v>Population</v>
      </c>
      <c r="M35">
        <v>-1.1084626388126037E-8</v>
      </c>
      <c r="N35">
        <v>3.5855381680195885E-9</v>
      </c>
      <c r="O35">
        <v>-3.0914819111376084</v>
      </c>
      <c r="P35">
        <v>2.0253169785142519E-3</v>
      </c>
      <c r="Q35">
        <v>-1.8117370994200232E-8</v>
      </c>
      <c r="R35">
        <v>-4.0518817820518434E-9</v>
      </c>
      <c r="W35">
        <v>33</v>
      </c>
      <c r="X35">
        <v>84.226759912543002</v>
      </c>
      <c r="Y35">
        <v>-8.8267599125429967</v>
      </c>
      <c r="Z35">
        <v>84.268921351455049</v>
      </c>
      <c r="AA35">
        <v>0.77986658580958157</v>
      </c>
      <c r="AB35">
        <v>48.1</v>
      </c>
      <c r="AC35">
        <v>0.74840704313415274</v>
      </c>
      <c r="AD35">
        <v>-1.1957542898212181</v>
      </c>
      <c r="AE35">
        <v>-1.7721372177605497</v>
      </c>
      <c r="AF35">
        <v>4.7538406578746303E-3</v>
      </c>
      <c r="AG35">
        <v>-1.1986066763829375</v>
      </c>
      <c r="AH35">
        <v>-1.7866261101893555</v>
      </c>
      <c r="AI35">
        <v>3.8123695327914271E-4</v>
      </c>
    </row>
    <row r="36" spans="12:35" x14ac:dyDescent="0.25">
      <c r="L36" t="str">
        <f ca="1"/>
        <v>thinness 1-19 years</v>
      </c>
      <c r="M36">
        <v>0.49121851679145984</v>
      </c>
      <c r="N36">
        <v>0.10808726184796649</v>
      </c>
      <c r="O36">
        <v>4.5446476152055597</v>
      </c>
      <c r="P36">
        <v>5.9077480295214926E-6</v>
      </c>
      <c r="Q36">
        <v>0.27921404992324872</v>
      </c>
      <c r="R36">
        <v>0.70322298365967095</v>
      </c>
      <c r="W36">
        <v>34</v>
      </c>
      <c r="X36">
        <v>84.445688294015568</v>
      </c>
      <c r="Y36">
        <v>-9.1456882940155708</v>
      </c>
      <c r="Z36">
        <v>84.473448013289996</v>
      </c>
      <c r="AA36">
        <v>0.77258944815039421</v>
      </c>
      <c r="AB36">
        <v>48.1</v>
      </c>
      <c r="AC36">
        <v>0.72844171022016913</v>
      </c>
      <c r="AD36">
        <v>-1.2389592692327061</v>
      </c>
      <c r="AE36">
        <v>-1.7614129397907132</v>
      </c>
      <c r="AF36">
        <v>3.02609435778176E-3</v>
      </c>
      <c r="AG36">
        <v>-1.240838138363195</v>
      </c>
      <c r="AH36">
        <v>-1.7774428876088912</v>
      </c>
      <c r="AI36">
        <v>2.5963093431643857E-4</v>
      </c>
    </row>
    <row r="37" spans="12:35" x14ac:dyDescent="0.25">
      <c r="L37" t="str">
        <f ca="1"/>
        <v>thinness 5-9 years</v>
      </c>
      <c r="M37">
        <v>0.20107036536345524</v>
      </c>
      <c r="N37">
        <v>0.10736916165459325</v>
      </c>
      <c r="O37">
        <v>1.8727012697584331</v>
      </c>
      <c r="P37">
        <v>6.1288420741517635E-2</v>
      </c>
      <c r="Q37">
        <v>-9.5256057574198971E-3</v>
      </c>
      <c r="R37">
        <v>0.41166633648433038</v>
      </c>
      <c r="W37">
        <v>35</v>
      </c>
      <c r="X37">
        <v>83.401743043829185</v>
      </c>
      <c r="Y37">
        <v>-8.301743043829191</v>
      </c>
      <c r="Z37">
        <v>83.42609671183186</v>
      </c>
      <c r="AA37">
        <v>0.76288659793814428</v>
      </c>
      <c r="AB37">
        <v>48.1</v>
      </c>
      <c r="AC37">
        <v>0.70876261491573156</v>
      </c>
      <c r="AD37">
        <v>-1.1246306635740679</v>
      </c>
      <c r="AE37">
        <v>-1.7595525446339955</v>
      </c>
      <c r="AF37">
        <v>2.9249801972721597E-3</v>
      </c>
      <c r="AG37">
        <v>-1.1262790417720685</v>
      </c>
      <c r="AH37">
        <v>-1.7726721302180199</v>
      </c>
      <c r="AI37">
        <v>2.0673527903954157E-4</v>
      </c>
    </row>
    <row r="38" spans="12:35" x14ac:dyDescent="0.25">
      <c r="L38" t="str">
        <f ca="1"/>
        <v>Income composition of resources</v>
      </c>
      <c r="M38">
        <v>19.408956085829281</v>
      </c>
      <c r="N38">
        <v>1.690307868981314</v>
      </c>
      <c r="O38">
        <v>11.482497621883722</v>
      </c>
      <c r="P38">
        <v>2.1062919312465837E-29</v>
      </c>
      <c r="Q38">
        <v>16.093553211524092</v>
      </c>
      <c r="R38">
        <v>22.72435896013447</v>
      </c>
      <c r="W38">
        <v>36</v>
      </c>
      <c r="X38">
        <v>81.46503806270735</v>
      </c>
      <c r="Y38">
        <v>-6.5650380627073446</v>
      </c>
      <c r="Z38">
        <v>81.484742224533136</v>
      </c>
      <c r="AA38">
        <v>0.74833232261976956</v>
      </c>
      <c r="AB38">
        <v>48.2</v>
      </c>
      <c r="AC38">
        <v>0.64941472986293525</v>
      </c>
      <c r="AD38">
        <v>-0.88936059257334499</v>
      </c>
      <c r="AE38">
        <v>-1.757577045193585</v>
      </c>
      <c r="AF38">
        <v>2.9923968401332933E-3</v>
      </c>
      <c r="AG38">
        <v>-0.89069424635033523</v>
      </c>
      <c r="AH38">
        <v>-1.7668720593419029</v>
      </c>
      <c r="AI38">
        <v>1.3228344785917246E-4</v>
      </c>
    </row>
    <row r="39" spans="12:35" x14ac:dyDescent="0.25">
      <c r="L39" t="str">
        <f ca="1"/>
        <v>Schooling</v>
      </c>
      <c r="M39">
        <v>2.7265195128408788</v>
      </c>
      <c r="N39">
        <v>0.11008781457267841</v>
      </c>
      <c r="O39">
        <v>24.766769359753884</v>
      </c>
      <c r="P39">
        <v>3.2485641459355288E-115</v>
      </c>
      <c r="Q39">
        <v>2.5105911227777136</v>
      </c>
      <c r="R39">
        <v>2.942447902904044</v>
      </c>
      <c r="W39">
        <v>37</v>
      </c>
      <c r="X39">
        <v>80.132272296909008</v>
      </c>
      <c r="Y39">
        <v>-5.4322722969090051</v>
      </c>
      <c r="Z39">
        <v>80.147959491938224</v>
      </c>
      <c r="AA39">
        <v>0.7362037598544573</v>
      </c>
      <c r="AB39">
        <v>48.2</v>
      </c>
      <c r="AC39">
        <v>0.61415241452626612</v>
      </c>
      <c r="AD39">
        <v>-0.73590569663908512</v>
      </c>
      <c r="AE39">
        <v>-1.7565988222831974</v>
      </c>
      <c r="AF39">
        <v>2.8794624946148761E-3</v>
      </c>
      <c r="AG39">
        <v>-0.73696749667667205</v>
      </c>
      <c r="AH39">
        <v>-1.7661087196311052</v>
      </c>
      <c r="AI39">
        <v>8.7134055468248101E-5</v>
      </c>
    </row>
    <row r="40" spans="12:35" x14ac:dyDescent="0.25">
      <c r="W40">
        <v>38</v>
      </c>
      <c r="X40">
        <v>79.055077849997431</v>
      </c>
      <c r="Y40">
        <v>-4.6550778499974257</v>
      </c>
      <c r="Z40">
        <v>79.06689501839179</v>
      </c>
      <c r="AA40">
        <v>0.71376591873862949</v>
      </c>
      <c r="AB40">
        <v>48.4</v>
      </c>
      <c r="AC40">
        <v>0.54051528578164909</v>
      </c>
      <c r="AD40">
        <v>-0.63061977030510286</v>
      </c>
      <c r="AE40">
        <v>-1.7375619364323949</v>
      </c>
      <c r="AF40">
        <v>2.5321264669094339E-3</v>
      </c>
      <c r="AG40">
        <v>-0.63141969426300404</v>
      </c>
      <c r="AH40">
        <v>-1.7635061972341173</v>
      </c>
      <c r="AI40">
        <v>5.6227686921159151E-5</v>
      </c>
    </row>
    <row r="41" spans="12:35" x14ac:dyDescent="0.25">
      <c r="W41">
        <v>39</v>
      </c>
      <c r="X41">
        <v>76.50468016977328</v>
      </c>
      <c r="Y41">
        <v>-2.404680169773286</v>
      </c>
      <c r="Z41">
        <v>76.511708608246437</v>
      </c>
      <c r="AA41">
        <v>0.69254093389933291</v>
      </c>
      <c r="AB41">
        <v>48.5</v>
      </c>
      <c r="AC41">
        <v>0.48161589062349974</v>
      </c>
      <c r="AD41">
        <v>-0.32576014949363391</v>
      </c>
      <c r="AE41">
        <v>-1.7332314288481117</v>
      </c>
      <c r="AF41">
        <v>2.9142983729995536E-3</v>
      </c>
      <c r="AG41">
        <v>-0.32623587067846022</v>
      </c>
      <c r="AH41">
        <v>-1.7435126434437762</v>
      </c>
      <c r="AI41">
        <v>1.728193801374134E-5</v>
      </c>
    </row>
    <row r="42" spans="12:35" x14ac:dyDescent="0.25">
      <c r="W42">
        <v>40</v>
      </c>
      <c r="X42">
        <v>69.426899910045989</v>
      </c>
      <c r="Y42">
        <v>4.3731000899540078</v>
      </c>
      <c r="Z42">
        <v>69.36082776190662</v>
      </c>
      <c r="AA42">
        <v>0.66767738023044265</v>
      </c>
      <c r="AB42">
        <v>48.6</v>
      </c>
      <c r="AC42">
        <v>0.4143837514429769</v>
      </c>
      <c r="AD42">
        <v>0.59242046279624438</v>
      </c>
      <c r="AE42">
        <v>-1.7163669279097076</v>
      </c>
      <c r="AF42">
        <v>1.4883889291881558E-2</v>
      </c>
      <c r="AG42">
        <v>0.59687905619114401</v>
      </c>
      <c r="AH42">
        <v>-1.7353605906222123</v>
      </c>
      <c r="AI42">
        <v>2.990399316766266E-4</v>
      </c>
    </row>
    <row r="43" spans="12:35" x14ac:dyDescent="0.25">
      <c r="W43">
        <v>41</v>
      </c>
      <c r="X43">
        <v>73.320141727971802</v>
      </c>
      <c r="Y43">
        <v>7.9858272028204169E-2</v>
      </c>
      <c r="Z43">
        <v>73.319050015191365</v>
      </c>
      <c r="AA43">
        <v>0.63735597331716187</v>
      </c>
      <c r="AB43">
        <v>48.7</v>
      </c>
      <c r="AC43">
        <v>0.33286538375086522</v>
      </c>
      <c r="AD43">
        <v>1.0818337906726174E-2</v>
      </c>
      <c r="AE43">
        <v>-1.7077623963741178</v>
      </c>
      <c r="AF43">
        <v>1.3486262943878261E-2</v>
      </c>
      <c r="AG43">
        <v>1.089203363494547E-2</v>
      </c>
      <c r="AH43">
        <v>-1.7190389166582001</v>
      </c>
      <c r="AI43">
        <v>9.0101895672050801E-8</v>
      </c>
    </row>
    <row r="44" spans="12:35" x14ac:dyDescent="0.25">
      <c r="W44">
        <v>42</v>
      </c>
      <c r="X44">
        <v>72.722941250763085</v>
      </c>
      <c r="Y44">
        <v>0.17705874923692022</v>
      </c>
      <c r="Z44">
        <v>72.722369253850644</v>
      </c>
      <c r="AA44">
        <v>0.58762886597938147</v>
      </c>
      <c r="AB44">
        <v>48.8</v>
      </c>
      <c r="AC44">
        <v>0.206674078513852</v>
      </c>
      <c r="AD44">
        <v>2.3986010840690276E-2</v>
      </c>
      <c r="AE44">
        <v>-1.7023981574837417</v>
      </c>
      <c r="AF44">
        <v>3.2201458635166859E-3</v>
      </c>
      <c r="AG44">
        <v>2.4024723588135476E-2</v>
      </c>
      <c r="AH44">
        <v>-1.7135046006672421</v>
      </c>
      <c r="AI44">
        <v>1.0359065683631241E-7</v>
      </c>
    </row>
    <row r="45" spans="12:35" x14ac:dyDescent="0.25">
      <c r="W45">
        <v>43</v>
      </c>
      <c r="X45">
        <v>70.475087730211442</v>
      </c>
      <c r="Y45">
        <v>1.8249122697885554</v>
      </c>
      <c r="Z45">
        <v>70.468172271745061</v>
      </c>
      <c r="AA45">
        <v>0.54578532443905392</v>
      </c>
      <c r="AB45">
        <v>48.9</v>
      </c>
      <c r="AC45">
        <v>9.896716322379942E-2</v>
      </c>
      <c r="AD45">
        <v>0.24721944368807044</v>
      </c>
      <c r="AE45">
        <v>-1.6770381696446137</v>
      </c>
      <c r="AF45">
        <v>3.7751685705553388E-3</v>
      </c>
      <c r="AG45">
        <v>0.24768741665023775</v>
      </c>
      <c r="AH45">
        <v>-1.7079278482677052</v>
      </c>
      <c r="AI45">
        <v>1.2915593510994429E-5</v>
      </c>
    </row>
    <row r="46" spans="12:35" x14ac:dyDescent="0.25">
      <c r="W46">
        <v>44</v>
      </c>
      <c r="X46">
        <v>61.425842388158713</v>
      </c>
      <c r="Y46">
        <v>-9.7258423881587106</v>
      </c>
      <c r="Z46">
        <v>61.488307627442374</v>
      </c>
      <c r="AA46">
        <v>4.4269254093389936E-2</v>
      </c>
      <c r="AB46">
        <v>49.1</v>
      </c>
      <c r="AC46">
        <v>-1.7129636683890181</v>
      </c>
      <c r="AD46">
        <v>-1.3175522924600866</v>
      </c>
      <c r="AE46">
        <v>-1.6713420110941555</v>
      </c>
      <c r="AF46">
        <v>6.381617912021631E-3</v>
      </c>
      <c r="AG46">
        <v>-1.3217765792396021</v>
      </c>
      <c r="AH46">
        <v>-1.6792669489659846</v>
      </c>
      <c r="AI46">
        <v>6.2338274938139734E-4</v>
      </c>
    </row>
    <row r="47" spans="12:35" x14ac:dyDescent="0.25">
      <c r="W47">
        <v>45</v>
      </c>
      <c r="X47">
        <v>63.222990435016598</v>
      </c>
      <c r="Y47">
        <v>-12.122990435016597</v>
      </c>
      <c r="Z47">
        <v>63.289159231031121</v>
      </c>
      <c r="AA47">
        <v>3.8811400848999394E-2</v>
      </c>
      <c r="AB47">
        <v>49.2</v>
      </c>
      <c r="AC47">
        <v>-1.7755718253255368</v>
      </c>
      <c r="AD47">
        <v>-1.6422920711294555</v>
      </c>
      <c r="AE47">
        <v>-1.6677558572759161</v>
      </c>
      <c r="AF47">
        <v>5.4284954983665626E-3</v>
      </c>
      <c r="AG47">
        <v>-1.6467678896735813</v>
      </c>
      <c r="AH47">
        <v>-1.6707538097045933</v>
      </c>
      <c r="AI47">
        <v>8.2231032820962433E-4</v>
      </c>
    </row>
    <row r="48" spans="12:35" x14ac:dyDescent="0.25">
      <c r="W48">
        <v>46</v>
      </c>
      <c r="X48">
        <v>58.623607028190641</v>
      </c>
      <c r="Y48">
        <v>-2.6236070281906407</v>
      </c>
      <c r="Z48">
        <v>58.638438255596341</v>
      </c>
      <c r="AA48">
        <v>9.2783505154639179E-2</v>
      </c>
      <c r="AB48">
        <v>49.2</v>
      </c>
      <c r="AC48">
        <v>-1.3329906577816031</v>
      </c>
      <c r="AD48">
        <v>-0.35541800047218336</v>
      </c>
      <c r="AE48">
        <v>-1.659652913705659</v>
      </c>
      <c r="AF48">
        <v>5.6212145098504494E-3</v>
      </c>
      <c r="AG48">
        <v>-0.35642117215197305</v>
      </c>
      <c r="AH48">
        <v>-1.6678081473575923</v>
      </c>
      <c r="AI48">
        <v>3.9896315667490396E-5</v>
      </c>
    </row>
    <row r="49" spans="23:35" x14ac:dyDescent="0.25">
      <c r="W49">
        <v>47</v>
      </c>
      <c r="X49">
        <v>55.310677902656622</v>
      </c>
      <c r="Y49">
        <v>-4.3106779026566215</v>
      </c>
      <c r="Z49">
        <v>55.335399777603719</v>
      </c>
      <c r="AA49">
        <v>3.7598544572468161E-2</v>
      </c>
      <c r="AB49">
        <v>49.3</v>
      </c>
      <c r="AC49">
        <v>-1.7980761038936304</v>
      </c>
      <c r="AD49">
        <v>-0.58396417770630937</v>
      </c>
      <c r="AE49">
        <v>-1.6495738629015497</v>
      </c>
      <c r="AF49">
        <v>5.7023287851811402E-3</v>
      </c>
      <c r="AG49">
        <v>-0.5856363102715515</v>
      </c>
      <c r="AH49">
        <v>-1.6624612412329642</v>
      </c>
      <c r="AI49">
        <v>1.0927462340111319E-4</v>
      </c>
    </row>
    <row r="50" spans="23:35" x14ac:dyDescent="0.25">
      <c r="W50">
        <v>48</v>
      </c>
      <c r="X50">
        <v>53.765607455613939</v>
      </c>
      <c r="Y50">
        <v>-4.1656074556139373</v>
      </c>
      <c r="Z50">
        <v>53.793938637682245</v>
      </c>
      <c r="AA50">
        <v>3.0927835051546393E-2</v>
      </c>
      <c r="AB50">
        <v>49.4</v>
      </c>
      <c r="AC50">
        <v>-1.8805262984826756</v>
      </c>
      <c r="AD50">
        <v>-0.5643115972468512</v>
      </c>
      <c r="AE50">
        <v>-1.6422920711294555</v>
      </c>
      <c r="AF50">
        <v>6.7552686187991604E-3</v>
      </c>
      <c r="AG50">
        <v>-0.56622734699446764</v>
      </c>
      <c r="AH50">
        <v>-1.655616126606775</v>
      </c>
      <c r="AI50">
        <v>1.211422203003655E-4</v>
      </c>
    </row>
    <row r="51" spans="23:35" x14ac:dyDescent="0.25">
      <c r="W51">
        <v>49</v>
      </c>
      <c r="X51">
        <v>48.500690632532994</v>
      </c>
      <c r="Y51">
        <v>0.5993093674670078</v>
      </c>
      <c r="Z51">
        <v>48.491636006380588</v>
      </c>
      <c r="AA51">
        <v>2.6682838083687082E-2</v>
      </c>
      <c r="AB51">
        <v>49.5</v>
      </c>
      <c r="AC51">
        <v>-1.9368862628682149</v>
      </c>
      <c r="AD51">
        <v>8.1187973183724504E-2</v>
      </c>
      <c r="AE51">
        <v>-1.6308898623670107</v>
      </c>
      <c r="AF51">
        <v>1.4883566824096197E-2</v>
      </c>
      <c r="AG51">
        <v>8.1798985551407646E-2</v>
      </c>
      <c r="AH51">
        <v>-1.6467678896735813</v>
      </c>
      <c r="AI51">
        <v>5.6162028841589326E-6</v>
      </c>
    </row>
    <row r="52" spans="23:35" x14ac:dyDescent="0.25">
      <c r="W52">
        <v>50</v>
      </c>
      <c r="X52">
        <v>52.257702560975332</v>
      </c>
      <c r="Y52">
        <v>-3.5577025609753292</v>
      </c>
      <c r="Z52">
        <v>52.280372617328752</v>
      </c>
      <c r="AA52">
        <v>2.4863553668890235E-2</v>
      </c>
      <c r="AB52">
        <v>49.6</v>
      </c>
      <c r="AC52">
        <v>-1.9675426916276542</v>
      </c>
      <c r="AD52">
        <v>-0.48195919469260412</v>
      </c>
      <c r="AE52">
        <v>-1.6111517372386526</v>
      </c>
      <c r="AF52">
        <v>6.3317589470160635E-3</v>
      </c>
      <c r="AG52">
        <v>-0.4834923037254954</v>
      </c>
      <c r="AH52">
        <v>-1.6335088077684681</v>
      </c>
      <c r="AI52">
        <v>8.2754113154321864E-5</v>
      </c>
    </row>
    <row r="53" spans="23:35" x14ac:dyDescent="0.25">
      <c r="W53">
        <v>51</v>
      </c>
      <c r="X53">
        <v>52.29778388776559</v>
      </c>
      <c r="Y53">
        <v>-4.097783887765587</v>
      </c>
      <c r="Z53">
        <v>52.324659730499434</v>
      </c>
      <c r="AA53">
        <v>2.2437841115827774E-2</v>
      </c>
      <c r="AB53">
        <v>49.6</v>
      </c>
      <c r="AC53">
        <v>-2.0231624874260845</v>
      </c>
      <c r="AD53">
        <v>-0.55512359134103739</v>
      </c>
      <c r="AE53">
        <v>-1.6068424104517922</v>
      </c>
      <c r="AF53">
        <v>6.5158933075405868E-3</v>
      </c>
      <c r="AG53">
        <v>-0.5569410409571961</v>
      </c>
      <c r="AH53">
        <v>-1.6201964734713001</v>
      </c>
      <c r="AI53">
        <v>1.1302095689185586E-4</v>
      </c>
    </row>
    <row r="54" spans="23:35" x14ac:dyDescent="0.25">
      <c r="W54">
        <v>52</v>
      </c>
      <c r="X54">
        <v>83.380837073877913</v>
      </c>
      <c r="Y54">
        <v>-7.1808370738779104</v>
      </c>
      <c r="Z54">
        <v>83.417210096362297</v>
      </c>
      <c r="AA54">
        <v>0.81322013341419042</v>
      </c>
      <c r="AB54">
        <v>49.7</v>
      </c>
      <c r="AC54">
        <v>0.88194836619248052</v>
      </c>
      <c r="AD54">
        <v>-0.97278240494512014</v>
      </c>
      <c r="AE54">
        <v>-1.6053968265612453</v>
      </c>
      <c r="AF54">
        <v>5.0397621793934998E-3</v>
      </c>
      <c r="AG54">
        <v>-0.97524300547881704</v>
      </c>
      <c r="AH54">
        <v>-1.6181633551203716</v>
      </c>
      <c r="AI54">
        <v>2.6764399343924707E-4</v>
      </c>
    </row>
    <row r="55" spans="23:35" x14ac:dyDescent="0.25">
      <c r="W55">
        <v>53</v>
      </c>
      <c r="X55">
        <v>83.737447394586582</v>
      </c>
      <c r="Y55">
        <v>-7.7374473945865816</v>
      </c>
      <c r="Z55">
        <v>83.773867872120064</v>
      </c>
      <c r="AA55">
        <v>0.80836870830806551</v>
      </c>
      <c r="AB55">
        <v>49.8</v>
      </c>
      <c r="AC55">
        <v>0.83794453378675593</v>
      </c>
      <c r="AD55">
        <v>-1.0481859715245589</v>
      </c>
      <c r="AE55">
        <v>-1.5971348959489282</v>
      </c>
      <c r="AF55">
        <v>4.6849879792914169E-3</v>
      </c>
      <c r="AG55">
        <v>-1.0506500022166627</v>
      </c>
      <c r="AH55">
        <v>-1.609016826643777</v>
      </c>
      <c r="AI55">
        <v>2.886632871966916E-4</v>
      </c>
    </row>
    <row r="56" spans="23:35" x14ac:dyDescent="0.25">
      <c r="W56">
        <v>54</v>
      </c>
      <c r="X56">
        <v>82.507040864476096</v>
      </c>
      <c r="Y56">
        <v>-6.6070408644760903</v>
      </c>
      <c r="Z56">
        <v>82.537723828766076</v>
      </c>
      <c r="AA56">
        <v>0.79866585809581569</v>
      </c>
      <c r="AB56">
        <v>49.8</v>
      </c>
      <c r="AC56">
        <v>0.82933781119598415</v>
      </c>
      <c r="AD56">
        <v>-0.89505067941122496</v>
      </c>
      <c r="AE56">
        <v>-1.59711543465144</v>
      </c>
      <c r="AF56">
        <v>4.6225129399049573E-3</v>
      </c>
      <c r="AG56">
        <v>-0.89712657073957525</v>
      </c>
      <c r="AH56">
        <v>-1.6020401726360447</v>
      </c>
      <c r="AI56">
        <v>2.0764680629652222E-4</v>
      </c>
    </row>
    <row r="57" spans="23:35" x14ac:dyDescent="0.25">
      <c r="W57">
        <v>55</v>
      </c>
      <c r="X57">
        <v>76.940632978905455</v>
      </c>
      <c r="Y57">
        <v>-1.2406329789054524</v>
      </c>
      <c r="Z57">
        <v>76.954729339806775</v>
      </c>
      <c r="AA57">
        <v>0.79199514857489384</v>
      </c>
      <c r="AB57">
        <v>49.8</v>
      </c>
      <c r="AC57">
        <v>0.80177968430189828</v>
      </c>
      <c r="AD57">
        <v>-0.16806758327161481</v>
      </c>
      <c r="AE57">
        <v>-1.5846180000927281</v>
      </c>
      <c r="AF57">
        <v>1.1234582992608388E-2</v>
      </c>
      <c r="AG57">
        <v>-0.1690196978891842</v>
      </c>
      <c r="AH57">
        <v>-1.6009163160237438</v>
      </c>
      <c r="AI57">
        <v>1.8032910439481746E-5</v>
      </c>
    </row>
    <row r="58" spans="23:35" x14ac:dyDescent="0.25">
      <c r="W58">
        <v>56</v>
      </c>
      <c r="X58">
        <v>83.987638097441447</v>
      </c>
      <c r="Y58">
        <v>-8.4876380974414474</v>
      </c>
      <c r="Z58">
        <v>84.016370176534778</v>
      </c>
      <c r="AA58">
        <v>0.78411158277744086</v>
      </c>
      <c r="AB58">
        <v>49.9</v>
      </c>
      <c r="AC58">
        <v>0.77276680816182786</v>
      </c>
      <c r="AD58">
        <v>-1.1498137216855193</v>
      </c>
      <c r="AE58">
        <v>-1.5758256553696124</v>
      </c>
      <c r="AF58">
        <v>3.3737470891646677E-3</v>
      </c>
      <c r="AG58">
        <v>-1.1517582336381196</v>
      </c>
      <c r="AH58">
        <v>-1.5882005649780884</v>
      </c>
      <c r="AI58">
        <v>2.4947690402856641E-4</v>
      </c>
    </row>
    <row r="59" spans="23:35" x14ac:dyDescent="0.25">
      <c r="W59">
        <v>57</v>
      </c>
      <c r="X59">
        <v>84.477827824235987</v>
      </c>
      <c r="Y59">
        <v>-8.8778278242359931</v>
      </c>
      <c r="Z59">
        <v>84.501486839256984</v>
      </c>
      <c r="AA59">
        <v>0.78835657974530016</v>
      </c>
      <c r="AB59">
        <v>50</v>
      </c>
      <c r="AC59">
        <v>0.78719041678006285</v>
      </c>
      <c r="AD59">
        <v>-1.2026724200393446</v>
      </c>
      <c r="AE59">
        <v>-1.5598399670056988</v>
      </c>
      <c r="AF59">
        <v>2.6578722687834065E-3</v>
      </c>
      <c r="AG59">
        <v>-1.2042738879570649</v>
      </c>
      <c r="AH59">
        <v>-1.5815153759024265</v>
      </c>
      <c r="AI59">
        <v>2.1471776416496927E-4</v>
      </c>
    </row>
    <row r="60" spans="23:35" x14ac:dyDescent="0.25">
      <c r="W60">
        <v>58</v>
      </c>
      <c r="X60">
        <v>81.250455401288491</v>
      </c>
      <c r="Y60">
        <v>-5.8504554012884853</v>
      </c>
      <c r="Z60">
        <v>81.319090615372161</v>
      </c>
      <c r="AA60">
        <v>0.77986658580958157</v>
      </c>
      <c r="AB60">
        <v>50</v>
      </c>
      <c r="AC60">
        <v>0.74840704313415274</v>
      </c>
      <c r="AD60">
        <v>-0.79255663604913362</v>
      </c>
      <c r="AE60">
        <v>-1.5578549738889875</v>
      </c>
      <c r="AF60">
        <v>1.1595567384188241E-2</v>
      </c>
      <c r="AG60">
        <v>-0.79719205994793507</v>
      </c>
      <c r="AH60">
        <v>-1.5664174527671304</v>
      </c>
      <c r="AI60">
        <v>4.1420061888200336E-4</v>
      </c>
    </row>
    <row r="61" spans="23:35" x14ac:dyDescent="0.25">
      <c r="W61">
        <v>59</v>
      </c>
      <c r="X61">
        <v>82.11545194767173</v>
      </c>
      <c r="Y61">
        <v>-7.3154519476717326</v>
      </c>
      <c r="Z61">
        <v>82.133196889753719</v>
      </c>
      <c r="AA61">
        <v>0.74166161309884782</v>
      </c>
      <c r="AB61">
        <v>50</v>
      </c>
      <c r="AC61">
        <v>0.63261352584071384</v>
      </c>
      <c r="AD61">
        <v>-0.99101857704083651</v>
      </c>
      <c r="AE61">
        <v>-1.5451141484994764</v>
      </c>
      <c r="AF61">
        <v>2.419809852206438E-3</v>
      </c>
      <c r="AG61">
        <v>-0.99221979577990227</v>
      </c>
      <c r="AH61">
        <v>-1.552328073969264</v>
      </c>
      <c r="AI61">
        <v>1.3267121118540844E-4</v>
      </c>
    </row>
    <row r="62" spans="23:35" x14ac:dyDescent="0.25">
      <c r="W62">
        <v>60</v>
      </c>
      <c r="X62">
        <v>81.823055374623152</v>
      </c>
      <c r="Y62">
        <v>-6.6230553746231493</v>
      </c>
      <c r="Z62">
        <v>81.839175962531201</v>
      </c>
      <c r="AA62">
        <v>0.76652516676773808</v>
      </c>
      <c r="AB62">
        <v>51</v>
      </c>
      <c r="AC62">
        <v>0.71660092108895201</v>
      </c>
      <c r="AD62">
        <v>-0.89722015262647803</v>
      </c>
      <c r="AE62">
        <v>-1.5152724649835523</v>
      </c>
      <c r="AF62">
        <v>2.4281007159653737E-3</v>
      </c>
      <c r="AG62">
        <v>-0.89831141074001375</v>
      </c>
      <c r="AH62">
        <v>-1.5210955383706737</v>
      </c>
      <c r="AI62">
        <v>1.0911986438936455E-4</v>
      </c>
    </row>
    <row r="63" spans="23:35" x14ac:dyDescent="0.25">
      <c r="W63">
        <v>61</v>
      </c>
      <c r="X63">
        <v>82.955236405184223</v>
      </c>
      <c r="Y63">
        <v>-8.0552364051842176</v>
      </c>
      <c r="Z63">
        <v>82.979330260484247</v>
      </c>
      <c r="AA63">
        <v>0.74833232261976956</v>
      </c>
      <c r="AB63">
        <v>51</v>
      </c>
      <c r="AC63">
        <v>0.64941472986293525</v>
      </c>
      <c r="AD63">
        <v>-1.0912366012511225</v>
      </c>
      <c r="AE63">
        <v>-1.5139776729317662</v>
      </c>
      <c r="AF63">
        <v>2.9821599715841069E-3</v>
      </c>
      <c r="AG63">
        <v>-1.0928673706261611</v>
      </c>
      <c r="AH63">
        <v>-1.5206797406927204</v>
      </c>
      <c r="AI63">
        <v>1.9846796707358036E-4</v>
      </c>
    </row>
    <row r="64" spans="23:35" x14ac:dyDescent="0.25">
      <c r="W64">
        <v>62</v>
      </c>
      <c r="X64">
        <v>81.09255460967097</v>
      </c>
      <c r="Y64">
        <v>-6.3925546096709667</v>
      </c>
      <c r="Z64">
        <v>81.116294767276472</v>
      </c>
      <c r="AA64">
        <v>0.7362037598544573</v>
      </c>
      <c r="AB64">
        <v>51</v>
      </c>
      <c r="AC64">
        <v>0.61415241452626612</v>
      </c>
      <c r="AD64">
        <v>-0.86599439354505336</v>
      </c>
      <c r="AE64">
        <v>-1.5119219689491359</v>
      </c>
      <c r="AF64">
        <v>3.6999792663167264E-3</v>
      </c>
      <c r="AG64">
        <v>-0.86760093369655256</v>
      </c>
      <c r="AH64">
        <v>-1.5178611695274953</v>
      </c>
      <c r="AI64">
        <v>1.553018636569485E-4</v>
      </c>
    </row>
    <row r="65" spans="23:35" x14ac:dyDescent="0.25">
      <c r="W65">
        <v>63</v>
      </c>
      <c r="X65">
        <v>84.10398053490951</v>
      </c>
      <c r="Y65">
        <v>-10.003980534909516</v>
      </c>
      <c r="Z65">
        <v>84.140557592253955</v>
      </c>
      <c r="AA65">
        <v>0.69254093389933291</v>
      </c>
      <c r="AB65">
        <v>51.1</v>
      </c>
      <c r="AC65">
        <v>0.48161589062349974</v>
      </c>
      <c r="AD65">
        <v>-1.3552314505470295</v>
      </c>
      <c r="AE65">
        <v>-1.5052912517783787</v>
      </c>
      <c r="AF65">
        <v>3.6429308839044591E-3</v>
      </c>
      <c r="AG65">
        <v>-1.3577067227911492</v>
      </c>
      <c r="AH65">
        <v>-1.5109141962258799</v>
      </c>
      <c r="AI65">
        <v>3.7443406856997293E-4</v>
      </c>
    </row>
    <row r="66" spans="23:35" x14ac:dyDescent="0.25">
      <c r="W66">
        <v>64</v>
      </c>
      <c r="X66">
        <v>83.471942410077872</v>
      </c>
      <c r="Y66">
        <v>-9.3719424100778781</v>
      </c>
      <c r="Z66">
        <v>83.507472045468703</v>
      </c>
      <c r="AA66">
        <v>0.69254093389933291</v>
      </c>
      <c r="AB66">
        <v>51.1</v>
      </c>
      <c r="AC66">
        <v>0.48161589062349974</v>
      </c>
      <c r="AD66">
        <v>-1.2696097380969111</v>
      </c>
      <c r="AE66">
        <v>-1.502488234034806</v>
      </c>
      <c r="AF66">
        <v>3.7767463160241111E-3</v>
      </c>
      <c r="AG66">
        <v>-1.272014047545093</v>
      </c>
      <c r="AH66">
        <v>-1.5058928808019343</v>
      </c>
      <c r="AI66">
        <v>3.4077870591900936E-4</v>
      </c>
    </row>
    <row r="67" spans="23:35" x14ac:dyDescent="0.25">
      <c r="W67">
        <v>65</v>
      </c>
      <c r="X67">
        <v>71.686263971309273</v>
      </c>
      <c r="Y67">
        <v>2.913736028690721</v>
      </c>
      <c r="Z67">
        <v>71.678010462910066</v>
      </c>
      <c r="AA67">
        <v>0.73013947847180105</v>
      </c>
      <c r="AB67">
        <v>51.2</v>
      </c>
      <c r="AC67">
        <v>0.59589828697336056</v>
      </c>
      <c r="AD67">
        <v>0.39472155017636518</v>
      </c>
      <c r="AE67">
        <v>-1.5011842389073944</v>
      </c>
      <c r="AF67">
        <v>2.8246194226393237E-3</v>
      </c>
      <c r="AG67">
        <v>0.39528020302017025</v>
      </c>
      <c r="AH67">
        <v>-1.5058282684347222</v>
      </c>
      <c r="AI67">
        <v>2.4588159193927662E-5</v>
      </c>
    </row>
    <row r="68" spans="23:35" x14ac:dyDescent="0.25">
      <c r="W68">
        <v>66</v>
      </c>
      <c r="X68">
        <v>73.242494237162134</v>
      </c>
      <c r="Y68">
        <v>1.1575057628378715</v>
      </c>
      <c r="Z68">
        <v>73.240076265292174</v>
      </c>
      <c r="AA68">
        <v>0.71376591873862949</v>
      </c>
      <c r="AB68">
        <v>51.2</v>
      </c>
      <c r="AC68">
        <v>0.54051528578164909</v>
      </c>
      <c r="AD68">
        <v>0.15680640406219093</v>
      </c>
      <c r="AE68">
        <v>-1.5004053462575875</v>
      </c>
      <c r="AF68">
        <v>2.0845955622882388E-3</v>
      </c>
      <c r="AG68">
        <v>0.15697009900202832</v>
      </c>
      <c r="AH68">
        <v>-1.5047258414079625</v>
      </c>
      <c r="AI68">
        <v>2.8594956581529818E-6</v>
      </c>
    </row>
    <row r="69" spans="23:35" x14ac:dyDescent="0.25">
      <c r="W69">
        <v>67</v>
      </c>
      <c r="X69">
        <v>72.893583897296594</v>
      </c>
      <c r="Y69">
        <v>1.5064161027034118</v>
      </c>
      <c r="Z69">
        <v>72.890491783921604</v>
      </c>
      <c r="AA69">
        <v>0.71376591873862949</v>
      </c>
      <c r="AB69">
        <v>51.3</v>
      </c>
      <c r="AC69">
        <v>0.54051528578164909</v>
      </c>
      <c r="AD69">
        <v>0.20407301602297781</v>
      </c>
      <c r="AE69">
        <v>-1.4932560639045116</v>
      </c>
      <c r="AF69">
        <v>2.0484243424821092E-3</v>
      </c>
      <c r="AG69">
        <v>0.20428235175106643</v>
      </c>
      <c r="AH69">
        <v>-1.499412755553029</v>
      </c>
      <c r="AI69">
        <v>4.7588241040184444E-6</v>
      </c>
    </row>
    <row r="70" spans="23:35" x14ac:dyDescent="0.25">
      <c r="W70">
        <v>68</v>
      </c>
      <c r="X70">
        <v>72.125900794865828</v>
      </c>
      <c r="Y70">
        <v>1.7740992051341777</v>
      </c>
      <c r="Z70">
        <v>72.121685320024241</v>
      </c>
      <c r="AA70">
        <v>0.67919951485748942</v>
      </c>
      <c r="AB70">
        <v>51.4</v>
      </c>
      <c r="AC70">
        <v>0.43434378704136062</v>
      </c>
      <c r="AD70">
        <v>0.24033583739975464</v>
      </c>
      <c r="AE70">
        <v>-1.487164838046402</v>
      </c>
      <c r="AF70">
        <v>2.3704886930610634E-3</v>
      </c>
      <c r="AG70">
        <v>0.24062120153197716</v>
      </c>
      <c r="AH70">
        <v>-1.4987189927579567</v>
      </c>
      <c r="AI70">
        <v>7.6430003153320089E-6</v>
      </c>
    </row>
    <row r="71" spans="23:35" x14ac:dyDescent="0.25">
      <c r="W71">
        <v>69</v>
      </c>
      <c r="X71">
        <v>71.324273011886689</v>
      </c>
      <c r="Y71">
        <v>2.1757269881133112</v>
      </c>
      <c r="Z71">
        <v>71.320009747625448</v>
      </c>
      <c r="AA71">
        <v>0.64463311097634934</v>
      </c>
      <c r="AB71">
        <v>51.5</v>
      </c>
      <c r="AC71">
        <v>0.35220887014201224</v>
      </c>
      <c r="AD71">
        <v>0.29474404031532758</v>
      </c>
      <c r="AE71">
        <v>-1.4865776050923447</v>
      </c>
      <c r="AF71">
        <v>1.9556345523069961E-3</v>
      </c>
      <c r="AG71">
        <v>0.29503266953901219</v>
      </c>
      <c r="AH71">
        <v>-1.4924899512512773</v>
      </c>
      <c r="AI71">
        <v>9.4755748678673388E-6</v>
      </c>
    </row>
    <row r="72" spans="23:35" x14ac:dyDescent="0.25">
      <c r="W72">
        <v>70</v>
      </c>
      <c r="X72">
        <v>65.724989698751727</v>
      </c>
      <c r="Y72">
        <v>7.5750103012482697</v>
      </c>
      <c r="Z72">
        <v>65.680820194130675</v>
      </c>
      <c r="AA72">
        <v>0.63007883565797451</v>
      </c>
      <c r="AB72">
        <v>51.6</v>
      </c>
      <c r="AC72">
        <v>0.3152427890443939</v>
      </c>
      <c r="AD72">
        <v>1.0261807450190363</v>
      </c>
      <c r="AE72">
        <v>-1.4840783483476778</v>
      </c>
      <c r="AF72">
        <v>5.7971469037945466E-3</v>
      </c>
      <c r="AG72">
        <v>1.0291682006158209</v>
      </c>
      <c r="AH72">
        <v>-1.4918838906577818</v>
      </c>
      <c r="AI72">
        <v>3.4311484890521218E-4</v>
      </c>
    </row>
    <row r="73" spans="23:35" x14ac:dyDescent="0.25">
      <c r="W73">
        <v>71</v>
      </c>
      <c r="X73">
        <v>64.399163540744865</v>
      </c>
      <c r="Y73">
        <v>8.8008364592551374</v>
      </c>
      <c r="Z73">
        <v>64.335711977408039</v>
      </c>
      <c r="AA73">
        <v>0.62340812613705276</v>
      </c>
      <c r="AB73">
        <v>51.6</v>
      </c>
      <c r="AC73">
        <v>0.29295400660571058</v>
      </c>
      <c r="AD73">
        <v>1.1922424597971695</v>
      </c>
      <c r="AE73">
        <v>-1.4783013209419733</v>
      </c>
      <c r="AF73">
        <v>7.1581116469945465E-3</v>
      </c>
      <c r="AG73">
        <v>1.1965326079235874</v>
      </c>
      <c r="AH73">
        <v>-1.4861023368702495</v>
      </c>
      <c r="AI73">
        <v>5.7344919565618024E-4</v>
      </c>
    </row>
    <row r="74" spans="23:35" x14ac:dyDescent="0.25">
      <c r="W74">
        <v>72</v>
      </c>
      <c r="X74">
        <v>62.938669381677187</v>
      </c>
      <c r="Y74">
        <v>10.561330618322813</v>
      </c>
      <c r="Z74">
        <v>62.795845417236386</v>
      </c>
      <c r="AA74">
        <v>0.64463311097634934</v>
      </c>
      <c r="AB74">
        <v>51.7</v>
      </c>
      <c r="AC74">
        <v>0.35220887014201224</v>
      </c>
      <c r="AD74">
        <v>1.430735232203832</v>
      </c>
      <c r="AE74">
        <v>-1.4751097384679528</v>
      </c>
      <c r="AF74">
        <v>1.3342853313308988E-2</v>
      </c>
      <c r="AG74">
        <v>1.4403768705997861</v>
      </c>
      <c r="AH74">
        <v>-1.4775687678104208</v>
      </c>
      <c r="AI74">
        <v>1.5586988619118735E-3</v>
      </c>
    </row>
    <row r="75" spans="23:35" x14ac:dyDescent="0.25">
      <c r="W75">
        <v>73</v>
      </c>
      <c r="X75">
        <v>66.699809286428376</v>
      </c>
      <c r="Y75">
        <v>6.2001907135716294</v>
      </c>
      <c r="Z75">
        <v>66.688011368811146</v>
      </c>
      <c r="AA75">
        <v>0.58762886597938147</v>
      </c>
      <c r="AB75">
        <v>51.7</v>
      </c>
      <c r="AC75">
        <v>0.206674078513852</v>
      </c>
      <c r="AD75">
        <v>0.83993500638072782</v>
      </c>
      <c r="AE75">
        <v>-1.4749191268958239</v>
      </c>
      <c r="AF75">
        <v>1.8992175159483165E-3</v>
      </c>
      <c r="AG75">
        <v>0.84073375394568095</v>
      </c>
      <c r="AH75">
        <v>-1.4774724930955956</v>
      </c>
      <c r="AI75">
        <v>7.4721360995585169E-5</v>
      </c>
    </row>
    <row r="76" spans="23:35" x14ac:dyDescent="0.25">
      <c r="W76">
        <v>74</v>
      </c>
      <c r="X76">
        <v>59.979350022129012</v>
      </c>
      <c r="Y76">
        <v>13.020649977870988</v>
      </c>
      <c r="Z76">
        <v>59.723788761941222</v>
      </c>
      <c r="AA76">
        <v>0.60946027895694366</v>
      </c>
      <c r="AB76">
        <v>51.8</v>
      </c>
      <c r="AC76">
        <v>0.22222871718700732</v>
      </c>
      <c r="AD76">
        <v>1.7638973101755293</v>
      </c>
      <c r="AE76">
        <v>-1.463156380935412</v>
      </c>
      <c r="AF76">
        <v>1.9249562665527409E-2</v>
      </c>
      <c r="AG76">
        <v>1.7811235369082059</v>
      </c>
      <c r="AH76">
        <v>-1.4652458551879783</v>
      </c>
      <c r="AI76">
        <v>3.4592180390797642E-3</v>
      </c>
    </row>
    <row r="77" spans="23:35" x14ac:dyDescent="0.25">
      <c r="W77">
        <v>75</v>
      </c>
      <c r="X77">
        <v>67.114496763142995</v>
      </c>
      <c r="Y77">
        <v>5.885503236857005</v>
      </c>
      <c r="Z77">
        <v>67.102603015402309</v>
      </c>
      <c r="AA77">
        <v>0.60946027895694366</v>
      </c>
      <c r="AB77">
        <v>52</v>
      </c>
      <c r="AC77">
        <v>0.22222871718700732</v>
      </c>
      <c r="AD77">
        <v>0.79730453903338183</v>
      </c>
      <c r="AE77">
        <v>-1.4537733413923626</v>
      </c>
      <c r="AF77">
        <v>2.0167792284887121E-3</v>
      </c>
      <c r="AG77">
        <v>0.79810975080561708</v>
      </c>
      <c r="AH77">
        <v>-1.4572096211215155</v>
      </c>
      <c r="AI77">
        <v>7.1513469533838531E-5</v>
      </c>
    </row>
    <row r="78" spans="23:35" x14ac:dyDescent="0.25">
      <c r="W78">
        <v>76</v>
      </c>
      <c r="X78">
        <v>67.610850324385623</v>
      </c>
      <c r="Y78">
        <v>5.0891496756143795</v>
      </c>
      <c r="Z78">
        <v>67.598917694052403</v>
      </c>
      <c r="AA78">
        <v>0.57246816252274102</v>
      </c>
      <c r="AB78">
        <v>52</v>
      </c>
      <c r="AC78">
        <v>0.16337348484333708</v>
      </c>
      <c r="AD78">
        <v>0.68942314240480496</v>
      </c>
      <c r="AE78">
        <v>-1.4452425227596308</v>
      </c>
      <c r="AF78">
        <v>2.3392350127944871E-3</v>
      </c>
      <c r="AG78">
        <v>0.69023092124647378</v>
      </c>
      <c r="AH78">
        <v>-1.4494288140752423</v>
      </c>
      <c r="AI78">
        <v>6.2059358170164802E-5</v>
      </c>
    </row>
    <row r="79" spans="23:35" x14ac:dyDescent="0.25">
      <c r="W79">
        <v>77</v>
      </c>
      <c r="X79">
        <v>67.285431786484509</v>
      </c>
      <c r="Y79">
        <v>5.3145682135154857</v>
      </c>
      <c r="Z79">
        <v>67.273866958522618</v>
      </c>
      <c r="AA79">
        <v>0.56458459672528805</v>
      </c>
      <c r="AB79">
        <v>52</v>
      </c>
      <c r="AC79">
        <v>0.14798710972583889</v>
      </c>
      <c r="AD79">
        <v>0.71996041614637873</v>
      </c>
      <c r="AE79">
        <v>-1.4418190493113501</v>
      </c>
      <c r="AF79">
        <v>2.1713366661752238E-3</v>
      </c>
      <c r="AG79">
        <v>0.72074332957869791</v>
      </c>
      <c r="AH79">
        <v>-1.4474053059284981</v>
      </c>
      <c r="AI79">
        <v>6.2800044178611895E-5</v>
      </c>
    </row>
    <row r="80" spans="23:35" x14ac:dyDescent="0.25">
      <c r="W80">
        <v>78</v>
      </c>
      <c r="X80">
        <v>68.282277382285486</v>
      </c>
      <c r="Y80">
        <v>4.3177226177145087</v>
      </c>
      <c r="Z80">
        <v>68.271142808545804</v>
      </c>
      <c r="AA80">
        <v>0.56458459672528805</v>
      </c>
      <c r="AB80">
        <v>52.1</v>
      </c>
      <c r="AC80">
        <v>0.14798710972583889</v>
      </c>
      <c r="AD80">
        <v>0.58491851976777931</v>
      </c>
      <c r="AE80">
        <v>-1.4409289284915583</v>
      </c>
      <c r="AF80">
        <v>2.572173958904498E-3</v>
      </c>
      <c r="AG80">
        <v>0.58567223017787462</v>
      </c>
      <c r="AH80">
        <v>-1.4472551594477663</v>
      </c>
      <c r="AI80">
        <v>4.9142315595305814E-5</v>
      </c>
    </row>
    <row r="81" spans="23:35" x14ac:dyDescent="0.25">
      <c r="W81">
        <v>79</v>
      </c>
      <c r="X81">
        <v>68.292111067968122</v>
      </c>
      <c r="Y81">
        <v>3.707888932031878</v>
      </c>
      <c r="Z81">
        <v>68.279037754075361</v>
      </c>
      <c r="AA81">
        <v>0.52516676773802307</v>
      </c>
      <c r="AB81">
        <v>52.1</v>
      </c>
      <c r="AC81">
        <v>4.1053957112594373E-2</v>
      </c>
      <c r="AD81">
        <v>0.50230482539321419</v>
      </c>
      <c r="AE81">
        <v>-1.4404491221468787</v>
      </c>
      <c r="AF81">
        <v>3.5134228806214737E-3</v>
      </c>
      <c r="AG81">
        <v>0.50318956205080168</v>
      </c>
      <c r="AH81">
        <v>-1.4470626207071164</v>
      </c>
      <c r="AI81">
        <v>4.959634981524483E-5</v>
      </c>
    </row>
    <row r="82" spans="23:35" x14ac:dyDescent="0.25">
      <c r="W82">
        <v>80</v>
      </c>
      <c r="X82">
        <v>98.011751847050988</v>
      </c>
      <c r="Y82">
        <v>-15.311751847050985</v>
      </c>
      <c r="Z82">
        <v>98.426051410331468</v>
      </c>
      <c r="AA82">
        <v>0.9733171619163129</v>
      </c>
      <c r="AB82">
        <v>52.1</v>
      </c>
      <c r="AC82">
        <v>1.9270603903023944</v>
      </c>
      <c r="AD82">
        <v>-2.0742710957586596</v>
      </c>
      <c r="AE82">
        <v>-1.4344429938206791</v>
      </c>
      <c r="AF82">
        <v>2.6344792629146845E-2</v>
      </c>
      <c r="AG82">
        <v>-2.1021462152394563</v>
      </c>
      <c r="AH82">
        <v>-1.445196251823142</v>
      </c>
      <c r="AI82">
        <v>6.6426738395698303E-3</v>
      </c>
    </row>
    <row r="83" spans="23:35" x14ac:dyDescent="0.25">
      <c r="W83">
        <v>81</v>
      </c>
      <c r="X83">
        <v>97.836654693133084</v>
      </c>
      <c r="Y83">
        <v>-15.336654693133084</v>
      </c>
      <c r="Z83">
        <v>98.321230485816628</v>
      </c>
      <c r="AA83">
        <v>0.97210430563978167</v>
      </c>
      <c r="AB83">
        <v>52.1</v>
      </c>
      <c r="AC83">
        <v>1.898648757670367</v>
      </c>
      <c r="AD83">
        <v>-2.0776446649195375</v>
      </c>
      <c r="AE83">
        <v>-1.4344052227803186</v>
      </c>
      <c r="AF83">
        <v>3.0628198806531538E-2</v>
      </c>
      <c r="AG83">
        <v>-2.1102119694999733</v>
      </c>
      <c r="AH83">
        <v>-1.4381455102573433</v>
      </c>
      <c r="AI83">
        <v>7.8164712436802029E-3</v>
      </c>
    </row>
    <row r="84" spans="23:35" x14ac:dyDescent="0.25">
      <c r="W84">
        <v>82</v>
      </c>
      <c r="X84">
        <v>97.227809925444745</v>
      </c>
      <c r="Y84">
        <v>-14.927809925444748</v>
      </c>
      <c r="Z84">
        <v>97.691970437399746</v>
      </c>
      <c r="AA84">
        <v>0.97028502122498483</v>
      </c>
      <c r="AB84">
        <v>52.2</v>
      </c>
      <c r="AC84">
        <v>1.8630011940066851</v>
      </c>
      <c r="AD84">
        <v>-2.0222587827070191</v>
      </c>
      <c r="AE84">
        <v>-1.4306580895447032</v>
      </c>
      <c r="AF84">
        <v>3.015601633610062E-2</v>
      </c>
      <c r="AG84">
        <v>-2.0534578472762748</v>
      </c>
      <c r="AH84">
        <v>-1.4339656750875922</v>
      </c>
      <c r="AI84">
        <v>7.2840207317822099E-3</v>
      </c>
    </row>
    <row r="85" spans="23:35" x14ac:dyDescent="0.25">
      <c r="W85">
        <v>83</v>
      </c>
      <c r="X85">
        <v>96.406915599628604</v>
      </c>
      <c r="Y85">
        <v>-14.406915599628604</v>
      </c>
      <c r="Z85">
        <v>96.811556412159518</v>
      </c>
      <c r="AA85">
        <v>0.96604002425712554</v>
      </c>
      <c r="AB85">
        <v>52.2</v>
      </c>
      <c r="AC85">
        <v>1.7539324289023792</v>
      </c>
      <c r="AD85">
        <v>-1.9516936341349946</v>
      </c>
      <c r="AE85">
        <v>-1.4301950313371055</v>
      </c>
      <c r="AF85">
        <v>2.7319263504186654E-2</v>
      </c>
      <c r="AG85">
        <v>-1.9789120276020182</v>
      </c>
      <c r="AH85">
        <v>-1.4327897838375909</v>
      </c>
      <c r="AI85">
        <v>6.110533694876478E-3</v>
      </c>
    </row>
    <row r="86" spans="23:35" x14ac:dyDescent="0.25">
      <c r="W86">
        <v>84</v>
      </c>
      <c r="X86">
        <v>94.873995358227006</v>
      </c>
      <c r="Y86">
        <v>-12.973995358227</v>
      </c>
      <c r="Z86">
        <v>95.097808672465547</v>
      </c>
      <c r="AA86">
        <v>0.95997574287446941</v>
      </c>
      <c r="AB86">
        <v>52.3</v>
      </c>
      <c r="AC86">
        <v>1.7330844772440364</v>
      </c>
      <c r="AD86">
        <v>-1.757577045193585</v>
      </c>
      <c r="AE86">
        <v>-1.4292340655401561</v>
      </c>
      <c r="AF86">
        <v>1.6958369362141706E-2</v>
      </c>
      <c r="AG86">
        <v>-1.7726721302180199</v>
      </c>
      <c r="AH86">
        <v>-1.4326011718155458</v>
      </c>
      <c r="AI86">
        <v>3.0115945923708848E-3</v>
      </c>
    </row>
    <row r="87" spans="23:35" x14ac:dyDescent="0.25">
      <c r="W87">
        <v>85</v>
      </c>
      <c r="X87">
        <v>93.59312025751413</v>
      </c>
      <c r="Y87">
        <v>-11.893120257514127</v>
      </c>
      <c r="Z87">
        <v>93.727027044304393</v>
      </c>
      <c r="AA87">
        <v>0.95573074590661011</v>
      </c>
      <c r="AB87">
        <v>52.3</v>
      </c>
      <c r="AC87">
        <v>1.6624525291871317</v>
      </c>
      <c r="AD87">
        <v>-1.6111517372386526</v>
      </c>
      <c r="AE87">
        <v>-1.4273138412275053</v>
      </c>
      <c r="AF87">
        <v>1.1133822705892499E-2</v>
      </c>
      <c r="AG87">
        <v>-1.6201964734713001</v>
      </c>
      <c r="AH87">
        <v>-1.431940039812633</v>
      </c>
      <c r="AI87">
        <v>1.6419867134928358E-3</v>
      </c>
    </row>
    <row r="88" spans="23:35" x14ac:dyDescent="0.25">
      <c r="W88">
        <v>86</v>
      </c>
      <c r="X88">
        <v>93.150638942330886</v>
      </c>
      <c r="Y88">
        <v>-11.850638942330889</v>
      </c>
      <c r="Z88">
        <v>93.339867016703224</v>
      </c>
      <c r="AA88">
        <v>0.94481503941782896</v>
      </c>
      <c r="AB88">
        <v>52.4</v>
      </c>
      <c r="AC88">
        <v>1.5725296242490356</v>
      </c>
      <c r="AD88">
        <v>-1.6053968265612453</v>
      </c>
      <c r="AE88">
        <v>-1.4250775928546184</v>
      </c>
      <c r="AF88">
        <v>1.571679106669694E-2</v>
      </c>
      <c r="AG88">
        <v>-1.6181633551203716</v>
      </c>
      <c r="AH88">
        <v>-1.4288354608416287</v>
      </c>
      <c r="AI88">
        <v>2.3228224891638856E-3</v>
      </c>
    </row>
    <row r="89" spans="23:35" x14ac:dyDescent="0.25">
      <c r="W89">
        <v>87</v>
      </c>
      <c r="X89">
        <v>91.888421573359054</v>
      </c>
      <c r="Y89">
        <v>-10.588421573359057</v>
      </c>
      <c r="Z89">
        <v>91.943713305997164</v>
      </c>
      <c r="AA89">
        <v>0.94481503941782896</v>
      </c>
      <c r="AB89">
        <v>52.4</v>
      </c>
      <c r="AC89">
        <v>1.5725296242490356</v>
      </c>
      <c r="AD89">
        <v>-1.4344052227803186</v>
      </c>
      <c r="AE89">
        <v>-1.4249837376600771</v>
      </c>
      <c r="AF89">
        <v>5.1947784620391011E-3</v>
      </c>
      <c r="AG89">
        <v>-1.4381455102573433</v>
      </c>
      <c r="AH89">
        <v>-1.4276718597002374</v>
      </c>
      <c r="AI89">
        <v>6.0001503037331082E-4</v>
      </c>
    </row>
    <row r="90" spans="23:35" x14ac:dyDescent="0.25">
      <c r="W90">
        <v>88</v>
      </c>
      <c r="X90">
        <v>96.024170781309209</v>
      </c>
      <c r="Y90">
        <v>-14.824170781309206</v>
      </c>
      <c r="Z90">
        <v>96.186962250560811</v>
      </c>
      <c r="AA90">
        <v>0.94178289872650089</v>
      </c>
      <c r="AB90">
        <v>52.6</v>
      </c>
      <c r="AC90">
        <v>1.5519290565282795</v>
      </c>
      <c r="AD90">
        <v>-2.0082188685798239</v>
      </c>
      <c r="AE90">
        <v>-1.4215292584210857</v>
      </c>
      <c r="AF90">
        <v>1.0862205864668576E-2</v>
      </c>
      <c r="AG90">
        <v>-2.0192153782638256</v>
      </c>
      <c r="AH90">
        <v>-1.4247898449728722</v>
      </c>
      <c r="AI90">
        <v>2.4874480448012649E-3</v>
      </c>
    </row>
    <row r="91" spans="23:35" x14ac:dyDescent="0.25">
      <c r="W91">
        <v>89</v>
      </c>
      <c r="X91">
        <v>95.255353270571419</v>
      </c>
      <c r="Y91">
        <v>-14.255353270571419</v>
      </c>
      <c r="Z91">
        <v>95.359705804668224</v>
      </c>
      <c r="AA91">
        <v>0.93571861734384476</v>
      </c>
      <c r="AB91">
        <v>52.6</v>
      </c>
      <c r="AC91">
        <v>1.4576525936309466</v>
      </c>
      <c r="AD91">
        <v>-1.9311616034758294</v>
      </c>
      <c r="AE91">
        <v>-1.4204691609959814</v>
      </c>
      <c r="AF91">
        <v>7.2670384418937022E-3</v>
      </c>
      <c r="AG91">
        <v>-1.9382169934958167</v>
      </c>
      <c r="AH91">
        <v>-1.4238821546490379</v>
      </c>
      <c r="AI91">
        <v>1.5277676314763549E-3</v>
      </c>
    </row>
    <row r="92" spans="23:35" x14ac:dyDescent="0.25">
      <c r="W92">
        <v>90</v>
      </c>
      <c r="X92">
        <v>91.161945541250304</v>
      </c>
      <c r="Y92">
        <v>-5.1619455412503044</v>
      </c>
      <c r="Z92">
        <v>91.26302724658251</v>
      </c>
      <c r="AA92">
        <v>0.99029714978775019</v>
      </c>
      <c r="AB92">
        <v>52.6</v>
      </c>
      <c r="AC92">
        <v>2.190305027167327</v>
      </c>
      <c r="AD92">
        <v>-0.69928474161877163</v>
      </c>
      <c r="AE92">
        <v>-1.4190154930617647</v>
      </c>
      <c r="AF92">
        <v>1.9206000766545155E-2</v>
      </c>
      <c r="AG92">
        <v>-0.70609827745017506</v>
      </c>
      <c r="AH92">
        <v>-1.4229838998929509</v>
      </c>
      <c r="AI92">
        <v>5.4239657782685809E-4</v>
      </c>
    </row>
    <row r="93" spans="23:35" x14ac:dyDescent="0.25">
      <c r="W93">
        <v>91</v>
      </c>
      <c r="X93">
        <v>90.772573786632762</v>
      </c>
      <c r="Y93">
        <v>-7.772573786632762</v>
      </c>
      <c r="Z93">
        <v>90.917618525499293</v>
      </c>
      <c r="AA93">
        <v>0.97877501516070342</v>
      </c>
      <c r="AB93">
        <v>52.6</v>
      </c>
      <c r="AC93">
        <v>1.9368862628682144</v>
      </c>
      <c r="AD93">
        <v>-1.0529445164936451</v>
      </c>
      <c r="AE93">
        <v>-1.4047099202835922</v>
      </c>
      <c r="AF93">
        <v>1.8319238089003861E-2</v>
      </c>
      <c r="AG93">
        <v>-1.0627236539143536</v>
      </c>
      <c r="AH93">
        <v>-1.4077902376880309</v>
      </c>
      <c r="AI93">
        <v>1.1708609343951287E-3</v>
      </c>
    </row>
    <row r="94" spans="23:35" x14ac:dyDescent="0.25">
      <c r="W94">
        <v>92</v>
      </c>
      <c r="X94">
        <v>94.65356354042089</v>
      </c>
      <c r="Y94">
        <v>-14.753563540420885</v>
      </c>
      <c r="Z94">
        <v>94.764083529816688</v>
      </c>
      <c r="AA94">
        <v>0.92177077016373554</v>
      </c>
      <c r="AB94">
        <v>52.7</v>
      </c>
      <c r="AC94">
        <v>1.3946242806491955</v>
      </c>
      <c r="AD94">
        <v>-1.9986537606556041</v>
      </c>
      <c r="AE94">
        <v>-1.4028130811828441</v>
      </c>
      <c r="AF94">
        <v>7.4353719268396134E-3</v>
      </c>
      <c r="AG94">
        <v>-2.0061258217670215</v>
      </c>
      <c r="AH94">
        <v>-1.4067209914277918</v>
      </c>
      <c r="AI94">
        <v>1.6748955702601119E-3</v>
      </c>
    </row>
    <row r="95" spans="23:35" x14ac:dyDescent="0.25">
      <c r="W95">
        <v>93</v>
      </c>
      <c r="X95">
        <v>95.655636713194099</v>
      </c>
      <c r="Y95">
        <v>-15.755636713194093</v>
      </c>
      <c r="Z95">
        <v>95.765551053563755</v>
      </c>
      <c r="AA95">
        <v>0.92177077016373554</v>
      </c>
      <c r="AB95">
        <v>52.8</v>
      </c>
      <c r="AC95">
        <v>1.3946242806491955</v>
      </c>
      <c r="AD95">
        <v>-2.134403832814654</v>
      </c>
      <c r="AE95">
        <v>-1.4018406581460721</v>
      </c>
      <c r="AF95">
        <v>6.927861503112507E-3</v>
      </c>
      <c r="AG95">
        <v>-2.1418358985002528</v>
      </c>
      <c r="AH95">
        <v>-1.4066262202198858</v>
      </c>
      <c r="AI95">
        <v>1.7779448316929743E-3</v>
      </c>
    </row>
    <row r="96" spans="23:35" x14ac:dyDescent="0.25">
      <c r="W96">
        <v>94</v>
      </c>
      <c r="X96">
        <v>85.304969064371519</v>
      </c>
      <c r="Y96">
        <v>-3.9049690643715138</v>
      </c>
      <c r="Z96">
        <v>85.363178554194931</v>
      </c>
      <c r="AA96">
        <v>0.94724075197089141</v>
      </c>
      <c r="AB96">
        <v>52.8</v>
      </c>
      <c r="AC96">
        <v>1.5992570753291051</v>
      </c>
      <c r="AD96">
        <v>-0.52900311740734007</v>
      </c>
      <c r="AE96">
        <v>-1.3959256017706394</v>
      </c>
      <c r="AF96">
        <v>1.4687576910154765E-2</v>
      </c>
      <c r="AG96">
        <v>-0.53293132968955492</v>
      </c>
      <c r="AH96">
        <v>-1.4047644114233149</v>
      </c>
      <c r="AI96">
        <v>2.3520480747684288E-4</v>
      </c>
    </row>
    <row r="97" spans="23:35" x14ac:dyDescent="0.25">
      <c r="W97">
        <v>95</v>
      </c>
      <c r="X97">
        <v>83.981828893157115</v>
      </c>
      <c r="Y97">
        <v>-2.8818288931571203</v>
      </c>
      <c r="Z97">
        <v>84.001028638214919</v>
      </c>
      <c r="AA97">
        <v>0.93935718617343844</v>
      </c>
      <c r="AB97">
        <v>52.9</v>
      </c>
      <c r="AC97">
        <v>1.5222105313262397</v>
      </c>
      <c r="AD97">
        <v>-0.39039911537942529</v>
      </c>
      <c r="AE97">
        <v>-1.3900377532029708</v>
      </c>
      <c r="AF97">
        <v>6.6182542305492746E-3</v>
      </c>
      <c r="AG97">
        <v>-0.39169744374439108</v>
      </c>
      <c r="AH97">
        <v>-1.393303637799292</v>
      </c>
      <c r="AI97">
        <v>5.6787956402291995E-5</v>
      </c>
    </row>
    <row r="98" spans="23:35" x14ac:dyDescent="0.25">
      <c r="W98">
        <v>96</v>
      </c>
      <c r="X98">
        <v>82.840275171882553</v>
      </c>
      <c r="Y98">
        <v>5.1597248281174473</v>
      </c>
      <c r="Z98">
        <v>82.768741409393499</v>
      </c>
      <c r="AA98">
        <v>0.99575500303214071</v>
      </c>
      <c r="AB98">
        <v>53</v>
      </c>
      <c r="AC98">
        <v>2.428517260365656</v>
      </c>
      <c r="AD98">
        <v>0.69898390334046945</v>
      </c>
      <c r="AE98">
        <v>-1.3849874757565874</v>
      </c>
      <c r="AF98">
        <v>1.3674292954568571E-2</v>
      </c>
      <c r="AG98">
        <v>0.70381253660187815</v>
      </c>
      <c r="AH98">
        <v>-1.3879720007615954</v>
      </c>
      <c r="AI98">
        <v>3.8152765136905602E-4</v>
      </c>
    </row>
    <row r="99" spans="23:35" x14ac:dyDescent="0.25">
      <c r="W99">
        <v>97</v>
      </c>
      <c r="X99">
        <v>75.845648719217735</v>
      </c>
      <c r="Y99">
        <v>12.154351280782265</v>
      </c>
      <c r="Z99">
        <v>75.641388180696026</v>
      </c>
      <c r="AA99">
        <v>0.99575500303214071</v>
      </c>
      <c r="AB99">
        <v>53</v>
      </c>
      <c r="AC99">
        <v>2.428517260365656</v>
      </c>
      <c r="AD99">
        <v>1.6465405004770615</v>
      </c>
      <c r="AE99">
        <v>-1.3829081971071091</v>
      </c>
      <c r="AF99">
        <v>1.6527789812335755E-2</v>
      </c>
      <c r="AG99">
        <v>1.660318363543918</v>
      </c>
      <c r="AH99">
        <v>-1.3879117400583014</v>
      </c>
      <c r="AI99">
        <v>2.5737296521637226E-3</v>
      </c>
    </row>
    <row r="100" spans="23:35" x14ac:dyDescent="0.25">
      <c r="W100">
        <v>98</v>
      </c>
      <c r="X100">
        <v>81.424626545583777</v>
      </c>
      <c r="Y100">
        <v>2.5753734544162228</v>
      </c>
      <c r="Z100">
        <v>81.392797297959902</v>
      </c>
      <c r="AA100">
        <v>0.9824135839902971</v>
      </c>
      <c r="AB100">
        <v>53.2</v>
      </c>
      <c r="AC100">
        <v>2.0350728680272758</v>
      </c>
      <c r="AD100">
        <v>0.34888383580410276</v>
      </c>
      <c r="AE100">
        <v>-1.3711813455734956</v>
      </c>
      <c r="AF100">
        <v>1.2208198311153485E-2</v>
      </c>
      <c r="AG100">
        <v>0.35103315698008336</v>
      </c>
      <c r="AH100">
        <v>-1.3776169497477375</v>
      </c>
      <c r="AI100">
        <v>8.4607708462433343E-5</v>
      </c>
    </row>
    <row r="101" spans="23:35" x14ac:dyDescent="0.25">
      <c r="W101">
        <v>99</v>
      </c>
      <c r="X101">
        <v>81.602023058230188</v>
      </c>
      <c r="Y101">
        <v>0.39797694176981224</v>
      </c>
      <c r="Z101">
        <v>81.596142863704372</v>
      </c>
      <c r="AA101">
        <v>0.96604002425712554</v>
      </c>
      <c r="AB101">
        <v>53.2</v>
      </c>
      <c r="AC101">
        <v>1.7539324289023792</v>
      </c>
      <c r="AD101">
        <v>5.3913626300738468E-2</v>
      </c>
      <c r="AE101">
        <v>-1.358483666565113</v>
      </c>
      <c r="AF101">
        <v>1.4560085726721149E-2</v>
      </c>
      <c r="AG101">
        <v>5.4310458541268224E-2</v>
      </c>
      <c r="AH101">
        <v>-1.3609291597303215</v>
      </c>
      <c r="AI101">
        <v>2.4211863512307423E-6</v>
      </c>
    </row>
    <row r="102" spans="23:35" x14ac:dyDescent="0.25">
      <c r="W102">
        <v>100</v>
      </c>
      <c r="X102">
        <v>72.602833010929118</v>
      </c>
      <c r="Y102">
        <v>11.397166989070882</v>
      </c>
      <c r="Z102">
        <v>72.406292489837085</v>
      </c>
      <c r="AA102">
        <v>0.9824135839902971</v>
      </c>
      <c r="AB102">
        <v>53.2</v>
      </c>
      <c r="AC102">
        <v>2.0350728680272758</v>
      </c>
      <c r="AD102">
        <v>1.5439653342813064</v>
      </c>
      <c r="AE102">
        <v>-1.3568365272321625</v>
      </c>
      <c r="AF102">
        <v>1.6952344271213789E-2</v>
      </c>
      <c r="AG102">
        <v>1.5572210266517237</v>
      </c>
      <c r="AH102">
        <v>-1.3596555029366857</v>
      </c>
      <c r="AI102">
        <v>2.3231818441975891E-3</v>
      </c>
    </row>
    <row r="103" spans="23:35" x14ac:dyDescent="0.25">
      <c r="W103">
        <v>101</v>
      </c>
      <c r="X103">
        <v>71.609910663985374</v>
      </c>
      <c r="Y103">
        <v>9.3900893360146256</v>
      </c>
      <c r="Z103">
        <v>71.470693080459085</v>
      </c>
      <c r="AA103">
        <v>0.93571861734384476</v>
      </c>
      <c r="AB103">
        <v>53.3</v>
      </c>
      <c r="AC103">
        <v>1.4576525936309466</v>
      </c>
      <c r="AD103">
        <v>1.2720680880181656</v>
      </c>
      <c r="AE103">
        <v>-1.3552314505470295</v>
      </c>
      <c r="AF103">
        <v>1.4609413328980497E-2</v>
      </c>
      <c r="AG103">
        <v>1.281463241774103</v>
      </c>
      <c r="AH103">
        <v>-1.3580383819305908</v>
      </c>
      <c r="AI103">
        <v>1.3525837587492443E-3</v>
      </c>
    </row>
    <row r="104" spans="23:35" x14ac:dyDescent="0.25">
      <c r="W104">
        <v>102</v>
      </c>
      <c r="X104">
        <v>71.200733730526963</v>
      </c>
      <c r="Y104">
        <v>8.5992662694730342</v>
      </c>
      <c r="Z104">
        <v>71.128702723887898</v>
      </c>
      <c r="AA104">
        <v>0.91813220133414186</v>
      </c>
      <c r="AB104">
        <v>53.4</v>
      </c>
      <c r="AC104">
        <v>1.3748000243745633</v>
      </c>
      <c r="AD104">
        <v>1.1649359031988051</v>
      </c>
      <c r="AE104">
        <v>-1.3507453805975314</v>
      </c>
      <c r="AF104">
        <v>8.3068316476129309E-3</v>
      </c>
      <c r="AG104">
        <v>1.1698047208346842</v>
      </c>
      <c r="AH104">
        <v>-1.3577067227911492</v>
      </c>
      <c r="AI104">
        <v>6.3681358801641699E-4</v>
      </c>
    </row>
    <row r="105" spans="23:35" x14ac:dyDescent="0.25">
      <c r="W105">
        <v>103</v>
      </c>
      <c r="X105">
        <v>71.496348329995328</v>
      </c>
      <c r="Y105">
        <v>7.9036516700046775</v>
      </c>
      <c r="Z105">
        <v>71.410406926440302</v>
      </c>
      <c r="AA105">
        <v>0.90661006670709521</v>
      </c>
      <c r="AB105">
        <v>53.4</v>
      </c>
      <c r="AC105">
        <v>1.2933897637306977</v>
      </c>
      <c r="AD105">
        <v>1.0707015352520148</v>
      </c>
      <c r="AE105">
        <v>-1.3485183457120644</v>
      </c>
      <c r="AF105">
        <v>1.0756668426509585E-2</v>
      </c>
      <c r="AG105">
        <v>1.0765070037865789</v>
      </c>
      <c r="AH105">
        <v>-1.354050843775906</v>
      </c>
      <c r="AI105">
        <v>7.0006096874894474E-4</v>
      </c>
    </row>
    <row r="106" spans="23:35" x14ac:dyDescent="0.25">
      <c r="W106">
        <v>104</v>
      </c>
      <c r="X106">
        <v>70.016851142066614</v>
      </c>
      <c r="Y106">
        <v>9.2831488579333836</v>
      </c>
      <c r="Z106">
        <v>69.929626452908977</v>
      </c>
      <c r="AA106">
        <v>0.9017586416009703</v>
      </c>
      <c r="AB106">
        <v>53.6</v>
      </c>
      <c r="AC106">
        <v>1.262435852359769</v>
      </c>
      <c r="AD106">
        <v>1.2575809447528929</v>
      </c>
      <c r="AE106">
        <v>-1.3463396917661188</v>
      </c>
      <c r="AF106">
        <v>9.3085605092780681E-3</v>
      </c>
      <c r="AG106">
        <v>1.2634752616876446</v>
      </c>
      <c r="AH106">
        <v>-1.3532551354278342</v>
      </c>
      <c r="AI106">
        <v>8.3330712821933612E-4</v>
      </c>
    </row>
    <row r="107" spans="23:35" x14ac:dyDescent="0.25">
      <c r="W107">
        <v>105</v>
      </c>
      <c r="X107">
        <v>70.372490915192913</v>
      </c>
      <c r="Y107">
        <v>8.4275090848070846</v>
      </c>
      <c r="Z107">
        <v>70.310307447543508</v>
      </c>
      <c r="AA107">
        <v>0.88174651303820495</v>
      </c>
      <c r="AB107">
        <v>53.6</v>
      </c>
      <c r="AC107">
        <v>1.1700898139672218</v>
      </c>
      <c r="AD107">
        <v>1.1416680911809349</v>
      </c>
      <c r="AE107">
        <v>-1.3408906930533391</v>
      </c>
      <c r="AF107">
        <v>7.3245841666441077E-3</v>
      </c>
      <c r="AG107">
        <v>1.1458723230296299</v>
      </c>
      <c r="AH107">
        <v>-1.353207779803778</v>
      </c>
      <c r="AI107">
        <v>5.3823961830841221E-4</v>
      </c>
    </row>
    <row r="108" spans="23:35" x14ac:dyDescent="0.25">
      <c r="W108">
        <v>106</v>
      </c>
      <c r="X108">
        <v>72.749248009990595</v>
      </c>
      <c r="Y108">
        <v>5.9507519900094081</v>
      </c>
      <c r="Z108">
        <v>72.697845333082626</v>
      </c>
      <c r="AA108">
        <v>0.87871437234687688</v>
      </c>
      <c r="AB108">
        <v>53.6</v>
      </c>
      <c r="AC108">
        <v>1.1521925343545227</v>
      </c>
      <c r="AD108">
        <v>0.80614373679796614</v>
      </c>
      <c r="AE108">
        <v>-1.3349352301385133</v>
      </c>
      <c r="AF108">
        <v>8.5640373766581422E-3</v>
      </c>
      <c r="AG108">
        <v>0.80961799056803785</v>
      </c>
      <c r="AH108">
        <v>-1.3438034779986185</v>
      </c>
      <c r="AI108">
        <v>3.1455868527333015E-4</v>
      </c>
    </row>
    <row r="109" spans="23:35" x14ac:dyDescent="0.25">
      <c r="W109">
        <v>107</v>
      </c>
      <c r="X109">
        <v>66.649033501135847</v>
      </c>
      <c r="Y109">
        <v>11.950966498864148</v>
      </c>
      <c r="Z109">
        <v>66.486485678490581</v>
      </c>
      <c r="AA109">
        <v>0.8750758035172832</v>
      </c>
      <c r="AB109">
        <v>53.6</v>
      </c>
      <c r="AC109">
        <v>1.1404631659072275</v>
      </c>
      <c r="AD109">
        <v>1.618988122495493</v>
      </c>
      <c r="AE109">
        <v>-1.3337638481815859</v>
      </c>
      <c r="AF109">
        <v>1.3418717172491487E-2</v>
      </c>
      <c r="AG109">
        <v>1.629961050644205</v>
      </c>
      <c r="AH109">
        <v>-1.3409959738657862</v>
      </c>
      <c r="AI109">
        <v>2.0075209016234092E-3</v>
      </c>
    </row>
    <row r="110" spans="23:35" x14ac:dyDescent="0.25">
      <c r="W110">
        <v>108</v>
      </c>
      <c r="X110">
        <v>64.933069051828966</v>
      </c>
      <c r="Y110">
        <v>13.166930948171029</v>
      </c>
      <c r="Z110">
        <v>64.745041300246982</v>
      </c>
      <c r="AA110">
        <v>0.86476652516676777</v>
      </c>
      <c r="AB110">
        <v>53.7</v>
      </c>
      <c r="AC110">
        <v>1.0950400512086551</v>
      </c>
      <c r="AD110">
        <v>1.7837138792777345</v>
      </c>
      <c r="AE110">
        <v>-1.3321602961892298</v>
      </c>
      <c r="AF110">
        <v>1.4079246204292821E-2</v>
      </c>
      <c r="AG110">
        <v>1.796404719148635</v>
      </c>
      <c r="AH110">
        <v>-1.3395515644250882</v>
      </c>
      <c r="AI110">
        <v>2.560196292345837E-3</v>
      </c>
    </row>
    <row r="111" spans="23:35" x14ac:dyDescent="0.25">
      <c r="W111">
        <v>109</v>
      </c>
      <c r="X111">
        <v>75.668479365244337</v>
      </c>
      <c r="Y111">
        <v>-3.1684793652443375</v>
      </c>
      <c r="Z111">
        <v>75.683922138479815</v>
      </c>
      <c r="AA111">
        <v>0.55852031534263191</v>
      </c>
      <c r="AB111">
        <v>53.8</v>
      </c>
      <c r="AC111">
        <v>0.12956927093944998</v>
      </c>
      <c r="AD111">
        <v>-0.42923143154908722</v>
      </c>
      <c r="AE111">
        <v>-1.3310690952247193</v>
      </c>
      <c r="AF111">
        <v>4.8502358298409664E-3</v>
      </c>
      <c r="AG111">
        <v>-0.43027617034535587</v>
      </c>
      <c r="AH111">
        <v>-1.3382533031120127</v>
      </c>
      <c r="AI111">
        <v>5.012986038872284E-5</v>
      </c>
    </row>
    <row r="112" spans="23:35" x14ac:dyDescent="0.25">
      <c r="W112">
        <v>110</v>
      </c>
      <c r="X112">
        <v>67.805011746158044</v>
      </c>
      <c r="Y112">
        <v>4.3949882538419587</v>
      </c>
      <c r="Z112">
        <v>67.772099748296284</v>
      </c>
      <c r="AA112">
        <v>0.53911461491813217</v>
      </c>
      <c r="AB112">
        <v>53.8</v>
      </c>
      <c r="AC112">
        <v>7.9127168877726875E-2</v>
      </c>
      <c r="AD112">
        <v>0.59538563530854238</v>
      </c>
      <c r="AE112">
        <v>-1.3291466780857752</v>
      </c>
      <c r="AF112">
        <v>7.4328679488882606E-3</v>
      </c>
      <c r="AG112">
        <v>0.59761075870978064</v>
      </c>
      <c r="AH112">
        <v>-1.3381410252535182</v>
      </c>
      <c r="AI112">
        <v>1.4858016529976958E-4</v>
      </c>
    </row>
    <row r="113" spans="23:35" x14ac:dyDescent="0.25">
      <c r="W113">
        <v>111</v>
      </c>
      <c r="X113">
        <v>72.554747668564318</v>
      </c>
      <c r="Y113">
        <v>-0.65474766856431188</v>
      </c>
      <c r="Z113">
        <v>72.557761653245365</v>
      </c>
      <c r="AA113">
        <v>0.51607034566403887</v>
      </c>
      <c r="AB113">
        <v>54</v>
      </c>
      <c r="AC113">
        <v>2.7365033500434649E-2</v>
      </c>
      <c r="AD113">
        <v>-8.8698156650174234E-2</v>
      </c>
      <c r="AE113">
        <v>-1.3203700913968646</v>
      </c>
      <c r="AF113">
        <v>4.5821836316892869E-3</v>
      </c>
      <c r="AG113">
        <v>-8.8902073326909428E-2</v>
      </c>
      <c r="AH113">
        <v>-1.3372740370208427</v>
      </c>
      <c r="AI113">
        <v>2.0212421853200991E-6</v>
      </c>
    </row>
    <row r="114" spans="23:35" x14ac:dyDescent="0.25">
      <c r="W114">
        <v>112</v>
      </c>
      <c r="X114">
        <v>70.543273866218669</v>
      </c>
      <c r="Y114">
        <v>1.056726133781325</v>
      </c>
      <c r="Z114">
        <v>70.539631475428379</v>
      </c>
      <c r="AA114">
        <v>0.49787750151607035</v>
      </c>
      <c r="AB114">
        <v>54</v>
      </c>
      <c r="AC114">
        <v>-2.1282865457297767E-2</v>
      </c>
      <c r="AD114">
        <v>0.1431538662153517</v>
      </c>
      <c r="AE114">
        <v>-1.3175522924600866</v>
      </c>
      <c r="AF114">
        <v>3.4350234903054188E-3</v>
      </c>
      <c r="AG114">
        <v>0.14340036990350996</v>
      </c>
      <c r="AH114">
        <v>-1.322661512437417</v>
      </c>
      <c r="AI114">
        <v>3.9377861691390709E-6</v>
      </c>
    </row>
    <row r="115" spans="23:35" x14ac:dyDescent="0.25">
      <c r="W115">
        <v>113</v>
      </c>
      <c r="X115">
        <v>67.408683870707421</v>
      </c>
      <c r="Y115">
        <v>3.6913161292925736</v>
      </c>
      <c r="Z115">
        <v>67.368747917593595</v>
      </c>
      <c r="AA115">
        <v>0.47422680412371132</v>
      </c>
      <c r="AB115">
        <v>54</v>
      </c>
      <c r="AC115">
        <v>-7.6077819866612773E-2</v>
      </c>
      <c r="AD115">
        <v>0.50005972071536708</v>
      </c>
      <c r="AE115">
        <v>-1.3164196655700751</v>
      </c>
      <c r="AF115">
        <v>1.0703097038694166E-2</v>
      </c>
      <c r="AG115">
        <v>0.50275748985649049</v>
      </c>
      <c r="AH115">
        <v>-1.3217765792396021</v>
      </c>
      <c r="AI115">
        <v>1.5192435696110624E-4</v>
      </c>
    </row>
    <row r="116" spans="23:35" x14ac:dyDescent="0.25">
      <c r="W116">
        <v>114</v>
      </c>
      <c r="X116">
        <v>70.158185027427947</v>
      </c>
      <c r="Y116">
        <v>7.8418149725720525</v>
      </c>
      <c r="Z116">
        <v>70.140783642393231</v>
      </c>
      <c r="AA116">
        <v>0.86294724075197093</v>
      </c>
      <c r="AB116">
        <v>54</v>
      </c>
      <c r="AC116">
        <v>1.0491313979639725</v>
      </c>
      <c r="AD116">
        <v>1.0623245660179967</v>
      </c>
      <c r="AE116">
        <v>-1.3121788687161455</v>
      </c>
      <c r="AF116">
        <v>2.2141374206947136E-3</v>
      </c>
      <c r="AG116">
        <v>1.063502588895016</v>
      </c>
      <c r="AH116">
        <v>-1.321320367143783</v>
      </c>
      <c r="AI116">
        <v>1.3943500721592885E-4</v>
      </c>
    </row>
    <row r="117" spans="23:35" x14ac:dyDescent="0.25">
      <c r="W117">
        <v>115</v>
      </c>
      <c r="X117">
        <v>68.841272480865626</v>
      </c>
      <c r="Y117">
        <v>4.1587275191343736</v>
      </c>
      <c r="Z117">
        <v>68.827863327576907</v>
      </c>
      <c r="AA117">
        <v>0.60946027895694366</v>
      </c>
      <c r="AB117">
        <v>54</v>
      </c>
      <c r="AC117">
        <v>0.22222871718700732</v>
      </c>
      <c r="AD117">
        <v>0.56337957761103374</v>
      </c>
      <c r="AE117">
        <v>-1.3100285117067492</v>
      </c>
      <c r="AF117">
        <v>3.2139774752239251E-3</v>
      </c>
      <c r="AG117">
        <v>0.56428711042662527</v>
      </c>
      <c r="AH117">
        <v>-1.3153329580360393</v>
      </c>
      <c r="AI117">
        <v>5.7038572043746111E-5</v>
      </c>
    </row>
    <row r="118" spans="23:35" x14ac:dyDescent="0.25">
      <c r="W118">
        <v>116</v>
      </c>
      <c r="X118">
        <v>67.528659305776443</v>
      </c>
      <c r="Y118">
        <v>5.4713406942235565</v>
      </c>
      <c r="Z118">
        <v>67.510733512673482</v>
      </c>
      <c r="AA118">
        <v>0.60946027895694366</v>
      </c>
      <c r="AB118">
        <v>54.1</v>
      </c>
      <c r="AC118">
        <v>0.22222871718700732</v>
      </c>
      <c r="AD118">
        <v>0.74119826199128536</v>
      </c>
      <c r="AE118">
        <v>-1.3089231642672947</v>
      </c>
      <c r="AF118">
        <v>3.2656080997983967E-3</v>
      </c>
      <c r="AG118">
        <v>0.74241146571110173</v>
      </c>
      <c r="AH118">
        <v>-1.3128173155048211</v>
      </c>
      <c r="AI118">
        <v>1.0032321855981132E-4</v>
      </c>
    </row>
    <row r="119" spans="23:35" x14ac:dyDescent="0.25">
      <c r="W119">
        <v>117</v>
      </c>
      <c r="X119">
        <v>62.452315807231017</v>
      </c>
      <c r="Y119">
        <v>6.7476841927689861</v>
      </c>
      <c r="Z119">
        <v>62.37073565491081</v>
      </c>
      <c r="AA119">
        <v>0.42874469375379015</v>
      </c>
      <c r="AB119">
        <v>54.1</v>
      </c>
      <c r="AC119">
        <v>-0.1880739545732803</v>
      </c>
      <c r="AD119">
        <v>0.91410352154211649</v>
      </c>
      <c r="AE119">
        <v>-1.308345957537548</v>
      </c>
      <c r="AF119">
        <v>1.1945672066255993E-2</v>
      </c>
      <c r="AG119">
        <v>0.91961271973029945</v>
      </c>
      <c r="AH119">
        <v>-1.311711024258492</v>
      </c>
      <c r="AI119">
        <v>5.6802466942985886E-4</v>
      </c>
    </row>
    <row r="120" spans="23:35" x14ac:dyDescent="0.25">
      <c r="W120">
        <v>118</v>
      </c>
      <c r="X120">
        <v>69.539953571871067</v>
      </c>
      <c r="Y120">
        <v>-1.1399535718710609</v>
      </c>
      <c r="Z120">
        <v>69.544533470963614</v>
      </c>
      <c r="AA120">
        <v>0.40024257125530627</v>
      </c>
      <c r="AB120">
        <v>54.1</v>
      </c>
      <c r="AC120">
        <v>-0.26293383539244392</v>
      </c>
      <c r="AD120">
        <v>-0.15442862242404981</v>
      </c>
      <c r="AE120">
        <v>-1.3044072331479506</v>
      </c>
      <c r="AF120">
        <v>4.0015422953871872E-3</v>
      </c>
      <c r="AG120">
        <v>-0.15473852914558212</v>
      </c>
      <c r="AH120">
        <v>-1.3111203677152645</v>
      </c>
      <c r="AI120">
        <v>5.3443287993104102E-6</v>
      </c>
    </row>
    <row r="121" spans="23:35" x14ac:dyDescent="0.25">
      <c r="W121">
        <v>119</v>
      </c>
      <c r="X121">
        <v>68.466797797795138</v>
      </c>
      <c r="Y121">
        <v>-6.6797797795132396E-2</v>
      </c>
      <c r="Z121">
        <v>68.467525647160244</v>
      </c>
      <c r="AA121">
        <v>0.40024257125530627</v>
      </c>
      <c r="AB121">
        <v>54.2</v>
      </c>
      <c r="AC121">
        <v>-0.26293383539244392</v>
      </c>
      <c r="AD121">
        <v>-9.0490456357193664E-3</v>
      </c>
      <c r="AE121">
        <v>-1.3036075260965314</v>
      </c>
      <c r="AF121">
        <v>1.0778858044489198E-2</v>
      </c>
      <c r="AG121">
        <v>-9.0982126571130615E-3</v>
      </c>
      <c r="AH121">
        <v>-1.3109397856096621</v>
      </c>
      <c r="AI121">
        <v>5.0109379483740934E-8</v>
      </c>
    </row>
    <row r="122" spans="23:35" x14ac:dyDescent="0.25">
      <c r="W122">
        <v>120</v>
      </c>
      <c r="X122">
        <v>67.416154187377245</v>
      </c>
      <c r="Y122">
        <v>0.38384581262275219</v>
      </c>
      <c r="Z122">
        <v>67.414886994964291</v>
      </c>
      <c r="AA122">
        <v>0.37355973317161917</v>
      </c>
      <c r="AB122">
        <v>54.3</v>
      </c>
      <c r="AC122">
        <v>-0.337689309602062</v>
      </c>
      <c r="AD122">
        <v>5.1999293242511381E-2</v>
      </c>
      <c r="AE122">
        <v>-1.3014498990152827</v>
      </c>
      <c r="AF122">
        <v>3.290443055375152E-3</v>
      </c>
      <c r="AG122">
        <v>5.2085055303692347E-2</v>
      </c>
      <c r="AH122">
        <v>-1.3061446543972779</v>
      </c>
      <c r="AI122">
        <v>4.9755318531219201E-7</v>
      </c>
    </row>
    <row r="123" spans="23:35" x14ac:dyDescent="0.25">
      <c r="W123">
        <v>121</v>
      </c>
      <c r="X123">
        <v>59.90830697819689</v>
      </c>
      <c r="Y123">
        <v>7.8916930218031069</v>
      </c>
      <c r="Z123">
        <v>59.783200391133001</v>
      </c>
      <c r="AA123">
        <v>0.37355973317161917</v>
      </c>
      <c r="AB123">
        <v>54.3</v>
      </c>
      <c r="AC123">
        <v>-0.337689309602062</v>
      </c>
      <c r="AD123">
        <v>1.0690815064952373</v>
      </c>
      <c r="AE123">
        <v>-1.2951006802299525</v>
      </c>
      <c r="AF123">
        <v>1.560555248574725E-2</v>
      </c>
      <c r="AG123">
        <v>1.0775222313945683</v>
      </c>
      <c r="AH123">
        <v>-1.3037932911083789</v>
      </c>
      <c r="AI123">
        <v>1.0225627465785415E-3</v>
      </c>
    </row>
    <row r="124" spans="23:35" x14ac:dyDescent="0.25">
      <c r="W124">
        <v>122</v>
      </c>
      <c r="X124">
        <v>72.059042444958592</v>
      </c>
      <c r="Y124">
        <v>-0.65904244495858677</v>
      </c>
      <c r="Z124">
        <v>72.065225526680834</v>
      </c>
      <c r="AA124">
        <v>0.4887810794420861</v>
      </c>
      <c r="AB124">
        <v>54.3</v>
      </c>
      <c r="AC124">
        <v>-4.7140240828996732E-2</v>
      </c>
      <c r="AD124">
        <v>-8.9279966662926424E-2</v>
      </c>
      <c r="AE124">
        <v>-1.2944898968534799</v>
      </c>
      <c r="AF124">
        <v>9.2947150616531152E-3</v>
      </c>
      <c r="AG124">
        <v>-8.9697797569380858E-2</v>
      </c>
      <c r="AH124">
        <v>-1.2981122451722069</v>
      </c>
      <c r="AI124">
        <v>4.1935580081341642E-6</v>
      </c>
    </row>
    <row r="125" spans="23:35" x14ac:dyDescent="0.25">
      <c r="W125">
        <v>123</v>
      </c>
      <c r="X125">
        <v>70.335101943261279</v>
      </c>
      <c r="Y125">
        <v>0.66489805673872127</v>
      </c>
      <c r="Z125">
        <v>70.327051902895221</v>
      </c>
      <c r="AA125">
        <v>0.46937537901758641</v>
      </c>
      <c r="AB125">
        <v>54.5</v>
      </c>
      <c r="AC125">
        <v>-9.743972564826138E-2</v>
      </c>
      <c r="AD125">
        <v>9.0073221829601313E-2</v>
      </c>
      <c r="AE125">
        <v>-1.2905446142948773</v>
      </c>
      <c r="AF125">
        <v>1.1962349549240083E-2</v>
      </c>
      <c r="AG125">
        <v>9.0616847685036139E-2</v>
      </c>
      <c r="AH125">
        <v>-1.2971527295869427</v>
      </c>
      <c r="AI125">
        <v>5.5231697318676018E-6</v>
      </c>
    </row>
    <row r="126" spans="23:35" x14ac:dyDescent="0.25">
      <c r="W126">
        <v>124</v>
      </c>
      <c r="X126">
        <v>72.148372382276833</v>
      </c>
      <c r="Y126">
        <v>4.8516276177231674</v>
      </c>
      <c r="Z126">
        <v>72.105158728929908</v>
      </c>
      <c r="AA126">
        <v>0.83747725894481506</v>
      </c>
      <c r="AB126">
        <v>54.8</v>
      </c>
      <c r="AC126">
        <v>0.95855995741850497</v>
      </c>
      <c r="AD126">
        <v>0.65724621423810758</v>
      </c>
      <c r="AE126">
        <v>-1.2902838808408279</v>
      </c>
      <c r="AF126">
        <v>8.8284074914401905E-3</v>
      </c>
      <c r="AG126">
        <v>0.66016678522204619</v>
      </c>
      <c r="AH126">
        <v>-1.2967892762843627</v>
      </c>
      <c r="AI126">
        <v>2.1565938336496975E-4</v>
      </c>
    </row>
    <row r="127" spans="23:35" x14ac:dyDescent="0.25">
      <c r="W127">
        <v>125</v>
      </c>
      <c r="X127">
        <v>67.813046834962364</v>
      </c>
      <c r="Y127">
        <v>5.1869531650376359</v>
      </c>
      <c r="Z127">
        <v>67.739191546069804</v>
      </c>
      <c r="AA127">
        <v>0.60946027895694366</v>
      </c>
      <c r="AB127">
        <v>54.8</v>
      </c>
      <c r="AC127">
        <v>0.22222871718700732</v>
      </c>
      <c r="AD127">
        <v>0.70267250493376154</v>
      </c>
      <c r="AE127">
        <v>-1.2872041641161049</v>
      </c>
      <c r="AF127">
        <v>1.4038771709581746E-2</v>
      </c>
      <c r="AG127">
        <v>0.70765738238108378</v>
      </c>
      <c r="AH127">
        <v>-1.2948839652531616</v>
      </c>
      <c r="AI127">
        <v>3.9613466910584205E-4</v>
      </c>
    </row>
    <row r="128" spans="23:35" x14ac:dyDescent="0.25">
      <c r="W128">
        <v>126</v>
      </c>
      <c r="X128">
        <v>69.095056630846102</v>
      </c>
      <c r="Y128">
        <v>0.80494336915390363</v>
      </c>
      <c r="Z128">
        <v>69.087205743483437</v>
      </c>
      <c r="AA128">
        <v>0.45724681625227409</v>
      </c>
      <c r="AB128">
        <v>54.8</v>
      </c>
      <c r="AC128">
        <v>-0.11731546960548965</v>
      </c>
      <c r="AD128">
        <v>0.10904505121535853</v>
      </c>
      <c r="AE128">
        <v>-1.2834070943459783</v>
      </c>
      <c r="AF128">
        <v>9.6591324307678302E-3</v>
      </c>
      <c r="AG128">
        <v>0.10957553764808377</v>
      </c>
      <c r="AH128">
        <v>-1.293650478397355</v>
      </c>
      <c r="AI128">
        <v>6.5059112531805577E-6</v>
      </c>
    </row>
    <row r="129" spans="23:35" x14ac:dyDescent="0.25">
      <c r="W129">
        <v>127</v>
      </c>
      <c r="X129">
        <v>67.747949482012331</v>
      </c>
      <c r="Y129">
        <v>1.7520505179876693</v>
      </c>
      <c r="Z129">
        <v>67.72841065871981</v>
      </c>
      <c r="AA129">
        <v>0.44269254093389931</v>
      </c>
      <c r="AB129">
        <v>54.8</v>
      </c>
      <c r="AC129">
        <v>-0.15567569037416348</v>
      </c>
      <c r="AD129">
        <v>0.23734891892665802</v>
      </c>
      <c r="AE129">
        <v>-1.2777640382325199</v>
      </c>
      <c r="AF129">
        <v>1.1028979931884781E-2</v>
      </c>
      <c r="AG129">
        <v>0.23866870416140698</v>
      </c>
      <c r="AH129">
        <v>-1.2901187903201339</v>
      </c>
      <c r="AI129">
        <v>3.529150881088207E-5</v>
      </c>
    </row>
    <row r="130" spans="23:35" x14ac:dyDescent="0.25">
      <c r="W130">
        <v>128</v>
      </c>
      <c r="X130">
        <v>68.187933185816831</v>
      </c>
      <c r="Y130">
        <v>0.91206681418316293</v>
      </c>
      <c r="Z130">
        <v>68.178289728001715</v>
      </c>
      <c r="AA130">
        <v>0.42510612492419647</v>
      </c>
      <c r="AB130">
        <v>54.8</v>
      </c>
      <c r="AC130">
        <v>-0.198915705174462</v>
      </c>
      <c r="AD130">
        <v>0.12355698087055864</v>
      </c>
      <c r="AE130">
        <v>-1.2732516861144334</v>
      </c>
      <c r="AF130">
        <v>1.0462569538476917E-2</v>
      </c>
      <c r="AG130">
        <v>0.12420845920637802</v>
      </c>
      <c r="AH130">
        <v>-1.2805616387844765</v>
      </c>
      <c r="AI130">
        <v>9.0622486609501636E-6</v>
      </c>
    </row>
    <row r="131" spans="23:35" x14ac:dyDescent="0.25">
      <c r="W131">
        <v>129</v>
      </c>
      <c r="X131">
        <v>62.995485684175719</v>
      </c>
      <c r="Y131">
        <v>5.6045143158242752</v>
      </c>
      <c r="Z131">
        <v>62.595506974604831</v>
      </c>
      <c r="AA131">
        <v>0.40570042449969679</v>
      </c>
      <c r="AB131">
        <v>54.9</v>
      </c>
      <c r="AC131">
        <v>-0.24253103988010652</v>
      </c>
      <c r="AD131">
        <v>0.75923918877505336</v>
      </c>
      <c r="AE131">
        <v>-1.2731069971028008</v>
      </c>
      <c r="AF131">
        <v>6.6613235768487711E-2</v>
      </c>
      <c r="AG131">
        <v>0.78586472918428973</v>
      </c>
      <c r="AH131">
        <v>-1.2756857200928764</v>
      </c>
      <c r="AI131">
        <v>2.4486233229472597E-3</v>
      </c>
    </row>
    <row r="132" spans="23:35" x14ac:dyDescent="0.25">
      <c r="W132">
        <v>130</v>
      </c>
      <c r="X132">
        <v>64.116140439561207</v>
      </c>
      <c r="Y132">
        <v>4.0838595604387962</v>
      </c>
      <c r="Z132">
        <v>63.824941548224892</v>
      </c>
      <c r="AA132">
        <v>0.39175257731958762</v>
      </c>
      <c r="AB132">
        <v>54.9</v>
      </c>
      <c r="AC132">
        <v>-0.28028330588569778</v>
      </c>
      <c r="AD132">
        <v>0.55323727356431562</v>
      </c>
      <c r="AE132">
        <v>-1.2730633617391469</v>
      </c>
      <c r="AF132">
        <v>6.655885733781873E-2</v>
      </c>
      <c r="AG132">
        <v>0.57262191212461389</v>
      </c>
      <c r="AH132">
        <v>-1.2756753400954373</v>
      </c>
      <c r="AI132">
        <v>1.2989198060872824E-3</v>
      </c>
    </row>
    <row r="133" spans="23:35" x14ac:dyDescent="0.25">
      <c r="W133">
        <v>131</v>
      </c>
      <c r="X133">
        <v>64.045274719424711</v>
      </c>
      <c r="Y133">
        <v>3.7547252805752862</v>
      </c>
      <c r="Z133">
        <v>63.762677023645317</v>
      </c>
      <c r="AA133">
        <v>0.37355973317161917</v>
      </c>
      <c r="AB133">
        <v>54.9</v>
      </c>
      <c r="AC133">
        <v>-0.337689309602062</v>
      </c>
      <c r="AD133">
        <v>0.50864970904760687</v>
      </c>
      <c r="AE133">
        <v>-1.271239414727116</v>
      </c>
      <c r="AF133">
        <v>6.9996306323392002E-2</v>
      </c>
      <c r="AG133">
        <v>0.52744413039841276</v>
      </c>
      <c r="AH133">
        <v>-1.2736802040269939</v>
      </c>
      <c r="AI133">
        <v>1.1632441360731752E-3</v>
      </c>
    </row>
    <row r="134" spans="23:35" x14ac:dyDescent="0.25">
      <c r="W134">
        <v>132</v>
      </c>
      <c r="X134">
        <v>53.383145680949497</v>
      </c>
      <c r="Y134">
        <v>13.916854319050501</v>
      </c>
      <c r="Z134">
        <v>53.165796451391238</v>
      </c>
      <c r="AA134">
        <v>0.35112189205579136</v>
      </c>
      <c r="AB134">
        <v>55</v>
      </c>
      <c r="AC134">
        <v>-0.39787592189543292</v>
      </c>
      <c r="AD134">
        <v>1.8853054141842243</v>
      </c>
      <c r="AE134">
        <v>-1.2696097380969111</v>
      </c>
      <c r="AF134">
        <v>1.5377536400319839E-2</v>
      </c>
      <c r="AG134">
        <v>1.8999704429317703</v>
      </c>
      <c r="AH134">
        <v>-1.272014047545093</v>
      </c>
      <c r="AI134">
        <v>3.1321186723382759E-3</v>
      </c>
    </row>
    <row r="135" spans="23:35" x14ac:dyDescent="0.25">
      <c r="W135">
        <v>133</v>
      </c>
      <c r="X135">
        <v>46.476799905993303</v>
      </c>
      <c r="Y135">
        <v>20.323200094006694</v>
      </c>
      <c r="Z135">
        <v>46.065452291752081</v>
      </c>
      <c r="AA135">
        <v>0.33232261976955729</v>
      </c>
      <c r="AB135">
        <v>55</v>
      </c>
      <c r="AC135">
        <v>-0.44438857281516719</v>
      </c>
      <c r="AD135">
        <v>2.7531680861479542</v>
      </c>
      <c r="AE135">
        <v>-1.2651381016978518</v>
      </c>
      <c r="AF135">
        <v>1.9838755107139092E-2</v>
      </c>
      <c r="AG135">
        <v>2.7808909794222312</v>
      </c>
      <c r="AH135">
        <v>-1.2686321100610853</v>
      </c>
      <c r="AI135">
        <v>8.6958554380576029E-3</v>
      </c>
    </row>
    <row r="136" spans="23:35" x14ac:dyDescent="0.25">
      <c r="W136">
        <v>134</v>
      </c>
      <c r="X136">
        <v>78.809870310541442</v>
      </c>
      <c r="Y136">
        <v>-6.8098703105414415</v>
      </c>
      <c r="Z136">
        <v>78.848128697796142</v>
      </c>
      <c r="AA136">
        <v>0.52516676773802307</v>
      </c>
      <c r="AB136">
        <v>55</v>
      </c>
      <c r="AC136">
        <v>4.1053957112594373E-2</v>
      </c>
      <c r="AD136">
        <v>-0.92252782647739351</v>
      </c>
      <c r="AE136">
        <v>-1.2641266675808509</v>
      </c>
      <c r="AF136">
        <v>5.5866922108244602E-3</v>
      </c>
      <c r="AG136">
        <v>-0.92511561392975694</v>
      </c>
      <c r="AH136">
        <v>-1.2685501494821578</v>
      </c>
      <c r="AI136">
        <v>2.6712057105405856E-4</v>
      </c>
    </row>
    <row r="137" spans="23:35" x14ac:dyDescent="0.25">
      <c r="W137">
        <v>135</v>
      </c>
      <c r="X137">
        <v>77.255758505233644</v>
      </c>
      <c r="Y137">
        <v>-5.5557585052336407</v>
      </c>
      <c r="Z137">
        <v>77.292210158941415</v>
      </c>
      <c r="AA137">
        <v>0.50394178289872649</v>
      </c>
      <c r="AB137">
        <v>55.3</v>
      </c>
      <c r="AC137">
        <v>-4.5602855597810616E-3</v>
      </c>
      <c r="AD137">
        <v>-0.75263427709227193</v>
      </c>
      <c r="AE137">
        <v>-1.2638695908803983</v>
      </c>
      <c r="AF137">
        <v>6.5182910998951493E-3</v>
      </c>
      <c r="AG137">
        <v>-0.75509927901451557</v>
      </c>
      <c r="AH137">
        <v>-1.2673414878177154</v>
      </c>
      <c r="AI137">
        <v>2.0783059554536058E-4</v>
      </c>
    </row>
    <row r="138" spans="23:35" x14ac:dyDescent="0.25">
      <c r="W138">
        <v>136</v>
      </c>
      <c r="X138">
        <v>71.151388125910529</v>
      </c>
      <c r="Y138">
        <v>0.74861187408947671</v>
      </c>
      <c r="Z138">
        <v>71.140326015453624</v>
      </c>
      <c r="AA138">
        <v>0.51607034566403887</v>
      </c>
      <c r="AB138">
        <v>55.3</v>
      </c>
      <c r="AC138">
        <v>2.7365033500434649E-2</v>
      </c>
      <c r="AD138">
        <v>0.10141386745792864</v>
      </c>
      <c r="AE138">
        <v>-1.2628380093181748</v>
      </c>
      <c r="AF138">
        <v>1.4561654975596042E-2</v>
      </c>
      <c r="AG138">
        <v>0.10216040744130872</v>
      </c>
      <c r="AH138">
        <v>-1.2665302030209371</v>
      </c>
      <c r="AI138">
        <v>8.5678924605387569E-6</v>
      </c>
    </row>
    <row r="139" spans="23:35" x14ac:dyDescent="0.25">
      <c r="W139">
        <v>137</v>
      </c>
      <c r="X139">
        <v>75.709629342542513</v>
      </c>
      <c r="Y139">
        <v>-3.7096293425425131</v>
      </c>
      <c r="Z139">
        <v>75.748785204729799</v>
      </c>
      <c r="AA139">
        <v>0.52516676773802307</v>
      </c>
      <c r="AB139">
        <v>55.3</v>
      </c>
      <c r="AC139">
        <v>4.1053957112594373E-2</v>
      </c>
      <c r="AD139">
        <v>-0.50254059744941171</v>
      </c>
      <c r="AE139">
        <v>-1.2612195005629552</v>
      </c>
      <c r="AF139">
        <v>1.0444946842482747E-2</v>
      </c>
      <c r="AG139">
        <v>-0.50518584257782073</v>
      </c>
      <c r="AH139">
        <v>-1.2648532099562269</v>
      </c>
      <c r="AI139">
        <v>1.4965668142943094E-4</v>
      </c>
    </row>
    <row r="140" spans="23:35" x14ac:dyDescent="0.25">
      <c r="W140">
        <v>138</v>
      </c>
      <c r="X140">
        <v>78.099791092985981</v>
      </c>
      <c r="Y140">
        <v>-5.0997910929859813</v>
      </c>
      <c r="Z140">
        <v>78.137659974782366</v>
      </c>
      <c r="AA140">
        <v>0.60946027895694366</v>
      </c>
      <c r="AB140">
        <v>55.3</v>
      </c>
      <c r="AC140">
        <v>0.22222871718700732</v>
      </c>
      <c r="AD140">
        <v>-0.69086472692709266</v>
      </c>
      <c r="AE140">
        <v>-1.2596165519794724</v>
      </c>
      <c r="AF140">
        <v>7.3708423644739812E-3</v>
      </c>
      <c r="AG140">
        <v>-0.69342501677126978</v>
      </c>
      <c r="AH140">
        <v>-1.2637888763270195</v>
      </c>
      <c r="AI140">
        <v>1.9836114272479588E-4</v>
      </c>
    </row>
    <row r="141" spans="23:35" x14ac:dyDescent="0.25">
      <c r="W141">
        <v>139</v>
      </c>
      <c r="X141">
        <v>78.357059966946011</v>
      </c>
      <c r="Y141">
        <v>-8.3570599669460108</v>
      </c>
      <c r="Z141">
        <v>78.408188606159527</v>
      </c>
      <c r="AA141">
        <v>0.46088538508186777</v>
      </c>
      <c r="AB141">
        <v>55.3</v>
      </c>
      <c r="AC141">
        <v>-0.10660788786182936</v>
      </c>
      <c r="AD141">
        <v>-1.1321244040600478</v>
      </c>
      <c r="AE141">
        <v>-1.2568475861741188</v>
      </c>
      <c r="AF141">
        <v>6.0808149779209286E-3</v>
      </c>
      <c r="AG141">
        <v>-1.1355823017191531</v>
      </c>
      <c r="AH141">
        <v>-1.2609419358609937</v>
      </c>
      <c r="AI141">
        <v>4.3830400720810703E-4</v>
      </c>
    </row>
    <row r="142" spans="23:35" x14ac:dyDescent="0.25">
      <c r="W142">
        <v>140</v>
      </c>
      <c r="X142">
        <v>75.875801538414521</v>
      </c>
      <c r="Y142">
        <v>-5.875801538414521</v>
      </c>
      <c r="Z142">
        <v>75.917201334233226</v>
      </c>
      <c r="AA142">
        <v>0.46088538508186777</v>
      </c>
      <c r="AB142">
        <v>55.3</v>
      </c>
      <c r="AC142">
        <v>-0.10660788786182936</v>
      </c>
      <c r="AD142">
        <v>-0.79599025750243557</v>
      </c>
      <c r="AE142">
        <v>-1.2540683217745257</v>
      </c>
      <c r="AF142">
        <v>6.9965163394377994E-3</v>
      </c>
      <c r="AG142">
        <v>-0.79878953440806333</v>
      </c>
      <c r="AH142">
        <v>-1.2599070310834863</v>
      </c>
      <c r="AI142">
        <v>2.4976024278943956E-4</v>
      </c>
    </row>
    <row r="143" spans="23:35" x14ac:dyDescent="0.25">
      <c r="W143">
        <v>141</v>
      </c>
      <c r="X143">
        <v>70.15142626102984</v>
      </c>
      <c r="Y143">
        <v>-0.35142626102984309</v>
      </c>
      <c r="Z143">
        <v>70.159214887622113</v>
      </c>
      <c r="AA143">
        <v>0.4530018192844148</v>
      </c>
      <c r="AB143">
        <v>55.3</v>
      </c>
      <c r="AC143">
        <v>-0.12344005334831042</v>
      </c>
      <c r="AD143">
        <v>-4.7607441841159184E-2</v>
      </c>
      <c r="AE143">
        <v>-1.2532469618042676</v>
      </c>
      <c r="AF143">
        <v>2.1682360226839049E-2</v>
      </c>
      <c r="AG143">
        <v>-4.8132110316720399E-2</v>
      </c>
      <c r="AH143">
        <v>-1.2592710189390914</v>
      </c>
      <c r="AI143">
        <v>2.8524889644700796E-6</v>
      </c>
    </row>
    <row r="144" spans="23:35" x14ac:dyDescent="0.25">
      <c r="W144">
        <v>142</v>
      </c>
      <c r="X144">
        <v>76.24092717852804</v>
      </c>
      <c r="Y144">
        <v>-7.3409271785280339</v>
      </c>
      <c r="Z144">
        <v>76.279941757829391</v>
      </c>
      <c r="AA144">
        <v>0.41479684657368104</v>
      </c>
      <c r="AB144">
        <v>55.3</v>
      </c>
      <c r="AC144">
        <v>-0.22378708008709278</v>
      </c>
      <c r="AD144">
        <v>-0.99446968672122116</v>
      </c>
      <c r="AE144">
        <v>-1.248614640531087</v>
      </c>
      <c r="AF144">
        <v>5.2865700816624788E-3</v>
      </c>
      <c r="AG144">
        <v>-0.99710882217067909</v>
      </c>
      <c r="AH144">
        <v>-1.255398406618216</v>
      </c>
      <c r="AI144">
        <v>2.9355442063946333E-4</v>
      </c>
    </row>
    <row r="145" spans="23:35" x14ac:dyDescent="0.25">
      <c r="W145">
        <v>143</v>
      </c>
      <c r="X145">
        <v>76.833618901179989</v>
      </c>
      <c r="Y145">
        <v>-8.7336189011799945</v>
      </c>
      <c r="Z145">
        <v>76.871545571265273</v>
      </c>
      <c r="AA145">
        <v>0.38932686476652517</v>
      </c>
      <c r="AB145">
        <v>55.3</v>
      </c>
      <c r="AC145">
        <v>-0.29295400660571042</v>
      </c>
      <c r="AD145">
        <v>-1.1831365495632857</v>
      </c>
      <c r="AE145">
        <v>-1.246144108871045</v>
      </c>
      <c r="AF145">
        <v>4.323829794548888E-3</v>
      </c>
      <c r="AG145">
        <v>-1.1857027148467139</v>
      </c>
      <c r="AH145">
        <v>-1.2526783485077029</v>
      </c>
      <c r="AI145">
        <v>3.3917950346222552E-4</v>
      </c>
    </row>
    <row r="146" spans="23:35" x14ac:dyDescent="0.25">
      <c r="W146">
        <v>144</v>
      </c>
      <c r="X146">
        <v>75.133538661341689</v>
      </c>
      <c r="Y146">
        <v>-6.9335386613416858</v>
      </c>
      <c r="Z146">
        <v>75.169839037870929</v>
      </c>
      <c r="AA146">
        <v>0.39175257731958762</v>
      </c>
      <c r="AB146">
        <v>55.5</v>
      </c>
      <c r="AC146">
        <v>-0.28028330588569778</v>
      </c>
      <c r="AD146">
        <v>-0.93928108162987267</v>
      </c>
      <c r="AE146">
        <v>-1.2389592692327061</v>
      </c>
      <c r="AF146">
        <v>5.2082087307905259E-3</v>
      </c>
      <c r="AG146">
        <v>-0.9417366636566139</v>
      </c>
      <c r="AH146">
        <v>-1.2433943891752421</v>
      </c>
      <c r="AI146">
        <v>2.5795422205963339E-4</v>
      </c>
    </row>
    <row r="147" spans="23:35" x14ac:dyDescent="0.25">
      <c r="W147">
        <v>145</v>
      </c>
      <c r="X147">
        <v>63.781864706795425</v>
      </c>
      <c r="Y147">
        <v>3.9181352932045783</v>
      </c>
      <c r="Z147">
        <v>63.713949111136344</v>
      </c>
      <c r="AA147">
        <v>0.36749545178896303</v>
      </c>
      <c r="AB147">
        <v>55.5</v>
      </c>
      <c r="AC147">
        <v>-0.35059197017921911</v>
      </c>
      <c r="AD147">
        <v>0.53078673617163119</v>
      </c>
      <c r="AE147">
        <v>-1.2374035981600373</v>
      </c>
      <c r="AF147">
        <v>1.703831625652916E-2</v>
      </c>
      <c r="AG147">
        <v>0.53536720878905852</v>
      </c>
      <c r="AH147">
        <v>-1.240838138363195</v>
      </c>
      <c r="AI147">
        <v>2.7600764729802252E-4</v>
      </c>
    </row>
    <row r="148" spans="23:35" x14ac:dyDescent="0.25">
      <c r="W148">
        <v>146</v>
      </c>
      <c r="X148">
        <v>73.600453934005401</v>
      </c>
      <c r="Y148">
        <v>-6.4004539340053981</v>
      </c>
      <c r="Z148">
        <v>73.637922687978033</v>
      </c>
      <c r="AA148">
        <v>0.34505761067313523</v>
      </c>
      <c r="AB148">
        <v>55.6</v>
      </c>
      <c r="AC148">
        <v>-0.40776731506460179</v>
      </c>
      <c r="AD148">
        <v>-0.86706450885952602</v>
      </c>
      <c r="AE148">
        <v>-1.2333768074246252</v>
      </c>
      <c r="AF148">
        <v>5.8200068234118413E-3</v>
      </c>
      <c r="AG148">
        <v>-0.86959873683727418</v>
      </c>
      <c r="AH148">
        <v>-1.2360547234766819</v>
      </c>
      <c r="AI148">
        <v>2.4593694275002918E-4</v>
      </c>
    </row>
    <row r="149" spans="23:35" x14ac:dyDescent="0.25">
      <c r="W149">
        <v>147</v>
      </c>
      <c r="X149">
        <v>73.474212521602396</v>
      </c>
      <c r="Y149">
        <v>-5.7742125216023936</v>
      </c>
      <c r="Z149">
        <v>73.500211141421232</v>
      </c>
      <c r="AA149">
        <v>0.36749545178896303</v>
      </c>
      <c r="AB149">
        <v>55.6</v>
      </c>
      <c r="AC149">
        <v>-0.35059197017921911</v>
      </c>
      <c r="AD149">
        <v>-0.7822280725268137</v>
      </c>
      <c r="AE149">
        <v>-1.2214205958436684</v>
      </c>
      <c r="AF149">
        <v>4.4823574840528761E-3</v>
      </c>
      <c r="AG149">
        <v>-0.78398710111440539</v>
      </c>
      <c r="AH149">
        <v>-1.2312647118274449</v>
      </c>
      <c r="AI149">
        <v>1.5374565770807396E-4</v>
      </c>
    </row>
    <row r="150" spans="23:35" x14ac:dyDescent="0.25">
      <c r="W150">
        <v>148</v>
      </c>
      <c r="X150">
        <v>69.651504900330849</v>
      </c>
      <c r="Y150">
        <v>-1.6515049003308491</v>
      </c>
      <c r="Z150">
        <v>69.681151059736408</v>
      </c>
      <c r="AA150">
        <v>0.38447543966040026</v>
      </c>
      <c r="AB150">
        <v>55.7</v>
      </c>
      <c r="AC150">
        <v>-0.31204933220437475</v>
      </c>
      <c r="AD150">
        <v>-0.22372808242185849</v>
      </c>
      <c r="AE150">
        <v>-1.2206936835627054</v>
      </c>
      <c r="AF150">
        <v>1.763444113713971E-2</v>
      </c>
      <c r="AG150">
        <v>-0.22572722175196375</v>
      </c>
      <c r="AH150">
        <v>-1.2297443053592614</v>
      </c>
      <c r="AI150">
        <v>5.0814065180154011E-5</v>
      </c>
    </row>
    <row r="151" spans="23:35" x14ac:dyDescent="0.25">
      <c r="W151">
        <v>149</v>
      </c>
      <c r="X151">
        <v>78.405038489681772</v>
      </c>
      <c r="Y151">
        <v>10.594961510318228</v>
      </c>
      <c r="Z151">
        <v>78.250382016901455</v>
      </c>
      <c r="AA151">
        <v>1</v>
      </c>
      <c r="AB151">
        <v>55.8</v>
      </c>
      <c r="AC151">
        <v>2.6570161854420777</v>
      </c>
      <c r="AD151">
        <v>1.4352911829459483</v>
      </c>
      <c r="AE151">
        <v>-1.2164055533159714</v>
      </c>
      <c r="AF151">
        <v>1.4387159899400676E-2</v>
      </c>
      <c r="AG151">
        <v>1.4457288268715822</v>
      </c>
      <c r="AH151">
        <v>-1.22810084989157</v>
      </c>
      <c r="AI151">
        <v>1.6950007470609809E-3</v>
      </c>
    </row>
    <row r="152" spans="23:35" x14ac:dyDescent="0.25">
      <c r="W152">
        <v>150</v>
      </c>
      <c r="X152">
        <v>78.944477996492537</v>
      </c>
      <c r="Y152">
        <v>8.0555220035074626</v>
      </c>
      <c r="Z152">
        <v>78.881246395516499</v>
      </c>
      <c r="AA152">
        <v>0.99211643420254703</v>
      </c>
      <c r="AB152">
        <v>55.9</v>
      </c>
      <c r="AC152">
        <v>2.349487559997844</v>
      </c>
      <c r="AD152">
        <v>1.0912752910335082</v>
      </c>
      <c r="AE152">
        <v>-1.2139004463378364</v>
      </c>
      <c r="AF152">
        <v>7.7883384638153443E-3</v>
      </c>
      <c r="AG152">
        <v>1.0955498869643221</v>
      </c>
      <c r="AH152">
        <v>-1.2240521339677499</v>
      </c>
      <c r="AI152">
        <v>5.2339829234501528E-4</v>
      </c>
    </row>
    <row r="153" spans="23:35" x14ac:dyDescent="0.25">
      <c r="W153">
        <v>151</v>
      </c>
      <c r="X153">
        <v>79.613769007750022</v>
      </c>
      <c r="Y153">
        <v>3.3862309922499776</v>
      </c>
      <c r="Z153">
        <v>79.590008207256119</v>
      </c>
      <c r="AA153">
        <v>0.97877501516070342</v>
      </c>
      <c r="AB153">
        <v>56</v>
      </c>
      <c r="AC153">
        <v>1.9368862628682144</v>
      </c>
      <c r="AD153">
        <v>0.45873007484372841</v>
      </c>
      <c r="AE153">
        <v>-1.2134864208614797</v>
      </c>
      <c r="AF153">
        <v>6.967993455133663E-3</v>
      </c>
      <c r="AG153">
        <v>0.46033668997855615</v>
      </c>
      <c r="AH153">
        <v>-1.2171077175072773</v>
      </c>
      <c r="AI153">
        <v>8.2608200862989103E-5</v>
      </c>
    </row>
    <row r="154" spans="23:35" x14ac:dyDescent="0.25">
      <c r="W154">
        <v>152</v>
      </c>
      <c r="X154">
        <v>78.32582992776257</v>
      </c>
      <c r="Y154">
        <v>4.6741700722374304</v>
      </c>
      <c r="Z154">
        <v>78.289895517576682</v>
      </c>
      <c r="AA154">
        <v>0.97877501516070342</v>
      </c>
      <c r="AB154">
        <v>56</v>
      </c>
      <c r="AC154">
        <v>1.9368862628682144</v>
      </c>
      <c r="AD154">
        <v>0.63320617878022911</v>
      </c>
      <c r="AE154">
        <v>-1.2132936136512462</v>
      </c>
      <c r="AF154">
        <v>7.6292172116329453E-3</v>
      </c>
      <c r="AG154">
        <v>0.63563552188006411</v>
      </c>
      <c r="AH154">
        <v>-1.2149949497912913</v>
      </c>
      <c r="AI154">
        <v>1.7256385100675872E-4</v>
      </c>
    </row>
    <row r="155" spans="23:35" x14ac:dyDescent="0.25">
      <c r="W155">
        <v>153</v>
      </c>
      <c r="X155">
        <v>78.167521551215202</v>
      </c>
      <c r="Y155">
        <v>1.8324784487847978</v>
      </c>
      <c r="Z155">
        <v>78.153880374122949</v>
      </c>
      <c r="AA155">
        <v>0.92722862340812617</v>
      </c>
      <c r="AB155">
        <v>56</v>
      </c>
      <c r="AC155">
        <v>1.4191611772342045</v>
      </c>
      <c r="AD155">
        <v>0.24824442806307942</v>
      </c>
      <c r="AE155">
        <v>-1.2088009823357939</v>
      </c>
      <c r="AF155">
        <v>7.3891078893541986E-3</v>
      </c>
      <c r="AG155">
        <v>0.24916669469863237</v>
      </c>
      <c r="AH155">
        <v>-1.2128837101732473</v>
      </c>
      <c r="AI155">
        <v>2.5675590971593118E-5</v>
      </c>
    </row>
    <row r="156" spans="23:35" x14ac:dyDescent="0.25">
      <c r="W156">
        <v>154</v>
      </c>
      <c r="X156">
        <v>78.15460330416866</v>
      </c>
      <c r="Y156">
        <v>1.6453966958313373</v>
      </c>
      <c r="Z156">
        <v>78.143109862248465</v>
      </c>
      <c r="AA156">
        <v>0.91813220133414186</v>
      </c>
      <c r="AB156">
        <v>56.1</v>
      </c>
      <c r="AC156">
        <v>1.3748000243745633</v>
      </c>
      <c r="AD156">
        <v>0.22290060871624454</v>
      </c>
      <c r="AE156">
        <v>-1.2058958760407932</v>
      </c>
      <c r="AF156">
        <v>6.9367555870574315E-3</v>
      </c>
      <c r="AG156">
        <v>0.22367775775271886</v>
      </c>
      <c r="AH156">
        <v>-1.2092511996195483</v>
      </c>
      <c r="AI156">
        <v>1.94156788863035E-5</v>
      </c>
    </row>
    <row r="157" spans="23:35" x14ac:dyDescent="0.25">
      <c r="W157">
        <v>155</v>
      </c>
      <c r="X157">
        <v>84.026410631259495</v>
      </c>
      <c r="Y157">
        <v>-4.5264106312594947</v>
      </c>
      <c r="Z157">
        <v>84.073695425093547</v>
      </c>
      <c r="AA157">
        <v>0.90964220739842327</v>
      </c>
      <c r="AB157">
        <v>56.1</v>
      </c>
      <c r="AC157">
        <v>1.3219841213691266</v>
      </c>
      <c r="AD157">
        <v>-0.6131893224069318</v>
      </c>
      <c r="AE157">
        <v>-1.2045515267186799</v>
      </c>
      <c r="AF157">
        <v>1.0338422094008818E-2</v>
      </c>
      <c r="AG157">
        <v>-0.61638381841314482</v>
      </c>
      <c r="AH157">
        <v>-1.2084942080716334</v>
      </c>
      <c r="AI157">
        <v>2.2049436872526661E-4</v>
      </c>
    </row>
    <row r="158" spans="23:35" x14ac:dyDescent="0.25">
      <c r="W158">
        <v>156</v>
      </c>
      <c r="X158">
        <v>78.468649668147037</v>
      </c>
      <c r="Y158">
        <v>1.0313503318529627</v>
      </c>
      <c r="Z158">
        <v>78.457814499653693</v>
      </c>
      <c r="AA158">
        <v>0.90964220739842327</v>
      </c>
      <c r="AB158">
        <v>56.2</v>
      </c>
      <c r="AC158">
        <v>1.3219841213691266</v>
      </c>
      <c r="AD158">
        <v>0.13971622609438564</v>
      </c>
      <c r="AE158">
        <v>-1.2026724200393446</v>
      </c>
      <c r="AF158">
        <v>1.0396583419879608E-2</v>
      </c>
      <c r="AG158">
        <v>0.14044822447685357</v>
      </c>
      <c r="AH158">
        <v>-1.2072106454507667</v>
      </c>
      <c r="AI158">
        <v>1.1513025274524218E-5</v>
      </c>
    </row>
    <row r="159" spans="23:35" x14ac:dyDescent="0.25">
      <c r="W159">
        <v>157</v>
      </c>
      <c r="X159">
        <v>77.018225061090988</v>
      </c>
      <c r="Y159">
        <v>2.3817749389090181</v>
      </c>
      <c r="Z159">
        <v>76.987698588037446</v>
      </c>
      <c r="AA159">
        <v>0.90661006670709521</v>
      </c>
      <c r="AB159">
        <v>56.2</v>
      </c>
      <c r="AC159">
        <v>1.2933897637306977</v>
      </c>
      <c r="AD159">
        <v>0.32265719571029</v>
      </c>
      <c r="AE159">
        <v>-1.1967238203071082</v>
      </c>
      <c r="AF159">
        <v>1.2654502004666064E-2</v>
      </c>
      <c r="AG159">
        <v>0.32471831132935247</v>
      </c>
      <c r="AH159">
        <v>-1.2042738879570649</v>
      </c>
      <c r="AI159">
        <v>7.507873786987577E-5</v>
      </c>
    </row>
    <row r="160" spans="23:35" x14ac:dyDescent="0.25">
      <c r="W160">
        <v>158</v>
      </c>
      <c r="X160">
        <v>75.432433249025252</v>
      </c>
      <c r="Y160">
        <v>3.4675667509747541</v>
      </c>
      <c r="Z160">
        <v>75.388430670459286</v>
      </c>
      <c r="AA160">
        <v>0.88599151000606424</v>
      </c>
      <c r="AB160">
        <v>56.2</v>
      </c>
      <c r="AC160">
        <v>1.1852957183684145</v>
      </c>
      <c r="AD160">
        <v>0.46974856672236331</v>
      </c>
      <c r="AE160">
        <v>-1.1967184698088942</v>
      </c>
      <c r="AF160">
        <v>1.253074464337171E-2</v>
      </c>
      <c r="AG160">
        <v>0.47271966831871043</v>
      </c>
      <c r="AH160">
        <v>-1.2030134343665837</v>
      </c>
      <c r="AI160">
        <v>1.5753901886324262E-4</v>
      </c>
    </row>
    <row r="161" spans="23:35" x14ac:dyDescent="0.25">
      <c r="W161">
        <v>159</v>
      </c>
      <c r="X161">
        <v>89.822843803474683</v>
      </c>
      <c r="Y161">
        <v>-11.022843803474686</v>
      </c>
      <c r="Z161">
        <v>89.903643288431297</v>
      </c>
      <c r="AA161">
        <v>0.88174651303820495</v>
      </c>
      <c r="AB161">
        <v>56.3</v>
      </c>
      <c r="AC161">
        <v>1.1700898139672218</v>
      </c>
      <c r="AD161">
        <v>-1.4932560639045116</v>
      </c>
      <c r="AE161">
        <v>-1.1957542898212181</v>
      </c>
      <c r="AF161">
        <v>7.2768444426520185E-3</v>
      </c>
      <c r="AG161">
        <v>-1.4987189927579567</v>
      </c>
      <c r="AH161">
        <v>-1.2010987717724717</v>
      </c>
      <c r="AI161">
        <v>9.1470879728534937E-4</v>
      </c>
    </row>
    <row r="162" spans="23:35" x14ac:dyDescent="0.25">
      <c r="W162">
        <v>160</v>
      </c>
      <c r="X162">
        <v>90.089507772865915</v>
      </c>
      <c r="Y162">
        <v>-11.789507772865917</v>
      </c>
      <c r="Z162">
        <v>90.16232624352709</v>
      </c>
      <c r="AA162">
        <v>0.86901152213462707</v>
      </c>
      <c r="AB162">
        <v>56.3</v>
      </c>
      <c r="AC162">
        <v>1.1118051137279645</v>
      </c>
      <c r="AD162">
        <v>-1.59711543465144</v>
      </c>
      <c r="AE162">
        <v>-1.1949430207921872</v>
      </c>
      <c r="AF162">
        <v>6.1386332803740045E-3</v>
      </c>
      <c r="AG162">
        <v>-1.6020401726360447</v>
      </c>
      <c r="AH162">
        <v>-1.1988139885764193</v>
      </c>
      <c r="AI162">
        <v>8.8068414913124019E-4</v>
      </c>
    </row>
    <row r="163" spans="23:35" x14ac:dyDescent="0.25">
      <c r="W163">
        <v>161</v>
      </c>
      <c r="X163">
        <v>88.977879893514014</v>
      </c>
      <c r="Y163">
        <v>-10.977879893514014</v>
      </c>
      <c r="Z163">
        <v>89.159446640596187</v>
      </c>
      <c r="AA163">
        <v>0.86294724075197093</v>
      </c>
      <c r="AB163">
        <v>56.4</v>
      </c>
      <c r="AC163">
        <v>1.0491313979639725</v>
      </c>
      <c r="AD163">
        <v>-1.487164838046402</v>
      </c>
      <c r="AE163">
        <v>-1.1944494520186606</v>
      </c>
      <c r="AF163">
        <v>1.6270228527431572E-2</v>
      </c>
      <c r="AG163">
        <v>-1.499412755553029</v>
      </c>
      <c r="AH163">
        <v>-1.1986066763829375</v>
      </c>
      <c r="AI163">
        <v>2.0657974405348055E-3</v>
      </c>
    </row>
    <row r="164" spans="23:35" x14ac:dyDescent="0.25">
      <c r="W164">
        <v>162</v>
      </c>
      <c r="X164">
        <v>85.526721514149273</v>
      </c>
      <c r="Y164">
        <v>-7.5267215141492727</v>
      </c>
      <c r="Z164">
        <v>85.638891736159863</v>
      </c>
      <c r="AA164">
        <v>0.86294724075197093</v>
      </c>
      <c r="AB164">
        <v>56.4</v>
      </c>
      <c r="AC164">
        <v>1.0491313979639725</v>
      </c>
      <c r="AD164">
        <v>-1.0196391006448828</v>
      </c>
      <c r="AE164">
        <v>-1.1909657632146955</v>
      </c>
      <c r="AF164">
        <v>1.4684096317220556E-2</v>
      </c>
      <c r="AG164">
        <v>-1.0272088085345004</v>
      </c>
      <c r="AH164">
        <v>-1.19850447184052</v>
      </c>
      <c r="AI164">
        <v>8.7360818940575443E-4</v>
      </c>
    </row>
    <row r="165" spans="23:35" x14ac:dyDescent="0.25">
      <c r="W165">
        <v>163</v>
      </c>
      <c r="X165">
        <v>85.361643623711998</v>
      </c>
      <c r="Y165">
        <v>-7.7616436237120041</v>
      </c>
      <c r="Z165">
        <v>85.487464950178776</v>
      </c>
      <c r="AA165">
        <v>0.8483929654335961</v>
      </c>
      <c r="AB165">
        <v>56.5</v>
      </c>
      <c r="AC165">
        <v>1.0205681915260707</v>
      </c>
      <c r="AD165">
        <v>-1.0514638158367291</v>
      </c>
      <c r="AE165">
        <v>-1.1862591035282</v>
      </c>
      <c r="AF165">
        <v>1.59520615637E-2</v>
      </c>
      <c r="AG165">
        <v>-1.0599520128651754</v>
      </c>
      <c r="AH165">
        <v>-1.1927395844243771</v>
      </c>
      <c r="AI165">
        <v>1.0118134867539992E-3</v>
      </c>
    </row>
    <row r="166" spans="23:35" x14ac:dyDescent="0.25">
      <c r="W166">
        <v>164</v>
      </c>
      <c r="X166">
        <v>68.841614355328886</v>
      </c>
      <c r="Y166">
        <v>1.1583856446711138</v>
      </c>
      <c r="Z166">
        <v>68.835591730644097</v>
      </c>
      <c r="AA166">
        <v>0.46088538508186777</v>
      </c>
      <c r="AB166">
        <v>56.5</v>
      </c>
      <c r="AC166">
        <v>-0.10660788786182936</v>
      </c>
      <c r="AD166">
        <v>0.15692560096876365</v>
      </c>
      <c r="AE166">
        <v>-1.1849603856751492</v>
      </c>
      <c r="AF166">
        <v>5.1722620349702753E-3</v>
      </c>
      <c r="AG166">
        <v>0.15733301224423757</v>
      </c>
      <c r="AH166">
        <v>-1.1901141997950475</v>
      </c>
      <c r="AI166">
        <v>7.1498979478078985E-6</v>
      </c>
    </row>
    <row r="167" spans="23:35" x14ac:dyDescent="0.25">
      <c r="W167">
        <v>165</v>
      </c>
      <c r="X167">
        <v>71.759640264164346</v>
      </c>
      <c r="Y167">
        <v>-1.9596402641643493</v>
      </c>
      <c r="Z167">
        <v>71.763933904952239</v>
      </c>
      <c r="AA167">
        <v>0.4530018192844148</v>
      </c>
      <c r="AB167">
        <v>56.5</v>
      </c>
      <c r="AC167">
        <v>-0.12344005334831042</v>
      </c>
      <c r="AD167">
        <v>-0.26547094014091221</v>
      </c>
      <c r="AE167">
        <v>-1.1831365495632857</v>
      </c>
      <c r="AF167">
        <v>2.1862450549184785E-3</v>
      </c>
      <c r="AG167">
        <v>-0.26576160909807006</v>
      </c>
      <c r="AH167">
        <v>-1.1867600137424967</v>
      </c>
      <c r="AI167">
        <v>8.5972852777345924E-6</v>
      </c>
    </row>
    <row r="168" spans="23:35" x14ac:dyDescent="0.25">
      <c r="W168">
        <v>166</v>
      </c>
      <c r="X168">
        <v>72.718070767324249</v>
      </c>
      <c r="Y168">
        <v>-3.3180707673242438</v>
      </c>
      <c r="Z168">
        <v>72.723847163022612</v>
      </c>
      <c r="AA168">
        <v>0.43784111582777441</v>
      </c>
      <c r="AB168">
        <v>56.5</v>
      </c>
      <c r="AC168">
        <v>-0.16799678341230881</v>
      </c>
      <c r="AD168">
        <v>-0.44949646226587769</v>
      </c>
      <c r="AE168">
        <v>-1.1785249286621842</v>
      </c>
      <c r="AF168">
        <v>1.737864412849394E-3</v>
      </c>
      <c r="AG168">
        <v>-0.44988755404085989</v>
      </c>
      <c r="AH168">
        <v>-1.1857027148467139</v>
      </c>
      <c r="AI168">
        <v>1.9575224159219874E-5</v>
      </c>
    </row>
    <row r="169" spans="23:35" x14ac:dyDescent="0.25">
      <c r="W169">
        <v>167</v>
      </c>
      <c r="X169">
        <v>71.813862384144088</v>
      </c>
      <c r="Y169">
        <v>-2.4138623841440818</v>
      </c>
      <c r="Z169">
        <v>71.817670908296165</v>
      </c>
      <c r="AA169">
        <v>0.43784111582777441</v>
      </c>
      <c r="AB169">
        <v>56.6</v>
      </c>
      <c r="AC169">
        <v>-0.16799678341230881</v>
      </c>
      <c r="AD169">
        <v>-0.32700405692203638</v>
      </c>
      <c r="AE169">
        <v>-1.1781688085407132</v>
      </c>
      <c r="AF169">
        <v>1.5752864209163104E-3</v>
      </c>
      <c r="AG169">
        <v>-0.32726192414834382</v>
      </c>
      <c r="AH169">
        <v>-1.1810644782426516</v>
      </c>
      <c r="AI169">
        <v>9.3877747566502617E-6</v>
      </c>
    </row>
    <row r="170" spans="23:35" x14ac:dyDescent="0.25">
      <c r="W170">
        <v>168</v>
      </c>
      <c r="X170">
        <v>72.133933149980763</v>
      </c>
      <c r="Y170">
        <v>-2.6339331499807628</v>
      </c>
      <c r="Z170">
        <v>72.138167834411291</v>
      </c>
      <c r="AA170">
        <v>0.44269254093389931</v>
      </c>
      <c r="AB170">
        <v>56.7</v>
      </c>
      <c r="AC170">
        <v>-0.15567569037416348</v>
      </c>
      <c r="AD170">
        <v>-0.35681687214764479</v>
      </c>
      <c r="AE170">
        <v>-1.1713266087979131</v>
      </c>
      <c r="AF170">
        <v>1.6051611179911086E-3</v>
      </c>
      <c r="AG170">
        <v>-0.35710359165181066</v>
      </c>
      <c r="AH170">
        <v>-1.1804135307427599</v>
      </c>
      <c r="AI170">
        <v>1.1390223220907762E-5</v>
      </c>
    </row>
    <row r="171" spans="23:35" x14ac:dyDescent="0.25">
      <c r="W171">
        <v>169</v>
      </c>
      <c r="X171">
        <v>72.926761977619591</v>
      </c>
      <c r="Y171">
        <v>-3.4267619776195914</v>
      </c>
      <c r="Z171">
        <v>72.93197663622658</v>
      </c>
      <c r="AA171">
        <v>0.44269254093389931</v>
      </c>
      <c r="AB171">
        <v>56.7</v>
      </c>
      <c r="AC171">
        <v>-0.15567569037416348</v>
      </c>
      <c r="AD171">
        <v>-0.46422077586047716</v>
      </c>
      <c r="AE171">
        <v>-1.1675781998213741</v>
      </c>
      <c r="AF171">
        <v>1.5194330147660679E-3</v>
      </c>
      <c r="AG171">
        <v>-0.46457385445741151</v>
      </c>
      <c r="AH171">
        <v>-1.1792002890592457</v>
      </c>
      <c r="AI171">
        <v>1.8246474568797093E-5</v>
      </c>
    </row>
    <row r="172" spans="23:35" x14ac:dyDescent="0.25">
      <c r="W172">
        <v>170</v>
      </c>
      <c r="X172">
        <v>72.581820215320221</v>
      </c>
      <c r="Y172">
        <v>-2.9818202153202265</v>
      </c>
      <c r="Z172">
        <v>72.587075878250431</v>
      </c>
      <c r="AA172">
        <v>0.44815039417828989</v>
      </c>
      <c r="AB172">
        <v>56.7</v>
      </c>
      <c r="AC172">
        <v>-0.14337818601426075</v>
      </c>
      <c r="AD172">
        <v>-0.4039448619054552</v>
      </c>
      <c r="AE172">
        <v>-1.1593243915562017</v>
      </c>
      <c r="AF172">
        <v>1.7594675008002075E-3</v>
      </c>
      <c r="AG172">
        <v>-0.40430069546086483</v>
      </c>
      <c r="AH172">
        <v>-1.1786811292813859</v>
      </c>
      <c r="AI172">
        <v>1.6005989258010365E-5</v>
      </c>
    </row>
    <row r="173" spans="23:35" x14ac:dyDescent="0.25">
      <c r="W173">
        <v>171</v>
      </c>
      <c r="X173">
        <v>71.096235088171269</v>
      </c>
      <c r="Y173">
        <v>-1.4962350881712752</v>
      </c>
      <c r="Z173">
        <v>71.099427062947086</v>
      </c>
      <c r="AA173">
        <v>0.44815039417828989</v>
      </c>
      <c r="AB173">
        <v>56.7</v>
      </c>
      <c r="AC173">
        <v>-0.14337818601426075</v>
      </c>
      <c r="AD173">
        <v>-0.20269380191472558</v>
      </c>
      <c r="AE173">
        <v>-1.1553542141651469</v>
      </c>
      <c r="AF173">
        <v>2.12879629473017E-3</v>
      </c>
      <c r="AG173">
        <v>-0.20290989389509156</v>
      </c>
      <c r="AH173">
        <v>-1.1746453112470856</v>
      </c>
      <c r="AI173">
        <v>4.8797048905408566E-6</v>
      </c>
    </row>
    <row r="174" spans="23:35" x14ac:dyDescent="0.25">
      <c r="W174">
        <v>172</v>
      </c>
      <c r="X174">
        <v>70.463732559502944</v>
      </c>
      <c r="Y174">
        <v>-1.0637325595029381</v>
      </c>
      <c r="Z174">
        <v>70.465785252308265</v>
      </c>
      <c r="AA174">
        <v>0.43784111582777441</v>
      </c>
      <c r="AB174">
        <v>56.7</v>
      </c>
      <c r="AC174">
        <v>-0.16799678341230881</v>
      </c>
      <c r="AD174">
        <v>-0.14410302125026178</v>
      </c>
      <c r="AE174">
        <v>-1.1516628615328146</v>
      </c>
      <c r="AF174">
        <v>1.9259910013493648E-3</v>
      </c>
      <c r="AG174">
        <v>-0.14424199258676729</v>
      </c>
      <c r="AH174">
        <v>-1.1577809309227345</v>
      </c>
      <c r="AI174">
        <v>2.2305010331196844E-6</v>
      </c>
    </row>
    <row r="175" spans="23:35" x14ac:dyDescent="0.25">
      <c r="W175">
        <v>173</v>
      </c>
      <c r="X175">
        <v>71.683647104722723</v>
      </c>
      <c r="Y175">
        <v>-2.6836471047227235</v>
      </c>
      <c r="Z175">
        <v>71.688073847312751</v>
      </c>
      <c r="AA175">
        <v>0.42086112795633718</v>
      </c>
      <c r="AB175">
        <v>56.7</v>
      </c>
      <c r="AC175">
        <v>-0.21444491222324932</v>
      </c>
      <c r="AD175">
        <v>-0.36355158287226796</v>
      </c>
      <c r="AE175">
        <v>-1.1498137216855193</v>
      </c>
      <c r="AF175">
        <v>1.6468083994224986E-3</v>
      </c>
      <c r="AG175">
        <v>-0.36385130300949031</v>
      </c>
      <c r="AH175">
        <v>-1.1531994319717509</v>
      </c>
      <c r="AI175">
        <v>1.2132050984151024E-5</v>
      </c>
    </row>
    <row r="176" spans="23:35" x14ac:dyDescent="0.25">
      <c r="W176">
        <v>174</v>
      </c>
      <c r="X176">
        <v>70.919359392261001</v>
      </c>
      <c r="Y176">
        <v>-2.2193593922609978</v>
      </c>
      <c r="Z176">
        <v>70.923352324484156</v>
      </c>
      <c r="AA176">
        <v>0.40873256519102485</v>
      </c>
      <c r="AB176">
        <v>56.8</v>
      </c>
      <c r="AC176">
        <v>-0.23783731322627524</v>
      </c>
      <c r="AD176">
        <v>-0.30065488811811752</v>
      </c>
      <c r="AE176">
        <v>-1.1472577242746989</v>
      </c>
      <c r="AF176">
        <v>1.7959061994760649E-3</v>
      </c>
      <c r="AG176">
        <v>-0.30092522628789464</v>
      </c>
      <c r="AH176">
        <v>-1.1517582336381196</v>
      </c>
      <c r="AI176">
        <v>9.0512589399774551E-6</v>
      </c>
    </row>
    <row r="177" spans="23:35" x14ac:dyDescent="0.25">
      <c r="W177">
        <v>175</v>
      </c>
      <c r="X177">
        <v>67.734113715385547</v>
      </c>
      <c r="Y177">
        <v>0.66588628461445865</v>
      </c>
      <c r="Z177">
        <v>67.732426899182798</v>
      </c>
      <c r="AA177">
        <v>0.40024257125530627</v>
      </c>
      <c r="AB177">
        <v>56.8</v>
      </c>
      <c r="AC177">
        <v>-0.26293383539244392</v>
      </c>
      <c r="AD177">
        <v>9.0207096290155594E-2</v>
      </c>
      <c r="AE177">
        <v>-1.1445767758468379</v>
      </c>
      <c r="AF177">
        <v>2.5267887527063763E-3</v>
      </c>
      <c r="AG177">
        <v>9.0321279862261655E-2</v>
      </c>
      <c r="AH177">
        <v>-1.1496324241523004</v>
      </c>
      <c r="AI177">
        <v>1.1480884690078017E-6</v>
      </c>
    </row>
    <row r="178" spans="23:35" x14ac:dyDescent="0.25">
      <c r="W178">
        <v>176</v>
      </c>
      <c r="X178">
        <v>69.230805046298727</v>
      </c>
      <c r="Y178">
        <v>-0.73080504629872678</v>
      </c>
      <c r="Z178">
        <v>69.23213520393854</v>
      </c>
      <c r="AA178">
        <v>0.40388114008489995</v>
      </c>
      <c r="AB178">
        <v>56.8</v>
      </c>
      <c r="AC178">
        <v>-0.25193465741015014</v>
      </c>
      <c r="AD178">
        <v>-9.9001590367595677E-2</v>
      </c>
      <c r="AE178">
        <v>-1.1439120754288299</v>
      </c>
      <c r="AF178">
        <v>1.8168196702735588E-3</v>
      </c>
      <c r="AG178">
        <v>-9.9091647117231202E-2</v>
      </c>
      <c r="AH178">
        <v>-1.1463968762708252</v>
      </c>
      <c r="AI178">
        <v>9.928946378788009E-7</v>
      </c>
    </row>
    <row r="179" spans="23:35" x14ac:dyDescent="0.25">
      <c r="W179">
        <v>177</v>
      </c>
      <c r="X179">
        <v>67.565790221522974</v>
      </c>
      <c r="Y179">
        <v>0.63420977847702886</v>
      </c>
      <c r="Z179">
        <v>67.56424299107654</v>
      </c>
      <c r="AA179">
        <v>0.39175257731958762</v>
      </c>
      <c r="AB179">
        <v>56.8</v>
      </c>
      <c r="AC179">
        <v>-0.28028330588569778</v>
      </c>
      <c r="AD179">
        <v>8.5915904677868124E-2</v>
      </c>
      <c r="AE179">
        <v>-1.1422372340879732</v>
      </c>
      <c r="AF179">
        <v>2.4336820903499892E-3</v>
      </c>
      <c r="AG179">
        <v>8.6020641888737606E-2</v>
      </c>
      <c r="AH179">
        <v>-1.143662889437624</v>
      </c>
      <c r="AI179">
        <v>1.002893743092113E-6</v>
      </c>
    </row>
    <row r="180" spans="23:35" x14ac:dyDescent="0.25">
      <c r="W180">
        <v>178</v>
      </c>
      <c r="X180">
        <v>64.147094988555466</v>
      </c>
      <c r="Y180">
        <v>4.1529050114445312</v>
      </c>
      <c r="Z180">
        <v>64.127353323644684</v>
      </c>
      <c r="AA180">
        <v>0.39599757428744692</v>
      </c>
      <c r="AB180">
        <v>56.8</v>
      </c>
      <c r="AC180">
        <v>-0.27396491687072577</v>
      </c>
      <c r="AD180">
        <v>0.56259080702968456</v>
      </c>
      <c r="AE180">
        <v>-1.1414318946397759</v>
      </c>
      <c r="AF180">
        <v>4.7312093359461044E-3</v>
      </c>
      <c r="AG180">
        <v>0.56392641562482193</v>
      </c>
      <c r="AH180">
        <v>-1.1430531743172467</v>
      </c>
      <c r="AI180">
        <v>8.3985468675011225E-5</v>
      </c>
    </row>
    <row r="181" spans="23:35" x14ac:dyDescent="0.25">
      <c r="W181">
        <v>179</v>
      </c>
      <c r="X181">
        <v>64.286073660725549</v>
      </c>
      <c r="Y181">
        <v>-4.5860736607255461</v>
      </c>
      <c r="Z181">
        <v>64.29653424479821</v>
      </c>
      <c r="AA181">
        <v>0.16919345057610674</v>
      </c>
      <c r="AB181">
        <v>56.9</v>
      </c>
      <c r="AC181">
        <v>-0.96823093621551704</v>
      </c>
      <c r="AD181">
        <v>-0.62127182653467883</v>
      </c>
      <c r="AE181">
        <v>-1.1399224938555899</v>
      </c>
      <c r="AF181">
        <v>2.2757546263243388E-3</v>
      </c>
      <c r="AG181">
        <v>-0.62197996654555865</v>
      </c>
      <c r="AH181">
        <v>-1.1425665929177775</v>
      </c>
      <c r="AI181">
        <v>4.9022470796837102E-5</v>
      </c>
    </row>
    <row r="182" spans="23:35" x14ac:dyDescent="0.25">
      <c r="W182">
        <v>180</v>
      </c>
      <c r="X182">
        <v>62.827831338444533</v>
      </c>
      <c r="Y182">
        <v>-3.3278313384445326</v>
      </c>
      <c r="Z182">
        <v>62.834781878959504</v>
      </c>
      <c r="AA182">
        <v>0.16434202546998181</v>
      </c>
      <c r="AB182">
        <v>56.9</v>
      </c>
      <c r="AC182">
        <v>-0.98044852568054008</v>
      </c>
      <c r="AD182">
        <v>-0.45081871923262778</v>
      </c>
      <c r="AE182">
        <v>-1.1380679975977657</v>
      </c>
      <c r="AF182">
        <v>2.0842564123373401E-3</v>
      </c>
      <c r="AG182">
        <v>-0.45128926581850354</v>
      </c>
      <c r="AH182">
        <v>-1.141765298816688</v>
      </c>
      <c r="AI182">
        <v>2.3631689637162709E-5</v>
      </c>
    </row>
    <row r="183" spans="23:35" x14ac:dyDescent="0.25">
      <c r="W183">
        <v>181</v>
      </c>
      <c r="X183">
        <v>51.122747800296509</v>
      </c>
      <c r="Y183">
        <v>8.1772521997034886</v>
      </c>
      <c r="Z183">
        <v>51.043450650818158</v>
      </c>
      <c r="AA183">
        <v>0.16070345664038813</v>
      </c>
      <c r="AB183">
        <v>57</v>
      </c>
      <c r="AC183">
        <v>-1.0028172174115717</v>
      </c>
      <c r="AD183">
        <v>1.1077659858914632</v>
      </c>
      <c r="AE183">
        <v>-1.1375842740467028</v>
      </c>
      <c r="AF183">
        <v>9.6041513378960705E-3</v>
      </c>
      <c r="AG183">
        <v>1.1131241887618295</v>
      </c>
      <c r="AH183">
        <v>-1.1400924108412123</v>
      </c>
      <c r="AI183">
        <v>6.6752097853212946E-4</v>
      </c>
    </row>
    <row r="184" spans="23:35" x14ac:dyDescent="0.25">
      <c r="W184">
        <v>182</v>
      </c>
      <c r="X184">
        <v>61.071387235295582</v>
      </c>
      <c r="Y184">
        <v>-1.9713872352955804</v>
      </c>
      <c r="Z184">
        <v>61.07445836272003</v>
      </c>
      <c r="AA184">
        <v>0.15342631898120074</v>
      </c>
      <c r="AB184">
        <v>57</v>
      </c>
      <c r="AC184">
        <v>-1.0334469496720613</v>
      </c>
      <c r="AD184">
        <v>-0.26706229316985497</v>
      </c>
      <c r="AE184">
        <v>-1.1321244040600478</v>
      </c>
      <c r="AF184">
        <v>1.5554277985471016E-3</v>
      </c>
      <c r="AG184">
        <v>-0.26727023383621179</v>
      </c>
      <c r="AH184">
        <v>-1.1355823017191531</v>
      </c>
      <c r="AI184">
        <v>6.1823640944059819E-6</v>
      </c>
    </row>
    <row r="185" spans="23:35" x14ac:dyDescent="0.25">
      <c r="W185">
        <v>183</v>
      </c>
      <c r="X185">
        <v>60.00359315931189</v>
      </c>
      <c r="Y185">
        <v>-1.3035931593118875</v>
      </c>
      <c r="Z185">
        <v>60.005659254052638</v>
      </c>
      <c r="AA185">
        <v>0.14493632504548212</v>
      </c>
      <c r="AB185">
        <v>57</v>
      </c>
      <c r="AC185">
        <v>-1.0597326997110486</v>
      </c>
      <c r="AD185">
        <v>-0.17659674986896737</v>
      </c>
      <c r="AE185">
        <v>-1.1284755497542922</v>
      </c>
      <c r="AF185">
        <v>1.5824149634255423E-3</v>
      </c>
      <c r="AG185">
        <v>-0.17673664058449154</v>
      </c>
      <c r="AH185">
        <v>-1.1341755127252315</v>
      </c>
      <c r="AI185">
        <v>2.7503555821119383E-6</v>
      </c>
    </row>
    <row r="186" spans="23:35" x14ac:dyDescent="0.25">
      <c r="W186">
        <v>184</v>
      </c>
      <c r="X186">
        <v>55.176735710052611</v>
      </c>
      <c r="Y186">
        <v>3.2232642899473873</v>
      </c>
      <c r="Z186">
        <v>55.1408725040097</v>
      </c>
      <c r="AA186">
        <v>0.1406913280776228</v>
      </c>
      <c r="AB186">
        <v>57.1</v>
      </c>
      <c r="AC186">
        <v>-1.0895196306228982</v>
      </c>
      <c r="AD186">
        <v>0.43665310262434942</v>
      </c>
      <c r="AE186">
        <v>-1.1246306635740679</v>
      </c>
      <c r="AF186">
        <v>1.1003928532109589E-2</v>
      </c>
      <c r="AG186">
        <v>0.43907556326397601</v>
      </c>
      <c r="AH186">
        <v>-1.1324269918970662</v>
      </c>
      <c r="AI186">
        <v>1.1916788287240392E-4</v>
      </c>
    </row>
    <row r="187" spans="23:35" x14ac:dyDescent="0.25">
      <c r="W187">
        <v>185</v>
      </c>
      <c r="X187">
        <v>58.381929596596294</v>
      </c>
      <c r="Y187">
        <v>-0.78192959659629224</v>
      </c>
      <c r="Z187">
        <v>58.383401498324417</v>
      </c>
      <c r="AA187">
        <v>0.12431776834445118</v>
      </c>
      <c r="AB187">
        <v>57.1</v>
      </c>
      <c r="AC187">
        <v>-1.1700898139672218</v>
      </c>
      <c r="AD187">
        <v>-0.10592739337336501</v>
      </c>
      <c r="AE187">
        <v>-1.1231648564460879</v>
      </c>
      <c r="AF187">
        <v>1.8788599859381528E-3</v>
      </c>
      <c r="AG187">
        <v>-0.10602704518964166</v>
      </c>
      <c r="AH187">
        <v>-1.1262790417720685</v>
      </c>
      <c r="AI187">
        <v>1.1756335603379922E-6</v>
      </c>
    </row>
    <row r="188" spans="23:35" x14ac:dyDescent="0.25">
      <c r="W188">
        <v>186</v>
      </c>
      <c r="X188">
        <v>59.100042387751067</v>
      </c>
      <c r="Y188">
        <v>-2.0000423877510656</v>
      </c>
      <c r="Z188">
        <v>59.104220026950813</v>
      </c>
      <c r="AA188">
        <v>0.11279563371740449</v>
      </c>
      <c r="AB188">
        <v>57.1</v>
      </c>
      <c r="AC188">
        <v>-1.2197514087080794</v>
      </c>
      <c r="AD188">
        <v>-0.27094418435230766</v>
      </c>
      <c r="AE188">
        <v>-1.122438856044365</v>
      </c>
      <c r="AF188">
        <v>2.0844214425420728E-3</v>
      </c>
      <c r="AG188">
        <v>-0.27122700750496953</v>
      </c>
      <c r="AH188">
        <v>-1.1246252005365649</v>
      </c>
      <c r="AI188">
        <v>8.5366030876076356E-6</v>
      </c>
    </row>
    <row r="189" spans="23:35" x14ac:dyDescent="0.25">
      <c r="W189">
        <v>187</v>
      </c>
      <c r="X189">
        <v>57.496005897125372</v>
      </c>
      <c r="Y189">
        <v>-0.69600589712537442</v>
      </c>
      <c r="Z189">
        <v>57.497362505194424</v>
      </c>
      <c r="AA189">
        <v>0.10794420861127957</v>
      </c>
      <c r="AB189">
        <v>57.2</v>
      </c>
      <c r="AC189">
        <v>-1.2523823790942721</v>
      </c>
      <c r="AD189">
        <v>-9.4287376735588513E-2</v>
      </c>
      <c r="AE189">
        <v>-1.1222287303702969</v>
      </c>
      <c r="AF189">
        <v>1.9453412808200419E-3</v>
      </c>
      <c r="AG189">
        <v>-9.43792213222443E-2</v>
      </c>
      <c r="AH189">
        <v>-1.1234173350467136</v>
      </c>
      <c r="AI189">
        <v>9.6454335012814482E-7</v>
      </c>
    </row>
    <row r="190" spans="23:35" x14ac:dyDescent="0.25">
      <c r="W190">
        <v>188</v>
      </c>
      <c r="X190">
        <v>48.396514177349331</v>
      </c>
      <c r="Y190">
        <v>8.1034858226506685</v>
      </c>
      <c r="Z190">
        <v>48.291113330155326</v>
      </c>
      <c r="AA190">
        <v>0.10066707095209218</v>
      </c>
      <c r="AB190">
        <v>57.3</v>
      </c>
      <c r="AC190">
        <v>-1.2898891601746336</v>
      </c>
      <c r="AD190">
        <v>1.0977729122518216</v>
      </c>
      <c r="AE190">
        <v>-1.1199486231484856</v>
      </c>
      <c r="AF190">
        <v>1.2839846794473775E-2</v>
      </c>
      <c r="AG190">
        <v>1.1048891324377919</v>
      </c>
      <c r="AH190">
        <v>-1.1220905723791474</v>
      </c>
      <c r="AI190">
        <v>8.8213920475661693E-4</v>
      </c>
    </row>
    <row r="191" spans="23:35" x14ac:dyDescent="0.25">
      <c r="W191">
        <v>189</v>
      </c>
      <c r="X191">
        <v>53.594122520978644</v>
      </c>
      <c r="Y191">
        <v>2.5058774790213576</v>
      </c>
      <c r="Z191">
        <v>53.586813339928192</v>
      </c>
      <c r="AA191">
        <v>9.3996361431170405E-2</v>
      </c>
      <c r="AB191">
        <v>57.3</v>
      </c>
      <c r="AC191">
        <v>-1.3219841213691266</v>
      </c>
      <c r="AD191">
        <v>0.33946927015067052</v>
      </c>
      <c r="AE191">
        <v>-1.114289851872218</v>
      </c>
      <c r="AF191">
        <v>2.9083319462789707E-3</v>
      </c>
      <c r="AG191">
        <v>0.33996399419046397</v>
      </c>
      <c r="AH191">
        <v>-1.1193910289605644</v>
      </c>
      <c r="AI191">
        <v>1.8728466893287166E-5</v>
      </c>
    </row>
    <row r="192" spans="23:35" x14ac:dyDescent="0.25">
      <c r="W192">
        <v>190</v>
      </c>
      <c r="X192">
        <v>54.35234734729957</v>
      </c>
      <c r="Y192">
        <v>1.4476526527004268</v>
      </c>
      <c r="Z192">
        <v>54.348909115148281</v>
      </c>
      <c r="AA192">
        <v>9.0357792601576711E-2</v>
      </c>
      <c r="AB192">
        <v>57.3</v>
      </c>
      <c r="AC192">
        <v>-1.3404190152831756</v>
      </c>
      <c r="AD192">
        <v>0.19611237722437247</v>
      </c>
      <c r="AE192">
        <v>-1.1116315001127193</v>
      </c>
      <c r="AF192">
        <v>2.3694119969888293E-3</v>
      </c>
      <c r="AG192">
        <v>0.19634512642487459</v>
      </c>
      <c r="AH192">
        <v>-1.1181167649041543</v>
      </c>
      <c r="AI192">
        <v>5.086728678479142E-6</v>
      </c>
    </row>
    <row r="193" spans="23:35" x14ac:dyDescent="0.25">
      <c r="W193">
        <v>191</v>
      </c>
      <c r="X193">
        <v>52.345962866790529</v>
      </c>
      <c r="Y193">
        <v>3.2540371332094722</v>
      </c>
      <c r="Z193">
        <v>52.320364843532282</v>
      </c>
      <c r="AA193">
        <v>8.9144936325045485E-2</v>
      </c>
      <c r="AB193">
        <v>57.3</v>
      </c>
      <c r="AC193">
        <v>-1.3517022399306602</v>
      </c>
      <c r="AD193">
        <v>0.44082187573081461</v>
      </c>
      <c r="AE193">
        <v>-1.1089445727392173</v>
      </c>
      <c r="AF193">
        <v>7.8051435714636876E-3</v>
      </c>
      <c r="AG193">
        <v>0.44255235131803289</v>
      </c>
      <c r="AH193">
        <v>-1.1171358576541739</v>
      </c>
      <c r="AI193">
        <v>8.5593488034330374E-5</v>
      </c>
    </row>
    <row r="194" spans="23:35" x14ac:dyDescent="0.25">
      <c r="W194">
        <v>192</v>
      </c>
      <c r="X194">
        <v>79.755216264059555</v>
      </c>
      <c r="Y194">
        <v>-10.35521626405955</v>
      </c>
      <c r="Z194">
        <v>79.828826873152224</v>
      </c>
      <c r="AA194">
        <v>0.43784111582777441</v>
      </c>
      <c r="AB194">
        <v>57.3</v>
      </c>
      <c r="AC194">
        <v>-0.16799678341230881</v>
      </c>
      <c r="AD194">
        <v>-1.4028130811828441</v>
      </c>
      <c r="AE194">
        <v>-1.1040481154688451</v>
      </c>
      <c r="AF194">
        <v>7.0583786640629987E-3</v>
      </c>
      <c r="AG194">
        <v>-1.4077902376880309</v>
      </c>
      <c r="AH194">
        <v>-1.1135298420502899</v>
      </c>
      <c r="AI194">
        <v>7.8268071195008559E-4</v>
      </c>
    </row>
    <row r="195" spans="23:35" x14ac:dyDescent="0.25">
      <c r="W195">
        <v>193</v>
      </c>
      <c r="X195">
        <v>80.073545086319655</v>
      </c>
      <c r="Y195">
        <v>-10.97354508631966</v>
      </c>
      <c r="Z195">
        <v>80.152024254091202</v>
      </c>
      <c r="AA195">
        <v>0.42510612492419647</v>
      </c>
      <c r="AB195">
        <v>57.4</v>
      </c>
      <c r="AC195">
        <v>-0.198915705174462</v>
      </c>
      <c r="AD195">
        <v>-1.4865776050923447</v>
      </c>
      <c r="AE195">
        <v>-1.1024795741473807</v>
      </c>
      <c r="AF195">
        <v>7.1008863143327411E-3</v>
      </c>
      <c r="AG195">
        <v>-1.4918838906577818</v>
      </c>
      <c r="AH195">
        <v>-1.1114646359767479</v>
      </c>
      <c r="AI195">
        <v>8.8431090465095107E-4</v>
      </c>
    </row>
    <row r="196" spans="23:35" x14ac:dyDescent="0.25">
      <c r="W196">
        <v>194</v>
      </c>
      <c r="X196">
        <v>78.908283374653166</v>
      </c>
      <c r="Y196">
        <v>-10.208283374653163</v>
      </c>
      <c r="Z196">
        <v>78.983179719309447</v>
      </c>
      <c r="AA196">
        <v>0.40873256519102485</v>
      </c>
      <c r="AB196">
        <v>57.4</v>
      </c>
      <c r="AC196">
        <v>-0.23783731322627524</v>
      </c>
      <c r="AD196">
        <v>-1.3829081971071091</v>
      </c>
      <c r="AE196">
        <v>-1.1021922995637086</v>
      </c>
      <c r="AF196">
        <v>7.2833838074081499E-3</v>
      </c>
      <c r="AG196">
        <v>-1.3879720007615954</v>
      </c>
      <c r="AH196">
        <v>-1.1060328235501364</v>
      </c>
      <c r="AI196">
        <v>7.8522986784405164E-4</v>
      </c>
    </row>
    <row r="197" spans="23:35" x14ac:dyDescent="0.25">
      <c r="W197">
        <v>195</v>
      </c>
      <c r="X197">
        <v>78.254426069455889</v>
      </c>
      <c r="Y197">
        <v>-9.9544260694558915</v>
      </c>
      <c r="Z197">
        <v>78.323778911993514</v>
      </c>
      <c r="AA197">
        <v>0.39599757428744692</v>
      </c>
      <c r="AB197">
        <v>57.4</v>
      </c>
      <c r="AC197">
        <v>-0.27396491687072577</v>
      </c>
      <c r="AD197">
        <v>-1.3485183457120644</v>
      </c>
      <c r="AE197">
        <v>-1.09780972961884</v>
      </c>
      <c r="AF197">
        <v>6.9188320239825145E-3</v>
      </c>
      <c r="AG197">
        <v>-1.353207779803778</v>
      </c>
      <c r="AH197">
        <v>-1.1046570844134262</v>
      </c>
      <c r="AI197">
        <v>7.0876866240055273E-4</v>
      </c>
    </row>
    <row r="198" spans="23:35" x14ac:dyDescent="0.25">
      <c r="W198">
        <v>196</v>
      </c>
      <c r="X198">
        <v>63.815699995659344</v>
      </c>
      <c r="Y198">
        <v>4.0843000043406619</v>
      </c>
      <c r="Z198">
        <v>63.71893078998545</v>
      </c>
      <c r="AA198">
        <v>0.37719830200121285</v>
      </c>
      <c r="AB198">
        <v>57.5</v>
      </c>
      <c r="AC198">
        <v>-0.32163939638952632</v>
      </c>
      <c r="AD198">
        <v>0.55329694015662123</v>
      </c>
      <c r="AE198">
        <v>-1.0972865310489899</v>
      </c>
      <c r="AF198">
        <v>2.3144607470766125E-2</v>
      </c>
      <c r="AG198">
        <v>0.55981319321640088</v>
      </c>
      <c r="AH198">
        <v>-1.1042886425898384</v>
      </c>
      <c r="AI198">
        <v>4.1250887331005878E-4</v>
      </c>
    </row>
    <row r="199" spans="23:35" x14ac:dyDescent="0.25">
      <c r="W199">
        <v>197</v>
      </c>
      <c r="X199">
        <v>65.759903734482819</v>
      </c>
      <c r="Y199">
        <v>1.6400962655171867</v>
      </c>
      <c r="Z199">
        <v>65.722765757503467</v>
      </c>
      <c r="AA199">
        <v>0.3547604608853851</v>
      </c>
      <c r="AB199">
        <v>57.5</v>
      </c>
      <c r="AC199">
        <v>-0.38147581702590427</v>
      </c>
      <c r="AD199">
        <v>0.22218256355031252</v>
      </c>
      <c r="AE199">
        <v>-1.0955506037847333</v>
      </c>
      <c r="AF199">
        <v>2.2142391347841239E-2</v>
      </c>
      <c r="AG199">
        <v>0.22468400868142574</v>
      </c>
      <c r="AH199">
        <v>-1.0986877451946688</v>
      </c>
      <c r="AI199">
        <v>6.3506872431905281E-5</v>
      </c>
    </row>
    <row r="200" spans="23:35" x14ac:dyDescent="0.25">
      <c r="W200">
        <v>198</v>
      </c>
      <c r="X200">
        <v>65.54094570190442</v>
      </c>
      <c r="Y200">
        <v>1.4590542980955803</v>
      </c>
      <c r="Z200">
        <v>65.508228006103579</v>
      </c>
      <c r="AA200">
        <v>0.33959975742874471</v>
      </c>
      <c r="AB200">
        <v>57.5</v>
      </c>
      <c r="AC200">
        <v>-0.42600652312983872</v>
      </c>
      <c r="AD200">
        <v>0.1976569492448374</v>
      </c>
      <c r="AE200">
        <v>-1.0919007491740589</v>
      </c>
      <c r="AF200">
        <v>2.1932102180970994E-2</v>
      </c>
      <c r="AG200">
        <v>0.1998607834786448</v>
      </c>
      <c r="AH200">
        <v>-1.0972580701056589</v>
      </c>
      <c r="AI200">
        <v>4.9761552562229425E-5</v>
      </c>
    </row>
    <row r="201" spans="23:35" x14ac:dyDescent="0.25">
      <c r="W201">
        <v>199</v>
      </c>
      <c r="X201">
        <v>63.806560885472194</v>
      </c>
      <c r="Y201">
        <v>2.6934391145278056</v>
      </c>
      <c r="Z201">
        <v>63.748159007978458</v>
      </c>
      <c r="AA201">
        <v>0.32383262583383871</v>
      </c>
      <c r="AB201">
        <v>57.5</v>
      </c>
      <c r="AC201">
        <v>-0.46123068213767926</v>
      </c>
      <c r="AD201">
        <v>0.36487809881315814</v>
      </c>
      <c r="AE201">
        <v>-1.0912366012511225</v>
      </c>
      <c r="AF201">
        <v>2.1222838697099417E-2</v>
      </c>
      <c r="AG201">
        <v>0.36881271304590157</v>
      </c>
      <c r="AH201">
        <v>-1.0940118487836044</v>
      </c>
      <c r="AI201">
        <v>1.6385470138467767E-4</v>
      </c>
    </row>
    <row r="202" spans="23:35" x14ac:dyDescent="0.25">
      <c r="W202">
        <v>200</v>
      </c>
      <c r="X202">
        <v>62.171018161759392</v>
      </c>
      <c r="Y202">
        <v>3.6289818382406054</v>
      </c>
      <c r="Z202">
        <v>62.094914570399744</v>
      </c>
      <c r="AA202">
        <v>0.30078835657974529</v>
      </c>
      <c r="AB202">
        <v>57.6</v>
      </c>
      <c r="AC202">
        <v>-0.53349185558387491</v>
      </c>
      <c r="AD202">
        <v>0.49161534286133285</v>
      </c>
      <c r="AE202">
        <v>-1.0870034803737585</v>
      </c>
      <c r="AF202">
        <v>2.0540306777180342E-2</v>
      </c>
      <c r="AG202">
        <v>0.49674344404920512</v>
      </c>
      <c r="AH202">
        <v>-1.0928673706261611</v>
      </c>
      <c r="AI202">
        <v>2.8748298136375982E-4</v>
      </c>
    </row>
    <row r="203" spans="23:35" x14ac:dyDescent="0.25">
      <c r="W203">
        <v>201</v>
      </c>
      <c r="X203">
        <v>60.967687742348836</v>
      </c>
      <c r="Y203">
        <v>4.0323122576511636</v>
      </c>
      <c r="Z203">
        <v>60.88416864130086</v>
      </c>
      <c r="AA203">
        <v>0.27289266221952696</v>
      </c>
      <c r="AB203">
        <v>57.6</v>
      </c>
      <c r="AC203">
        <v>-0.62335641379693996</v>
      </c>
      <c r="AD203">
        <v>0.54625420060801644</v>
      </c>
      <c r="AE203">
        <v>-1.0862025300028995</v>
      </c>
      <c r="AF203">
        <v>2.0292158198233639E-2</v>
      </c>
      <c r="AG203">
        <v>0.55188234059870134</v>
      </c>
      <c r="AH203">
        <v>-1.0894820092877078</v>
      </c>
      <c r="AI203">
        <v>3.504710462929419E-4</v>
      </c>
    </row>
    <row r="204" spans="23:35" x14ac:dyDescent="0.25">
      <c r="W204">
        <v>202</v>
      </c>
      <c r="X204">
        <v>53.22360187875239</v>
      </c>
      <c r="Y204">
        <v>10.976398121247612</v>
      </c>
      <c r="Z204">
        <v>52.871513637582503</v>
      </c>
      <c r="AA204">
        <v>0.24560339599757428</v>
      </c>
      <c r="AB204">
        <v>57.6</v>
      </c>
      <c r="AC204">
        <v>-0.69708605805955215</v>
      </c>
      <c r="AD204">
        <v>1.4869641035116867</v>
      </c>
      <c r="AE204">
        <v>-1.0829145836836149</v>
      </c>
      <c r="AF204">
        <v>3.1079901577844429E-2</v>
      </c>
      <c r="AG204">
        <v>1.51062442389853</v>
      </c>
      <c r="AH204">
        <v>-1.0886775445031334</v>
      </c>
      <c r="AI204">
        <v>4.0666066767383983E-3</v>
      </c>
    </row>
    <row r="205" spans="23:35" x14ac:dyDescent="0.25">
      <c r="W205">
        <v>203</v>
      </c>
      <c r="X205">
        <v>59.090137784960397</v>
      </c>
      <c r="Y205">
        <v>4.2098622150395997</v>
      </c>
      <c r="Z205">
        <v>59.005403360146751</v>
      </c>
      <c r="AA205">
        <v>0.22741055184960582</v>
      </c>
      <c r="AB205">
        <v>57.6</v>
      </c>
      <c r="AC205">
        <v>-0.75647701124006039</v>
      </c>
      <c r="AD205">
        <v>0.57030675503437001</v>
      </c>
      <c r="AE205">
        <v>-1.0725170272942512</v>
      </c>
      <c r="AF205">
        <v>1.9730473411011643E-2</v>
      </c>
      <c r="AG205">
        <v>0.57601761498256965</v>
      </c>
      <c r="AH205">
        <v>-1.0850536667898423</v>
      </c>
      <c r="AI205">
        <v>3.7101462374528168E-4</v>
      </c>
    </row>
    <row r="206" spans="23:35" x14ac:dyDescent="0.25">
      <c r="W206">
        <v>204</v>
      </c>
      <c r="X206">
        <v>59.493564006261209</v>
      </c>
      <c r="Y206">
        <v>3.0064359937387906</v>
      </c>
      <c r="Z206">
        <v>59.432383507903225</v>
      </c>
      <c r="AA206">
        <v>0.20800485142510614</v>
      </c>
      <c r="AB206">
        <v>57.6</v>
      </c>
      <c r="AC206">
        <v>-0.81866501502518862</v>
      </c>
      <c r="AD206">
        <v>0.40727954223356289</v>
      </c>
      <c r="AE206">
        <v>-1.06986393678394</v>
      </c>
      <c r="AF206">
        <v>1.9943985343541387E-2</v>
      </c>
      <c r="AG206">
        <v>0.41140270865981016</v>
      </c>
      <c r="AH206">
        <v>-1.0762392973415951</v>
      </c>
      <c r="AI206">
        <v>1.9134751938027015E-4</v>
      </c>
    </row>
    <row r="207" spans="23:35" x14ac:dyDescent="0.25">
      <c r="W207">
        <v>205</v>
      </c>
      <c r="X207">
        <v>54.466090029306237</v>
      </c>
      <c r="Y207">
        <v>7.233909970693766</v>
      </c>
      <c r="Z207">
        <v>54.29956214715736</v>
      </c>
      <c r="AA207">
        <v>0.19102486355366888</v>
      </c>
      <c r="AB207">
        <v>57.6</v>
      </c>
      <c r="AC207">
        <v>-0.87970786716299942</v>
      </c>
      <c r="AD207">
        <v>0.97997214893607387</v>
      </c>
      <c r="AE207">
        <v>-1.0650452146141955</v>
      </c>
      <c r="AF207">
        <v>2.2502436404477008E-2</v>
      </c>
      <c r="AG207">
        <v>0.99118767083567272</v>
      </c>
      <c r="AH207">
        <v>-1.0718616669425072</v>
      </c>
      <c r="AI207">
        <v>1.2564729314710006E-3</v>
      </c>
    </row>
    <row r="208" spans="23:35" x14ac:dyDescent="0.25">
      <c r="W208">
        <v>206</v>
      </c>
      <c r="X208">
        <v>58.926205522216478</v>
      </c>
      <c r="Y208">
        <v>3.0737944777835224</v>
      </c>
      <c r="Z208">
        <v>58.863581655728368</v>
      </c>
      <c r="AA208">
        <v>0.19890842935112188</v>
      </c>
      <c r="AB208">
        <v>57.8</v>
      </c>
      <c r="AC208">
        <v>-0.85973834429501084</v>
      </c>
      <c r="AD208">
        <v>0.41640454359877366</v>
      </c>
      <c r="AE208">
        <v>-1.0612452955428973</v>
      </c>
      <c r="AF208">
        <v>1.9966681613914232E-2</v>
      </c>
      <c r="AG208">
        <v>0.42062495906222586</v>
      </c>
      <c r="AH208">
        <v>-1.0705800496686364</v>
      </c>
      <c r="AI208">
        <v>2.0025465745353446E-4</v>
      </c>
    </row>
    <row r="209" spans="23:35" x14ac:dyDescent="0.25">
      <c r="W209">
        <v>207</v>
      </c>
      <c r="X209">
        <v>80.262857234154822</v>
      </c>
      <c r="Y209">
        <v>-3.0628572341548193</v>
      </c>
      <c r="Z209">
        <v>80.271522972637825</v>
      </c>
      <c r="AA209">
        <v>0.84111582777440874</v>
      </c>
      <c r="AB209">
        <v>57.8</v>
      </c>
      <c r="AC209">
        <v>0.99032898964496086</v>
      </c>
      <c r="AD209">
        <v>-0.41492288372386787</v>
      </c>
      <c r="AE209">
        <v>-1.0529445164936451</v>
      </c>
      <c r="AF209">
        <v>2.8213165130785375E-3</v>
      </c>
      <c r="AG209">
        <v>-0.41550943955257158</v>
      </c>
      <c r="AH209">
        <v>-1.0632660986673887</v>
      </c>
      <c r="AI209">
        <v>2.7137392036818127E-5</v>
      </c>
    </row>
    <row r="210" spans="23:35" x14ac:dyDescent="0.25">
      <c r="W210">
        <v>208</v>
      </c>
      <c r="X210">
        <v>79.182543132695429</v>
      </c>
      <c r="Y210">
        <v>-2.1825431326954288</v>
      </c>
      <c r="Z210">
        <v>79.191056991108098</v>
      </c>
      <c r="AA210">
        <v>0.83747725894481506</v>
      </c>
      <c r="AB210">
        <v>57.9</v>
      </c>
      <c r="AC210">
        <v>0.95855995741850497</v>
      </c>
      <c r="AD210">
        <v>-0.29566741811248809</v>
      </c>
      <c r="AE210">
        <v>-1.0514638158367291</v>
      </c>
      <c r="AF210">
        <v>3.8857311549699179E-3</v>
      </c>
      <c r="AG210">
        <v>-0.29624353969644784</v>
      </c>
      <c r="AH210">
        <v>-1.0627236539143536</v>
      </c>
      <c r="AI210">
        <v>1.9019051731629416E-5</v>
      </c>
    </row>
    <row r="211" spans="23:35" x14ac:dyDescent="0.25">
      <c r="W211">
        <v>209</v>
      </c>
      <c r="X211">
        <v>79.504319661422215</v>
      </c>
      <c r="Y211">
        <v>-2.7043196614222182</v>
      </c>
      <c r="Z211">
        <v>79.51202181114364</v>
      </c>
      <c r="AA211">
        <v>0.82838083687083086</v>
      </c>
      <c r="AB211">
        <v>57.9</v>
      </c>
      <c r="AC211">
        <v>0.93712127394454448</v>
      </c>
      <c r="AD211">
        <v>-0.36635207802563302</v>
      </c>
      <c r="AE211">
        <v>-1.049867694512661</v>
      </c>
      <c r="AF211">
        <v>2.8400028678870906E-3</v>
      </c>
      <c r="AG211">
        <v>-0.36687340920146089</v>
      </c>
      <c r="AH211">
        <v>-1.0599520128651754</v>
      </c>
      <c r="AI211">
        <v>2.1296777654229447E-5</v>
      </c>
    </row>
    <row r="212" spans="23:35" x14ac:dyDescent="0.25">
      <c r="W212">
        <v>210</v>
      </c>
      <c r="X212">
        <v>77.346818159970695</v>
      </c>
      <c r="Y212">
        <v>-0.44681815997068952</v>
      </c>
      <c r="Z212">
        <v>77.348160557266283</v>
      </c>
      <c r="AA212">
        <v>0.83080654942389331</v>
      </c>
      <c r="AB212">
        <v>57.9</v>
      </c>
      <c r="AC212">
        <v>0.94897780985887181</v>
      </c>
      <c r="AD212">
        <v>-6.0530108085951932E-2</v>
      </c>
      <c r="AE212">
        <v>-1.0481859715245589</v>
      </c>
      <c r="AF212">
        <v>2.9953490413705446E-3</v>
      </c>
      <c r="AG212">
        <v>-6.0620966652432648E-2</v>
      </c>
      <c r="AH212">
        <v>-1.0530331111770919</v>
      </c>
      <c r="AI212">
        <v>6.1337131553348829E-7</v>
      </c>
    </row>
    <row r="213" spans="23:35" x14ac:dyDescent="0.25">
      <c r="W213">
        <v>211</v>
      </c>
      <c r="X213">
        <v>72.110554269754033</v>
      </c>
      <c r="Y213">
        <v>4.2894457302459728</v>
      </c>
      <c r="Z213">
        <v>72.042175642627356</v>
      </c>
      <c r="AA213">
        <v>0.81867798665858094</v>
      </c>
      <c r="AB213">
        <v>58</v>
      </c>
      <c r="AC213">
        <v>0.90460220385671419</v>
      </c>
      <c r="AD213">
        <v>0.58108787184846233</v>
      </c>
      <c r="AE213">
        <v>-1.0465470301148516</v>
      </c>
      <c r="AF213">
        <v>1.5691001178373593E-2</v>
      </c>
      <c r="AG213">
        <v>0.5857011589611506</v>
      </c>
      <c r="AH213">
        <v>-1.0506500022166627</v>
      </c>
      <c r="AI213">
        <v>3.0380775896277968E-4</v>
      </c>
    </row>
    <row r="214" spans="23:35" x14ac:dyDescent="0.25">
      <c r="W214">
        <v>212</v>
      </c>
      <c r="X214">
        <v>64.190950290375781</v>
      </c>
      <c r="Y214">
        <v>11.909049709624213</v>
      </c>
      <c r="Z214">
        <v>64.016178902366306</v>
      </c>
      <c r="AA214">
        <v>0.81079442086112796</v>
      </c>
      <c r="AB214">
        <v>58</v>
      </c>
      <c r="AC214">
        <v>0.873012700415573</v>
      </c>
      <c r="AD214">
        <v>1.6133096877078923</v>
      </c>
      <c r="AE214">
        <v>-1.0457478515999519</v>
      </c>
      <c r="AF214">
        <v>1.4463255173787635E-2</v>
      </c>
      <c r="AG214">
        <v>1.6251046429714266</v>
      </c>
      <c r="AH214">
        <v>-1.0482358613615101</v>
      </c>
      <c r="AI214">
        <v>2.1531951077913233E-3</v>
      </c>
    </row>
    <row r="215" spans="23:35" x14ac:dyDescent="0.25">
      <c r="W215">
        <v>213</v>
      </c>
      <c r="X215">
        <v>75.760276989742266</v>
      </c>
      <c r="Y215">
        <v>0.2397230102577339</v>
      </c>
      <c r="Z215">
        <v>75.759774689357627</v>
      </c>
      <c r="AA215">
        <v>0.80836870830806551</v>
      </c>
      <c r="AB215">
        <v>58</v>
      </c>
      <c r="AC215">
        <v>0.83794453378675593</v>
      </c>
      <c r="AD215">
        <v>3.2475089469376668E-2</v>
      </c>
      <c r="AE215">
        <v>-1.0455202044711476</v>
      </c>
      <c r="AF215">
        <v>2.0909552923151606E-3</v>
      </c>
      <c r="AG215">
        <v>3.2509094786474062E-2</v>
      </c>
      <c r="AH215">
        <v>-1.048013245262801</v>
      </c>
      <c r="AI215">
        <v>1.2302433794248928E-7</v>
      </c>
    </row>
    <row r="216" spans="23:35" x14ac:dyDescent="0.25">
      <c r="W216">
        <v>214</v>
      </c>
      <c r="X216">
        <v>74.52289401593535</v>
      </c>
      <c r="Y216">
        <v>0.87710598406465579</v>
      </c>
      <c r="Z216">
        <v>74.520278889755545</v>
      </c>
      <c r="AA216">
        <v>0.77986658580958157</v>
      </c>
      <c r="AB216">
        <v>58</v>
      </c>
      <c r="AC216">
        <v>0.74840704313415274</v>
      </c>
      <c r="AD216">
        <v>0.11882086444685137</v>
      </c>
      <c r="AE216">
        <v>-1.0454193985490188</v>
      </c>
      <c r="AF216">
        <v>2.9726763963607251E-3</v>
      </c>
      <c r="AG216">
        <v>0.11899786716317144</v>
      </c>
      <c r="AH216">
        <v>-1.0478340806330235</v>
      </c>
      <c r="AI216">
        <v>2.3455593381455966E-6</v>
      </c>
    </row>
    <row r="217" spans="23:35" x14ac:dyDescent="0.25">
      <c r="W217">
        <v>215</v>
      </c>
      <c r="X217">
        <v>71.587664910352899</v>
      </c>
      <c r="Y217">
        <v>4.1123350896471038</v>
      </c>
      <c r="Z217">
        <v>71.539731752658895</v>
      </c>
      <c r="AA217">
        <v>0.79199514857489384</v>
      </c>
      <c r="AB217">
        <v>58</v>
      </c>
      <c r="AC217">
        <v>0.80177968430189828</v>
      </c>
      <c r="AD217">
        <v>0.55709483132538917</v>
      </c>
      <c r="AE217">
        <v>-1.039474389391372</v>
      </c>
      <c r="AF217">
        <v>1.1521650731208637E-2</v>
      </c>
      <c r="AG217">
        <v>0.5603321588941389</v>
      </c>
      <c r="AH217">
        <v>-1.047046052660723</v>
      </c>
      <c r="AI217">
        <v>2.0331346234108818E-4</v>
      </c>
    </row>
    <row r="218" spans="23:35" x14ac:dyDescent="0.25">
      <c r="W218">
        <v>216</v>
      </c>
      <c r="X218">
        <v>55.029134122102988</v>
      </c>
      <c r="Y218">
        <v>19.970865877897012</v>
      </c>
      <c r="Z218">
        <v>54.447563902111007</v>
      </c>
      <c r="AA218">
        <v>0.76046088538508183</v>
      </c>
      <c r="AB218">
        <v>58</v>
      </c>
      <c r="AC218">
        <v>0.67020216077934069</v>
      </c>
      <c r="AD218">
        <v>2.7054376443393733</v>
      </c>
      <c r="AE218">
        <v>-1.0387166877078882</v>
      </c>
      <c r="AF218">
        <v>2.8296899560812303E-2</v>
      </c>
      <c r="AG218">
        <v>2.7445473918577754</v>
      </c>
      <c r="AH218">
        <v>-1.043441787600732</v>
      </c>
      <c r="AI218">
        <v>1.2186366313857991E-2</v>
      </c>
    </row>
    <row r="219" spans="23:35" x14ac:dyDescent="0.25">
      <c r="W219">
        <v>217</v>
      </c>
      <c r="X219">
        <v>59.241010661475229</v>
      </c>
      <c r="Y219">
        <v>16.258989338524771</v>
      </c>
      <c r="Z219">
        <v>58.769423205325317</v>
      </c>
      <c r="AA219">
        <v>0.78411158277744086</v>
      </c>
      <c r="AB219">
        <v>58</v>
      </c>
      <c r="AC219">
        <v>0.77276680816182786</v>
      </c>
      <c r="AD219">
        <v>2.2025926208858735</v>
      </c>
      <c r="AE219">
        <v>-1.0363832367652521</v>
      </c>
      <c r="AF219">
        <v>2.8187160666212945E-2</v>
      </c>
      <c r="AG219">
        <v>2.2343070900043944</v>
      </c>
      <c r="AH219">
        <v>-1.0429965412072788</v>
      </c>
      <c r="AI219">
        <v>8.044182604330187E-3</v>
      </c>
    </row>
    <row r="220" spans="23:35" x14ac:dyDescent="0.25">
      <c r="W220">
        <v>218</v>
      </c>
      <c r="X220">
        <v>77.138822173965366</v>
      </c>
      <c r="Y220">
        <v>-12.038822173965372</v>
      </c>
      <c r="Z220">
        <v>77.177518022105545</v>
      </c>
      <c r="AA220">
        <v>0.27713765918738631</v>
      </c>
      <c r="AB220">
        <v>58.1</v>
      </c>
      <c r="AC220">
        <v>-0.60317578841021124</v>
      </c>
      <c r="AD220">
        <v>-1.6308898623670107</v>
      </c>
      <c r="AE220">
        <v>-1.0356266300396682</v>
      </c>
      <c r="AF220">
        <v>3.2039569776964078E-3</v>
      </c>
      <c r="AG220">
        <v>-1.6335088077684681</v>
      </c>
      <c r="AH220">
        <v>-1.0418594015414893</v>
      </c>
      <c r="AI220">
        <v>4.7648674780013055E-4</v>
      </c>
    </row>
    <row r="221" spans="23:35" x14ac:dyDescent="0.25">
      <c r="W221">
        <v>219</v>
      </c>
      <c r="X221">
        <v>78.076439799064431</v>
      </c>
      <c r="Y221">
        <v>-13.876439799064428</v>
      </c>
      <c r="Z221">
        <v>78.115126491844904</v>
      </c>
      <c r="AA221">
        <v>0.24560339599757428</v>
      </c>
      <c r="AB221">
        <v>58.1</v>
      </c>
      <c r="AC221">
        <v>-0.69708605805955215</v>
      </c>
      <c r="AD221">
        <v>-1.8798304906422643</v>
      </c>
      <c r="AE221">
        <v>-1.033756459894259</v>
      </c>
      <c r="AF221">
        <v>2.7801898030285822E-3</v>
      </c>
      <c r="AG221">
        <v>-1.8824490948523451</v>
      </c>
      <c r="AH221">
        <v>-1.0373345986222398</v>
      </c>
      <c r="AI221">
        <v>5.4885487417324972E-4</v>
      </c>
    </row>
    <row r="222" spans="23:35" x14ac:dyDescent="0.25">
      <c r="W222">
        <v>220</v>
      </c>
      <c r="X222">
        <v>73.91956733582208</v>
      </c>
      <c r="Y222">
        <v>-10.519567335822082</v>
      </c>
      <c r="Z222">
        <v>73.975119772387416</v>
      </c>
      <c r="AA222">
        <v>0.22922983626440266</v>
      </c>
      <c r="AB222">
        <v>58.1</v>
      </c>
      <c r="AC222">
        <v>-0.74639716414434454</v>
      </c>
      <c r="AD222">
        <v>-1.4250775928546184</v>
      </c>
      <c r="AE222">
        <v>-1.0313611615879315</v>
      </c>
      <c r="AF222">
        <v>5.253125993937742E-3</v>
      </c>
      <c r="AG222">
        <v>-1.4288354608416287</v>
      </c>
      <c r="AH222">
        <v>-1.0364930574427367</v>
      </c>
      <c r="AI222">
        <v>5.9895910219547456E-4</v>
      </c>
    </row>
    <row r="223" spans="23:35" x14ac:dyDescent="0.25">
      <c r="W223">
        <v>221</v>
      </c>
      <c r="X223">
        <v>71.828808839065857</v>
      </c>
      <c r="Y223">
        <v>-9.6288088390658544</v>
      </c>
      <c r="Z223">
        <v>71.854476342363512</v>
      </c>
      <c r="AA223">
        <v>0.20436628259551243</v>
      </c>
      <c r="AB223">
        <v>58.1</v>
      </c>
      <c r="AC223">
        <v>-0.8357870519497973</v>
      </c>
      <c r="AD223">
        <v>-1.3044072331479506</v>
      </c>
      <c r="AE223">
        <v>-1.0311696898291831</v>
      </c>
      <c r="AF223">
        <v>2.6586116519885764E-3</v>
      </c>
      <c r="AG223">
        <v>-1.3061446543972779</v>
      </c>
      <c r="AH223">
        <v>-1.0351350032428286</v>
      </c>
      <c r="AI223">
        <v>2.5265105224765093E-4</v>
      </c>
    </row>
    <row r="224" spans="23:35" x14ac:dyDescent="0.25">
      <c r="W224">
        <v>222</v>
      </c>
      <c r="X224">
        <v>71.768419818677415</v>
      </c>
      <c r="Y224">
        <v>-10.668419818677414</v>
      </c>
      <c r="Z224">
        <v>71.798154072195999</v>
      </c>
      <c r="AA224">
        <v>0.17889630078835658</v>
      </c>
      <c r="AB224">
        <v>58.1</v>
      </c>
      <c r="AC224">
        <v>-0.9277300733017374</v>
      </c>
      <c r="AD224">
        <v>-1.4452425227596308</v>
      </c>
      <c r="AE224">
        <v>-1.0300790335023688</v>
      </c>
      <c r="AF224">
        <v>2.7793816875248943E-3</v>
      </c>
      <c r="AG224">
        <v>-1.4472551594477663</v>
      </c>
      <c r="AH224">
        <v>-1.0349759036366781</v>
      </c>
      <c r="AI224">
        <v>3.2432068628507522E-4</v>
      </c>
    </row>
    <row r="225" spans="23:35" x14ac:dyDescent="0.25">
      <c r="W225">
        <v>223</v>
      </c>
      <c r="X225">
        <v>71.869792551405453</v>
      </c>
      <c r="Y225">
        <v>-12.66979255140545</v>
      </c>
      <c r="Z225">
        <v>71.909271166012132</v>
      </c>
      <c r="AA225">
        <v>0.15767131594906003</v>
      </c>
      <c r="AB225">
        <v>58.1</v>
      </c>
      <c r="AC225">
        <v>-1.0205681915260707</v>
      </c>
      <c r="AD225">
        <v>-1.7163669279097076</v>
      </c>
      <c r="AE225">
        <v>-1.0236391594391812</v>
      </c>
      <c r="AF225">
        <v>3.1062847027973003E-3</v>
      </c>
      <c r="AG225">
        <v>-1.7190389166582001</v>
      </c>
      <c r="AH225">
        <v>-1.0319106558084343</v>
      </c>
      <c r="AI225">
        <v>5.1155379635402991E-4</v>
      </c>
    </row>
    <row r="226" spans="23:35" x14ac:dyDescent="0.25">
      <c r="W226">
        <v>224</v>
      </c>
      <c r="X226">
        <v>68.231392193996953</v>
      </c>
      <c r="Y226">
        <v>-10.731392193996953</v>
      </c>
      <c r="Z226">
        <v>68.282183670678819</v>
      </c>
      <c r="AA226">
        <v>0.12067919951485749</v>
      </c>
      <c r="AB226">
        <v>58.2</v>
      </c>
      <c r="AC226">
        <v>-1.182232646923248</v>
      </c>
      <c r="AD226">
        <v>-1.4537733413923626</v>
      </c>
      <c r="AE226">
        <v>-1.0196391006448828</v>
      </c>
      <c r="AF226">
        <v>4.7106855376606409E-3</v>
      </c>
      <c r="AG226">
        <v>-1.4572096211215155</v>
      </c>
      <c r="AH226">
        <v>-1.0272088085345004</v>
      </c>
      <c r="AI226">
        <v>5.5834975154378909E-4</v>
      </c>
    </row>
    <row r="227" spans="23:35" x14ac:dyDescent="0.25">
      <c r="W227">
        <v>225</v>
      </c>
      <c r="X227">
        <v>67.457342990266</v>
      </c>
      <c r="Y227">
        <v>-10.557342990266001</v>
      </c>
      <c r="Z227">
        <v>67.513084276527735</v>
      </c>
      <c r="AA227">
        <v>0.1091570648878108</v>
      </c>
      <c r="AB227">
        <v>58.2</v>
      </c>
      <c r="AC227">
        <v>-1.2359023985485402</v>
      </c>
      <c r="AD227">
        <v>-1.4301950313371055</v>
      </c>
      <c r="AE227">
        <v>-1.0195340661047405</v>
      </c>
      <c r="AF227">
        <v>5.2521288637094486E-3</v>
      </c>
      <c r="AG227">
        <v>-1.4339656750875922</v>
      </c>
      <c r="AH227">
        <v>-1.0262933158364447</v>
      </c>
      <c r="AI227">
        <v>6.0315281788350596E-4</v>
      </c>
    </row>
    <row r="228" spans="23:35" x14ac:dyDescent="0.25">
      <c r="W228">
        <v>226</v>
      </c>
      <c r="X228">
        <v>66.432351932480159</v>
      </c>
      <c r="Y228">
        <v>-11.632351932480162</v>
      </c>
      <c r="Z228">
        <v>66.516503774809451</v>
      </c>
      <c r="AA228">
        <v>7.7622801697998789E-2</v>
      </c>
      <c r="AB228">
        <v>58.3</v>
      </c>
      <c r="AC228">
        <v>-1.4402815816722083</v>
      </c>
      <c r="AD228">
        <v>-1.5758256553696124</v>
      </c>
      <c r="AE228">
        <v>-1.0156776932350715</v>
      </c>
      <c r="AF228">
        <v>7.1823339066571928E-3</v>
      </c>
      <c r="AG228">
        <v>-1.5815153759024265</v>
      </c>
      <c r="AH228">
        <v>-1.0256516512534957</v>
      </c>
      <c r="AI228">
        <v>1.0052415412239676E-3</v>
      </c>
    </row>
    <row r="229" spans="23:35" x14ac:dyDescent="0.25">
      <c r="W229">
        <v>227</v>
      </c>
      <c r="X229">
        <v>60.679202388652456</v>
      </c>
      <c r="Y229">
        <v>-8.9792023886524532</v>
      </c>
      <c r="Z229">
        <v>60.899915483122136</v>
      </c>
      <c r="AA229">
        <v>4.4269254093389936E-2</v>
      </c>
      <c r="AB229">
        <v>58.3</v>
      </c>
      <c r="AC229">
        <v>-1.7129636683890181</v>
      </c>
      <c r="AD229">
        <v>-1.2164055533159714</v>
      </c>
      <c r="AE229">
        <v>-1.014487883786884</v>
      </c>
      <c r="AF229">
        <v>2.3990774140761437E-2</v>
      </c>
      <c r="AG229">
        <v>-1.2312647118274449</v>
      </c>
      <c r="AH229">
        <v>-1.0196254488084704</v>
      </c>
      <c r="AI229">
        <v>2.0702400192516225E-3</v>
      </c>
    </row>
    <row r="230" spans="23:35" x14ac:dyDescent="0.25">
      <c r="W230">
        <v>228</v>
      </c>
      <c r="X230">
        <v>56.285952233840739</v>
      </c>
      <c r="Y230">
        <v>-8.1859522338407373</v>
      </c>
      <c r="Z230">
        <v>56.440904921726315</v>
      </c>
      <c r="AA230">
        <v>2.1224984839296544E-2</v>
      </c>
      <c r="AB230">
        <v>58.4</v>
      </c>
      <c r="AC230">
        <v>-2.0597982810364517</v>
      </c>
      <c r="AD230">
        <v>-1.1089445727392173</v>
      </c>
      <c r="AE230">
        <v>-1.0144189865271849</v>
      </c>
      <c r="AF230">
        <v>1.857744325582145E-2</v>
      </c>
      <c r="AG230">
        <v>-1.1193910289605644</v>
      </c>
      <c r="AH230">
        <v>-1.0188819109820673</v>
      </c>
      <c r="AI230">
        <v>1.3177136567765018E-3</v>
      </c>
    </row>
    <row r="231" spans="23:35" x14ac:dyDescent="0.25">
      <c r="W231">
        <v>229</v>
      </c>
      <c r="X231">
        <v>52.386525213156375</v>
      </c>
      <c r="Y231">
        <v>-5.9865252131563764</v>
      </c>
      <c r="Z231">
        <v>52.583064026050366</v>
      </c>
      <c r="AA231">
        <v>1.4554275318374773E-2</v>
      </c>
      <c r="AB231">
        <v>58.4</v>
      </c>
      <c r="AC231">
        <v>-2.2073550198913567</v>
      </c>
      <c r="AD231">
        <v>-0.81098990747243227</v>
      </c>
      <c r="AE231">
        <v>-1.0015434196658213</v>
      </c>
      <c r="AF231">
        <v>3.1786637186019512E-2</v>
      </c>
      <c r="AG231">
        <v>-0.82419488216087733</v>
      </c>
      <c r="AH231">
        <v>-1.0169965484665369</v>
      </c>
      <c r="AI231">
        <v>1.2389701248448851E-3</v>
      </c>
    </row>
    <row r="232" spans="23:35" x14ac:dyDescent="0.25">
      <c r="W232">
        <v>230</v>
      </c>
      <c r="X232">
        <v>60.163379991463614</v>
      </c>
      <c r="Y232">
        <v>-14.163379991463614</v>
      </c>
      <c r="Z232">
        <v>60.460615445451573</v>
      </c>
      <c r="AA232">
        <v>1.2128562765312311E-2</v>
      </c>
      <c r="AB232">
        <v>58.4</v>
      </c>
      <c r="AC232">
        <v>-2.3261203997549518</v>
      </c>
      <c r="AD232">
        <v>-1.9187020549969134</v>
      </c>
      <c r="AE232">
        <v>-1.0005646029583783</v>
      </c>
      <c r="AF232">
        <v>2.0554827359125425E-2</v>
      </c>
      <c r="AG232">
        <v>-1.9387306473246588</v>
      </c>
      <c r="AH232">
        <v>-1.0069874952306868</v>
      </c>
      <c r="AI232">
        <v>4.3822399084597584E-3</v>
      </c>
    </row>
    <row r="233" spans="23:35" x14ac:dyDescent="0.25">
      <c r="W233">
        <v>231</v>
      </c>
      <c r="X233">
        <v>55.656230826253164</v>
      </c>
      <c r="Y233">
        <v>-8.9562308262531616</v>
      </c>
      <c r="Z233">
        <v>55.876171431297884</v>
      </c>
      <c r="AA233">
        <v>1.5767131594906003E-2</v>
      </c>
      <c r="AB233">
        <v>58.4</v>
      </c>
      <c r="AC233">
        <v>-2.1579999581558846</v>
      </c>
      <c r="AD233">
        <v>-1.2132936136512462</v>
      </c>
      <c r="AE233">
        <v>-0.99762702152196869</v>
      </c>
      <c r="AF233">
        <v>2.3968667836190716E-2</v>
      </c>
      <c r="AG233">
        <v>-1.22810084989157</v>
      </c>
      <c r="AH233">
        <v>-1.0051688523401539</v>
      </c>
      <c r="AI233">
        <v>2.0576698596888087E-3</v>
      </c>
    </row>
    <row r="234" spans="23:35" x14ac:dyDescent="0.25">
      <c r="W234">
        <v>232</v>
      </c>
      <c r="X234">
        <v>56.446440864183039</v>
      </c>
      <c r="Y234">
        <v>-8.6464408641830417</v>
      </c>
      <c r="Z234">
        <v>56.675793039260682</v>
      </c>
      <c r="AA234">
        <v>1.9405700424499697E-2</v>
      </c>
      <c r="AB234">
        <v>58.4</v>
      </c>
      <c r="AC234">
        <v>-2.0994271873972417</v>
      </c>
      <c r="AD234">
        <v>-1.1713266087979131</v>
      </c>
      <c r="AE234">
        <v>-0.99482234724884866</v>
      </c>
      <c r="AF234">
        <v>2.5840189610453767E-2</v>
      </c>
      <c r="AG234">
        <v>-1.1867600137424967</v>
      </c>
      <c r="AH234">
        <v>-1.002124459414512</v>
      </c>
      <c r="AI234">
        <v>2.0754811452182251E-3</v>
      </c>
    </row>
    <row r="235" spans="23:35" x14ac:dyDescent="0.25">
      <c r="W235">
        <v>233</v>
      </c>
      <c r="X235">
        <v>81.611080625352685</v>
      </c>
      <c r="Y235">
        <v>-6.8110806253526874</v>
      </c>
      <c r="Z235">
        <v>81.630504107062009</v>
      </c>
      <c r="AA235">
        <v>0.74166161309884782</v>
      </c>
      <c r="AB235">
        <v>58.5</v>
      </c>
      <c r="AC235">
        <v>0.63261352584071384</v>
      </c>
      <c r="AD235">
        <v>-0.9226917868821084</v>
      </c>
      <c r="AE235">
        <v>-0.99446968672122116</v>
      </c>
      <c r="AF235">
        <v>2.8436380982833505E-3</v>
      </c>
      <c r="AG235">
        <v>-0.92400649221620446</v>
      </c>
      <c r="AH235">
        <v>-0.99710882217067909</v>
      </c>
      <c r="AI235">
        <v>1.352659851753173E-4</v>
      </c>
    </row>
    <row r="236" spans="23:35" x14ac:dyDescent="0.25">
      <c r="W236">
        <v>234</v>
      </c>
      <c r="X236">
        <v>78.34541772770875</v>
      </c>
      <c r="Y236">
        <v>-3.6454177277087467</v>
      </c>
      <c r="Z236">
        <v>78.360076871736482</v>
      </c>
      <c r="AA236">
        <v>0.7362037598544573</v>
      </c>
      <c r="AB236">
        <v>58.5</v>
      </c>
      <c r="AC236">
        <v>0.61415241452626612</v>
      </c>
      <c r="AD236">
        <v>-0.49384190000498296</v>
      </c>
      <c r="AE236">
        <v>-0.99287876943430153</v>
      </c>
      <c r="AF236">
        <v>4.0051464877504765E-3</v>
      </c>
      <c r="AG236">
        <v>-0.49483383521147967</v>
      </c>
      <c r="AH236">
        <v>-0.99575831762882172</v>
      </c>
      <c r="AI236">
        <v>5.4702551151179016E-5</v>
      </c>
    </row>
    <row r="237" spans="23:35" x14ac:dyDescent="0.25">
      <c r="W237">
        <v>235</v>
      </c>
      <c r="X237">
        <v>77.55604290700775</v>
      </c>
      <c r="Y237">
        <v>-3.0560429070077504</v>
      </c>
      <c r="Z237">
        <v>77.5703324864904</v>
      </c>
      <c r="AA237">
        <v>0.72407519708914492</v>
      </c>
      <c r="AB237">
        <v>58.6</v>
      </c>
      <c r="AC237">
        <v>0.56531175535073552</v>
      </c>
      <c r="AD237">
        <v>-0.41399975213321771</v>
      </c>
      <c r="AE237">
        <v>-0.99101857704083651</v>
      </c>
      <c r="AF237">
        <v>4.6540821052843389E-3</v>
      </c>
      <c r="AG237">
        <v>-0.41496652243533649</v>
      </c>
      <c r="AH237">
        <v>-0.99494161465488284</v>
      </c>
      <c r="AI237">
        <v>4.473151613271458E-5</v>
      </c>
    </row>
    <row r="238" spans="23:35" x14ac:dyDescent="0.25">
      <c r="W238">
        <v>236</v>
      </c>
      <c r="X238">
        <v>75.815900000198454</v>
      </c>
      <c r="Y238">
        <v>-1.7159000001984595</v>
      </c>
      <c r="Z238">
        <v>75.834325724837029</v>
      </c>
      <c r="AA238">
        <v>0.69254093389933291</v>
      </c>
      <c r="AB238">
        <v>58.6</v>
      </c>
      <c r="AC238">
        <v>0.48161589062349974</v>
      </c>
      <c r="AD238">
        <v>-0.23245163644089795</v>
      </c>
      <c r="AE238">
        <v>-0.97337371190215827</v>
      </c>
      <c r="AF238">
        <v>1.0624143074569598E-2</v>
      </c>
      <c r="AG238">
        <v>-0.23369636310618019</v>
      </c>
      <c r="AH238">
        <v>-0.99221979577990227</v>
      </c>
      <c r="AI238">
        <v>3.2580969605048842E-5</v>
      </c>
    </row>
    <row r="239" spans="23:35" x14ac:dyDescent="0.25">
      <c r="W239">
        <v>237</v>
      </c>
      <c r="X239">
        <v>75.064738664468237</v>
      </c>
      <c r="Y239">
        <v>-1.2647386644682399</v>
      </c>
      <c r="Z239">
        <v>75.076327385829799</v>
      </c>
      <c r="AA239">
        <v>0.66767738023044265</v>
      </c>
      <c r="AB239">
        <v>58.6</v>
      </c>
      <c r="AC239">
        <v>0.4143837514429769</v>
      </c>
      <c r="AD239">
        <v>-0.17133316171788299</v>
      </c>
      <c r="AE239">
        <v>-0.97278240494512014</v>
      </c>
      <c r="AF239">
        <v>9.0797404257120882E-3</v>
      </c>
      <c r="AG239">
        <v>-0.17211632930783857</v>
      </c>
      <c r="AH239">
        <v>-0.98893585367508718</v>
      </c>
      <c r="AI239">
        <v>1.5080174635603892E-5</v>
      </c>
    </row>
    <row r="240" spans="23:35" x14ac:dyDescent="0.25">
      <c r="W240">
        <v>238</v>
      </c>
      <c r="X240">
        <v>75.341485268780048</v>
      </c>
      <c r="Y240">
        <v>-1.7414852687800533</v>
      </c>
      <c r="Z240">
        <v>75.358246894448129</v>
      </c>
      <c r="AA240">
        <v>0.65433596118859916</v>
      </c>
      <c r="AB240">
        <v>58.6</v>
      </c>
      <c r="AC240">
        <v>0.3716850598056044</v>
      </c>
      <c r="AD240">
        <v>-0.23591765284621499</v>
      </c>
      <c r="AE240">
        <v>-0.97057512194763462</v>
      </c>
      <c r="AF240">
        <v>9.5331467503270515E-3</v>
      </c>
      <c r="AG240">
        <v>-0.23705027621178296</v>
      </c>
      <c r="AH240">
        <v>-0.97849030361614953</v>
      </c>
      <c r="AI240">
        <v>3.004725195204682E-5</v>
      </c>
    </row>
    <row r="241" spans="23:35" x14ac:dyDescent="0.25">
      <c r="W241">
        <v>239</v>
      </c>
      <c r="X241">
        <v>70.720879851149348</v>
      </c>
      <c r="Y241">
        <v>2.6791201488506573</v>
      </c>
      <c r="Z241">
        <v>70.697601629458305</v>
      </c>
      <c r="AA241">
        <v>0.63735597331716187</v>
      </c>
      <c r="AB241">
        <v>58.7</v>
      </c>
      <c r="AC241">
        <v>0.33286538375086522</v>
      </c>
      <c r="AD241">
        <v>0.36293831968651369</v>
      </c>
      <c r="AE241">
        <v>-0.96293641357846305</v>
      </c>
      <c r="AF241">
        <v>8.6139119771525639E-3</v>
      </c>
      <c r="AG241">
        <v>0.36451165078553649</v>
      </c>
      <c r="AH241">
        <v>-0.97524300547881704</v>
      </c>
      <c r="AI241">
        <v>6.4136895210211269E-5</v>
      </c>
    </row>
    <row r="242" spans="23:35" x14ac:dyDescent="0.25">
      <c r="W242">
        <v>240</v>
      </c>
      <c r="X242">
        <v>75.941431201143629</v>
      </c>
      <c r="Y242">
        <v>-2.6414312011436323</v>
      </c>
      <c r="Z242">
        <v>75.952227873491552</v>
      </c>
      <c r="AA242">
        <v>0.63007883565797451</v>
      </c>
      <c r="AB242">
        <v>58.8</v>
      </c>
      <c r="AC242">
        <v>0.3152427890443939</v>
      </c>
      <c r="AD242">
        <v>-0.35783262729813431</v>
      </c>
      <c r="AE242">
        <v>-0.96144920088148889</v>
      </c>
      <c r="AF242">
        <v>4.0707936357306101E-3</v>
      </c>
      <c r="AG242">
        <v>-0.3585631899245279</v>
      </c>
      <c r="AH242">
        <v>-0.97308062837413345</v>
      </c>
      <c r="AI242">
        <v>2.9195069869484575E-5</v>
      </c>
    </row>
    <row r="243" spans="23:35" x14ac:dyDescent="0.25">
      <c r="W243">
        <v>241</v>
      </c>
      <c r="X243">
        <v>77.590462235592568</v>
      </c>
      <c r="Y243">
        <v>-4.5904622355925682</v>
      </c>
      <c r="Z243">
        <v>77.608399775302814</v>
      </c>
      <c r="AA243">
        <v>0.60946027895694366</v>
      </c>
      <c r="AB243">
        <v>58.8</v>
      </c>
      <c r="AC243">
        <v>0.22222871718700732</v>
      </c>
      <c r="AD243">
        <v>-0.62186634335347046</v>
      </c>
      <c r="AE243">
        <v>-0.96050898780985772</v>
      </c>
      <c r="AF243">
        <v>3.8923575611585193E-3</v>
      </c>
      <c r="AG243">
        <v>-0.62308015101693937</v>
      </c>
      <c r="AH243">
        <v>-0.96757872228716491</v>
      </c>
      <c r="AI243">
        <v>8.4279467794580522E-5</v>
      </c>
    </row>
    <row r="244" spans="23:35" x14ac:dyDescent="0.25">
      <c r="W244">
        <v>242</v>
      </c>
      <c r="X244">
        <v>75.653252928861178</v>
      </c>
      <c r="Y244">
        <v>-2.9532529288611755</v>
      </c>
      <c r="Z244">
        <v>75.677924053908043</v>
      </c>
      <c r="AA244">
        <v>0.57246816252274102</v>
      </c>
      <c r="AB244">
        <v>58.8</v>
      </c>
      <c r="AC244">
        <v>0.16337348484333708</v>
      </c>
      <c r="AD244">
        <v>-0.40007487386109702</v>
      </c>
      <c r="AE244">
        <v>-0.95766770681828173</v>
      </c>
      <c r="AF244">
        <v>8.2846723422944236E-3</v>
      </c>
      <c r="AG244">
        <v>-0.40174248738942675</v>
      </c>
      <c r="AH244">
        <v>-0.96272070868417148</v>
      </c>
      <c r="AI244">
        <v>7.4905090737474949E-5</v>
      </c>
    </row>
    <row r="245" spans="23:35" x14ac:dyDescent="0.25">
      <c r="W245">
        <v>243</v>
      </c>
      <c r="X245">
        <v>73.716230853593459</v>
      </c>
      <c r="Y245">
        <v>-1.7162308535934585</v>
      </c>
      <c r="Z245">
        <v>73.730380988901913</v>
      </c>
      <c r="AA245">
        <v>0.52516676773802307</v>
      </c>
      <c r="AB245">
        <v>58.9</v>
      </c>
      <c r="AC245">
        <v>4.1053957112594373E-2</v>
      </c>
      <c r="AD245">
        <v>-0.23249645689260298</v>
      </c>
      <c r="AE245">
        <v>-0.95471348228692998</v>
      </c>
      <c r="AF245">
        <v>8.1774680831630132E-3</v>
      </c>
      <c r="AG245">
        <v>-0.2334529433123271</v>
      </c>
      <c r="AH245">
        <v>-0.96203902399546748</v>
      </c>
      <c r="AI245">
        <v>2.49638227288557E-5</v>
      </c>
    </row>
    <row r="246" spans="23:35" x14ac:dyDescent="0.25">
      <c r="W246">
        <v>244</v>
      </c>
      <c r="X246">
        <v>77.513790041078494</v>
      </c>
      <c r="Y246">
        <v>-5.7137900410784965</v>
      </c>
      <c r="Z246">
        <v>77.559682757958825</v>
      </c>
      <c r="AA246">
        <v>0.51061249241964823</v>
      </c>
      <c r="AB246">
        <v>58.9</v>
      </c>
      <c r="AC246">
        <v>1.0640830227304372E-2</v>
      </c>
      <c r="AD246">
        <v>-0.77404268615582839</v>
      </c>
      <c r="AE246">
        <v>-0.95445571903279947</v>
      </c>
      <c r="AF246">
        <v>7.9679244168303406E-3</v>
      </c>
      <c r="AG246">
        <v>-0.77714499454344865</v>
      </c>
      <c r="AH246">
        <v>-0.96042580929462362</v>
      </c>
      <c r="AI246">
        <v>2.6949523727052009E-4</v>
      </c>
    </row>
    <row r="247" spans="23:35" x14ac:dyDescent="0.25">
      <c r="W247">
        <v>245</v>
      </c>
      <c r="X247">
        <v>78.564543461349245</v>
      </c>
      <c r="Y247">
        <v>-7.1645434613492398</v>
      </c>
      <c r="Z247">
        <v>78.601581252611368</v>
      </c>
      <c r="AA247">
        <v>0.4887810794420861</v>
      </c>
      <c r="AB247">
        <v>58.9</v>
      </c>
      <c r="AC247">
        <v>-4.7140240828996732E-2</v>
      </c>
      <c r="AD247">
        <v>-0.97057512194763462</v>
      </c>
      <c r="AE247">
        <v>-0.95014774735766649</v>
      </c>
      <c r="AF247">
        <v>5.1430081759749544E-3</v>
      </c>
      <c r="AG247">
        <v>-0.97308062837413345</v>
      </c>
      <c r="AH247">
        <v>-0.95960840239797396</v>
      </c>
      <c r="AI247">
        <v>2.7194539367937854E-4</v>
      </c>
    </row>
    <row r="248" spans="23:35" x14ac:dyDescent="0.25">
      <c r="W248">
        <v>246</v>
      </c>
      <c r="X248">
        <v>77.442641119323355</v>
      </c>
      <c r="Y248">
        <v>-6.4426411193233548</v>
      </c>
      <c r="Z248">
        <v>77.479884963895216</v>
      </c>
      <c r="AA248">
        <v>0.46937537901758641</v>
      </c>
      <c r="AB248">
        <v>58.9</v>
      </c>
      <c r="AC248">
        <v>-9.743972564826138E-2</v>
      </c>
      <c r="AD248">
        <v>-0.87277957399319361</v>
      </c>
      <c r="AE248">
        <v>-0.94076979315109699</v>
      </c>
      <c r="AF248">
        <v>5.7476089127160342E-3</v>
      </c>
      <c r="AG248">
        <v>-0.87529863597575841</v>
      </c>
      <c r="AH248">
        <v>-0.95632507388341859</v>
      </c>
      <c r="AI248">
        <v>2.4605407600484754E-4</v>
      </c>
    </row>
    <row r="249" spans="23:35" x14ac:dyDescent="0.25">
      <c r="W249">
        <v>247</v>
      </c>
      <c r="X249">
        <v>74.756844251861963</v>
      </c>
      <c r="Y249">
        <v>0.24315574813803664</v>
      </c>
      <c r="Z249">
        <v>74.754887893571578</v>
      </c>
      <c r="AA249">
        <v>0.76046088538508183</v>
      </c>
      <c r="AB249">
        <v>59</v>
      </c>
      <c r="AC249">
        <v>0.67020216077934069</v>
      </c>
      <c r="AD249">
        <v>3.2940119796118751E-2</v>
      </c>
      <c r="AE249">
        <v>-0.93928108162987267</v>
      </c>
      <c r="AF249">
        <v>7.9814837336886647E-3</v>
      </c>
      <c r="AG249">
        <v>3.3072367489555193E-2</v>
      </c>
      <c r="AH249">
        <v>-0.94236433987554369</v>
      </c>
      <c r="AI249">
        <v>4.889021188384858E-7</v>
      </c>
    </row>
    <row r="250" spans="23:35" x14ac:dyDescent="0.25">
      <c r="W250">
        <v>248</v>
      </c>
      <c r="X250">
        <v>76.81954340065451</v>
      </c>
      <c r="Y250">
        <v>-2.5195434006545128</v>
      </c>
      <c r="Z250">
        <v>76.835676334446262</v>
      </c>
      <c r="AA250">
        <v>0.7052759248029109</v>
      </c>
      <c r="AB250">
        <v>59</v>
      </c>
      <c r="AC250">
        <v>0.52824151828033117</v>
      </c>
      <c r="AD250">
        <v>-0.34132058190935843</v>
      </c>
      <c r="AE250">
        <v>-0.93523351914381803</v>
      </c>
      <c r="AF250">
        <v>6.3623789726584903E-3</v>
      </c>
      <c r="AG250">
        <v>-0.3424115962099028</v>
      </c>
      <c r="AH250">
        <v>-0.9417366636566139</v>
      </c>
      <c r="AI250">
        <v>4.170767023020744E-5</v>
      </c>
    </row>
    <row r="251" spans="23:35" x14ac:dyDescent="0.25">
      <c r="W251">
        <v>249</v>
      </c>
      <c r="X251">
        <v>74.729357548513207</v>
      </c>
      <c r="Y251">
        <v>-0.62935754851321235</v>
      </c>
      <c r="Z251">
        <v>74.733669719372614</v>
      </c>
      <c r="AA251">
        <v>0.69254093389933291</v>
      </c>
      <c r="AB251">
        <v>59.1</v>
      </c>
      <c r="AC251">
        <v>0.48161589062349974</v>
      </c>
      <c r="AD251">
        <v>-8.5258576864273947E-2</v>
      </c>
      <c r="AE251">
        <v>-0.93133725837106929</v>
      </c>
      <c r="AF251">
        <v>6.8050764105828006E-3</v>
      </c>
      <c r="AG251">
        <v>-8.5550161467835895E-2</v>
      </c>
      <c r="AH251">
        <v>-0.94090799732142394</v>
      </c>
      <c r="AI251">
        <v>2.7859138147989103E-6</v>
      </c>
    </row>
    <row r="252" spans="23:35" x14ac:dyDescent="0.25">
      <c r="W252">
        <v>250</v>
      </c>
      <c r="X252">
        <v>76.784828747554812</v>
      </c>
      <c r="Y252">
        <v>-2.8848287475548062</v>
      </c>
      <c r="Z252">
        <v>76.794444547541445</v>
      </c>
      <c r="AA252">
        <v>0.67919951485748942</v>
      </c>
      <c r="AB252">
        <v>59.1</v>
      </c>
      <c r="AC252">
        <v>0.43434378704136062</v>
      </c>
      <c r="AD252">
        <v>-0.39080550331796826</v>
      </c>
      <c r="AE252">
        <v>-0.92381951479241176</v>
      </c>
      <c r="AF252">
        <v>3.3221572666854542E-3</v>
      </c>
      <c r="AG252">
        <v>-0.3914562839356438</v>
      </c>
      <c r="AH252">
        <v>-0.93459504621574574</v>
      </c>
      <c r="AI252">
        <v>2.837653849539267E-5</v>
      </c>
    </row>
    <row r="253" spans="23:35" x14ac:dyDescent="0.25">
      <c r="W253">
        <v>251</v>
      </c>
      <c r="X253">
        <v>76.454121268660657</v>
      </c>
      <c r="Y253">
        <v>-2.7541212686606542</v>
      </c>
      <c r="Z253">
        <v>76.46275268156765</v>
      </c>
      <c r="AA253">
        <v>0.66040024257125529</v>
      </c>
      <c r="AB253">
        <v>59.1</v>
      </c>
      <c r="AC253">
        <v>0.39787592189543292</v>
      </c>
      <c r="AD253">
        <v>-0.37309866296567751</v>
      </c>
      <c r="AE253">
        <v>-0.9226917868821084</v>
      </c>
      <c r="AF253">
        <v>3.1242075936010736E-3</v>
      </c>
      <c r="AG253">
        <v>-0.37368285100414389</v>
      </c>
      <c r="AH253">
        <v>-0.92563415822681216</v>
      </c>
      <c r="AI253">
        <v>2.4312670485806257E-5</v>
      </c>
    </row>
    <row r="254" spans="23:35" x14ac:dyDescent="0.25">
      <c r="W254">
        <v>252</v>
      </c>
      <c r="X254">
        <v>77.163019503169949</v>
      </c>
      <c r="Y254">
        <v>-3.7630195031699429</v>
      </c>
      <c r="Z254">
        <v>77.191155578057902</v>
      </c>
      <c r="AA254">
        <v>0.63735597331716187</v>
      </c>
      <c r="AB254">
        <v>59.1</v>
      </c>
      <c r="AC254">
        <v>0.33286538375086522</v>
      </c>
      <c r="AD254">
        <v>-0.50977332092178951</v>
      </c>
      <c r="AE254">
        <v>-0.92252782647739351</v>
      </c>
      <c r="AF254">
        <v>7.4215036309237233E-3</v>
      </c>
      <c r="AG254">
        <v>-0.51167555786436669</v>
      </c>
      <c r="AH254">
        <v>-0.92511561392975694</v>
      </c>
      <c r="AI254">
        <v>1.08753659690326E-4</v>
      </c>
    </row>
    <row r="255" spans="23:35" x14ac:dyDescent="0.25">
      <c r="W255">
        <v>253</v>
      </c>
      <c r="X255">
        <v>74.882400916460355</v>
      </c>
      <c r="Y255">
        <v>-1.6824009164603524</v>
      </c>
      <c r="Z255">
        <v>74.888453557896383</v>
      </c>
      <c r="AA255">
        <v>0.62340812613705276</v>
      </c>
      <c r="AB255">
        <v>59.1</v>
      </c>
      <c r="AC255">
        <v>0.29295400660571058</v>
      </c>
      <c r="AD255">
        <v>-0.22791354166072833</v>
      </c>
      <c r="AE255">
        <v>-0.91900486939110326</v>
      </c>
      <c r="AF255">
        <v>3.5847248553065401E-3</v>
      </c>
      <c r="AG255">
        <v>-0.22832314690067945</v>
      </c>
      <c r="AH255">
        <v>-0.92400649221620446</v>
      </c>
      <c r="AI255">
        <v>1.0419402819636488E-5</v>
      </c>
    </row>
    <row r="256" spans="23:35" x14ac:dyDescent="0.25">
      <c r="W256">
        <v>254</v>
      </c>
      <c r="X256">
        <v>73.958924782560246</v>
      </c>
      <c r="Y256">
        <v>-1.0589247825602399</v>
      </c>
      <c r="Z256">
        <v>73.964367555185319</v>
      </c>
      <c r="AA256">
        <v>0.58762886597938147</v>
      </c>
      <c r="AB256">
        <v>59.2</v>
      </c>
      <c r="AC256">
        <v>0.206674078513852</v>
      </c>
      <c r="AD256">
        <v>-0.14345171545281218</v>
      </c>
      <c r="AE256">
        <v>-0.91675433646716509</v>
      </c>
      <c r="AF256">
        <v>5.1136213224089889E-3</v>
      </c>
      <c r="AG256">
        <v>-0.14381990702574499</v>
      </c>
      <c r="AH256">
        <v>-0.92011642240483904</v>
      </c>
      <c r="AI256">
        <v>5.9063690759186653E-6</v>
      </c>
    </row>
    <row r="257" spans="23:35" x14ac:dyDescent="0.25">
      <c r="W257">
        <v>255</v>
      </c>
      <c r="X257">
        <v>68.138099271505098</v>
      </c>
      <c r="Y257">
        <v>4.4619007284948964</v>
      </c>
      <c r="Z257">
        <v>68.105919001711925</v>
      </c>
      <c r="AA257">
        <v>0.56458459672528805</v>
      </c>
      <c r="AB257">
        <v>59.2</v>
      </c>
      <c r="AC257">
        <v>0.14798710972583889</v>
      </c>
      <c r="AD257">
        <v>0.60445021612886207</v>
      </c>
      <c r="AE257">
        <v>-0.91446101823125714</v>
      </c>
      <c r="AF257">
        <v>7.1605896300995682E-3</v>
      </c>
      <c r="AG257">
        <v>0.6066260181202181</v>
      </c>
      <c r="AH257">
        <v>-0.91784785741086106</v>
      </c>
      <c r="AI257">
        <v>1.4744815361772252E-4</v>
      </c>
    </row>
    <row r="258" spans="23:35" x14ac:dyDescent="0.25">
      <c r="W258">
        <v>256</v>
      </c>
      <c r="X258">
        <v>68.925841986621222</v>
      </c>
      <c r="Y258">
        <v>3.2741580133787807</v>
      </c>
      <c r="Z258">
        <v>68.902202272236906</v>
      </c>
      <c r="AA258">
        <v>0.53911461491813217</v>
      </c>
      <c r="AB258">
        <v>59.2</v>
      </c>
      <c r="AC258">
        <v>7.9127168877726875E-2</v>
      </c>
      <c r="AD258">
        <v>0.44354763569435907</v>
      </c>
      <c r="AE258">
        <v>-0.90945891996099881</v>
      </c>
      <c r="AF258">
        <v>7.1683336383238667E-3</v>
      </c>
      <c r="AG258">
        <v>0.44514598267794164</v>
      </c>
      <c r="AH258">
        <v>-0.91681512449426183</v>
      </c>
      <c r="AI258">
        <v>7.9483137439701341E-5</v>
      </c>
    </row>
    <row r="259" spans="23:35" x14ac:dyDescent="0.25">
      <c r="W259">
        <v>257</v>
      </c>
      <c r="X259">
        <v>73.513852651324385</v>
      </c>
      <c r="Y259">
        <v>-1.4138526513243903</v>
      </c>
      <c r="Z259">
        <v>73.520096625480846</v>
      </c>
      <c r="AA259">
        <v>0.5312310491206792</v>
      </c>
      <c r="AB259">
        <v>59.2</v>
      </c>
      <c r="AC259">
        <v>6.3887210036911155E-2</v>
      </c>
      <c r="AD259">
        <v>-0.19153351736618987</v>
      </c>
      <c r="AE259">
        <v>-0.90677955268656074</v>
      </c>
      <c r="AF259">
        <v>4.3968657092947365E-3</v>
      </c>
      <c r="AG259">
        <v>-0.19195598460389959</v>
      </c>
      <c r="AH259">
        <v>-0.91133703485391637</v>
      </c>
      <c r="AI259">
        <v>9.0404022450732653E-6</v>
      </c>
    </row>
    <row r="260" spans="23:35" x14ac:dyDescent="0.25">
      <c r="W260">
        <v>258</v>
      </c>
      <c r="X260">
        <v>74.014263190294116</v>
      </c>
      <c r="Y260">
        <v>-1.8142631902941133</v>
      </c>
      <c r="Z260">
        <v>74.021637482225529</v>
      </c>
      <c r="AA260">
        <v>0.53911461491813217</v>
      </c>
      <c r="AB260">
        <v>59.2</v>
      </c>
      <c r="AC260">
        <v>7.9127168877726875E-2</v>
      </c>
      <c r="AD260">
        <v>-0.24577682118397001</v>
      </c>
      <c r="AE260">
        <v>-0.90545723193495709</v>
      </c>
      <c r="AF260">
        <v>4.0481665552916362E-3</v>
      </c>
      <c r="AG260">
        <v>-0.24627580944055524</v>
      </c>
      <c r="AH260">
        <v>-0.91029270491428016</v>
      </c>
      <c r="AI260">
        <v>1.3695914694003444E-5</v>
      </c>
    </row>
    <row r="261" spans="23:35" x14ac:dyDescent="0.25">
      <c r="W261">
        <v>259</v>
      </c>
      <c r="X261">
        <v>72.488536093773916</v>
      </c>
      <c r="Y261">
        <v>-0.48853609377391649</v>
      </c>
      <c r="Z261">
        <v>72.490895716886527</v>
      </c>
      <c r="AA261">
        <v>0.52516676773802307</v>
      </c>
      <c r="AB261">
        <v>59.2</v>
      </c>
      <c r="AC261">
        <v>4.1053957112594373E-2</v>
      </c>
      <c r="AD261">
        <v>-6.6181604082438658E-2</v>
      </c>
      <c r="AE261">
        <v>-0.90341360369219947</v>
      </c>
      <c r="AF261">
        <v>4.8067706265207842E-3</v>
      </c>
      <c r="AG261">
        <v>-6.6341239707654043E-2</v>
      </c>
      <c r="AH261">
        <v>-0.90930106391809218</v>
      </c>
      <c r="AI261">
        <v>1.1809748431730756E-6</v>
      </c>
    </row>
    <row r="262" spans="23:35" x14ac:dyDescent="0.25">
      <c r="W262">
        <v>260</v>
      </c>
      <c r="X262">
        <v>72.526140465584007</v>
      </c>
      <c r="Y262">
        <v>-0.72614046558400958</v>
      </c>
      <c r="Z262">
        <v>72.5289637048202</v>
      </c>
      <c r="AA262">
        <v>0.51061249241964823</v>
      </c>
      <c r="AB262">
        <v>59.2</v>
      </c>
      <c r="AC262">
        <v>1.0640830227304372E-2</v>
      </c>
      <c r="AD262">
        <v>-9.8369683251609163E-2</v>
      </c>
      <c r="AE262">
        <v>-0.90039407077921352</v>
      </c>
      <c r="AF262">
        <v>3.8729489788415956E-3</v>
      </c>
      <c r="AG262">
        <v>-9.8560728745295215E-2</v>
      </c>
      <c r="AH262">
        <v>-0.90491111467544882</v>
      </c>
      <c r="AI262">
        <v>2.0982747210351324E-6</v>
      </c>
    </row>
    <row r="263" spans="23:35" x14ac:dyDescent="0.25">
      <c r="W263">
        <v>261</v>
      </c>
      <c r="X263">
        <v>70.136474243401111</v>
      </c>
      <c r="Y263">
        <v>1.4635257565988837</v>
      </c>
      <c r="Z263">
        <v>70.129327988869349</v>
      </c>
      <c r="AA263">
        <v>0.49787750151607035</v>
      </c>
      <c r="AB263">
        <v>59.3</v>
      </c>
      <c r="AC263">
        <v>-2.1282865457297767E-2</v>
      </c>
      <c r="AD263">
        <v>0.19826269424527462</v>
      </c>
      <c r="AE263">
        <v>-0.89722015262647803</v>
      </c>
      <c r="AF263">
        <v>4.8591762661424976E-3</v>
      </c>
      <c r="AG263">
        <v>0.19874615356015654</v>
      </c>
      <c r="AH263">
        <v>-0.90221668080696327</v>
      </c>
      <c r="AI263">
        <v>1.0715268799953678E-5</v>
      </c>
    </row>
    <row r="264" spans="23:35" x14ac:dyDescent="0.25">
      <c r="W264">
        <v>262</v>
      </c>
      <c r="X264">
        <v>72.236840815511528</v>
      </c>
      <c r="Y264">
        <v>-1.1368408155115333</v>
      </c>
      <c r="Z264">
        <v>72.240728039290218</v>
      </c>
      <c r="AA264">
        <v>0.47422680412371132</v>
      </c>
      <c r="AB264">
        <v>59.3</v>
      </c>
      <c r="AC264">
        <v>-7.6077819866612773E-2</v>
      </c>
      <c r="AD264">
        <v>-0.15400693974468019</v>
      </c>
      <c r="AE264">
        <v>-0.89505067941122496</v>
      </c>
      <c r="AF264">
        <v>3.4076691768754417E-3</v>
      </c>
      <c r="AG264">
        <v>-0.15427001464089393</v>
      </c>
      <c r="AH264">
        <v>-0.89923830389159776</v>
      </c>
      <c r="AI264">
        <v>4.5209574707608233E-6</v>
      </c>
    </row>
    <row r="265" spans="23:35" x14ac:dyDescent="0.25">
      <c r="W265">
        <v>263</v>
      </c>
      <c r="X265">
        <v>57.781210258693605</v>
      </c>
      <c r="Y265">
        <v>1.5187897413063922</v>
      </c>
      <c r="Z265">
        <v>57.775524143449999</v>
      </c>
      <c r="AA265">
        <v>0.16070345664038813</v>
      </c>
      <c r="AB265">
        <v>59.3</v>
      </c>
      <c r="AC265">
        <v>-1.0028172174115717</v>
      </c>
      <c r="AD265">
        <v>0.20574926320618103</v>
      </c>
      <c r="AE265">
        <v>-0.8950033846431511</v>
      </c>
      <c r="AF265">
        <v>3.7298821225497107E-3</v>
      </c>
      <c r="AG265">
        <v>0.20613405019825151</v>
      </c>
      <c r="AH265">
        <v>-0.89831141074001375</v>
      </c>
      <c r="AI265">
        <v>8.8378163046437215E-6</v>
      </c>
    </row>
    <row r="266" spans="23:35" x14ac:dyDescent="0.25">
      <c r="W266">
        <v>264</v>
      </c>
      <c r="X266">
        <v>51.812815086985132</v>
      </c>
      <c r="Y266">
        <v>7.1871849130148675</v>
      </c>
      <c r="Z266">
        <v>51.771556108747596</v>
      </c>
      <c r="AA266">
        <v>0.15039417828987264</v>
      </c>
      <c r="AB266">
        <v>59.3</v>
      </c>
      <c r="AC266">
        <v>-1.0386467129748296</v>
      </c>
      <c r="AD266">
        <v>0.97364234176840736</v>
      </c>
      <c r="AE266">
        <v>-0.89452347563016033</v>
      </c>
      <c r="AF266">
        <v>5.7078644945232895E-3</v>
      </c>
      <c r="AG266">
        <v>0.97643300328191696</v>
      </c>
      <c r="AH266">
        <v>-0.89779224141846325</v>
      </c>
      <c r="AI266">
        <v>3.0406892946169284E-4</v>
      </c>
    </row>
    <row r="267" spans="23:35" x14ac:dyDescent="0.25">
      <c r="W267">
        <v>265</v>
      </c>
      <c r="X267">
        <v>40.756053439986999</v>
      </c>
      <c r="Y267">
        <v>17.843946560013002</v>
      </c>
      <c r="Z267">
        <v>40.598664626900351</v>
      </c>
      <c r="AA267">
        <v>0.14432989690721648</v>
      </c>
      <c r="AB267">
        <v>59.3</v>
      </c>
      <c r="AC267">
        <v>-1.0704544602760233</v>
      </c>
      <c r="AD267">
        <v>2.4173055410916819</v>
      </c>
      <c r="AE267">
        <v>-0.891376451377344</v>
      </c>
      <c r="AF267">
        <v>8.743174315936535E-3</v>
      </c>
      <c r="AG267">
        <v>2.4279428065969091</v>
      </c>
      <c r="AH267">
        <v>-0.89712657073957525</v>
      </c>
      <c r="AI267">
        <v>2.8885995915987088E-3</v>
      </c>
    </row>
    <row r="268" spans="23:35" x14ac:dyDescent="0.25">
      <c r="W268">
        <v>266</v>
      </c>
      <c r="X268">
        <v>47.16694495052694</v>
      </c>
      <c r="Y268">
        <v>10.933055049473062</v>
      </c>
      <c r="Z268">
        <v>46.998059163275251</v>
      </c>
      <c r="AA268">
        <v>0.13523347483323225</v>
      </c>
      <c r="AB268">
        <v>59.4</v>
      </c>
      <c r="AC268">
        <v>-1.1174634002413726</v>
      </c>
      <c r="AD268">
        <v>1.4810924513401122</v>
      </c>
      <c r="AE268">
        <v>-0.89085749921773172</v>
      </c>
      <c r="AF268">
        <v>1.5212275919632263E-2</v>
      </c>
      <c r="AG268">
        <v>1.4924880254025892</v>
      </c>
      <c r="AH268">
        <v>-0.89620179610548867</v>
      </c>
      <c r="AI268">
        <v>1.9116165130409221E-3</v>
      </c>
    </row>
    <row r="269" spans="23:35" x14ac:dyDescent="0.25">
      <c r="W269">
        <v>267</v>
      </c>
      <c r="X269">
        <v>47.628426517994896</v>
      </c>
      <c r="Y269">
        <v>9.871573482005104</v>
      </c>
      <c r="Z269">
        <v>47.460447883623772</v>
      </c>
      <c r="AA269">
        <v>0.12067919951485749</v>
      </c>
      <c r="AB269">
        <v>59.4</v>
      </c>
      <c r="AC269">
        <v>-1.182232646923248</v>
      </c>
      <c r="AD269">
        <v>1.3372943702274378</v>
      </c>
      <c r="AE269">
        <v>-0.89063485145930221</v>
      </c>
      <c r="AF269">
        <v>1.6731686077621363E-2</v>
      </c>
      <c r="AG269">
        <v>1.3486243420893935</v>
      </c>
      <c r="AH269">
        <v>-0.89333399869549623</v>
      </c>
      <c r="AI269">
        <v>1.7194008889177201E-3</v>
      </c>
    </row>
    <row r="270" spans="23:35" x14ac:dyDescent="0.25">
      <c r="W270">
        <v>268</v>
      </c>
      <c r="X270">
        <v>55.71024821479331</v>
      </c>
      <c r="Y270">
        <v>1.1897517852066883</v>
      </c>
      <c r="Z270">
        <v>55.667929406644959</v>
      </c>
      <c r="AA270">
        <v>0.1091570648878108</v>
      </c>
      <c r="AB270">
        <v>59.4</v>
      </c>
      <c r="AC270">
        <v>-1.2359023985485402</v>
      </c>
      <c r="AD270">
        <v>0.1611747475947245</v>
      </c>
      <c r="AE270">
        <v>-0.89038028632699484</v>
      </c>
      <c r="AF270">
        <v>3.4347713821422904E-2</v>
      </c>
      <c r="AG270">
        <v>0.16401614958331889</v>
      </c>
      <c r="AH270">
        <v>-0.89196621257689312</v>
      </c>
      <c r="AI270">
        <v>5.3159119899212944E-5</v>
      </c>
    </row>
    <row r="271" spans="23:35" x14ac:dyDescent="0.25">
      <c r="W271">
        <v>269</v>
      </c>
      <c r="X271">
        <v>49.84704455018759</v>
      </c>
      <c r="Y271">
        <v>6.2529554498124114</v>
      </c>
      <c r="Z271">
        <v>49.791538777441176</v>
      </c>
      <c r="AA271">
        <v>9.3996361431170405E-2</v>
      </c>
      <c r="AB271">
        <v>59.4</v>
      </c>
      <c r="AC271">
        <v>-1.3219841213691266</v>
      </c>
      <c r="AD271">
        <v>0.84708300409861559</v>
      </c>
      <c r="AE271">
        <v>-0.88936059257334499</v>
      </c>
      <c r="AF271">
        <v>8.7986231171445668E-3</v>
      </c>
      <c r="AG271">
        <v>0.85083435945223995</v>
      </c>
      <c r="AH271">
        <v>-0.89195307409126701</v>
      </c>
      <c r="AI271">
        <v>3.5700175678612923E-4</v>
      </c>
    </row>
    <row r="272" spans="23:35" x14ac:dyDescent="0.25">
      <c r="W272">
        <v>270</v>
      </c>
      <c r="X272">
        <v>48.007621708624654</v>
      </c>
      <c r="Y272">
        <v>7.2923782913753428</v>
      </c>
      <c r="Z272">
        <v>47.936845952993835</v>
      </c>
      <c r="AA272">
        <v>8.6719223771983017E-2</v>
      </c>
      <c r="AB272">
        <v>59.5</v>
      </c>
      <c r="AC272">
        <v>-1.3946242806491973</v>
      </c>
      <c r="AD272">
        <v>0.98789280679539659</v>
      </c>
      <c r="AE272">
        <v>-0.88844734858984686</v>
      </c>
      <c r="AF272">
        <v>9.6121519635455691E-3</v>
      </c>
      <c r="AG272">
        <v>0.99267519924885339</v>
      </c>
      <c r="AH272">
        <v>-0.89164771852160662</v>
      </c>
      <c r="AI272">
        <v>5.3132122287259111E-4</v>
      </c>
    </row>
    <row r="273" spans="23:35" x14ac:dyDescent="0.25">
      <c r="W273">
        <v>271</v>
      </c>
      <c r="X273">
        <v>39.146933627051155</v>
      </c>
      <c r="Y273">
        <v>15.153066372948842</v>
      </c>
      <c r="Z273">
        <v>38.727023966502493</v>
      </c>
      <c r="AA273">
        <v>7.3984232868405095E-2</v>
      </c>
      <c r="AB273">
        <v>59.5</v>
      </c>
      <c r="AC273">
        <v>-1.4576525936309461</v>
      </c>
      <c r="AD273">
        <v>2.0527740981887685</v>
      </c>
      <c r="AE273">
        <v>-0.8874457025194038</v>
      </c>
      <c r="AF273">
        <v>2.6963995812068195E-2</v>
      </c>
      <c r="AG273">
        <v>2.0810221558891917</v>
      </c>
      <c r="AH273">
        <v>-0.89069424635033523</v>
      </c>
      <c r="AI273">
        <v>6.6670888621000587E-3</v>
      </c>
    </row>
    <row r="274" spans="23:35" x14ac:dyDescent="0.25">
      <c r="W274">
        <v>272</v>
      </c>
      <c r="X274">
        <v>68.116222181698561</v>
      </c>
      <c r="Y274">
        <v>-9.0162221816985593</v>
      </c>
      <c r="Z274">
        <v>68.155114749536864</v>
      </c>
      <c r="AA274">
        <v>0.15342631898120074</v>
      </c>
      <c r="AB274">
        <v>59.6</v>
      </c>
      <c r="AC274">
        <v>-1.0334469496720613</v>
      </c>
      <c r="AD274">
        <v>-1.2214205958436684</v>
      </c>
      <c r="AE274">
        <v>-0.88743322655308621</v>
      </c>
      <c r="AF274">
        <v>4.2950938683895832E-3</v>
      </c>
      <c r="AG274">
        <v>-1.2240521339677499</v>
      </c>
      <c r="AH274">
        <v>-0.88993757477145452</v>
      </c>
      <c r="AI274">
        <v>3.5906191127462665E-4</v>
      </c>
    </row>
    <row r="275" spans="23:35" x14ac:dyDescent="0.25">
      <c r="W275">
        <v>273</v>
      </c>
      <c r="X275">
        <v>65.206691746294823</v>
      </c>
      <c r="Y275">
        <v>-6.6066917462948211</v>
      </c>
      <c r="Z275">
        <v>65.247929185075549</v>
      </c>
      <c r="AA275">
        <v>0.14432989690721648</v>
      </c>
      <c r="AB275">
        <v>59.6</v>
      </c>
      <c r="AC275">
        <v>-1.0704544602760233</v>
      </c>
      <c r="AD275">
        <v>-0.8950033846431511</v>
      </c>
      <c r="AE275">
        <v>-0.8866827703829705</v>
      </c>
      <c r="AF275">
        <v>6.2030502480831815E-3</v>
      </c>
      <c r="AG275">
        <v>-0.89779224141846325</v>
      </c>
      <c r="AH275">
        <v>-0.88952529917546708</v>
      </c>
      <c r="AI275">
        <v>2.795032297168669E-4</v>
      </c>
    </row>
    <row r="276" spans="23:35" x14ac:dyDescent="0.25">
      <c r="W276">
        <v>274</v>
      </c>
      <c r="X276">
        <v>67.686177114364696</v>
      </c>
      <c r="Y276">
        <v>-9.6861771143646962</v>
      </c>
      <c r="Z276">
        <v>67.732798480361325</v>
      </c>
      <c r="AA276">
        <v>0.13159490600363857</v>
      </c>
      <c r="AB276">
        <v>59.6</v>
      </c>
      <c r="AC276">
        <v>-1.1375552391677688</v>
      </c>
      <c r="AD276">
        <v>-1.3121788687161455</v>
      </c>
      <c r="AE276">
        <v>-0.88618808610752919</v>
      </c>
      <c r="AF276">
        <v>4.7901295902412558E-3</v>
      </c>
      <c r="AG276">
        <v>-1.3153329580360393</v>
      </c>
      <c r="AH276">
        <v>-0.88916034731704496</v>
      </c>
      <c r="AI276">
        <v>4.6262754537513423E-4</v>
      </c>
    </row>
    <row r="277" spans="23:35" x14ac:dyDescent="0.25">
      <c r="W277">
        <v>275</v>
      </c>
      <c r="X277">
        <v>63.924874064173771</v>
      </c>
      <c r="Y277">
        <v>-6.5248740641737726</v>
      </c>
      <c r="Z277">
        <v>63.958118642061791</v>
      </c>
      <c r="AA277">
        <v>0.11825348696179502</v>
      </c>
      <c r="AB277">
        <v>59.7</v>
      </c>
      <c r="AC277">
        <v>-1.1914554566319386</v>
      </c>
      <c r="AD277">
        <v>-0.88391960697741345</v>
      </c>
      <c r="AE277">
        <v>-0.8858470489309811</v>
      </c>
      <c r="AF277">
        <v>5.0692248345128102E-3</v>
      </c>
      <c r="AG277">
        <v>-0.88616855452582788</v>
      </c>
      <c r="AH277">
        <v>-0.88892290686534303</v>
      </c>
      <c r="AI277">
        <v>2.2228433322284862E-4</v>
      </c>
    </row>
    <row r="278" spans="23:35" x14ac:dyDescent="0.25">
      <c r="W278">
        <v>276</v>
      </c>
      <c r="X278">
        <v>58.391434771098005</v>
      </c>
      <c r="Y278">
        <v>-1.5914347710980081</v>
      </c>
      <c r="Z278">
        <v>58.402571549005401</v>
      </c>
      <c r="AA278">
        <v>0.10794420861127957</v>
      </c>
      <c r="AB278">
        <v>59.7</v>
      </c>
      <c r="AC278">
        <v>-1.2523823790942721</v>
      </c>
      <c r="AD278">
        <v>-0.21559042880581145</v>
      </c>
      <c r="AE278">
        <v>-0.88391960697741345</v>
      </c>
      <c r="AF278">
        <v>6.9493171236630685E-3</v>
      </c>
      <c r="AG278">
        <v>-0.21634345900014137</v>
      </c>
      <c r="AH278">
        <v>-0.88724561905678601</v>
      </c>
      <c r="AI278">
        <v>1.8196411493547587E-5</v>
      </c>
    </row>
    <row r="279" spans="23:35" x14ac:dyDescent="0.25">
      <c r="W279">
        <v>277</v>
      </c>
      <c r="X279">
        <v>57.862683353595386</v>
      </c>
      <c r="Y279">
        <v>-1.6626833535953836</v>
      </c>
      <c r="Z279">
        <v>57.87090231471155</v>
      </c>
      <c r="AA279">
        <v>9.5815645845967259E-2</v>
      </c>
      <c r="AB279">
        <v>59.7</v>
      </c>
      <c r="AC279">
        <v>-1.3147344895569</v>
      </c>
      <c r="AD279">
        <v>-0.22524241877824208</v>
      </c>
      <c r="AE279">
        <v>-0.88216369401924755</v>
      </c>
      <c r="AF279">
        <v>4.9188758934615631E-3</v>
      </c>
      <c r="AG279">
        <v>-0.22579844062493762</v>
      </c>
      <c r="AH279">
        <v>-0.88668050070687965</v>
      </c>
      <c r="AI279">
        <v>1.4001570408290458E-5</v>
      </c>
    </row>
    <row r="280" spans="23:35" x14ac:dyDescent="0.25">
      <c r="W280">
        <v>278</v>
      </c>
      <c r="X280">
        <v>51.628390260864776</v>
      </c>
      <c r="Y280">
        <v>3.6716097391352207</v>
      </c>
      <c r="Z280">
        <v>51.603451166180996</v>
      </c>
      <c r="AA280">
        <v>8.6719223771983017E-2</v>
      </c>
      <c r="AB280">
        <v>59.7</v>
      </c>
      <c r="AC280">
        <v>-1.3946242806491973</v>
      </c>
      <c r="AD280">
        <v>0.49739011139087863</v>
      </c>
      <c r="AE280">
        <v>-0.87658865946471065</v>
      </c>
      <c r="AF280">
        <v>6.7465887250342024E-3</v>
      </c>
      <c r="AG280">
        <v>0.49907649245283181</v>
      </c>
      <c r="AH280">
        <v>-0.88616855452582788</v>
      </c>
      <c r="AI280">
        <v>9.3990918604533002E-5</v>
      </c>
    </row>
    <row r="281" spans="23:35" x14ac:dyDescent="0.25">
      <c r="W281">
        <v>279</v>
      </c>
      <c r="X281">
        <v>48.703504180521989</v>
      </c>
      <c r="Y281">
        <v>6.0964958194780081</v>
      </c>
      <c r="Z281">
        <v>48.656643069517095</v>
      </c>
      <c r="AA281">
        <v>7.7622801697998789E-2</v>
      </c>
      <c r="AB281">
        <v>59.7</v>
      </c>
      <c r="AC281">
        <v>-1.4402815816722083</v>
      </c>
      <c r="AD281">
        <v>0.82588753985013752</v>
      </c>
      <c r="AE281">
        <v>-0.87277957399319361</v>
      </c>
      <c r="AF281">
        <v>7.6279323397880619E-3</v>
      </c>
      <c r="AG281">
        <v>0.82905558276502256</v>
      </c>
      <c r="AH281">
        <v>-0.87792786943561874</v>
      </c>
      <c r="AI281">
        <v>2.9351283124755072E-4</v>
      </c>
    </row>
    <row r="282" spans="23:35" x14ac:dyDescent="0.25">
      <c r="W282">
        <v>280</v>
      </c>
      <c r="X282">
        <v>51.749055170236524</v>
      </c>
      <c r="Y282">
        <v>2.3509448297634776</v>
      </c>
      <c r="Z282">
        <v>51.719818976992308</v>
      </c>
      <c r="AA282">
        <v>7.1558520315342627E-2</v>
      </c>
      <c r="AB282">
        <v>59.8</v>
      </c>
      <c r="AC282">
        <v>-1.4754749432056431</v>
      </c>
      <c r="AD282">
        <v>0.3184806648391999</v>
      </c>
      <c r="AE282">
        <v>-0.86921388260243893</v>
      </c>
      <c r="AF282">
        <v>1.2283180548709222E-2</v>
      </c>
      <c r="AG282">
        <v>0.32045484826285686</v>
      </c>
      <c r="AH282">
        <v>-0.87686200445650075</v>
      </c>
      <c r="AI282">
        <v>7.0947904743058775E-5</v>
      </c>
    </row>
    <row r="283" spans="23:35" x14ac:dyDescent="0.25">
      <c r="W283">
        <v>281</v>
      </c>
      <c r="X283">
        <v>47.838997945717026</v>
      </c>
      <c r="Y283">
        <v>5.561002054282973</v>
      </c>
      <c r="Z283">
        <v>47.780133484115012</v>
      </c>
      <c r="AA283">
        <v>6.2462098241358399E-2</v>
      </c>
      <c r="AB283">
        <v>59.8</v>
      </c>
      <c r="AC283">
        <v>-1.5418711328403236</v>
      </c>
      <c r="AD283">
        <v>0.75334461659756624</v>
      </c>
      <c r="AE283">
        <v>-0.86863388238543049</v>
      </c>
      <c r="AF283">
        <v>1.0474352270757735E-2</v>
      </c>
      <c r="AG283">
        <v>0.75732128220440798</v>
      </c>
      <c r="AH283">
        <v>-0.87529863597575841</v>
      </c>
      <c r="AI283">
        <v>3.3727794148305366E-4</v>
      </c>
    </row>
    <row r="284" spans="23:35" x14ac:dyDescent="0.25">
      <c r="W284">
        <v>282</v>
      </c>
      <c r="X284">
        <v>43.521250975655548</v>
      </c>
      <c r="Y284">
        <v>9.0787490243444537</v>
      </c>
      <c r="Z284">
        <v>43.44701211325021</v>
      </c>
      <c r="AA284">
        <v>5.5184960582171011E-2</v>
      </c>
      <c r="AB284">
        <v>59.8</v>
      </c>
      <c r="AC284">
        <v>-1.6158584342289828</v>
      </c>
      <c r="AD284">
        <v>1.2298910585121454</v>
      </c>
      <c r="AE284">
        <v>-0.86706450885952602</v>
      </c>
      <c r="AF284">
        <v>8.1108883048785965E-3</v>
      </c>
      <c r="AG284">
        <v>1.2349093608987713</v>
      </c>
      <c r="AH284">
        <v>-0.87240220761226794</v>
      </c>
      <c r="AI284">
        <v>6.9279215015319534E-4</v>
      </c>
    </row>
    <row r="285" spans="23:35" x14ac:dyDescent="0.25">
      <c r="W285">
        <v>283</v>
      </c>
      <c r="X285">
        <v>74.489655417010283</v>
      </c>
      <c r="Y285">
        <v>-1.4896554170102831</v>
      </c>
      <c r="Z285">
        <v>74.500041709170233</v>
      </c>
      <c r="AA285">
        <v>0.60946027895694366</v>
      </c>
      <c r="AB285">
        <v>59.9</v>
      </c>
      <c r="AC285">
        <v>0.22222871718700732</v>
      </c>
      <c r="AD285">
        <v>-0.20180245898772595</v>
      </c>
      <c r="AE285">
        <v>-0.86659087770199561</v>
      </c>
      <c r="AF285">
        <v>6.9240022437111175E-3</v>
      </c>
      <c r="AG285">
        <v>-0.20250474842901597</v>
      </c>
      <c r="AH285">
        <v>-0.8713270025217642</v>
      </c>
      <c r="AI285">
        <v>1.588446645952975E-5</v>
      </c>
    </row>
    <row r="286" spans="23:35" x14ac:dyDescent="0.25">
      <c r="W286">
        <v>284</v>
      </c>
      <c r="X286">
        <v>75.479321624862138</v>
      </c>
      <c r="Y286">
        <v>-2.6793216248621405</v>
      </c>
      <c r="Z286">
        <v>75.492864028350098</v>
      </c>
      <c r="AA286">
        <v>0.58156458459672533</v>
      </c>
      <c r="AB286">
        <v>59.9</v>
      </c>
      <c r="AC286">
        <v>0.18343432307636306</v>
      </c>
      <c r="AD286">
        <v>-0.36296561348485123</v>
      </c>
      <c r="AE286">
        <v>-0.86599439354505336</v>
      </c>
      <c r="AF286">
        <v>5.028996393945457E-3</v>
      </c>
      <c r="AG286">
        <v>-0.3638817467404129</v>
      </c>
      <c r="AH286">
        <v>-0.87034714974174432</v>
      </c>
      <c r="AI286">
        <v>3.7180817665718784E-5</v>
      </c>
    </row>
    <row r="287" spans="23:35" x14ac:dyDescent="0.25">
      <c r="W287">
        <v>285</v>
      </c>
      <c r="X287">
        <v>76.166455047116386</v>
      </c>
      <c r="Y287">
        <v>-3.4664550471163835</v>
      </c>
      <c r="Z287">
        <v>76.177958100388793</v>
      </c>
      <c r="AA287">
        <v>0.57246816252274102</v>
      </c>
      <c r="AB287">
        <v>59.9</v>
      </c>
      <c r="AC287">
        <v>0.16337348484333708</v>
      </c>
      <c r="AD287">
        <v>-0.46959796506662227</v>
      </c>
      <c r="AE287">
        <v>-0.86481372194861028</v>
      </c>
      <c r="AF287">
        <v>3.3074157135828969E-3</v>
      </c>
      <c r="AG287">
        <v>-0.47037647458508636</v>
      </c>
      <c r="AH287">
        <v>-0.86959873683727418</v>
      </c>
      <c r="AI287">
        <v>4.0789298744377528E-5</v>
      </c>
    </row>
    <row r="288" spans="23:35" x14ac:dyDescent="0.25">
      <c r="W288">
        <v>286</v>
      </c>
      <c r="X288">
        <v>58.810657137708418</v>
      </c>
      <c r="Y288">
        <v>13.789342862291576</v>
      </c>
      <c r="Z288">
        <v>58.627258452776914</v>
      </c>
      <c r="AA288">
        <v>0.56458459672528805</v>
      </c>
      <c r="AB288">
        <v>59.9</v>
      </c>
      <c r="AC288">
        <v>0.14798710972583889</v>
      </c>
      <c r="AD288">
        <v>1.8680315364610782</v>
      </c>
      <c r="AE288">
        <v>-0.86375562599928224</v>
      </c>
      <c r="AF288">
        <v>1.3125461765085861E-2</v>
      </c>
      <c r="AG288">
        <v>1.8804129426674978</v>
      </c>
      <c r="AH288">
        <v>-0.86798900262436862</v>
      </c>
      <c r="AI288">
        <v>2.612682313943879E-3</v>
      </c>
    </row>
    <row r="289" spans="23:35" x14ac:dyDescent="0.25">
      <c r="W289">
        <v>287</v>
      </c>
      <c r="X289">
        <v>72.277051373141845</v>
      </c>
      <c r="Y289">
        <v>0.22294862685815531</v>
      </c>
      <c r="Z289">
        <v>72.276582788021443</v>
      </c>
      <c r="AA289">
        <v>0.55852031534263191</v>
      </c>
      <c r="AB289">
        <v>59.9</v>
      </c>
      <c r="AC289">
        <v>0.12956927093944998</v>
      </c>
      <c r="AD289">
        <v>3.0202676816501735E-2</v>
      </c>
      <c r="AE289">
        <v>-0.85937237795114851</v>
      </c>
      <c r="AF289">
        <v>2.0973546140765917E-3</v>
      </c>
      <c r="AG289">
        <v>3.0234399587446757E-2</v>
      </c>
      <c r="AH289">
        <v>-0.86762587262141333</v>
      </c>
      <c r="AI289">
        <v>1.0673672762089207E-7</v>
      </c>
    </row>
    <row r="290" spans="23:35" x14ac:dyDescent="0.25">
      <c r="W290">
        <v>288</v>
      </c>
      <c r="X290">
        <v>71.189353499479253</v>
      </c>
      <c r="Y290">
        <v>1.2106465005207525</v>
      </c>
      <c r="Z290">
        <v>71.186566092216083</v>
      </c>
      <c r="AA290">
        <v>0.55124317768344455</v>
      </c>
      <c r="AB290">
        <v>60</v>
      </c>
      <c r="AC290">
        <v>0.11578501997911882</v>
      </c>
      <c r="AD290">
        <v>0.16400533840255663</v>
      </c>
      <c r="AE290">
        <v>-0.85802268650500824</v>
      </c>
      <c r="AF290">
        <v>2.2971232675263156E-3</v>
      </c>
      <c r="AG290">
        <v>0.16419403379671649</v>
      </c>
      <c r="AH290">
        <v>-0.86760093369655256</v>
      </c>
      <c r="AI290">
        <v>3.4484609788492719E-6</v>
      </c>
    </row>
    <row r="291" spans="23:35" x14ac:dyDescent="0.25">
      <c r="W291">
        <v>289</v>
      </c>
      <c r="X291">
        <v>70.565468471348481</v>
      </c>
      <c r="Y291">
        <v>1.8345315286515245</v>
      </c>
      <c r="Z291">
        <v>70.560968695925794</v>
      </c>
      <c r="AA291">
        <v>0.55124317768344455</v>
      </c>
      <c r="AB291">
        <v>60</v>
      </c>
      <c r="AC291">
        <v>0.11578501997911882</v>
      </c>
      <c r="AD291">
        <v>0.24852255719339544</v>
      </c>
      <c r="AE291">
        <v>-0.8565365152563893</v>
      </c>
      <c r="AF291">
        <v>2.4468182856444923E-3</v>
      </c>
      <c r="AG291">
        <v>0.24882716105891151</v>
      </c>
      <c r="AH291">
        <v>-0.86461005587995776</v>
      </c>
      <c r="AI291">
        <v>8.4370130986470728E-6</v>
      </c>
    </row>
    <row r="292" spans="23:35" x14ac:dyDescent="0.25">
      <c r="W292">
        <v>290</v>
      </c>
      <c r="X292">
        <v>68.958171083047148</v>
      </c>
      <c r="Y292">
        <v>3.3418289169528492</v>
      </c>
      <c r="Z292">
        <v>68.949828981806334</v>
      </c>
      <c r="AA292">
        <v>0.54578532443905392</v>
      </c>
      <c r="AB292">
        <v>61</v>
      </c>
      <c r="AC292">
        <v>9.896716322379942E-2</v>
      </c>
      <c r="AD292">
        <v>0.45271496028985247</v>
      </c>
      <c r="AE292">
        <v>-0.85539752887756471</v>
      </c>
      <c r="AF292">
        <v>2.4900523571814181E-3</v>
      </c>
      <c r="AG292">
        <v>0.45327965707938755</v>
      </c>
      <c r="AH292">
        <v>-0.86208811401170293</v>
      </c>
      <c r="AI292">
        <v>2.8493854064280018E-5</v>
      </c>
    </row>
    <row r="293" spans="23:35" x14ac:dyDescent="0.25">
      <c r="W293">
        <v>291</v>
      </c>
      <c r="X293">
        <v>70.19032253852761</v>
      </c>
      <c r="Y293">
        <v>1.9096774614723842</v>
      </c>
      <c r="Z293">
        <v>70.186053714911296</v>
      </c>
      <c r="AA293">
        <v>0.5312310491206792</v>
      </c>
      <c r="AB293">
        <v>61</v>
      </c>
      <c r="AC293">
        <v>6.3887210036911155E-2</v>
      </c>
      <c r="AD293">
        <v>0.25870251817834</v>
      </c>
      <c r="AE293">
        <v>-0.85510235342064012</v>
      </c>
      <c r="AF293">
        <v>2.2303779628360275E-3</v>
      </c>
      <c r="AG293">
        <v>0.25899150387652647</v>
      </c>
      <c r="AH293">
        <v>-0.86172798064921163</v>
      </c>
      <c r="AI293">
        <v>8.3300329224444082E-6</v>
      </c>
    </row>
    <row r="294" spans="23:35" x14ac:dyDescent="0.25">
      <c r="W294">
        <v>292</v>
      </c>
      <c r="X294">
        <v>67.562566117425078</v>
      </c>
      <c r="Y294">
        <v>4.2374338825749192</v>
      </c>
      <c r="Z294">
        <v>67.553063133285264</v>
      </c>
      <c r="AA294">
        <v>0.51061249241964823</v>
      </c>
      <c r="AB294">
        <v>61.1</v>
      </c>
      <c r="AC294">
        <v>1.0640830227304372E-2</v>
      </c>
      <c r="AD294">
        <v>0.57404186735865936</v>
      </c>
      <c r="AE294">
        <v>-0.84920293780020684</v>
      </c>
      <c r="AF294">
        <v>2.237608996331871E-3</v>
      </c>
      <c r="AG294">
        <v>0.57468518780825539</v>
      </c>
      <c r="AH294">
        <v>-0.85936931249809967</v>
      </c>
      <c r="AI294">
        <v>4.1147605897190917E-5</v>
      </c>
    </row>
    <row r="295" spans="23:35" x14ac:dyDescent="0.25">
      <c r="W295">
        <v>293</v>
      </c>
      <c r="X295">
        <v>66.138546966560313</v>
      </c>
      <c r="Y295">
        <v>5.2614530334396932</v>
      </c>
      <c r="Z295">
        <v>66.118954195196054</v>
      </c>
      <c r="AA295">
        <v>0.4887810794420861</v>
      </c>
      <c r="AB295">
        <v>61.1</v>
      </c>
      <c r="AC295">
        <v>-4.7140240828996732E-2</v>
      </c>
      <c r="AD295">
        <v>0.71276494407513735</v>
      </c>
      <c r="AE295">
        <v>-0.84720662423153648</v>
      </c>
      <c r="AF295">
        <v>3.7100173125626948E-3</v>
      </c>
      <c r="AG295">
        <v>0.71409081962494791</v>
      </c>
      <c r="AH295">
        <v>-0.85051623633942086</v>
      </c>
      <c r="AI295">
        <v>1.0549322447784225E-4</v>
      </c>
    </row>
    <row r="296" spans="23:35" x14ac:dyDescent="0.25">
      <c r="W296">
        <v>294</v>
      </c>
      <c r="X296">
        <v>67.218049964819116</v>
      </c>
      <c r="Y296">
        <v>3.8819500351808784</v>
      </c>
      <c r="Z296">
        <v>67.207235700944224</v>
      </c>
      <c r="AA296">
        <v>0.47422680412371132</v>
      </c>
      <c r="AB296">
        <v>61.1</v>
      </c>
      <c r="AC296">
        <v>-7.6077819866612773E-2</v>
      </c>
      <c r="AD296">
        <v>0.52588474745336544</v>
      </c>
      <c r="AE296">
        <v>-0.84694280913901954</v>
      </c>
      <c r="AF296">
        <v>2.7780422969640455E-3</v>
      </c>
      <c r="AG296">
        <v>0.52661673796826403</v>
      </c>
      <c r="AH296">
        <v>-0.85035075924461312</v>
      </c>
      <c r="AI296">
        <v>4.292040716457784E-5</v>
      </c>
    </row>
    <row r="297" spans="23:35" x14ac:dyDescent="0.25">
      <c r="W297">
        <v>295</v>
      </c>
      <c r="X297">
        <v>66.633438986287871</v>
      </c>
      <c r="Y297">
        <v>10.366561013712129</v>
      </c>
      <c r="Z297">
        <v>66.502157138258852</v>
      </c>
      <c r="AA297">
        <v>0.83747725894481506</v>
      </c>
      <c r="AB297">
        <v>61.1</v>
      </c>
      <c r="AC297">
        <v>0.95855995741850497</v>
      </c>
      <c r="AD297">
        <v>1.404349945581381</v>
      </c>
      <c r="AE297">
        <v>-0.84295491160092662</v>
      </c>
      <c r="AF297">
        <v>1.2505602318307853E-2</v>
      </c>
      <c r="AG297">
        <v>1.4132142942529977</v>
      </c>
      <c r="AH297">
        <v>-0.84991960965488023</v>
      </c>
      <c r="AI297">
        <v>1.405120310623503E-3</v>
      </c>
    </row>
    <row r="298" spans="23:35" x14ac:dyDescent="0.25">
      <c r="W298">
        <v>296</v>
      </c>
      <c r="X298">
        <v>66.014707369703032</v>
      </c>
      <c r="Y298">
        <v>2.2852926302969649</v>
      </c>
      <c r="Z298">
        <v>65.971422513711175</v>
      </c>
      <c r="AA298">
        <v>0.39599757428744692</v>
      </c>
      <c r="AB298">
        <v>61.2</v>
      </c>
      <c r="AC298">
        <v>-0.27396491687072577</v>
      </c>
      <c r="AD298">
        <v>0.30958681251670439</v>
      </c>
      <c r="AE298">
        <v>-0.83141817459431333</v>
      </c>
      <c r="AF298">
        <v>1.8588540105162157E-2</v>
      </c>
      <c r="AG298">
        <v>0.31250494239987769</v>
      </c>
      <c r="AH298">
        <v>-0.83463648034129767</v>
      </c>
      <c r="AI298">
        <v>1.0276268269853205E-4</v>
      </c>
    </row>
    <row r="299" spans="23:35" x14ac:dyDescent="0.25">
      <c r="W299">
        <v>297</v>
      </c>
      <c r="X299">
        <v>68.464588872844104</v>
      </c>
      <c r="Y299">
        <v>-0.6645888728441065</v>
      </c>
      <c r="Z299">
        <v>68.466967948859235</v>
      </c>
      <c r="AA299">
        <v>0.37355973317161917</v>
      </c>
      <c r="AB299">
        <v>61.2</v>
      </c>
      <c r="AC299">
        <v>-0.337689309602062</v>
      </c>
      <c r="AD299">
        <v>-9.0031336928234063E-2</v>
      </c>
      <c r="AE299">
        <v>-0.8301504633826966</v>
      </c>
      <c r="AF299">
        <v>3.567002011411682E-3</v>
      </c>
      <c r="AG299">
        <v>-9.0192338756836021E-2</v>
      </c>
      <c r="AH299">
        <v>-0.83168635644572908</v>
      </c>
      <c r="AI299">
        <v>1.6177896223180863E-6</v>
      </c>
    </row>
    <row r="300" spans="23:35" x14ac:dyDescent="0.25">
      <c r="W300">
        <v>298</v>
      </c>
      <c r="X300">
        <v>69.545997345786304</v>
      </c>
      <c r="Y300">
        <v>-2.1459973457862986</v>
      </c>
      <c r="Z300">
        <v>69.552535092194063</v>
      </c>
      <c r="AA300">
        <v>0.3547604608853851</v>
      </c>
      <c r="AB300">
        <v>61.2</v>
      </c>
      <c r="AC300">
        <v>-0.38147581702590427</v>
      </c>
      <c r="AD300">
        <v>-0.29071658882694401</v>
      </c>
      <c r="AE300">
        <v>-0.82901168930942304</v>
      </c>
      <c r="AF300">
        <v>3.0372310451374745E-3</v>
      </c>
      <c r="AG300">
        <v>-0.29115908377646116</v>
      </c>
      <c r="AH300">
        <v>-0.83076416014270171</v>
      </c>
      <c r="AI300">
        <v>1.4347858114202581E-5</v>
      </c>
    </row>
    <row r="301" spans="23:35" x14ac:dyDescent="0.25">
      <c r="W301">
        <v>299</v>
      </c>
      <c r="X301">
        <v>65.90022979402967</v>
      </c>
      <c r="Y301">
        <v>1.09977020597033</v>
      </c>
      <c r="Z301">
        <v>65.89515853678364</v>
      </c>
      <c r="AA301">
        <v>0.33959975742874471</v>
      </c>
      <c r="AB301">
        <v>61.3</v>
      </c>
      <c r="AC301">
        <v>-0.42600652312983872</v>
      </c>
      <c r="AD301">
        <v>0.14898501314597537</v>
      </c>
      <c r="AE301">
        <v>-0.8227456818219443</v>
      </c>
      <c r="AF301">
        <v>4.5900316152705373E-3</v>
      </c>
      <c r="AG301">
        <v>0.14932811770465604</v>
      </c>
      <c r="AH301">
        <v>-0.8297024528192658</v>
      </c>
      <c r="AI301">
        <v>5.7124757280351756E-6</v>
      </c>
    </row>
    <row r="302" spans="23:35" x14ac:dyDescent="0.25">
      <c r="W302">
        <v>300</v>
      </c>
      <c r="X302">
        <v>67.781977897050353</v>
      </c>
      <c r="Y302">
        <v>-1.1819778970503592</v>
      </c>
      <c r="Z302">
        <v>67.785298980345132</v>
      </c>
      <c r="AA302">
        <v>0.32686476652516677</v>
      </c>
      <c r="AB302">
        <v>61.3</v>
      </c>
      <c r="AC302">
        <v>-0.45616451589519369</v>
      </c>
      <c r="AD302">
        <v>-0.16012162502159188</v>
      </c>
      <c r="AE302">
        <v>-0.82048492347160362</v>
      </c>
      <c r="AF302">
        <v>2.8018950069616253E-3</v>
      </c>
      <c r="AG302">
        <v>-0.16034641951079007</v>
      </c>
      <c r="AH302">
        <v>-0.82419488216087733</v>
      </c>
      <c r="AI302">
        <v>4.0134369163566153E-6</v>
      </c>
    </row>
    <row r="303" spans="23:35" x14ac:dyDescent="0.25">
      <c r="W303">
        <v>301</v>
      </c>
      <c r="X303">
        <v>69.05225062306252</v>
      </c>
      <c r="Y303">
        <v>-2.9522506230625254</v>
      </c>
      <c r="Z303">
        <v>69.061655688870218</v>
      </c>
      <c r="AA303">
        <v>0.31412977562158884</v>
      </c>
      <c r="AB303">
        <v>61.3</v>
      </c>
      <c r="AC303">
        <v>-0.4918835074548818</v>
      </c>
      <c r="AD303">
        <v>-0.39993909227529162</v>
      </c>
      <c r="AE303">
        <v>-0.81696850983041214</v>
      </c>
      <c r="AF303">
        <v>3.1756108054847108E-3</v>
      </c>
      <c r="AG303">
        <v>-0.40057563418563957</v>
      </c>
      <c r="AH303">
        <v>-0.82415064228997692</v>
      </c>
      <c r="AI303">
        <v>2.8399138680722512E-5</v>
      </c>
    </row>
    <row r="304" spans="23:35" x14ac:dyDescent="0.25">
      <c r="W304">
        <v>302</v>
      </c>
      <c r="X304">
        <v>67.595959311598477</v>
      </c>
      <c r="Y304">
        <v>-1.9959593115984831</v>
      </c>
      <c r="Z304">
        <v>67.601956525616828</v>
      </c>
      <c r="AA304">
        <v>0.29411764705882354</v>
      </c>
      <c r="AB304">
        <v>61.4</v>
      </c>
      <c r="AC304">
        <v>-0.55287102664223609</v>
      </c>
      <c r="AD304">
        <v>-0.27039105320639539</v>
      </c>
      <c r="AE304">
        <v>-0.81674047894521562</v>
      </c>
      <c r="AF304">
        <v>2.9956764503150848E-3</v>
      </c>
      <c r="AG304">
        <v>-0.27079696748051318</v>
      </c>
      <c r="AH304">
        <v>-0.81943684413233342</v>
      </c>
      <c r="AI304">
        <v>1.2240888774364116E-5</v>
      </c>
    </row>
    <row r="305" spans="23:35" x14ac:dyDescent="0.25">
      <c r="W305">
        <v>303</v>
      </c>
      <c r="X305">
        <v>61.498554441712159</v>
      </c>
      <c r="Y305">
        <v>3.5014455582878412</v>
      </c>
      <c r="Z305">
        <v>61.481753624326444</v>
      </c>
      <c r="AA305">
        <v>0.27289266221952696</v>
      </c>
      <c r="AB305">
        <v>61.4</v>
      </c>
      <c r="AC305">
        <v>-0.62335641379693996</v>
      </c>
      <c r="AD305">
        <v>0.47433810235945295</v>
      </c>
      <c r="AE305">
        <v>-0.81496124105643963</v>
      </c>
      <c r="AF305">
        <v>4.7753385043981019E-3</v>
      </c>
      <c r="AG305">
        <v>0.47547473734808149</v>
      </c>
      <c r="AH305">
        <v>-0.81939641423784104</v>
      </c>
      <c r="AI305">
        <v>6.0265036296084919E-5</v>
      </c>
    </row>
    <row r="306" spans="23:35" x14ac:dyDescent="0.25">
      <c r="W306">
        <v>304</v>
      </c>
      <c r="X306">
        <v>51.547624243067638</v>
      </c>
      <c r="Y306">
        <v>12.552375756932356</v>
      </c>
      <c r="Z306">
        <v>51.396865635887167</v>
      </c>
      <c r="AA306">
        <v>0.24257125530624621</v>
      </c>
      <c r="AB306">
        <v>61.4</v>
      </c>
      <c r="AC306">
        <v>-0.70291235686137066</v>
      </c>
      <c r="AD306">
        <v>1.7004605662232699</v>
      </c>
      <c r="AE306">
        <v>-0.8123731196852062</v>
      </c>
      <c r="AF306">
        <v>1.1867827487235921E-2</v>
      </c>
      <c r="AG306">
        <v>1.7106416633340569</v>
      </c>
      <c r="AH306">
        <v>-0.81889896984556043</v>
      </c>
      <c r="AI306">
        <v>1.9525482307826479E-3</v>
      </c>
    </row>
    <row r="307" spans="23:35" x14ac:dyDescent="0.25">
      <c r="W307">
        <v>305</v>
      </c>
      <c r="X307">
        <v>64.693805347247277</v>
      </c>
      <c r="Y307">
        <v>-7.9938053472472745</v>
      </c>
      <c r="Z307">
        <v>64.725416893498661</v>
      </c>
      <c r="AA307">
        <v>0.10491206791995149</v>
      </c>
      <c r="AB307">
        <v>61.4</v>
      </c>
      <c r="AC307">
        <v>-1.2726185683477402</v>
      </c>
      <c r="AD307">
        <v>-1.0829145836836149</v>
      </c>
      <c r="AE307">
        <v>-0.81098990747243227</v>
      </c>
      <c r="AF307">
        <v>3.9389288644921571E-3</v>
      </c>
      <c r="AG307">
        <v>-1.0850536667898423</v>
      </c>
      <c r="AH307">
        <v>-0.8133504150173233</v>
      </c>
      <c r="AI307">
        <v>2.5865572982155052E-4</v>
      </c>
    </row>
    <row r="308" spans="23:35" x14ac:dyDescent="0.25">
      <c r="W308">
        <v>306</v>
      </c>
      <c r="X308">
        <v>64.685563667343672</v>
      </c>
      <c r="Y308">
        <v>-8.2855636673436734</v>
      </c>
      <c r="Z308">
        <v>64.717873203230525</v>
      </c>
      <c r="AA308">
        <v>9.8241358399029713E-2</v>
      </c>
      <c r="AB308">
        <v>61.4</v>
      </c>
      <c r="AC308">
        <v>-1.2969062889401866</v>
      </c>
      <c r="AD308">
        <v>-1.122438856044365</v>
      </c>
      <c r="AE308">
        <v>-0.80746266550314438</v>
      </c>
      <c r="AF308">
        <v>3.8843506143265427E-3</v>
      </c>
      <c r="AG308">
        <v>-1.1246252005365649</v>
      </c>
      <c r="AH308">
        <v>-0.80912759827109382</v>
      </c>
      <c r="AI308">
        <v>2.740007663632702E-4</v>
      </c>
    </row>
    <row r="309" spans="23:35" x14ac:dyDescent="0.25">
      <c r="W309">
        <v>307</v>
      </c>
      <c r="X309">
        <v>64.03610863746691</v>
      </c>
      <c r="Y309">
        <v>-8.1361086374669114</v>
      </c>
      <c r="Z309">
        <v>64.067087432598925</v>
      </c>
      <c r="AA309">
        <v>9.0964220739842325E-2</v>
      </c>
      <c r="AB309">
        <v>61.4</v>
      </c>
      <c r="AC309">
        <v>-1.3366956165977166</v>
      </c>
      <c r="AD309">
        <v>-1.1021922995637086</v>
      </c>
      <c r="AE309">
        <v>-0.79850255883784294</v>
      </c>
      <c r="AF309">
        <v>3.7931264220784468E-3</v>
      </c>
      <c r="AG309">
        <v>-1.1042886425898384</v>
      </c>
      <c r="AH309">
        <v>-0.80076577415685002</v>
      </c>
      <c r="AI309">
        <v>2.5795294453914854E-4</v>
      </c>
    </row>
    <row r="310" spans="23:35" x14ac:dyDescent="0.25">
      <c r="W310">
        <v>308</v>
      </c>
      <c r="X310">
        <v>53.167700849927144</v>
      </c>
      <c r="Y310">
        <v>2.4322991500728577</v>
      </c>
      <c r="Z310">
        <v>53.134287598484427</v>
      </c>
      <c r="AA310">
        <v>8.9144936325045485E-2</v>
      </c>
      <c r="AB310">
        <v>61.5</v>
      </c>
      <c r="AC310">
        <v>-1.3517022399306602</v>
      </c>
      <c r="AD310">
        <v>0.32950167124124263</v>
      </c>
      <c r="AE310">
        <v>-0.79810567100913388</v>
      </c>
      <c r="AF310">
        <v>1.3551155204546901E-2</v>
      </c>
      <c r="AG310">
        <v>0.33175718506188823</v>
      </c>
      <c r="AH310">
        <v>-0.7996049611180851</v>
      </c>
      <c r="AI310">
        <v>8.3998188568865429E-5</v>
      </c>
    </row>
    <row r="311" spans="23:35" x14ac:dyDescent="0.25">
      <c r="W311">
        <v>309</v>
      </c>
      <c r="X311">
        <v>54.054157037438216</v>
      </c>
      <c r="Y311">
        <v>1.2458429625617811</v>
      </c>
      <c r="Z311">
        <v>54.048960895521368</v>
      </c>
      <c r="AA311">
        <v>8.6719223771983017E-2</v>
      </c>
      <c r="AB311">
        <v>61.6</v>
      </c>
      <c r="AC311">
        <v>-1.3946242806491973</v>
      </c>
      <c r="AD311">
        <v>0.16877337569926434</v>
      </c>
      <c r="AE311">
        <v>-0.79599025750243557</v>
      </c>
      <c r="AF311">
        <v>4.153460829678937E-3</v>
      </c>
      <c r="AG311">
        <v>0.1691249681256996</v>
      </c>
      <c r="AH311">
        <v>-0.79878953440806333</v>
      </c>
      <c r="AI311">
        <v>6.6276665642378523E-6</v>
      </c>
    </row>
    <row r="312" spans="23:35" x14ac:dyDescent="0.25">
      <c r="W312">
        <v>310</v>
      </c>
      <c r="X312">
        <v>48.855038185794569</v>
      </c>
      <c r="Y312">
        <v>5.9449618142054277</v>
      </c>
      <c r="Z312">
        <v>48.770294379784708</v>
      </c>
      <c r="AA312">
        <v>7.7622801697998789E-2</v>
      </c>
      <c r="AB312">
        <v>61.6</v>
      </c>
      <c r="AC312">
        <v>-1.4402815816722083</v>
      </c>
      <c r="AD312">
        <v>0.80535934619200999</v>
      </c>
      <c r="AE312">
        <v>-0.79445033071535254</v>
      </c>
      <c r="AF312">
        <v>1.4054385296314472E-2</v>
      </c>
      <c r="AG312">
        <v>0.81107912354809053</v>
      </c>
      <c r="AH312">
        <v>-0.79719205994793507</v>
      </c>
      <c r="AI312">
        <v>5.2097014608973985E-4</v>
      </c>
    </row>
    <row r="313" spans="23:35" x14ac:dyDescent="0.25">
      <c r="W313">
        <v>311</v>
      </c>
      <c r="X313">
        <v>54.86448616565059</v>
      </c>
      <c r="Y313">
        <v>-0.66448616565058671</v>
      </c>
      <c r="Z313">
        <v>54.867021807521276</v>
      </c>
      <c r="AA313">
        <v>7.2164948453608241E-2</v>
      </c>
      <c r="AB313">
        <v>61.6</v>
      </c>
      <c r="AC313">
        <v>-1.462064744247453</v>
      </c>
      <c r="AD313">
        <v>-9.0017423264730848E-2</v>
      </c>
      <c r="AE313">
        <v>-0.79255663604913362</v>
      </c>
      <c r="AF313">
        <v>3.8014377372637092E-3</v>
      </c>
      <c r="AG313">
        <v>-9.0189010443387771E-2</v>
      </c>
      <c r="AH313">
        <v>-0.79618334412240277</v>
      </c>
      <c r="AI313">
        <v>1.7243948204221866E-6</v>
      </c>
    </row>
    <row r="314" spans="23:35" x14ac:dyDescent="0.25">
      <c r="W314">
        <v>312</v>
      </c>
      <c r="X314">
        <v>52.177439126419742</v>
      </c>
      <c r="Y314">
        <v>1.4225608735802595</v>
      </c>
      <c r="Z314">
        <v>52.171160360814021</v>
      </c>
      <c r="AA314">
        <v>6.4887810794420867E-2</v>
      </c>
      <c r="AB314">
        <v>61.6</v>
      </c>
      <c r="AC314">
        <v>-1.5319668124298669</v>
      </c>
      <c r="AD314">
        <v>0.19271321345199541</v>
      </c>
      <c r="AE314">
        <v>-0.79203810465790392</v>
      </c>
      <c r="AF314">
        <v>4.3943109034233208E-3</v>
      </c>
      <c r="AG314">
        <v>0.19313803495169463</v>
      </c>
      <c r="AH314">
        <v>-0.79443512937304528</v>
      </c>
      <c r="AI314">
        <v>9.146743970520257E-6</v>
      </c>
    </row>
    <row r="315" spans="23:35" x14ac:dyDescent="0.25">
      <c r="W315">
        <v>313</v>
      </c>
      <c r="X315">
        <v>52.47485954151125</v>
      </c>
      <c r="Y315">
        <v>0.82514045848874673</v>
      </c>
      <c r="Z315">
        <v>52.471499664515065</v>
      </c>
      <c r="AA315">
        <v>6.1249241964827165E-2</v>
      </c>
      <c r="AB315">
        <v>61.7</v>
      </c>
      <c r="AC315">
        <v>-1.5468805340999257</v>
      </c>
      <c r="AD315">
        <v>0.11178113517519551</v>
      </c>
      <c r="AE315">
        <v>-0.79010474613547843</v>
      </c>
      <c r="AF315">
        <v>4.0553719199417568E-3</v>
      </c>
      <c r="AG315">
        <v>0.11200848393557578</v>
      </c>
      <c r="AH315">
        <v>-0.79290656580854268</v>
      </c>
      <c r="AI315">
        <v>2.8380812801747436E-6</v>
      </c>
    </row>
    <row r="316" spans="23:35" x14ac:dyDescent="0.25">
      <c r="W316">
        <v>314</v>
      </c>
      <c r="X316">
        <v>42.544478872281786</v>
      </c>
      <c r="Y316">
        <v>10.255521127718211</v>
      </c>
      <c r="Z316">
        <v>42.365597907665382</v>
      </c>
      <c r="AA316">
        <v>5.7004244996967858E-2</v>
      </c>
      <c r="AB316">
        <v>61.7</v>
      </c>
      <c r="AC316">
        <v>-1.5884297017318656</v>
      </c>
      <c r="AD316">
        <v>1.3893074587193777</v>
      </c>
      <c r="AE316">
        <v>-0.78957350146532934</v>
      </c>
      <c r="AF316">
        <v>1.7143384262315493E-2</v>
      </c>
      <c r="AG316">
        <v>1.4013715120762367</v>
      </c>
      <c r="AH316">
        <v>-0.79138223383696071</v>
      </c>
      <c r="AI316">
        <v>1.9030073193712798E-3</v>
      </c>
    </row>
    <row r="317" spans="23:35" x14ac:dyDescent="0.25">
      <c r="W317">
        <v>315</v>
      </c>
      <c r="X317">
        <v>78.422515492109596</v>
      </c>
      <c r="Y317">
        <v>3.5774845078904036</v>
      </c>
      <c r="Z317">
        <v>78.39166194019478</v>
      </c>
      <c r="AA317">
        <v>0.96604002425712554</v>
      </c>
      <c r="AB317">
        <v>61.7</v>
      </c>
      <c r="AC317">
        <v>1.7539324289023792</v>
      </c>
      <c r="AD317">
        <v>0.48463903963220678</v>
      </c>
      <c r="AE317">
        <v>-0.78391829555205872</v>
      </c>
      <c r="AF317">
        <v>8.5506267437929964E-3</v>
      </c>
      <c r="AG317">
        <v>0.48672440636349829</v>
      </c>
      <c r="AH317">
        <v>-0.78779685304562419</v>
      </c>
      <c r="AI317">
        <v>1.1350660899492355E-4</v>
      </c>
    </row>
    <row r="318" spans="23:35" x14ac:dyDescent="0.25">
      <c r="W318">
        <v>316</v>
      </c>
      <c r="X318">
        <v>80.219255676604149</v>
      </c>
      <c r="Y318">
        <v>1.580744323395848</v>
      </c>
      <c r="Z318">
        <v>80.173041647243878</v>
      </c>
      <c r="AA318">
        <v>0.95815645845967257</v>
      </c>
      <c r="AB318">
        <v>61.8</v>
      </c>
      <c r="AC318">
        <v>1.7064083338107217</v>
      </c>
      <c r="AD318">
        <v>0.21414220218283486</v>
      </c>
      <c r="AE318">
        <v>-0.78375661117917217</v>
      </c>
      <c r="AF318">
        <v>2.8405170471627883E-2</v>
      </c>
      <c r="AG318">
        <v>0.21724994093293459</v>
      </c>
      <c r="AH318">
        <v>-0.78436139798126048</v>
      </c>
      <c r="AI318">
        <v>7.6658273530439384E-5</v>
      </c>
    </row>
    <row r="319" spans="23:35" x14ac:dyDescent="0.25">
      <c r="W319">
        <v>317</v>
      </c>
      <c r="X319">
        <v>80.592878056604661</v>
      </c>
      <c r="Y319">
        <v>1.0071219433953331</v>
      </c>
      <c r="Z319">
        <v>80.55605022445414</v>
      </c>
      <c r="AA319">
        <v>0.95148574893875071</v>
      </c>
      <c r="AB319">
        <v>61.8</v>
      </c>
      <c r="AC319">
        <v>1.6445597025796697</v>
      </c>
      <c r="AD319">
        <v>0.13643402518253159</v>
      </c>
      <c r="AE319">
        <v>-0.7822280725268137</v>
      </c>
      <c r="AF319">
        <v>3.5277398408627085E-2</v>
      </c>
      <c r="AG319">
        <v>0.138906147190973</v>
      </c>
      <c r="AH319">
        <v>-0.78398710111440539</v>
      </c>
      <c r="AI319">
        <v>3.9198055413935938E-5</v>
      </c>
    </row>
    <row r="320" spans="23:35" x14ac:dyDescent="0.25">
      <c r="W320">
        <v>318</v>
      </c>
      <c r="X320">
        <v>77.536285718977524</v>
      </c>
      <c r="Y320">
        <v>3.9637142810224759</v>
      </c>
      <c r="Z320">
        <v>77.478759599709562</v>
      </c>
      <c r="AA320">
        <v>0.94966646452395387</v>
      </c>
      <c r="AB320">
        <v>61.8</v>
      </c>
      <c r="AC320">
        <v>1.6214924498394727</v>
      </c>
      <c r="AD320">
        <v>0.53696128614794958</v>
      </c>
      <c r="AE320">
        <v>-0.78033018496986373</v>
      </c>
      <c r="AF320">
        <v>1.4305565830833547E-2</v>
      </c>
      <c r="AG320">
        <v>0.5408437594118739</v>
      </c>
      <c r="AH320">
        <v>-0.78375131963598055</v>
      </c>
      <c r="AI320">
        <v>2.358489117503226E-4</v>
      </c>
    </row>
    <row r="321" spans="23:35" x14ac:dyDescent="0.25">
      <c r="W321">
        <v>319</v>
      </c>
      <c r="X321">
        <v>86.123459267788888</v>
      </c>
      <c r="Y321">
        <v>-4.9234592677888855</v>
      </c>
      <c r="Z321">
        <v>86.220811389022941</v>
      </c>
      <c r="AA321">
        <v>0.94178289872650089</v>
      </c>
      <c r="AB321">
        <v>61.8</v>
      </c>
      <c r="AC321">
        <v>1.5519290565282795</v>
      </c>
      <c r="AD321">
        <v>-0.66697719191984595</v>
      </c>
      <c r="AE321">
        <v>-0.78018970998854531</v>
      </c>
      <c r="AF321">
        <v>1.9389718850401683E-2</v>
      </c>
      <c r="AG321">
        <v>-0.67353902176244251</v>
      </c>
      <c r="AH321">
        <v>-0.78296340896870531</v>
      </c>
      <c r="AI321">
        <v>4.9834268541836533E-4</v>
      </c>
    </row>
    <row r="322" spans="23:35" x14ac:dyDescent="0.25">
      <c r="W322">
        <v>320</v>
      </c>
      <c r="X322">
        <v>85.115297762980362</v>
      </c>
      <c r="Y322">
        <v>-4.1152977629803615</v>
      </c>
      <c r="Z322">
        <v>85.148910244733543</v>
      </c>
      <c r="AA322">
        <v>0.93571861734384476</v>
      </c>
      <c r="AB322">
        <v>61.9</v>
      </c>
      <c r="AC322">
        <v>1.4576525936309466</v>
      </c>
      <c r="AD322">
        <v>-0.55749618237409593</v>
      </c>
      <c r="AE322">
        <v>-0.77848334708345646</v>
      </c>
      <c r="AF322">
        <v>8.1015205850360032E-3</v>
      </c>
      <c r="AG322">
        <v>-0.55976828071999685</v>
      </c>
      <c r="AH322">
        <v>-0.78224901281808379</v>
      </c>
      <c r="AI322">
        <v>1.4218159481330398E-4</v>
      </c>
    </row>
    <row r="323" spans="23:35" x14ac:dyDescent="0.25">
      <c r="W323">
        <v>321</v>
      </c>
      <c r="X323">
        <v>78.235044385181254</v>
      </c>
      <c r="Y323">
        <v>8.7649556148187457</v>
      </c>
      <c r="Z323">
        <v>78.016286825985887</v>
      </c>
      <c r="AA323">
        <v>0.99211643420254703</v>
      </c>
      <c r="AB323">
        <v>61.9</v>
      </c>
      <c r="AC323">
        <v>2.349487559997844</v>
      </c>
      <c r="AD323">
        <v>1.1873817097504558</v>
      </c>
      <c r="AE323">
        <v>-0.77404268615582839</v>
      </c>
      <c r="AF323">
        <v>2.4350461213314606E-2</v>
      </c>
      <c r="AG323">
        <v>1.2021078495918183</v>
      </c>
      <c r="AH323">
        <v>-0.77714499454344865</v>
      </c>
      <c r="AI323">
        <v>2.0036769808478181E-3</v>
      </c>
    </row>
    <row r="324" spans="23:35" x14ac:dyDescent="0.25">
      <c r="W324">
        <v>322</v>
      </c>
      <c r="X324">
        <v>79.487871047245875</v>
      </c>
      <c r="Y324">
        <v>5.5121289527541251</v>
      </c>
      <c r="Z324">
        <v>79.30642717675633</v>
      </c>
      <c r="AA324">
        <v>0.98544572468162528</v>
      </c>
      <c r="AB324">
        <v>62</v>
      </c>
      <c r="AC324">
        <v>2.1134016615055304</v>
      </c>
      <c r="AD324">
        <v>0.74672381560274781</v>
      </c>
      <c r="AE324">
        <v>-0.77103480232565946</v>
      </c>
      <c r="AF324">
        <v>3.1868191752780203E-2</v>
      </c>
      <c r="AG324">
        <v>0.75891433826927746</v>
      </c>
      <c r="AH324">
        <v>-0.77176751219864592</v>
      </c>
      <c r="AI324">
        <v>1.0532608545661731E-3</v>
      </c>
    </row>
    <row r="325" spans="23:35" x14ac:dyDescent="0.25">
      <c r="W325">
        <v>323</v>
      </c>
      <c r="X325">
        <v>84.189790317123652</v>
      </c>
      <c r="Y325">
        <v>0.81020968287634787</v>
      </c>
      <c r="Z325">
        <v>84.179753113400295</v>
      </c>
      <c r="AA325">
        <v>0.98544572468162528</v>
      </c>
      <c r="AB325">
        <v>62</v>
      </c>
      <c r="AC325">
        <v>2.1134016615055304</v>
      </c>
      <c r="AD325">
        <v>0.10975847463318691</v>
      </c>
      <c r="AE325">
        <v>-0.76923308410443969</v>
      </c>
      <c r="AF325">
        <v>1.2236808072468727E-2</v>
      </c>
      <c r="AG325">
        <v>0.11043624804697795</v>
      </c>
      <c r="AH325">
        <v>-0.77005854372337912</v>
      </c>
      <c r="AI325">
        <v>8.3939444702143704E-6</v>
      </c>
    </row>
    <row r="326" spans="23:35" x14ac:dyDescent="0.25">
      <c r="W326">
        <v>324</v>
      </c>
      <c r="X326">
        <v>84.461150518652317</v>
      </c>
      <c r="Y326">
        <v>-3.4611505186523175</v>
      </c>
      <c r="Z326">
        <v>84.517460425994813</v>
      </c>
      <c r="AA326">
        <v>0.93571861734384476</v>
      </c>
      <c r="AB326">
        <v>62</v>
      </c>
      <c r="AC326">
        <v>1.4576525936309466</v>
      </c>
      <c r="AD326">
        <v>-0.46887936472751346</v>
      </c>
      <c r="AE326">
        <v>-0.76415327311962</v>
      </c>
      <c r="AF326">
        <v>1.6008682550157978E-2</v>
      </c>
      <c r="AG326">
        <v>-0.47267810615160133</v>
      </c>
      <c r="AH326">
        <v>-0.76544324492454996</v>
      </c>
      <c r="AI326">
        <v>2.0194020597308677E-4</v>
      </c>
    </row>
    <row r="327" spans="23:35" x14ac:dyDescent="0.25">
      <c r="W327">
        <v>325</v>
      </c>
      <c r="X327">
        <v>78.461530359714288</v>
      </c>
      <c r="Y327">
        <v>1.5384696402857116</v>
      </c>
      <c r="Z327">
        <v>78.430101773429868</v>
      </c>
      <c r="AA327">
        <v>0.92722862340812617</v>
      </c>
      <c r="AB327">
        <v>62</v>
      </c>
      <c r="AC327">
        <v>1.4191611772342045</v>
      </c>
      <c r="AD327">
        <v>0.20841528379141633</v>
      </c>
      <c r="AE327">
        <v>-0.76296484445764112</v>
      </c>
      <c r="AF327">
        <v>2.0019505565709441E-2</v>
      </c>
      <c r="AG327">
        <v>0.21053332444548467</v>
      </c>
      <c r="AH327">
        <v>-0.76355437712966145</v>
      </c>
      <c r="AI327">
        <v>5.0304299663260648E-5</v>
      </c>
    </row>
    <row r="328" spans="23:35" x14ac:dyDescent="0.25">
      <c r="W328">
        <v>326</v>
      </c>
      <c r="X328">
        <v>77.927322541130508</v>
      </c>
      <c r="Y328">
        <v>1.7726774588694951</v>
      </c>
      <c r="Z328">
        <v>77.893870353729483</v>
      </c>
      <c r="AA328">
        <v>0.9151000606428138</v>
      </c>
      <c r="AB328">
        <v>62</v>
      </c>
      <c r="AC328">
        <v>1.3555018111021329</v>
      </c>
      <c r="AD328">
        <v>0.24014323454073547</v>
      </c>
      <c r="AE328">
        <v>-0.75263427709227193</v>
      </c>
      <c r="AF328">
        <v>1.852147627946046E-2</v>
      </c>
      <c r="AG328">
        <v>0.24239851530572024</v>
      </c>
      <c r="AH328">
        <v>-0.75509927901451557</v>
      </c>
      <c r="AI328">
        <v>6.1600211677778028E-5</v>
      </c>
    </row>
    <row r="329" spans="23:35" x14ac:dyDescent="0.25">
      <c r="W329">
        <v>327</v>
      </c>
      <c r="X329">
        <v>47.697114814160578</v>
      </c>
      <c r="Y329">
        <v>10.302885185839422</v>
      </c>
      <c r="Z329">
        <v>47.639680203793297</v>
      </c>
      <c r="AA329">
        <v>0.13159490600363857</v>
      </c>
      <c r="AB329">
        <v>62</v>
      </c>
      <c r="AC329">
        <v>-1.1375552391677688</v>
      </c>
      <c r="AD329">
        <v>1.3957238307792201</v>
      </c>
      <c r="AE329">
        <v>-0.74776251394770377</v>
      </c>
      <c r="AF329">
        <v>5.5437101843427514E-3</v>
      </c>
      <c r="AG329">
        <v>1.3996087350572501</v>
      </c>
      <c r="AH329">
        <v>-0.75174833963630172</v>
      </c>
      <c r="AI329">
        <v>6.0667430672916006E-4</v>
      </c>
    </row>
    <row r="330" spans="23:35" x14ac:dyDescent="0.25">
      <c r="W330">
        <v>328</v>
      </c>
      <c r="X330">
        <v>43.92666152525269</v>
      </c>
      <c r="Y330">
        <v>5.9733384747473082</v>
      </c>
      <c r="Z330">
        <v>43.874846388762535</v>
      </c>
      <c r="AA330">
        <v>3.3959975742874467E-2</v>
      </c>
      <c r="AB330">
        <v>62</v>
      </c>
      <c r="AC330">
        <v>-1.8295749434197282</v>
      </c>
      <c r="AD330">
        <v>0.80920351029185555</v>
      </c>
      <c r="AE330">
        <v>-0.74742669735570955</v>
      </c>
      <c r="AF330">
        <v>8.5998033964669249E-3</v>
      </c>
      <c r="AG330">
        <v>0.81270561012520548</v>
      </c>
      <c r="AH330">
        <v>-0.74846489690423601</v>
      </c>
      <c r="AI330">
        <v>3.1829772341633074E-4</v>
      </c>
    </row>
    <row r="331" spans="23:35" x14ac:dyDescent="0.25">
      <c r="W331">
        <v>329</v>
      </c>
      <c r="X331">
        <v>47.432163057573817</v>
      </c>
      <c r="Y331">
        <v>5.5678369424261831</v>
      </c>
      <c r="Z331">
        <v>47.40059696516763</v>
      </c>
      <c r="AA331">
        <v>5.8823529411764705E-2</v>
      </c>
      <c r="AB331">
        <v>62.1</v>
      </c>
      <c r="AC331">
        <v>-1.5725296242490356</v>
      </c>
      <c r="AD331">
        <v>0.75427053357034779</v>
      </c>
      <c r="AE331">
        <v>-0.74323011736877775</v>
      </c>
      <c r="AF331">
        <v>5.6374031677704139E-3</v>
      </c>
      <c r="AG331">
        <v>0.75640562866475769</v>
      </c>
      <c r="AH331">
        <v>-0.74479363828612044</v>
      </c>
      <c r="AI331">
        <v>1.8020685777923667E-4</v>
      </c>
    </row>
    <row r="332" spans="23:35" x14ac:dyDescent="0.25">
      <c r="W332">
        <v>330</v>
      </c>
      <c r="X332">
        <v>43.475205040823461</v>
      </c>
      <c r="Y332">
        <v>6.3247949591765362</v>
      </c>
      <c r="Z332">
        <v>43.439364625541785</v>
      </c>
      <c r="AA332">
        <v>3.3353547604608853E-2</v>
      </c>
      <c r="AB332">
        <v>62.1</v>
      </c>
      <c r="AC332">
        <v>-1.8544489690938102</v>
      </c>
      <c r="AD332">
        <v>0.85681504647338724</v>
      </c>
      <c r="AE332">
        <v>-0.73590569663908512</v>
      </c>
      <c r="AF332">
        <v>5.6347225036032051E-3</v>
      </c>
      <c r="AG332">
        <v>0.85923925361031461</v>
      </c>
      <c r="AH332">
        <v>-0.73696749667667205</v>
      </c>
      <c r="AI332">
        <v>2.324247088271036E-4</v>
      </c>
    </row>
    <row r="333" spans="23:35" x14ac:dyDescent="0.25">
      <c r="W333">
        <v>331</v>
      </c>
      <c r="X333">
        <v>42.21099083342466</v>
      </c>
      <c r="Y333">
        <v>6.9890091665753431</v>
      </c>
      <c r="Z333">
        <v>42.170308947375851</v>
      </c>
      <c r="AA333">
        <v>2.7895694360218316E-2</v>
      </c>
      <c r="AB333">
        <v>62.1</v>
      </c>
      <c r="AC333">
        <v>-1.9270603903023944</v>
      </c>
      <c r="AD333">
        <v>0.94679562776558901</v>
      </c>
      <c r="AE333">
        <v>-0.72906573110784134</v>
      </c>
      <c r="AF333">
        <v>5.787151347657604E-3</v>
      </c>
      <c r="AG333">
        <v>0.94954720116727498</v>
      </c>
      <c r="AH333">
        <v>-0.7300419423811324</v>
      </c>
      <c r="AI333">
        <v>2.9157217723897396E-4</v>
      </c>
    </row>
    <row r="334" spans="23:35" x14ac:dyDescent="0.25">
      <c r="W334">
        <v>332</v>
      </c>
      <c r="X334">
        <v>42.645318933777084</v>
      </c>
      <c r="Y334">
        <v>5.9546810662229177</v>
      </c>
      <c r="Z334">
        <v>42.609279640793453</v>
      </c>
      <c r="AA334">
        <v>2.4257125530624622E-2</v>
      </c>
      <c r="AB334">
        <v>62.1</v>
      </c>
      <c r="AC334">
        <v>-1.9781851538562727</v>
      </c>
      <c r="AD334">
        <v>0.80667600569208908</v>
      </c>
      <c r="AE334">
        <v>-0.72509040548748771</v>
      </c>
      <c r="AF334">
        <v>6.0158529897405659E-3</v>
      </c>
      <c r="AG334">
        <v>0.80911343074535291</v>
      </c>
      <c r="AH334">
        <v>-0.72885443879026313</v>
      </c>
      <c r="AI334">
        <v>2.2012231533166676E-4</v>
      </c>
    </row>
    <row r="335" spans="23:35" x14ac:dyDescent="0.25">
      <c r="W335">
        <v>333</v>
      </c>
      <c r="X335">
        <v>47.748108464022692</v>
      </c>
      <c r="Y335">
        <v>4.8518915359773089</v>
      </c>
      <c r="Z335">
        <v>47.724035400848443</v>
      </c>
      <c r="AA335">
        <v>5.5184960582171011E-2</v>
      </c>
      <c r="AB335">
        <v>62.2</v>
      </c>
      <c r="AC335">
        <v>-1.6158584342289828</v>
      </c>
      <c r="AD335">
        <v>0.65728196703841923</v>
      </c>
      <c r="AE335">
        <v>-0.72459269704443874</v>
      </c>
      <c r="AF335">
        <v>4.9370873567120086E-3</v>
      </c>
      <c r="AG335">
        <v>0.6589105290348195</v>
      </c>
      <c r="AH335">
        <v>-0.72746166433148463</v>
      </c>
      <c r="AI335">
        <v>1.1967423543536647E-4</v>
      </c>
    </row>
    <row r="336" spans="23:35" x14ac:dyDescent="0.25">
      <c r="W336">
        <v>334</v>
      </c>
      <c r="X336">
        <v>47.272057965487036</v>
      </c>
      <c r="Y336">
        <v>4.9279420345129665</v>
      </c>
      <c r="Z336">
        <v>47.24864528766399</v>
      </c>
      <c r="AA336">
        <v>5.033353547604609E-2</v>
      </c>
      <c r="AB336">
        <v>62.2</v>
      </c>
      <c r="AC336">
        <v>-1.6504653896281696</v>
      </c>
      <c r="AD336">
        <v>0.66758446883614342</v>
      </c>
      <c r="AE336">
        <v>-0.71913259526765794</v>
      </c>
      <c r="AF336">
        <v>4.7285398003736453E-3</v>
      </c>
      <c r="AG336">
        <v>0.66916843831745221</v>
      </c>
      <c r="AH336">
        <v>-0.72013052462334814</v>
      </c>
      <c r="AI336">
        <v>1.1819085957141031E-4</v>
      </c>
    </row>
    <row r="337" spans="23:35" x14ac:dyDescent="0.25">
      <c r="W337">
        <v>335</v>
      </c>
      <c r="X337">
        <v>43.711471706623989</v>
      </c>
      <c r="Y337">
        <v>8.0885282933760081</v>
      </c>
      <c r="Z337">
        <v>43.624741376725915</v>
      </c>
      <c r="AA337">
        <v>4.4875682231655549E-2</v>
      </c>
      <c r="AB337">
        <v>62.2</v>
      </c>
      <c r="AC337">
        <v>-1.6999255180307868</v>
      </c>
      <c r="AD337">
        <v>1.095746627412026</v>
      </c>
      <c r="AE337">
        <v>-0.71670608631799448</v>
      </c>
      <c r="AF337">
        <v>1.0608879045265324E-2</v>
      </c>
      <c r="AG337">
        <v>1.1016056084790919</v>
      </c>
      <c r="AH337">
        <v>-0.71792324189930268</v>
      </c>
      <c r="AI337">
        <v>7.2290505381947571E-4</v>
      </c>
    </row>
    <row r="338" spans="23:35" x14ac:dyDescent="0.25">
      <c r="W338">
        <v>336</v>
      </c>
      <c r="X338">
        <v>42.305473534707239</v>
      </c>
      <c r="Y338">
        <v>9.2945264652927619</v>
      </c>
      <c r="Z338">
        <v>42.22355397835139</v>
      </c>
      <c r="AA338">
        <v>4.3056397816858702E-2</v>
      </c>
      <c r="AB338">
        <v>62.2</v>
      </c>
      <c r="AC338">
        <v>-1.7262996894247766</v>
      </c>
      <c r="AD338">
        <v>1.2591222603593757</v>
      </c>
      <c r="AE338">
        <v>-0.71427969760112364</v>
      </c>
      <c r="AF338">
        <v>8.7367384365797333E-3</v>
      </c>
      <c r="AG338">
        <v>1.2646588767901221</v>
      </c>
      <c r="AH338">
        <v>-0.7161547623468314</v>
      </c>
      <c r="AI338">
        <v>7.8313135332608384E-4</v>
      </c>
    </row>
    <row r="339" spans="23:35" x14ac:dyDescent="0.25">
      <c r="W339">
        <v>337</v>
      </c>
      <c r="X339">
        <v>44.542245219128972</v>
      </c>
      <c r="Y339">
        <v>6.6577547808710307</v>
      </c>
      <c r="Z339">
        <v>44.50997593099887</v>
      </c>
      <c r="AA339">
        <v>4.0024257125530621E-2</v>
      </c>
      <c r="AB339">
        <v>62.2</v>
      </c>
      <c r="AC339">
        <v>-1.7610542000458449</v>
      </c>
      <c r="AD339">
        <v>0.90192085416206558</v>
      </c>
      <c r="AE339">
        <v>-0.70510715174925875</v>
      </c>
      <c r="AF339">
        <v>4.8234935774930932E-3</v>
      </c>
      <c r="AG339">
        <v>0.90410395971470359</v>
      </c>
      <c r="AH339">
        <v>-0.7097415950824747</v>
      </c>
      <c r="AI339">
        <v>2.2010293170950852E-4</v>
      </c>
    </row>
    <row r="340" spans="23:35" x14ac:dyDescent="0.25">
      <c r="W340">
        <v>338</v>
      </c>
      <c r="X340">
        <v>37.469100219612685</v>
      </c>
      <c r="Y340">
        <v>19.530899780387315</v>
      </c>
      <c r="Z340">
        <v>37.362827691626343</v>
      </c>
      <c r="AA340">
        <v>0.11097634930260764</v>
      </c>
      <c r="AB340">
        <v>62.3</v>
      </c>
      <c r="AC340">
        <v>-1.2294035019788656</v>
      </c>
      <c r="AD340">
        <v>2.6458357798176553</v>
      </c>
      <c r="AE340">
        <v>-0.70470160897030676</v>
      </c>
      <c r="AF340">
        <v>5.411804017272993E-3</v>
      </c>
      <c r="AG340">
        <v>2.6530243426830529</v>
      </c>
      <c r="AH340">
        <v>-0.70916520915742898</v>
      </c>
      <c r="AI340">
        <v>2.1276918236891201E-3</v>
      </c>
    </row>
    <row r="341" spans="23:35" x14ac:dyDescent="0.25">
      <c r="W341">
        <v>339</v>
      </c>
      <c r="X341">
        <v>37.809200739027261</v>
      </c>
      <c r="Y341">
        <v>11.79079926097274</v>
      </c>
      <c r="Z341">
        <v>37.705212510727307</v>
      </c>
      <c r="AA341">
        <v>3.0927835051546393E-2</v>
      </c>
      <c r="AB341">
        <v>62.3</v>
      </c>
      <c r="AC341">
        <v>-1.8805262984826756</v>
      </c>
      <c r="AD341">
        <v>1.5972903915392773</v>
      </c>
      <c r="AE341">
        <v>-0.70150272495812815</v>
      </c>
      <c r="AF341">
        <v>8.7423359512506411E-3</v>
      </c>
      <c r="AG341">
        <v>1.6043185316373507</v>
      </c>
      <c r="AH341">
        <v>-0.70639994328319655</v>
      </c>
      <c r="AI341">
        <v>1.2611002986639987E-3</v>
      </c>
    </row>
    <row r="342" spans="23:35" x14ac:dyDescent="0.25">
      <c r="W342">
        <v>340</v>
      </c>
      <c r="X342">
        <v>84.938381375517196</v>
      </c>
      <c r="Y342">
        <v>-1.9383813755171957</v>
      </c>
      <c r="Z342">
        <v>84.942846296897812</v>
      </c>
      <c r="AA342">
        <v>0.97877501516070342</v>
      </c>
      <c r="AB342">
        <v>62.4</v>
      </c>
      <c r="AC342">
        <v>1.9368862628682144</v>
      </c>
      <c r="AD342">
        <v>-0.26259101505531623</v>
      </c>
      <c r="AE342">
        <v>-0.69928474161877163</v>
      </c>
      <c r="AF342">
        <v>2.2981341281333488E-3</v>
      </c>
      <c r="AG342">
        <v>-0.26289327081012137</v>
      </c>
      <c r="AH342">
        <v>-0.70609827745017506</v>
      </c>
      <c r="AI342">
        <v>8.8442502434598129E-6</v>
      </c>
    </row>
    <row r="343" spans="23:35" x14ac:dyDescent="0.25">
      <c r="W343">
        <v>341</v>
      </c>
      <c r="X343">
        <v>75.609419318485749</v>
      </c>
      <c r="Y343">
        <v>5.3905806815142512</v>
      </c>
      <c r="Z343">
        <v>75.493085547319041</v>
      </c>
      <c r="AA343">
        <v>0.93571861734384476</v>
      </c>
      <c r="AB343">
        <v>62.5</v>
      </c>
      <c r="AC343">
        <v>1.4576525936309466</v>
      </c>
      <c r="AD343">
        <v>0.73025776597689374</v>
      </c>
      <c r="AE343">
        <v>-0.69880009533669951</v>
      </c>
      <c r="AF343">
        <v>2.1125036926998395E-2</v>
      </c>
      <c r="AG343">
        <v>0.73809552781787102</v>
      </c>
      <c r="AH343">
        <v>-0.70538888389822818</v>
      </c>
      <c r="AI343">
        <v>6.5316499095205069E-4</v>
      </c>
    </row>
    <row r="344" spans="23:35" x14ac:dyDescent="0.25">
      <c r="W344">
        <v>342</v>
      </c>
      <c r="X344">
        <v>68.553082985090299</v>
      </c>
      <c r="Y344">
        <v>11.346917014909707</v>
      </c>
      <c r="Z344">
        <v>68.382496885810042</v>
      </c>
      <c r="AA344">
        <v>0.92177077016373554</v>
      </c>
      <c r="AB344">
        <v>62.5</v>
      </c>
      <c r="AC344">
        <v>1.3946242806491955</v>
      </c>
      <c r="AD344">
        <v>1.53715800942349</v>
      </c>
      <c r="AE344">
        <v>-0.69644839421268812</v>
      </c>
      <c r="AF344">
        <v>1.4811031313731007E-2</v>
      </c>
      <c r="AG344">
        <v>1.5486694887973469</v>
      </c>
      <c r="AH344">
        <v>-0.70271670260201968</v>
      </c>
      <c r="AI344">
        <v>2.0031373972186927E-3</v>
      </c>
    </row>
    <row r="345" spans="23:35" x14ac:dyDescent="0.25">
      <c r="W345">
        <v>343</v>
      </c>
      <c r="X345">
        <v>81.208351648319393</v>
      </c>
      <c r="Y345">
        <v>-1.4083516483193961</v>
      </c>
      <c r="Z345">
        <v>81.211725264114264</v>
      </c>
      <c r="AA345">
        <v>0.91813220133414186</v>
      </c>
      <c r="AB345">
        <v>62.5</v>
      </c>
      <c r="AC345">
        <v>1.3748000243745633</v>
      </c>
      <c r="AD345">
        <v>-0.19078830077406367</v>
      </c>
      <c r="AE345">
        <v>-0.69604049268150647</v>
      </c>
      <c r="AF345">
        <v>2.3897112849245979E-3</v>
      </c>
      <c r="AG345">
        <v>-0.19101667464407887</v>
      </c>
      <c r="AH345">
        <v>-0.69843656727517256</v>
      </c>
      <c r="AI345">
        <v>4.8557304509271996E-6</v>
      </c>
    </row>
    <row r="346" spans="23:35" x14ac:dyDescent="0.25">
      <c r="W346">
        <v>344</v>
      </c>
      <c r="X346">
        <v>74.349068420310758</v>
      </c>
      <c r="Y346">
        <v>4.7509315796892366</v>
      </c>
      <c r="Z346">
        <v>74.306635556618787</v>
      </c>
      <c r="AA346">
        <v>0.89326864766525171</v>
      </c>
      <c r="AB346">
        <v>62.6</v>
      </c>
      <c r="AC346">
        <v>1.2294035019788656</v>
      </c>
      <c r="AD346">
        <v>0.64360500040198954</v>
      </c>
      <c r="AE346">
        <v>-0.69487582666411152</v>
      </c>
      <c r="AF346">
        <v>8.8524175854305144E-3</v>
      </c>
      <c r="AG346">
        <v>0.64647278474062686</v>
      </c>
      <c r="AH346">
        <v>-0.69615891613725467</v>
      </c>
      <c r="AI346">
        <v>2.0737268672177639E-4</v>
      </c>
    </row>
    <row r="347" spans="23:35" x14ac:dyDescent="0.25">
      <c r="W347">
        <v>345</v>
      </c>
      <c r="X347">
        <v>80.914135704973802</v>
      </c>
      <c r="Y347">
        <v>-1.6141357049738048</v>
      </c>
      <c r="Z347">
        <v>80.918020294437781</v>
      </c>
      <c r="AA347">
        <v>0.9017586416009703</v>
      </c>
      <c r="AB347">
        <v>62.6</v>
      </c>
      <c r="AC347">
        <v>1.262435852359769</v>
      </c>
      <c r="AD347">
        <v>-0.21866570663526261</v>
      </c>
      <c r="AE347">
        <v>-0.69086472692709266</v>
      </c>
      <c r="AF347">
        <v>2.4008286406156996E-3</v>
      </c>
      <c r="AG347">
        <v>-0.21892866967260738</v>
      </c>
      <c r="AH347">
        <v>-0.69342501677126978</v>
      </c>
      <c r="AI347">
        <v>6.4082265159167239E-6</v>
      </c>
    </row>
    <row r="348" spans="23:35" x14ac:dyDescent="0.25">
      <c r="W348">
        <v>346</v>
      </c>
      <c r="X348">
        <v>80.327215646556965</v>
      </c>
      <c r="Y348">
        <v>-0.7272156465569708</v>
      </c>
      <c r="Z348">
        <v>80.328825155579594</v>
      </c>
      <c r="AA348">
        <v>0.91206791995148573</v>
      </c>
      <c r="AB348">
        <v>62.7</v>
      </c>
      <c r="AC348">
        <v>1.3404190152831756</v>
      </c>
      <c r="AD348">
        <v>-9.8515337180512974E-2</v>
      </c>
      <c r="AE348">
        <v>-0.68892223519995988</v>
      </c>
      <c r="AF348">
        <v>2.2083609632616878E-3</v>
      </c>
      <c r="AG348">
        <v>-9.8624296392169061E-2</v>
      </c>
      <c r="AH348">
        <v>-0.68971677390301189</v>
      </c>
      <c r="AI348">
        <v>1.1959844464893557E-6</v>
      </c>
    </row>
    <row r="349" spans="23:35" x14ac:dyDescent="0.25">
      <c r="W349">
        <v>347</v>
      </c>
      <c r="X349">
        <v>77.70226523940957</v>
      </c>
      <c r="Y349">
        <v>1.1977347605904356</v>
      </c>
      <c r="Z349">
        <v>77.698761075269005</v>
      </c>
      <c r="AA349">
        <v>0.88599151000606424</v>
      </c>
      <c r="AB349">
        <v>62.7</v>
      </c>
      <c r="AC349">
        <v>1.1852957183684145</v>
      </c>
      <c r="AD349">
        <v>0.16225619505168867</v>
      </c>
      <c r="AE349">
        <v>-0.68331961412111586</v>
      </c>
      <c r="AF349">
        <v>2.9171250351807459E-3</v>
      </c>
      <c r="AG349">
        <v>0.16249337489481025</v>
      </c>
      <c r="AH349">
        <v>-0.68418792635157621</v>
      </c>
      <c r="AI349">
        <v>4.2916332337319282E-6</v>
      </c>
    </row>
    <row r="350" spans="23:35" x14ac:dyDescent="0.25">
      <c r="W350">
        <v>348</v>
      </c>
      <c r="X350">
        <v>78.388717096800235</v>
      </c>
      <c r="Y350">
        <v>0.51128290319977054</v>
      </c>
      <c r="Z350">
        <v>78.387885262988604</v>
      </c>
      <c r="AA350">
        <v>0.88599151000606424</v>
      </c>
      <c r="AB350">
        <v>62.7</v>
      </c>
      <c r="AC350">
        <v>1.1852957183684145</v>
      </c>
      <c r="AD350">
        <v>6.9263096636921706E-2</v>
      </c>
      <c r="AE350">
        <v>-0.67700716548649009</v>
      </c>
      <c r="AF350">
        <v>1.6243114120968992E-3</v>
      </c>
      <c r="AG350">
        <v>6.9319417677550579E-2</v>
      </c>
      <c r="AH350">
        <v>-0.6797875231866376</v>
      </c>
      <c r="AI350">
        <v>4.3432277650675811E-7</v>
      </c>
    </row>
    <row r="351" spans="23:35" x14ac:dyDescent="0.25">
      <c r="W351">
        <v>349</v>
      </c>
      <c r="X351">
        <v>75.382131846134911</v>
      </c>
      <c r="Y351">
        <v>0.41786815386508636</v>
      </c>
      <c r="Z351">
        <v>75.37237761720813</v>
      </c>
      <c r="AA351">
        <v>0.79624014554275313</v>
      </c>
      <c r="AB351">
        <v>62.7</v>
      </c>
      <c r="AC351">
        <v>0.81442193874053515</v>
      </c>
      <c r="AD351">
        <v>5.6608273309191569E-2</v>
      </c>
      <c r="AE351">
        <v>-0.67662228661678736</v>
      </c>
      <c r="AF351">
        <v>2.2810379716544073E-2</v>
      </c>
      <c r="AG351">
        <v>5.726516091449195E-2</v>
      </c>
      <c r="AH351">
        <v>-0.67932206919637639</v>
      </c>
      <c r="AI351">
        <v>4.252674424803168E-6</v>
      </c>
    </row>
    <row r="352" spans="23:35" x14ac:dyDescent="0.25">
      <c r="W352">
        <v>350</v>
      </c>
      <c r="X352">
        <v>70.535452511968884</v>
      </c>
      <c r="Y352">
        <v>5.0645474880311099</v>
      </c>
      <c r="Z352">
        <v>70.46073758654029</v>
      </c>
      <c r="AA352">
        <v>0.78835657974530016</v>
      </c>
      <c r="AB352">
        <v>62.8</v>
      </c>
      <c r="AC352">
        <v>0.78719041678006285</v>
      </c>
      <c r="AD352">
        <v>0.68609030321656816</v>
      </c>
      <c r="AE352">
        <v>-0.6756908131617485</v>
      </c>
      <c r="AF352">
        <v>1.4538063912228168E-2</v>
      </c>
      <c r="AG352">
        <v>0.69113256115188149</v>
      </c>
      <c r="AH352">
        <v>-0.6771917122297495</v>
      </c>
      <c r="AI352">
        <v>3.9148661952639261E-4</v>
      </c>
    </row>
    <row r="353" spans="23:35" x14ac:dyDescent="0.25">
      <c r="W353">
        <v>351</v>
      </c>
      <c r="X353">
        <v>67.033325833584499</v>
      </c>
      <c r="Y353">
        <v>8.3666741664155069</v>
      </c>
      <c r="Z353">
        <v>66.881254682130844</v>
      </c>
      <c r="AA353">
        <v>0.77986658580958157</v>
      </c>
      <c r="AB353">
        <v>62.8</v>
      </c>
      <c r="AC353">
        <v>0.74840704313415274</v>
      </c>
      <c r="AD353">
        <v>1.1334268321732799</v>
      </c>
      <c r="AE353">
        <v>-0.6723807962851015</v>
      </c>
      <c r="AF353">
        <v>1.7851355543481356E-2</v>
      </c>
      <c r="AG353">
        <v>1.1436809280623303</v>
      </c>
      <c r="AH353">
        <v>-0.67382361918076172</v>
      </c>
      <c r="AI353">
        <v>1.3207822718840675E-3</v>
      </c>
    </row>
    <row r="354" spans="23:35" x14ac:dyDescent="0.25">
      <c r="W354">
        <v>352</v>
      </c>
      <c r="X354">
        <v>71.401887799710266</v>
      </c>
      <c r="Y354">
        <v>3.7981122002897365</v>
      </c>
      <c r="Z354">
        <v>71.347908274353287</v>
      </c>
      <c r="AA354">
        <v>0.76652516676773808</v>
      </c>
      <c r="AB354">
        <v>62.8</v>
      </c>
      <c r="AC354">
        <v>0.71660092108895201</v>
      </c>
      <c r="AD354">
        <v>0.51452730126544433</v>
      </c>
      <c r="AE354">
        <v>-0.66697719191984595</v>
      </c>
      <c r="AF354">
        <v>1.4013042575698279E-2</v>
      </c>
      <c r="AG354">
        <v>0.51817068394307619</v>
      </c>
      <c r="AH354">
        <v>-0.67353902176244251</v>
      </c>
      <c r="AI354">
        <v>2.1199930813841069E-4</v>
      </c>
    </row>
    <row r="355" spans="23:35" x14ac:dyDescent="0.25">
      <c r="W355">
        <v>353</v>
      </c>
      <c r="X355">
        <v>72.806037836560932</v>
      </c>
      <c r="Y355">
        <v>2.1939621634390676</v>
      </c>
      <c r="Z355">
        <v>72.765769053342737</v>
      </c>
      <c r="AA355">
        <v>0.76046088538508183</v>
      </c>
      <c r="AB355">
        <v>62.8</v>
      </c>
      <c r="AC355">
        <v>0.67020216077934069</v>
      </c>
      <c r="AD355">
        <v>0.29721434531257013</v>
      </c>
      <c r="AE355">
        <v>-0.66610194312430659</v>
      </c>
      <c r="AF355">
        <v>1.8023554493523861E-2</v>
      </c>
      <c r="AG355">
        <v>0.29992953342171091</v>
      </c>
      <c r="AH355">
        <v>-0.66729627002787129</v>
      </c>
      <c r="AI355">
        <v>9.1728719744805286E-5</v>
      </c>
    </row>
    <row r="356" spans="23:35" x14ac:dyDescent="0.25">
      <c r="W356">
        <v>354</v>
      </c>
      <c r="X356">
        <v>73.646947413589686</v>
      </c>
      <c r="Y356">
        <v>1.2530525864103197</v>
      </c>
      <c r="Z356">
        <v>73.614432511230106</v>
      </c>
      <c r="AA356">
        <v>0.74833232261976956</v>
      </c>
      <c r="AB356">
        <v>62.8</v>
      </c>
      <c r="AC356">
        <v>0.64941472986293525</v>
      </c>
      <c r="AD356">
        <v>0.16975005782614952</v>
      </c>
      <c r="AE356">
        <v>-0.66223183709170907</v>
      </c>
      <c r="AF356">
        <v>2.529225625539968E-2</v>
      </c>
      <c r="AG356">
        <v>0.17193833731542507</v>
      </c>
      <c r="AH356">
        <v>-0.666659869131077</v>
      </c>
      <c r="AI356">
        <v>4.2617316239456187E-5</v>
      </c>
    </row>
    <row r="357" spans="23:35" x14ac:dyDescent="0.25">
      <c r="W357">
        <v>355</v>
      </c>
      <c r="X357">
        <v>77.600029478684505</v>
      </c>
      <c r="Y357">
        <v>-3.1000294786845046</v>
      </c>
      <c r="Z357">
        <v>78.035760586068875</v>
      </c>
      <c r="AA357">
        <v>0.72407519708914492</v>
      </c>
      <c r="AB357">
        <v>62.9</v>
      </c>
      <c r="AC357">
        <v>0.56531175535073552</v>
      </c>
      <c r="AD357">
        <v>-0.41995857873529463</v>
      </c>
      <c r="AE357">
        <v>-0.66096363519132695</v>
      </c>
      <c r="AF357">
        <v>0.12323546710181189</v>
      </c>
      <c r="AG357">
        <v>-0.44850260577844386</v>
      </c>
      <c r="AH357">
        <v>-0.66356097388542978</v>
      </c>
      <c r="AI357">
        <v>1.5707612481605819E-3</v>
      </c>
    </row>
    <row r="358" spans="23:35" x14ac:dyDescent="0.25">
      <c r="W358">
        <v>356</v>
      </c>
      <c r="X358">
        <v>74.246555252041347</v>
      </c>
      <c r="Y358">
        <v>0.15344474795865892</v>
      </c>
      <c r="Z358">
        <v>74.232447612598889</v>
      </c>
      <c r="AA358">
        <v>0.71376591873862949</v>
      </c>
      <c r="AB358">
        <v>62.9</v>
      </c>
      <c r="AC358">
        <v>0.54051528578164909</v>
      </c>
      <c r="AD358">
        <v>2.0787040481453474E-2</v>
      </c>
      <c r="AE358">
        <v>-0.66006107764760602</v>
      </c>
      <c r="AF358">
        <v>8.4198379153386613E-2</v>
      </c>
      <c r="AG358">
        <v>2.1721607298897772E-2</v>
      </c>
      <c r="AH358">
        <v>-0.66296201218532358</v>
      </c>
      <c r="AI358">
        <v>2.4099816407120109E-6</v>
      </c>
    </row>
    <row r="359" spans="23:35" x14ac:dyDescent="0.25">
      <c r="W359">
        <v>357</v>
      </c>
      <c r="X359">
        <v>72.963897662248144</v>
      </c>
      <c r="Y359">
        <v>1.2361023377518592</v>
      </c>
      <c r="Z359">
        <v>72.869508597652825</v>
      </c>
      <c r="AA359">
        <v>0.7010309278350515</v>
      </c>
      <c r="AB359">
        <v>62.9</v>
      </c>
      <c r="AC359">
        <v>0.5039283835636299</v>
      </c>
      <c r="AD359">
        <v>0.16745382084364263</v>
      </c>
      <c r="AE359">
        <v>-0.65960052721205409</v>
      </c>
      <c r="AF359">
        <v>7.0943009799842749E-2</v>
      </c>
      <c r="AG359">
        <v>0.17372962561972152</v>
      </c>
      <c r="AH359">
        <v>-0.66231039754366972</v>
      </c>
      <c r="AI359">
        <v>1.2803907172180212E-4</v>
      </c>
    </row>
    <row r="360" spans="23:35" x14ac:dyDescent="0.25">
      <c r="W360">
        <v>358</v>
      </c>
      <c r="X360">
        <v>72.725380502250317</v>
      </c>
      <c r="Y360">
        <v>1.1746194977496884</v>
      </c>
      <c r="Z360">
        <v>72.582940157026314</v>
      </c>
      <c r="AA360">
        <v>0.67919951485748942</v>
      </c>
      <c r="AB360">
        <v>62.9</v>
      </c>
      <c r="AC360">
        <v>0.43434378704136062</v>
      </c>
      <c r="AD360">
        <v>0.15912478840009378</v>
      </c>
      <c r="AE360">
        <v>-0.65941616200032305</v>
      </c>
      <c r="AF360">
        <v>0.10815024539993418</v>
      </c>
      <c r="AG360">
        <v>0.1684969292638874</v>
      </c>
      <c r="AH360">
        <v>-0.66137162042440278</v>
      </c>
      <c r="AI360">
        <v>1.9127018948523453E-4</v>
      </c>
    </row>
    <row r="361" spans="23:35" x14ac:dyDescent="0.25">
      <c r="W361">
        <v>359</v>
      </c>
      <c r="X361">
        <v>66.572490690315959</v>
      </c>
      <c r="Y361">
        <v>6.9275093096840408</v>
      </c>
      <c r="Z361">
        <v>66.263319666743612</v>
      </c>
      <c r="AA361">
        <v>0.64463311097634934</v>
      </c>
      <c r="AB361">
        <v>63</v>
      </c>
      <c r="AC361">
        <v>0.35220887014201224</v>
      </c>
      <c r="AD361">
        <v>0.93846429005732468</v>
      </c>
      <c r="AE361">
        <v>-0.65918828114216199</v>
      </c>
      <c r="AF361">
        <v>4.2722769189008539E-2</v>
      </c>
      <c r="AG361">
        <v>0.95917728893253018</v>
      </c>
      <c r="AH361">
        <v>-0.66123355902737335</v>
      </c>
      <c r="AI361">
        <v>2.2811137107331008E-3</v>
      </c>
    </row>
    <row r="362" spans="23:35" x14ac:dyDescent="0.25">
      <c r="W362">
        <v>360</v>
      </c>
      <c r="X362">
        <v>65.69237656212627</v>
      </c>
      <c r="Y362">
        <v>7.407623437873724</v>
      </c>
      <c r="Z362">
        <v>65.341407288108329</v>
      </c>
      <c r="AA362">
        <v>0.61491813220133418</v>
      </c>
      <c r="AB362">
        <v>63</v>
      </c>
      <c r="AC362">
        <v>0.27870266916975811</v>
      </c>
      <c r="AD362">
        <v>1.003504977022287</v>
      </c>
      <c r="AE362">
        <v>-0.65851937041086517</v>
      </c>
      <c r="AF362">
        <v>4.5236202885093953E-2</v>
      </c>
      <c r="AG362">
        <v>1.0270026383023028</v>
      </c>
      <c r="AH362">
        <v>-0.65961812476690318</v>
      </c>
      <c r="AI362">
        <v>2.7762643328099542E-3</v>
      </c>
    </row>
    <row r="363" spans="23:35" x14ac:dyDescent="0.25">
      <c r="W363">
        <v>361</v>
      </c>
      <c r="X363">
        <v>63.150352521385074</v>
      </c>
      <c r="Y363">
        <v>9.5496474786149292</v>
      </c>
      <c r="Z363">
        <v>62.72724312014703</v>
      </c>
      <c r="AA363">
        <v>0.57246816252274102</v>
      </c>
      <c r="AB363">
        <v>63</v>
      </c>
      <c r="AC363">
        <v>0.16337348484333708</v>
      </c>
      <c r="AD363">
        <v>1.293683305309745</v>
      </c>
      <c r="AE363">
        <v>-0.65782618741432819</v>
      </c>
      <c r="AF363">
        <v>4.2426523210729504E-2</v>
      </c>
      <c r="AG363">
        <v>1.3220318542078131</v>
      </c>
      <c r="AH363">
        <v>-0.65902238983446049</v>
      </c>
      <c r="AI363">
        <v>4.3020620407481077E-3</v>
      </c>
    </row>
    <row r="364" spans="23:35" x14ac:dyDescent="0.25">
      <c r="W364">
        <v>362</v>
      </c>
      <c r="X364">
        <v>65.896596087366632</v>
      </c>
      <c r="Y364">
        <v>6.303403912633371</v>
      </c>
      <c r="Z364">
        <v>65.486888655628206</v>
      </c>
      <c r="AA364">
        <v>0.53911461491813217</v>
      </c>
      <c r="AB364">
        <v>63</v>
      </c>
      <c r="AC364">
        <v>7.9127168877726875E-2</v>
      </c>
      <c r="AD364">
        <v>0.85391721806056187</v>
      </c>
      <c r="AE364">
        <v>-0.65694039498217538</v>
      </c>
      <c r="AF364">
        <v>6.1030930476360407E-2</v>
      </c>
      <c r="AG364">
        <v>0.88123173246617803</v>
      </c>
      <c r="AH364">
        <v>-0.65886528896073504</v>
      </c>
      <c r="AI364">
        <v>2.8041836605317812E-3</v>
      </c>
    </row>
    <row r="365" spans="23:35" x14ac:dyDescent="0.25">
      <c r="W365">
        <v>363</v>
      </c>
      <c r="X365">
        <v>62.594792821528571</v>
      </c>
      <c r="Y365">
        <v>9.1052071784714315</v>
      </c>
      <c r="Z365">
        <v>62.094463580030151</v>
      </c>
      <c r="AA365">
        <v>0.50394178289872649</v>
      </c>
      <c r="AB365">
        <v>63</v>
      </c>
      <c r="AC365">
        <v>-4.5602855597810616E-3</v>
      </c>
      <c r="AD365">
        <v>1.2334753240423688</v>
      </c>
      <c r="AE365">
        <v>-0.65449310150355278</v>
      </c>
      <c r="AF365">
        <v>5.2087589867260357E-2</v>
      </c>
      <c r="AG365">
        <v>1.2669117417047535</v>
      </c>
      <c r="AH365">
        <v>-0.65629336643413494</v>
      </c>
      <c r="AI365">
        <v>4.8998893283960796E-3</v>
      </c>
    </row>
    <row r="366" spans="23:35" x14ac:dyDescent="0.25">
      <c r="W366">
        <v>364</v>
      </c>
      <c r="X366">
        <v>63.807049851454451</v>
      </c>
      <c r="Y366">
        <v>10.792950148545543</v>
      </c>
      <c r="Z366">
        <v>63.659929307321136</v>
      </c>
      <c r="AA366">
        <v>0.73013947847180105</v>
      </c>
      <c r="AB366">
        <v>63</v>
      </c>
      <c r="AC366">
        <v>0.59589828697336056</v>
      </c>
      <c r="AD366">
        <v>1.4621125495450049</v>
      </c>
      <c r="AE366">
        <v>-0.65324442779010106</v>
      </c>
      <c r="AF366">
        <v>1.3447860463257376E-2</v>
      </c>
      <c r="AG366">
        <v>1.4720439726269581</v>
      </c>
      <c r="AH366">
        <v>-0.65426738210599278</v>
      </c>
      <c r="AI366">
        <v>1.6409759382388809E-3</v>
      </c>
    </row>
    <row r="367" spans="23:35" x14ac:dyDescent="0.25">
      <c r="W367">
        <v>365</v>
      </c>
      <c r="X367">
        <v>75.471236663749636</v>
      </c>
      <c r="Y367">
        <v>-1.0712366637496302</v>
      </c>
      <c r="Z367">
        <v>75.47344530493524</v>
      </c>
      <c r="AA367">
        <v>0.71376591873862949</v>
      </c>
      <c r="AB367">
        <v>63</v>
      </c>
      <c r="AC367">
        <v>0.54051528578164909</v>
      </c>
      <c r="AD367">
        <v>-0.14511959640730179</v>
      </c>
      <c r="AE367">
        <v>-0.65306966462974592</v>
      </c>
      <c r="AF367">
        <v>2.0575255911480447E-3</v>
      </c>
      <c r="AG367">
        <v>-0.14526912082633647</v>
      </c>
      <c r="AH367">
        <v>-0.65398957780268219</v>
      </c>
      <c r="AI367">
        <v>2.417207034142519E-6</v>
      </c>
    </row>
    <row r="368" spans="23:35" x14ac:dyDescent="0.25">
      <c r="W368">
        <v>366</v>
      </c>
      <c r="X368">
        <v>75.377751430217884</v>
      </c>
      <c r="Y368">
        <v>-1.0777514302178872</v>
      </c>
      <c r="Z368">
        <v>75.38019385855408</v>
      </c>
      <c r="AA368">
        <v>0.7052759248029109</v>
      </c>
      <c r="AB368">
        <v>63</v>
      </c>
      <c r="AC368">
        <v>0.52824151828033117</v>
      </c>
      <c r="AD368">
        <v>-0.14600214674613357</v>
      </c>
      <c r="AE368">
        <v>-0.6521324200382379</v>
      </c>
      <c r="AF368">
        <v>2.2611018539403418E-3</v>
      </c>
      <c r="AG368">
        <v>-0.14616749005491658</v>
      </c>
      <c r="AH368">
        <v>-0.65370253582206517</v>
      </c>
      <c r="AI368">
        <v>2.6898762215901392E-6</v>
      </c>
    </row>
    <row r="369" spans="23:35" x14ac:dyDescent="0.25">
      <c r="W369">
        <v>367</v>
      </c>
      <c r="X369">
        <v>72.635970533865191</v>
      </c>
      <c r="Y369">
        <v>1.5640294661348122</v>
      </c>
      <c r="Z369">
        <v>72.631754899348152</v>
      </c>
      <c r="AA369">
        <v>0.7010309278350515</v>
      </c>
      <c r="AB369">
        <v>63.1</v>
      </c>
      <c r="AC369">
        <v>0.5039283835636299</v>
      </c>
      <c r="AD369">
        <v>0.21187785348958091</v>
      </c>
      <c r="AE369">
        <v>-0.64717117375248678</v>
      </c>
      <c r="AF369">
        <v>2.688122229925545E-3</v>
      </c>
      <c r="AG369">
        <v>0.21216320569883654</v>
      </c>
      <c r="AH369">
        <v>-0.65056923041151693</v>
      </c>
      <c r="AI369">
        <v>6.740399743640242E-6</v>
      </c>
    </row>
    <row r="370" spans="23:35" x14ac:dyDescent="0.25">
      <c r="W370">
        <v>368</v>
      </c>
      <c r="X370">
        <v>72.151492294263107</v>
      </c>
      <c r="Y370">
        <v>1.4485077057368869</v>
      </c>
      <c r="Z370">
        <v>72.148011383347807</v>
      </c>
      <c r="AA370">
        <v>0.65433596118859916</v>
      </c>
      <c r="AB370">
        <v>63.2</v>
      </c>
      <c r="AC370">
        <v>0.3716850598056044</v>
      </c>
      <c r="AD370">
        <v>0.19622821059318532</v>
      </c>
      <c r="AE370">
        <v>-0.64683945093546014</v>
      </c>
      <c r="AF370">
        <v>2.3973403616092451E-3</v>
      </c>
      <c r="AG370">
        <v>0.19646384725856536</v>
      </c>
      <c r="AH370">
        <v>-0.64875370038388136</v>
      </c>
      <c r="AI370">
        <v>5.1530562426836735E-6</v>
      </c>
    </row>
    <row r="371" spans="23:35" x14ac:dyDescent="0.25">
      <c r="W371">
        <v>369</v>
      </c>
      <c r="X371">
        <v>71.448630013487488</v>
      </c>
      <c r="Y371">
        <v>2.1513699865125062</v>
      </c>
      <c r="Z371">
        <v>71.442637985187929</v>
      </c>
      <c r="AA371">
        <v>0.65433596118859916</v>
      </c>
      <c r="AB371">
        <v>63.2</v>
      </c>
      <c r="AC371">
        <v>0.3716850598056044</v>
      </c>
      <c r="AD371">
        <v>0.29144441628114964</v>
      </c>
      <c r="AE371">
        <v>-0.64342600253014803</v>
      </c>
      <c r="AF371">
        <v>2.7774792818365444E-3</v>
      </c>
      <c r="AG371">
        <v>0.29185000176995757</v>
      </c>
      <c r="AH371">
        <v>-0.64444582818300544</v>
      </c>
      <c r="AI371">
        <v>1.3179703668557234E-5</v>
      </c>
    </row>
    <row r="372" spans="23:35" x14ac:dyDescent="0.25">
      <c r="W372">
        <v>370</v>
      </c>
      <c r="X372">
        <v>72.251568988323783</v>
      </c>
      <c r="Y372">
        <v>1.2484310116762174</v>
      </c>
      <c r="Z372">
        <v>72.249370104802352</v>
      </c>
      <c r="AA372">
        <v>0.64463311097634934</v>
      </c>
      <c r="AB372">
        <v>63.2</v>
      </c>
      <c r="AC372">
        <v>0.35220887014201224</v>
      </c>
      <c r="AD372">
        <v>0.16912397669685778</v>
      </c>
      <c r="AE372">
        <v>-0.64264103695302388</v>
      </c>
      <c r="AF372">
        <v>1.7582208212656015E-3</v>
      </c>
      <c r="AG372">
        <v>0.16927285169058418</v>
      </c>
      <c r="AH372">
        <v>-0.64379708566559068</v>
      </c>
      <c r="AI372">
        <v>2.8037532675512361E-6</v>
      </c>
    </row>
    <row r="373" spans="23:35" x14ac:dyDescent="0.25">
      <c r="W373">
        <v>371</v>
      </c>
      <c r="X373">
        <v>70.417817920189634</v>
      </c>
      <c r="Y373">
        <v>3.0821820798103658</v>
      </c>
      <c r="Z373">
        <v>70.411843265755266</v>
      </c>
      <c r="AA373">
        <v>0.64463311097634934</v>
      </c>
      <c r="AB373">
        <v>63.3</v>
      </c>
      <c r="AC373">
        <v>0.35220887014201224</v>
      </c>
      <c r="AD373">
        <v>0.41754080551189748</v>
      </c>
      <c r="AE373">
        <v>-0.63640515399883379</v>
      </c>
      <c r="AF373">
        <v>1.9346992230382114E-3</v>
      </c>
      <c r="AG373">
        <v>0.4179453004746902</v>
      </c>
      <c r="AH373">
        <v>-0.63803039578795717</v>
      </c>
      <c r="AI373">
        <v>1.8811390012468061E-5</v>
      </c>
    </row>
    <row r="374" spans="23:35" x14ac:dyDescent="0.25">
      <c r="W374">
        <v>372</v>
      </c>
      <c r="X374">
        <v>69.134140824526071</v>
      </c>
      <c r="Y374">
        <v>3.9658591754739234</v>
      </c>
      <c r="Z374">
        <v>69.125339720911157</v>
      </c>
      <c r="AA374">
        <v>0.61491813220133418</v>
      </c>
      <c r="AB374">
        <v>63.3</v>
      </c>
      <c r="AC374">
        <v>0.27870266916975811</v>
      </c>
      <c r="AD374">
        <v>0.53725185332853953</v>
      </c>
      <c r="AE374">
        <v>-0.6324253953838086</v>
      </c>
      <c r="AF374">
        <v>2.2143033610238314E-3</v>
      </c>
      <c r="AG374">
        <v>0.53784766227991887</v>
      </c>
      <c r="AH374">
        <v>-0.63387347887354517</v>
      </c>
      <c r="AI374">
        <v>3.5665302411396155E-5</v>
      </c>
    </row>
    <row r="375" spans="23:35" x14ac:dyDescent="0.25">
      <c r="W375">
        <v>373</v>
      </c>
      <c r="X375">
        <v>63.032195848837723</v>
      </c>
      <c r="Y375">
        <v>10.067804151162271</v>
      </c>
      <c r="Z375">
        <v>62.978250891433568</v>
      </c>
      <c r="AA375">
        <v>0.61491813220133418</v>
      </c>
      <c r="AB375">
        <v>63.3</v>
      </c>
      <c r="AC375">
        <v>0.27870266916975811</v>
      </c>
      <c r="AD375">
        <v>1.3638775861259169</v>
      </c>
      <c r="AE375">
        <v>-0.63061977030510286</v>
      </c>
      <c r="AF375">
        <v>5.3296082352508253E-3</v>
      </c>
      <c r="AG375">
        <v>1.3675266452705916</v>
      </c>
      <c r="AH375">
        <v>-0.63141969426300404</v>
      </c>
      <c r="AI375">
        <v>5.5669226213034306E-4</v>
      </c>
    </row>
    <row r="376" spans="23:35" x14ac:dyDescent="0.25">
      <c r="W376">
        <v>374</v>
      </c>
      <c r="X376">
        <v>67.221295208396356</v>
      </c>
      <c r="Y376">
        <v>5.5787047916036414</v>
      </c>
      <c r="Z376">
        <v>67.210245643255618</v>
      </c>
      <c r="AA376">
        <v>0.58156458459672533</v>
      </c>
      <c r="AB376">
        <v>63.3</v>
      </c>
      <c r="AC376">
        <v>0.18343432307636306</v>
      </c>
      <c r="AD376">
        <v>0.7557427926329976</v>
      </c>
      <c r="AE376">
        <v>-0.62450213139062805</v>
      </c>
      <c r="AF376">
        <v>1.9767532588273653E-3</v>
      </c>
      <c r="AG376">
        <v>0.75649086038899027</v>
      </c>
      <c r="AH376">
        <v>-0.62701613498459208</v>
      </c>
      <c r="AI376">
        <v>6.2971881836672386E-5</v>
      </c>
    </row>
    <row r="377" spans="23:35" x14ac:dyDescent="0.25">
      <c r="W377">
        <v>375</v>
      </c>
      <c r="X377">
        <v>67.476984874976026</v>
      </c>
      <c r="Y377">
        <v>4.92301512502398</v>
      </c>
      <c r="Z377">
        <v>67.464296440712673</v>
      </c>
      <c r="AA377">
        <v>0.55124317768344455</v>
      </c>
      <c r="AB377">
        <v>63.3</v>
      </c>
      <c r="AC377">
        <v>0.11578501997911882</v>
      </c>
      <c r="AD377">
        <v>0.66691702424544552</v>
      </c>
      <c r="AE377">
        <v>-0.62351313041514678</v>
      </c>
      <c r="AF377">
        <v>2.5707448008036849E-3</v>
      </c>
      <c r="AG377">
        <v>0.66777591733319219</v>
      </c>
      <c r="AH377">
        <v>-0.62475284308304979</v>
      </c>
      <c r="AI377">
        <v>6.3850729585903553E-5</v>
      </c>
    </row>
    <row r="378" spans="23:35" x14ac:dyDescent="0.25">
      <c r="W378">
        <v>376</v>
      </c>
      <c r="X378">
        <v>66.762049222649026</v>
      </c>
      <c r="Y378">
        <v>5.0379507773509715</v>
      </c>
      <c r="Z378">
        <v>66.754243083857077</v>
      </c>
      <c r="AA378">
        <v>0.51061249241964823</v>
      </c>
      <c r="AB378">
        <v>63.4</v>
      </c>
      <c r="AC378">
        <v>1.0640830227304372E-2</v>
      </c>
      <c r="AD378">
        <v>0.6824872675380157</v>
      </c>
      <c r="AE378">
        <v>-0.62186634335347046</v>
      </c>
      <c r="AF378">
        <v>1.5470699285924385E-3</v>
      </c>
      <c r="AG378">
        <v>0.68301580864881251</v>
      </c>
      <c r="AH378">
        <v>-0.62308015101693937</v>
      </c>
      <c r="AI378">
        <v>4.0157933391375348E-5</v>
      </c>
    </row>
    <row r="379" spans="23:35" x14ac:dyDescent="0.25">
      <c r="W379">
        <v>377</v>
      </c>
      <c r="X379">
        <v>60.003112534185703</v>
      </c>
      <c r="Y379">
        <v>11.496887465814297</v>
      </c>
      <c r="Z379">
        <v>59.837846188186958</v>
      </c>
      <c r="AA379">
        <v>0.49120679199514855</v>
      </c>
      <c r="AB379">
        <v>63.4</v>
      </c>
      <c r="AC379">
        <v>-2.7365033500434788E-2</v>
      </c>
      <c r="AD379">
        <v>1.5574743895893035</v>
      </c>
      <c r="AE379">
        <v>-0.62127182653467883</v>
      </c>
      <c r="AF379">
        <v>1.4171168436428816E-2</v>
      </c>
      <c r="AG379">
        <v>1.5686286987426001</v>
      </c>
      <c r="AH379">
        <v>-0.62197996654555865</v>
      </c>
      <c r="AI379">
        <v>1.9650425203365141E-3</v>
      </c>
    </row>
    <row r="380" spans="23:35" x14ac:dyDescent="0.25">
      <c r="W380">
        <v>378</v>
      </c>
      <c r="X380">
        <v>66.382870322669817</v>
      </c>
      <c r="Y380">
        <v>5.017129677330189</v>
      </c>
      <c r="Z380">
        <v>66.375190817453998</v>
      </c>
      <c r="AA380">
        <v>0.4887810794420861</v>
      </c>
      <c r="AB380">
        <v>63.4</v>
      </c>
      <c r="AC380">
        <v>-4.7140240828996732E-2</v>
      </c>
      <c r="AD380">
        <v>0.67966664933662246</v>
      </c>
      <c r="AE380">
        <v>-0.62079890922971293</v>
      </c>
      <c r="AF380">
        <v>1.5283177802036647E-3</v>
      </c>
      <c r="AG380">
        <v>0.68018661873384056</v>
      </c>
      <c r="AH380">
        <v>-0.62151558033276222</v>
      </c>
      <c r="AI380">
        <v>3.9342465795754802E-5</v>
      </c>
    </row>
    <row r="381" spans="23:35" x14ac:dyDescent="0.25">
      <c r="W381">
        <v>379</v>
      </c>
      <c r="X381">
        <v>66.075352820152574</v>
      </c>
      <c r="Y381">
        <v>-2.8753528201525711</v>
      </c>
      <c r="Z381">
        <v>66.086334098829383</v>
      </c>
      <c r="AA381">
        <v>0.22437841115827775</v>
      </c>
      <c r="AB381">
        <v>63.5</v>
      </c>
      <c r="AC381">
        <v>-0.7625619542054235</v>
      </c>
      <c r="AD381">
        <v>-0.38952180681398202</v>
      </c>
      <c r="AE381">
        <v>-0.61625318398817841</v>
      </c>
      <c r="AF381">
        <v>3.8045764283723164E-3</v>
      </c>
      <c r="AG381">
        <v>-0.39026491062623814</v>
      </c>
      <c r="AH381">
        <v>-0.61814582703480359</v>
      </c>
      <c r="AI381">
        <v>3.2315306189789104E-5</v>
      </c>
    </row>
    <row r="382" spans="23:35" x14ac:dyDescent="0.25">
      <c r="W382">
        <v>380</v>
      </c>
      <c r="X382">
        <v>67.482582703139229</v>
      </c>
      <c r="Y382">
        <v>-4.5825827031392308</v>
      </c>
      <c r="Z382">
        <v>67.493169385073884</v>
      </c>
      <c r="AA382">
        <v>0.21710127349909036</v>
      </c>
      <c r="AB382">
        <v>63.5</v>
      </c>
      <c r="AC382">
        <v>-0.78926429572475043</v>
      </c>
      <c r="AD382">
        <v>-0.62079890922971293</v>
      </c>
      <c r="AE382">
        <v>-0.6131893224069318</v>
      </c>
      <c r="AF382">
        <v>2.3048751411309304E-3</v>
      </c>
      <c r="AG382">
        <v>-0.62151558033276222</v>
      </c>
      <c r="AH382">
        <v>-0.61638381841314482</v>
      </c>
      <c r="AI382">
        <v>4.9577096549007636E-5</v>
      </c>
    </row>
    <row r="383" spans="23:35" x14ac:dyDescent="0.25">
      <c r="W383">
        <v>381</v>
      </c>
      <c r="X383">
        <v>67.544094952216653</v>
      </c>
      <c r="Y383">
        <v>-5.0440949522166534</v>
      </c>
      <c r="Z383">
        <v>67.556922425753186</v>
      </c>
      <c r="AA383">
        <v>0.20800485142510614</v>
      </c>
      <c r="AB383">
        <v>63.5</v>
      </c>
      <c r="AC383">
        <v>-0.81866501502518862</v>
      </c>
      <c r="AD383">
        <v>-0.68331961412111586</v>
      </c>
      <c r="AE383">
        <v>-0.60728926678103634</v>
      </c>
      <c r="AF383">
        <v>2.5366166329165874E-3</v>
      </c>
      <c r="AG383">
        <v>-0.68418792635157621</v>
      </c>
      <c r="AH383">
        <v>-0.60821791508084122</v>
      </c>
      <c r="AI383">
        <v>6.6135734484073458E-5</v>
      </c>
    </row>
    <row r="384" spans="23:35" x14ac:dyDescent="0.25">
      <c r="W384">
        <v>382</v>
      </c>
      <c r="X384">
        <v>66.066257301915542</v>
      </c>
      <c r="Y384">
        <v>-3.8662573019155388</v>
      </c>
      <c r="Z384">
        <v>66.075092103788521</v>
      </c>
      <c r="AA384">
        <v>0.20436628259551243</v>
      </c>
      <c r="AB384">
        <v>63.5</v>
      </c>
      <c r="AC384">
        <v>-0.8357870519497973</v>
      </c>
      <c r="AD384">
        <v>-0.5237588651016335</v>
      </c>
      <c r="AE384">
        <v>-0.60363694302165583</v>
      </c>
      <c r="AF384">
        <v>2.2798946802681979E-3</v>
      </c>
      <c r="AG384">
        <v>-0.52435694549152245</v>
      </c>
      <c r="AH384">
        <v>-0.60614934744594118</v>
      </c>
      <c r="AI384">
        <v>3.4904997086520659E-5</v>
      </c>
    </row>
    <row r="385" spans="23:35" x14ac:dyDescent="0.25">
      <c r="W385">
        <v>383</v>
      </c>
      <c r="X385">
        <v>64.546773161258031</v>
      </c>
      <c r="Y385">
        <v>-2.7467731612580337</v>
      </c>
      <c r="Z385">
        <v>64.553320971089732</v>
      </c>
      <c r="AA385">
        <v>0.19345057610673136</v>
      </c>
      <c r="AB385">
        <v>63.5</v>
      </c>
      <c r="AC385">
        <v>-0.873012700415573</v>
      </c>
      <c r="AD385">
        <v>-0.37210322057959144</v>
      </c>
      <c r="AE385">
        <v>-0.59475346906799598</v>
      </c>
      <c r="AF385">
        <v>2.3781498417582087E-3</v>
      </c>
      <c r="AG385">
        <v>-0.37254646992905277</v>
      </c>
      <c r="AH385">
        <v>-0.59569296481516887</v>
      </c>
      <c r="AI385">
        <v>1.8380683736481194E-5</v>
      </c>
    </row>
    <row r="386" spans="23:35" x14ac:dyDescent="0.25">
      <c r="W386">
        <v>384</v>
      </c>
      <c r="X386">
        <v>63.304523562682107</v>
      </c>
      <c r="Y386">
        <v>-2.0045235626821096</v>
      </c>
      <c r="Z386">
        <v>63.30971126249996</v>
      </c>
      <c r="AA386">
        <v>0.18253486961795026</v>
      </c>
      <c r="AB386">
        <v>63.7</v>
      </c>
      <c r="AC386">
        <v>-0.91148934236618206</v>
      </c>
      <c r="AD386">
        <v>-0.27155124562964239</v>
      </c>
      <c r="AE386">
        <v>-0.59377229049601221</v>
      </c>
      <c r="AF386">
        <v>2.5813159903376407E-3</v>
      </c>
      <c r="AG386">
        <v>-0.27190240540309546</v>
      </c>
      <c r="AH386">
        <v>-0.59546179667289789</v>
      </c>
      <c r="AI386">
        <v>1.0629608432602406E-5</v>
      </c>
    </row>
    <row r="387" spans="23:35" x14ac:dyDescent="0.25">
      <c r="W387">
        <v>385</v>
      </c>
      <c r="X387">
        <v>61.851897097314691</v>
      </c>
      <c r="Y387">
        <v>-0.85189709731469065</v>
      </c>
      <c r="Z387">
        <v>61.855281501535288</v>
      </c>
      <c r="AA387">
        <v>0.17647058823529413</v>
      </c>
      <c r="AB387">
        <v>63.7</v>
      </c>
      <c r="AC387">
        <v>-0.93241539434320697</v>
      </c>
      <c r="AD387">
        <v>-0.11540583619508558</v>
      </c>
      <c r="AE387">
        <v>-0.58802325210901685</v>
      </c>
      <c r="AF387">
        <v>3.9570646793126701E-3</v>
      </c>
      <c r="AG387">
        <v>-0.11563485026637063</v>
      </c>
      <c r="AH387">
        <v>-0.59042856183200254</v>
      </c>
      <c r="AI387">
        <v>2.9512096964864686E-6</v>
      </c>
    </row>
    <row r="388" spans="23:35" x14ac:dyDescent="0.25">
      <c r="W388">
        <v>386</v>
      </c>
      <c r="X388">
        <v>60.221935460241767</v>
      </c>
      <c r="Y388">
        <v>5.7780645397582333</v>
      </c>
      <c r="Z388">
        <v>60.199422805691121</v>
      </c>
      <c r="AA388">
        <v>0.31109763493026077</v>
      </c>
      <c r="AB388">
        <v>63.7</v>
      </c>
      <c r="AC388">
        <v>-0.50738317096904828</v>
      </c>
      <c r="AD388">
        <v>0.78274990242588793</v>
      </c>
      <c r="AE388">
        <v>-0.58398831011790497</v>
      </c>
      <c r="AF388">
        <v>3.8811059307569135E-3</v>
      </c>
      <c r="AG388">
        <v>0.78427330587478794</v>
      </c>
      <c r="AH388">
        <v>-0.59036011358463603</v>
      </c>
      <c r="AI388">
        <v>1.3313942599538345E-4</v>
      </c>
    </row>
    <row r="389" spans="23:35" x14ac:dyDescent="0.25">
      <c r="W389">
        <v>387</v>
      </c>
      <c r="X389">
        <v>60.344036076719803</v>
      </c>
      <c r="Y389">
        <v>2.655963923280197</v>
      </c>
      <c r="Z389">
        <v>60.337688942440252</v>
      </c>
      <c r="AA389">
        <v>0.22195269860521527</v>
      </c>
      <c r="AB389">
        <v>63.8</v>
      </c>
      <c r="AC389">
        <v>-0.78098898173722842</v>
      </c>
      <c r="AD389">
        <v>0.35980136384583211</v>
      </c>
      <c r="AE389">
        <v>-0.58396417770630937</v>
      </c>
      <c r="AF389">
        <v>2.3840693827003271E-3</v>
      </c>
      <c r="AG389">
        <v>0.36023102796815526</v>
      </c>
      <c r="AH389">
        <v>-0.58819032355600276</v>
      </c>
      <c r="AI389">
        <v>1.7228411822082185E-5</v>
      </c>
    </row>
    <row r="390" spans="23:35" x14ac:dyDescent="0.25">
      <c r="W390">
        <v>388</v>
      </c>
      <c r="X390">
        <v>59.186850134702368</v>
      </c>
      <c r="Y390">
        <v>0.81314986529763189</v>
      </c>
      <c r="Z390">
        <v>59.184842077367527</v>
      </c>
      <c r="AA390">
        <v>0.17525773195876287</v>
      </c>
      <c r="AB390">
        <v>63.8</v>
      </c>
      <c r="AC390">
        <v>-0.93712127394454381</v>
      </c>
      <c r="AD390">
        <v>0.1101567788555677</v>
      </c>
      <c r="AE390">
        <v>-0.58386666942753618</v>
      </c>
      <c r="AF390">
        <v>2.4633966978495196E-3</v>
      </c>
      <c r="AG390">
        <v>0.11029270996901719</v>
      </c>
      <c r="AH390">
        <v>-0.5856363102715515</v>
      </c>
      <c r="AI390">
        <v>1.6688858208923946E-6</v>
      </c>
    </row>
    <row r="391" spans="23:35" x14ac:dyDescent="0.25">
      <c r="W391">
        <v>389</v>
      </c>
      <c r="X391">
        <v>50.973754035979283</v>
      </c>
      <c r="Y391">
        <v>8.826245964020714</v>
      </c>
      <c r="Z391">
        <v>50.851474702843497</v>
      </c>
      <c r="AA391">
        <v>0.17101273499090358</v>
      </c>
      <c r="AB391">
        <v>63.8</v>
      </c>
      <c r="AC391">
        <v>-0.95615619123390583</v>
      </c>
      <c r="AD391">
        <v>1.1956846656152402</v>
      </c>
      <c r="AE391">
        <v>-0.57890988372236041</v>
      </c>
      <c r="AF391">
        <v>1.3664746880096775E-2</v>
      </c>
      <c r="AG391">
        <v>1.2039387189204873</v>
      </c>
      <c r="AH391">
        <v>-0.58452253930345321</v>
      </c>
      <c r="AI391">
        <v>1.1156123001689561E-3</v>
      </c>
    </row>
    <row r="392" spans="23:35" x14ac:dyDescent="0.25">
      <c r="W392">
        <v>390</v>
      </c>
      <c r="X392">
        <v>39.557662714345078</v>
      </c>
      <c r="Y392">
        <v>20.042337285654924</v>
      </c>
      <c r="Z392">
        <v>39.211228452273268</v>
      </c>
      <c r="AA392">
        <v>0.16616130988477865</v>
      </c>
      <c r="AB392">
        <v>63.8</v>
      </c>
      <c r="AC392">
        <v>-0.97554401628441823</v>
      </c>
      <c r="AD392">
        <v>2.7151198202762807</v>
      </c>
      <c r="AE392">
        <v>-0.57715013054072206</v>
      </c>
      <c r="AF392">
        <v>1.6991423993391038E-2</v>
      </c>
      <c r="AG392">
        <v>2.7384848757043758</v>
      </c>
      <c r="AH392">
        <v>-0.58012042212756021</v>
      </c>
      <c r="AI392">
        <v>7.20146175700244E-3</v>
      </c>
    </row>
    <row r="393" spans="23:35" x14ac:dyDescent="0.25">
      <c r="W393">
        <v>391</v>
      </c>
      <c r="X393">
        <v>80.868460671242048</v>
      </c>
      <c r="Y393">
        <v>-1.3684606712420475</v>
      </c>
      <c r="Z393">
        <v>80.872869226098317</v>
      </c>
      <c r="AA393">
        <v>0.90964220739842327</v>
      </c>
      <c r="AB393">
        <v>63.9</v>
      </c>
      <c r="AC393">
        <v>1.3219841213691266</v>
      </c>
      <c r="AD393">
        <v>-0.185384301182139</v>
      </c>
      <c r="AE393">
        <v>-0.57191379597011505</v>
      </c>
      <c r="AF393">
        <v>3.2111979585972045E-3</v>
      </c>
      <c r="AG393">
        <v>-0.18568267281729031</v>
      </c>
      <c r="AH393">
        <v>-0.58002994500738769</v>
      </c>
      <c r="AI393">
        <v>6.17069642681684E-6</v>
      </c>
    </row>
    <row r="394" spans="23:35" x14ac:dyDescent="0.25">
      <c r="W394">
        <v>392</v>
      </c>
      <c r="X394">
        <v>80.946600090154107</v>
      </c>
      <c r="Y394">
        <v>-1.5466000901541008</v>
      </c>
      <c r="Z394">
        <v>80.951744980395318</v>
      </c>
      <c r="AA394">
        <v>0.90661006670709521</v>
      </c>
      <c r="AB394">
        <v>63.9</v>
      </c>
      <c r="AC394">
        <v>1.2933897637306977</v>
      </c>
      <c r="AD394">
        <v>-0.20951670950194093</v>
      </c>
      <c r="AE394">
        <v>-0.57153625718745726</v>
      </c>
      <c r="AF394">
        <v>3.3155513993678152E-3</v>
      </c>
      <c r="AG394">
        <v>-0.209864907302037</v>
      </c>
      <c r="AH394">
        <v>-0.57645632474576303</v>
      </c>
      <c r="AI394">
        <v>8.139640528314602E-6</v>
      </c>
    </row>
    <row r="395" spans="23:35" x14ac:dyDescent="0.25">
      <c r="W395">
        <v>393</v>
      </c>
      <c r="X395">
        <v>75.804879372291794</v>
      </c>
      <c r="Y395">
        <v>3.3951206277082093</v>
      </c>
      <c r="Z395">
        <v>75.735611648000514</v>
      </c>
      <c r="AA395">
        <v>0.89630078835657978</v>
      </c>
      <c r="AB395">
        <v>64</v>
      </c>
      <c r="AC395">
        <v>1.2457497672431228</v>
      </c>
      <c r="AD395">
        <v>0.45993434683474771</v>
      </c>
      <c r="AE395">
        <v>-0.57131085999514186</v>
      </c>
      <c r="AF395">
        <v>1.9994214635696402E-2</v>
      </c>
      <c r="AG395">
        <v>0.4646024794093076</v>
      </c>
      <c r="AH395">
        <v>-0.57472289191191261</v>
      </c>
      <c r="AI395">
        <v>2.4466184788704705E-4</v>
      </c>
    </row>
    <row r="396" spans="23:35" x14ac:dyDescent="0.25">
      <c r="W396">
        <v>394</v>
      </c>
      <c r="X396">
        <v>79.195929683659045</v>
      </c>
      <c r="Y396">
        <v>-0.19592968365904539</v>
      </c>
      <c r="Z396">
        <v>79.197243566518054</v>
      </c>
      <c r="AA396">
        <v>0.89023650697392354</v>
      </c>
      <c r="AB396">
        <v>64</v>
      </c>
      <c r="AC396">
        <v>1.2070560687293583</v>
      </c>
      <c r="AD396">
        <v>-2.6542441627498668E-2</v>
      </c>
      <c r="AE396">
        <v>-0.57123392460935452</v>
      </c>
      <c r="AF396">
        <v>6.6612203490187981E-3</v>
      </c>
      <c r="AG396">
        <v>-2.6631288271159789E-2</v>
      </c>
      <c r="AH396">
        <v>-0.57301761871492018</v>
      </c>
      <c r="AI396">
        <v>2.6422156207029306E-7</v>
      </c>
    </row>
    <row r="397" spans="23:35" x14ac:dyDescent="0.25">
      <c r="W397">
        <v>395</v>
      </c>
      <c r="X397">
        <v>78.78996756385672</v>
      </c>
      <c r="Y397">
        <v>-0.68996756385672597</v>
      </c>
      <c r="Z397">
        <v>78.795402853554563</v>
      </c>
      <c r="AA397">
        <v>0.86476652516676777</v>
      </c>
      <c r="AB397">
        <v>64</v>
      </c>
      <c r="AC397">
        <v>1.0950400512086551</v>
      </c>
      <c r="AD397">
        <v>-9.3469368431194022E-2</v>
      </c>
      <c r="AE397">
        <v>-0.56978564775236618</v>
      </c>
      <c r="AF397">
        <v>7.8160301903656918E-3</v>
      </c>
      <c r="AG397">
        <v>-9.3836803454818513E-2</v>
      </c>
      <c r="AH397">
        <v>-0.57221373966153866</v>
      </c>
      <c r="AI397">
        <v>3.8536114821279382E-6</v>
      </c>
    </row>
    <row r="398" spans="23:35" x14ac:dyDescent="0.25">
      <c r="W398">
        <v>396</v>
      </c>
      <c r="X398">
        <v>71.802291463450842</v>
      </c>
      <c r="Y398">
        <v>7.3977085365491604</v>
      </c>
      <c r="Z398">
        <v>71.681590014721849</v>
      </c>
      <c r="AA398">
        <v>0.89630078835657978</v>
      </c>
      <c r="AB398">
        <v>64</v>
      </c>
      <c r="AC398">
        <v>1.2457497672431228</v>
      </c>
      <c r="AD398">
        <v>1.0021618130629781</v>
      </c>
      <c r="AE398">
        <v>-0.56953773042785683</v>
      </c>
      <c r="AF398">
        <v>1.6054119017896648E-2</v>
      </c>
      <c r="AG398">
        <v>1.0103043993386736</v>
      </c>
      <c r="AH398">
        <v>-0.57205749948873985</v>
      </c>
      <c r="AI398">
        <v>9.2522476637336407E-4</v>
      </c>
    </row>
    <row r="399" spans="23:35" x14ac:dyDescent="0.25">
      <c r="W399">
        <v>397</v>
      </c>
      <c r="X399">
        <v>70.369175137372707</v>
      </c>
      <c r="Y399">
        <v>8.5308248626272984</v>
      </c>
      <c r="Z399">
        <v>70.168362476717689</v>
      </c>
      <c r="AA399">
        <v>0.88599151000606424</v>
      </c>
      <c r="AB399">
        <v>64</v>
      </c>
      <c r="AC399">
        <v>1.1852957183684145</v>
      </c>
      <c r="AD399">
        <v>1.1556641991252763</v>
      </c>
      <c r="AE399">
        <v>-0.56928728616705748</v>
      </c>
      <c r="AF399">
        <v>2.2998281836546439E-2</v>
      </c>
      <c r="AG399">
        <v>1.1691870485804756</v>
      </c>
      <c r="AH399">
        <v>-0.57089236498206797</v>
      </c>
      <c r="AI399">
        <v>1.7877037495875737E-3</v>
      </c>
    </row>
    <row r="400" spans="23:35" x14ac:dyDescent="0.25">
      <c r="W400">
        <v>398</v>
      </c>
      <c r="X400">
        <v>74.963314899100638</v>
      </c>
      <c r="Y400">
        <v>3.9366851008993677</v>
      </c>
      <c r="Z400">
        <v>74.953890683983516</v>
      </c>
      <c r="AA400">
        <v>0.88599151000606424</v>
      </c>
      <c r="AB400">
        <v>64.099999999999994</v>
      </c>
      <c r="AC400">
        <v>1.1852957183684145</v>
      </c>
      <c r="AD400">
        <v>0.53329966417082642</v>
      </c>
      <c r="AE400">
        <v>-0.5643115972468512</v>
      </c>
      <c r="AF400">
        <v>2.3882296110924661E-3</v>
      </c>
      <c r="AG400">
        <v>0.53393762812660495</v>
      </c>
      <c r="AH400">
        <v>-0.56622734699446764</v>
      </c>
      <c r="AI400">
        <v>3.7916048048040462E-5</v>
      </c>
    </row>
    <row r="401" spans="23:35" x14ac:dyDescent="0.25">
      <c r="W401">
        <v>399</v>
      </c>
      <c r="X401">
        <v>73.320081898656412</v>
      </c>
      <c r="Y401">
        <v>4.6799181013435884</v>
      </c>
      <c r="Z401">
        <v>73.30527310894648</v>
      </c>
      <c r="AA401">
        <v>0.86294724075197093</v>
      </c>
      <c r="AB401">
        <v>64.099999999999994</v>
      </c>
      <c r="AC401">
        <v>1.0491313979639725</v>
      </c>
      <c r="AD401">
        <v>0.63398485980586106</v>
      </c>
      <c r="AE401">
        <v>-0.5641373926772254</v>
      </c>
      <c r="AF401">
        <v>3.1543453013540318E-3</v>
      </c>
      <c r="AG401">
        <v>0.63498713515385941</v>
      </c>
      <c r="AH401">
        <v>-0.56569309787400579</v>
      </c>
      <c r="AI401">
        <v>7.0882440350918168E-5</v>
      </c>
    </row>
    <row r="402" spans="23:35" x14ac:dyDescent="0.25">
      <c r="W402">
        <v>400</v>
      </c>
      <c r="X402">
        <v>67.850031627541426</v>
      </c>
      <c r="Y402">
        <v>10.749968372458568</v>
      </c>
      <c r="Z402">
        <v>67.689850622095932</v>
      </c>
      <c r="AA402">
        <v>0.8750758035172832</v>
      </c>
      <c r="AB402">
        <v>64.099999999999994</v>
      </c>
      <c r="AC402">
        <v>1.1404631659072275</v>
      </c>
      <c r="AD402">
        <v>1.4562898418187982</v>
      </c>
      <c r="AE402">
        <v>-0.56406328483318002</v>
      </c>
      <c r="AF402">
        <v>1.4681834308327667E-2</v>
      </c>
      <c r="AG402">
        <v>1.4670995210494351</v>
      </c>
      <c r="AH402">
        <v>-0.56549683571868659</v>
      </c>
      <c r="AI402">
        <v>1.7817652081660294E-3</v>
      </c>
    </row>
    <row r="403" spans="23:35" x14ac:dyDescent="0.25">
      <c r="W403">
        <v>401</v>
      </c>
      <c r="X403">
        <v>60.268302471140352</v>
      </c>
      <c r="Y403">
        <v>17.431697528859651</v>
      </c>
      <c r="Z403">
        <v>59.921938666432311</v>
      </c>
      <c r="AA403">
        <v>0.85021224984839294</v>
      </c>
      <c r="AB403">
        <v>64.2</v>
      </c>
      <c r="AC403">
        <v>1.0308575175648222</v>
      </c>
      <c r="AD403">
        <v>2.3614584859592802</v>
      </c>
      <c r="AE403">
        <v>-0.56159374071671608</v>
      </c>
      <c r="AF403">
        <v>1.9482653266250999E-2</v>
      </c>
      <c r="AG403">
        <v>2.3848039067490352</v>
      </c>
      <c r="AH403">
        <v>-0.56466621942399786</v>
      </c>
      <c r="AI403">
        <v>6.2780629195091893E-3</v>
      </c>
    </row>
    <row r="404" spans="23:35" x14ac:dyDescent="0.25">
      <c r="W404">
        <v>402</v>
      </c>
      <c r="X404">
        <v>71.778588211253123</v>
      </c>
      <c r="Y404">
        <v>6.2214117887468774</v>
      </c>
      <c r="Z404">
        <v>71.754328645404115</v>
      </c>
      <c r="AA404">
        <v>0.86294724075197093</v>
      </c>
      <c r="AB404">
        <v>64.2</v>
      </c>
      <c r="AC404">
        <v>1.0491313979639725</v>
      </c>
      <c r="AD404">
        <v>0.84280980890473922</v>
      </c>
      <c r="AE404">
        <v>-0.55749618237409593</v>
      </c>
      <c r="AF404">
        <v>3.8842206820808847E-3</v>
      </c>
      <c r="AG404">
        <v>0.8444514223929106</v>
      </c>
      <c r="AH404">
        <v>-0.56420986910230531</v>
      </c>
      <c r="AI404">
        <v>1.5447952118261896E-4</v>
      </c>
    </row>
    <row r="405" spans="23:35" x14ac:dyDescent="0.25">
      <c r="W405">
        <v>403</v>
      </c>
      <c r="X405">
        <v>72.589464785873389</v>
      </c>
      <c r="Y405">
        <v>5.7105352141266081</v>
      </c>
      <c r="Z405">
        <v>72.574832816814734</v>
      </c>
      <c r="AA405">
        <v>0.86901152213462707</v>
      </c>
      <c r="AB405">
        <v>64.2</v>
      </c>
      <c r="AC405">
        <v>1.1118051137279645</v>
      </c>
      <c r="AD405">
        <v>0.7736017572839764</v>
      </c>
      <c r="AE405">
        <v>-0.55557134154991228</v>
      </c>
      <c r="AF405">
        <v>2.5557278225223877E-3</v>
      </c>
      <c r="AG405">
        <v>0.77459221395941513</v>
      </c>
      <c r="AH405">
        <v>-0.55976828071999685</v>
      </c>
      <c r="AI405">
        <v>8.5408227610926383E-5</v>
      </c>
    </row>
    <row r="406" spans="23:35" x14ac:dyDescent="0.25">
      <c r="W406">
        <v>404</v>
      </c>
      <c r="X406">
        <v>68.406143050353819</v>
      </c>
      <c r="Y406">
        <v>9.093856949646181</v>
      </c>
      <c r="Z406">
        <v>68.298642622653261</v>
      </c>
      <c r="AA406">
        <v>0.84596725288053365</v>
      </c>
      <c r="AB406">
        <v>64.2</v>
      </c>
      <c r="AC406">
        <v>1.0129215482717411</v>
      </c>
      <c r="AD406">
        <v>1.231937717384578</v>
      </c>
      <c r="AE406">
        <v>-0.55533181846108259</v>
      </c>
      <c r="AF406">
        <v>1.1683105360652979E-2</v>
      </c>
      <c r="AG406">
        <v>1.239197824204197</v>
      </c>
      <c r="AH406">
        <v>-0.55723844812092049</v>
      </c>
      <c r="AI406">
        <v>1.0084882746393342E-3</v>
      </c>
    </row>
    <row r="407" spans="23:35" x14ac:dyDescent="0.25">
      <c r="W407">
        <v>405</v>
      </c>
      <c r="X407">
        <v>64.442051603458168</v>
      </c>
      <c r="Y407">
        <v>13.157948396541826</v>
      </c>
      <c r="Z407">
        <v>64.255254454142388</v>
      </c>
      <c r="AA407">
        <v>0.8483929654335961</v>
      </c>
      <c r="AB407">
        <v>64.2</v>
      </c>
      <c r="AC407">
        <v>1.0205681915260707</v>
      </c>
      <c r="AD407">
        <v>1.7824970200054102</v>
      </c>
      <c r="AE407">
        <v>-0.55512359134103739</v>
      </c>
      <c r="AF407">
        <v>1.399780525405128E-2</v>
      </c>
      <c r="AG407">
        <v>1.7951050622617712</v>
      </c>
      <c r="AH407">
        <v>-0.5569410409571961</v>
      </c>
      <c r="AI407">
        <v>2.5414952573143156E-3</v>
      </c>
    </row>
    <row r="408" spans="23:35" x14ac:dyDescent="0.25">
      <c r="W408">
        <v>406</v>
      </c>
      <c r="X408">
        <v>78.782426793196521</v>
      </c>
      <c r="Y408">
        <v>-0.98242679319652382</v>
      </c>
      <c r="Z408">
        <v>78.785863601786417</v>
      </c>
      <c r="AA408">
        <v>0.85203153426318978</v>
      </c>
      <c r="AB408">
        <v>64.3</v>
      </c>
      <c r="AC408">
        <v>1.0386467129748296</v>
      </c>
      <c r="AD408">
        <v>-0.13308859242118007</v>
      </c>
      <c r="AE408">
        <v>-0.55194721711755734</v>
      </c>
      <c r="AF408">
        <v>3.4860893369661823E-3</v>
      </c>
      <c r="AG408">
        <v>-0.13332118007561308</v>
      </c>
      <c r="AH408">
        <v>-0.55602101613469601</v>
      </c>
      <c r="AI408">
        <v>3.4544661388527075E-6</v>
      </c>
    </row>
    <row r="409" spans="23:35" x14ac:dyDescent="0.25">
      <c r="W409">
        <v>407</v>
      </c>
      <c r="X409">
        <v>78.136592111514048</v>
      </c>
      <c r="Y409">
        <v>-0.4365921115140452</v>
      </c>
      <c r="Z409">
        <v>78.138224572397874</v>
      </c>
      <c r="AA409">
        <v>0.85021224984839294</v>
      </c>
      <c r="AB409">
        <v>64.3</v>
      </c>
      <c r="AC409">
        <v>1.0308575175648222</v>
      </c>
      <c r="AD409">
        <v>-5.9144793267025444E-2</v>
      </c>
      <c r="AE409">
        <v>-0.55004005142388812</v>
      </c>
      <c r="AF409">
        <v>3.7251696656264346E-3</v>
      </c>
      <c r="AG409">
        <v>-5.9255264200122094E-2</v>
      </c>
      <c r="AH409">
        <v>-0.55531259253824683</v>
      </c>
      <c r="AI409">
        <v>7.2937063085416722E-7</v>
      </c>
    </row>
    <row r="410" spans="23:35" x14ac:dyDescent="0.25">
      <c r="W410">
        <v>408</v>
      </c>
      <c r="X410">
        <v>76.852080023417855</v>
      </c>
      <c r="Y410">
        <v>0.24791997658213916</v>
      </c>
      <c r="Z410">
        <v>76.85110664385536</v>
      </c>
      <c r="AA410">
        <v>0.83869011522134629</v>
      </c>
      <c r="AB410">
        <v>64.3</v>
      </c>
      <c r="AC410">
        <v>0.98537673313779217</v>
      </c>
      <c r="AD410">
        <v>3.3585526112385321E-2</v>
      </c>
      <c r="AE410">
        <v>-0.54955229998747046</v>
      </c>
      <c r="AF410">
        <v>3.9108298332186861E-3</v>
      </c>
      <c r="AG410">
        <v>3.3651393009884845E-2</v>
      </c>
      <c r="AH410">
        <v>-0.55168746210410446</v>
      </c>
      <c r="AI410">
        <v>2.4700417239802541E-7</v>
      </c>
    </row>
    <row r="411" spans="23:35" x14ac:dyDescent="0.25">
      <c r="W411">
        <v>409</v>
      </c>
      <c r="X411">
        <v>75.839895979920698</v>
      </c>
      <c r="Y411">
        <v>1.1601040200793022</v>
      </c>
      <c r="Z411">
        <v>75.834795501909767</v>
      </c>
      <c r="AA411">
        <v>0.83747725894481506</v>
      </c>
      <c r="AB411">
        <v>64.3</v>
      </c>
      <c r="AC411">
        <v>0.95855995741850497</v>
      </c>
      <c r="AD411">
        <v>0.15715838794679676</v>
      </c>
      <c r="AE411">
        <v>-0.54788912906629195</v>
      </c>
      <c r="AF411">
        <v>4.3773243403064594E-3</v>
      </c>
      <c r="AG411">
        <v>0.15750348794035454</v>
      </c>
      <c r="AH411">
        <v>-0.5501550248802618</v>
      </c>
      <c r="AI411">
        <v>6.0592907777585363E-6</v>
      </c>
    </row>
    <row r="412" spans="23:35" x14ac:dyDescent="0.25">
      <c r="W412">
        <v>410</v>
      </c>
      <c r="X412">
        <v>70.311028570018834</v>
      </c>
      <c r="Y412">
        <v>6.2889714299811601</v>
      </c>
      <c r="Z412">
        <v>70.241931440310907</v>
      </c>
      <c r="AA412">
        <v>0.82413583990297146</v>
      </c>
      <c r="AB412">
        <v>64.3</v>
      </c>
      <c r="AC412">
        <v>0.91841998904288702</v>
      </c>
      <c r="AD412">
        <v>0.85196206087772874</v>
      </c>
      <c r="AE412">
        <v>-0.54784650455126627</v>
      </c>
      <c r="AF412">
        <v>1.0867628912655511E-2</v>
      </c>
      <c r="AG412">
        <v>0.85662954262698199</v>
      </c>
      <c r="AH412">
        <v>-0.55012244146414857</v>
      </c>
      <c r="AI412">
        <v>4.4791331829974808E-4</v>
      </c>
    </row>
    <row r="413" spans="23:35" x14ac:dyDescent="0.25">
      <c r="W413">
        <v>411</v>
      </c>
      <c r="X413">
        <v>70.06792279308273</v>
      </c>
      <c r="Y413">
        <v>6.2320772069172676</v>
      </c>
      <c r="Z413">
        <v>70.007779133070272</v>
      </c>
      <c r="AA413">
        <v>0.8168587022437841</v>
      </c>
      <c r="AB413">
        <v>64.3</v>
      </c>
      <c r="AC413">
        <v>0.89095501331493132</v>
      </c>
      <c r="AD413">
        <v>0.84425464479654355</v>
      </c>
      <c r="AE413">
        <v>-0.54778540583029844</v>
      </c>
      <c r="AF413">
        <v>9.5584152693290389E-3</v>
      </c>
      <c r="AG413">
        <v>0.84831867059323007</v>
      </c>
      <c r="AH413">
        <v>-0.54953522073589678</v>
      </c>
      <c r="AI413">
        <v>3.8583584683469612E-4</v>
      </c>
    </row>
    <row r="414" spans="23:35" x14ac:dyDescent="0.25">
      <c r="W414">
        <v>412</v>
      </c>
      <c r="X414">
        <v>76.582753868393311</v>
      </c>
      <c r="Y414">
        <v>-0.58275386839331134</v>
      </c>
      <c r="Z414">
        <v>76.584960738948396</v>
      </c>
      <c r="AA414">
        <v>0.80836870830806551</v>
      </c>
      <c r="AB414">
        <v>64.3</v>
      </c>
      <c r="AC414">
        <v>0.83794453378675593</v>
      </c>
      <c r="AD414">
        <v>-7.8945212619978708E-2</v>
      </c>
      <c r="AE414">
        <v>-0.54275692875138459</v>
      </c>
      <c r="AF414">
        <v>3.7726814949102759E-3</v>
      </c>
      <c r="AG414">
        <v>-7.9094552884399164E-2</v>
      </c>
      <c r="AH414">
        <v>-0.54876241366843992</v>
      </c>
      <c r="AI414">
        <v>1.3161710703172666E-6</v>
      </c>
    </row>
    <row r="415" spans="23:35" x14ac:dyDescent="0.25">
      <c r="W415">
        <v>413</v>
      </c>
      <c r="X415">
        <v>75.793027727931133</v>
      </c>
      <c r="Y415">
        <v>6.9722720688645268E-3</v>
      </c>
      <c r="Z415">
        <v>75.793000152775207</v>
      </c>
      <c r="AA415">
        <v>0.79624014554275313</v>
      </c>
      <c r="AB415">
        <v>64.400000000000006</v>
      </c>
      <c r="AC415">
        <v>0.81442193874053515</v>
      </c>
      <c r="AD415">
        <v>9.4452826617592736E-4</v>
      </c>
      <c r="AE415">
        <v>-0.5408032997669272</v>
      </c>
      <c r="AF415">
        <v>3.9393939668602692E-3</v>
      </c>
      <c r="AG415">
        <v>9.4639421549811277E-4</v>
      </c>
      <c r="AH415">
        <v>-0.54312745694323572</v>
      </c>
      <c r="AI415">
        <v>1.9679556208245664E-10</v>
      </c>
    </row>
    <row r="416" spans="23:35" x14ac:dyDescent="0.25">
      <c r="W416">
        <v>414</v>
      </c>
      <c r="X416">
        <v>83.367909514002349</v>
      </c>
      <c r="Y416">
        <v>-0.36790951400234917</v>
      </c>
      <c r="Z416">
        <v>83.369881732591963</v>
      </c>
      <c r="AA416">
        <v>0.97877501516070342</v>
      </c>
      <c r="AB416">
        <v>64.400000000000006</v>
      </c>
      <c r="AC416">
        <v>1.9368862628682144</v>
      </c>
      <c r="AD416">
        <v>-4.9840415281852214E-2</v>
      </c>
      <c r="AE416">
        <v>-0.53900869825507669</v>
      </c>
      <c r="AF416">
        <v>5.3320248496722565E-3</v>
      </c>
      <c r="AG416">
        <v>-4.9973824190654437E-2</v>
      </c>
      <c r="AH416">
        <v>-0.53957881580977618</v>
      </c>
      <c r="AI416">
        <v>7.4374951148556111E-7</v>
      </c>
    </row>
    <row r="417" spans="23:35" x14ac:dyDescent="0.25">
      <c r="W417">
        <v>415</v>
      </c>
      <c r="X417">
        <v>76.905696478644515</v>
      </c>
      <c r="Y417">
        <v>4.094303521355485</v>
      </c>
      <c r="Z417">
        <v>76.891582802498831</v>
      </c>
      <c r="AA417">
        <v>0.93571861734384476</v>
      </c>
      <c r="AB417">
        <v>64.400000000000006</v>
      </c>
      <c r="AC417">
        <v>1.4576525936309466</v>
      </c>
      <c r="AD417">
        <v>0.55465210881446325</v>
      </c>
      <c r="AE417">
        <v>-0.53813445935520521</v>
      </c>
      <c r="AF417">
        <v>3.4353074352510005E-3</v>
      </c>
      <c r="AG417">
        <v>0.55560727073301219</v>
      </c>
      <c r="AH417">
        <v>-0.53880593711752556</v>
      </c>
      <c r="AI417">
        <v>5.9118505745432409E-5</v>
      </c>
    </row>
    <row r="418" spans="23:35" x14ac:dyDescent="0.25">
      <c r="W418">
        <v>416</v>
      </c>
      <c r="X418">
        <v>73.474474681609536</v>
      </c>
      <c r="Y418">
        <v>6.5255253183904642</v>
      </c>
      <c r="Z418">
        <v>73.376874765138396</v>
      </c>
      <c r="AA418">
        <v>0.92722862340812617</v>
      </c>
      <c r="AB418">
        <v>64.400000000000006</v>
      </c>
      <c r="AC418">
        <v>1.4191611772342045</v>
      </c>
      <c r="AD418">
        <v>0.88400783187885967</v>
      </c>
      <c r="AE418">
        <v>-0.53637884792969714</v>
      </c>
      <c r="AF418">
        <v>1.4736232973131175E-2</v>
      </c>
      <c r="AG418">
        <v>0.89059418817649916</v>
      </c>
      <c r="AH418">
        <v>-0.53821169910446442</v>
      </c>
      <c r="AI418">
        <v>6.5905426556572204E-4</v>
      </c>
    </row>
    <row r="419" spans="23:35" x14ac:dyDescent="0.25">
      <c r="W419">
        <v>417</v>
      </c>
      <c r="X419">
        <v>73.104617176172212</v>
      </c>
      <c r="Y419">
        <v>6.5953828238277907</v>
      </c>
      <c r="Z419">
        <v>72.986335792778107</v>
      </c>
      <c r="AA419">
        <v>0.9151000606428138</v>
      </c>
      <c r="AB419">
        <v>64.5</v>
      </c>
      <c r="AC419">
        <v>1.3555018111021329</v>
      </c>
      <c r="AD419">
        <v>0.89347137372553331</v>
      </c>
      <c r="AE419">
        <v>-0.53373524180216092</v>
      </c>
      <c r="AF419">
        <v>1.7618007058927392E-2</v>
      </c>
      <c r="AG419">
        <v>0.90144751510904342</v>
      </c>
      <c r="AH419">
        <v>-0.535887675564792</v>
      </c>
      <c r="AI419">
        <v>8.0962660893788962E-4</v>
      </c>
    </row>
    <row r="420" spans="23:35" x14ac:dyDescent="0.25">
      <c r="W420">
        <v>418</v>
      </c>
      <c r="X420">
        <v>77.300031947489657</v>
      </c>
      <c r="Y420">
        <v>2.1999680525103429</v>
      </c>
      <c r="Z420">
        <v>77.291506157967873</v>
      </c>
      <c r="AA420">
        <v>0.90964220739842327</v>
      </c>
      <c r="AB420">
        <v>64.5</v>
      </c>
      <c r="AC420">
        <v>1.3219841213691266</v>
      </c>
      <c r="AD420">
        <v>0.29802795842681862</v>
      </c>
      <c r="AE420">
        <v>-0.53309128004676787</v>
      </c>
      <c r="AF420">
        <v>3.8604542876804586E-3</v>
      </c>
      <c r="AG420">
        <v>0.29860489103669324</v>
      </c>
      <c r="AH420">
        <v>-0.53581023706034347</v>
      </c>
      <c r="AI420">
        <v>1.9197273919410767E-5</v>
      </c>
    </row>
    <row r="421" spans="23:35" x14ac:dyDescent="0.25">
      <c r="W421">
        <v>419</v>
      </c>
      <c r="X421">
        <v>75.708257452326748</v>
      </c>
      <c r="Y421">
        <v>3.591742547673249</v>
      </c>
      <c r="Z421">
        <v>75.692052684904041</v>
      </c>
      <c r="AA421">
        <v>0.9017586416009703</v>
      </c>
      <c r="AB421">
        <v>64.5</v>
      </c>
      <c r="AC421">
        <v>1.262435852359769</v>
      </c>
      <c r="AD421">
        <v>0.4865705651754077</v>
      </c>
      <c r="AE421">
        <v>-0.53285815418984572</v>
      </c>
      <c r="AF421">
        <v>4.4914091053662895E-3</v>
      </c>
      <c r="AG421">
        <v>0.48766695354077561</v>
      </c>
      <c r="AH421">
        <v>-0.53478616963335601</v>
      </c>
      <c r="AI421">
        <v>5.9608988387946902E-5</v>
      </c>
    </row>
    <row r="422" spans="23:35" x14ac:dyDescent="0.25">
      <c r="W422">
        <v>420</v>
      </c>
      <c r="X422">
        <v>73.546254505499292</v>
      </c>
      <c r="Y422">
        <v>5.5537454945007028</v>
      </c>
      <c r="Z422">
        <v>73.519399142640012</v>
      </c>
      <c r="AA422">
        <v>0.89326864766525171</v>
      </c>
      <c r="AB422">
        <v>64.599999999999994</v>
      </c>
      <c r="AC422">
        <v>1.2294035019788656</v>
      </c>
      <c r="AD422">
        <v>0.75236157609629872</v>
      </c>
      <c r="AE422">
        <v>-0.53145747131852861</v>
      </c>
      <c r="AF422">
        <v>4.8122708550039656E-3</v>
      </c>
      <c r="AG422">
        <v>0.75417841993331414</v>
      </c>
      <c r="AH422">
        <v>-0.53293132968955492</v>
      </c>
      <c r="AI422">
        <v>1.527990831859989E-4</v>
      </c>
    </row>
    <row r="423" spans="23:35" x14ac:dyDescent="0.25">
      <c r="W423">
        <v>421</v>
      </c>
      <c r="X423">
        <v>69.825855210492691</v>
      </c>
      <c r="Y423">
        <v>9.0741447895073151</v>
      </c>
      <c r="Z423">
        <v>69.623397410577184</v>
      </c>
      <c r="AA423">
        <v>0.88599151000606424</v>
      </c>
      <c r="AB423">
        <v>64.599999999999994</v>
      </c>
      <c r="AC423">
        <v>1.1852957183684145</v>
      </c>
      <c r="AD423">
        <v>1.2292673264051885</v>
      </c>
      <c r="AE423">
        <v>-0.53032557933531299</v>
      </c>
      <c r="AF423">
        <v>2.1824563245421695E-2</v>
      </c>
      <c r="AG423">
        <v>1.2429050765969694</v>
      </c>
      <c r="AH423">
        <v>-0.5319483997735448</v>
      </c>
      <c r="AI423">
        <v>1.9148388358987414E-3</v>
      </c>
    </row>
    <row r="424" spans="23:35" x14ac:dyDescent="0.25">
      <c r="W424">
        <v>422</v>
      </c>
      <c r="X424">
        <v>69.719695163705723</v>
      </c>
      <c r="Y424">
        <v>9.0803048362942747</v>
      </c>
      <c r="Z424">
        <v>69.566190821599903</v>
      </c>
      <c r="AA424">
        <v>0.88174651303820495</v>
      </c>
      <c r="AB424">
        <v>64.599999999999994</v>
      </c>
      <c r="AC424">
        <v>1.1700898139672218</v>
      </c>
      <c r="AD424">
        <v>1.2301018231451009</v>
      </c>
      <c r="AE424">
        <v>-0.52945003123179413</v>
      </c>
      <c r="AF424">
        <v>1.6624162265005033E-2</v>
      </c>
      <c r="AG424">
        <v>1.240455804341041</v>
      </c>
      <c r="AH424">
        <v>-0.53125035551016786</v>
      </c>
      <c r="AI424">
        <v>1.4451413316870312E-3</v>
      </c>
    </row>
    <row r="425" spans="23:35" x14ac:dyDescent="0.25">
      <c r="W425">
        <v>423</v>
      </c>
      <c r="X425">
        <v>70.239623088421823</v>
      </c>
      <c r="Y425">
        <v>8.4603769115781802</v>
      </c>
      <c r="Z425">
        <v>70.113003602407915</v>
      </c>
      <c r="AA425">
        <v>0.87871437234687688</v>
      </c>
      <c r="AB425">
        <v>64.599999999999994</v>
      </c>
      <c r="AC425">
        <v>1.1521925343545227</v>
      </c>
      <c r="AD425">
        <v>1.1461206700714959</v>
      </c>
      <c r="AE425">
        <v>-0.52900311740734007</v>
      </c>
      <c r="AF425">
        <v>1.4745491921879515E-2</v>
      </c>
      <c r="AG425">
        <v>1.1546653401153903</v>
      </c>
      <c r="AH425">
        <v>-0.52996412579839747</v>
      </c>
      <c r="AI425">
        <v>1.1085380104253646E-3</v>
      </c>
    </row>
    <row r="426" spans="23:35" x14ac:dyDescent="0.25">
      <c r="W426">
        <v>424</v>
      </c>
      <c r="X426">
        <v>69.110512903485883</v>
      </c>
      <c r="Y426">
        <v>9.4894870965141109</v>
      </c>
      <c r="Z426">
        <v>68.981152447332292</v>
      </c>
      <c r="AA426">
        <v>0.8750758035172832</v>
      </c>
      <c r="AB426">
        <v>64.599999999999994</v>
      </c>
      <c r="AC426">
        <v>1.1404631659072275</v>
      </c>
      <c r="AD426">
        <v>1.2855334252079749</v>
      </c>
      <c r="AE426">
        <v>-0.52439434311505428</v>
      </c>
      <c r="AF426">
        <v>1.3448643971669734E-2</v>
      </c>
      <c r="AG426">
        <v>1.294265945684707</v>
      </c>
      <c r="AH426">
        <v>-0.52579313364617208</v>
      </c>
      <c r="AI426">
        <v>1.268625224093481E-3</v>
      </c>
    </row>
    <row r="427" spans="23:35" x14ac:dyDescent="0.25">
      <c r="W427">
        <v>425</v>
      </c>
      <c r="X427">
        <v>71.918393048897201</v>
      </c>
      <c r="Y427">
        <v>6.581606951102799</v>
      </c>
      <c r="Z427">
        <v>71.890619084304561</v>
      </c>
      <c r="AA427">
        <v>0.87265009096422075</v>
      </c>
      <c r="AB427">
        <v>64.599999999999994</v>
      </c>
      <c r="AC427">
        <v>1.128888636463274</v>
      </c>
      <c r="AD427">
        <v>0.89160516697807979</v>
      </c>
      <c r="AE427">
        <v>-0.5237588651016335</v>
      </c>
      <c r="AF427">
        <v>4.2022036476500844E-3</v>
      </c>
      <c r="AG427">
        <v>0.89348444513112979</v>
      </c>
      <c r="AH427">
        <v>-0.52435694549152245</v>
      </c>
      <c r="AI427">
        <v>1.8715758033751822E-4</v>
      </c>
    </row>
    <row r="428" spans="23:35" x14ac:dyDescent="0.25">
      <c r="W428">
        <v>426</v>
      </c>
      <c r="X428">
        <v>67.696161123915147</v>
      </c>
      <c r="Y428">
        <v>10.703838876084859</v>
      </c>
      <c r="Z428">
        <v>67.611498283141771</v>
      </c>
      <c r="AA428">
        <v>0.87022437841115829</v>
      </c>
      <c r="AB428">
        <v>64.7</v>
      </c>
      <c r="AC428">
        <v>1.1231576917613038</v>
      </c>
      <c r="AD428">
        <v>1.4500407148772383</v>
      </c>
      <c r="AE428">
        <v>-0.52252224649285461</v>
      </c>
      <c r="AF428">
        <v>7.8475068174746702E-3</v>
      </c>
      <c r="AG428">
        <v>1.4557640244740078</v>
      </c>
      <c r="AH428">
        <v>-0.52345852535967541</v>
      </c>
      <c r="AI428">
        <v>9.312423837926141E-4</v>
      </c>
    </row>
    <row r="429" spans="23:35" x14ac:dyDescent="0.25">
      <c r="W429">
        <v>427</v>
      </c>
      <c r="X429">
        <v>69.34886224527493</v>
      </c>
      <c r="Y429">
        <v>8.8511377547250731</v>
      </c>
      <c r="Z429">
        <v>69.310637729118639</v>
      </c>
      <c r="AA429">
        <v>0.86658580958156461</v>
      </c>
      <c r="AB429">
        <v>64.7</v>
      </c>
      <c r="AC429">
        <v>1.1033838166983498</v>
      </c>
      <c r="AD429">
        <v>1.1990567371127072</v>
      </c>
      <c r="AE429">
        <v>-0.5200738672470675</v>
      </c>
      <c r="AF429">
        <v>4.3000290674951661E-3</v>
      </c>
      <c r="AG429">
        <v>1.2016430705011643</v>
      </c>
      <c r="AH429">
        <v>-0.52100230991550478</v>
      </c>
      <c r="AI429">
        <v>3.4643468298986048E-4</v>
      </c>
    </row>
    <row r="430" spans="23:35" x14ac:dyDescent="0.25">
      <c r="W430">
        <v>428</v>
      </c>
      <c r="X430">
        <v>67.83084765706792</v>
      </c>
      <c r="Y430">
        <v>10.269152342932074</v>
      </c>
      <c r="Z430">
        <v>67.764127010985419</v>
      </c>
      <c r="AA430">
        <v>0.86476652516676777</v>
      </c>
      <c r="AB430">
        <v>64.7</v>
      </c>
      <c r="AC430">
        <v>1.0950400512086551</v>
      </c>
      <c r="AD430">
        <v>1.3911540688264783</v>
      </c>
      <c r="AE430">
        <v>-0.51910803670667882</v>
      </c>
      <c r="AF430">
        <v>6.4552501906144115E-3</v>
      </c>
      <c r="AG430">
        <v>1.3956660488695274</v>
      </c>
      <c r="AH430">
        <v>-0.52053615231946138</v>
      </c>
      <c r="AI430">
        <v>7.0309849640360733E-4</v>
      </c>
    </row>
    <row r="431" spans="23:35" x14ac:dyDescent="0.25">
      <c r="W431">
        <v>429</v>
      </c>
      <c r="X431">
        <v>48.920464634924812</v>
      </c>
      <c r="Y431">
        <v>14.079535365075188</v>
      </c>
      <c r="Z431">
        <v>48.849062996600637</v>
      </c>
      <c r="AA431">
        <v>0.22195269860521527</v>
      </c>
      <c r="AB431">
        <v>64.7</v>
      </c>
      <c r="AC431">
        <v>-0.78098898173722842</v>
      </c>
      <c r="AD431">
        <v>1.9073436887701454</v>
      </c>
      <c r="AE431">
        <v>-0.51852796945446966</v>
      </c>
      <c r="AF431">
        <v>5.045718054360878E-3</v>
      </c>
      <c r="AG431">
        <v>1.9121739347632161</v>
      </c>
      <c r="AH431">
        <v>-0.52019957507796222</v>
      </c>
      <c r="AI431">
        <v>1.0301539606901611E-3</v>
      </c>
    </row>
    <row r="432" spans="23:35" x14ac:dyDescent="0.25">
      <c r="W432">
        <v>430</v>
      </c>
      <c r="X432">
        <v>55.316022821364079</v>
      </c>
      <c r="Y432">
        <v>7.3839771786359236</v>
      </c>
      <c r="Z432">
        <v>55.263681384755614</v>
      </c>
      <c r="AA432">
        <v>0.21164342025469982</v>
      </c>
      <c r="AB432">
        <v>64.7</v>
      </c>
      <c r="AC432">
        <v>-0.80808466725232064</v>
      </c>
      <c r="AD432">
        <v>1.0003016367023985</v>
      </c>
      <c r="AE432">
        <v>-0.51731682115545163</v>
      </c>
      <c r="AF432">
        <v>7.0386221081441842E-3</v>
      </c>
      <c r="AG432">
        <v>1.0038407029191954</v>
      </c>
      <c r="AH432">
        <v>-0.51805058330718234</v>
      </c>
      <c r="AI432">
        <v>3.9683721205225074E-4</v>
      </c>
    </row>
    <row r="433" spans="23:35" x14ac:dyDescent="0.25">
      <c r="W433">
        <v>431</v>
      </c>
      <c r="X433">
        <v>55.134309621786386</v>
      </c>
      <c r="Y433">
        <v>7.0656903782136169</v>
      </c>
      <c r="Z433">
        <v>55.085937549704539</v>
      </c>
      <c r="AA433">
        <v>0.20436628259551243</v>
      </c>
      <c r="AB433">
        <v>64.7</v>
      </c>
      <c r="AC433">
        <v>-0.8357870519497973</v>
      </c>
      <c r="AD433">
        <v>0.95718357177603608</v>
      </c>
      <c r="AE433">
        <v>-0.51196719240755739</v>
      </c>
      <c r="AF433">
        <v>6.7995006256705362E-3</v>
      </c>
      <c r="AG433">
        <v>0.96045444664411606</v>
      </c>
      <c r="AH433">
        <v>-0.51367239979034673</v>
      </c>
      <c r="AI433">
        <v>3.5084971399009602E-4</v>
      </c>
    </row>
    <row r="434" spans="23:35" x14ac:dyDescent="0.25">
      <c r="W434">
        <v>432</v>
      </c>
      <c r="X434">
        <v>54.285180829652155</v>
      </c>
      <c r="Y434">
        <v>7.5148191703478417</v>
      </c>
      <c r="Z434">
        <v>54.228649009309272</v>
      </c>
      <c r="AA434">
        <v>0.19345057610673136</v>
      </c>
      <c r="AB434">
        <v>64.7</v>
      </c>
      <c r="AC434">
        <v>-0.873012700415573</v>
      </c>
      <c r="AD434">
        <v>1.0180266994013345</v>
      </c>
      <c r="AE434">
        <v>-0.51006401461294182</v>
      </c>
      <c r="AF434">
        <v>7.4665433437690488E-3</v>
      </c>
      <c r="AG434">
        <v>1.021848685776638</v>
      </c>
      <c r="AH434">
        <v>-0.51317375523981612</v>
      </c>
      <c r="AI434">
        <v>4.3639032334559248E-4</v>
      </c>
    </row>
    <row r="435" spans="23:35" x14ac:dyDescent="0.25">
      <c r="W435">
        <v>433</v>
      </c>
      <c r="X435">
        <v>53.021489856048092</v>
      </c>
      <c r="Y435">
        <v>8.2785101439519053</v>
      </c>
      <c r="Z435">
        <v>52.951283206477868</v>
      </c>
      <c r="AA435">
        <v>0.18253486961795026</v>
      </c>
      <c r="AB435">
        <v>64.8</v>
      </c>
      <c r="AC435">
        <v>-0.91148934236618206</v>
      </c>
      <c r="AD435">
        <v>1.1214833207247654</v>
      </c>
      <c r="AE435">
        <v>-0.50977332092178951</v>
      </c>
      <c r="AF435">
        <v>8.4092743000573154E-3</v>
      </c>
      <c r="AG435">
        <v>1.1262287011243159</v>
      </c>
      <c r="AH435">
        <v>-0.51167555786436669</v>
      </c>
      <c r="AI435">
        <v>5.9759470290570804E-4</v>
      </c>
    </row>
    <row r="436" spans="23:35" x14ac:dyDescent="0.25">
      <c r="W436">
        <v>434</v>
      </c>
      <c r="X436">
        <v>52.167238809123887</v>
      </c>
      <c r="Y436">
        <v>16.832761190876113</v>
      </c>
      <c r="Z436">
        <v>52.024820279510472</v>
      </c>
      <c r="AA436">
        <v>0.42086112795633718</v>
      </c>
      <c r="AB436">
        <v>64.8</v>
      </c>
      <c r="AC436">
        <v>-0.21444491222324932</v>
      </c>
      <c r="AD436">
        <v>2.2803210467891133</v>
      </c>
      <c r="AE436">
        <v>-0.5089718479911598</v>
      </c>
      <c r="AF436">
        <v>8.3898098257840399E-3</v>
      </c>
      <c r="AG436">
        <v>2.2899473916813147</v>
      </c>
      <c r="AH436">
        <v>-0.51047562241718913</v>
      </c>
      <c r="AI436">
        <v>2.4648451508803527E-3</v>
      </c>
    </row>
    <row r="437" spans="23:35" x14ac:dyDescent="0.25">
      <c r="W437">
        <v>435</v>
      </c>
      <c r="X437">
        <v>51.282278435163782</v>
      </c>
      <c r="Y437">
        <v>10.717721564836218</v>
      </c>
      <c r="Z437">
        <v>51.183602052641866</v>
      </c>
      <c r="AA437">
        <v>0.19890842935112188</v>
      </c>
      <c r="AB437">
        <v>64.8</v>
      </c>
      <c r="AC437">
        <v>-0.85973834429501084</v>
      </c>
      <c r="AD437">
        <v>1.4519213919085803</v>
      </c>
      <c r="AE437">
        <v>-0.50855934719685525</v>
      </c>
      <c r="AF437">
        <v>9.1228506016660278E-3</v>
      </c>
      <c r="AG437">
        <v>1.4585898844728005</v>
      </c>
      <c r="AH437">
        <v>-0.50982009508786752</v>
      </c>
      <c r="AI437">
        <v>1.0881897707396345E-3</v>
      </c>
    </row>
    <row r="438" spans="23:35" x14ac:dyDescent="0.25">
      <c r="W438">
        <v>436</v>
      </c>
      <c r="X438">
        <v>45.265432091743037</v>
      </c>
      <c r="Y438">
        <v>14.53456790825696</v>
      </c>
      <c r="Z438">
        <v>45.0641144160357</v>
      </c>
      <c r="AA438">
        <v>0.17101273499090358</v>
      </c>
      <c r="AB438">
        <v>64.8</v>
      </c>
      <c r="AC438">
        <v>-0.95615619123390583</v>
      </c>
      <c r="AD438">
        <v>1.9689865929511774</v>
      </c>
      <c r="AE438">
        <v>-0.50494002169345553</v>
      </c>
      <c r="AF438">
        <v>1.3661729019286823E-2</v>
      </c>
      <c r="AG438">
        <v>1.98257587299865</v>
      </c>
      <c r="AH438">
        <v>-0.50943816292854172</v>
      </c>
      <c r="AI438">
        <v>3.0245927766231174E-3</v>
      </c>
    </row>
    <row r="439" spans="23:35" x14ac:dyDescent="0.25">
      <c r="W439">
        <v>437</v>
      </c>
      <c r="X439">
        <v>68.709023108086228</v>
      </c>
      <c r="Y439">
        <v>4.8909768919137662</v>
      </c>
      <c r="Z439">
        <v>68.633518826760096</v>
      </c>
      <c r="AA439">
        <v>0.65433596118859916</v>
      </c>
      <c r="AB439">
        <v>64.900000000000006</v>
      </c>
      <c r="AC439">
        <v>0.3716850598056044</v>
      </c>
      <c r="AD439">
        <v>0.66257682976191923</v>
      </c>
      <c r="AE439">
        <v>-0.50489771566588215</v>
      </c>
      <c r="AF439">
        <v>1.520277208196506E-2</v>
      </c>
      <c r="AG439">
        <v>0.66767149597227582</v>
      </c>
      <c r="AH439">
        <v>-0.50641910820211222</v>
      </c>
      <c r="AI439">
        <v>3.8232186306284035E-4</v>
      </c>
    </row>
    <row r="440" spans="23:35" x14ac:dyDescent="0.25">
      <c r="W440">
        <v>438</v>
      </c>
      <c r="X440">
        <v>70.916039357202663</v>
      </c>
      <c r="Y440">
        <v>2.4839606427973422</v>
      </c>
      <c r="Z440">
        <v>70.890922626712239</v>
      </c>
      <c r="AA440">
        <v>0.63735597331716187</v>
      </c>
      <c r="AB440">
        <v>64.900000000000006</v>
      </c>
      <c r="AC440">
        <v>0.33286538375086522</v>
      </c>
      <c r="AD440">
        <v>0.33650021341933989</v>
      </c>
      <c r="AE440">
        <v>-0.50254059744941171</v>
      </c>
      <c r="AF440">
        <v>1.0010345140339908E-2</v>
      </c>
      <c r="AG440">
        <v>0.33819720635281902</v>
      </c>
      <c r="AH440">
        <v>-0.50585568745324883</v>
      </c>
      <c r="AI440">
        <v>6.4251892149107511E-5</v>
      </c>
    </row>
    <row r="441" spans="23:35" x14ac:dyDescent="0.25">
      <c r="W441">
        <v>439</v>
      </c>
      <c r="X441">
        <v>72.061446183902063</v>
      </c>
      <c r="Y441">
        <v>3.8553816097930849E-2</v>
      </c>
      <c r="Z441">
        <v>72.061371005623684</v>
      </c>
      <c r="AA441">
        <v>0.5312310491206792</v>
      </c>
      <c r="AB441">
        <v>64.900000000000006</v>
      </c>
      <c r="AC441">
        <v>6.3887210036911155E-2</v>
      </c>
      <c r="AD441">
        <v>5.2228554356133433E-3</v>
      </c>
      <c r="AE441">
        <v>-0.50084633535343237</v>
      </c>
      <c r="AF441">
        <v>1.9461619332488268E-3</v>
      </c>
      <c r="AG441">
        <v>5.2279451270579895E-3</v>
      </c>
      <c r="AH441">
        <v>-0.50518584257782073</v>
      </c>
      <c r="AI441">
        <v>2.9608372806691392E-9</v>
      </c>
    </row>
    <row r="442" spans="23:35" x14ac:dyDescent="0.25">
      <c r="W442">
        <v>440</v>
      </c>
      <c r="X442">
        <v>68.433683686683224</v>
      </c>
      <c r="Y442">
        <v>4.66631631331677</v>
      </c>
      <c r="Z442">
        <v>68.387739425992152</v>
      </c>
      <c r="AA442">
        <v>0.61491813220133418</v>
      </c>
      <c r="AB442">
        <v>65</v>
      </c>
      <c r="AC442">
        <v>0.27870266916975811</v>
      </c>
      <c r="AD442">
        <v>0.63214223617686716</v>
      </c>
      <c r="AE442">
        <v>-0.49996649048968878</v>
      </c>
      <c r="AF442">
        <v>9.7499406005899167E-3</v>
      </c>
      <c r="AG442">
        <v>0.63524663008062066</v>
      </c>
      <c r="AH442">
        <v>-0.50183975363477062</v>
      </c>
      <c r="AI442">
        <v>2.2073404774822935E-4</v>
      </c>
    </row>
    <row r="443" spans="23:35" x14ac:dyDescent="0.25">
      <c r="W443">
        <v>441</v>
      </c>
      <c r="X443">
        <v>71.155952827394316</v>
      </c>
      <c r="Y443">
        <v>1.544047172605687</v>
      </c>
      <c r="Z443">
        <v>71.153671628083671</v>
      </c>
      <c r="AA443">
        <v>0.57246816252274102</v>
      </c>
      <c r="AB443">
        <v>65</v>
      </c>
      <c r="AC443">
        <v>0.16337348484333708</v>
      </c>
      <c r="AD443">
        <v>0.20917086775023114</v>
      </c>
      <c r="AE443">
        <v>-0.49384190000498296</v>
      </c>
      <c r="AF443">
        <v>1.4752360184792329E-3</v>
      </c>
      <c r="AG443">
        <v>0.20932532686805752</v>
      </c>
      <c r="AH443">
        <v>-0.50138355599982398</v>
      </c>
      <c r="AI443">
        <v>3.5964474440550941E-6</v>
      </c>
    </row>
    <row r="444" spans="23:35" x14ac:dyDescent="0.25">
      <c r="W444">
        <v>442</v>
      </c>
      <c r="X444">
        <v>68.962703421546252</v>
      </c>
      <c r="Y444">
        <v>4.6372965784537428</v>
      </c>
      <c r="Z444">
        <v>68.920484424946778</v>
      </c>
      <c r="AA444">
        <v>0.65433596118859916</v>
      </c>
      <c r="AB444">
        <v>65</v>
      </c>
      <c r="AC444">
        <v>0.3716850598056044</v>
      </c>
      <c r="AD444">
        <v>0.62821095529965321</v>
      </c>
      <c r="AE444">
        <v>-0.49284216537501313</v>
      </c>
      <c r="AF444">
        <v>9.0220869921989414E-3</v>
      </c>
      <c r="AG444">
        <v>0.63106416324263681</v>
      </c>
      <c r="AH444">
        <v>-0.49677315865169014</v>
      </c>
      <c r="AI444">
        <v>2.0142694534718375E-4</v>
      </c>
    </row>
    <row r="445" spans="23:35" x14ac:dyDescent="0.25">
      <c r="W445">
        <v>443</v>
      </c>
      <c r="X445">
        <v>69.72683346711321</v>
      </c>
      <c r="Y445">
        <v>3.5731665328867876</v>
      </c>
      <c r="Z445">
        <v>69.720101572026238</v>
      </c>
      <c r="AA445">
        <v>0.63007883565797451</v>
      </c>
      <c r="AB445">
        <v>65</v>
      </c>
      <c r="AC445">
        <v>0.3152427890443939</v>
      </c>
      <c r="AD445">
        <v>0.48405408692191748</v>
      </c>
      <c r="AE445">
        <v>-0.48818385587735236</v>
      </c>
      <c r="AF445">
        <v>1.8804709749234766E-3</v>
      </c>
      <c r="AG445">
        <v>0.4845098546465999</v>
      </c>
      <c r="AH445">
        <v>-0.49483383521147967</v>
      </c>
      <c r="AI445">
        <v>2.457065907000011E-5</v>
      </c>
    </row>
    <row r="446" spans="23:35" x14ac:dyDescent="0.25">
      <c r="W446">
        <v>444</v>
      </c>
      <c r="X446">
        <v>64.281417954585379</v>
      </c>
      <c r="Y446">
        <v>8.6185820454146267</v>
      </c>
      <c r="Z446">
        <v>64.237001871969923</v>
      </c>
      <c r="AA446">
        <v>0.58762886597938147</v>
      </c>
      <c r="AB446">
        <v>65</v>
      </c>
      <c r="AC446">
        <v>0.206674078513852</v>
      </c>
      <c r="AD446">
        <v>1.1675525963197504</v>
      </c>
      <c r="AE446">
        <v>-0.48640914725870715</v>
      </c>
      <c r="AF446">
        <v>5.1271028758210248E-3</v>
      </c>
      <c r="AG446">
        <v>1.1705572362294892</v>
      </c>
      <c r="AH446">
        <v>-0.48904219759503675</v>
      </c>
      <c r="AI446">
        <v>3.9229903061193961E-4</v>
      </c>
    </row>
    <row r="447" spans="23:35" x14ac:dyDescent="0.25">
      <c r="W447">
        <v>445</v>
      </c>
      <c r="X447">
        <v>69.163299360512951</v>
      </c>
      <c r="Y447">
        <v>3.1367006394870458</v>
      </c>
      <c r="Z447">
        <v>69.158583215516813</v>
      </c>
      <c r="AA447">
        <v>0.54578532443905392</v>
      </c>
      <c r="AB447">
        <v>65</v>
      </c>
      <c r="AC447">
        <v>9.896716322379942E-2</v>
      </c>
      <c r="AD447">
        <v>0.42492639232452017</v>
      </c>
      <c r="AE447">
        <v>-0.48467200834937652</v>
      </c>
      <c r="AF447">
        <v>1.5012796198959973E-3</v>
      </c>
      <c r="AG447">
        <v>0.42524571858441684</v>
      </c>
      <c r="AH447">
        <v>-0.4881408336592114</v>
      </c>
      <c r="AI447">
        <v>1.5105025780972506E-5</v>
      </c>
    </row>
    <row r="448" spans="23:35" x14ac:dyDescent="0.25">
      <c r="W448">
        <v>446</v>
      </c>
      <c r="X448">
        <v>66.986533247809149</v>
      </c>
      <c r="Y448">
        <v>2.713466752190854</v>
      </c>
      <c r="Z448">
        <v>66.980462970161184</v>
      </c>
      <c r="AA448">
        <v>0.45057610673135234</v>
      </c>
      <c r="AB448">
        <v>65</v>
      </c>
      <c r="AC448">
        <v>-0.12956927093944987</v>
      </c>
      <c r="AD448">
        <v>0.36759122728701005</v>
      </c>
      <c r="AE448">
        <v>-0.48302173854719027</v>
      </c>
      <c r="AF448">
        <v>2.2320996483442086E-3</v>
      </c>
      <c r="AG448">
        <v>0.36800216548094533</v>
      </c>
      <c r="AH448">
        <v>-0.48399534824235485</v>
      </c>
      <c r="AI448">
        <v>1.6831092024300132E-5</v>
      </c>
    </row>
    <row r="449" spans="23:35" x14ac:dyDescent="0.25">
      <c r="W449">
        <v>447</v>
      </c>
      <c r="X449">
        <v>67.331260147702608</v>
      </c>
      <c r="Y449">
        <v>1.9687398522973893</v>
      </c>
      <c r="Z449">
        <v>67.327109558923141</v>
      </c>
      <c r="AA449">
        <v>0.4329896907216495</v>
      </c>
      <c r="AB449">
        <v>65</v>
      </c>
      <c r="AC449">
        <v>-0.17879863688351211</v>
      </c>
      <c r="AD449">
        <v>0.2667036542572469</v>
      </c>
      <c r="AE449">
        <v>-0.48210976116327076</v>
      </c>
      <c r="AF449">
        <v>2.1038110850215672E-3</v>
      </c>
      <c r="AG449">
        <v>0.26698464475036487</v>
      </c>
      <c r="AH449">
        <v>-0.4834923037254954</v>
      </c>
      <c r="AI449">
        <v>8.3487496537030617E-6</v>
      </c>
    </row>
    <row r="450" spans="23:35" x14ac:dyDescent="0.25">
      <c r="W450">
        <v>448</v>
      </c>
      <c r="X450">
        <v>64.815846722684583</v>
      </c>
      <c r="Y450">
        <v>8.1841532773154171</v>
      </c>
      <c r="Z450">
        <v>64.794736612359245</v>
      </c>
      <c r="AA450">
        <v>0.60946027895694366</v>
      </c>
      <c r="AB450">
        <v>65</v>
      </c>
      <c r="AC450">
        <v>0.22222871718700732</v>
      </c>
      <c r="AD450">
        <v>1.1087008695000142</v>
      </c>
      <c r="AE450">
        <v>-0.48195919469260412</v>
      </c>
      <c r="AF450">
        <v>2.5727523088575214E-3</v>
      </c>
      <c r="AG450">
        <v>1.1101298337311134</v>
      </c>
      <c r="AH450">
        <v>-0.48292950013110791</v>
      </c>
      <c r="AI450">
        <v>1.7660044418839899E-4</v>
      </c>
    </row>
    <row r="451" spans="23:35" x14ac:dyDescent="0.25">
      <c r="W451">
        <v>449</v>
      </c>
      <c r="X451">
        <v>67.006013124640447</v>
      </c>
      <c r="Y451">
        <v>4.393986875359559</v>
      </c>
      <c r="Z451">
        <v>66.998145822683739</v>
      </c>
      <c r="AA451">
        <v>0.4887810794420861</v>
      </c>
      <c r="AB451">
        <v>65</v>
      </c>
      <c r="AC451">
        <v>-4.7140240828996732E-2</v>
      </c>
      <c r="AD451">
        <v>0.59524997934554713</v>
      </c>
      <c r="AE451">
        <v>-0.47941969339208274</v>
      </c>
      <c r="AF451">
        <v>1.787270009364109E-3</v>
      </c>
      <c r="AG451">
        <v>0.59578262966251594</v>
      </c>
      <c r="AH451">
        <v>-0.48098857387803429</v>
      </c>
      <c r="AI451">
        <v>3.5307765438504442E-5</v>
      </c>
    </row>
    <row r="452" spans="23:35" x14ac:dyDescent="0.25">
      <c r="W452">
        <v>450</v>
      </c>
      <c r="X452">
        <v>65.801479877327495</v>
      </c>
      <c r="Y452">
        <v>5.3985201226725081</v>
      </c>
      <c r="Z452">
        <v>65.794518388885749</v>
      </c>
      <c r="AA452">
        <v>0.47907822922983628</v>
      </c>
      <c r="AB452">
        <v>65</v>
      </c>
      <c r="AC452">
        <v>-6.3887210036911155E-2</v>
      </c>
      <c r="AD452">
        <v>0.7313333158862414</v>
      </c>
      <c r="AE452">
        <v>-0.47929538587684783</v>
      </c>
      <c r="AF452">
        <v>1.2878572054386428E-3</v>
      </c>
      <c r="AG452">
        <v>0.73180469767968681</v>
      </c>
      <c r="AH452">
        <v>-0.48067157426387885</v>
      </c>
      <c r="AI452">
        <v>3.8365888724738485E-5</v>
      </c>
    </row>
    <row r="453" spans="23:35" x14ac:dyDescent="0.25">
      <c r="W453">
        <v>451</v>
      </c>
      <c r="X453">
        <v>65.813013198397101</v>
      </c>
      <c r="Y453">
        <v>6.1869868016028988</v>
      </c>
      <c r="Z453">
        <v>65.803694575436424</v>
      </c>
      <c r="AA453">
        <v>0.52516676773802307</v>
      </c>
      <c r="AB453">
        <v>65.099999999999994</v>
      </c>
      <c r="AC453">
        <v>4.1053957112594373E-2</v>
      </c>
      <c r="AD453">
        <v>0.83814628271140101</v>
      </c>
      <c r="AE453">
        <v>-0.479064253279889</v>
      </c>
      <c r="AF453">
        <v>1.5038998761643769E-3</v>
      </c>
      <c r="AG453">
        <v>0.83877723851681507</v>
      </c>
      <c r="AH453">
        <v>-0.479923964937432</v>
      </c>
      <c r="AI453">
        <v>5.8869902825928534E-5</v>
      </c>
    </row>
    <row r="454" spans="23:35" x14ac:dyDescent="0.25">
      <c r="W454">
        <v>452</v>
      </c>
      <c r="X454">
        <v>77.113141186891411</v>
      </c>
      <c r="Y454">
        <v>-1.1131411868914114</v>
      </c>
      <c r="Z454">
        <v>77.117612130416916</v>
      </c>
      <c r="AA454">
        <v>0.80836870830806551</v>
      </c>
      <c r="AB454">
        <v>65.099999999999994</v>
      </c>
      <c r="AC454">
        <v>0.83794453378675593</v>
      </c>
      <c r="AD454">
        <v>-0.15079636951614023</v>
      </c>
      <c r="AE454">
        <v>-0.47849390683881898</v>
      </c>
      <c r="AF454">
        <v>4.0004429120133441E-3</v>
      </c>
      <c r="AG454">
        <v>-0.15109890365605902</v>
      </c>
      <c r="AH454">
        <v>-0.47897627283536209</v>
      </c>
      <c r="AI454">
        <v>5.0944705170647453E-6</v>
      </c>
    </row>
    <row r="455" spans="23:35" x14ac:dyDescent="0.25">
      <c r="W455">
        <v>453</v>
      </c>
      <c r="X455">
        <v>75.238128893130011</v>
      </c>
      <c r="Y455">
        <v>0.76187110686998949</v>
      </c>
      <c r="Z455">
        <v>75.236653843115917</v>
      </c>
      <c r="AA455">
        <v>0.80836870830806551</v>
      </c>
      <c r="AB455">
        <v>65.099999999999994</v>
      </c>
      <c r="AC455">
        <v>0.83794453378675593</v>
      </c>
      <c r="AD455">
        <v>0.10321008539453598</v>
      </c>
      <c r="AE455">
        <v>-0.47798958491173493</v>
      </c>
      <c r="AF455">
        <v>1.9323474688266867E-3</v>
      </c>
      <c r="AG455">
        <v>0.10330994901991655</v>
      </c>
      <c r="AH455">
        <v>-0.47853777166855355</v>
      </c>
      <c r="AI455">
        <v>1.1479871628855E-6</v>
      </c>
    </row>
    <row r="456" spans="23:35" x14ac:dyDescent="0.25">
      <c r="W456">
        <v>454</v>
      </c>
      <c r="X456">
        <v>73.966434585758307</v>
      </c>
      <c r="Y456">
        <v>1.5335654142416928</v>
      </c>
      <c r="Z456">
        <v>73.96375919633256</v>
      </c>
      <c r="AA456">
        <v>0.78411158277744086</v>
      </c>
      <c r="AB456">
        <v>65.099999999999994</v>
      </c>
      <c r="AC456">
        <v>0.77276680816182786</v>
      </c>
      <c r="AD456">
        <v>0.20775091210933905</v>
      </c>
      <c r="AE456">
        <v>-0.47699830110634994</v>
      </c>
      <c r="AF456">
        <v>1.741516967494514E-3</v>
      </c>
      <c r="AG456">
        <v>0.20793204960344452</v>
      </c>
      <c r="AH456">
        <v>-0.47850892790347305</v>
      </c>
      <c r="AI456">
        <v>4.1903959805337578E-6</v>
      </c>
    </row>
    <row r="457" spans="23:35" x14ac:dyDescent="0.25">
      <c r="W457">
        <v>455</v>
      </c>
      <c r="X457">
        <v>72.669652963402797</v>
      </c>
      <c r="Y457">
        <v>2.6303470365972004</v>
      </c>
      <c r="Z457">
        <v>72.665492802016317</v>
      </c>
      <c r="AA457">
        <v>0.77258944815039421</v>
      </c>
      <c r="AB457">
        <v>65.099999999999994</v>
      </c>
      <c r="AC457">
        <v>0.72844171022016913</v>
      </c>
      <c r="AD457">
        <v>0.35633106416094668</v>
      </c>
      <c r="AE457">
        <v>-0.47657315311528264</v>
      </c>
      <c r="AF457">
        <v>1.5791042019765466E-3</v>
      </c>
      <c r="AG457">
        <v>0.35661273974155538</v>
      </c>
      <c r="AH457">
        <v>-0.47807549821239276</v>
      </c>
      <c r="AI457">
        <v>1.1174248631055611E-5</v>
      </c>
    </row>
    <row r="458" spans="23:35" x14ac:dyDescent="0.25">
      <c r="W458">
        <v>456</v>
      </c>
      <c r="X458">
        <v>67.121651038641858</v>
      </c>
      <c r="Y458">
        <v>7.8783489613581423</v>
      </c>
      <c r="Z458">
        <v>67.008460067358783</v>
      </c>
      <c r="AA458">
        <v>0.76046088538508183</v>
      </c>
      <c r="AB458">
        <v>65.099999999999994</v>
      </c>
      <c r="AC458">
        <v>0.67020216077934069</v>
      </c>
      <c r="AD458">
        <v>1.0672737970210024</v>
      </c>
      <c r="AE458">
        <v>-0.47622208310695224</v>
      </c>
      <c r="AF458">
        <v>1.4163849800805581E-2</v>
      </c>
      <c r="AG458">
        <v>1.0749134010253731</v>
      </c>
      <c r="AH458">
        <v>-0.47675385243364798</v>
      </c>
      <c r="AI458">
        <v>9.2225500899807873E-4</v>
      </c>
    </row>
    <row r="459" spans="23:35" x14ac:dyDescent="0.25">
      <c r="W459">
        <v>457</v>
      </c>
      <c r="X459">
        <v>68.418082231369581</v>
      </c>
      <c r="Y459">
        <v>6.681917768630413</v>
      </c>
      <c r="Z459">
        <v>68.374298508172998</v>
      </c>
      <c r="AA459">
        <v>0.76288659793814428</v>
      </c>
      <c r="AB459">
        <v>65.099999999999994</v>
      </c>
      <c r="AC459">
        <v>0.70876261491573156</v>
      </c>
      <c r="AD459">
        <v>0.90519419529227141</v>
      </c>
      <c r="AE459">
        <v>-0.47340621390981558</v>
      </c>
      <c r="AF459">
        <v>6.5099117541551925E-3</v>
      </c>
      <c r="AG459">
        <v>0.90815502638793633</v>
      </c>
      <c r="AH459">
        <v>-0.47475706677780266</v>
      </c>
      <c r="AI459">
        <v>3.0023342436775015E-4</v>
      </c>
    </row>
    <row r="460" spans="23:35" x14ac:dyDescent="0.25">
      <c r="W460">
        <v>458</v>
      </c>
      <c r="X460">
        <v>73.037655745415904</v>
      </c>
      <c r="Y460">
        <v>1.5623442545840902</v>
      </c>
      <c r="Z460">
        <v>73.03485958103488</v>
      </c>
      <c r="AA460">
        <v>0.73013947847180105</v>
      </c>
      <c r="AB460">
        <v>65.2</v>
      </c>
      <c r="AC460">
        <v>0.59589828697336056</v>
      </c>
      <c r="AD460">
        <v>0.21164955919348608</v>
      </c>
      <c r="AE460">
        <v>-0.47069733231037164</v>
      </c>
      <c r="AF460">
        <v>1.7865262101366892E-3</v>
      </c>
      <c r="AG460">
        <v>0.21183887163244092</v>
      </c>
      <c r="AH460">
        <v>-0.47436949606820317</v>
      </c>
      <c r="AI460">
        <v>4.4619507090468871E-6</v>
      </c>
    </row>
    <row r="461" spans="23:35" x14ac:dyDescent="0.25">
      <c r="W461">
        <v>459</v>
      </c>
      <c r="X461">
        <v>72.226099872642806</v>
      </c>
      <c r="Y461">
        <v>2.4739001273571972</v>
      </c>
      <c r="Z461">
        <v>72.219433489765649</v>
      </c>
      <c r="AA461">
        <v>0.7362037598544573</v>
      </c>
      <c r="AB461">
        <v>65.2</v>
      </c>
      <c r="AC461">
        <v>0.61415241452626612</v>
      </c>
      <c r="AD461">
        <v>0.33513732322921802</v>
      </c>
      <c r="AE461">
        <v>-0.46959796506662227</v>
      </c>
      <c r="AF461">
        <v>2.6874437148346978E-3</v>
      </c>
      <c r="AG461">
        <v>0.33558856429336176</v>
      </c>
      <c r="AH461">
        <v>-0.47267810615160133</v>
      </c>
      <c r="AI461">
        <v>1.6859701901825713E-5</v>
      </c>
    </row>
    <row r="462" spans="23:35" x14ac:dyDescent="0.25">
      <c r="W462">
        <v>460</v>
      </c>
      <c r="X462">
        <v>73.118962072417787</v>
      </c>
      <c r="Y462">
        <v>1.2810379275822186</v>
      </c>
      <c r="Z462">
        <v>73.11656369913679</v>
      </c>
      <c r="AA462">
        <v>0.71376591873862949</v>
      </c>
      <c r="AB462">
        <v>65.2</v>
      </c>
      <c r="AC462">
        <v>0.54051528578164909</v>
      </c>
      <c r="AD462">
        <v>0.17354121019575869</v>
      </c>
      <c r="AE462">
        <v>-0.46887936472751346</v>
      </c>
      <c r="AF462">
        <v>1.8687123617982006E-3</v>
      </c>
      <c r="AG462">
        <v>0.17370358711042938</v>
      </c>
      <c r="AH462">
        <v>-0.47037647458508636</v>
      </c>
      <c r="AI462">
        <v>3.1383390319460485E-6</v>
      </c>
    </row>
    <row r="463" spans="23:35" x14ac:dyDescent="0.25">
      <c r="W463">
        <v>461</v>
      </c>
      <c r="X463">
        <v>72.310594220238983</v>
      </c>
      <c r="Y463">
        <v>1.8894057797610202</v>
      </c>
      <c r="Z463">
        <v>72.307311114381136</v>
      </c>
      <c r="AA463">
        <v>0.7010309278350515</v>
      </c>
      <c r="AB463">
        <v>65.2</v>
      </c>
      <c r="AC463">
        <v>0.5039283835636299</v>
      </c>
      <c r="AD463">
        <v>0.25595632924735884</v>
      </c>
      <c r="AE463">
        <v>-0.46583299304946491</v>
      </c>
      <c r="AF463">
        <v>1.7346252111419143E-3</v>
      </c>
      <c r="AG463">
        <v>0.25617861262379071</v>
      </c>
      <c r="AH463">
        <v>-0.46686550276796901</v>
      </c>
      <c r="AI463">
        <v>6.335383074529713E-6</v>
      </c>
    </row>
    <row r="464" spans="23:35" x14ac:dyDescent="0.25">
      <c r="W464">
        <v>462</v>
      </c>
      <c r="X464">
        <v>66.75063272510954</v>
      </c>
      <c r="Y464">
        <v>7.6493672748904658</v>
      </c>
      <c r="Z464">
        <v>66.64424155563907</v>
      </c>
      <c r="AA464">
        <v>0.71376591873862949</v>
      </c>
      <c r="AB464">
        <v>65.2</v>
      </c>
      <c r="AC464">
        <v>0.54051528578164909</v>
      </c>
      <c r="AD464">
        <v>1.0362538263186003</v>
      </c>
      <c r="AE464">
        <v>-0.46538802908460464</v>
      </c>
      <c r="AF464">
        <v>1.3717700239597379E-2</v>
      </c>
      <c r="AG464">
        <v>1.0434353060848098</v>
      </c>
      <c r="AH464">
        <v>-0.46678565314459425</v>
      </c>
      <c r="AI464">
        <v>8.4127623207928511E-4</v>
      </c>
    </row>
    <row r="465" spans="23:35" x14ac:dyDescent="0.25">
      <c r="W465">
        <v>463</v>
      </c>
      <c r="X465">
        <v>71.994108465793673</v>
      </c>
      <c r="Y465">
        <v>2.4058915342063329</v>
      </c>
      <c r="Z465">
        <v>71.989695875177588</v>
      </c>
      <c r="AA465">
        <v>0.71376591873862949</v>
      </c>
      <c r="AB465">
        <v>65.2</v>
      </c>
      <c r="AC465">
        <v>0.54051528578164909</v>
      </c>
      <c r="AD465">
        <v>0.32592425208979658</v>
      </c>
      <c r="AE465">
        <v>-0.46422077586047716</v>
      </c>
      <c r="AF465">
        <v>1.8307194393632942E-3</v>
      </c>
      <c r="AG465">
        <v>0.32622300027754941</v>
      </c>
      <c r="AH465">
        <v>-0.46469780588472753</v>
      </c>
      <c r="AI465">
        <v>1.0843618834501357E-5</v>
      </c>
    </row>
    <row r="466" spans="23:35" x14ac:dyDescent="0.25">
      <c r="W466">
        <v>464</v>
      </c>
      <c r="X466">
        <v>69.345856043786995</v>
      </c>
      <c r="Y466">
        <v>4.2541439562129995</v>
      </c>
      <c r="Z466">
        <v>69.338784718991349</v>
      </c>
      <c r="AA466">
        <v>0.65433596118859916</v>
      </c>
      <c r="AB466">
        <v>65.3</v>
      </c>
      <c r="AC466">
        <v>0.3716850598056044</v>
      </c>
      <c r="AD466">
        <v>0.57630556801823773</v>
      </c>
      <c r="AE466">
        <v>-0.46341459347517366</v>
      </c>
      <c r="AF466">
        <v>1.6594619913158912E-3</v>
      </c>
      <c r="AG466">
        <v>0.57678434257459865</v>
      </c>
      <c r="AH466">
        <v>-0.46457385445741151</v>
      </c>
      <c r="AI466">
        <v>3.0721542921035568E-5</v>
      </c>
    </row>
    <row r="467" spans="23:35" x14ac:dyDescent="0.25">
      <c r="W467">
        <v>465</v>
      </c>
      <c r="X467">
        <v>63.188521702517924</v>
      </c>
      <c r="Y467">
        <v>10.211478297482081</v>
      </c>
      <c r="Z467">
        <v>63.051725616307493</v>
      </c>
      <c r="AA467">
        <v>0.63735597331716187</v>
      </c>
      <c r="AB467">
        <v>65.3</v>
      </c>
      <c r="AC467">
        <v>0.33286538375086522</v>
      </c>
      <c r="AD467">
        <v>1.3833410108140842</v>
      </c>
      <c r="AE467">
        <v>-0.45841759078409072</v>
      </c>
      <c r="AF467">
        <v>1.3219217150446536E-2</v>
      </c>
      <c r="AG467">
        <v>1.3925760145963562</v>
      </c>
      <c r="AH467">
        <v>-0.45966055992234778</v>
      </c>
      <c r="AI467">
        <v>1.4432792568460145E-3</v>
      </c>
    </row>
    <row r="468" spans="23:35" x14ac:dyDescent="0.25">
      <c r="W468">
        <v>466</v>
      </c>
      <c r="X468">
        <v>66.740424365132299</v>
      </c>
      <c r="Y468">
        <v>6.0595756348676986</v>
      </c>
      <c r="Z468">
        <v>66.709852060404558</v>
      </c>
      <c r="AA468">
        <v>0.58156458459672533</v>
      </c>
      <c r="AB468">
        <v>65.3</v>
      </c>
      <c r="AC468">
        <v>0.18343432307636306</v>
      </c>
      <c r="AD468">
        <v>0.82088599119964856</v>
      </c>
      <c r="AE468">
        <v>-0.45514331008989684</v>
      </c>
      <c r="AF468">
        <v>5.0199609321438174E-3</v>
      </c>
      <c r="AG468">
        <v>0.82295418897205919</v>
      </c>
      <c r="AH468">
        <v>-0.45625733620894149</v>
      </c>
      <c r="AI468">
        <v>1.8982997231310056E-4</v>
      </c>
    </row>
    <row r="469" spans="23:35" x14ac:dyDescent="0.25">
      <c r="W469">
        <v>467</v>
      </c>
      <c r="X469">
        <v>76.542308750552763</v>
      </c>
      <c r="Y469">
        <v>-3.2423087505527661</v>
      </c>
      <c r="Z469">
        <v>76.54945599663148</v>
      </c>
      <c r="AA469">
        <v>0.63007883565797451</v>
      </c>
      <c r="AB469">
        <v>65.3</v>
      </c>
      <c r="AC469">
        <v>0.3152427890443939</v>
      </c>
      <c r="AD469">
        <v>-0.43923304086803644</v>
      </c>
      <c r="AE469">
        <v>-0.45477483907488458</v>
      </c>
      <c r="AF469">
        <v>2.199520807827655E-3</v>
      </c>
      <c r="AG469">
        <v>-0.43971689029860334</v>
      </c>
      <c r="AH469">
        <v>-0.4553113809327109</v>
      </c>
      <c r="AI469">
        <v>2.3678716479144493E-5</v>
      </c>
    </row>
    <row r="470" spans="23:35" x14ac:dyDescent="0.25">
      <c r="W470">
        <v>468</v>
      </c>
      <c r="X470">
        <v>76.515352634247833</v>
      </c>
      <c r="Y470">
        <v>-3.515352634247833</v>
      </c>
      <c r="Z470">
        <v>76.523207794562182</v>
      </c>
      <c r="AA470">
        <v>0.60946027895694366</v>
      </c>
      <c r="AB470">
        <v>65.3</v>
      </c>
      <c r="AC470">
        <v>0.22222871718700732</v>
      </c>
      <c r="AD470">
        <v>-0.47622208310695224</v>
      </c>
      <c r="AE470">
        <v>-0.45361937735587821</v>
      </c>
      <c r="AF470">
        <v>2.229547836059284E-3</v>
      </c>
      <c r="AG470">
        <v>-0.47675385243364798</v>
      </c>
      <c r="AH470">
        <v>-0.45509955393047735</v>
      </c>
      <c r="AI470">
        <v>2.8216430526046104E-5</v>
      </c>
    </row>
    <row r="471" spans="23:35" x14ac:dyDescent="0.25">
      <c r="W471">
        <v>469</v>
      </c>
      <c r="X471">
        <v>75.976261671259451</v>
      </c>
      <c r="Y471">
        <v>-2.9762616712594507</v>
      </c>
      <c r="Z471">
        <v>75.982537546196696</v>
      </c>
      <c r="AA471">
        <v>0.60946027895694366</v>
      </c>
      <c r="AB471">
        <v>65.400000000000006</v>
      </c>
      <c r="AC471">
        <v>0.22222871718700732</v>
      </c>
      <c r="AD471">
        <v>-0.40319185027132343</v>
      </c>
      <c r="AE471">
        <v>-0.45098214493021205</v>
      </c>
      <c r="AF471">
        <v>2.1042065154354486E-3</v>
      </c>
      <c r="AG471">
        <v>-0.40361672035898244</v>
      </c>
      <c r="AH471">
        <v>-0.45373949855973778</v>
      </c>
      <c r="AI471">
        <v>1.9083980420815513E-5</v>
      </c>
    </row>
    <row r="472" spans="23:35" x14ac:dyDescent="0.25">
      <c r="W472">
        <v>470</v>
      </c>
      <c r="X472">
        <v>70.092530984949803</v>
      </c>
      <c r="Y472">
        <v>1.9074690150501965</v>
      </c>
      <c r="Z472">
        <v>70.064077696351063</v>
      </c>
      <c r="AA472">
        <v>0.52516676773802307</v>
      </c>
      <c r="AB472">
        <v>65.400000000000006</v>
      </c>
      <c r="AC472">
        <v>4.1053957112594373E-2</v>
      </c>
      <c r="AD472">
        <v>0.25840334166177714</v>
      </c>
      <c r="AE472">
        <v>-0.45081871923262778</v>
      </c>
      <c r="AF472">
        <v>1.4697536437857837E-2</v>
      </c>
      <c r="AG472">
        <v>0.26032348002052103</v>
      </c>
      <c r="AH472">
        <v>-0.45139600567340826</v>
      </c>
      <c r="AI472">
        <v>5.6160265776019286E-5</v>
      </c>
    </row>
    <row r="473" spans="23:35" x14ac:dyDescent="0.25">
      <c r="W473">
        <v>471</v>
      </c>
      <c r="X473">
        <v>74.656654723737716</v>
      </c>
      <c r="Y473">
        <v>-2.6566547237377165</v>
      </c>
      <c r="Z473">
        <v>74.662074404166958</v>
      </c>
      <c r="AA473">
        <v>0.52516676773802307</v>
      </c>
      <c r="AB473">
        <v>65.400000000000006</v>
      </c>
      <c r="AC473">
        <v>4.1053957112594373E-2</v>
      </c>
      <c r="AD473">
        <v>-0.35989494604571903</v>
      </c>
      <c r="AE473">
        <v>-0.45042297024999184</v>
      </c>
      <c r="AF473">
        <v>2.035886157336771E-3</v>
      </c>
      <c r="AG473">
        <v>-0.36026185895492502</v>
      </c>
      <c r="AH473">
        <v>-0.45128926581850354</v>
      </c>
      <c r="AI473">
        <v>1.4709659882226277E-5</v>
      </c>
    </row>
    <row r="474" spans="23:35" x14ac:dyDescent="0.25">
      <c r="W474">
        <v>472</v>
      </c>
      <c r="X474">
        <v>72.442299341054309</v>
      </c>
      <c r="Y474">
        <v>-1.0422993410543029</v>
      </c>
      <c r="Z474">
        <v>72.444926310729926</v>
      </c>
      <c r="AA474">
        <v>0.4887810794420861</v>
      </c>
      <c r="AB474">
        <v>65.400000000000006</v>
      </c>
      <c r="AC474">
        <v>-4.7140240828996732E-2</v>
      </c>
      <c r="AD474">
        <v>-0.14119947984225184</v>
      </c>
      <c r="AE474">
        <v>-0.44949646226587769</v>
      </c>
      <c r="AF474">
        <v>2.5140238585646645E-3</v>
      </c>
      <c r="AG474">
        <v>-0.14137730463498344</v>
      </c>
      <c r="AH474">
        <v>-0.44988755404085989</v>
      </c>
      <c r="AI474">
        <v>2.7986557835464042E-6</v>
      </c>
    </row>
    <row r="475" spans="23:35" x14ac:dyDescent="0.25">
      <c r="W475">
        <v>473</v>
      </c>
      <c r="X475">
        <v>76.78545210356863</v>
      </c>
      <c r="Y475">
        <v>-5.0854521035686275</v>
      </c>
      <c r="Z475">
        <v>76.797189040863884</v>
      </c>
      <c r="AA475">
        <v>0.50394178289872649</v>
      </c>
      <c r="AB475">
        <v>65.400000000000006</v>
      </c>
      <c r="AC475">
        <v>-4.5602855597810616E-3</v>
      </c>
      <c r="AD475">
        <v>-0.68892223519995988</v>
      </c>
      <c r="AE475">
        <v>-0.44792477747097253</v>
      </c>
      <c r="AF475">
        <v>2.302629390661606E-3</v>
      </c>
      <c r="AG475">
        <v>-0.68971677390301189</v>
      </c>
      <c r="AH475">
        <v>-0.44854793892217554</v>
      </c>
      <c r="AI475">
        <v>6.0995007244675632E-5</v>
      </c>
    </row>
    <row r="476" spans="23:35" x14ac:dyDescent="0.25">
      <c r="W476">
        <v>474</v>
      </c>
      <c r="X476">
        <v>68.895409887984215</v>
      </c>
      <c r="Y476">
        <v>2.3045901120157879</v>
      </c>
      <c r="Z476">
        <v>68.877714776406293</v>
      </c>
      <c r="AA476">
        <v>0.47907822922983628</v>
      </c>
      <c r="AB476">
        <v>65.5</v>
      </c>
      <c r="AC476">
        <v>-6.3887210036911155E-2</v>
      </c>
      <c r="AD476">
        <v>0.31220102733354099</v>
      </c>
      <c r="AE476">
        <v>-0.44484393542760003</v>
      </c>
      <c r="AF476">
        <v>7.6196977865344122E-3</v>
      </c>
      <c r="AG476">
        <v>0.31339730689615786</v>
      </c>
      <c r="AH476">
        <v>-0.44850260577844386</v>
      </c>
      <c r="AI476">
        <v>4.1896488673460692E-5</v>
      </c>
    </row>
    <row r="477" spans="23:35" x14ac:dyDescent="0.25">
      <c r="W477">
        <v>475</v>
      </c>
      <c r="X477">
        <v>70.772650661380339</v>
      </c>
      <c r="Y477">
        <v>4.2273493386196606</v>
      </c>
      <c r="Z477">
        <v>70.743253328481899</v>
      </c>
      <c r="AA477">
        <v>0.76046088538508183</v>
      </c>
      <c r="AB477">
        <v>65.5</v>
      </c>
      <c r="AC477">
        <v>0.67020216077934069</v>
      </c>
      <c r="AD477">
        <v>0.57267572204431194</v>
      </c>
      <c r="AE477">
        <v>-0.44241677974112897</v>
      </c>
      <c r="AF477">
        <v>6.9060564715143925E-3</v>
      </c>
      <c r="AG477">
        <v>0.57466348915217424</v>
      </c>
      <c r="AH477">
        <v>-0.44569274826672817</v>
      </c>
      <c r="AI477">
        <v>1.2758349580335463E-4</v>
      </c>
    </row>
    <row r="478" spans="23:35" x14ac:dyDescent="0.25">
      <c r="W478">
        <v>476</v>
      </c>
      <c r="X478">
        <v>73.954312770437056</v>
      </c>
      <c r="Y478">
        <v>-2.9543127704370562</v>
      </c>
      <c r="Z478">
        <v>73.960342755904165</v>
      </c>
      <c r="AA478">
        <v>0.46937537901758641</v>
      </c>
      <c r="AB478">
        <v>65.5</v>
      </c>
      <c r="AC478">
        <v>-9.743972564826138E-2</v>
      </c>
      <c r="AD478">
        <v>-0.40021844977382681</v>
      </c>
      <c r="AE478">
        <v>-0.44118880079134398</v>
      </c>
      <c r="AF478">
        <v>2.036921385228139E-3</v>
      </c>
      <c r="AG478">
        <v>-0.40062668028944937</v>
      </c>
      <c r="AH478">
        <v>-0.44331917001444932</v>
      </c>
      <c r="AI478">
        <v>1.8199817173450373E-5</v>
      </c>
    </row>
    <row r="479" spans="23:35" x14ac:dyDescent="0.25">
      <c r="W479">
        <v>477</v>
      </c>
      <c r="X479">
        <v>59.972683815916923</v>
      </c>
      <c r="Y479">
        <v>10.027316184083077</v>
      </c>
      <c r="Z479">
        <v>59.847990760630182</v>
      </c>
      <c r="AA479">
        <v>0.46088538508186777</v>
      </c>
      <c r="AB479">
        <v>65.5</v>
      </c>
      <c r="AC479">
        <v>-0.10660788786182936</v>
      </c>
      <c r="AD479">
        <v>1.3583927127634627</v>
      </c>
      <c r="AE479">
        <v>-0.43985439557661149</v>
      </c>
      <c r="AF479">
        <v>1.2282598680384966E-2</v>
      </c>
      <c r="AG479">
        <v>1.366812652976009</v>
      </c>
      <c r="AH479">
        <v>-0.44199377328140521</v>
      </c>
      <c r="AI479">
        <v>1.2906337950837515E-3</v>
      </c>
    </row>
    <row r="480" spans="23:35" x14ac:dyDescent="0.25">
      <c r="W480">
        <v>478</v>
      </c>
      <c r="X480">
        <v>70.26402900850286</v>
      </c>
      <c r="Y480">
        <v>-0.36402900850285391</v>
      </c>
      <c r="Z480">
        <v>70.264992513312421</v>
      </c>
      <c r="AA480">
        <v>0.45724681625227409</v>
      </c>
      <c r="AB480">
        <v>65.5</v>
      </c>
      <c r="AC480">
        <v>-0.11731546960548965</v>
      </c>
      <c r="AD480">
        <v>-4.9314726224522973E-2</v>
      </c>
      <c r="AE480">
        <v>-0.43923304086803644</v>
      </c>
      <c r="AF480">
        <v>2.6397933503307311E-3</v>
      </c>
      <c r="AG480">
        <v>-4.937994572064025E-2</v>
      </c>
      <c r="AH480">
        <v>-0.44099470491636622</v>
      </c>
      <c r="AI480">
        <v>3.5854742297648918E-7</v>
      </c>
    </row>
    <row r="481" spans="23:35" x14ac:dyDescent="0.25">
      <c r="W481">
        <v>479</v>
      </c>
      <c r="X481">
        <v>67.714627486543137</v>
      </c>
      <c r="Y481">
        <v>5.2853725134568634</v>
      </c>
      <c r="Z481">
        <v>67.700847681093109</v>
      </c>
      <c r="AA481">
        <v>0.60946027895694366</v>
      </c>
      <c r="AB481">
        <v>65.599999999999994</v>
      </c>
      <c r="AC481">
        <v>0.22222871718700732</v>
      </c>
      <c r="AD481">
        <v>0.71600529740118413</v>
      </c>
      <c r="AE481">
        <v>-0.4388356758170503</v>
      </c>
      <c r="AF481">
        <v>2.6003791966610185E-3</v>
      </c>
      <c r="AG481">
        <v>0.71693805958747348</v>
      </c>
      <c r="AH481">
        <v>-0.44091905868122971</v>
      </c>
      <c r="AI481">
        <v>7.4448894160792395E-5</v>
      </c>
    </row>
    <row r="482" spans="23:35" x14ac:dyDescent="0.25">
      <c r="W482">
        <v>480</v>
      </c>
      <c r="X482">
        <v>71.190151380939199</v>
      </c>
      <c r="Y482">
        <v>-2.2901513809391929</v>
      </c>
      <c r="Z482">
        <v>71.196554799535221</v>
      </c>
      <c r="AA482">
        <v>0.41479684657368104</v>
      </c>
      <c r="AB482">
        <v>65.599999999999994</v>
      </c>
      <c r="AC482">
        <v>-0.22378708008709278</v>
      </c>
      <c r="AD482">
        <v>-0.31024502368152373</v>
      </c>
      <c r="AE482">
        <v>-0.43838322841741201</v>
      </c>
      <c r="AF482">
        <v>2.7882716307582049E-3</v>
      </c>
      <c r="AG482">
        <v>-0.31067845398253996</v>
      </c>
      <c r="AH482">
        <v>-0.44032142039614175</v>
      </c>
      <c r="AI482">
        <v>1.4993308184304616E-5</v>
      </c>
    </row>
    <row r="483" spans="23:35" x14ac:dyDescent="0.25">
      <c r="W483">
        <v>481</v>
      </c>
      <c r="X483">
        <v>71.360750906694335</v>
      </c>
      <c r="Y483">
        <v>-2.3607509066943351</v>
      </c>
      <c r="Z483">
        <v>71.367583983189348</v>
      </c>
      <c r="AA483">
        <v>0.42086112795633718</v>
      </c>
      <c r="AB483">
        <v>65.599999999999994</v>
      </c>
      <c r="AC483">
        <v>-0.21444491222324932</v>
      </c>
      <c r="AD483">
        <v>-0.31980908644266137</v>
      </c>
      <c r="AE483">
        <v>-0.43703574016811525</v>
      </c>
      <c r="AF483">
        <v>2.8860967735574354E-3</v>
      </c>
      <c r="AG483">
        <v>-0.32027158778778453</v>
      </c>
      <c r="AH483">
        <v>-0.44004153613311153</v>
      </c>
      <c r="AI483">
        <v>1.6494168924322066E-5</v>
      </c>
    </row>
    <row r="484" spans="23:35" x14ac:dyDescent="0.25">
      <c r="W484">
        <v>482</v>
      </c>
      <c r="X484">
        <v>47.349362862717825</v>
      </c>
      <c r="Y484">
        <v>10.550637137282173</v>
      </c>
      <c r="Z484">
        <v>47.23320433732767</v>
      </c>
      <c r="AA484">
        <v>0.12734990903577925</v>
      </c>
      <c r="AB484">
        <v>65.599999999999994</v>
      </c>
      <c r="AC484">
        <v>-1.1463081367501964</v>
      </c>
      <c r="AD484">
        <v>1.4292865946568545</v>
      </c>
      <c r="AE484">
        <v>-0.43702360291511266</v>
      </c>
      <c r="AF484">
        <v>1.0889730061732134E-2</v>
      </c>
      <c r="AG484">
        <v>1.4371330097354167</v>
      </c>
      <c r="AH484">
        <v>-0.43971689029860334</v>
      </c>
      <c r="AI484">
        <v>1.2632631505615482E-3</v>
      </c>
    </row>
    <row r="485" spans="23:35" x14ac:dyDescent="0.25">
      <c r="W485">
        <v>483</v>
      </c>
      <c r="X485">
        <v>50.030953356228473</v>
      </c>
      <c r="Y485">
        <v>12.869046643771526</v>
      </c>
      <c r="Z485">
        <v>49.933398810831171</v>
      </c>
      <c r="AA485">
        <v>0.21710127349909036</v>
      </c>
      <c r="AB485">
        <v>65.599999999999994</v>
      </c>
      <c r="AC485">
        <v>-0.78926429572475043</v>
      </c>
      <c r="AD485">
        <v>1.7433597245952273</v>
      </c>
      <c r="AE485">
        <v>-0.43597332088559854</v>
      </c>
      <c r="AF485">
        <v>7.5235247829471448E-3</v>
      </c>
      <c r="AG485">
        <v>1.7499550682361462</v>
      </c>
      <c r="AH485">
        <v>-0.43935615034868014</v>
      </c>
      <c r="AI485">
        <v>1.2896813666478841E-3</v>
      </c>
    </row>
    <row r="486" spans="23:35" x14ac:dyDescent="0.25">
      <c r="W486">
        <v>484</v>
      </c>
      <c r="X486">
        <v>36.08119902836448</v>
      </c>
      <c r="Y486">
        <v>26.018800971635521</v>
      </c>
      <c r="Z486">
        <v>35.857771929849591</v>
      </c>
      <c r="AA486">
        <v>0.20133414190418436</v>
      </c>
      <c r="AB486">
        <v>65.599999999999994</v>
      </c>
      <c r="AC486">
        <v>-0.84444052159937644</v>
      </c>
      <c r="AD486">
        <v>3.524746700499553</v>
      </c>
      <c r="AE486">
        <v>-0.43492521872387524</v>
      </c>
      <c r="AF486">
        <v>8.5140292934587844E-3</v>
      </c>
      <c r="AG486">
        <v>3.539848097844466</v>
      </c>
      <c r="AH486">
        <v>-0.43734394166747914</v>
      </c>
      <c r="AI486">
        <v>5.9778541324511138E-3</v>
      </c>
    </row>
    <row r="487" spans="23:35" x14ac:dyDescent="0.25">
      <c r="W487">
        <v>485</v>
      </c>
      <c r="X487">
        <v>49.898800502149008</v>
      </c>
      <c r="Y487">
        <v>11.50119949785099</v>
      </c>
      <c r="Z487">
        <v>49.81820906284544</v>
      </c>
      <c r="AA487">
        <v>0.18617343844754397</v>
      </c>
      <c r="AB487">
        <v>65.599999999999994</v>
      </c>
      <c r="AC487">
        <v>-0.90460220385671419</v>
      </c>
      <c r="AD487">
        <v>1.5580585372104929</v>
      </c>
      <c r="AE487">
        <v>-0.42923143154908722</v>
      </c>
      <c r="AF487">
        <v>6.9584608926955361E-3</v>
      </c>
      <c r="AG487">
        <v>1.5635078375162832</v>
      </c>
      <c r="AH487">
        <v>-0.43727452362838221</v>
      </c>
      <c r="AI487">
        <v>9.5164154941337605E-4</v>
      </c>
    </row>
    <row r="488" spans="23:35" x14ac:dyDescent="0.25">
      <c r="W488">
        <v>486</v>
      </c>
      <c r="X488">
        <v>50.732467204261653</v>
      </c>
      <c r="Y488">
        <v>16.267532795738347</v>
      </c>
      <c r="Z488">
        <v>50.61165322810529</v>
      </c>
      <c r="AA488">
        <v>0.33959975742874471</v>
      </c>
      <c r="AB488">
        <v>65.7</v>
      </c>
      <c r="AC488">
        <v>-0.42600652312983872</v>
      </c>
      <c r="AD488">
        <v>2.203749996379742</v>
      </c>
      <c r="AE488">
        <v>-0.42848944877855544</v>
      </c>
      <c r="AF488">
        <v>7.3719440916122448E-3</v>
      </c>
      <c r="AG488">
        <v>2.2119181464683368</v>
      </c>
      <c r="AH488">
        <v>-0.43027617034535587</v>
      </c>
      <c r="AI488">
        <v>2.0186502731883321E-3</v>
      </c>
    </row>
    <row r="489" spans="23:35" x14ac:dyDescent="0.25">
      <c r="W489">
        <v>487</v>
      </c>
      <c r="X489">
        <v>49.713205802038125</v>
      </c>
      <c r="Y489">
        <v>12.286794197961875</v>
      </c>
      <c r="Z489">
        <v>49.625751910348512</v>
      </c>
      <c r="AA489">
        <v>0.19890842935112188</v>
      </c>
      <c r="AB489">
        <v>65.7</v>
      </c>
      <c r="AC489">
        <v>-0.85973834429501084</v>
      </c>
      <c r="AD489">
        <v>1.6644824393020781</v>
      </c>
      <c r="AE489">
        <v>-0.42716613150045374</v>
      </c>
      <c r="AF489">
        <v>7.0674105655556341E-3</v>
      </c>
      <c r="AG489">
        <v>1.6703955912201969</v>
      </c>
      <c r="AH489">
        <v>-0.42937368879876725</v>
      </c>
      <c r="AI489">
        <v>1.1033332883883279E-3</v>
      </c>
    </row>
    <row r="490" spans="23:35" x14ac:dyDescent="0.25">
      <c r="W490">
        <v>488</v>
      </c>
      <c r="X490">
        <v>50.453587579097082</v>
      </c>
      <c r="Y490">
        <v>9.2464124209029208</v>
      </c>
      <c r="Z490">
        <v>50.383663599290834</v>
      </c>
      <c r="AA490">
        <v>0.16919345057610674</v>
      </c>
      <c r="AB490">
        <v>65.7</v>
      </c>
      <c r="AC490">
        <v>-0.96823093621551704</v>
      </c>
      <c r="AD490">
        <v>1.2526042882439172</v>
      </c>
      <c r="AE490">
        <v>-0.42636462880291248</v>
      </c>
      <c r="AF490">
        <v>7.5055232871288121E-3</v>
      </c>
      <c r="AG490">
        <v>1.2573316412216426</v>
      </c>
      <c r="AH490">
        <v>-0.42801009355497205</v>
      </c>
      <c r="AI490">
        <v>6.6417123545541403E-4</v>
      </c>
    </row>
    <row r="491" spans="23:35" x14ac:dyDescent="0.25">
      <c r="W491">
        <v>489</v>
      </c>
      <c r="X491">
        <v>39.267791679845104</v>
      </c>
      <c r="Y491">
        <v>20.132208320154895</v>
      </c>
      <c r="Z491">
        <v>39.006324204459666</v>
      </c>
      <c r="AA491">
        <v>0.16312916919345058</v>
      </c>
      <c r="AB491">
        <v>65.7</v>
      </c>
      <c r="AC491">
        <v>-0.99032898964496086</v>
      </c>
      <c r="AD491">
        <v>2.7272945793156995</v>
      </c>
      <c r="AE491">
        <v>-0.42571129696630877</v>
      </c>
      <c r="AF491">
        <v>1.2821007748029974E-2</v>
      </c>
      <c r="AG491">
        <v>2.7449478437978252</v>
      </c>
      <c r="AH491">
        <v>-0.42689565677329533</v>
      </c>
      <c r="AI491">
        <v>5.436531974429339E-3</v>
      </c>
    </row>
    <row r="492" spans="23:35" x14ac:dyDescent="0.25">
      <c r="W492">
        <v>490</v>
      </c>
      <c r="X492">
        <v>42.261874244836697</v>
      </c>
      <c r="Y492">
        <v>16.838125755163304</v>
      </c>
      <c r="Z492">
        <v>42.054340833918616</v>
      </c>
      <c r="AA492">
        <v>0.15342631898120074</v>
      </c>
      <c r="AB492">
        <v>65.8</v>
      </c>
      <c r="AC492">
        <v>-1.0334469496720613</v>
      </c>
      <c r="AD492">
        <v>2.2810477801344162</v>
      </c>
      <c r="AE492">
        <v>-0.42418624290435364</v>
      </c>
      <c r="AF492">
        <v>1.2175147285066117E-2</v>
      </c>
      <c r="AG492">
        <v>2.2950619253218569</v>
      </c>
      <c r="AH492">
        <v>-0.42677648005860375</v>
      </c>
      <c r="AI492">
        <v>3.606704705779974E-3</v>
      </c>
    </row>
    <row r="493" spans="23:35" x14ac:dyDescent="0.25">
      <c r="W493">
        <v>491</v>
      </c>
      <c r="X493">
        <v>41.316068127589446</v>
      </c>
      <c r="Y493">
        <v>17.483931872410551</v>
      </c>
      <c r="Z493">
        <v>41.115745182793837</v>
      </c>
      <c r="AA493">
        <v>0.14675560946027896</v>
      </c>
      <c r="AB493">
        <v>65.8</v>
      </c>
      <c r="AC493">
        <v>-1.0570712344634026</v>
      </c>
      <c r="AD493">
        <v>2.3685346317926146</v>
      </c>
      <c r="AE493">
        <v>-0.41995857873529463</v>
      </c>
      <c r="AF493">
        <v>1.132775719792861E-2</v>
      </c>
      <c r="AG493">
        <v>2.3820647832365047</v>
      </c>
      <c r="AH493">
        <v>-0.42629361678055339</v>
      </c>
      <c r="AI493">
        <v>3.6118210280143034E-3</v>
      </c>
    </row>
    <row r="494" spans="23:35" x14ac:dyDescent="0.25">
      <c r="W494">
        <v>492</v>
      </c>
      <c r="X494">
        <v>33.856954202873915</v>
      </c>
      <c r="Y494">
        <v>24.643045797126085</v>
      </c>
      <c r="Z494">
        <v>33.306111522484983</v>
      </c>
      <c r="AA494">
        <v>0.14190418435415403</v>
      </c>
      <c r="AB494">
        <v>65.8</v>
      </c>
      <c r="AC494">
        <v>-1.0758617643853021</v>
      </c>
      <c r="AD494">
        <v>3.3383742186417731</v>
      </c>
      <c r="AE494">
        <v>-0.41902791818643481</v>
      </c>
      <c r="AF494">
        <v>2.1864139030406068E-2</v>
      </c>
      <c r="AG494">
        <v>3.3754791287434096</v>
      </c>
      <c r="AH494">
        <v>-0.41988537046520436</v>
      </c>
      <c r="AI494">
        <v>1.414918899594692E-2</v>
      </c>
    </row>
    <row r="495" spans="23:35" x14ac:dyDescent="0.25">
      <c r="W495">
        <v>493</v>
      </c>
      <c r="X495">
        <v>89.906276045823091</v>
      </c>
      <c r="Y495">
        <v>-12.606276045823094</v>
      </c>
      <c r="Z495">
        <v>89.991193609863316</v>
      </c>
      <c r="AA495">
        <v>0.84414796846573681</v>
      </c>
      <c r="AB495">
        <v>65.8</v>
      </c>
      <c r="AC495">
        <v>1.0003070916314494</v>
      </c>
      <c r="AD495">
        <v>-1.7077623963741178</v>
      </c>
      <c r="AE495">
        <v>-0.41610308748812719</v>
      </c>
      <c r="AF495">
        <v>6.6910620585145276E-3</v>
      </c>
      <c r="AG495">
        <v>-1.7135046006672421</v>
      </c>
      <c r="AH495">
        <v>-0.41795682999638517</v>
      </c>
      <c r="AI495">
        <v>1.0987749736668774E-3</v>
      </c>
    </row>
    <row r="496" spans="23:35" x14ac:dyDescent="0.25">
      <c r="W496">
        <v>494</v>
      </c>
      <c r="X496">
        <v>90.477014354980554</v>
      </c>
      <c r="Y496">
        <v>-13.577014354980548</v>
      </c>
      <c r="Z496">
        <v>90.552404490301612</v>
      </c>
      <c r="AA496">
        <v>0.83080654942389331</v>
      </c>
      <c r="AB496">
        <v>65.8</v>
      </c>
      <c r="AC496">
        <v>0.94897780985887181</v>
      </c>
      <c r="AD496">
        <v>-1.8392675589671723</v>
      </c>
      <c r="AE496">
        <v>-0.41501586900778975</v>
      </c>
      <c r="AF496">
        <v>5.522114098993944E-3</v>
      </c>
      <c r="AG496">
        <v>-1.8443670111902977</v>
      </c>
      <c r="AH496">
        <v>-0.41743216099418412</v>
      </c>
      <c r="AI496">
        <v>1.0493791524111213E-3</v>
      </c>
    </row>
    <row r="497" spans="23:35" x14ac:dyDescent="0.25">
      <c r="W497">
        <v>495</v>
      </c>
      <c r="X497">
        <v>89.866021127095024</v>
      </c>
      <c r="Y497">
        <v>-13.566021127095027</v>
      </c>
      <c r="Z497">
        <v>89.951445352778549</v>
      </c>
      <c r="AA497">
        <v>0.8168587022437841</v>
      </c>
      <c r="AB497">
        <v>65.8</v>
      </c>
      <c r="AC497">
        <v>0.89095501331493132</v>
      </c>
      <c r="AD497">
        <v>-1.8377783149486038</v>
      </c>
      <c r="AE497">
        <v>-0.41492288372386787</v>
      </c>
      <c r="AF497">
        <v>6.2575224436689347E-3</v>
      </c>
      <c r="AG497">
        <v>-1.8435554113903461</v>
      </c>
      <c r="AH497">
        <v>-0.41550943955257158</v>
      </c>
      <c r="AI497">
        <v>1.1889632962497709E-3</v>
      </c>
    </row>
    <row r="498" spans="23:35" x14ac:dyDescent="0.25">
      <c r="W498">
        <v>496</v>
      </c>
      <c r="X498">
        <v>88.666678572327129</v>
      </c>
      <c r="Y498">
        <v>-12.566678572327135</v>
      </c>
      <c r="Z498">
        <v>88.748448755226235</v>
      </c>
      <c r="AA498">
        <v>0.81079442086112796</v>
      </c>
      <c r="AB498">
        <v>65.8</v>
      </c>
      <c r="AC498">
        <v>0.873012700415573</v>
      </c>
      <c r="AD498">
        <v>-1.7023981574837417</v>
      </c>
      <c r="AE498">
        <v>-0.41399975213321771</v>
      </c>
      <c r="AF498">
        <v>6.4648388495328864E-3</v>
      </c>
      <c r="AG498">
        <v>-1.7079278482677052</v>
      </c>
      <c r="AH498">
        <v>-0.41496652243533649</v>
      </c>
      <c r="AI498">
        <v>1.0544864339933899E-3</v>
      </c>
    </row>
    <row r="499" spans="23:35" x14ac:dyDescent="0.25">
      <c r="W499">
        <v>497</v>
      </c>
      <c r="X499">
        <v>78.742494609775321</v>
      </c>
      <c r="Y499">
        <v>-3.1424946097753264</v>
      </c>
      <c r="Z499">
        <v>78.760004229824887</v>
      </c>
      <c r="AA499">
        <v>0.78835657974530016</v>
      </c>
      <c r="AB499">
        <v>65.900000000000006</v>
      </c>
      <c r="AC499">
        <v>0.78719041678006285</v>
      </c>
      <c r="AD499">
        <v>-0.42571129696630877</v>
      </c>
      <c r="AE499">
        <v>-0.41378045180597428</v>
      </c>
      <c r="AF499">
        <v>5.5410115860925957E-3</v>
      </c>
      <c r="AG499">
        <v>-0.42689565677329533</v>
      </c>
      <c r="AH499">
        <v>-0.41457967841249421</v>
      </c>
      <c r="AI499">
        <v>5.6412214465421823E-5</v>
      </c>
    </row>
    <row r="500" spans="23:35" x14ac:dyDescent="0.25">
      <c r="W500">
        <v>498</v>
      </c>
      <c r="X500">
        <v>79.283078944849663</v>
      </c>
      <c r="Y500">
        <v>-4.3830789448496574</v>
      </c>
      <c r="Z500">
        <v>79.308057457384123</v>
      </c>
      <c r="AA500">
        <v>0.74833232261976956</v>
      </c>
      <c r="AB500">
        <v>65.900000000000006</v>
      </c>
      <c r="AC500">
        <v>0.64941472986293525</v>
      </c>
      <c r="AD500">
        <v>-0.59377229049601221</v>
      </c>
      <c r="AE500">
        <v>-0.40701497448448931</v>
      </c>
      <c r="AF500">
        <v>5.6665578377641558E-3</v>
      </c>
      <c r="AG500">
        <v>-0.59546179667289789</v>
      </c>
      <c r="AH500">
        <v>-0.40780860659530616</v>
      </c>
      <c r="AI500">
        <v>1.1225936507585598E-4</v>
      </c>
    </row>
    <row r="501" spans="23:35" x14ac:dyDescent="0.25">
      <c r="W501">
        <v>499</v>
      </c>
      <c r="X501">
        <v>78.404185467210795</v>
      </c>
      <c r="Y501">
        <v>-4.2041854672107917</v>
      </c>
      <c r="Z501">
        <v>78.443785546291195</v>
      </c>
      <c r="AA501">
        <v>0.7010309278350515</v>
      </c>
      <c r="AB501">
        <v>65.900000000000006</v>
      </c>
      <c r="AC501">
        <v>0.5039283835636299</v>
      </c>
      <c r="AD501">
        <v>-0.56953773042785683</v>
      </c>
      <c r="AE501">
        <v>-0.40560895272087427</v>
      </c>
      <c r="AF501">
        <v>9.3313101353593806E-3</v>
      </c>
      <c r="AG501">
        <v>-0.57221373966153866</v>
      </c>
      <c r="AH501">
        <v>-0.40713772838543072</v>
      </c>
      <c r="AI501">
        <v>1.7133979569040097E-4</v>
      </c>
    </row>
    <row r="502" spans="23:35" x14ac:dyDescent="0.25">
      <c r="W502">
        <v>500</v>
      </c>
      <c r="X502">
        <v>76.131237041081562</v>
      </c>
      <c r="Y502">
        <v>-3.1312370410815618</v>
      </c>
      <c r="Z502">
        <v>76.162426541068228</v>
      </c>
      <c r="AA502">
        <v>0.60946027895694366</v>
      </c>
      <c r="AB502">
        <v>65.900000000000006</v>
      </c>
      <c r="AC502">
        <v>0.22222871718700732</v>
      </c>
      <c r="AD502">
        <v>-0.42418624290435364</v>
      </c>
      <c r="AE502">
        <v>-0.4039448619054552</v>
      </c>
      <c r="AF502">
        <v>9.8625215737429862E-3</v>
      </c>
      <c r="AG502">
        <v>-0.42629361678055339</v>
      </c>
      <c r="AH502">
        <v>-0.40528280420169616</v>
      </c>
      <c r="AI502">
        <v>1.0056286108328378E-4</v>
      </c>
    </row>
    <row r="503" spans="23:35" x14ac:dyDescent="0.25">
      <c r="W503">
        <v>501</v>
      </c>
      <c r="X503">
        <v>75.623885832275164</v>
      </c>
      <c r="Y503">
        <v>-2.6238858322751639</v>
      </c>
      <c r="Z503">
        <v>75.65887796252143</v>
      </c>
      <c r="AA503">
        <v>0.60946027895694366</v>
      </c>
      <c r="AB503">
        <v>65.900000000000006</v>
      </c>
      <c r="AC503">
        <v>0.22222871718700732</v>
      </c>
      <c r="AD503">
        <v>-0.35545576984434163</v>
      </c>
      <c r="AE503">
        <v>-0.40319928160525897</v>
      </c>
      <c r="AF503">
        <v>1.3160487521240475E-2</v>
      </c>
      <c r="AG503">
        <v>-0.35781809824273253</v>
      </c>
      <c r="AH503">
        <v>-0.40430069546086483</v>
      </c>
      <c r="AI503">
        <v>9.4858783076076278E-5</v>
      </c>
    </row>
    <row r="504" spans="23:35" x14ac:dyDescent="0.25">
      <c r="W504">
        <v>502</v>
      </c>
      <c r="X504">
        <v>77.64937013625584</v>
      </c>
      <c r="Y504">
        <v>-4.8493701362558426</v>
      </c>
      <c r="Z504">
        <v>77.688983371795032</v>
      </c>
      <c r="AA504">
        <v>0.58156458459672533</v>
      </c>
      <c r="AB504">
        <v>65.900000000000006</v>
      </c>
      <c r="AC504">
        <v>0.18343432307636306</v>
      </c>
      <c r="AD504">
        <v>-0.65694039498217538</v>
      </c>
      <c r="AE504">
        <v>-0.40319185027132343</v>
      </c>
      <c r="AF504">
        <v>8.1025506790895103E-3</v>
      </c>
      <c r="AG504">
        <v>-0.65961812476690318</v>
      </c>
      <c r="AH504">
        <v>-0.40393071578474493</v>
      </c>
      <c r="AI504">
        <v>1.974547740731533E-4</v>
      </c>
    </row>
    <row r="505" spans="23:35" x14ac:dyDescent="0.25">
      <c r="W505">
        <v>503</v>
      </c>
      <c r="X505">
        <v>75.774570301896475</v>
      </c>
      <c r="Y505">
        <v>-3.4745703018964775</v>
      </c>
      <c r="Z505">
        <v>75.834764667981887</v>
      </c>
      <c r="AA505">
        <v>0.54578532443905392</v>
      </c>
      <c r="AB505">
        <v>65.900000000000006</v>
      </c>
      <c r="AC505">
        <v>9.896716322379942E-2</v>
      </c>
      <c r="AD505">
        <v>-0.47069733231037164</v>
      </c>
      <c r="AE505">
        <v>-0.40306519044139338</v>
      </c>
      <c r="AF505">
        <v>1.7029242888685042E-2</v>
      </c>
      <c r="AG505">
        <v>-0.47475706677780266</v>
      </c>
      <c r="AH505">
        <v>-0.40361672035898244</v>
      </c>
      <c r="AI505">
        <v>2.1693274548914007E-4</v>
      </c>
    </row>
    <row r="506" spans="23:35" x14ac:dyDescent="0.25">
      <c r="W506">
        <v>504</v>
      </c>
      <c r="X506">
        <v>53.324239640034904</v>
      </c>
      <c r="Y506">
        <v>10.875760359965099</v>
      </c>
      <c r="Z506">
        <v>53.248812979099313</v>
      </c>
      <c r="AA506">
        <v>0.24560339599757428</v>
      </c>
      <c r="AB506">
        <v>65.900000000000006</v>
      </c>
      <c r="AC506">
        <v>-0.69708605805955215</v>
      </c>
      <c r="AD506">
        <v>1.473330784381689</v>
      </c>
      <c r="AE506">
        <v>-0.40021844977382681</v>
      </c>
      <c r="AF506">
        <v>6.8875329032039249E-3</v>
      </c>
      <c r="AG506">
        <v>1.4784309523638419</v>
      </c>
      <c r="AH506">
        <v>-0.40174248738942675</v>
      </c>
      <c r="AI506">
        <v>8.4216044671396215E-4</v>
      </c>
    </row>
    <row r="507" spans="23:35" x14ac:dyDescent="0.25">
      <c r="W507">
        <v>505</v>
      </c>
      <c r="X507">
        <v>46.866441148031981</v>
      </c>
      <c r="Y507">
        <v>16.833558851968021</v>
      </c>
      <c r="Z507">
        <v>46.654249415345561</v>
      </c>
      <c r="AA507">
        <v>0.23408126137052759</v>
      </c>
      <c r="AB507">
        <v>66</v>
      </c>
      <c r="AC507">
        <v>-0.73042509746273321</v>
      </c>
      <c r="AD507">
        <v>2.2804291053159025</v>
      </c>
      <c r="AE507">
        <v>-0.40007487386109702</v>
      </c>
      <c r="AF507">
        <v>1.2448365452293464E-2</v>
      </c>
      <c r="AG507">
        <v>2.2947568198675485</v>
      </c>
      <c r="AH507">
        <v>-0.40062668028944937</v>
      </c>
      <c r="AI507">
        <v>3.6876810433399713E-3</v>
      </c>
    </row>
    <row r="508" spans="23:35" x14ac:dyDescent="0.25">
      <c r="W508">
        <v>506</v>
      </c>
      <c r="X508">
        <v>46.929899354306485</v>
      </c>
      <c r="Y508">
        <v>16.370100645693512</v>
      </c>
      <c r="Z508">
        <v>46.723476023092935</v>
      </c>
      <c r="AA508">
        <v>0.22741055184960582</v>
      </c>
      <c r="AB508">
        <v>66</v>
      </c>
      <c r="AC508">
        <v>-0.75647701124006039</v>
      </c>
      <c r="AD508">
        <v>2.2176447831187973</v>
      </c>
      <c r="AE508">
        <v>-0.39993909227529162</v>
      </c>
      <c r="AF508">
        <v>1.2452751342870138E-2</v>
      </c>
      <c r="AG508">
        <v>2.231582985304696</v>
      </c>
      <c r="AH508">
        <v>-0.40057563418563957</v>
      </c>
      <c r="AI508">
        <v>3.4886789969193737E-3</v>
      </c>
    </row>
    <row r="509" spans="23:35" x14ac:dyDescent="0.25">
      <c r="W509">
        <v>507</v>
      </c>
      <c r="X509">
        <v>47.797453405544843</v>
      </c>
      <c r="Y509">
        <v>14.802546594455158</v>
      </c>
      <c r="Z509">
        <v>47.60835106458498</v>
      </c>
      <c r="AA509">
        <v>0.20921770770163736</v>
      </c>
      <c r="AB509">
        <v>66</v>
      </c>
      <c r="AC509">
        <v>-0.81230589119800856</v>
      </c>
      <c r="AD509">
        <v>2.0052894568306856</v>
      </c>
      <c r="AE509">
        <v>-0.39617996659166033</v>
      </c>
      <c r="AF509">
        <v>1.261384533312686E-2</v>
      </c>
      <c r="AG509">
        <v>2.018057581498768</v>
      </c>
      <c r="AH509">
        <v>-0.39817711072328815</v>
      </c>
      <c r="AI509">
        <v>2.8903808485524545E-3</v>
      </c>
    </row>
    <row r="510" spans="23:35" x14ac:dyDescent="0.25">
      <c r="W510">
        <v>508</v>
      </c>
      <c r="X510">
        <v>55.727743367601704</v>
      </c>
      <c r="Y510">
        <v>6.0722566323982932</v>
      </c>
      <c r="Z510">
        <v>55.588842327762457</v>
      </c>
      <c r="AA510">
        <v>0.19345057610673136</v>
      </c>
      <c r="AB510">
        <v>66</v>
      </c>
      <c r="AC510">
        <v>-0.873012700415573</v>
      </c>
      <c r="AD510">
        <v>0.82260387605736107</v>
      </c>
      <c r="AE510">
        <v>-0.39209951404374971</v>
      </c>
      <c r="AF510">
        <v>2.2363148251750894E-2</v>
      </c>
      <c r="AG510">
        <v>0.83195908698132159</v>
      </c>
      <c r="AH510">
        <v>-0.39266489455879938</v>
      </c>
      <c r="AI510">
        <v>8.7960322545580774E-4</v>
      </c>
    </row>
    <row r="511" spans="23:35" x14ac:dyDescent="0.25">
      <c r="W511">
        <v>509</v>
      </c>
      <c r="X511">
        <v>52.135118917125247</v>
      </c>
      <c r="Y511">
        <v>15.864881082874753</v>
      </c>
      <c r="Z511">
        <v>51.766730423637817</v>
      </c>
      <c r="AA511">
        <v>0.38447543966040026</v>
      </c>
      <c r="AB511">
        <v>66</v>
      </c>
      <c r="AC511">
        <v>-0.31204933220437475</v>
      </c>
      <c r="AD511">
        <v>2.149203082480303</v>
      </c>
      <c r="AE511">
        <v>-0.39080550331796826</v>
      </c>
      <c r="AF511">
        <v>2.2693425483665486E-2</v>
      </c>
      <c r="AG511">
        <v>2.1740125388762772</v>
      </c>
      <c r="AH511">
        <v>-0.39169744374439108</v>
      </c>
      <c r="AI511">
        <v>6.0970649245590657E-3</v>
      </c>
    </row>
    <row r="512" spans="23:35" x14ac:dyDescent="0.25">
      <c r="W512">
        <v>510</v>
      </c>
      <c r="X512">
        <v>50.167628407902072</v>
      </c>
      <c r="Y512">
        <v>9.6323715920979254</v>
      </c>
      <c r="Z512">
        <v>49.937856521545818</v>
      </c>
      <c r="AA512">
        <v>0.17101273499090358</v>
      </c>
      <c r="AB512">
        <v>66</v>
      </c>
      <c r="AC512">
        <v>-0.95615619123390583</v>
      </c>
      <c r="AD512">
        <v>1.3048898765260286</v>
      </c>
      <c r="AE512">
        <v>-0.39039911537942529</v>
      </c>
      <c r="AF512">
        <v>2.3298371886217129E-2</v>
      </c>
      <c r="AG512">
        <v>1.3203616630084958</v>
      </c>
      <c r="AH512">
        <v>-0.3914562839356438</v>
      </c>
      <c r="AI512">
        <v>2.3103456978342029E-3</v>
      </c>
    </row>
    <row r="513" spans="23:35" x14ac:dyDescent="0.25">
      <c r="W513">
        <v>511</v>
      </c>
      <c r="X513">
        <v>44.235335850269848</v>
      </c>
      <c r="Y513">
        <v>14.264664149730152</v>
      </c>
      <c r="Z513">
        <v>44.00622933608939</v>
      </c>
      <c r="AA513">
        <v>0.14190418435415403</v>
      </c>
      <c r="AB513">
        <v>66</v>
      </c>
      <c r="AC513">
        <v>-1.0758617643853021</v>
      </c>
      <c r="AD513">
        <v>1.9324229410228313</v>
      </c>
      <c r="AE513">
        <v>-0.39008114920847597</v>
      </c>
      <c r="AF513">
        <v>1.5807240192570095E-2</v>
      </c>
      <c r="AG513">
        <v>1.9478795660623687</v>
      </c>
      <c r="AH513">
        <v>-0.39124528904714145</v>
      </c>
      <c r="AI513">
        <v>3.3855371597310033E-3</v>
      </c>
    </row>
    <row r="514" spans="23:35" x14ac:dyDescent="0.25">
      <c r="W514">
        <v>512</v>
      </c>
      <c r="X514">
        <v>84.137131605790046</v>
      </c>
      <c r="Y514">
        <v>-14.437131605790043</v>
      </c>
      <c r="Z514">
        <v>84.225194689038105</v>
      </c>
      <c r="AA514">
        <v>0.45057610673135234</v>
      </c>
      <c r="AB514">
        <v>66</v>
      </c>
      <c r="AC514">
        <v>-0.12956927093944987</v>
      </c>
      <c r="AD514">
        <v>-1.9557869729531789</v>
      </c>
      <c r="AE514">
        <v>-0.38998708456443665</v>
      </c>
      <c r="AF514">
        <v>6.0627816103919988E-3</v>
      </c>
      <c r="AG514">
        <v>-1.9617428230881191</v>
      </c>
      <c r="AH514">
        <v>-0.39108336206119332</v>
      </c>
      <c r="AI514">
        <v>1.3041411878993762E-3</v>
      </c>
    </row>
    <row r="515" spans="23:35" x14ac:dyDescent="0.25">
      <c r="W515">
        <v>513</v>
      </c>
      <c r="X515">
        <v>84.910951743108015</v>
      </c>
      <c r="Y515">
        <v>-15.310951743108021</v>
      </c>
      <c r="Z515">
        <v>84.985096158372983</v>
      </c>
      <c r="AA515">
        <v>0.44815039417828989</v>
      </c>
      <c r="AB515">
        <v>66</v>
      </c>
      <c r="AC515">
        <v>-0.14337818601426075</v>
      </c>
      <c r="AD515">
        <v>-2.0741627063007408</v>
      </c>
      <c r="AE515">
        <v>-0.38952180681398202</v>
      </c>
      <c r="AF515">
        <v>4.8192363896680706E-3</v>
      </c>
      <c r="AG515">
        <v>-2.0791787840439446</v>
      </c>
      <c r="AH515">
        <v>-0.39082838539546844</v>
      </c>
      <c r="AI515">
        <v>1.1630206385858587E-3</v>
      </c>
    </row>
    <row r="516" spans="23:35" x14ac:dyDescent="0.25">
      <c r="W516">
        <v>514</v>
      </c>
      <c r="X516">
        <v>78.926478444421434</v>
      </c>
      <c r="Y516">
        <v>-9.5264784444214285</v>
      </c>
      <c r="Z516">
        <v>79.018894569864713</v>
      </c>
      <c r="AA516">
        <v>0.43784111582777441</v>
      </c>
      <c r="AB516">
        <v>66.099999999999994</v>
      </c>
      <c r="AC516">
        <v>-0.16799678341230881</v>
      </c>
      <c r="AD516">
        <v>-1.2905446142948773</v>
      </c>
      <c r="AE516">
        <v>-0.38872354597573672</v>
      </c>
      <c r="AF516">
        <v>9.6077698712712951E-3</v>
      </c>
      <c r="AG516">
        <v>-1.2967892762843627</v>
      </c>
      <c r="AH516">
        <v>-0.39026491062623814</v>
      </c>
      <c r="AI516">
        <v>9.0632024975638794E-4</v>
      </c>
    </row>
    <row r="517" spans="23:35" x14ac:dyDescent="0.25">
      <c r="W517">
        <v>515</v>
      </c>
      <c r="X517">
        <v>84.07504953406837</v>
      </c>
      <c r="Y517">
        <v>-14.875049534068367</v>
      </c>
      <c r="Z517">
        <v>84.139862921545443</v>
      </c>
      <c r="AA517">
        <v>0.42874469375379015</v>
      </c>
      <c r="AB517">
        <v>66.099999999999994</v>
      </c>
      <c r="AC517">
        <v>-0.1880739545732803</v>
      </c>
      <c r="AD517">
        <v>-2.0151113735845274</v>
      </c>
      <c r="AE517">
        <v>-0.38845987574201118</v>
      </c>
      <c r="AF517">
        <v>4.3382852853085345E-3</v>
      </c>
      <c r="AG517">
        <v>-2.0194967113992219</v>
      </c>
      <c r="AH517">
        <v>-0.38910725582979261</v>
      </c>
      <c r="AI517">
        <v>9.8723398057066385E-4</v>
      </c>
    </row>
    <row r="518" spans="23:35" x14ac:dyDescent="0.25">
      <c r="W518">
        <v>516</v>
      </c>
      <c r="X518">
        <v>79.360911979440004</v>
      </c>
      <c r="Y518">
        <v>-10.26091197944001</v>
      </c>
      <c r="Z518">
        <v>79.40918451187224</v>
      </c>
      <c r="AA518">
        <v>0.42510612492419647</v>
      </c>
      <c r="AB518">
        <v>66.099999999999994</v>
      </c>
      <c r="AC518">
        <v>-0.198915705174462</v>
      </c>
      <c r="AD518">
        <v>-1.3900377532029708</v>
      </c>
      <c r="AE518">
        <v>-0.38776356654270638</v>
      </c>
      <c r="AF518">
        <v>4.6824782674760902E-3</v>
      </c>
      <c r="AG518">
        <v>-1.393303637799292</v>
      </c>
      <c r="AH518">
        <v>-0.38855765130182773</v>
      </c>
      <c r="AI518">
        <v>5.0737978231389473E-4</v>
      </c>
    </row>
    <row r="519" spans="23:35" x14ac:dyDescent="0.25">
      <c r="W519">
        <v>517</v>
      </c>
      <c r="X519">
        <v>79.248038079751893</v>
      </c>
      <c r="Y519">
        <v>-10.348038079751888</v>
      </c>
      <c r="Z519">
        <v>79.291247928038928</v>
      </c>
      <c r="AA519">
        <v>0.41479684657368104</v>
      </c>
      <c r="AB519">
        <v>66.099999999999994</v>
      </c>
      <c r="AC519">
        <v>-0.22378708008709278</v>
      </c>
      <c r="AD519">
        <v>-1.4018406581460721</v>
      </c>
      <c r="AE519">
        <v>-0.38602944880495316</v>
      </c>
      <c r="AF519">
        <v>4.1582924963657905E-3</v>
      </c>
      <c r="AG519">
        <v>-1.4047644114233149</v>
      </c>
      <c r="AH519">
        <v>-0.38754610362676112</v>
      </c>
      <c r="AI519">
        <v>4.5778252531107866E-4</v>
      </c>
    </row>
    <row r="520" spans="23:35" x14ac:dyDescent="0.25">
      <c r="W520">
        <v>518</v>
      </c>
      <c r="X520">
        <v>78.260110186742537</v>
      </c>
      <c r="Y520">
        <v>-9.5601101867425342</v>
      </c>
      <c r="Z520">
        <v>78.304623123230442</v>
      </c>
      <c r="AA520">
        <v>0.40873256519102485</v>
      </c>
      <c r="AB520">
        <v>66.099999999999994</v>
      </c>
      <c r="AC520">
        <v>-0.23783731322627524</v>
      </c>
      <c r="AD520">
        <v>-1.2951006802299525</v>
      </c>
      <c r="AE520">
        <v>-0.3757083779272698</v>
      </c>
      <c r="AF520">
        <v>4.6345323410184732E-3</v>
      </c>
      <c r="AG520">
        <v>-1.2981122451722069</v>
      </c>
      <c r="AH520">
        <v>-0.37648051338054611</v>
      </c>
      <c r="AI520">
        <v>4.3588842421811446E-4</v>
      </c>
    </row>
    <row r="521" spans="23:35" x14ac:dyDescent="0.25">
      <c r="W521">
        <v>519</v>
      </c>
      <c r="X521">
        <v>78.498120640081339</v>
      </c>
      <c r="Y521">
        <v>-9.8981206400813448</v>
      </c>
      <c r="Z521">
        <v>78.541170251044051</v>
      </c>
      <c r="AA521">
        <v>0.40570042449969679</v>
      </c>
      <c r="AB521">
        <v>66.2</v>
      </c>
      <c r="AC521">
        <v>-0.24253103988010652</v>
      </c>
      <c r="AD521">
        <v>-1.3408906930533391</v>
      </c>
      <c r="AE521">
        <v>-0.37309866296567751</v>
      </c>
      <c r="AF521">
        <v>4.3304369481246031E-3</v>
      </c>
      <c r="AG521">
        <v>-1.3438034779986185</v>
      </c>
      <c r="AH521">
        <v>-0.37368285100414389</v>
      </c>
      <c r="AI521">
        <v>4.3633043276762921E-4</v>
      </c>
    </row>
    <row r="522" spans="23:35" x14ac:dyDescent="0.25">
      <c r="W522">
        <v>520</v>
      </c>
      <c r="X522">
        <v>79.387485108226926</v>
      </c>
      <c r="Y522">
        <v>-10.887485108226926</v>
      </c>
      <c r="Z522">
        <v>79.425214363059126</v>
      </c>
      <c r="AA522">
        <v>0.40388114008489995</v>
      </c>
      <c r="AB522">
        <v>66.2</v>
      </c>
      <c r="AC522">
        <v>-0.25193465741015014</v>
      </c>
      <c r="AD522">
        <v>-1.4749191268958239</v>
      </c>
      <c r="AE522">
        <v>-0.37210322057959144</v>
      </c>
      <c r="AF522">
        <v>3.4534109426519657E-3</v>
      </c>
      <c r="AG522">
        <v>-1.4774724930955956</v>
      </c>
      <c r="AH522">
        <v>-0.37254646992905277</v>
      </c>
      <c r="AI522">
        <v>4.2025893630803736E-4</v>
      </c>
    </row>
    <row r="523" spans="23:35" x14ac:dyDescent="0.25">
      <c r="W523">
        <v>521</v>
      </c>
      <c r="X523">
        <v>78.785549041314781</v>
      </c>
      <c r="Y523">
        <v>-10.485549041314783</v>
      </c>
      <c r="Z523">
        <v>78.822708255360993</v>
      </c>
      <c r="AA523">
        <v>0.39599757428744692</v>
      </c>
      <c r="AB523">
        <v>66.2</v>
      </c>
      <c r="AC523">
        <v>-0.27396491687072577</v>
      </c>
      <c r="AD523">
        <v>-1.4204691609959814</v>
      </c>
      <c r="AE523">
        <v>-0.36876328934027813</v>
      </c>
      <c r="AF523">
        <v>3.5313355786793774E-3</v>
      </c>
      <c r="AG523">
        <v>-1.4229838998929509</v>
      </c>
      <c r="AH523">
        <v>-0.37228692833116167</v>
      </c>
      <c r="AI523">
        <v>3.986601368318925E-4</v>
      </c>
    </row>
    <row r="524" spans="23:35" x14ac:dyDescent="0.25">
      <c r="W524">
        <v>522</v>
      </c>
      <c r="X524">
        <v>77.438933905532522</v>
      </c>
      <c r="Y524">
        <v>-9.338933905532528</v>
      </c>
      <c r="Z524">
        <v>77.471491926167459</v>
      </c>
      <c r="AA524">
        <v>0.38932686476652517</v>
      </c>
      <c r="AB524">
        <v>66.2</v>
      </c>
      <c r="AC524">
        <v>-0.29295400660571042</v>
      </c>
      <c r="AD524">
        <v>-1.2651381016978518</v>
      </c>
      <c r="AE524">
        <v>-0.36822523769758347</v>
      </c>
      <c r="AF524">
        <v>3.4741555444364651E-3</v>
      </c>
      <c r="AG524">
        <v>-1.2673414878177154</v>
      </c>
      <c r="AH524">
        <v>-0.36914720649279004</v>
      </c>
      <c r="AI524">
        <v>3.1108243634751472E-4</v>
      </c>
    </row>
    <row r="525" spans="23:35" x14ac:dyDescent="0.25">
      <c r="W525">
        <v>523</v>
      </c>
      <c r="X525">
        <v>74.646484446761747</v>
      </c>
      <c r="Y525">
        <v>-6.6464844467617468</v>
      </c>
      <c r="Z525">
        <v>74.673419786167216</v>
      </c>
      <c r="AA525">
        <v>0.38447543966040026</v>
      </c>
      <c r="AB525">
        <v>66.2</v>
      </c>
      <c r="AC525">
        <v>-0.31204933220437475</v>
      </c>
      <c r="AD525">
        <v>-0.90039407077921352</v>
      </c>
      <c r="AE525">
        <v>-0.36764200867181052</v>
      </c>
      <c r="AF525">
        <v>4.0362123571636979E-3</v>
      </c>
      <c r="AG525">
        <v>-0.90221668080696327</v>
      </c>
      <c r="AH525">
        <v>-0.36879940115710186</v>
      </c>
      <c r="AI525">
        <v>1.8326505400731059E-4</v>
      </c>
    </row>
    <row r="526" spans="23:35" x14ac:dyDescent="0.25">
      <c r="W526">
        <v>524</v>
      </c>
      <c r="X526">
        <v>74.450810727485361</v>
      </c>
      <c r="Y526">
        <v>-6.5508107274853558</v>
      </c>
      <c r="Z526">
        <v>74.476333889277157</v>
      </c>
      <c r="AA526">
        <v>0.37719830200121285</v>
      </c>
      <c r="AB526">
        <v>66.3</v>
      </c>
      <c r="AC526">
        <v>-0.32163939638952632</v>
      </c>
      <c r="AD526">
        <v>-0.88743322655308621</v>
      </c>
      <c r="AE526">
        <v>-0.36738871764675829</v>
      </c>
      <c r="AF526">
        <v>3.8810623398267607E-3</v>
      </c>
      <c r="AG526">
        <v>-0.88916034731704496</v>
      </c>
      <c r="AH526">
        <v>-0.36838944724251466</v>
      </c>
      <c r="AI526">
        <v>1.711303704440954E-4</v>
      </c>
    </row>
    <row r="527" spans="23:35" x14ac:dyDescent="0.25">
      <c r="W527">
        <v>525</v>
      </c>
      <c r="X527">
        <v>76.005786461516294</v>
      </c>
      <c r="Y527">
        <v>-8.205786461516297</v>
      </c>
      <c r="Z527">
        <v>76.033836565141684</v>
      </c>
      <c r="AA527">
        <v>0.37355973317161917</v>
      </c>
      <c r="AB527">
        <v>66.3</v>
      </c>
      <c r="AC527">
        <v>-0.337689309602062</v>
      </c>
      <c r="AD527">
        <v>-1.1116315001127193</v>
      </c>
      <c r="AE527">
        <v>-0.36635207802563302</v>
      </c>
      <c r="AF527">
        <v>3.4066869561326864E-3</v>
      </c>
      <c r="AG527">
        <v>-1.1135298420502899</v>
      </c>
      <c r="AH527">
        <v>-0.36786994353744862</v>
      </c>
      <c r="AI527">
        <v>2.3547536271827549E-4</v>
      </c>
    </row>
    <row r="528" spans="23:35" x14ac:dyDescent="0.25">
      <c r="W528">
        <v>526</v>
      </c>
      <c r="X528">
        <v>64.610484882362101</v>
      </c>
      <c r="Y528">
        <v>3.0895151176379017</v>
      </c>
      <c r="Z528">
        <v>64.525699577543847</v>
      </c>
      <c r="AA528">
        <v>0.36749545178896303</v>
      </c>
      <c r="AB528">
        <v>66.3</v>
      </c>
      <c r="AC528">
        <v>-0.35059197017921911</v>
      </c>
      <c r="AD528">
        <v>0.41853420643438516</v>
      </c>
      <c r="AE528">
        <v>-0.36594849783917843</v>
      </c>
      <c r="AF528">
        <v>2.6709918260556166E-2</v>
      </c>
      <c r="AG528">
        <v>0.42423823709029751</v>
      </c>
      <c r="AH528">
        <v>-0.36687340920146089</v>
      </c>
      <c r="AI528">
        <v>2.7439574650593989E-4</v>
      </c>
    </row>
    <row r="529" spans="23:35" x14ac:dyDescent="0.25">
      <c r="W529">
        <v>527</v>
      </c>
      <c r="X529">
        <v>85.42599923068056</v>
      </c>
      <c r="Y529">
        <v>-3.2259992306805572</v>
      </c>
      <c r="Z529">
        <v>85.460527697368434</v>
      </c>
      <c r="AA529">
        <v>0.96846573681018799</v>
      </c>
      <c r="AB529">
        <v>66.400000000000006</v>
      </c>
      <c r="AC529">
        <v>1.8460302671294702</v>
      </c>
      <c r="AD529">
        <v>-0.43702360291511266</v>
      </c>
      <c r="AE529">
        <v>-0.36397023635530806</v>
      </c>
      <c r="AF529">
        <v>1.0589840017535879E-2</v>
      </c>
      <c r="AG529">
        <v>-0.43935615034868014</v>
      </c>
      <c r="AH529">
        <v>-0.36437074341879322</v>
      </c>
      <c r="AI529">
        <v>1.1478204259608282E-4</v>
      </c>
    </row>
    <row r="530" spans="23:35" x14ac:dyDescent="0.25">
      <c r="W530">
        <v>528</v>
      </c>
      <c r="X530">
        <v>86.260378306096214</v>
      </c>
      <c r="Y530">
        <v>-4.2603783060962144</v>
      </c>
      <c r="Z530">
        <v>86.303000521981716</v>
      </c>
      <c r="AA530">
        <v>0.96604002425712554</v>
      </c>
      <c r="AB530">
        <v>66.400000000000006</v>
      </c>
      <c r="AC530">
        <v>1.7539324289023792</v>
      </c>
      <c r="AD530">
        <v>-0.57715013054072206</v>
      </c>
      <c r="AE530">
        <v>-0.36355158287226796</v>
      </c>
      <c r="AF530">
        <v>9.9052314002222083E-3</v>
      </c>
      <c r="AG530">
        <v>-0.58002994500738769</v>
      </c>
      <c r="AH530">
        <v>-0.3638817467404129</v>
      </c>
      <c r="AI530">
        <v>1.8698905441443125E-4</v>
      </c>
    </row>
    <row r="531" spans="23:35" x14ac:dyDescent="0.25">
      <c r="W531">
        <v>529</v>
      </c>
      <c r="X531">
        <v>85.56025846407573</v>
      </c>
      <c r="Y531">
        <v>-4.06025846407573</v>
      </c>
      <c r="Z531">
        <v>85.584616435957599</v>
      </c>
      <c r="AA531">
        <v>0.94966646452395387</v>
      </c>
      <c r="AB531">
        <v>66.400000000000006</v>
      </c>
      <c r="AC531">
        <v>1.6214924498394727</v>
      </c>
      <c r="AD531">
        <v>-0.55004005142388812</v>
      </c>
      <c r="AE531">
        <v>-0.36296561348485123</v>
      </c>
      <c r="AF531">
        <v>5.9633437469040918E-3</v>
      </c>
      <c r="AG531">
        <v>-0.55168746210410446</v>
      </c>
      <c r="AH531">
        <v>-0.36385130300949031</v>
      </c>
      <c r="AI531">
        <v>1.0143811437137865E-4</v>
      </c>
    </row>
    <row r="532" spans="23:35" x14ac:dyDescent="0.25">
      <c r="W532">
        <v>530</v>
      </c>
      <c r="X532">
        <v>80.045218142853415</v>
      </c>
      <c r="Y532">
        <v>1.6547818571465882</v>
      </c>
      <c r="Z532">
        <v>80.018680576885401</v>
      </c>
      <c r="AA532">
        <v>0.95573074590661011</v>
      </c>
      <c r="AB532">
        <v>66.400000000000006</v>
      </c>
      <c r="AC532">
        <v>1.6624525291871317</v>
      </c>
      <c r="AD532">
        <v>0.2241720092091285</v>
      </c>
      <c r="AE532">
        <v>-0.36162894473825108</v>
      </c>
      <c r="AF532">
        <v>1.5783774102157439E-2</v>
      </c>
      <c r="AG532">
        <v>0.22596237149015153</v>
      </c>
      <c r="AH532">
        <v>-0.36203077934881189</v>
      </c>
      <c r="AI532">
        <v>4.5490433876315884E-5</v>
      </c>
    </row>
    <row r="533" spans="23:35" x14ac:dyDescent="0.25">
      <c r="W533">
        <v>531</v>
      </c>
      <c r="X533">
        <v>79.457665982346484</v>
      </c>
      <c r="Y533">
        <v>1.8423340176535135</v>
      </c>
      <c r="Z533">
        <v>79.43004752337788</v>
      </c>
      <c r="AA533">
        <v>0.94481503941782896</v>
      </c>
      <c r="AB533">
        <v>66.400000000000006</v>
      </c>
      <c r="AC533">
        <v>1.5725296242490356</v>
      </c>
      <c r="AD533">
        <v>0.24957955430081119</v>
      </c>
      <c r="AE533">
        <v>-0.3606083149543457</v>
      </c>
      <c r="AF533">
        <v>1.4769604743374321E-2</v>
      </c>
      <c r="AG533">
        <v>0.25144332090708865</v>
      </c>
      <c r="AH533">
        <v>-0.36104623541898417</v>
      </c>
      <c r="AI533">
        <v>5.2654897794538515E-5</v>
      </c>
    </row>
    <row r="534" spans="23:35" x14ac:dyDescent="0.25">
      <c r="W534">
        <v>532</v>
      </c>
      <c r="X534">
        <v>84.310509481977164</v>
      </c>
      <c r="Y534">
        <v>-3.2105094819771693</v>
      </c>
      <c r="Z534">
        <v>84.346317593553124</v>
      </c>
      <c r="AA534">
        <v>0.93935718617343844</v>
      </c>
      <c r="AB534">
        <v>66.5</v>
      </c>
      <c r="AC534">
        <v>1.5222105313262397</v>
      </c>
      <c r="AD534">
        <v>-0.43492521872387524</v>
      </c>
      <c r="AE534">
        <v>-0.36041602122986266</v>
      </c>
      <c r="AF534">
        <v>1.1030378434653966E-2</v>
      </c>
      <c r="AG534">
        <v>-0.43734394166747914</v>
      </c>
      <c r="AH534">
        <v>-0.36079821756179375</v>
      </c>
      <c r="AI534">
        <v>1.1851714626522708E-4</v>
      </c>
    </row>
    <row r="535" spans="23:35" x14ac:dyDescent="0.25">
      <c r="W535">
        <v>533</v>
      </c>
      <c r="X535">
        <v>76.641532427335846</v>
      </c>
      <c r="Y535">
        <v>12.358467572664154</v>
      </c>
      <c r="Z535">
        <v>76.456684889742476</v>
      </c>
      <c r="AA535">
        <v>1</v>
      </c>
      <c r="AB535">
        <v>66.5</v>
      </c>
      <c r="AC535">
        <v>2.6570161854420777</v>
      </c>
      <c r="AD535">
        <v>1.6741919755436185</v>
      </c>
      <c r="AE535">
        <v>-0.35989494604571903</v>
      </c>
      <c r="AF535">
        <v>1.4736737135959403E-2</v>
      </c>
      <c r="AG535">
        <v>1.686666080348483</v>
      </c>
      <c r="AH535">
        <v>-0.36026185895492502</v>
      </c>
      <c r="AI535">
        <v>2.3639308285315938E-3</v>
      </c>
    </row>
    <row r="536" spans="23:35" x14ac:dyDescent="0.25">
      <c r="W536">
        <v>534</v>
      </c>
      <c r="X536">
        <v>76.229932816199266</v>
      </c>
      <c r="Y536">
        <v>12.770067183800734</v>
      </c>
      <c r="Z536">
        <v>76.080325663809262</v>
      </c>
      <c r="AA536">
        <v>1</v>
      </c>
      <c r="AB536">
        <v>66.5</v>
      </c>
      <c r="AC536">
        <v>2.6570161854420777</v>
      </c>
      <c r="AD536">
        <v>1.7299510542522085</v>
      </c>
      <c r="AE536">
        <v>-0.35783262729813431</v>
      </c>
      <c r="AF536">
        <v>1.1579792841288492E-2</v>
      </c>
      <c r="AG536">
        <v>1.740055129163192</v>
      </c>
      <c r="AH536">
        <v>-0.3585631899245279</v>
      </c>
      <c r="AI536">
        <v>1.9706644650879243E-3</v>
      </c>
    </row>
    <row r="537" spans="23:35" x14ac:dyDescent="0.25">
      <c r="W537">
        <v>535</v>
      </c>
      <c r="X537">
        <v>75.522650528876653</v>
      </c>
      <c r="Y537">
        <v>10.477349471123347</v>
      </c>
      <c r="Z537">
        <v>75.377837123659262</v>
      </c>
      <c r="AA537">
        <v>0.99029714978775019</v>
      </c>
      <c r="AB537">
        <v>66.599999999999994</v>
      </c>
      <c r="AC537">
        <v>2.190305027167327</v>
      </c>
      <c r="AD537">
        <v>1.4193583716091343</v>
      </c>
      <c r="AE537">
        <v>-0.35695138123015552</v>
      </c>
      <c r="AF537">
        <v>1.3633137328362289E-2</v>
      </c>
      <c r="AG537">
        <v>1.4291335899120077</v>
      </c>
      <c r="AH537">
        <v>-0.35781809824273253</v>
      </c>
      <c r="AI537">
        <v>1.5683048463344584E-3</v>
      </c>
    </row>
    <row r="538" spans="23:35" x14ac:dyDescent="0.25">
      <c r="W538">
        <v>536</v>
      </c>
      <c r="X538">
        <v>73.658719918607034</v>
      </c>
      <c r="Y538">
        <v>7.3412800813929664</v>
      </c>
      <c r="Z538">
        <v>73.559242849377839</v>
      </c>
      <c r="AA538">
        <v>0.93571861734384476</v>
      </c>
      <c r="AB538">
        <v>66.599999999999994</v>
      </c>
      <c r="AC538">
        <v>1.4576525936309466</v>
      </c>
      <c r="AD538">
        <v>0.99451749419744284</v>
      </c>
      <c r="AE538">
        <v>-0.35681687214764479</v>
      </c>
      <c r="AF538">
        <v>1.3369213268959177E-2</v>
      </c>
      <c r="AG538">
        <v>1.0012328623520512</v>
      </c>
      <c r="AH538">
        <v>-0.35776789603887804</v>
      </c>
      <c r="AI538">
        <v>7.546557305688924E-4</v>
      </c>
    </row>
    <row r="539" spans="23:35" x14ac:dyDescent="0.25">
      <c r="W539">
        <v>537</v>
      </c>
      <c r="X539">
        <v>73.86963117777276</v>
      </c>
      <c r="Y539">
        <v>8.1303688222272399</v>
      </c>
      <c r="Z539">
        <v>73.760127087556398</v>
      </c>
      <c r="AA539">
        <v>0.96604002425712554</v>
      </c>
      <c r="AB539">
        <v>66.599999999999994</v>
      </c>
      <c r="AC539">
        <v>1.7539324289023792</v>
      </c>
      <c r="AD539">
        <v>1.1014147312641716</v>
      </c>
      <c r="AE539">
        <v>-0.35545576984434163</v>
      </c>
      <c r="AF539">
        <v>1.3289536304739662E-2</v>
      </c>
      <c r="AG539">
        <v>1.1088071402041748</v>
      </c>
      <c r="AH539">
        <v>-0.35710359165181066</v>
      </c>
      <c r="AI539">
        <v>9.1994024157378014E-4</v>
      </c>
    </row>
    <row r="540" spans="23:35" x14ac:dyDescent="0.25">
      <c r="W540">
        <v>538</v>
      </c>
      <c r="X540">
        <v>71.815139296691953</v>
      </c>
      <c r="Y540">
        <v>7.4848607033080441</v>
      </c>
      <c r="Z540">
        <v>71.711066569785146</v>
      </c>
      <c r="AA540">
        <v>0.9017586416009703</v>
      </c>
      <c r="AB540">
        <v>66.599999999999994</v>
      </c>
      <c r="AC540">
        <v>1.262435852359769</v>
      </c>
      <c r="AD540">
        <v>1.013968249207351</v>
      </c>
      <c r="AE540">
        <v>-0.35541800047218336</v>
      </c>
      <c r="AF540">
        <v>1.3713748824365971E-2</v>
      </c>
      <c r="AG540">
        <v>1.0209932395085752</v>
      </c>
      <c r="AH540">
        <v>-0.35642117215197305</v>
      </c>
      <c r="AI540">
        <v>8.0524203825513968E-4</v>
      </c>
    </row>
    <row r="541" spans="23:35" x14ac:dyDescent="0.25">
      <c r="W541">
        <v>539</v>
      </c>
      <c r="X541">
        <v>71.799884567909373</v>
      </c>
      <c r="Y541">
        <v>7.4001154320906295</v>
      </c>
      <c r="Z541">
        <v>71.70102509253978</v>
      </c>
      <c r="AA541">
        <v>0.89630078835657978</v>
      </c>
      <c r="AB541">
        <v>66.599999999999994</v>
      </c>
      <c r="AC541">
        <v>1.2457497672431228</v>
      </c>
      <c r="AD541">
        <v>1.0024878733271496</v>
      </c>
      <c r="AE541">
        <v>-0.35477024970189269</v>
      </c>
      <c r="AF541">
        <v>1.3183065230855249E-2</v>
      </c>
      <c r="AG541">
        <v>1.0091618655723196</v>
      </c>
      <c r="AH541">
        <v>-0.35573699319140861</v>
      </c>
      <c r="AI541">
        <v>7.5583842038959217E-4</v>
      </c>
    </row>
    <row r="542" spans="23:35" x14ac:dyDescent="0.25">
      <c r="W542">
        <v>540</v>
      </c>
      <c r="X542">
        <v>77.702416103102266</v>
      </c>
      <c r="Y542">
        <v>1.2975838968977342</v>
      </c>
      <c r="Z542">
        <v>77.68739952699886</v>
      </c>
      <c r="AA542">
        <v>0.89023650697392354</v>
      </c>
      <c r="AB542">
        <v>66.7</v>
      </c>
      <c r="AC542">
        <v>1.2070560687293583</v>
      </c>
      <c r="AD542">
        <v>0.17578267977058684</v>
      </c>
      <c r="AE542">
        <v>-0.35275103378377076</v>
      </c>
      <c r="AF542">
        <v>1.1440325073991174E-2</v>
      </c>
      <c r="AG542">
        <v>0.17679689583532188</v>
      </c>
      <c r="AH542">
        <v>-0.35545786274962382</v>
      </c>
      <c r="AI542">
        <v>2.009612114062898E-5</v>
      </c>
    </row>
    <row r="543" spans="23:35" x14ac:dyDescent="0.25">
      <c r="W543">
        <v>541</v>
      </c>
      <c r="X543">
        <v>79.147469544990145</v>
      </c>
      <c r="Y543">
        <v>-0.34746954499014748</v>
      </c>
      <c r="Z543">
        <v>79.151584515336893</v>
      </c>
      <c r="AA543">
        <v>0.88174651303820495</v>
      </c>
      <c r="AB543">
        <v>66.7</v>
      </c>
      <c r="AC543">
        <v>1.1700898139672218</v>
      </c>
      <c r="AD543">
        <v>-4.7071428601312561E-2</v>
      </c>
      <c r="AE543">
        <v>-0.35185298105833812</v>
      </c>
      <c r="AF543">
        <v>1.1704071616481338E-2</v>
      </c>
      <c r="AG543">
        <v>-4.7349334150204939E-2</v>
      </c>
      <c r="AH543">
        <v>-0.35345854148527878</v>
      </c>
      <c r="AI543">
        <v>1.4750448021854877E-6</v>
      </c>
    </row>
    <row r="544" spans="23:35" x14ac:dyDescent="0.25">
      <c r="W544">
        <v>542</v>
      </c>
      <c r="X544">
        <v>63.563271321001224</v>
      </c>
      <c r="Y544">
        <v>1.9367286789987759</v>
      </c>
      <c r="Z544">
        <v>63.531015887495279</v>
      </c>
      <c r="AA544">
        <v>0.28987265009096425</v>
      </c>
      <c r="AB544">
        <v>66.8</v>
      </c>
      <c r="AC544">
        <v>-0.56174840893422073</v>
      </c>
      <c r="AD544">
        <v>0.2623671255453201</v>
      </c>
      <c r="AE544">
        <v>-0.35171465429058685</v>
      </c>
      <c r="AF544">
        <v>1.6381764231156799E-2</v>
      </c>
      <c r="AG544">
        <v>0.2645429129647619</v>
      </c>
      <c r="AH544">
        <v>-0.35294054529077856</v>
      </c>
      <c r="AI544">
        <v>6.4752099910191902E-5</v>
      </c>
    </row>
    <row r="545" spans="23:35" x14ac:dyDescent="0.25">
      <c r="W545">
        <v>543</v>
      </c>
      <c r="X545">
        <v>64.452521524930631</v>
      </c>
      <c r="Y545">
        <v>0.14747847506936296</v>
      </c>
      <c r="Z545">
        <v>64.451585339143463</v>
      </c>
      <c r="AA545">
        <v>0.25773195876288657</v>
      </c>
      <c r="AB545">
        <v>66.8</v>
      </c>
      <c r="AC545">
        <v>-0.66071795340131467</v>
      </c>
      <c r="AD545">
        <v>1.9978794140519032E-2</v>
      </c>
      <c r="AE545">
        <v>-0.34472186377143382</v>
      </c>
      <c r="AF545">
        <v>6.3079063871660452E-3</v>
      </c>
      <c r="AG545">
        <v>2.004210600402961E-2</v>
      </c>
      <c r="AH545">
        <v>-0.35238922102746245</v>
      </c>
      <c r="AI545">
        <v>1.4166012142486241E-7</v>
      </c>
    </row>
    <row r="546" spans="23:35" x14ac:dyDescent="0.25">
      <c r="W546">
        <v>544</v>
      </c>
      <c r="X546">
        <v>60.229207608741369</v>
      </c>
      <c r="Y546">
        <v>3.270792391258631</v>
      </c>
      <c r="Z546">
        <v>60.176920044281331</v>
      </c>
      <c r="AA546">
        <v>0.23226197695573075</v>
      </c>
      <c r="AB546">
        <v>66.8</v>
      </c>
      <c r="AC546">
        <v>-0.74038552290047832</v>
      </c>
      <c r="AD546">
        <v>0.44309169748736565</v>
      </c>
      <c r="AE546">
        <v>-0.34454235288026114</v>
      </c>
      <c r="AF546">
        <v>1.573466939008162E-2</v>
      </c>
      <c r="AG546">
        <v>0.44661933282331967</v>
      </c>
      <c r="AH546">
        <v>-0.34680974640039475</v>
      </c>
      <c r="AI546">
        <v>1.7715277757060827E-4</v>
      </c>
    </row>
    <row r="547" spans="23:35" x14ac:dyDescent="0.25">
      <c r="W547">
        <v>545</v>
      </c>
      <c r="X547">
        <v>63.546179697440039</v>
      </c>
      <c r="Y547">
        <v>-0.74617969744004142</v>
      </c>
      <c r="Z547">
        <v>63.549443362995532</v>
      </c>
      <c r="AA547">
        <v>0.21467556094602788</v>
      </c>
      <c r="AB547">
        <v>66.8</v>
      </c>
      <c r="AC547">
        <v>-0.79968509868701798</v>
      </c>
      <c r="AD547">
        <v>-0.10108438238175335</v>
      </c>
      <c r="AE547">
        <v>-0.34435706807842897</v>
      </c>
      <c r="AF547">
        <v>4.3547861207917553E-3</v>
      </c>
      <c r="AG547">
        <v>-0.1013052043009403</v>
      </c>
      <c r="AH547">
        <v>-0.34524233986824598</v>
      </c>
      <c r="AI547">
        <v>2.4937518088057971E-6</v>
      </c>
    </row>
    <row r="548" spans="23:35" x14ac:dyDescent="0.25">
      <c r="W548">
        <v>546</v>
      </c>
      <c r="X548">
        <v>60.798854075608688</v>
      </c>
      <c r="Y548">
        <v>1.5011459243913094</v>
      </c>
      <c r="Z548">
        <v>60.788497312092773</v>
      </c>
      <c r="AA548">
        <v>0.20557913887204365</v>
      </c>
      <c r="AB548">
        <v>66.8</v>
      </c>
      <c r="AC548">
        <v>-0.82505741806651978</v>
      </c>
      <c r="AD548">
        <v>0.20335906907219872</v>
      </c>
      <c r="AE548">
        <v>-0.34387289718794467</v>
      </c>
      <c r="AF548">
        <v>6.8519650006396626E-3</v>
      </c>
      <c r="AG548">
        <v>0.20405937459783929</v>
      </c>
      <c r="AH548">
        <v>-0.34511793325930701</v>
      </c>
      <c r="AI548">
        <v>1.5960325555997704E-5</v>
      </c>
    </row>
    <row r="549" spans="23:35" x14ac:dyDescent="0.25">
      <c r="W549">
        <v>547</v>
      </c>
      <c r="X549">
        <v>59.576941514719998</v>
      </c>
      <c r="Y549">
        <v>2.123058485280005</v>
      </c>
      <c r="Z549">
        <v>59.563496864541229</v>
      </c>
      <c r="AA549">
        <v>0.19102486355366888</v>
      </c>
      <c r="AB549">
        <v>66.8</v>
      </c>
      <c r="AC549">
        <v>-0.87970786716299942</v>
      </c>
      <c r="AD549">
        <v>0.28760907926219037</v>
      </c>
      <c r="AE549">
        <v>-0.34132058190935843</v>
      </c>
      <c r="AF549">
        <v>6.2928296034922863E-3</v>
      </c>
      <c r="AG549">
        <v>0.28851831021030577</v>
      </c>
      <c r="AH549">
        <v>-0.34494194160864766</v>
      </c>
      <c r="AI549">
        <v>2.9286117690895197E-5</v>
      </c>
    </row>
    <row r="550" spans="23:35" x14ac:dyDescent="0.25">
      <c r="W550">
        <v>548</v>
      </c>
      <c r="X550">
        <v>62.473466098455816</v>
      </c>
      <c r="Y550">
        <v>-0.87346609845581469</v>
      </c>
      <c r="Z550">
        <v>62.478040127211507</v>
      </c>
      <c r="AA550">
        <v>0.18920557913887204</v>
      </c>
      <c r="AB550">
        <v>66.8</v>
      </c>
      <c r="AC550">
        <v>-0.88869659543514345</v>
      </c>
      <c r="AD550">
        <v>-0.11832777197868019</v>
      </c>
      <c r="AE550">
        <v>-0.34071409212049064</v>
      </c>
      <c r="AF550">
        <v>5.2093618662045604E-3</v>
      </c>
      <c r="AG550">
        <v>-0.11863718748939946</v>
      </c>
      <c r="AH550">
        <v>-0.34443903093356998</v>
      </c>
      <c r="AI550">
        <v>4.0946993236427643E-6</v>
      </c>
    </row>
    <row r="551" spans="23:35" x14ac:dyDescent="0.25">
      <c r="W551">
        <v>549</v>
      </c>
      <c r="X551">
        <v>60.577743400078766</v>
      </c>
      <c r="Y551">
        <v>1.022256599921235</v>
      </c>
      <c r="Z551">
        <v>60.572040186258796</v>
      </c>
      <c r="AA551">
        <v>0.18920557913887204</v>
      </c>
      <c r="AB551">
        <v>66.900000000000006</v>
      </c>
      <c r="AC551">
        <v>-0.88869659543514345</v>
      </c>
      <c r="AD551">
        <v>0.13848430531308109</v>
      </c>
      <c r="AE551">
        <v>-0.33734912224066776</v>
      </c>
      <c r="AF551">
        <v>5.5480902499627184E-3</v>
      </c>
      <c r="AG551">
        <v>0.13887007297469081</v>
      </c>
      <c r="AH551">
        <v>-0.3424115962099028</v>
      </c>
      <c r="AI551">
        <v>5.9772931143875469E-6</v>
      </c>
    </row>
    <row r="552" spans="23:35" x14ac:dyDescent="0.25">
      <c r="W552">
        <v>550</v>
      </c>
      <c r="X552">
        <v>56.24097603874781</v>
      </c>
      <c r="Y552">
        <v>5.1590239612521884</v>
      </c>
      <c r="Z552">
        <v>56.201415245754767</v>
      </c>
      <c r="AA552">
        <v>0.18617343844754397</v>
      </c>
      <c r="AB552">
        <v>66.900000000000006</v>
      </c>
      <c r="AC552">
        <v>-0.90460220385671419</v>
      </c>
      <c r="AD552">
        <v>0.69888895745216717</v>
      </c>
      <c r="AE552">
        <v>-0.33674952324162438</v>
      </c>
      <c r="AF552">
        <v>7.6099159412059327E-3</v>
      </c>
      <c r="AG552">
        <v>0.70156347491844517</v>
      </c>
      <c r="AH552">
        <v>-0.33772475377317979</v>
      </c>
      <c r="AI552">
        <v>2.0968090355423362E-4</v>
      </c>
    </row>
    <row r="553" spans="23:35" x14ac:dyDescent="0.25">
      <c r="W553">
        <v>551</v>
      </c>
      <c r="X553">
        <v>49.386535309372569</v>
      </c>
      <c r="Y553">
        <v>15.613464690627431</v>
      </c>
      <c r="Z553">
        <v>49.198088822352865</v>
      </c>
      <c r="AA553">
        <v>0.27289266221952696</v>
      </c>
      <c r="AB553">
        <v>66.900000000000006</v>
      </c>
      <c r="AC553">
        <v>-0.62335641379693996</v>
      </c>
      <c r="AD553">
        <v>2.115143899661259</v>
      </c>
      <c r="AE553">
        <v>-0.33504806389654418</v>
      </c>
      <c r="AF553">
        <v>1.1925550327499378E-2</v>
      </c>
      <c r="AG553">
        <v>2.1278699649705386</v>
      </c>
      <c r="AH553">
        <v>-0.33715239828386995</v>
      </c>
      <c r="AI553">
        <v>3.0360325562388464E-3</v>
      </c>
    </row>
    <row r="554" spans="23:35" x14ac:dyDescent="0.25">
      <c r="W554">
        <v>552</v>
      </c>
      <c r="X554">
        <v>76.59546972120279</v>
      </c>
      <c r="Y554">
        <v>-2.0954697212027895</v>
      </c>
      <c r="Z554">
        <v>76.599064816215559</v>
      </c>
      <c r="AA554">
        <v>0.72407519708914492</v>
      </c>
      <c r="AB554">
        <v>66.900000000000006</v>
      </c>
      <c r="AC554">
        <v>0.56531175535073552</v>
      </c>
      <c r="AD554">
        <v>-0.28387165088268757</v>
      </c>
      <c r="AE554">
        <v>-0.33186257129880115</v>
      </c>
      <c r="AF554">
        <v>1.7127127209211747E-3</v>
      </c>
      <c r="AG554">
        <v>-0.2841150588871284</v>
      </c>
      <c r="AH554">
        <v>-0.33276972232394364</v>
      </c>
      <c r="AI554">
        <v>7.6938724807154458E-6</v>
      </c>
    </row>
    <row r="555" spans="23:35" x14ac:dyDescent="0.25">
      <c r="W555">
        <v>553</v>
      </c>
      <c r="X555">
        <v>77.222118621922675</v>
      </c>
      <c r="Y555">
        <v>-2.7221186219226752</v>
      </c>
      <c r="Z555">
        <v>77.227789533682312</v>
      </c>
      <c r="AA555">
        <v>0.72407519708914492</v>
      </c>
      <c r="AB555">
        <v>67</v>
      </c>
      <c r="AC555">
        <v>0.56531175535073552</v>
      </c>
      <c r="AD555">
        <v>-0.36876328934027813</v>
      </c>
      <c r="AE555">
        <v>-0.33120293107930721</v>
      </c>
      <c r="AF555">
        <v>2.0789403616413653E-3</v>
      </c>
      <c r="AG555">
        <v>-0.36914720649279004</v>
      </c>
      <c r="AH555">
        <v>-0.33226016693542226</v>
      </c>
      <c r="AI555">
        <v>1.5771482213651112E-5</v>
      </c>
    </row>
    <row r="556" spans="23:35" x14ac:dyDescent="0.25">
      <c r="W556">
        <v>554</v>
      </c>
      <c r="X556">
        <v>74.437102246791113</v>
      </c>
      <c r="Y556">
        <v>-0.23710224679111036</v>
      </c>
      <c r="Z556">
        <v>74.437914815817777</v>
      </c>
      <c r="AA556">
        <v>0.7010309278350515</v>
      </c>
      <c r="AB556">
        <v>67</v>
      </c>
      <c r="AC556">
        <v>0.5039283835636299</v>
      </c>
      <c r="AD556">
        <v>-3.212005668397501E-2</v>
      </c>
      <c r="AE556">
        <v>-0.33088371772826247</v>
      </c>
      <c r="AF556">
        <v>3.4153779951770248E-3</v>
      </c>
      <c r="AG556">
        <v>-3.2175048655313301E-2</v>
      </c>
      <c r="AH556">
        <v>-0.33213681921115262</v>
      </c>
      <c r="AI556">
        <v>1.9710176536615732E-7</v>
      </c>
    </row>
    <row r="557" spans="23:35" x14ac:dyDescent="0.25">
      <c r="W557">
        <v>555</v>
      </c>
      <c r="X557">
        <v>75.555261349019929</v>
      </c>
      <c r="Y557">
        <v>-1.6552613490199235</v>
      </c>
      <c r="Z557">
        <v>75.560331541314838</v>
      </c>
      <c r="AA557">
        <v>0.67919951485748942</v>
      </c>
      <c r="AB557">
        <v>67</v>
      </c>
      <c r="AC557">
        <v>0.43434378704136062</v>
      </c>
      <c r="AD557">
        <v>-0.22423696559971304</v>
      </c>
      <c r="AE557">
        <v>-0.33022337632734361</v>
      </c>
      <c r="AF557">
        <v>3.0537228070066074E-3</v>
      </c>
      <c r="AG557">
        <v>-0.22458013051593592</v>
      </c>
      <c r="AH557">
        <v>-0.33160099321200637</v>
      </c>
      <c r="AI557">
        <v>8.5827806100030239E-6</v>
      </c>
    </row>
    <row r="558" spans="23:35" x14ac:dyDescent="0.25">
      <c r="W558">
        <v>556</v>
      </c>
      <c r="X558">
        <v>69.939282854622391</v>
      </c>
      <c r="Y558">
        <v>3.8607171453776061</v>
      </c>
      <c r="Z558">
        <v>69.922244993542023</v>
      </c>
      <c r="AA558">
        <v>0.66767738023044265</v>
      </c>
      <c r="AB558">
        <v>67</v>
      </c>
      <c r="AC558">
        <v>0.4143837514429769</v>
      </c>
      <c r="AD558">
        <v>0.5230083444108985</v>
      </c>
      <c r="AE558">
        <v>-0.32700405692203638</v>
      </c>
      <c r="AF558">
        <v>4.3937435583194656E-3</v>
      </c>
      <c r="AG558">
        <v>0.52416112684977789</v>
      </c>
      <c r="AH558">
        <v>-0.32726192414834382</v>
      </c>
      <c r="AI558">
        <v>6.7360329402284792E-5</v>
      </c>
    </row>
    <row r="559" spans="23:35" x14ac:dyDescent="0.25">
      <c r="W559">
        <v>557</v>
      </c>
      <c r="X559">
        <v>68.197576604053481</v>
      </c>
      <c r="Y559">
        <v>5.0024233959465221</v>
      </c>
      <c r="Z559">
        <v>68.168021398252151</v>
      </c>
      <c r="AA559">
        <v>0.62340812613705276</v>
      </c>
      <c r="AB559">
        <v>67</v>
      </c>
      <c r="AC559">
        <v>0.29295400660571058</v>
      </c>
      <c r="AD559">
        <v>0.6776744008529122</v>
      </c>
      <c r="AE559">
        <v>-0.32667852094535993</v>
      </c>
      <c r="AF559">
        <v>5.8734760499707158E-3</v>
      </c>
      <c r="AG559">
        <v>0.67967336299935643</v>
      </c>
      <c r="AH559">
        <v>-0.3271366677550599</v>
      </c>
      <c r="AI559">
        <v>1.5162874332023152E-4</v>
      </c>
    </row>
    <row r="560" spans="23:35" x14ac:dyDescent="0.25">
      <c r="W560">
        <v>558</v>
      </c>
      <c r="X560">
        <v>65.287161477339495</v>
      </c>
      <c r="Y560">
        <v>8.6128385226605104</v>
      </c>
      <c r="Z560">
        <v>65.10920021985217</v>
      </c>
      <c r="AA560">
        <v>0.67919951485748942</v>
      </c>
      <c r="AB560">
        <v>67</v>
      </c>
      <c r="AC560">
        <v>0.43434378704136062</v>
      </c>
      <c r="AD560">
        <v>1.1667745257661193</v>
      </c>
      <c r="AE560">
        <v>-0.32612905238066986</v>
      </c>
      <c r="AF560">
        <v>2.0244034893071888E-2</v>
      </c>
      <c r="AG560">
        <v>1.1787670307113811</v>
      </c>
      <c r="AH560">
        <v>-0.32711913290070888</v>
      </c>
      <c r="AI560">
        <v>1.5950070855032705E-3</v>
      </c>
    </row>
    <row r="561" spans="23:35" x14ac:dyDescent="0.25">
      <c r="W561">
        <v>559</v>
      </c>
      <c r="X561">
        <v>70.653210292445891</v>
      </c>
      <c r="Y561">
        <v>3.7467897075541146</v>
      </c>
      <c r="Z561">
        <v>70.638154059298202</v>
      </c>
      <c r="AA561">
        <v>0.71376591873862949</v>
      </c>
      <c r="AB561">
        <v>67</v>
      </c>
      <c r="AC561">
        <v>0.54051528578164909</v>
      </c>
      <c r="AD561">
        <v>0.50757468315177712</v>
      </c>
      <c r="AE561">
        <v>-0.32576014949363391</v>
      </c>
      <c r="AF561">
        <v>4.0023524049141602E-3</v>
      </c>
      <c r="AG561">
        <v>0.50859348876504307</v>
      </c>
      <c r="AH561">
        <v>-0.32623587067846022</v>
      </c>
      <c r="AI561">
        <v>5.7746557493874814E-5</v>
      </c>
    </row>
    <row r="562" spans="23:35" x14ac:dyDescent="0.25">
      <c r="W562">
        <v>560</v>
      </c>
      <c r="X562">
        <v>73.044284867971584</v>
      </c>
      <c r="Y562">
        <v>0.85571513202842198</v>
      </c>
      <c r="Z562">
        <v>73.042587668921371</v>
      </c>
      <c r="AA562">
        <v>0.67919951485748942</v>
      </c>
      <c r="AB562">
        <v>67</v>
      </c>
      <c r="AC562">
        <v>0.43434378704136062</v>
      </c>
      <c r="AD562">
        <v>0.11592306238372849</v>
      </c>
      <c r="AE562">
        <v>-0.31980908644266137</v>
      </c>
      <c r="AF562">
        <v>1.9794432488287879E-3</v>
      </c>
      <c r="AG562">
        <v>0.11603796455524971</v>
      </c>
      <c r="AH562">
        <v>-0.32027158778778453</v>
      </c>
      <c r="AI562">
        <v>1.4836493387553358E-6</v>
      </c>
    </row>
    <row r="563" spans="23:35" x14ac:dyDescent="0.25">
      <c r="W563">
        <v>561</v>
      </c>
      <c r="X563">
        <v>72.13467185013927</v>
      </c>
      <c r="Y563">
        <v>1.7653281498607356</v>
      </c>
      <c r="Z563">
        <v>72.130628540128427</v>
      </c>
      <c r="AA563">
        <v>0.67919951485748942</v>
      </c>
      <c r="AB563">
        <v>67.099999999999994</v>
      </c>
      <c r="AC563">
        <v>0.43434378704136062</v>
      </c>
      <c r="AD563">
        <v>0.23914762937400175</v>
      </c>
      <c r="AE563">
        <v>-0.31577415641331791</v>
      </c>
      <c r="AF563">
        <v>2.2851674182285545E-3</v>
      </c>
      <c r="AG563">
        <v>0.23942134476295021</v>
      </c>
      <c r="AH563">
        <v>-0.3161806364980223</v>
      </c>
      <c r="AI563">
        <v>7.2939842470705884E-6</v>
      </c>
    </row>
    <row r="564" spans="23:35" x14ac:dyDescent="0.25">
      <c r="W564">
        <v>562</v>
      </c>
      <c r="X564">
        <v>70.847499017639706</v>
      </c>
      <c r="Y564">
        <v>1.4525009823602915</v>
      </c>
      <c r="Z564">
        <v>70.842691576422553</v>
      </c>
      <c r="AA564">
        <v>0.54578532443905392</v>
      </c>
      <c r="AB564">
        <v>67.099999999999994</v>
      </c>
      <c r="AC564">
        <v>9.896716322379942E-2</v>
      </c>
      <c r="AD564">
        <v>0.19676917666682842</v>
      </c>
      <c r="AE564">
        <v>-0.31301808878194726</v>
      </c>
      <c r="AF564">
        <v>3.2988495361543427E-3</v>
      </c>
      <c r="AG564">
        <v>0.19709453783021935</v>
      </c>
      <c r="AH564">
        <v>-0.31566886829165014</v>
      </c>
      <c r="AI564">
        <v>7.1428942425944942E-6</v>
      </c>
    </row>
    <row r="565" spans="23:35" x14ac:dyDescent="0.25">
      <c r="W565">
        <v>563</v>
      </c>
      <c r="X565">
        <v>69.777768486180065</v>
      </c>
      <c r="Y565">
        <v>2.9222315138199377</v>
      </c>
      <c r="Z565">
        <v>69.767566031651199</v>
      </c>
      <c r="AA565">
        <v>0.57246816252274102</v>
      </c>
      <c r="AB565">
        <v>67.099999999999994</v>
      </c>
      <c r="AC565">
        <v>0.16337348484333708</v>
      </c>
      <c r="AD565">
        <v>0.39587242692933294</v>
      </c>
      <c r="AE565">
        <v>-0.31024502368152373</v>
      </c>
      <c r="AF565">
        <v>3.479176219815837E-3</v>
      </c>
      <c r="AG565">
        <v>0.39656288408612039</v>
      </c>
      <c r="AH565">
        <v>-0.31549631066411177</v>
      </c>
      <c r="AI565">
        <v>3.050293797319387E-5</v>
      </c>
    </row>
    <row r="566" spans="23:35" x14ac:dyDescent="0.25">
      <c r="W566">
        <v>564</v>
      </c>
      <c r="X566">
        <v>72.030898720222652</v>
      </c>
      <c r="Y566">
        <v>-0.33089872022264899</v>
      </c>
      <c r="Z566">
        <v>72.032247379947293</v>
      </c>
      <c r="AA566">
        <v>0.50394178289872649</v>
      </c>
      <c r="AB566">
        <v>67.2</v>
      </c>
      <c r="AC566">
        <v>-4.5602855597810616E-3</v>
      </c>
      <c r="AD566">
        <v>-4.4826591877765221E-2</v>
      </c>
      <c r="AE566">
        <v>-0.31011113566880411</v>
      </c>
      <c r="AF566">
        <v>4.0592034912326803E-3</v>
      </c>
      <c r="AG566">
        <v>-4.4917849927306013E-2</v>
      </c>
      <c r="AH566">
        <v>-0.31067845398253996</v>
      </c>
      <c r="AI566">
        <v>4.5684903855990373E-7</v>
      </c>
    </row>
    <row r="567" spans="23:35" x14ac:dyDescent="0.25">
      <c r="W567">
        <v>565</v>
      </c>
      <c r="X567">
        <v>70.738593742044387</v>
      </c>
      <c r="Y567">
        <v>2.2614062579556133</v>
      </c>
      <c r="Z567">
        <v>70.732617225378391</v>
      </c>
      <c r="AA567">
        <v>0.60946027895694366</v>
      </c>
      <c r="AB567">
        <v>67.2</v>
      </c>
      <c r="AC567">
        <v>0.22222871718700732</v>
      </c>
      <c r="AD567">
        <v>0.30635094426171189</v>
      </c>
      <c r="AE567">
        <v>-0.3090382909280654</v>
      </c>
      <c r="AF567">
        <v>2.6358657800933968E-3</v>
      </c>
      <c r="AG567">
        <v>0.30675549417741299</v>
      </c>
      <c r="AH567">
        <v>-0.31066082020778657</v>
      </c>
      <c r="AI567">
        <v>1.3815981405178619E-5</v>
      </c>
    </row>
    <row r="568" spans="23:35" x14ac:dyDescent="0.25">
      <c r="W568">
        <v>566</v>
      </c>
      <c r="X568">
        <v>49.210119589601106</v>
      </c>
      <c r="Y568">
        <v>22.589880410398891</v>
      </c>
      <c r="Z568">
        <v>48.55967250084921</v>
      </c>
      <c r="AA568">
        <v>0.51061249241964823</v>
      </c>
      <c r="AB568">
        <v>67.2</v>
      </c>
      <c r="AC568">
        <v>1.0640830227304372E-2</v>
      </c>
      <c r="AD568">
        <v>3.0602335029978862</v>
      </c>
      <c r="AE568">
        <v>-0.30694574562932453</v>
      </c>
      <c r="AF568">
        <v>2.7987862424729684E-2</v>
      </c>
      <c r="AG568">
        <v>3.1039786215604122</v>
      </c>
      <c r="AH568">
        <v>-0.30929707283917213</v>
      </c>
      <c r="AI568">
        <v>1.5412141234849229E-2</v>
      </c>
    </row>
    <row r="569" spans="23:35" x14ac:dyDescent="0.25">
      <c r="W569">
        <v>567</v>
      </c>
      <c r="X569">
        <v>89.023014383470866</v>
      </c>
      <c r="Y569">
        <v>-2.3014383470865596E-2</v>
      </c>
      <c r="Z569">
        <v>89.023144850419527</v>
      </c>
      <c r="AA569">
        <v>1</v>
      </c>
      <c r="AB569">
        <v>67.2</v>
      </c>
      <c r="AC569">
        <v>2.6570161854420777</v>
      </c>
      <c r="AD569">
        <v>-3.117740601936194E-3</v>
      </c>
      <c r="AE569">
        <v>-0.30612169955080221</v>
      </c>
      <c r="AF569">
        <v>5.6369752361804318E-3</v>
      </c>
      <c r="AG569">
        <v>-3.1265652409980852E-3</v>
      </c>
      <c r="AH569">
        <v>-0.30734502626733007</v>
      </c>
      <c r="AI569">
        <v>3.0786735876602023E-9</v>
      </c>
    </row>
    <row r="570" spans="23:35" x14ac:dyDescent="0.25">
      <c r="W570">
        <v>568</v>
      </c>
      <c r="X570">
        <v>88.711971876538144</v>
      </c>
      <c r="Y570">
        <v>-2.7119718765381435</v>
      </c>
      <c r="Z570">
        <v>88.726766270879168</v>
      </c>
      <c r="AA570">
        <v>0.99029714978775019</v>
      </c>
      <c r="AB570">
        <v>67.2</v>
      </c>
      <c r="AC570">
        <v>2.190305027167327</v>
      </c>
      <c r="AD570">
        <v>-0.36738871764675829</v>
      </c>
      <c r="AE570">
        <v>-0.30379953233319701</v>
      </c>
      <c r="AF570">
        <v>5.425618799464035E-3</v>
      </c>
      <c r="AG570">
        <v>-0.36838944724251466</v>
      </c>
      <c r="AH570">
        <v>-0.30660083180445813</v>
      </c>
      <c r="AI570">
        <v>4.1129541296694871E-5</v>
      </c>
    </row>
    <row r="571" spans="23:35" x14ac:dyDescent="0.25">
      <c r="W571">
        <v>569</v>
      </c>
      <c r="X571">
        <v>75.560166638907049</v>
      </c>
      <c r="Y571">
        <v>10.439833361092951</v>
      </c>
      <c r="Z571">
        <v>75.409039002579348</v>
      </c>
      <c r="AA571">
        <v>0.99029714978775019</v>
      </c>
      <c r="AB571">
        <v>67.2</v>
      </c>
      <c r="AC571">
        <v>2.190305027167327</v>
      </c>
      <c r="AD571">
        <v>1.4142760934061773</v>
      </c>
      <c r="AE571">
        <v>-0.30312846181470249</v>
      </c>
      <c r="AF571">
        <v>1.4269492292956624E-2</v>
      </c>
      <c r="AG571">
        <v>1.4244758844317749</v>
      </c>
      <c r="AH571">
        <v>-0.30483380836530488</v>
      </c>
      <c r="AI571">
        <v>1.6318792521588608E-3</v>
      </c>
    </row>
    <row r="572" spans="23:35" x14ac:dyDescent="0.25">
      <c r="W572">
        <v>570</v>
      </c>
      <c r="X572">
        <v>75.235021334987565</v>
      </c>
      <c r="Y572">
        <v>9.7649786650124355</v>
      </c>
      <c r="Z572">
        <v>75.094556281670847</v>
      </c>
      <c r="AA572">
        <v>0.98544572468162528</v>
      </c>
      <c r="AB572">
        <v>67.3</v>
      </c>
      <c r="AC572">
        <v>2.1134016615055304</v>
      </c>
      <c r="AD572">
        <v>1.3228540534005844</v>
      </c>
      <c r="AE572">
        <v>-0.30257436623920625</v>
      </c>
      <c r="AF572">
        <v>1.4180591734300262E-2</v>
      </c>
      <c r="AG572">
        <v>1.3323344280221714</v>
      </c>
      <c r="AH572">
        <v>-0.30347404408346318</v>
      </c>
      <c r="AI572">
        <v>1.4185706994242278E-3</v>
      </c>
    </row>
    <row r="573" spans="23:35" x14ac:dyDescent="0.25">
      <c r="W573">
        <v>571</v>
      </c>
      <c r="X573">
        <v>88.644737468399867</v>
      </c>
      <c r="Y573">
        <v>-7.6447374683998675</v>
      </c>
      <c r="Z573">
        <v>88.753930311597998</v>
      </c>
      <c r="AA573">
        <v>0.93571861734384476</v>
      </c>
      <c r="AB573">
        <v>67.3</v>
      </c>
      <c r="AC573">
        <v>1.4576525936309466</v>
      </c>
      <c r="AD573">
        <v>-1.0356266300396682</v>
      </c>
      <c r="AE573">
        <v>-0.30065488811811752</v>
      </c>
      <c r="AF573">
        <v>1.4082257488799084E-2</v>
      </c>
      <c r="AG573">
        <v>-1.0429965412072788</v>
      </c>
      <c r="AH573">
        <v>-0.30322291951251368</v>
      </c>
      <c r="AI573">
        <v>8.63226630967767E-4</v>
      </c>
    </row>
    <row r="574" spans="23:35" x14ac:dyDescent="0.25">
      <c r="W574">
        <v>572</v>
      </c>
      <c r="X574">
        <v>89.010856296552959</v>
      </c>
      <c r="Y574">
        <v>-9.0108562965529586</v>
      </c>
      <c r="Z574">
        <v>89.144970508757055</v>
      </c>
      <c r="AA574">
        <v>0.92722862340812617</v>
      </c>
      <c r="AB574">
        <v>67.3</v>
      </c>
      <c r="AC574">
        <v>1.4191611772342045</v>
      </c>
      <c r="AD574">
        <v>-1.2206936835627054</v>
      </c>
      <c r="AE574">
        <v>-0.30040994732875809</v>
      </c>
      <c r="AF574">
        <v>1.4665352072559652E-2</v>
      </c>
      <c r="AG574">
        <v>-1.2297443053592614</v>
      </c>
      <c r="AH574">
        <v>-0.30180720302683717</v>
      </c>
      <c r="AI574">
        <v>1.2504486854229512E-3</v>
      </c>
    </row>
    <row r="575" spans="23:35" x14ac:dyDescent="0.25">
      <c r="W575">
        <v>573</v>
      </c>
      <c r="X575">
        <v>79.921053617057368</v>
      </c>
      <c r="Y575">
        <v>-2.1053617057361862E-2</v>
      </c>
      <c r="Z575">
        <v>79.921499550487638</v>
      </c>
      <c r="AA575">
        <v>0.92177077016373554</v>
      </c>
      <c r="AB575">
        <v>67.3</v>
      </c>
      <c r="AC575">
        <v>1.3946242806491955</v>
      </c>
      <c r="AD575">
        <v>-2.8521171032214799E-3</v>
      </c>
      <c r="AE575">
        <v>-0.29886716167984029</v>
      </c>
      <c r="AF575">
        <v>2.0741523434477872E-2</v>
      </c>
      <c r="AG575">
        <v>-2.8821639596653824E-3</v>
      </c>
      <c r="AH575">
        <v>-0.30092522628789464</v>
      </c>
      <c r="AI575">
        <v>9.7748065970756099E-9</v>
      </c>
    </row>
    <row r="576" spans="23:35" x14ac:dyDescent="0.25">
      <c r="W576">
        <v>574</v>
      </c>
      <c r="X576">
        <v>79.521002246227454</v>
      </c>
      <c r="Y576">
        <v>0.27899775377254343</v>
      </c>
      <c r="Z576">
        <v>79.514995825107619</v>
      </c>
      <c r="AA576">
        <v>0.91813220133414186</v>
      </c>
      <c r="AB576">
        <v>67.3</v>
      </c>
      <c r="AC576">
        <v>1.3748000243745633</v>
      </c>
      <c r="AD576">
        <v>3.7795608380594169E-2</v>
      </c>
      <c r="AE576">
        <v>-0.29799156618174094</v>
      </c>
      <c r="AF576">
        <v>2.1074853103832971E-2</v>
      </c>
      <c r="AG576">
        <v>3.8200284549498774E-2</v>
      </c>
      <c r="AH576">
        <v>-0.30083779308180497</v>
      </c>
      <c r="AI576">
        <v>1.7453227995886924E-6</v>
      </c>
    </row>
    <row r="577" spans="23:35" x14ac:dyDescent="0.25">
      <c r="W577">
        <v>575</v>
      </c>
      <c r="X577">
        <v>78.521893169371168</v>
      </c>
      <c r="Y577">
        <v>1.0781068306288262</v>
      </c>
      <c r="Z577">
        <v>78.505676912485384</v>
      </c>
      <c r="AA577">
        <v>0.91206791995148573</v>
      </c>
      <c r="AB577">
        <v>67.3</v>
      </c>
      <c r="AC577">
        <v>1.3404190152831756</v>
      </c>
      <c r="AD577">
        <v>0.14605029256296728</v>
      </c>
      <c r="AE577">
        <v>-0.29768073138735107</v>
      </c>
      <c r="AF577">
        <v>1.4818527609258475E-2</v>
      </c>
      <c r="AG577">
        <v>0.14714459480110326</v>
      </c>
      <c r="AH577">
        <v>-0.3007583127945419</v>
      </c>
      <c r="AI577">
        <v>1.8092764883313925E-5</v>
      </c>
    </row>
    <row r="578" spans="23:35" x14ac:dyDescent="0.25">
      <c r="W578">
        <v>576</v>
      </c>
      <c r="X578">
        <v>76.853621403244347</v>
      </c>
      <c r="Y578">
        <v>2.3463785967556561</v>
      </c>
      <c r="Z578">
        <v>76.804829783525065</v>
      </c>
      <c r="AA578">
        <v>0.89630078835657978</v>
      </c>
      <c r="AB578">
        <v>67.3</v>
      </c>
      <c r="AC578">
        <v>1.2457497672431228</v>
      </c>
      <c r="AD578">
        <v>0.31786208081045941</v>
      </c>
      <c r="AE578">
        <v>-0.29640675382843651</v>
      </c>
      <c r="AF578">
        <v>2.0370836019781902E-2</v>
      </c>
      <c r="AG578">
        <v>0.32114995772725458</v>
      </c>
      <c r="AH578">
        <v>-0.29938964193678325</v>
      </c>
      <c r="AI578">
        <v>1.1914899412470017E-4</v>
      </c>
    </row>
    <row r="579" spans="23:35" x14ac:dyDescent="0.25">
      <c r="W579">
        <v>577</v>
      </c>
      <c r="X579">
        <v>78.433897329132009</v>
      </c>
      <c r="Y579">
        <v>0.66610267086798558</v>
      </c>
      <c r="Z579">
        <v>78.425871930377298</v>
      </c>
      <c r="AA579">
        <v>0.89326864766525171</v>
      </c>
      <c r="AB579">
        <v>67.3</v>
      </c>
      <c r="AC579">
        <v>1.2294035019788656</v>
      </c>
      <c r="AD579">
        <v>9.0236409967368619E-2</v>
      </c>
      <c r="AE579">
        <v>-0.29621342877680906</v>
      </c>
      <c r="AF579">
        <v>1.1904857721185377E-2</v>
      </c>
      <c r="AG579">
        <v>9.0778379661889189E-2</v>
      </c>
      <c r="AH579">
        <v>-0.29833566776983217</v>
      </c>
      <c r="AI579">
        <v>5.5159178977226563E-6</v>
      </c>
    </row>
    <row r="580" spans="23:35" x14ac:dyDescent="0.25">
      <c r="W580">
        <v>578</v>
      </c>
      <c r="X580">
        <v>74.791894489618841</v>
      </c>
      <c r="Y580">
        <v>3.7081055103811593</v>
      </c>
      <c r="Z580">
        <v>74.724094953192832</v>
      </c>
      <c r="AA580">
        <v>0.87265009096422075</v>
      </c>
      <c r="AB580">
        <v>67.3</v>
      </c>
      <c r="AC580">
        <v>1.128888636463274</v>
      </c>
      <c r="AD580">
        <v>0.50233416509348949</v>
      </c>
      <c r="AE580">
        <v>-0.29566741811248809</v>
      </c>
      <c r="AF580">
        <v>1.7955837232542838E-2</v>
      </c>
      <c r="AG580">
        <v>0.50690573811882877</v>
      </c>
      <c r="AH580">
        <v>-0.29817031523965409</v>
      </c>
      <c r="AI580">
        <v>2.610096420725944E-4</v>
      </c>
    </row>
    <row r="581" spans="23:35" x14ac:dyDescent="0.25">
      <c r="W581">
        <v>579</v>
      </c>
      <c r="X581">
        <v>76.482632762602037</v>
      </c>
      <c r="Y581">
        <v>1.9173672373979684</v>
      </c>
      <c r="Z581">
        <v>76.464221475767829</v>
      </c>
      <c r="AA581">
        <v>0.87022437841115829</v>
      </c>
      <c r="AB581">
        <v>67.3</v>
      </c>
      <c r="AC581">
        <v>1.1231576917613038</v>
      </c>
      <c r="AD581">
        <v>0.2597442461330921</v>
      </c>
      <c r="AE581">
        <v>-0.29549719429996935</v>
      </c>
      <c r="AF581">
        <v>9.5110502589673546E-3</v>
      </c>
      <c r="AG581">
        <v>0.26098834802704418</v>
      </c>
      <c r="AH581">
        <v>-0.2971742715754831</v>
      </c>
      <c r="AI581">
        <v>3.6336958563444249E-5</v>
      </c>
    </row>
    <row r="582" spans="23:35" x14ac:dyDescent="0.25">
      <c r="W582">
        <v>580</v>
      </c>
      <c r="X582">
        <v>76.10661375269747</v>
      </c>
      <c r="Y582">
        <v>2.1933862473025272</v>
      </c>
      <c r="Z582">
        <v>76.082699872887261</v>
      </c>
      <c r="AA582">
        <v>0.86901152213462707</v>
      </c>
      <c r="AB582">
        <v>67.400000000000006</v>
      </c>
      <c r="AC582">
        <v>1.1118051137279645</v>
      </c>
      <c r="AD582">
        <v>0.29713632640215804</v>
      </c>
      <c r="AE582">
        <v>-0.29287946795673037</v>
      </c>
      <c r="AF582">
        <v>1.0785134370307439E-2</v>
      </c>
      <c r="AG582">
        <v>0.29875173259272686</v>
      </c>
      <c r="AH582">
        <v>-0.29671603054081735</v>
      </c>
      <c r="AI582">
        <v>5.4060901834148836E-5</v>
      </c>
    </row>
    <row r="583" spans="23:35" x14ac:dyDescent="0.25">
      <c r="W583">
        <v>581</v>
      </c>
      <c r="X583">
        <v>69.213366644741654</v>
      </c>
      <c r="Y583">
        <v>8.7866333552583455</v>
      </c>
      <c r="Z583">
        <v>68.945412431543602</v>
      </c>
      <c r="AA583">
        <v>0.86294724075197093</v>
      </c>
      <c r="AB583">
        <v>67.400000000000006</v>
      </c>
      <c r="AC583">
        <v>1.0491313979639725</v>
      </c>
      <c r="AD583">
        <v>1.1903183763621132</v>
      </c>
      <c r="AE583">
        <v>-0.29210446283554914</v>
      </c>
      <c r="AF583">
        <v>2.9593199157024401E-2</v>
      </c>
      <c r="AG583">
        <v>1.2083318487847721</v>
      </c>
      <c r="AH583">
        <v>-0.29624353969644784</v>
      </c>
      <c r="AI583">
        <v>2.4736487170325316E-3</v>
      </c>
    </row>
    <row r="584" spans="23:35" x14ac:dyDescent="0.25">
      <c r="W584">
        <v>582</v>
      </c>
      <c r="X584">
        <v>70.933916744761532</v>
      </c>
      <c r="Y584">
        <v>-8.833916744761531</v>
      </c>
      <c r="Z584">
        <v>70.964801894481994</v>
      </c>
      <c r="AA584">
        <v>0.20133414190418436</v>
      </c>
      <c r="AB584">
        <v>67.400000000000006</v>
      </c>
      <c r="AC584">
        <v>-0.84444052159937644</v>
      </c>
      <c r="AD584">
        <v>-1.1967238203071082</v>
      </c>
      <c r="AE584">
        <v>-0.29071658882694401</v>
      </c>
      <c r="AF584">
        <v>3.4840202960075874E-3</v>
      </c>
      <c r="AG584">
        <v>-1.1988139885764193</v>
      </c>
      <c r="AH584">
        <v>-0.2937219995729205</v>
      </c>
      <c r="AI584">
        <v>2.7914349248575322E-4</v>
      </c>
    </row>
    <row r="585" spans="23:35" x14ac:dyDescent="0.25">
      <c r="W585">
        <v>583</v>
      </c>
      <c r="X585">
        <v>62.152208018370203</v>
      </c>
      <c r="Y585">
        <v>-0.25220801837020446</v>
      </c>
      <c r="Z585">
        <v>62.156583870776934</v>
      </c>
      <c r="AA585">
        <v>0.19466343238326259</v>
      </c>
      <c r="AB585">
        <v>67.400000000000006</v>
      </c>
      <c r="AC585">
        <v>-0.86414620345364646</v>
      </c>
      <c r="AD585">
        <v>-3.4166423793280158E-2</v>
      </c>
      <c r="AE585">
        <v>-0.28959002170326287</v>
      </c>
      <c r="AF585">
        <v>1.7054277003004076E-2</v>
      </c>
      <c r="AG585">
        <v>-3.4461545852046235E-2</v>
      </c>
      <c r="AH585">
        <v>-0.29277299503861248</v>
      </c>
      <c r="AI585">
        <v>1.1447239781862153E-6</v>
      </c>
    </row>
    <row r="586" spans="23:35" x14ac:dyDescent="0.25">
      <c r="W586">
        <v>584</v>
      </c>
      <c r="X586">
        <v>70.031710355786515</v>
      </c>
      <c r="Y586">
        <v>-8.4317103557865138</v>
      </c>
      <c r="Z586">
        <v>70.052771155233955</v>
      </c>
      <c r="AA586">
        <v>0.18920557913887204</v>
      </c>
      <c r="AB586">
        <v>67.400000000000006</v>
      </c>
      <c r="AC586">
        <v>-0.88869659543514345</v>
      </c>
      <c r="AD586">
        <v>-1.1422372340879732</v>
      </c>
      <c r="AE586">
        <v>-0.28841061691225472</v>
      </c>
      <c r="AF586">
        <v>2.4915851926740635E-3</v>
      </c>
      <c r="AG586">
        <v>-1.143662889437624</v>
      </c>
      <c r="AH586">
        <v>-0.29147199247447769</v>
      </c>
      <c r="AI586">
        <v>1.8150254794264072E-4</v>
      </c>
    </row>
    <row r="587" spans="23:35" x14ac:dyDescent="0.25">
      <c r="W587">
        <v>585</v>
      </c>
      <c r="X587">
        <v>67.576028586059991</v>
      </c>
      <c r="Y587">
        <v>-6.3760285860599879</v>
      </c>
      <c r="Z587">
        <v>67.588649201671544</v>
      </c>
      <c r="AA587">
        <v>0.18071558520315342</v>
      </c>
      <c r="AB587">
        <v>67.400000000000006</v>
      </c>
      <c r="AC587">
        <v>-0.91841998904288702</v>
      </c>
      <c r="AD587">
        <v>-0.86375562599928224</v>
      </c>
      <c r="AE587">
        <v>-0.28762112141179147</v>
      </c>
      <c r="AF587">
        <v>1.9754748168445651E-3</v>
      </c>
      <c r="AG587">
        <v>-0.86461005587995776</v>
      </c>
      <c r="AH587">
        <v>-0.29115908377646116</v>
      </c>
      <c r="AI587">
        <v>8.2205020800185023E-5</v>
      </c>
    </row>
    <row r="588" spans="23:35" x14ac:dyDescent="0.25">
      <c r="W588">
        <v>586</v>
      </c>
      <c r="X588">
        <v>67.332707385887829</v>
      </c>
      <c r="Y588">
        <v>1.6672926141121707</v>
      </c>
      <c r="Z588">
        <v>67.32934774911989</v>
      </c>
      <c r="AA588">
        <v>0.42086112795633718</v>
      </c>
      <c r="AB588">
        <v>67.5</v>
      </c>
      <c r="AC588">
        <v>-0.21444491222324932</v>
      </c>
      <c r="AD588">
        <v>0.22586683171010621</v>
      </c>
      <c r="AE588">
        <v>-0.28713305217950164</v>
      </c>
      <c r="AF588">
        <v>2.0109731191290388E-3</v>
      </c>
      <c r="AG588">
        <v>0.22609428087680813</v>
      </c>
      <c r="AH588">
        <v>-0.29025215631578632</v>
      </c>
      <c r="AI588">
        <v>5.7225177426635648E-6</v>
      </c>
    </row>
    <row r="589" spans="23:35" x14ac:dyDescent="0.25">
      <c r="W589">
        <v>587</v>
      </c>
      <c r="X589">
        <v>66.777559196735382</v>
      </c>
      <c r="Y589">
        <v>-0.77755919673538187</v>
      </c>
      <c r="Z589">
        <v>66.779160018550655</v>
      </c>
      <c r="AA589">
        <v>0.31109763493026077</v>
      </c>
      <c r="AB589">
        <v>67.5</v>
      </c>
      <c r="AC589">
        <v>-0.50738317096904828</v>
      </c>
      <c r="AD589">
        <v>-0.10533533870849399</v>
      </c>
      <c r="AE589">
        <v>-0.28704802415551173</v>
      </c>
      <c r="AF589">
        <v>2.0545482021104775E-3</v>
      </c>
      <c r="AG589">
        <v>-0.10544371399919039</v>
      </c>
      <c r="AH589">
        <v>-0.28888368504305878</v>
      </c>
      <c r="AI589">
        <v>1.2716816818636807E-6</v>
      </c>
    </row>
    <row r="590" spans="23:35" x14ac:dyDescent="0.25">
      <c r="W590">
        <v>588</v>
      </c>
      <c r="X590">
        <v>64.46830397789374</v>
      </c>
      <c r="Y590">
        <v>-1.4683039778937399</v>
      </c>
      <c r="Z590">
        <v>64.471578673632749</v>
      </c>
      <c r="AA590">
        <v>0.22195269860521527</v>
      </c>
      <c r="AB590">
        <v>67.5</v>
      </c>
      <c r="AC590">
        <v>-0.78098898173722842</v>
      </c>
      <c r="AD590">
        <v>-0.19890999616213317</v>
      </c>
      <c r="AE590">
        <v>-0.28584802671584475</v>
      </c>
      <c r="AF590">
        <v>2.2252943710574149E-3</v>
      </c>
      <c r="AG590">
        <v>-0.1991316828668562</v>
      </c>
      <c r="AH590">
        <v>-0.28795177569130381</v>
      </c>
      <c r="AI590">
        <v>4.9131859609715821E-6</v>
      </c>
    </row>
    <row r="591" spans="23:35" x14ac:dyDescent="0.25">
      <c r="W591">
        <v>589</v>
      </c>
      <c r="X591">
        <v>60.294691520467907</v>
      </c>
      <c r="Y591">
        <v>-0.39469152046790867</v>
      </c>
      <c r="Z591">
        <v>60.296370141964651</v>
      </c>
      <c r="AA591">
        <v>0.17404487568223165</v>
      </c>
      <c r="AB591">
        <v>67.5</v>
      </c>
      <c r="AC591">
        <v>-0.94897780985887348</v>
      </c>
      <c r="AD591">
        <v>-5.3468552836121098E-2</v>
      </c>
      <c r="AE591">
        <v>-0.28434028869525468</v>
      </c>
      <c r="AF591">
        <v>4.2349847251934381E-3</v>
      </c>
      <c r="AG591">
        <v>-5.358213297358836E-2</v>
      </c>
      <c r="AH591">
        <v>-0.28789570124356373</v>
      </c>
      <c r="AI591">
        <v>6.7836350409075577E-7</v>
      </c>
    </row>
    <row r="592" spans="23:35" x14ac:dyDescent="0.25">
      <c r="W592">
        <v>590</v>
      </c>
      <c r="X592">
        <v>59.377114062735757</v>
      </c>
      <c r="Y592">
        <v>2.2885937264241818E-2</v>
      </c>
      <c r="Z592">
        <v>59.377059556461269</v>
      </c>
      <c r="AA592">
        <v>0.16312916919345058</v>
      </c>
      <c r="AB592">
        <v>67.5</v>
      </c>
      <c r="AC592">
        <v>-0.99032898964496086</v>
      </c>
      <c r="AD592">
        <v>3.1003400943769716E-3</v>
      </c>
      <c r="AE592">
        <v>-0.28387165088268757</v>
      </c>
      <c r="AF592">
        <v>2.3759904377333202E-3</v>
      </c>
      <c r="AG592">
        <v>3.1040298600252957E-3</v>
      </c>
      <c r="AH592">
        <v>-0.28766400020311372</v>
      </c>
      <c r="AI592">
        <v>1.2748440799686011E-9</v>
      </c>
    </row>
    <row r="593" spans="23:35" x14ac:dyDescent="0.25">
      <c r="W593">
        <v>591</v>
      </c>
      <c r="X593">
        <v>57.945511190854859</v>
      </c>
      <c r="Y593">
        <v>0.95448880914513978</v>
      </c>
      <c r="Z593">
        <v>57.942777133087731</v>
      </c>
      <c r="AA593">
        <v>0.14918132201334142</v>
      </c>
      <c r="AB593">
        <v>67.5</v>
      </c>
      <c r="AC593">
        <v>-1.0491313979639725</v>
      </c>
      <c r="AD593">
        <v>0.12930385548379864</v>
      </c>
      <c r="AE593">
        <v>-0.28343706529146817</v>
      </c>
      <c r="AF593">
        <v>2.8562395045425119E-3</v>
      </c>
      <c r="AG593">
        <v>0.12948891339564131</v>
      </c>
      <c r="AH593">
        <v>-0.28470431160235382</v>
      </c>
      <c r="AI593">
        <v>2.6682684029997736E-6</v>
      </c>
    </row>
    <row r="594" spans="23:35" x14ac:dyDescent="0.25">
      <c r="W594">
        <v>592</v>
      </c>
      <c r="X594">
        <v>45.543700976170115</v>
      </c>
      <c r="Y594">
        <v>12.756299023829882</v>
      </c>
      <c r="Z594">
        <v>45.377105427607383</v>
      </c>
      <c r="AA594">
        <v>0.13765918738629473</v>
      </c>
      <c r="AB594">
        <v>67.5</v>
      </c>
      <c r="AC594">
        <v>-1.0950400512086547</v>
      </c>
      <c r="AD594">
        <v>1.7280858923455504</v>
      </c>
      <c r="AE594">
        <v>-0.28327917546423631</v>
      </c>
      <c r="AF594">
        <v>1.2891504115388832E-2</v>
      </c>
      <c r="AG594">
        <v>1.7393335727688999</v>
      </c>
      <c r="AH594">
        <v>-0.2843286275529836</v>
      </c>
      <c r="AI594">
        <v>2.1949870196024549E-3</v>
      </c>
    </row>
    <row r="595" spans="23:35" x14ac:dyDescent="0.25">
      <c r="W595">
        <v>593</v>
      </c>
      <c r="X595">
        <v>40.887616170741154</v>
      </c>
      <c r="Y595">
        <v>17.012383829258845</v>
      </c>
      <c r="Z595">
        <v>40.757147037101376</v>
      </c>
      <c r="AA595">
        <v>0.12734990903577925</v>
      </c>
      <c r="AB595">
        <v>67.599999999999994</v>
      </c>
      <c r="AC595">
        <v>-1.1463081367501964</v>
      </c>
      <c r="AD595">
        <v>2.3046543856952666</v>
      </c>
      <c r="AE595">
        <v>-0.27559769751552604</v>
      </c>
      <c r="AF595">
        <v>7.6107013180447079E-3</v>
      </c>
      <c r="AG595">
        <v>2.3134747828905691</v>
      </c>
      <c r="AH595">
        <v>-0.2841150588871284</v>
      </c>
      <c r="AI595">
        <v>2.2803401861794495E-3</v>
      </c>
    </row>
    <row r="596" spans="23:35" x14ac:dyDescent="0.25">
      <c r="W596">
        <v>594</v>
      </c>
      <c r="X596">
        <v>44.822557748830484</v>
      </c>
      <c r="Y596">
        <v>12.777442251169518</v>
      </c>
      <c r="Z596">
        <v>44.605313726600066</v>
      </c>
      <c r="AA596">
        <v>0.12431776834445118</v>
      </c>
      <c r="AB596">
        <v>67.599999999999994</v>
      </c>
      <c r="AC596">
        <v>-1.1700898139672218</v>
      </c>
      <c r="AD596">
        <v>1.7309501488839105</v>
      </c>
      <c r="AE596">
        <v>-0.27514374801216424</v>
      </c>
      <c r="AF596">
        <v>1.671791204956698E-2</v>
      </c>
      <c r="AG596">
        <v>1.7456030678371528</v>
      </c>
      <c r="AH596">
        <v>-0.2838448181616155</v>
      </c>
      <c r="AI596">
        <v>2.8782094593374466E-3</v>
      </c>
    </row>
    <row r="597" spans="23:35" x14ac:dyDescent="0.25">
      <c r="W597">
        <v>595</v>
      </c>
      <c r="X597">
        <v>88.125131769158372</v>
      </c>
      <c r="Y597">
        <v>-0.12513176915837221</v>
      </c>
      <c r="Z597">
        <v>88.125752096311487</v>
      </c>
      <c r="AA597">
        <v>0.99575500303214071</v>
      </c>
      <c r="AB597">
        <v>67.599999999999994</v>
      </c>
      <c r="AC597">
        <v>2.428517260365656</v>
      </c>
      <c r="AD597">
        <v>-1.695150329753722E-2</v>
      </c>
      <c r="AE597">
        <v>-0.27155124562964239</v>
      </c>
      <c r="AF597">
        <v>4.9329368759228288E-3</v>
      </c>
      <c r="AG597">
        <v>-1.6993468969888188E-2</v>
      </c>
      <c r="AH597">
        <v>-0.27604637913843844</v>
      </c>
      <c r="AI597">
        <v>7.9532528059251076E-8</v>
      </c>
    </row>
    <row r="598" spans="23:35" x14ac:dyDescent="0.25">
      <c r="W598">
        <v>596</v>
      </c>
      <c r="X598">
        <v>88.188000724539336</v>
      </c>
      <c r="Y598">
        <v>-2.1880007245393358</v>
      </c>
      <c r="Z598">
        <v>88.199346644283864</v>
      </c>
      <c r="AA598">
        <v>0.99029714978775019</v>
      </c>
      <c r="AB598">
        <v>67.599999999999994</v>
      </c>
      <c r="AC598">
        <v>2.190305027167327</v>
      </c>
      <c r="AD598">
        <v>-0.29640675382843651</v>
      </c>
      <c r="AE598">
        <v>-0.27107553554019148</v>
      </c>
      <c r="AF598">
        <v>5.1587682978561037E-3</v>
      </c>
      <c r="AG598">
        <v>-0.2971742715754831</v>
      </c>
      <c r="AH598">
        <v>-0.27238034593472488</v>
      </c>
      <c r="AI598">
        <v>2.5441467262967342E-5</v>
      </c>
    </row>
    <row r="599" spans="23:35" x14ac:dyDescent="0.25">
      <c r="W599">
        <v>597</v>
      </c>
      <c r="X599">
        <v>87.153233835429532</v>
      </c>
      <c r="Y599">
        <v>-3.153233835429532</v>
      </c>
      <c r="Z599">
        <v>87.16570597877903</v>
      </c>
      <c r="AA599">
        <v>0.9824135839902971</v>
      </c>
      <c r="AB599">
        <v>67.599999999999994</v>
      </c>
      <c r="AC599">
        <v>2.0350728680272758</v>
      </c>
      <c r="AD599">
        <v>-0.42716613150045374</v>
      </c>
      <c r="AE599">
        <v>-0.27094418435230766</v>
      </c>
      <c r="AF599">
        <v>3.9397668112886447E-3</v>
      </c>
      <c r="AG599">
        <v>-0.42801009355497205</v>
      </c>
      <c r="AH599">
        <v>-0.2719887845732113</v>
      </c>
      <c r="AI599">
        <v>4.0255055747785755E-5</v>
      </c>
    </row>
    <row r="600" spans="23:35" x14ac:dyDescent="0.25">
      <c r="W600">
        <v>598</v>
      </c>
      <c r="X600">
        <v>87.442501072518581</v>
      </c>
      <c r="Y600">
        <v>-2.4425010725185814</v>
      </c>
      <c r="Z600">
        <v>87.453102047671422</v>
      </c>
      <c r="AA600">
        <v>0.98544572468162528</v>
      </c>
      <c r="AB600">
        <v>67.599999999999994</v>
      </c>
      <c r="AC600">
        <v>2.1134016615055304</v>
      </c>
      <c r="AD600">
        <v>-0.33088371772826247</v>
      </c>
      <c r="AE600">
        <v>-0.27079146626134626</v>
      </c>
      <c r="AF600">
        <v>4.3214570559339215E-3</v>
      </c>
      <c r="AG600">
        <v>-0.33160099321200637</v>
      </c>
      <c r="AH600">
        <v>-0.27190240540309546</v>
      </c>
      <c r="AI600">
        <v>2.6513691195260829E-5</v>
      </c>
    </row>
    <row r="601" spans="23:35" x14ac:dyDescent="0.25">
      <c r="W601">
        <v>599</v>
      </c>
      <c r="X601">
        <v>85.156242285542817</v>
      </c>
      <c r="Y601">
        <v>-2.1562422855428167</v>
      </c>
      <c r="Z601">
        <v>85.166123455956722</v>
      </c>
      <c r="AA601">
        <v>0.97877501516070342</v>
      </c>
      <c r="AB601">
        <v>67.7</v>
      </c>
      <c r="AC601">
        <v>1.9368862628682144</v>
      </c>
      <c r="AD601">
        <v>-0.29210446283554914</v>
      </c>
      <c r="AE601">
        <v>-0.27039105320639539</v>
      </c>
      <c r="AF601">
        <v>4.5616838628141721E-3</v>
      </c>
      <c r="AG601">
        <v>-0.29277299503861248</v>
      </c>
      <c r="AH601">
        <v>-0.27122700750496953</v>
      </c>
      <c r="AI601">
        <v>2.1822291697815362E-5</v>
      </c>
    </row>
    <row r="602" spans="23:35" x14ac:dyDescent="0.25">
      <c r="W602">
        <v>600</v>
      </c>
      <c r="X602">
        <v>86.073303407182081</v>
      </c>
      <c r="Y602">
        <v>-6.0733034071820811</v>
      </c>
      <c r="Z602">
        <v>86.09406325279717</v>
      </c>
      <c r="AA602">
        <v>0.92722862340812617</v>
      </c>
      <c r="AB602">
        <v>67.7</v>
      </c>
      <c r="AC602">
        <v>1.4191611772342045</v>
      </c>
      <c r="AD602">
        <v>-0.8227456818219443</v>
      </c>
      <c r="AE602">
        <v>-0.26997760407178822</v>
      </c>
      <c r="AF602">
        <v>3.4065687791402775E-3</v>
      </c>
      <c r="AG602">
        <v>-0.82415064228997692</v>
      </c>
      <c r="AH602">
        <v>-0.27079696748051318</v>
      </c>
      <c r="AI602">
        <v>1.2898518748630507E-4</v>
      </c>
    </row>
    <row r="603" spans="23:35" x14ac:dyDescent="0.25">
      <c r="W603">
        <v>601</v>
      </c>
      <c r="X603">
        <v>83.438038988726632</v>
      </c>
      <c r="Y603">
        <v>-3.5380389887266261</v>
      </c>
      <c r="Z603">
        <v>83.463080525355238</v>
      </c>
      <c r="AA603">
        <v>0.92177077016373554</v>
      </c>
      <c r="AB603">
        <v>67.7</v>
      </c>
      <c r="AC603">
        <v>1.3946242806491955</v>
      </c>
      <c r="AD603">
        <v>-0.47929538587684783</v>
      </c>
      <c r="AE603">
        <v>-0.26945824776426336</v>
      </c>
      <c r="AF603">
        <v>7.028058010590402E-3</v>
      </c>
      <c r="AG603">
        <v>-0.48098857387803429</v>
      </c>
      <c r="AH603">
        <v>-0.27028768323528518</v>
      </c>
      <c r="AI603">
        <v>9.0969409307400232E-5</v>
      </c>
    </row>
    <row r="604" spans="23:35" x14ac:dyDescent="0.25">
      <c r="W604">
        <v>602</v>
      </c>
      <c r="X604">
        <v>84.097784109386339</v>
      </c>
      <c r="Y604">
        <v>-4.6977841093863333</v>
      </c>
      <c r="Z604">
        <v>84.12180900648508</v>
      </c>
      <c r="AA604">
        <v>0.90661006670709521</v>
      </c>
      <c r="AB604">
        <v>67.7</v>
      </c>
      <c r="AC604">
        <v>1.2933897637306977</v>
      </c>
      <c r="AD604">
        <v>-0.63640515399883379</v>
      </c>
      <c r="AE604">
        <v>-0.26896255150609583</v>
      </c>
      <c r="AF604">
        <v>5.0880704970799719E-3</v>
      </c>
      <c r="AG604">
        <v>-0.63803039578795717</v>
      </c>
      <c r="AH604">
        <v>-0.27022046324394328</v>
      </c>
      <c r="AI604">
        <v>1.156588086753677E-4</v>
      </c>
    </row>
    <row r="605" spans="23:35" x14ac:dyDescent="0.25">
      <c r="W605">
        <v>603</v>
      </c>
      <c r="X605">
        <v>85.34078886074434</v>
      </c>
      <c r="Y605">
        <v>-5.6407888607443368</v>
      </c>
      <c r="Z605">
        <v>85.359849435530009</v>
      </c>
      <c r="AA605">
        <v>0.9151000606428138</v>
      </c>
      <c r="AB605">
        <v>67.7</v>
      </c>
      <c r="AC605">
        <v>1.3555018111021329</v>
      </c>
      <c r="AD605">
        <v>-0.76415327311962</v>
      </c>
      <c r="AE605">
        <v>-0.26706229316985497</v>
      </c>
      <c r="AF605">
        <v>3.3676823037041346E-3</v>
      </c>
      <c r="AG605">
        <v>-0.76544324492454996</v>
      </c>
      <c r="AH605">
        <v>-0.27009100912344153</v>
      </c>
      <c r="AI605">
        <v>1.0998909617702439E-4</v>
      </c>
    </row>
    <row r="606" spans="23:35" x14ac:dyDescent="0.25">
      <c r="W606">
        <v>604</v>
      </c>
      <c r="X606">
        <v>76.318666390682921</v>
      </c>
      <c r="Y606">
        <v>2.9813336093170761</v>
      </c>
      <c r="Z606">
        <v>76.288551174767505</v>
      </c>
      <c r="AA606">
        <v>0.9017586416009703</v>
      </c>
      <c r="AB606">
        <v>67.7</v>
      </c>
      <c r="AC606">
        <v>1.262435852359769</v>
      </c>
      <c r="AD606">
        <v>0.40387894176924616</v>
      </c>
      <c r="AE606">
        <v>-0.26631910846863976</v>
      </c>
      <c r="AF606">
        <v>1.0000241632230056E-2</v>
      </c>
      <c r="AG606">
        <v>0.40591365880124269</v>
      </c>
      <c r="AH606">
        <v>-0.26727023383621179</v>
      </c>
      <c r="AI606">
        <v>9.2463479176453696E-5</v>
      </c>
    </row>
    <row r="607" spans="23:35" x14ac:dyDescent="0.25">
      <c r="W607">
        <v>605</v>
      </c>
      <c r="X607">
        <v>77.282541227201136</v>
      </c>
      <c r="Y607">
        <v>1.9174587727988666</v>
      </c>
      <c r="Z607">
        <v>77.238295755876663</v>
      </c>
      <c r="AA607">
        <v>0.89630078835657978</v>
      </c>
      <c r="AB607">
        <v>67.7</v>
      </c>
      <c r="AC607">
        <v>1.2457497672431228</v>
      </c>
      <c r="AD607">
        <v>0.25975664636255102</v>
      </c>
      <c r="AE607">
        <v>-0.26547094014091221</v>
      </c>
      <c r="AF607">
        <v>2.25546085537741E-2</v>
      </c>
      <c r="AG607">
        <v>0.26273650407117655</v>
      </c>
      <c r="AH607">
        <v>-0.26576160909807006</v>
      </c>
      <c r="AI607">
        <v>8.8493448537104805E-5</v>
      </c>
    </row>
    <row r="608" spans="23:35" x14ac:dyDescent="0.25">
      <c r="W608">
        <v>606</v>
      </c>
      <c r="X608">
        <v>79.636960374493412</v>
      </c>
      <c r="Y608">
        <v>-0.53696037449341816</v>
      </c>
      <c r="Z608">
        <v>79.638569217469424</v>
      </c>
      <c r="AA608">
        <v>0.89326864766525171</v>
      </c>
      <c r="AB608">
        <v>67.7</v>
      </c>
      <c r="AC608">
        <v>1.2294035019788656</v>
      </c>
      <c r="AD608">
        <v>-7.2741603671820143E-2</v>
      </c>
      <c r="AE608">
        <v>-0.26300828165497298</v>
      </c>
      <c r="AF608">
        <v>2.9872538641676975E-3</v>
      </c>
      <c r="AG608">
        <v>-7.2850496518904739E-2</v>
      </c>
      <c r="AH608">
        <v>-0.26525462562753294</v>
      </c>
      <c r="AI608">
        <v>8.8341333003908491E-7</v>
      </c>
    </row>
    <row r="609" spans="23:35" x14ac:dyDescent="0.25">
      <c r="W609">
        <v>607</v>
      </c>
      <c r="X609">
        <v>79.203121461800464</v>
      </c>
      <c r="Y609">
        <v>-0.20312146180046398</v>
      </c>
      <c r="Z609">
        <v>79.203706911414343</v>
      </c>
      <c r="AA609">
        <v>0.89023650697392354</v>
      </c>
      <c r="AB609">
        <v>67.8</v>
      </c>
      <c r="AC609">
        <v>1.2070560687293583</v>
      </c>
      <c r="AD609">
        <v>-2.7516706210341069E-2</v>
      </c>
      <c r="AE609">
        <v>-0.26278740557225166</v>
      </c>
      <c r="AF609">
        <v>2.8739801208550781E-3</v>
      </c>
      <c r="AG609">
        <v>-2.7556332878840302E-2</v>
      </c>
      <c r="AH609">
        <v>-0.26432294545183871</v>
      </c>
      <c r="AI609">
        <v>1.2159173351566776E-7</v>
      </c>
    </row>
    <row r="610" spans="23:35" x14ac:dyDescent="0.25">
      <c r="W610">
        <v>608</v>
      </c>
      <c r="X610">
        <v>70.188501384587369</v>
      </c>
      <c r="Y610">
        <v>8.5114986154126342</v>
      </c>
      <c r="Z610">
        <v>70.004588346799508</v>
      </c>
      <c r="AA610">
        <v>0.87871437234687688</v>
      </c>
      <c r="AB610">
        <v>67.8</v>
      </c>
      <c r="AC610">
        <v>1.1521925343545227</v>
      </c>
      <c r="AD610">
        <v>1.1530460874691246</v>
      </c>
      <c r="AE610">
        <v>-0.26259101505531623</v>
      </c>
      <c r="AF610">
        <v>2.1150584368271174E-2</v>
      </c>
      <c r="AG610">
        <v>1.1654367898397304</v>
      </c>
      <c r="AH610">
        <v>-0.26423682285139383</v>
      </c>
      <c r="AI610">
        <v>1.630464799074502E-3</v>
      </c>
    </row>
    <row r="611" spans="23:35" x14ac:dyDescent="0.25">
      <c r="W611">
        <v>609</v>
      </c>
      <c r="X611">
        <v>75.316958646995374</v>
      </c>
      <c r="Y611">
        <v>2.8830413530046286</v>
      </c>
      <c r="Z611">
        <v>75.309240145161382</v>
      </c>
      <c r="AA611">
        <v>0.86658580958156461</v>
      </c>
      <c r="AB611">
        <v>67.8</v>
      </c>
      <c r="AC611">
        <v>1.1033838166983498</v>
      </c>
      <c r="AD611">
        <v>0.39056336637053174</v>
      </c>
      <c r="AE611">
        <v>-0.26221863095282066</v>
      </c>
      <c r="AF611">
        <v>2.6700598533189483E-3</v>
      </c>
      <c r="AG611">
        <v>0.3910858266361355</v>
      </c>
      <c r="AH611">
        <v>-0.26304297771487728</v>
      </c>
      <c r="AI611">
        <v>2.2748553610119535E-5</v>
      </c>
    </row>
    <row r="612" spans="23:35" x14ac:dyDescent="0.25">
      <c r="W612">
        <v>610</v>
      </c>
      <c r="X612">
        <v>63.787140744376245</v>
      </c>
      <c r="Y612">
        <v>7.9128592556237578</v>
      </c>
      <c r="Z612">
        <v>63.767832149861405</v>
      </c>
      <c r="AA612">
        <v>0.50394178289872649</v>
      </c>
      <c r="AB612">
        <v>67.8</v>
      </c>
      <c r="AC612">
        <v>-4.5602855597810616E-3</v>
      </c>
      <c r="AD612">
        <v>1.0719488797036596</v>
      </c>
      <c r="AE612">
        <v>-0.26208152750057762</v>
      </c>
      <c r="AF612">
        <v>2.4342140609775248E-3</v>
      </c>
      <c r="AG612">
        <v>1.0732559429599338</v>
      </c>
      <c r="AH612">
        <v>-0.26289327081012137</v>
      </c>
      <c r="AI612">
        <v>1.5615335518650244E-4</v>
      </c>
    </row>
    <row r="613" spans="23:35" x14ac:dyDescent="0.25">
      <c r="W613">
        <v>611</v>
      </c>
      <c r="X613">
        <v>66.046572695147674</v>
      </c>
      <c r="Y613">
        <v>5.3534273048523318</v>
      </c>
      <c r="Z613">
        <v>66.03355139311671</v>
      </c>
      <c r="AA613">
        <v>0.4887810794420861</v>
      </c>
      <c r="AB613">
        <v>67.8</v>
      </c>
      <c r="AC613">
        <v>-4.7140240828996732E-2</v>
      </c>
      <c r="AD613">
        <v>0.72522462698081624</v>
      </c>
      <c r="AE613">
        <v>-0.26169926699851953</v>
      </c>
      <c r="AF613">
        <v>2.4264281622404663E-3</v>
      </c>
      <c r="AG613">
        <v>0.72610608412932709</v>
      </c>
      <c r="AH613">
        <v>-0.26270654833637036</v>
      </c>
      <c r="AI613">
        <v>7.1244304195055617E-5</v>
      </c>
    </row>
    <row r="614" spans="23:35" x14ac:dyDescent="0.25">
      <c r="W614">
        <v>612</v>
      </c>
      <c r="X614">
        <v>67.545528686379043</v>
      </c>
      <c r="Y614">
        <v>3.7544713136209538</v>
      </c>
      <c r="Z614">
        <v>67.534418063662116</v>
      </c>
      <c r="AA614">
        <v>0.48089751364463312</v>
      </c>
      <c r="AB614">
        <v>67.8</v>
      </c>
      <c r="AC614">
        <v>-5.1706087511076533E-2</v>
      </c>
      <c r="AD614">
        <v>0.50861530434212887</v>
      </c>
      <c r="AE614">
        <v>-0.26048359508278113</v>
      </c>
      <c r="AF614">
        <v>2.9505725555212282E-3</v>
      </c>
      <c r="AG614">
        <v>0.50936732209327795</v>
      </c>
      <c r="AH614">
        <v>-0.26227564154594063</v>
      </c>
      <c r="AI614">
        <v>4.2655915230630646E-5</v>
      </c>
    </row>
    <row r="615" spans="23:35" x14ac:dyDescent="0.25">
      <c r="W615">
        <v>613</v>
      </c>
      <c r="X615">
        <v>65.682369299327576</v>
      </c>
      <c r="Y615">
        <v>5.4176307006724187</v>
      </c>
      <c r="Z615">
        <v>65.668869149694558</v>
      </c>
      <c r="AA615">
        <v>0.47422680412371132</v>
      </c>
      <c r="AB615">
        <v>67.8</v>
      </c>
      <c r="AC615">
        <v>-7.6077819866612773E-2</v>
      </c>
      <c r="AD615">
        <v>0.73392221100186406</v>
      </c>
      <c r="AE615">
        <v>-0.26040155856072544</v>
      </c>
      <c r="AF615">
        <v>2.4856977313040033E-3</v>
      </c>
      <c r="AG615">
        <v>0.73483606942448287</v>
      </c>
      <c r="AH615">
        <v>-0.26110761793068821</v>
      </c>
      <c r="AI615">
        <v>7.4754546392970849E-5</v>
      </c>
    </row>
    <row r="616" spans="23:35" x14ac:dyDescent="0.25">
      <c r="W616">
        <v>614</v>
      </c>
      <c r="X616">
        <v>67.011827185665453</v>
      </c>
      <c r="Y616">
        <v>9.988172814334547</v>
      </c>
      <c r="Z616">
        <v>66.982959124084417</v>
      </c>
      <c r="AA616">
        <v>0.83747725894481506</v>
      </c>
      <c r="AB616">
        <v>67.8</v>
      </c>
      <c r="AC616">
        <v>0.95855995741850497</v>
      </c>
      <c r="AD616">
        <v>1.3530899909540306</v>
      </c>
      <c r="AE616">
        <v>-0.25942023890532945</v>
      </c>
      <c r="AF616">
        <v>2.8818951563273996E-3</v>
      </c>
      <c r="AG616">
        <v>1.3550439470376916</v>
      </c>
      <c r="AH616">
        <v>-0.26075211469210363</v>
      </c>
      <c r="AI616">
        <v>2.9482603458258656E-4</v>
      </c>
    </row>
    <row r="617" spans="23:35" x14ac:dyDescent="0.25">
      <c r="W617">
        <v>615</v>
      </c>
      <c r="X617">
        <v>66.429227403001704</v>
      </c>
      <c r="Y617">
        <v>9.570772596998296</v>
      </c>
      <c r="Z617">
        <v>66.402067418511223</v>
      </c>
      <c r="AA617">
        <v>0.80836870830806551</v>
      </c>
      <c r="AB617">
        <v>67.8</v>
      </c>
      <c r="AC617">
        <v>0.83794453378675593</v>
      </c>
      <c r="AD617">
        <v>1.2965451086419051</v>
      </c>
      <c r="AE617">
        <v>-0.25607967703840734</v>
      </c>
      <c r="AF617">
        <v>2.8297744602690713E-3</v>
      </c>
      <c r="AG617">
        <v>1.2983834763051763</v>
      </c>
      <c r="AH617">
        <v>-0.26018450796484471</v>
      </c>
      <c r="AI617">
        <v>2.6577613089986632E-4</v>
      </c>
    </row>
    <row r="618" spans="23:35" x14ac:dyDescent="0.25">
      <c r="W618">
        <v>616</v>
      </c>
      <c r="X618">
        <v>64.520605838159483</v>
      </c>
      <c r="Y618">
        <v>14.479394161840517</v>
      </c>
      <c r="Z618">
        <v>64.47101982842247</v>
      </c>
      <c r="AA618">
        <v>0.89023650697392354</v>
      </c>
      <c r="AB618">
        <v>67.8</v>
      </c>
      <c r="AC618">
        <v>1.2070560687293583</v>
      </c>
      <c r="AD618">
        <v>1.9615122485012713</v>
      </c>
      <c r="AE618">
        <v>-0.25479558981930883</v>
      </c>
      <c r="AF618">
        <v>3.4129036691797165E-3</v>
      </c>
      <c r="AG618">
        <v>1.9648680669372818</v>
      </c>
      <c r="AH618">
        <v>-0.2584844269316065</v>
      </c>
      <c r="AI618">
        <v>7.3451903433723899E-4</v>
      </c>
    </row>
    <row r="619" spans="23:35" x14ac:dyDescent="0.25">
      <c r="W619">
        <v>617</v>
      </c>
      <c r="X619">
        <v>63.778705088254021</v>
      </c>
      <c r="Y619">
        <v>11.221294911745979</v>
      </c>
      <c r="Z619">
        <v>63.751525241874809</v>
      </c>
      <c r="AA619">
        <v>0.76046088538508183</v>
      </c>
      <c r="AB619">
        <v>67.900000000000006</v>
      </c>
      <c r="AC619">
        <v>0.67020216077934069</v>
      </c>
      <c r="AD619">
        <v>1.5201400809601888</v>
      </c>
      <c r="AE619">
        <v>-0.25356144992834195</v>
      </c>
      <c r="AF619">
        <v>2.4163139415482849E-3</v>
      </c>
      <c r="AG619">
        <v>1.5219799838049382</v>
      </c>
      <c r="AH619">
        <v>-0.25544808689406751</v>
      </c>
      <c r="AI619">
        <v>3.1170904030145273E-4</v>
      </c>
    </row>
    <row r="620" spans="23:35" x14ac:dyDescent="0.25">
      <c r="W620">
        <v>618</v>
      </c>
      <c r="X620">
        <v>57.091027654170347</v>
      </c>
      <c r="Y620">
        <v>12.608972345829656</v>
      </c>
      <c r="Z620">
        <v>56.912793157164174</v>
      </c>
      <c r="AA620">
        <v>0.45057610673135234</v>
      </c>
      <c r="AB620">
        <v>67.900000000000006</v>
      </c>
      <c r="AC620">
        <v>-0.12956927093944987</v>
      </c>
      <c r="AD620">
        <v>1.7081276620357464</v>
      </c>
      <c r="AE620">
        <v>-0.25263455505811544</v>
      </c>
      <c r="AF620">
        <v>1.3938501128260724E-2</v>
      </c>
      <c r="AG620">
        <v>1.7201579418657882</v>
      </c>
      <c r="AH620">
        <v>-0.25437288012652409</v>
      </c>
      <c r="AI620">
        <v>2.3236794504326547E-3</v>
      </c>
    </row>
    <row r="621" spans="23:35" x14ac:dyDescent="0.25">
      <c r="W621">
        <v>619</v>
      </c>
      <c r="X621">
        <v>60.534790093773495</v>
      </c>
      <c r="Y621">
        <v>8.665209906226508</v>
      </c>
      <c r="Z621">
        <v>60.508545718753247</v>
      </c>
      <c r="AA621">
        <v>0.42874469375379015</v>
      </c>
      <c r="AB621">
        <v>67.900000000000006</v>
      </c>
      <c r="AC621">
        <v>-0.1880739545732803</v>
      </c>
      <c r="AD621">
        <v>1.1738692363035528</v>
      </c>
      <c r="AE621">
        <v>-0.25227629354398862</v>
      </c>
      <c r="AF621">
        <v>3.0195608434456568E-3</v>
      </c>
      <c r="AG621">
        <v>1.1756455448617897</v>
      </c>
      <c r="AH621">
        <v>-0.25319432460335345</v>
      </c>
      <c r="AI621">
        <v>2.3256130041245335E-4</v>
      </c>
    </row>
    <row r="622" spans="23:35" x14ac:dyDescent="0.25">
      <c r="W622">
        <v>620</v>
      </c>
      <c r="X622">
        <v>54.390708961506121</v>
      </c>
      <c r="Y622">
        <v>3.7092910384938804</v>
      </c>
      <c r="Z622">
        <v>54.377492413843051</v>
      </c>
      <c r="AA622">
        <v>0.13523347483323225</v>
      </c>
      <c r="AB622">
        <v>67.900000000000006</v>
      </c>
      <c r="AC622">
        <v>-1.1174634002413726</v>
      </c>
      <c r="AD622">
        <v>0.50249476766346257</v>
      </c>
      <c r="AE622">
        <v>-0.25001811447828798</v>
      </c>
      <c r="AF622">
        <v>3.5504421031186386E-3</v>
      </c>
      <c r="AG622">
        <v>0.50338918935356303</v>
      </c>
      <c r="AH622">
        <v>-0.25117196532160235</v>
      </c>
      <c r="AI622">
        <v>5.0160560436809693E-5</v>
      </c>
    </row>
    <row r="623" spans="23:35" x14ac:dyDescent="0.25">
      <c r="W623">
        <v>621</v>
      </c>
      <c r="X623">
        <v>55.934001061158128</v>
      </c>
      <c r="Y623">
        <v>2.8659989388418694</v>
      </c>
      <c r="Z623">
        <v>55.927490788879886</v>
      </c>
      <c r="AA623">
        <v>0.14675560946027896</v>
      </c>
      <c r="AB623">
        <v>67.900000000000006</v>
      </c>
      <c r="AC623">
        <v>-1.0570712344634026</v>
      </c>
      <c r="AD623">
        <v>0.38825464379894908</v>
      </c>
      <c r="AE623">
        <v>-0.24577682118397001</v>
      </c>
      <c r="AF623">
        <v>2.2664060581732239E-3</v>
      </c>
      <c r="AG623">
        <v>0.38869536441791785</v>
      </c>
      <c r="AH623">
        <v>-0.24627580944055524</v>
      </c>
      <c r="AI623">
        <v>1.9066428298000334E-5</v>
      </c>
    </row>
    <row r="624" spans="23:35" x14ac:dyDescent="0.25">
      <c r="W624">
        <v>622</v>
      </c>
      <c r="X624">
        <v>55.15977493108899</v>
      </c>
      <c r="Y624">
        <v>3.240225068911009</v>
      </c>
      <c r="Z624">
        <v>55.152761621272873</v>
      </c>
      <c r="AA624">
        <v>0.1406913280776228</v>
      </c>
      <c r="AB624">
        <v>67.900000000000006</v>
      </c>
      <c r="AC624">
        <v>-1.0895196306228982</v>
      </c>
      <c r="AD624">
        <v>0.43895076613909401</v>
      </c>
      <c r="AE624">
        <v>-0.24396612086771363</v>
      </c>
      <c r="AF624">
        <v>2.1597767081285384E-3</v>
      </c>
      <c r="AG624">
        <v>0.43942555317350784</v>
      </c>
      <c r="AH624">
        <v>-0.24510733883403932</v>
      </c>
      <c r="AI624">
        <v>2.3219130790407048E-5</v>
      </c>
    </row>
    <row r="625" spans="23:35" x14ac:dyDescent="0.25">
      <c r="W625">
        <v>623</v>
      </c>
      <c r="X625">
        <v>51.240697699573758</v>
      </c>
      <c r="Y625">
        <v>6.8593023004262434</v>
      </c>
      <c r="Z625">
        <v>51.222338715186609</v>
      </c>
      <c r="AA625">
        <v>0.13523347483323225</v>
      </c>
      <c r="AB625">
        <v>68</v>
      </c>
      <c r="AC625">
        <v>-1.1174634002413726</v>
      </c>
      <c r="AD625">
        <v>0.92922433964245155</v>
      </c>
      <c r="AE625">
        <v>-0.24013527495368012</v>
      </c>
      <c r="AF625">
        <v>2.6693644288193433E-3</v>
      </c>
      <c r="AG625">
        <v>0.93046704732570529</v>
      </c>
      <c r="AH625">
        <v>-0.24203642385501425</v>
      </c>
      <c r="AI625">
        <v>1.2873546270186385E-4</v>
      </c>
    </row>
    <row r="626" spans="23:35" x14ac:dyDescent="0.25">
      <c r="W626">
        <v>624</v>
      </c>
      <c r="X626">
        <v>51.990886469685307</v>
      </c>
      <c r="Y626">
        <v>5.8091135303146899</v>
      </c>
      <c r="Z626">
        <v>51.974237396465909</v>
      </c>
      <c r="AA626">
        <v>0.12553062462098241</v>
      </c>
      <c r="AB626">
        <v>68</v>
      </c>
      <c r="AC626">
        <v>-1.1521925343545227</v>
      </c>
      <c r="AD626">
        <v>0.78695608499121894</v>
      </c>
      <c r="AE626">
        <v>-0.23988922003646979</v>
      </c>
      <c r="AF626">
        <v>2.857835849558382E-3</v>
      </c>
      <c r="AG626">
        <v>0.78808299661947212</v>
      </c>
      <c r="AH626">
        <v>-0.24090704273968766</v>
      </c>
      <c r="AI626">
        <v>9.8889825110707401E-5</v>
      </c>
    </row>
    <row r="627" spans="23:35" x14ac:dyDescent="0.25">
      <c r="W627">
        <v>625</v>
      </c>
      <c r="X627">
        <v>46.746987874907603</v>
      </c>
      <c r="Y627">
        <v>10.553012125092394</v>
      </c>
      <c r="Z627">
        <v>46.654786559515784</v>
      </c>
      <c r="AA627">
        <v>0.11643420254699818</v>
      </c>
      <c r="AB627">
        <v>68</v>
      </c>
      <c r="AC627">
        <v>-1.207056068729359</v>
      </c>
      <c r="AD627">
        <v>1.4296083324055282</v>
      </c>
      <c r="AE627">
        <v>-0.23617967493364758</v>
      </c>
      <c r="AF627">
        <v>8.661293257040327E-3</v>
      </c>
      <c r="AG627">
        <v>1.4358399707910481</v>
      </c>
      <c r="AH627">
        <v>-0.23774068592961603</v>
      </c>
      <c r="AI627">
        <v>1.0006915965959124E-3</v>
      </c>
    </row>
    <row r="628" spans="23:35" x14ac:dyDescent="0.25">
      <c r="W628">
        <v>626</v>
      </c>
      <c r="X628">
        <v>43.561733028087446</v>
      </c>
      <c r="Y628">
        <v>13.238266971912552</v>
      </c>
      <c r="Z628">
        <v>43.43160455632119</v>
      </c>
      <c r="AA628">
        <v>0.10794420861127957</v>
      </c>
      <c r="AB628">
        <v>68</v>
      </c>
      <c r="AC628">
        <v>-1.2523823790942721</v>
      </c>
      <c r="AD628">
        <v>1.7933777148473982</v>
      </c>
      <c r="AE628">
        <v>-0.23591765284621499</v>
      </c>
      <c r="AF628">
        <v>9.7340381883891346E-3</v>
      </c>
      <c r="AG628">
        <v>1.8021703617237741</v>
      </c>
      <c r="AH628">
        <v>-0.23705027621178296</v>
      </c>
      <c r="AI628">
        <v>1.7736191747970437E-3</v>
      </c>
    </row>
    <row r="629" spans="23:35" x14ac:dyDescent="0.25">
      <c r="W629">
        <v>627</v>
      </c>
      <c r="X629">
        <v>47.119009915443378</v>
      </c>
      <c r="Y629">
        <v>9.2809900845566204</v>
      </c>
      <c r="Z629">
        <v>47.088221882625362</v>
      </c>
      <c r="AA629">
        <v>9.8241358399029713E-2</v>
      </c>
      <c r="AB629">
        <v>68</v>
      </c>
      <c r="AC629">
        <v>-1.2969062889401866</v>
      </c>
      <c r="AD629">
        <v>1.2572884974051013</v>
      </c>
      <c r="AE629">
        <v>-0.23559130085206859</v>
      </c>
      <c r="AF629">
        <v>3.306353784414847E-3</v>
      </c>
      <c r="AG629">
        <v>1.2593721861810878</v>
      </c>
      <c r="AH629">
        <v>-0.23646687965352303</v>
      </c>
      <c r="AI629">
        <v>2.9229630272863588E-4</v>
      </c>
    </row>
    <row r="630" spans="23:35" x14ac:dyDescent="0.25">
      <c r="W630">
        <v>628</v>
      </c>
      <c r="X630">
        <v>60.637618696309993</v>
      </c>
      <c r="Y630">
        <v>-2.237618696309994</v>
      </c>
      <c r="Z630">
        <v>60.642723608805561</v>
      </c>
      <c r="AA630">
        <v>0.1406913280776228</v>
      </c>
      <c r="AB630">
        <v>68</v>
      </c>
      <c r="AC630">
        <v>-1.0895196306228982</v>
      </c>
      <c r="AD630">
        <v>-0.30312846181470249</v>
      </c>
      <c r="AE630">
        <v>-0.23249645689260298</v>
      </c>
      <c r="AF630">
        <v>2.2762111548328716E-3</v>
      </c>
      <c r="AG630">
        <v>-0.30347404408346318</v>
      </c>
      <c r="AH630">
        <v>-0.23369636310618019</v>
      </c>
      <c r="AI630">
        <v>1.1672740189436615E-5</v>
      </c>
    </row>
    <row r="631" spans="23:35" x14ac:dyDescent="0.25">
      <c r="W631">
        <v>629</v>
      </c>
      <c r="X631">
        <v>60.223147377424709</v>
      </c>
      <c r="Y631">
        <v>-2.1231473774247078</v>
      </c>
      <c r="Z631">
        <v>60.228031798253348</v>
      </c>
      <c r="AA631">
        <v>0.13523347483323225</v>
      </c>
      <c r="AB631">
        <v>68</v>
      </c>
      <c r="AC631">
        <v>-1.1174634002413726</v>
      </c>
      <c r="AD631">
        <v>-0.28762112141179147</v>
      </c>
      <c r="AE631">
        <v>-0.23245163644089795</v>
      </c>
      <c r="AF631">
        <v>2.2952762419459019E-3</v>
      </c>
      <c r="AG631">
        <v>-0.28795177569130381</v>
      </c>
      <c r="AH631">
        <v>-0.2334529433123271</v>
      </c>
      <c r="AI631">
        <v>1.0597415195236914E-5</v>
      </c>
    </row>
    <row r="632" spans="23:35" x14ac:dyDescent="0.25">
      <c r="W632">
        <v>630</v>
      </c>
      <c r="X632">
        <v>59.799699414034436</v>
      </c>
      <c r="Y632">
        <v>-2.1996994140344341</v>
      </c>
      <c r="Z632">
        <v>59.804782491336368</v>
      </c>
      <c r="AA632">
        <v>0.12431776834445118</v>
      </c>
      <c r="AB632">
        <v>68</v>
      </c>
      <c r="AC632">
        <v>-1.1700898139672218</v>
      </c>
      <c r="AD632">
        <v>-0.29799156618174094</v>
      </c>
      <c r="AE632">
        <v>-0.22973398374119028</v>
      </c>
      <c r="AF632">
        <v>2.3054778972118779E-3</v>
      </c>
      <c r="AG632">
        <v>-0.29833566776983217</v>
      </c>
      <c r="AH632">
        <v>-0.23209715124539804</v>
      </c>
      <c r="AI632">
        <v>1.1426184383588549E-5</v>
      </c>
    </row>
    <row r="633" spans="23:35" x14ac:dyDescent="0.25">
      <c r="W633">
        <v>631</v>
      </c>
      <c r="X633">
        <v>56.278639624676856</v>
      </c>
      <c r="Y633">
        <v>0.82136037532314532</v>
      </c>
      <c r="Z633">
        <v>56.276851912300579</v>
      </c>
      <c r="AA633">
        <v>0.11279563371740449</v>
      </c>
      <c r="AB633">
        <v>68</v>
      </c>
      <c r="AC633">
        <v>-1.2197514087080794</v>
      </c>
      <c r="AD633">
        <v>0.11126905025321572</v>
      </c>
      <c r="AE633">
        <v>-0.22791354166072833</v>
      </c>
      <c r="AF633">
        <v>2.1717992217812781E-3</v>
      </c>
      <c r="AG633">
        <v>0.11139007443747781</v>
      </c>
      <c r="AH633">
        <v>-0.23066771155948979</v>
      </c>
      <c r="AI633">
        <v>1.5003216715610998E-6</v>
      </c>
    </row>
    <row r="634" spans="23:35" x14ac:dyDescent="0.25">
      <c r="W634">
        <v>632</v>
      </c>
      <c r="X634">
        <v>56.636425935108889</v>
      </c>
      <c r="Y634">
        <v>6.3574064891113835E-2</v>
      </c>
      <c r="Z634">
        <v>56.63628105939997</v>
      </c>
      <c r="AA634">
        <v>0.10491206791995149</v>
      </c>
      <c r="AB634">
        <v>68</v>
      </c>
      <c r="AC634">
        <v>-1.2726185683477402</v>
      </c>
      <c r="AD634">
        <v>8.6123290503118191E-3</v>
      </c>
      <c r="AE634">
        <v>-0.22789626146922864</v>
      </c>
      <c r="AF634">
        <v>2.2736678851249109E-3</v>
      </c>
      <c r="AG634">
        <v>8.6221365657477827E-3</v>
      </c>
      <c r="AH634">
        <v>-0.22832314690067945</v>
      </c>
      <c r="AI634">
        <v>9.4118041813594806E-9</v>
      </c>
    </row>
    <row r="635" spans="23:35" x14ac:dyDescent="0.25">
      <c r="W635">
        <v>633</v>
      </c>
      <c r="X635">
        <v>49.548367507649317</v>
      </c>
      <c r="Y635">
        <v>6.7516324923506801</v>
      </c>
      <c r="Z635">
        <v>49.458744165397349</v>
      </c>
      <c r="AA635">
        <v>9.7028502122498486E-2</v>
      </c>
      <c r="AB635">
        <v>68</v>
      </c>
      <c r="AC635">
        <v>-1.3039878652542525</v>
      </c>
      <c r="AD635">
        <v>0.91463839461095364</v>
      </c>
      <c r="AE635">
        <v>-0.22524241877824208</v>
      </c>
      <c r="AF635">
        <v>1.3100422556727463E-2</v>
      </c>
      <c r="AG635">
        <v>0.92068898362269758</v>
      </c>
      <c r="AH635">
        <v>-0.22819759727673603</v>
      </c>
      <c r="AI635">
        <v>6.2512336172723443E-4</v>
      </c>
    </row>
    <row r="636" spans="23:35" x14ac:dyDescent="0.25">
      <c r="W636">
        <v>634</v>
      </c>
      <c r="X636">
        <v>66.07099617554357</v>
      </c>
      <c r="Y636">
        <v>-7.0996175543569962E-2</v>
      </c>
      <c r="Z636">
        <v>66.071297920836741</v>
      </c>
      <c r="AA636">
        <v>0.31109763493026077</v>
      </c>
      <c r="AB636">
        <v>68</v>
      </c>
      <c r="AC636">
        <v>-0.50738317096904828</v>
      </c>
      <c r="AD636">
        <v>-9.617796599008889E-3</v>
      </c>
      <c r="AE636">
        <v>-0.22423696559971304</v>
      </c>
      <c r="AF636">
        <v>4.2321752111850438E-3</v>
      </c>
      <c r="AG636">
        <v>-9.6382135281054306E-3</v>
      </c>
      <c r="AH636">
        <v>-0.22579844062493762</v>
      </c>
      <c r="AI636">
        <v>2.1934418828503699E-8</v>
      </c>
    </row>
    <row r="637" spans="23:35" x14ac:dyDescent="0.25">
      <c r="W637">
        <v>635</v>
      </c>
      <c r="X637">
        <v>65.63834341072004</v>
      </c>
      <c r="Y637">
        <v>0.2616565892799656</v>
      </c>
      <c r="Z637">
        <v>65.63729727722226</v>
      </c>
      <c r="AA637">
        <v>0.30563978168587025</v>
      </c>
      <c r="AB637">
        <v>68.099999999999994</v>
      </c>
      <c r="AC637">
        <v>-0.52126361871264315</v>
      </c>
      <c r="AD637">
        <v>3.544641433454003E-2</v>
      </c>
      <c r="AE637">
        <v>-0.22402768202773032</v>
      </c>
      <c r="AF637">
        <v>3.9821951090707177E-3</v>
      </c>
      <c r="AG637">
        <v>3.5517203094729548E-2</v>
      </c>
      <c r="AH637">
        <v>-0.22572722175196375</v>
      </c>
      <c r="AI637">
        <v>2.8019504112129156E-7</v>
      </c>
    </row>
    <row r="638" spans="23:35" x14ac:dyDescent="0.25">
      <c r="W638">
        <v>636</v>
      </c>
      <c r="X638">
        <v>65.246401748142915</v>
      </c>
      <c r="Y638">
        <v>0.55359825185708189</v>
      </c>
      <c r="Z638">
        <v>65.243989044984744</v>
      </c>
      <c r="AA638">
        <v>0.30078835657974529</v>
      </c>
      <c r="AB638">
        <v>68.099999999999994</v>
      </c>
      <c r="AC638">
        <v>-0.53349185558387491</v>
      </c>
      <c r="AD638">
        <v>7.499552395833993E-2</v>
      </c>
      <c r="AE638">
        <v>-0.22372808242185849</v>
      </c>
      <c r="AF638">
        <v>4.3393086708135497E-3</v>
      </c>
      <c r="AG638">
        <v>7.5158769795122329E-2</v>
      </c>
      <c r="AH638">
        <v>-0.22458013051593592</v>
      </c>
      <c r="AI638">
        <v>1.3677162390606228E-6</v>
      </c>
    </row>
    <row r="639" spans="23:35" x14ac:dyDescent="0.25">
      <c r="W639">
        <v>637</v>
      </c>
      <c r="X639">
        <v>66.235722364520399</v>
      </c>
      <c r="Y639">
        <v>-0.63572236452040443</v>
      </c>
      <c r="Z639">
        <v>66.238089388964767</v>
      </c>
      <c r="AA639">
        <v>0.29411764705882354</v>
      </c>
      <c r="AB639">
        <v>68.099999999999994</v>
      </c>
      <c r="AC639">
        <v>-0.55287102664223609</v>
      </c>
      <c r="AD639">
        <v>-8.6120813530947929E-2</v>
      </c>
      <c r="AE639">
        <v>-0.22313234783821681</v>
      </c>
      <c r="AF639">
        <v>3.7095499240553881E-3</v>
      </c>
      <c r="AG639">
        <v>-8.6280994045826162E-2</v>
      </c>
      <c r="AH639">
        <v>-0.22420141990222378</v>
      </c>
      <c r="AI639">
        <v>1.5399018039301126E-6</v>
      </c>
    </row>
    <row r="640" spans="23:35" x14ac:dyDescent="0.25">
      <c r="W640">
        <v>638</v>
      </c>
      <c r="X640">
        <v>65.849949002996382</v>
      </c>
      <c r="Y640">
        <v>5.0050997003623365E-2</v>
      </c>
      <c r="Z640">
        <v>65.849755622234568</v>
      </c>
      <c r="AA640">
        <v>0.30563978168587025</v>
      </c>
      <c r="AB640">
        <v>68.099999999999994</v>
      </c>
      <c r="AC640">
        <v>-0.52126361871264315</v>
      </c>
      <c r="AD640">
        <v>6.7803695772743764E-3</v>
      </c>
      <c r="AE640">
        <v>-0.22218274463514223</v>
      </c>
      <c r="AF640">
        <v>3.8488039938738778E-3</v>
      </c>
      <c r="AG640">
        <v>6.79345552008932E-3</v>
      </c>
      <c r="AH640">
        <v>-0.22353658369936574</v>
      </c>
      <c r="AI640">
        <v>9.9062549560923429E-9</v>
      </c>
    </row>
    <row r="641" spans="23:35" x14ac:dyDescent="0.25">
      <c r="W641">
        <v>639</v>
      </c>
      <c r="X641">
        <v>67.682817273261961</v>
      </c>
      <c r="Y641">
        <v>-1.5828172732619663</v>
      </c>
      <c r="Z641">
        <v>67.688711552486879</v>
      </c>
      <c r="AA641">
        <v>0.31412977562158884</v>
      </c>
      <c r="AB641">
        <v>68.099999999999994</v>
      </c>
      <c r="AC641">
        <v>-0.4918835074548818</v>
      </c>
      <c r="AD641">
        <v>-0.21442302308649089</v>
      </c>
      <c r="AE641">
        <v>-0.22202653780619303</v>
      </c>
      <c r="AF641">
        <v>3.7101003109704092E-3</v>
      </c>
      <c r="AG641">
        <v>-0.21482189879426464</v>
      </c>
      <c r="AH641">
        <v>-0.22332320575904949</v>
      </c>
      <c r="AI641">
        <v>9.5473868754298669E-6</v>
      </c>
    </row>
    <row r="642" spans="23:35" x14ac:dyDescent="0.25">
      <c r="W642">
        <v>640</v>
      </c>
      <c r="X642">
        <v>63.738008432687735</v>
      </c>
      <c r="Y642">
        <v>2.561991567312262</v>
      </c>
      <c r="Z642">
        <v>63.724401276454273</v>
      </c>
      <c r="AA642">
        <v>0.31898120072771374</v>
      </c>
      <c r="AB642">
        <v>68.099999999999994</v>
      </c>
      <c r="AC642">
        <v>-0.47479897905845492</v>
      </c>
      <c r="AD642">
        <v>0.34707100198183849</v>
      </c>
      <c r="AE642">
        <v>-0.22104628467649565</v>
      </c>
      <c r="AF642">
        <v>5.2831041221860246E-3</v>
      </c>
      <c r="AG642">
        <v>0.34799145685661914</v>
      </c>
      <c r="AH642">
        <v>-0.22152817501289943</v>
      </c>
      <c r="AI642">
        <v>3.5731753938461948E-5</v>
      </c>
    </row>
    <row r="643" spans="23:35" x14ac:dyDescent="0.25">
      <c r="W643">
        <v>641</v>
      </c>
      <c r="X643">
        <v>64.064974580839902</v>
      </c>
      <c r="Y643">
        <v>1.635025419160101</v>
      </c>
      <c r="Z643">
        <v>64.057239006536662</v>
      </c>
      <c r="AA643">
        <v>0.29654335961188599</v>
      </c>
      <c r="AB643">
        <v>68.099999999999994</v>
      </c>
      <c r="AC643">
        <v>-0.54051528578164909</v>
      </c>
      <c r="AD643">
        <v>0.2214956199442116</v>
      </c>
      <c r="AE643">
        <v>-0.22048329598096675</v>
      </c>
      <c r="AF643">
        <v>4.7088860363869505E-3</v>
      </c>
      <c r="AG643">
        <v>0.2220189677761176</v>
      </c>
      <c r="AH643">
        <v>-0.22141723514071221</v>
      </c>
      <c r="AI643">
        <v>1.2956142213940569E-5</v>
      </c>
    </row>
    <row r="644" spans="23:35" x14ac:dyDescent="0.25">
      <c r="W644">
        <v>642</v>
      </c>
      <c r="X644">
        <v>65.395286298767147</v>
      </c>
      <c r="Y644">
        <v>-0.19528629876714376</v>
      </c>
      <c r="Z644">
        <v>65.395891084601971</v>
      </c>
      <c r="AA644">
        <v>0.28077622801697999</v>
      </c>
      <c r="AB644">
        <v>68.099999999999994</v>
      </c>
      <c r="AC644">
        <v>-0.59046081866695443</v>
      </c>
      <c r="AD644">
        <v>-2.6455282777352047E-2</v>
      </c>
      <c r="AE644">
        <v>-0.21926313973399136</v>
      </c>
      <c r="AF644">
        <v>3.0873576306487578E-3</v>
      </c>
      <c r="AG644">
        <v>-2.6496216043074707E-2</v>
      </c>
      <c r="AH644">
        <v>-0.21975577431823931</v>
      </c>
      <c r="AI644">
        <v>1.2078834858690693E-7</v>
      </c>
    </row>
    <row r="645" spans="23:35" x14ac:dyDescent="0.25">
      <c r="W645">
        <v>643</v>
      </c>
      <c r="X645">
        <v>67.48580098572053</v>
      </c>
      <c r="Y645">
        <v>-2.4858009857205303</v>
      </c>
      <c r="Z645">
        <v>67.491752389762212</v>
      </c>
      <c r="AA645">
        <v>0.27289266221952696</v>
      </c>
      <c r="AB645">
        <v>68.2</v>
      </c>
      <c r="AC645">
        <v>-0.62335641379693996</v>
      </c>
      <c r="AD645">
        <v>-0.33674952324162438</v>
      </c>
      <c r="AE645">
        <v>-0.21866570663526261</v>
      </c>
      <c r="AF645">
        <v>2.3884411894774544E-3</v>
      </c>
      <c r="AG645">
        <v>-0.33715239828386995</v>
      </c>
      <c r="AH645">
        <v>-0.21892866967260738</v>
      </c>
      <c r="AI645">
        <v>1.5119348625234557E-5</v>
      </c>
    </row>
    <row r="646" spans="23:35" x14ac:dyDescent="0.25">
      <c r="W646">
        <v>644</v>
      </c>
      <c r="X646">
        <v>66.028999114107236</v>
      </c>
      <c r="Y646">
        <v>-0.92899911410724201</v>
      </c>
      <c r="Z646">
        <v>66.031501459536756</v>
      </c>
      <c r="AA646">
        <v>0.27713765918738631</v>
      </c>
      <c r="AB646">
        <v>68.2</v>
      </c>
      <c r="AC646">
        <v>-0.60317578841021124</v>
      </c>
      <c r="AD646">
        <v>-0.12585078635199989</v>
      </c>
      <c r="AE646">
        <v>-0.21739829243058265</v>
      </c>
      <c r="AF646">
        <v>2.6863569604813906E-3</v>
      </c>
      <c r="AG646">
        <v>-0.12602016776064306</v>
      </c>
      <c r="AH646">
        <v>-0.21857383922196641</v>
      </c>
      <c r="AI646">
        <v>2.3765095420555685E-6</v>
      </c>
    </row>
    <row r="647" spans="23:35" x14ac:dyDescent="0.25">
      <c r="W647">
        <v>645</v>
      </c>
      <c r="X647">
        <v>57.524392559315871</v>
      </c>
      <c r="Y647">
        <v>7.7756074406841265</v>
      </c>
      <c r="Z647">
        <v>57.389584351106741</v>
      </c>
      <c r="AA647">
        <v>0.28380836870830806</v>
      </c>
      <c r="AB647">
        <v>68.2</v>
      </c>
      <c r="AC647">
        <v>-0.57963781842623852</v>
      </c>
      <c r="AD647">
        <v>1.0533554832449439</v>
      </c>
      <c r="AE647">
        <v>-0.21559042880581145</v>
      </c>
      <c r="AF647">
        <v>1.704186153960113E-2</v>
      </c>
      <c r="AG647">
        <v>1.0624474265776116</v>
      </c>
      <c r="AH647">
        <v>-0.21634345900014137</v>
      </c>
      <c r="AI647">
        <v>1.0872374477790703E-3</v>
      </c>
    </row>
    <row r="648" spans="23:35" x14ac:dyDescent="0.25">
      <c r="W648">
        <v>646</v>
      </c>
      <c r="X648">
        <v>65.513624139568407</v>
      </c>
      <c r="Y648">
        <v>-0.21362413956840953</v>
      </c>
      <c r="Z648">
        <v>65.514218111025343</v>
      </c>
      <c r="AA648">
        <v>0.28380836870830806</v>
      </c>
      <c r="AB648">
        <v>68.2</v>
      </c>
      <c r="AC648">
        <v>-0.57963781842623852</v>
      </c>
      <c r="AD648">
        <v>-2.8939495786591444E-2</v>
      </c>
      <c r="AE648">
        <v>-0.21442302308649089</v>
      </c>
      <c r="AF648">
        <v>2.7727415487912629E-3</v>
      </c>
      <c r="AG648">
        <v>-2.8979700284632672E-2</v>
      </c>
      <c r="AH648">
        <v>-0.21632193429327981</v>
      </c>
      <c r="AI648">
        <v>1.2972704428765788E-7</v>
      </c>
    </row>
    <row r="649" spans="23:35" x14ac:dyDescent="0.25">
      <c r="W649">
        <v>647</v>
      </c>
      <c r="X649">
        <v>60.074066476807161</v>
      </c>
      <c r="Y649">
        <v>5.3259335231928446</v>
      </c>
      <c r="Z649">
        <v>60.00212807148327</v>
      </c>
      <c r="AA649">
        <v>0.28684050939963612</v>
      </c>
      <c r="AB649">
        <v>68.3</v>
      </c>
      <c r="AC649">
        <v>-0.57067028430202504</v>
      </c>
      <c r="AD649">
        <v>0.72150006579545733</v>
      </c>
      <c r="AE649">
        <v>-0.21179572523023396</v>
      </c>
      <c r="AF649">
        <v>1.3327178983970196E-2</v>
      </c>
      <c r="AG649">
        <v>0.726356441667387</v>
      </c>
      <c r="AH649">
        <v>-0.21482189879426464</v>
      </c>
      <c r="AI649">
        <v>3.9590605580312456E-4</v>
      </c>
    </row>
    <row r="650" spans="23:35" x14ac:dyDescent="0.25">
      <c r="W650">
        <v>648</v>
      </c>
      <c r="X650">
        <v>58.635919705419496</v>
      </c>
      <c r="Y650">
        <v>4.4640802945805049</v>
      </c>
      <c r="Z650">
        <v>58.61509000783677</v>
      </c>
      <c r="AA650">
        <v>0.22255912674348088</v>
      </c>
      <c r="AB650">
        <v>68.3</v>
      </c>
      <c r="AC650">
        <v>-0.76459654801725674</v>
      </c>
      <c r="AD650">
        <v>0.60474548024872465</v>
      </c>
      <c r="AE650">
        <v>-0.21085009035742139</v>
      </c>
      <c r="AF650">
        <v>4.6443959007249781E-3</v>
      </c>
      <c r="AG650">
        <v>0.60615472970204287</v>
      </c>
      <c r="AH650">
        <v>-0.21282502446871299</v>
      </c>
      <c r="AI650">
        <v>9.5245717648163213E-5</v>
      </c>
    </row>
    <row r="651" spans="23:35" x14ac:dyDescent="0.25">
      <c r="W651">
        <v>649</v>
      </c>
      <c r="X651">
        <v>57.963160412207813</v>
      </c>
      <c r="Y651">
        <v>4.7368395877921898</v>
      </c>
      <c r="Z651">
        <v>57.942603580080252</v>
      </c>
      <c r="AA651">
        <v>0.21164342025469982</v>
      </c>
      <c r="AB651">
        <v>68.3</v>
      </c>
      <c r="AC651">
        <v>-0.80808466725232064</v>
      </c>
      <c r="AD651">
        <v>0.64169596923653616</v>
      </c>
      <c r="AE651">
        <v>-0.21057561790113555</v>
      </c>
      <c r="AF651">
        <v>4.3210256857056876E-3</v>
      </c>
      <c r="AG651">
        <v>0.64308687083706961</v>
      </c>
      <c r="AH651">
        <v>-0.21080196291475761</v>
      </c>
      <c r="AI651">
        <v>9.9708984449361834E-5</v>
      </c>
    </row>
    <row r="652" spans="23:35" x14ac:dyDescent="0.25">
      <c r="W652">
        <v>650</v>
      </c>
      <c r="X652">
        <v>67.207809379147136</v>
      </c>
      <c r="Y652">
        <v>7.292190620852864</v>
      </c>
      <c r="Z652">
        <v>67.159629099342723</v>
      </c>
      <c r="AA652">
        <v>0.72407519708914492</v>
      </c>
      <c r="AB652">
        <v>68.3</v>
      </c>
      <c r="AC652">
        <v>0.56531175535073552</v>
      </c>
      <c r="AD652">
        <v>0.98786738321590084</v>
      </c>
      <c r="AE652">
        <v>-0.20951670950194093</v>
      </c>
      <c r="AF652">
        <v>6.5637391429503077E-3</v>
      </c>
      <c r="AG652">
        <v>0.99112548291079194</v>
      </c>
      <c r="AH652">
        <v>-0.209864907302037</v>
      </c>
      <c r="AI652">
        <v>3.6057539244622588E-4</v>
      </c>
    </row>
    <row r="653" spans="23:35" x14ac:dyDescent="0.25">
      <c r="W653">
        <v>651</v>
      </c>
      <c r="X653">
        <v>70.629994947235417</v>
      </c>
      <c r="Y653">
        <v>3.67000505276458</v>
      </c>
      <c r="Z653">
        <v>70.614938501509229</v>
      </c>
      <c r="AA653">
        <v>0.7052759248029109</v>
      </c>
      <c r="AB653">
        <v>68.3</v>
      </c>
      <c r="AC653">
        <v>0.52824151828033117</v>
      </c>
      <c r="AD653">
        <v>0.49717272577820504</v>
      </c>
      <c r="AE653">
        <v>-0.20715958478825111</v>
      </c>
      <c r="AF653">
        <v>4.085805822331744E-3</v>
      </c>
      <c r="AG653">
        <v>0.49819152441224662</v>
      </c>
      <c r="AH653">
        <v>-0.20804010090812775</v>
      </c>
      <c r="AI653">
        <v>5.6568669625712733E-5</v>
      </c>
    </row>
    <row r="654" spans="23:35" x14ac:dyDescent="0.25">
      <c r="W654">
        <v>652</v>
      </c>
      <c r="X654">
        <v>72.759978816820194</v>
      </c>
      <c r="Y654">
        <v>1.3400211831798003</v>
      </c>
      <c r="Z654">
        <v>72.755236696236665</v>
      </c>
      <c r="AA654">
        <v>0.69254093389933291</v>
      </c>
      <c r="AB654">
        <v>68.3</v>
      </c>
      <c r="AC654">
        <v>0.48161589062349974</v>
      </c>
      <c r="AD654">
        <v>0.1815316258870483</v>
      </c>
      <c r="AE654">
        <v>-0.20269380191472558</v>
      </c>
      <c r="AF654">
        <v>3.5263607879932189E-3</v>
      </c>
      <c r="AG654">
        <v>0.18185254790568131</v>
      </c>
      <c r="AH654">
        <v>-0.20290989389509156</v>
      </c>
      <c r="AI654">
        <v>6.5017041653375855E-6</v>
      </c>
    </row>
    <row r="655" spans="23:35" x14ac:dyDescent="0.25">
      <c r="W655">
        <v>653</v>
      </c>
      <c r="X655">
        <v>71.998347178287872</v>
      </c>
      <c r="Y655">
        <v>1.9016528217121333</v>
      </c>
      <c r="Z655">
        <v>71.993377594554815</v>
      </c>
      <c r="AA655">
        <v>0.67919951485748942</v>
      </c>
      <c r="AB655">
        <v>68.3</v>
      </c>
      <c r="AC655">
        <v>0.43434378704136062</v>
      </c>
      <c r="AD655">
        <v>0.25761542648074498</v>
      </c>
      <c r="AE655">
        <v>-0.20180245898772595</v>
      </c>
      <c r="AF655">
        <v>2.6064855415894087E-3</v>
      </c>
      <c r="AG655">
        <v>0.25795181966895975</v>
      </c>
      <c r="AH655">
        <v>-0.20250474842901597</v>
      </c>
      <c r="AI655">
        <v>9.6603634683403462E-6</v>
      </c>
    </row>
    <row r="656" spans="23:35" x14ac:dyDescent="0.25">
      <c r="W656">
        <v>654</v>
      </c>
      <c r="X656">
        <v>71.178601532745418</v>
      </c>
      <c r="Y656">
        <v>2.4213984672545763</v>
      </c>
      <c r="Z656">
        <v>71.172470177671343</v>
      </c>
      <c r="AA656">
        <v>0.65433596118859916</v>
      </c>
      <c r="AB656">
        <v>68.400000000000006</v>
      </c>
      <c r="AC656">
        <v>0.3716850598056044</v>
      </c>
      <c r="AD656">
        <v>0.32802496423084598</v>
      </c>
      <c r="AE656">
        <v>-0.19890999616213317</v>
      </c>
      <c r="AF656">
        <v>2.5257589083704677E-3</v>
      </c>
      <c r="AG656">
        <v>0.32844000660706069</v>
      </c>
      <c r="AH656">
        <v>-0.1991316828668562</v>
      </c>
      <c r="AI656">
        <v>1.517503856652622E-5</v>
      </c>
    </row>
    <row r="657" spans="23:35" x14ac:dyDescent="0.25">
      <c r="W657">
        <v>655</v>
      </c>
      <c r="X657">
        <v>70.852031465824567</v>
      </c>
      <c r="Y657">
        <v>2.547968534175439</v>
      </c>
      <c r="Z657">
        <v>70.844760273184946</v>
      </c>
      <c r="AA657">
        <v>0.63735597331716187</v>
      </c>
      <c r="AB657">
        <v>68.400000000000006</v>
      </c>
      <c r="AC657">
        <v>0.33286538375086522</v>
      </c>
      <c r="AD657">
        <v>0.34517131260591777</v>
      </c>
      <c r="AE657">
        <v>-0.19456851475489625</v>
      </c>
      <c r="AF657">
        <v>2.8456009678110745E-3</v>
      </c>
      <c r="AG657">
        <v>0.34566347313531554</v>
      </c>
      <c r="AH657">
        <v>-0.19491416130081635</v>
      </c>
      <c r="AI657">
        <v>1.8942882433296847E-5</v>
      </c>
    </row>
    <row r="658" spans="23:35" x14ac:dyDescent="0.25">
      <c r="W658">
        <v>656</v>
      </c>
      <c r="X658">
        <v>68.918058041670406</v>
      </c>
      <c r="Y658">
        <v>4.2819419583295968</v>
      </c>
      <c r="Z658">
        <v>68.907836989539916</v>
      </c>
      <c r="AA658">
        <v>0.62340812613705276</v>
      </c>
      <c r="AB658">
        <v>68.400000000000006</v>
      </c>
      <c r="AC658">
        <v>0.29295400660571058</v>
      </c>
      <c r="AD658">
        <v>0.5800713417119514</v>
      </c>
      <c r="AE658">
        <v>-0.19153351736618987</v>
      </c>
      <c r="AF658">
        <v>2.3813289722634575E-3</v>
      </c>
      <c r="AG658">
        <v>0.58076324804591817</v>
      </c>
      <c r="AH658">
        <v>-0.19195598460389959</v>
      </c>
      <c r="AI658">
        <v>4.4728112647254212E-5</v>
      </c>
    </row>
    <row r="659" spans="23:35" x14ac:dyDescent="0.25">
      <c r="W659">
        <v>657</v>
      </c>
      <c r="X659">
        <v>66.320076938519378</v>
      </c>
      <c r="Y659">
        <v>6.679923061480622</v>
      </c>
      <c r="Z659">
        <v>66.29854568745013</v>
      </c>
      <c r="AA659">
        <v>0.60946027895694366</v>
      </c>
      <c r="AB659">
        <v>68.400000000000006</v>
      </c>
      <c r="AC659">
        <v>0.22222871718700732</v>
      </c>
      <c r="AD659">
        <v>0.90492397386844969</v>
      </c>
      <c r="AE659">
        <v>-0.19078830077406367</v>
      </c>
      <c r="AF659">
        <v>3.2129221606309773E-3</v>
      </c>
      <c r="AG659">
        <v>0.90638121144799122</v>
      </c>
      <c r="AH659">
        <v>-0.19101667464407887</v>
      </c>
      <c r="AI659">
        <v>1.4711165741873337E-4</v>
      </c>
    </row>
    <row r="660" spans="23:35" x14ac:dyDescent="0.25">
      <c r="W660">
        <v>658</v>
      </c>
      <c r="X660">
        <v>67.334914747783017</v>
      </c>
      <c r="Y660">
        <v>5.4650852522169799</v>
      </c>
      <c r="Z660">
        <v>67.323236168821637</v>
      </c>
      <c r="AA660">
        <v>0.58156458459672533</v>
      </c>
      <c r="AB660">
        <v>68.400000000000006</v>
      </c>
      <c r="AC660">
        <v>0.18343432307636306</v>
      </c>
      <c r="AD660">
        <v>0.7403508421352788</v>
      </c>
      <c r="AE660">
        <v>-0.19008384408332643</v>
      </c>
      <c r="AF660">
        <v>2.1323868111495989E-3</v>
      </c>
      <c r="AG660">
        <v>0.74114146397959857</v>
      </c>
      <c r="AH660">
        <v>-0.19073154206573459</v>
      </c>
      <c r="AI660">
        <v>6.5211287879443614E-5</v>
      </c>
    </row>
    <row r="661" spans="23:35" x14ac:dyDescent="0.25">
      <c r="W661">
        <v>659</v>
      </c>
      <c r="X661">
        <v>67.343068950877978</v>
      </c>
      <c r="Y661">
        <v>5.1569310491220222</v>
      </c>
      <c r="Z661">
        <v>67.329905248606494</v>
      </c>
      <c r="AA661">
        <v>0.55852031534263191</v>
      </c>
      <c r="AB661">
        <v>68.400000000000006</v>
      </c>
      <c r="AC661">
        <v>0.12956927093944998</v>
      </c>
      <c r="AD661">
        <v>0.69860543227615002</v>
      </c>
      <c r="AE661">
        <v>-0.1882899718771846</v>
      </c>
      <c r="AF661">
        <v>2.5461239889158988E-3</v>
      </c>
      <c r="AG661">
        <v>0.69949650224356419</v>
      </c>
      <c r="AH661">
        <v>-0.18844324775365884</v>
      </c>
      <c r="AI661">
        <v>6.9388151126920894E-5</v>
      </c>
    </row>
    <row r="662" spans="23:35" x14ac:dyDescent="0.25">
      <c r="W662">
        <v>660</v>
      </c>
      <c r="X662">
        <v>66.108771015511991</v>
      </c>
      <c r="Y662">
        <v>6.0912289844880121</v>
      </c>
      <c r="Z662">
        <v>66.094143023938884</v>
      </c>
      <c r="AA662">
        <v>0.53911461491813217</v>
      </c>
      <c r="AB662">
        <v>68.400000000000006</v>
      </c>
      <c r="AC662">
        <v>7.9127168877726875E-2</v>
      </c>
      <c r="AD662">
        <v>0.82517404581659992</v>
      </c>
      <c r="AE662">
        <v>-0.18766566670983451</v>
      </c>
      <c r="AF662">
        <v>2.3957311202104617E-3</v>
      </c>
      <c r="AG662">
        <v>0.8261642729813431</v>
      </c>
      <c r="AH662">
        <v>-0.18829752649217329</v>
      </c>
      <c r="AI662">
        <v>9.1062609385817269E-5</v>
      </c>
    </row>
    <row r="663" spans="23:35" x14ac:dyDescent="0.25">
      <c r="W663">
        <v>661</v>
      </c>
      <c r="X663">
        <v>65.53022445827807</v>
      </c>
      <c r="Y663">
        <v>6.3697755417219355</v>
      </c>
      <c r="Z663">
        <v>65.513859769200195</v>
      </c>
      <c r="AA663">
        <v>0.51607034566403887</v>
      </c>
      <c r="AB663">
        <v>68.5</v>
      </c>
      <c r="AC663">
        <v>2.7365033500434649E-2</v>
      </c>
      <c r="AD663">
        <v>0.86290853095356301</v>
      </c>
      <c r="AE663">
        <v>-0.185384301182139</v>
      </c>
      <c r="AF663">
        <v>2.56253205949802E-3</v>
      </c>
      <c r="AG663">
        <v>0.86401627576997242</v>
      </c>
      <c r="AH663">
        <v>-0.18662171724579457</v>
      </c>
      <c r="AI663">
        <v>1.0655037224354479E-4</v>
      </c>
    </row>
    <row r="664" spans="23:35" x14ac:dyDescent="0.25">
      <c r="W664">
        <v>662</v>
      </c>
      <c r="X664">
        <v>60.752238337271855</v>
      </c>
      <c r="Y664">
        <v>10.847761662728139</v>
      </c>
      <c r="Z664">
        <v>60.69703905789823</v>
      </c>
      <c r="AA664">
        <v>0.49787750151607035</v>
      </c>
      <c r="AB664">
        <v>68.5</v>
      </c>
      <c r="AC664">
        <v>-2.1282865457297767E-2</v>
      </c>
      <c r="AD664">
        <v>1.4695378226763496</v>
      </c>
      <c r="AE664">
        <v>-0.18469946119540462</v>
      </c>
      <c r="AF664">
        <v>5.0627787870422634E-3</v>
      </c>
      <c r="AG664">
        <v>1.4732719800408178</v>
      </c>
      <c r="AH664">
        <v>-0.18568267281729031</v>
      </c>
      <c r="AI664">
        <v>6.1360180224617799E-4</v>
      </c>
    </row>
    <row r="665" spans="23:35" x14ac:dyDescent="0.25">
      <c r="W665">
        <v>663</v>
      </c>
      <c r="X665">
        <v>64.075348103951711</v>
      </c>
      <c r="Y665">
        <v>7.2246518960482859</v>
      </c>
      <c r="Z665">
        <v>64.057124526796571</v>
      </c>
      <c r="AA665">
        <v>0.48089751364463312</v>
      </c>
      <c r="AB665">
        <v>68.5</v>
      </c>
      <c r="AC665">
        <v>-5.1706087511076533E-2</v>
      </c>
      <c r="AD665">
        <v>0.97871796477535078</v>
      </c>
      <c r="AE665">
        <v>-0.18311390641852762</v>
      </c>
      <c r="AF665">
        <v>2.5160693736298351E-3</v>
      </c>
      <c r="AG665">
        <v>0.97995155425988878</v>
      </c>
      <c r="AH665">
        <v>-0.18394867101780749</v>
      </c>
      <c r="AI665">
        <v>1.3457159827514988E-4</v>
      </c>
    </row>
    <row r="666" spans="23:35" x14ac:dyDescent="0.25">
      <c r="W666">
        <v>664</v>
      </c>
      <c r="X666">
        <v>62.56984341494897</v>
      </c>
      <c r="Y666">
        <v>8.43015658505103</v>
      </c>
      <c r="Z666">
        <v>62.552503076124985</v>
      </c>
      <c r="AA666">
        <v>0.46937537901758641</v>
      </c>
      <c r="AB666">
        <v>68.5</v>
      </c>
      <c r="AC666">
        <v>-9.743972564826138E-2</v>
      </c>
      <c r="AD666">
        <v>1.1420267459767339</v>
      </c>
      <c r="AE666">
        <v>-0.17925216895525664</v>
      </c>
      <c r="AF666">
        <v>2.0527191640612235E-3</v>
      </c>
      <c r="AG666">
        <v>1.1432006837032322</v>
      </c>
      <c r="AH666">
        <v>-0.17969617164272153</v>
      </c>
      <c r="AI666">
        <v>1.4934627113784014E-4</v>
      </c>
    </row>
    <row r="667" spans="23:35" x14ac:dyDescent="0.25">
      <c r="W667">
        <v>665</v>
      </c>
      <c r="X667">
        <v>74.312152286255213</v>
      </c>
      <c r="Y667">
        <v>-6.3121522862552126</v>
      </c>
      <c r="Z667">
        <v>76.442625196151042</v>
      </c>
      <c r="AA667">
        <v>0.38447543966040026</v>
      </c>
      <c r="AB667">
        <v>68.5</v>
      </c>
      <c r="AC667">
        <v>-0.31204933220437475</v>
      </c>
      <c r="AD667">
        <v>-0.85510235342064012</v>
      </c>
      <c r="AE667">
        <v>-0.1780875400197883</v>
      </c>
      <c r="AF667">
        <v>0.25234720959389589</v>
      </c>
      <c r="AG667">
        <v>-0.98893585367508718</v>
      </c>
      <c r="AH667">
        <v>-0.17911134134677309</v>
      </c>
      <c r="AI667">
        <v>1.8338435748178464E-2</v>
      </c>
    </row>
    <row r="668" spans="23:35" x14ac:dyDescent="0.25">
      <c r="W668">
        <v>666</v>
      </c>
      <c r="X668">
        <v>81.656295684536644</v>
      </c>
      <c r="Y668">
        <v>-14.05629568453665</v>
      </c>
      <c r="Z668">
        <v>83.036552445850802</v>
      </c>
      <c r="AA668">
        <v>0.36264402668283807</v>
      </c>
      <c r="AB668">
        <v>68.5</v>
      </c>
      <c r="AC668">
        <v>-0.36030729595554811</v>
      </c>
      <c r="AD668">
        <v>-1.9041954273499448</v>
      </c>
      <c r="AE668">
        <v>-0.17659674986896737</v>
      </c>
      <c r="AF668">
        <v>8.9414833147226397E-2</v>
      </c>
      <c r="AG668">
        <v>-1.9954977028377188</v>
      </c>
      <c r="AH668">
        <v>-0.17673664058449154</v>
      </c>
      <c r="AI668">
        <v>2.1722957784069831E-2</v>
      </c>
    </row>
    <row r="669" spans="23:35" x14ac:dyDescent="0.25">
      <c r="W669">
        <v>667</v>
      </c>
      <c r="X669">
        <v>79.6374298459599</v>
      </c>
      <c r="Y669">
        <v>-12.337429845959903</v>
      </c>
      <c r="Z669">
        <v>81.409925748771656</v>
      </c>
      <c r="AA669">
        <v>0.35112189205579136</v>
      </c>
      <c r="AB669">
        <v>68.599999999999994</v>
      </c>
      <c r="AC669">
        <v>-0.39787592189543292</v>
      </c>
      <c r="AD669">
        <v>-1.6713420110941555</v>
      </c>
      <c r="AE669">
        <v>-0.17581344451944375</v>
      </c>
      <c r="AF669">
        <v>0.12562049824862159</v>
      </c>
      <c r="AG669">
        <v>-1.7873736284080954</v>
      </c>
      <c r="AH669">
        <v>-0.17671321799455642</v>
      </c>
      <c r="AI669">
        <v>2.5498740578421747E-2</v>
      </c>
    </row>
    <row r="670" spans="23:35" x14ac:dyDescent="0.25">
      <c r="W670">
        <v>668</v>
      </c>
      <c r="X670">
        <v>83.011653691759307</v>
      </c>
      <c r="Y670">
        <v>-16.211653691759309</v>
      </c>
      <c r="Z670">
        <v>84.304726194124783</v>
      </c>
      <c r="AA670">
        <v>0.33232261976955729</v>
      </c>
      <c r="AB670">
        <v>68.599999999999994</v>
      </c>
      <c r="AC670">
        <v>-0.44438857281516719</v>
      </c>
      <c r="AD670">
        <v>-2.1961800976902635</v>
      </c>
      <c r="AE670">
        <v>-0.17325016911551308</v>
      </c>
      <c r="AF670">
        <v>7.3869907362474188E-2</v>
      </c>
      <c r="AG670">
        <v>-2.2820857209244902</v>
      </c>
      <c r="AH670">
        <v>-0.17354991999659047</v>
      </c>
      <c r="AI670">
        <v>2.3077404400607862E-2</v>
      </c>
    </row>
    <row r="671" spans="23:35" x14ac:dyDescent="0.25">
      <c r="W671">
        <v>669</v>
      </c>
      <c r="X671">
        <v>82.069068878627931</v>
      </c>
      <c r="Y671">
        <v>-15.669068878627925</v>
      </c>
      <c r="Z671">
        <v>84.196070545309851</v>
      </c>
      <c r="AA671">
        <v>0.32201334141904187</v>
      </c>
      <c r="AB671">
        <v>68.599999999999994</v>
      </c>
      <c r="AC671">
        <v>-0.46970075330452549</v>
      </c>
      <c r="AD671">
        <v>-2.1226765556972675</v>
      </c>
      <c r="AE671">
        <v>-0.17133316171788299</v>
      </c>
      <c r="AF671">
        <v>0.11952086058922065</v>
      </c>
      <c r="AG671">
        <v>-2.2621650471651433</v>
      </c>
      <c r="AH671">
        <v>-0.17211632930783857</v>
      </c>
      <c r="AI671">
        <v>3.8592304344539363E-2</v>
      </c>
    </row>
    <row r="672" spans="23:35" x14ac:dyDescent="0.25">
      <c r="W672">
        <v>670</v>
      </c>
      <c r="X672">
        <v>79.905344662980411</v>
      </c>
      <c r="Y672">
        <v>-13.905344662980411</v>
      </c>
      <c r="Z672">
        <v>81.854822647420917</v>
      </c>
      <c r="AA672">
        <v>0.31109763493026077</v>
      </c>
      <c r="AB672">
        <v>68.7</v>
      </c>
      <c r="AC672">
        <v>-0.50738317096904828</v>
      </c>
      <c r="AD672">
        <v>-1.8837462100417599</v>
      </c>
      <c r="AE672">
        <v>-0.16941623783195345</v>
      </c>
      <c r="AF672">
        <v>0.12295804423631447</v>
      </c>
      <c r="AG672">
        <v>-2.0114637338995034</v>
      </c>
      <c r="AH672">
        <v>-0.16969232932097197</v>
      </c>
      <c r="AI672">
        <v>3.1512908290880444E-2</v>
      </c>
    </row>
    <row r="673" spans="23:35" x14ac:dyDescent="0.25">
      <c r="W673">
        <v>671</v>
      </c>
      <c r="X673">
        <v>74.897436198373512</v>
      </c>
      <c r="Y673">
        <v>-9.3974361983735122</v>
      </c>
      <c r="Z673">
        <v>76.19383393975518</v>
      </c>
      <c r="AA673">
        <v>0.28987265009096425</v>
      </c>
      <c r="AB673">
        <v>68.7</v>
      </c>
      <c r="AC673">
        <v>-0.56174840893422073</v>
      </c>
      <c r="AD673">
        <v>-1.2730633617391469</v>
      </c>
      <c r="AE673">
        <v>-0.16806758327161481</v>
      </c>
      <c r="AF673">
        <v>0.12122852745657541</v>
      </c>
      <c r="AG673">
        <v>-1.3580383819305908</v>
      </c>
      <c r="AH673">
        <v>-0.1690196978891842</v>
      </c>
      <c r="AI673">
        <v>1.4134500441153003E-2</v>
      </c>
    </row>
    <row r="674" spans="23:35" x14ac:dyDescent="0.25">
      <c r="W674">
        <v>672</v>
      </c>
      <c r="X674">
        <v>66.03373761880647</v>
      </c>
      <c r="Y674">
        <v>-0.83373761880646668</v>
      </c>
      <c r="Z674">
        <v>66.216538466272183</v>
      </c>
      <c r="AA674">
        <v>0.28077622801697999</v>
      </c>
      <c r="AB674">
        <v>68.7</v>
      </c>
      <c r="AC674">
        <v>-0.59046081866695443</v>
      </c>
      <c r="AD674">
        <v>-0.11294578578675074</v>
      </c>
      <c r="AE674">
        <v>-0.1631935776064489</v>
      </c>
      <c r="AF674">
        <v>0.17982678819432743</v>
      </c>
      <c r="AG674">
        <v>-0.12471458360253034</v>
      </c>
      <c r="AH674">
        <v>-0.16614764858627568</v>
      </c>
      <c r="AI674">
        <v>1.8945705586643306E-4</v>
      </c>
    </row>
    <row r="675" spans="23:35" x14ac:dyDescent="0.25">
      <c r="W675">
        <v>673</v>
      </c>
      <c r="X675">
        <v>66.834393461204229</v>
      </c>
      <c r="Y675">
        <v>-2.0343934612042318</v>
      </c>
      <c r="Z675">
        <v>67.239736831526074</v>
      </c>
      <c r="AA675">
        <v>0.26440266828380837</v>
      </c>
      <c r="AB675">
        <v>68.7</v>
      </c>
      <c r="AC675">
        <v>-0.63633155866502356</v>
      </c>
      <c r="AD675">
        <v>-0.27559769751552604</v>
      </c>
      <c r="AE675">
        <v>-0.16012162502159188</v>
      </c>
      <c r="AF675">
        <v>0.16614225152648934</v>
      </c>
      <c r="AG675">
        <v>-0.30180720302683717</v>
      </c>
      <c r="AH675">
        <v>-0.16034641951079007</v>
      </c>
      <c r="AI675">
        <v>1.0082652953647623E-3</v>
      </c>
    </row>
    <row r="676" spans="23:35" x14ac:dyDescent="0.25">
      <c r="W676">
        <v>674</v>
      </c>
      <c r="X676">
        <v>66.365901231202486</v>
      </c>
      <c r="Y676">
        <v>-1.9659012312024799</v>
      </c>
      <c r="Z676">
        <v>66.754781946863318</v>
      </c>
      <c r="AA676">
        <v>0.25227410551849605</v>
      </c>
      <c r="AB676">
        <v>68.7</v>
      </c>
      <c r="AC676">
        <v>-0.67401274003943057</v>
      </c>
      <c r="AD676">
        <v>-0.26631910846863976</v>
      </c>
      <c r="AE676">
        <v>-0.15543536269944172</v>
      </c>
      <c r="AF676">
        <v>0.16514510661118292</v>
      </c>
      <c r="AG676">
        <v>-0.29147199247447769</v>
      </c>
      <c r="AH676">
        <v>-0.15572013059129722</v>
      </c>
      <c r="AI676">
        <v>9.336322976346835E-4</v>
      </c>
    </row>
    <row r="677" spans="23:35" x14ac:dyDescent="0.25">
      <c r="W677">
        <v>675</v>
      </c>
      <c r="X677">
        <v>66.128975236286635</v>
      </c>
      <c r="Y677">
        <v>-2.1289752362866352</v>
      </c>
      <c r="Z677">
        <v>66.550419553696941</v>
      </c>
      <c r="AA677">
        <v>0.24075197089144937</v>
      </c>
      <c r="AB677">
        <v>68.8</v>
      </c>
      <c r="AC677">
        <v>-0.7126762947196924</v>
      </c>
      <c r="AD677">
        <v>-0.28841061691225472</v>
      </c>
      <c r="AE677">
        <v>-0.15442862242404981</v>
      </c>
      <c r="AF677">
        <v>0.1652450934197873</v>
      </c>
      <c r="AG677">
        <v>-0.31566886829165014</v>
      </c>
      <c r="AH677">
        <v>-0.15526098997166796</v>
      </c>
      <c r="AI677">
        <v>1.0958739259887545E-3</v>
      </c>
    </row>
    <row r="678" spans="23:35" x14ac:dyDescent="0.25">
      <c r="W678">
        <v>676</v>
      </c>
      <c r="X678">
        <v>62.057575459118311</v>
      </c>
      <c r="Y678">
        <v>6.8424245408816944</v>
      </c>
      <c r="Z678">
        <v>61.869858966966902</v>
      </c>
      <c r="AA678">
        <v>0.41479684657368104</v>
      </c>
      <c r="AB678">
        <v>68.8</v>
      </c>
      <c r="AC678">
        <v>-0.22378708008709278</v>
      </c>
      <c r="AD678">
        <v>0.92693792270374153</v>
      </c>
      <c r="AE678">
        <v>-0.15424726459767507</v>
      </c>
      <c r="AF678">
        <v>2.6701668041846233E-2</v>
      </c>
      <c r="AG678">
        <v>0.93956679645211982</v>
      </c>
      <c r="AH678">
        <v>-0.15473852914558212</v>
      </c>
      <c r="AI678">
        <v>1.3454737517545768E-3</v>
      </c>
    </row>
    <row r="679" spans="23:35" x14ac:dyDescent="0.25">
      <c r="W679">
        <v>677</v>
      </c>
      <c r="X679">
        <v>70.229200383451172</v>
      </c>
      <c r="Y679">
        <v>-1.5292003834511689</v>
      </c>
      <c r="Z679">
        <v>70.242227510890316</v>
      </c>
      <c r="AA679">
        <v>0.40873256519102485</v>
      </c>
      <c r="AB679">
        <v>68.8</v>
      </c>
      <c r="AC679">
        <v>-0.23783731322627524</v>
      </c>
      <c r="AD679">
        <v>-0.20715958478825111</v>
      </c>
      <c r="AE679">
        <v>-0.15400693974468019</v>
      </c>
      <c r="AF679">
        <v>8.4469556840083317E-3</v>
      </c>
      <c r="AG679">
        <v>-0.20804010090812775</v>
      </c>
      <c r="AH679">
        <v>-0.15427001464089393</v>
      </c>
      <c r="AI679">
        <v>2.0483580352340475E-5</v>
      </c>
    </row>
    <row r="680" spans="23:35" x14ac:dyDescent="0.25">
      <c r="W680">
        <v>678</v>
      </c>
      <c r="X680">
        <v>66.576391223204709</v>
      </c>
      <c r="Y680">
        <v>1.923608776795291</v>
      </c>
      <c r="Z680">
        <v>66.545292964518922</v>
      </c>
      <c r="AA680">
        <v>0.40388114008489995</v>
      </c>
      <c r="AB680">
        <v>68.8</v>
      </c>
      <c r="AC680">
        <v>-0.25193465741015014</v>
      </c>
      <c r="AD680">
        <v>0.26058978261345234</v>
      </c>
      <c r="AE680">
        <v>-0.15079636951614023</v>
      </c>
      <c r="AF680">
        <v>1.5909421781018548E-2</v>
      </c>
      <c r="AG680">
        <v>0.26268776572421593</v>
      </c>
      <c r="AH680">
        <v>-0.15109890365605902</v>
      </c>
      <c r="AI680">
        <v>6.1976423430513408E-5</v>
      </c>
    </row>
    <row r="681" spans="23:35" x14ac:dyDescent="0.25">
      <c r="W681">
        <v>679</v>
      </c>
      <c r="X681">
        <v>68.023168269371553</v>
      </c>
      <c r="Y681">
        <v>0.27683173062844446</v>
      </c>
      <c r="Z681">
        <v>68.020653693483865</v>
      </c>
      <c r="AA681">
        <v>0.39599757428744692</v>
      </c>
      <c r="AB681">
        <v>68.900000000000006</v>
      </c>
      <c r="AC681">
        <v>-0.27396491687072577</v>
      </c>
      <c r="AD681">
        <v>3.7502178912468737E-2</v>
      </c>
      <c r="AE681">
        <v>-0.14842584083146687</v>
      </c>
      <c r="AF681">
        <v>9.0016435837439041E-3</v>
      </c>
      <c r="AG681">
        <v>3.767211769736499E-2</v>
      </c>
      <c r="AH681">
        <v>-0.14893703824095131</v>
      </c>
      <c r="AI681">
        <v>7.1617052409789036E-7</v>
      </c>
    </row>
    <row r="682" spans="23:35" x14ac:dyDescent="0.25">
      <c r="W682">
        <v>680</v>
      </c>
      <c r="X682">
        <v>64.87735571260967</v>
      </c>
      <c r="Y682">
        <v>3.2226442873903238</v>
      </c>
      <c r="Z682">
        <v>64.82644593560488</v>
      </c>
      <c r="AA682">
        <v>0.38932686476652517</v>
      </c>
      <c r="AB682">
        <v>68.900000000000006</v>
      </c>
      <c r="AC682">
        <v>-0.29295400660571042</v>
      </c>
      <c r="AD682">
        <v>0.43656911136088988</v>
      </c>
      <c r="AE682">
        <v>-0.14708851265885212</v>
      </c>
      <c r="AF682">
        <v>1.5551836323252312E-2</v>
      </c>
      <c r="AG682">
        <v>0.44000395294283351</v>
      </c>
      <c r="AH682">
        <v>-0.14745957561940504</v>
      </c>
      <c r="AI682">
        <v>1.6991412165804655E-4</v>
      </c>
    </row>
    <row r="683" spans="23:35" x14ac:dyDescent="0.25">
      <c r="W683">
        <v>681</v>
      </c>
      <c r="X683">
        <v>66.250946346660356</v>
      </c>
      <c r="Y683">
        <v>1.6490536533396494</v>
      </c>
      <c r="Z683">
        <v>66.236572231651209</v>
      </c>
      <c r="AA683">
        <v>0.37719830200121285</v>
      </c>
      <c r="AB683">
        <v>68.900000000000006</v>
      </c>
      <c r="AC683">
        <v>-0.32163939638952632</v>
      </c>
      <c r="AD683">
        <v>0.22339601390133904</v>
      </c>
      <c r="AE683">
        <v>-0.14600214674613357</v>
      </c>
      <c r="AF683">
        <v>8.6412619066819595E-3</v>
      </c>
      <c r="AG683">
        <v>0.22436752650872832</v>
      </c>
      <c r="AH683">
        <v>-0.14616749005491658</v>
      </c>
      <c r="AI683">
        <v>2.4377761546535662E-5</v>
      </c>
    </row>
    <row r="684" spans="23:35" x14ac:dyDescent="0.25">
      <c r="W684">
        <v>682</v>
      </c>
      <c r="X684">
        <v>63.434247571480569</v>
      </c>
      <c r="Y684">
        <v>4.2657524285194341</v>
      </c>
      <c r="Z684">
        <v>63.372004102062313</v>
      </c>
      <c r="AA684">
        <v>0.36749545178896303</v>
      </c>
      <c r="AB684">
        <v>68.900000000000006</v>
      </c>
      <c r="AC684">
        <v>-0.35059197017921911</v>
      </c>
      <c r="AD684">
        <v>0.57787815871926784</v>
      </c>
      <c r="AE684">
        <v>-0.14511959640730179</v>
      </c>
      <c r="AF684">
        <v>1.4381591592522731E-2</v>
      </c>
      <c r="AG684">
        <v>0.58207892755697277</v>
      </c>
      <c r="AH684">
        <v>-0.14533374716610495</v>
      </c>
      <c r="AI684">
        <v>2.746561921338683E-4</v>
      </c>
    </row>
    <row r="685" spans="23:35" x14ac:dyDescent="0.25">
      <c r="W685">
        <v>683</v>
      </c>
      <c r="X685">
        <v>57.219677728100471</v>
      </c>
      <c r="Y685">
        <v>10.280322271899529</v>
      </c>
      <c r="Z685">
        <v>57.049880148859174</v>
      </c>
      <c r="AA685">
        <v>0.35900545785324439</v>
      </c>
      <c r="AB685">
        <v>68.900000000000006</v>
      </c>
      <c r="AC685">
        <v>-0.37168505980560429</v>
      </c>
      <c r="AD685">
        <v>1.3926672504029765</v>
      </c>
      <c r="AE685">
        <v>-0.14511163149318662</v>
      </c>
      <c r="AF685">
        <v>1.6248385823322706E-2</v>
      </c>
      <c r="AG685">
        <v>1.404121320976035</v>
      </c>
      <c r="AH685">
        <v>-0.14526912082633647</v>
      </c>
      <c r="AI685">
        <v>1.8090956437046123E-3</v>
      </c>
    </row>
    <row r="686" spans="23:35" x14ac:dyDescent="0.25">
      <c r="W686">
        <v>684</v>
      </c>
      <c r="X686">
        <v>62.753096620600559</v>
      </c>
      <c r="Y686">
        <v>4.5469033793994384</v>
      </c>
      <c r="Z686">
        <v>62.714309555277268</v>
      </c>
      <c r="AA686">
        <v>0.35112189205579136</v>
      </c>
      <c r="AB686">
        <v>68.900000000000006</v>
      </c>
      <c r="AC686">
        <v>-0.39787592189543292</v>
      </c>
      <c r="AD686">
        <v>0.61596545903479472</v>
      </c>
      <c r="AE686">
        <v>-0.14410302125026178</v>
      </c>
      <c r="AF686">
        <v>8.4582825183784974E-3</v>
      </c>
      <c r="AG686">
        <v>0.61858710672173267</v>
      </c>
      <c r="AH686">
        <v>-0.14424199258676729</v>
      </c>
      <c r="AI686">
        <v>1.8134284223781991E-4</v>
      </c>
    </row>
    <row r="687" spans="23:35" x14ac:dyDescent="0.25">
      <c r="W687">
        <v>685</v>
      </c>
      <c r="X687">
        <v>61.092276084379492</v>
      </c>
      <c r="Y687">
        <v>6.107723915620511</v>
      </c>
      <c r="Z687">
        <v>61.045201738678962</v>
      </c>
      <c r="AA687">
        <v>0.34505761067313523</v>
      </c>
      <c r="AB687">
        <v>69</v>
      </c>
      <c r="AC687">
        <v>-0.40776731506460179</v>
      </c>
      <c r="AD687">
        <v>0.82740860128853055</v>
      </c>
      <c r="AE687">
        <v>-0.14345171545281218</v>
      </c>
      <c r="AF687">
        <v>7.6483978356139447E-3</v>
      </c>
      <c r="AG687">
        <v>0.83059104348427804</v>
      </c>
      <c r="AH687">
        <v>-0.14388074006977872</v>
      </c>
      <c r="AI687">
        <v>2.9539754181162798E-4</v>
      </c>
    </row>
    <row r="688" spans="23:35" x14ac:dyDescent="0.25">
      <c r="W688">
        <v>686</v>
      </c>
      <c r="X688">
        <v>61.618011943156169</v>
      </c>
      <c r="Y688">
        <v>3.6819880568438279</v>
      </c>
      <c r="Z688">
        <v>61.554070426431643</v>
      </c>
      <c r="AA688">
        <v>0.28380836870830806</v>
      </c>
      <c r="AB688">
        <v>69</v>
      </c>
      <c r="AC688">
        <v>-0.57963781842623852</v>
      </c>
      <c r="AD688">
        <v>0.49879605400675969</v>
      </c>
      <c r="AE688">
        <v>-0.14275564216889461</v>
      </c>
      <c r="AF688">
        <v>1.7069599272689445E-2</v>
      </c>
      <c r="AG688">
        <v>0.50310846595453007</v>
      </c>
      <c r="AH688">
        <v>-0.14381990702574499</v>
      </c>
      <c r="AI688">
        <v>2.4420317378463465E-4</v>
      </c>
    </row>
    <row r="689" spans="23:35" x14ac:dyDescent="0.25">
      <c r="W689">
        <v>687</v>
      </c>
      <c r="X689">
        <v>59.507159502098702</v>
      </c>
      <c r="Y689">
        <v>7.3928404979013038</v>
      </c>
      <c r="Z689">
        <v>59.280960195839683</v>
      </c>
      <c r="AA689">
        <v>0.33474833232261975</v>
      </c>
      <c r="AB689">
        <v>69</v>
      </c>
      <c r="AC689">
        <v>-0.43267393579163727</v>
      </c>
      <c r="AD689">
        <v>1.0015023436592712</v>
      </c>
      <c r="AE689">
        <v>-0.14239521946246517</v>
      </c>
      <c r="AF689">
        <v>2.9688689398302083E-2</v>
      </c>
      <c r="AG689">
        <v>1.0167084265218063</v>
      </c>
      <c r="AH689">
        <v>-0.14272706631146545</v>
      </c>
      <c r="AI689">
        <v>1.7571153522313143E-3</v>
      </c>
    </row>
    <row r="690" spans="23:35" x14ac:dyDescent="0.25">
      <c r="W690">
        <v>688</v>
      </c>
      <c r="X690">
        <v>57.272316689934421</v>
      </c>
      <c r="Y690">
        <v>9.4276833100655821</v>
      </c>
      <c r="Z690">
        <v>57.089738899421206</v>
      </c>
      <c r="AA690">
        <v>0.328077622801698</v>
      </c>
      <c r="AB690">
        <v>69</v>
      </c>
      <c r="AC690">
        <v>-0.44774677320100181</v>
      </c>
      <c r="AD690">
        <v>1.2771609143993363</v>
      </c>
      <c r="AE690">
        <v>-0.14134581229420687</v>
      </c>
      <c r="AF690">
        <v>1.8998213326609874E-2</v>
      </c>
      <c r="AG690">
        <v>1.2894684483232255</v>
      </c>
      <c r="AH690">
        <v>-0.14165308004451324</v>
      </c>
      <c r="AI690">
        <v>1.7889240242238312E-3</v>
      </c>
    </row>
    <row r="691" spans="23:35" x14ac:dyDescent="0.25">
      <c r="W691">
        <v>689</v>
      </c>
      <c r="X691">
        <v>66.373954516155621</v>
      </c>
      <c r="Y691">
        <v>0.12604548384437919</v>
      </c>
      <c r="Z691">
        <v>66.373059685957898</v>
      </c>
      <c r="AA691">
        <v>0.32383262583383871</v>
      </c>
      <c r="AB691">
        <v>69</v>
      </c>
      <c r="AC691">
        <v>-0.46123068213767926</v>
      </c>
      <c r="AD691">
        <v>1.7075283514320156E-2</v>
      </c>
      <c r="AE691">
        <v>-0.14119947984225184</v>
      </c>
      <c r="AF691">
        <v>7.0492199777059308E-3</v>
      </c>
      <c r="AG691">
        <v>1.7135787296080531E-2</v>
      </c>
      <c r="AH691">
        <v>-0.14137730463498344</v>
      </c>
      <c r="AI691">
        <v>1.1581077351279253E-7</v>
      </c>
    </row>
    <row r="692" spans="23:35" x14ac:dyDescent="0.25">
      <c r="W692">
        <v>690</v>
      </c>
      <c r="X692">
        <v>65.810925123972851</v>
      </c>
      <c r="Y692">
        <v>0.48907487602714639</v>
      </c>
      <c r="Z692">
        <v>65.807682763222004</v>
      </c>
      <c r="AA692">
        <v>0.31898120072771374</v>
      </c>
      <c r="AB692">
        <v>69</v>
      </c>
      <c r="AC692">
        <v>-0.47479897905845492</v>
      </c>
      <c r="AD692">
        <v>6.6254592494603776E-2</v>
      </c>
      <c r="AE692">
        <v>-0.14080659030222478</v>
      </c>
      <c r="AF692">
        <v>6.5859175926158134E-3</v>
      </c>
      <c r="AG692">
        <v>6.6473849741724128E-2</v>
      </c>
      <c r="AH692">
        <v>-0.141035188396512</v>
      </c>
      <c r="AI692">
        <v>1.6274780395472957E-6</v>
      </c>
    </row>
    <row r="693" spans="23:35" x14ac:dyDescent="0.25">
      <c r="W693">
        <v>691</v>
      </c>
      <c r="X693">
        <v>67.016617376644575</v>
      </c>
      <c r="Y693">
        <v>0.8833826233554305</v>
      </c>
      <c r="Z693">
        <v>67.012438084372135</v>
      </c>
      <c r="AA693">
        <v>0.37719830200121285</v>
      </c>
      <c r="AB693">
        <v>69</v>
      </c>
      <c r="AC693">
        <v>-0.32163939638952632</v>
      </c>
      <c r="AD693">
        <v>0.11967115588243682</v>
      </c>
      <c r="AE693">
        <v>-0.13928740791558988</v>
      </c>
      <c r="AF693">
        <v>4.7087332149473356E-3</v>
      </c>
      <c r="AG693">
        <v>0.11995390458964325</v>
      </c>
      <c r="AH693">
        <v>-0.13980616436887716</v>
      </c>
      <c r="AI693">
        <v>3.7819010778176123E-6</v>
      </c>
    </row>
    <row r="694" spans="23:35" x14ac:dyDescent="0.25">
      <c r="W694">
        <v>692</v>
      </c>
      <c r="X694">
        <v>61.201433499296272</v>
      </c>
      <c r="Y694">
        <v>8.2985665007037284</v>
      </c>
      <c r="Z694">
        <v>61.089676454804767</v>
      </c>
      <c r="AA694">
        <v>0.44269254093389931</v>
      </c>
      <c r="AB694">
        <v>69</v>
      </c>
      <c r="AC694">
        <v>-0.15567569037416348</v>
      </c>
      <c r="AD694">
        <v>1.1242003397512033</v>
      </c>
      <c r="AE694">
        <v>-0.13540575687551773</v>
      </c>
      <c r="AF694">
        <v>1.3288079096000119E-2</v>
      </c>
      <c r="AG694">
        <v>1.1317448440634919</v>
      </c>
      <c r="AH694">
        <v>-0.13567961835475467</v>
      </c>
      <c r="AI694">
        <v>9.5828871443289756E-4</v>
      </c>
    </row>
    <row r="695" spans="23:35" x14ac:dyDescent="0.25">
      <c r="W695">
        <v>693</v>
      </c>
      <c r="X695">
        <v>62.629195849206894</v>
      </c>
      <c r="Y695">
        <v>13.370804150793106</v>
      </c>
      <c r="Z695">
        <v>62.45848716170169</v>
      </c>
      <c r="AA695">
        <v>0.80836870830806551</v>
      </c>
      <c r="AB695">
        <v>69</v>
      </c>
      <c r="AC695">
        <v>0.83794453378675593</v>
      </c>
      <c r="AD695">
        <v>1.8113324232316173</v>
      </c>
      <c r="AE695">
        <v>-0.13370177107445688</v>
      </c>
      <c r="AF695">
        <v>1.260632320359403E-2</v>
      </c>
      <c r="AG695">
        <v>1.8228586368010162</v>
      </c>
      <c r="AH695">
        <v>-0.13397943518492308</v>
      </c>
      <c r="AI695">
        <v>2.3568479824043875E-3</v>
      </c>
    </row>
    <row r="696" spans="23:35" x14ac:dyDescent="0.25">
      <c r="W696">
        <v>694</v>
      </c>
      <c r="X696">
        <v>61.932452276897536</v>
      </c>
      <c r="Y696">
        <v>15.067547723102464</v>
      </c>
      <c r="Z696">
        <v>61.715664139617914</v>
      </c>
      <c r="AA696">
        <v>0.83747725894481506</v>
      </c>
      <c r="AB696">
        <v>69</v>
      </c>
      <c r="AC696">
        <v>0.95855995741850497</v>
      </c>
      <c r="AD696">
        <v>2.0411889533081182</v>
      </c>
      <c r="AE696">
        <v>-0.13308859242118007</v>
      </c>
      <c r="AF696">
        <v>1.4183680551115522E-2</v>
      </c>
      <c r="AG696">
        <v>2.0558205722820819</v>
      </c>
      <c r="AH696">
        <v>-0.13382526751783361</v>
      </c>
      <c r="AI696">
        <v>3.3782427104927445E-3</v>
      </c>
    </row>
    <row r="697" spans="23:35" x14ac:dyDescent="0.25">
      <c r="W697">
        <v>695</v>
      </c>
      <c r="X697">
        <v>66.60547096120176</v>
      </c>
      <c r="Y697">
        <v>9.3945290387982396</v>
      </c>
      <c r="Z697">
        <v>66.571657468963309</v>
      </c>
      <c r="AA697">
        <v>0.80836870830806551</v>
      </c>
      <c r="AB697">
        <v>69.099999999999994</v>
      </c>
      <c r="AC697">
        <v>0.83794453378675593</v>
      </c>
      <c r="AD697">
        <v>1.2726695310959926</v>
      </c>
      <c r="AE697">
        <v>-0.13283437676446122</v>
      </c>
      <c r="AF697">
        <v>3.5863665460972144E-3</v>
      </c>
      <c r="AG697">
        <v>1.2749578176297829</v>
      </c>
      <c r="AH697">
        <v>-0.13335739310235711</v>
      </c>
      <c r="AI697">
        <v>3.2503800293132151E-4</v>
      </c>
    </row>
    <row r="698" spans="23:35" x14ac:dyDescent="0.25">
      <c r="W698">
        <v>696</v>
      </c>
      <c r="X698">
        <v>68.988025133876903</v>
      </c>
      <c r="Y698">
        <v>5.0119748661230972</v>
      </c>
      <c r="Z698">
        <v>68.932729952989007</v>
      </c>
      <c r="AA698">
        <v>0.68465736810187994</v>
      </c>
      <c r="AB698">
        <v>69.099999999999994</v>
      </c>
      <c r="AC698">
        <v>0.4663087141536239</v>
      </c>
      <c r="AD698">
        <v>0.67896833107769483</v>
      </c>
      <c r="AE698">
        <v>-0.13268230408174589</v>
      </c>
      <c r="AF698">
        <v>1.0912223026382532E-2</v>
      </c>
      <c r="AG698">
        <v>0.68270345483415451</v>
      </c>
      <c r="AH698">
        <v>-0.13332118007561308</v>
      </c>
      <c r="AI698">
        <v>2.8567359150211586E-4</v>
      </c>
    </row>
    <row r="699" spans="23:35" x14ac:dyDescent="0.25">
      <c r="W699">
        <v>697</v>
      </c>
      <c r="X699">
        <v>65.247417249765931</v>
      </c>
      <c r="Y699">
        <v>4.0525827502340661</v>
      </c>
      <c r="Z699">
        <v>65.231167221659447</v>
      </c>
      <c r="AA699">
        <v>0.4329896907216495</v>
      </c>
      <c r="AB699">
        <v>69.099999999999994</v>
      </c>
      <c r="AC699">
        <v>-0.17879863688351211</v>
      </c>
      <c r="AD699">
        <v>0.54900022844869112</v>
      </c>
      <c r="AE699">
        <v>-0.12585078635199989</v>
      </c>
      <c r="AF699">
        <v>3.993781261543124E-3</v>
      </c>
      <c r="AG699">
        <v>0.55009981659543994</v>
      </c>
      <c r="AH699">
        <v>-0.12602016776064306</v>
      </c>
      <c r="AI699">
        <v>6.7411302754510043E-5</v>
      </c>
    </row>
    <row r="700" spans="23:35" x14ac:dyDescent="0.25">
      <c r="W700">
        <v>698</v>
      </c>
      <c r="X700">
        <v>64.581084344832178</v>
      </c>
      <c r="Y700">
        <v>1.318915655167828</v>
      </c>
      <c r="Z700">
        <v>64.57444287829999</v>
      </c>
      <c r="AA700">
        <v>0.30563978168587025</v>
      </c>
      <c r="AB700">
        <v>69.099999999999994</v>
      </c>
      <c r="AC700">
        <v>-0.52126361871264315</v>
      </c>
      <c r="AD700">
        <v>0.17867247644724135</v>
      </c>
      <c r="AE700">
        <v>-0.12449663094780232</v>
      </c>
      <c r="AF700">
        <v>5.0103208858081E-3</v>
      </c>
      <c r="AG700">
        <v>0.17912176869792507</v>
      </c>
      <c r="AH700">
        <v>-0.12493221350039384</v>
      </c>
      <c r="AI700">
        <v>8.9757593055899015E-6</v>
      </c>
    </row>
    <row r="701" spans="23:35" x14ac:dyDescent="0.25">
      <c r="W701">
        <v>699</v>
      </c>
      <c r="X701">
        <v>63.525603660023513</v>
      </c>
      <c r="Y701">
        <v>1.1743963399764894</v>
      </c>
      <c r="Z701">
        <v>63.519587795148546</v>
      </c>
      <c r="AA701">
        <v>0.26197695573074592</v>
      </c>
      <c r="AB701">
        <v>69.099999999999994</v>
      </c>
      <c r="AC701">
        <v>-0.64941472986293491</v>
      </c>
      <c r="AD701">
        <v>0.15909455739038539</v>
      </c>
      <c r="AE701">
        <v>-0.12303058935638239</v>
      </c>
      <c r="AF701">
        <v>5.0964102626571304E-3</v>
      </c>
      <c r="AG701">
        <v>0.15950151915329783</v>
      </c>
      <c r="AH701">
        <v>-0.12488184450287981</v>
      </c>
      <c r="AI701">
        <v>7.2400326750047935E-6</v>
      </c>
    </row>
    <row r="702" spans="23:35" x14ac:dyDescent="0.25">
      <c r="W702">
        <v>700</v>
      </c>
      <c r="X702">
        <v>62.705875073231013</v>
      </c>
      <c r="Y702">
        <v>4.0941249267689841</v>
      </c>
      <c r="Z702">
        <v>62.691148183638965</v>
      </c>
      <c r="AA702">
        <v>0.33232261976955729</v>
      </c>
      <c r="AB702">
        <v>69.099999999999994</v>
      </c>
      <c r="AC702">
        <v>-0.44438857281516719</v>
      </c>
      <c r="AD702">
        <v>0.55462791474494477</v>
      </c>
      <c r="AE702">
        <v>-0.12210991517651787</v>
      </c>
      <c r="AF702">
        <v>3.5841861060571757E-3</v>
      </c>
      <c r="AG702">
        <v>0.55562453944590606</v>
      </c>
      <c r="AH702">
        <v>-0.12471458360253034</v>
      </c>
      <c r="AI702">
        <v>6.1693622544174516E-5</v>
      </c>
    </row>
    <row r="703" spans="23:35" x14ac:dyDescent="0.25">
      <c r="W703">
        <v>701</v>
      </c>
      <c r="X703">
        <v>63.656561908768062</v>
      </c>
      <c r="Y703">
        <v>3.5434380912319412</v>
      </c>
      <c r="Z703">
        <v>63.641931144769877</v>
      </c>
      <c r="AA703">
        <v>0.34505761067313523</v>
      </c>
      <c r="AB703">
        <v>69.099999999999994</v>
      </c>
      <c r="AC703">
        <v>-0.40776731506460179</v>
      </c>
      <c r="AD703">
        <v>0.48002679808765703</v>
      </c>
      <c r="AE703">
        <v>-0.12192301269730996</v>
      </c>
      <c r="AF703">
        <v>4.1119957464222368E-3</v>
      </c>
      <c r="AG703">
        <v>0.48101678633255673</v>
      </c>
      <c r="AH703">
        <v>-0.12252337760306789</v>
      </c>
      <c r="AI703">
        <v>5.3075013753701068E-5</v>
      </c>
    </row>
    <row r="704" spans="23:35" x14ac:dyDescent="0.25">
      <c r="W704">
        <v>702</v>
      </c>
      <c r="X704">
        <v>89.899577065956663</v>
      </c>
      <c r="Y704">
        <v>-8.6995770659566602</v>
      </c>
      <c r="Z704">
        <v>89.93711010468455</v>
      </c>
      <c r="AA704">
        <v>0.94178289872650089</v>
      </c>
      <c r="AB704">
        <v>69.2</v>
      </c>
      <c r="AC704">
        <v>1.5519290565282795</v>
      </c>
      <c r="AD704">
        <v>-1.1785249286621842</v>
      </c>
      <c r="AE704">
        <v>-0.11832777197868019</v>
      </c>
      <c r="AF704">
        <v>4.2958184431905536E-3</v>
      </c>
      <c r="AG704">
        <v>-1.1810644782426516</v>
      </c>
      <c r="AH704">
        <v>-0.1225212254534728</v>
      </c>
      <c r="AI704">
        <v>3.343415086626111E-4</v>
      </c>
    </row>
    <row r="705" spans="23:35" x14ac:dyDescent="0.25">
      <c r="W705">
        <v>703</v>
      </c>
      <c r="X705">
        <v>90.104479953372078</v>
      </c>
      <c r="Y705">
        <v>-9.1044799533720777</v>
      </c>
      <c r="Z705">
        <v>90.144058289850577</v>
      </c>
      <c r="AA705">
        <v>0.93571861734384476</v>
      </c>
      <c r="AB705">
        <v>69.2</v>
      </c>
      <c r="AC705">
        <v>1.4576525936309466</v>
      </c>
      <c r="AD705">
        <v>-1.2333768074246252</v>
      </c>
      <c r="AE705">
        <v>-0.11540583619508558</v>
      </c>
      <c r="AF705">
        <v>4.3283119183991896E-3</v>
      </c>
      <c r="AG705">
        <v>-1.2360547234766819</v>
      </c>
      <c r="AH705">
        <v>-0.11863718748939946</v>
      </c>
      <c r="AI705">
        <v>3.6898208823996575E-4</v>
      </c>
    </row>
    <row r="706" spans="23:35" x14ac:dyDescent="0.25">
      <c r="W706">
        <v>704</v>
      </c>
      <c r="X706">
        <v>82.483916221742618</v>
      </c>
      <c r="Y706">
        <v>2.5160837782573822</v>
      </c>
      <c r="Z706">
        <v>82.434507303372328</v>
      </c>
      <c r="AA706">
        <v>0.98544572468162528</v>
      </c>
      <c r="AB706">
        <v>69.2</v>
      </c>
      <c r="AC706">
        <v>2.1134016615055304</v>
      </c>
      <c r="AD706">
        <v>0.34085190955806316</v>
      </c>
      <c r="AE706">
        <v>-0.11294578578675074</v>
      </c>
      <c r="AF706">
        <v>1.9259036845137748E-2</v>
      </c>
      <c r="AG706">
        <v>0.34418233281679106</v>
      </c>
      <c r="AH706">
        <v>-0.11563485026637063</v>
      </c>
      <c r="AI706">
        <v>1.2923641180729976E-4</v>
      </c>
    </row>
    <row r="707" spans="23:35" x14ac:dyDescent="0.25">
      <c r="W707">
        <v>705</v>
      </c>
      <c r="X707">
        <v>86.310621455829704</v>
      </c>
      <c r="Y707">
        <v>-2.310621455829704</v>
      </c>
      <c r="Z707">
        <v>86.347353521347657</v>
      </c>
      <c r="AA707">
        <v>0.9824135839902971</v>
      </c>
      <c r="AB707">
        <v>69.2</v>
      </c>
      <c r="AC707">
        <v>2.0350728680272758</v>
      </c>
      <c r="AD707">
        <v>-0.31301808878194726</v>
      </c>
      <c r="AE707">
        <v>-0.11219945258762923</v>
      </c>
      <c r="AF707">
        <v>1.5648288672281963E-2</v>
      </c>
      <c r="AG707">
        <v>-0.31549631066411177</v>
      </c>
      <c r="AH707">
        <v>-0.11234469493258858</v>
      </c>
      <c r="AI707">
        <v>8.7908852995338641E-5</v>
      </c>
    </row>
    <row r="708" spans="23:35" x14ac:dyDescent="0.25">
      <c r="W708">
        <v>706</v>
      </c>
      <c r="X708">
        <v>84.171152517108226</v>
      </c>
      <c r="Y708">
        <v>1.8288474828917742</v>
      </c>
      <c r="Z708">
        <v>84.11779412804799</v>
      </c>
      <c r="AA708">
        <v>0.99029714978775019</v>
      </c>
      <c r="AB708">
        <v>69.2</v>
      </c>
      <c r="AC708">
        <v>2.190305027167327</v>
      </c>
      <c r="AD708">
        <v>0.24775254394186211</v>
      </c>
      <c r="AE708">
        <v>-0.11173678187981188</v>
      </c>
      <c r="AF708">
        <v>2.8348859099508062E-2</v>
      </c>
      <c r="AG708">
        <v>0.25134076932606048</v>
      </c>
      <c r="AH708">
        <v>-0.11184719673007557</v>
      </c>
      <c r="AI708">
        <v>1.0239496348978508E-4</v>
      </c>
    </row>
    <row r="709" spans="23:35" x14ac:dyDescent="0.25">
      <c r="W709">
        <v>707</v>
      </c>
      <c r="X709">
        <v>86.41670634957984</v>
      </c>
      <c r="Y709">
        <v>-4.2167063495798374</v>
      </c>
      <c r="Z709">
        <v>86.468373026126059</v>
      </c>
      <c r="AA709">
        <v>0.96846573681018799</v>
      </c>
      <c r="AB709">
        <v>69.2</v>
      </c>
      <c r="AC709">
        <v>1.8460302671294702</v>
      </c>
      <c r="AD709">
        <v>-0.57123392460935452</v>
      </c>
      <c r="AE709">
        <v>-0.10978118750559779</v>
      </c>
      <c r="AF709">
        <v>1.2104536372516956E-2</v>
      </c>
      <c r="AG709">
        <v>-0.57472289191191261</v>
      </c>
      <c r="AH709">
        <v>-0.11010783838439038</v>
      </c>
      <c r="AI709">
        <v>2.2484418252925655E-4</v>
      </c>
    </row>
    <row r="710" spans="23:35" x14ac:dyDescent="0.25">
      <c r="W710">
        <v>708</v>
      </c>
      <c r="X710">
        <v>86.967645630857533</v>
      </c>
      <c r="Y710">
        <v>-4.8676456308575382</v>
      </c>
      <c r="Z710">
        <v>87.020135541571136</v>
      </c>
      <c r="AA710">
        <v>0.96725288053365677</v>
      </c>
      <c r="AB710">
        <v>69.3</v>
      </c>
      <c r="AC710">
        <v>1.8295749434197284</v>
      </c>
      <c r="AD710">
        <v>-0.65941616200032305</v>
      </c>
      <c r="AE710">
        <v>-0.10592739337336501</v>
      </c>
      <c r="AF710">
        <v>1.0668387134887696E-2</v>
      </c>
      <c r="AG710">
        <v>-0.66296201218532358</v>
      </c>
      <c r="AH710">
        <v>-0.10602704518964166</v>
      </c>
      <c r="AI710">
        <v>2.6330655030136593E-4</v>
      </c>
    </row>
    <row r="711" spans="23:35" x14ac:dyDescent="0.25">
      <c r="W711">
        <v>709</v>
      </c>
      <c r="X711">
        <v>85.945544916618715</v>
      </c>
      <c r="Y711">
        <v>-4.1455449166187179</v>
      </c>
      <c r="Z711">
        <v>85.984258092225403</v>
      </c>
      <c r="AA711">
        <v>0.95815645845967257</v>
      </c>
      <c r="AB711">
        <v>69.3</v>
      </c>
      <c r="AC711">
        <v>1.7064083338107217</v>
      </c>
      <c r="AD711">
        <v>-0.56159374071671608</v>
      </c>
      <c r="AE711">
        <v>-0.10533533870849399</v>
      </c>
      <c r="AF711">
        <v>9.2521003134639346E-3</v>
      </c>
      <c r="AG711">
        <v>-0.56420986910230531</v>
      </c>
      <c r="AH711">
        <v>-0.10544371399919039</v>
      </c>
      <c r="AI711">
        <v>1.6515283169065139E-4</v>
      </c>
    </row>
    <row r="712" spans="23:35" x14ac:dyDescent="0.25">
      <c r="W712">
        <v>710</v>
      </c>
      <c r="X712">
        <v>85.735146861272455</v>
      </c>
      <c r="Y712">
        <v>-3.9351468612724574</v>
      </c>
      <c r="Z712">
        <v>85.775390553839472</v>
      </c>
      <c r="AA712">
        <v>0.95815645845967257</v>
      </c>
      <c r="AB712">
        <v>69.3</v>
      </c>
      <c r="AC712">
        <v>1.7064083338107217</v>
      </c>
      <c r="AD712">
        <v>-0.53309128004676787</v>
      </c>
      <c r="AE712">
        <v>-0.10443154307123895</v>
      </c>
      <c r="AF712">
        <v>1.0123204757365034E-2</v>
      </c>
      <c r="AG712">
        <v>-0.53581023706034347</v>
      </c>
      <c r="AH712">
        <v>-0.10455608462777685</v>
      </c>
      <c r="AI712">
        <v>1.6311217779423315E-4</v>
      </c>
    </row>
    <row r="713" spans="23:35" x14ac:dyDescent="0.25">
      <c r="W713">
        <v>711</v>
      </c>
      <c r="X713">
        <v>86.904925120559909</v>
      </c>
      <c r="Y713">
        <v>-5.2049251205599063</v>
      </c>
      <c r="Z713">
        <v>86.924028746754942</v>
      </c>
      <c r="AA713">
        <v>0.95573074590661011</v>
      </c>
      <c r="AB713">
        <v>69.3</v>
      </c>
      <c r="AC713">
        <v>1.6624525291871317</v>
      </c>
      <c r="AD713">
        <v>-0.70510715174925875</v>
      </c>
      <c r="AE713">
        <v>-0.10108438238175335</v>
      </c>
      <c r="AF713">
        <v>3.6568761622716882E-3</v>
      </c>
      <c r="AG713">
        <v>-0.70639994328319655</v>
      </c>
      <c r="AH713">
        <v>-0.1013052043009403</v>
      </c>
      <c r="AI713">
        <v>1.0174899584137417E-4</v>
      </c>
    </row>
    <row r="714" spans="23:35" x14ac:dyDescent="0.25">
      <c r="W714">
        <v>712</v>
      </c>
      <c r="X714">
        <v>82.704654284799972</v>
      </c>
      <c r="Y714">
        <v>-1.2046542847999717</v>
      </c>
      <c r="Z714">
        <v>82.748661443289748</v>
      </c>
      <c r="AA714">
        <v>0.94966646452395387</v>
      </c>
      <c r="AB714">
        <v>69.3</v>
      </c>
      <c r="AC714">
        <v>1.6214924498394727</v>
      </c>
      <c r="AD714">
        <v>-0.1631935776064489</v>
      </c>
      <c r="AE714">
        <v>-0.10085576809017993</v>
      </c>
      <c r="AF714">
        <v>3.5243467095320155E-2</v>
      </c>
      <c r="AG714">
        <v>-0.16614764858627568</v>
      </c>
      <c r="AH714">
        <v>-0.10094708114260183</v>
      </c>
      <c r="AI714">
        <v>5.6024345439275753E-5</v>
      </c>
    </row>
    <row r="715" spans="23:35" x14ac:dyDescent="0.25">
      <c r="W715">
        <v>713</v>
      </c>
      <c r="X715">
        <v>82.563423215809422</v>
      </c>
      <c r="Y715">
        <v>-1.5634232158094221</v>
      </c>
      <c r="Z715">
        <v>82.630959930162859</v>
      </c>
      <c r="AA715">
        <v>0.93571861734384476</v>
      </c>
      <c r="AB715">
        <v>69.3</v>
      </c>
      <c r="AC715">
        <v>1.4576525936309466</v>
      </c>
      <c r="AD715">
        <v>-0.21179572523023396</v>
      </c>
      <c r="AE715">
        <v>-0.10030970764285395</v>
      </c>
      <c r="AF715">
        <v>4.1409180633085733E-2</v>
      </c>
      <c r="AG715">
        <v>-0.21632193429327981</v>
      </c>
      <c r="AH715">
        <v>-0.10040393653994659</v>
      </c>
      <c r="AI715">
        <v>1.1230316137187668E-4</v>
      </c>
    </row>
    <row r="716" spans="23:35" x14ac:dyDescent="0.25">
      <c r="W716">
        <v>714</v>
      </c>
      <c r="X716">
        <v>87.093159574645867</v>
      </c>
      <c r="Y716">
        <v>-3.0931595746458669</v>
      </c>
      <c r="Z716">
        <v>87.105831524328721</v>
      </c>
      <c r="AA716">
        <v>0.9824135839902971</v>
      </c>
      <c r="AB716">
        <v>69.3</v>
      </c>
      <c r="AC716">
        <v>2.0350728680272758</v>
      </c>
      <c r="AD716">
        <v>-0.41902791818643481</v>
      </c>
      <c r="AE716">
        <v>-9.9001590367595677E-2</v>
      </c>
      <c r="AF716">
        <v>4.0800505705432689E-3</v>
      </c>
      <c r="AG716">
        <v>-0.41988537046520436</v>
      </c>
      <c r="AH716">
        <v>-9.9091647117231202E-2</v>
      </c>
      <c r="AI716">
        <v>4.0126390538409163E-5</v>
      </c>
    </row>
    <row r="717" spans="23:35" x14ac:dyDescent="0.25">
      <c r="W717">
        <v>715</v>
      </c>
      <c r="X717">
        <v>86.618825493571705</v>
      </c>
      <c r="Y717">
        <v>-2.6188254935717055</v>
      </c>
      <c r="Z717">
        <v>86.628986907442552</v>
      </c>
      <c r="AA717">
        <v>0.9824135839902971</v>
      </c>
      <c r="AB717">
        <v>69.400000000000006</v>
      </c>
      <c r="AC717">
        <v>2.0350728680272758</v>
      </c>
      <c r="AD717">
        <v>-0.35477024970189269</v>
      </c>
      <c r="AE717">
        <v>-9.8515337180512974E-2</v>
      </c>
      <c r="AF717">
        <v>3.8651443421329388E-3</v>
      </c>
      <c r="AG717">
        <v>-0.35545786274962382</v>
      </c>
      <c r="AH717">
        <v>-9.8624296392169061E-2</v>
      </c>
      <c r="AI717">
        <v>2.7236501732073228E-5</v>
      </c>
    </row>
    <row r="718" spans="23:35" x14ac:dyDescent="0.25">
      <c r="W718">
        <v>716</v>
      </c>
      <c r="X718">
        <v>81.314597800360048</v>
      </c>
      <c r="Y718">
        <v>-1.3145978003600476</v>
      </c>
      <c r="Z718">
        <v>81.329756139162953</v>
      </c>
      <c r="AA718">
        <v>0.92722862340812617</v>
      </c>
      <c r="AB718">
        <v>69.400000000000006</v>
      </c>
      <c r="AC718">
        <v>1.4191611772342045</v>
      </c>
      <c r="AD718">
        <v>-0.1780875400197883</v>
      </c>
      <c r="AE718">
        <v>-9.8369683251609163E-2</v>
      </c>
      <c r="AF718">
        <v>1.1399337334468285E-2</v>
      </c>
      <c r="AG718">
        <v>-0.17911134134677309</v>
      </c>
      <c r="AH718">
        <v>-9.8560728745295215E-2</v>
      </c>
      <c r="AI718">
        <v>2.055097239693514E-5</v>
      </c>
    </row>
    <row r="719" spans="23:35" x14ac:dyDescent="0.25">
      <c r="W719">
        <v>717</v>
      </c>
      <c r="X719">
        <v>80.538592582104741</v>
      </c>
      <c r="Y719">
        <v>0.46140741789525919</v>
      </c>
      <c r="Z719">
        <v>80.532187657659108</v>
      </c>
      <c r="AA719">
        <v>0.93571861734384476</v>
      </c>
      <c r="AB719">
        <v>69.400000000000006</v>
      </c>
      <c r="AC719">
        <v>1.4576525936309466</v>
      </c>
      <c r="AD719">
        <v>6.2506503492812657E-2</v>
      </c>
      <c r="AE719">
        <v>-9.6916010067165798E-2</v>
      </c>
      <c r="AF719">
        <v>1.3691225873998743E-2</v>
      </c>
      <c r="AG719">
        <v>6.2938843369040778E-2</v>
      </c>
      <c r="AH719">
        <v>-9.7428599177208433E-2</v>
      </c>
      <c r="AI719">
        <v>3.0548820656935102E-6</v>
      </c>
    </row>
    <row r="720" spans="23:35" x14ac:dyDescent="0.25">
      <c r="W720">
        <v>718</v>
      </c>
      <c r="X720">
        <v>85.953867982799281</v>
      </c>
      <c r="Y720">
        <v>-6.253867982799278</v>
      </c>
      <c r="Z720">
        <v>85.993985276746031</v>
      </c>
      <c r="AA720">
        <v>0.9151000606428138</v>
      </c>
      <c r="AB720">
        <v>69.400000000000006</v>
      </c>
      <c r="AC720">
        <v>1.3555018111021329</v>
      </c>
      <c r="AD720">
        <v>-0.84720662423153648</v>
      </c>
      <c r="AE720">
        <v>-9.6872413434369239E-2</v>
      </c>
      <c r="AF720">
        <v>6.3739097221869288E-3</v>
      </c>
      <c r="AG720">
        <v>-0.84991960965488023</v>
      </c>
      <c r="AH720">
        <v>-9.7135999985756713E-2</v>
      </c>
      <c r="AI720">
        <v>2.5743412487738834E-4</v>
      </c>
    </row>
    <row r="721" spans="23:35" x14ac:dyDescent="0.25">
      <c r="W721">
        <v>719</v>
      </c>
      <c r="X721">
        <v>76.848143089081816</v>
      </c>
      <c r="Y721">
        <v>2.4518569109181811</v>
      </c>
      <c r="Z721">
        <v>76.7819499725951</v>
      </c>
      <c r="AA721">
        <v>0.9017586416009703</v>
      </c>
      <c r="AB721">
        <v>69.400000000000006</v>
      </c>
      <c r="AC721">
        <v>1.262435852359769</v>
      </c>
      <c r="AD721">
        <v>0.332151145868604</v>
      </c>
      <c r="AE721">
        <v>-9.4287376735588513E-2</v>
      </c>
      <c r="AF721">
        <v>2.628745091094568E-2</v>
      </c>
      <c r="AG721">
        <v>0.33660485169288434</v>
      </c>
      <c r="AH721">
        <v>-9.43792213222443E-2</v>
      </c>
      <c r="AI721">
        <v>1.6993621669673977E-4</v>
      </c>
    </row>
    <row r="722" spans="23:35" x14ac:dyDescent="0.25">
      <c r="W722">
        <v>720</v>
      </c>
      <c r="X722">
        <v>84.429400030763006</v>
      </c>
      <c r="Y722">
        <v>-5.1294000307630085</v>
      </c>
      <c r="Z722">
        <v>84.448360412709974</v>
      </c>
      <c r="AA722">
        <v>0.9017586416009703</v>
      </c>
      <c r="AB722">
        <v>69.400000000000006</v>
      </c>
      <c r="AC722">
        <v>1.262435852359769</v>
      </c>
      <c r="AD722">
        <v>-0.69487582666411152</v>
      </c>
      <c r="AE722">
        <v>-9.3469368431194022E-2</v>
      </c>
      <c r="AF722">
        <v>3.6828000425444011E-3</v>
      </c>
      <c r="AG722">
        <v>-0.69615891613725467</v>
      </c>
      <c r="AH722">
        <v>-9.3836803454818513E-2</v>
      </c>
      <c r="AI722">
        <v>9.9523304165753079E-5</v>
      </c>
    </row>
    <row r="723" spans="23:35" x14ac:dyDescent="0.25">
      <c r="W723">
        <v>721</v>
      </c>
      <c r="X723">
        <v>84.1905455624442</v>
      </c>
      <c r="Y723">
        <v>-5.2905455624441942</v>
      </c>
      <c r="Z723">
        <v>84.208530298712191</v>
      </c>
      <c r="AA723">
        <v>0.88599151000606424</v>
      </c>
      <c r="AB723">
        <v>69.400000000000006</v>
      </c>
      <c r="AC723">
        <v>1.1852957183684145</v>
      </c>
      <c r="AD723">
        <v>-0.71670608631799448</v>
      </c>
      <c r="AE723">
        <v>-9.0031336928234063E-2</v>
      </c>
      <c r="AF723">
        <v>3.3878936835605999E-3</v>
      </c>
      <c r="AG723">
        <v>-0.71792324189930268</v>
      </c>
      <c r="AH723">
        <v>-9.0192338756836021E-2</v>
      </c>
      <c r="AI723">
        <v>9.7339057374762829E-5</v>
      </c>
    </row>
    <row r="724" spans="23:35" x14ac:dyDescent="0.25">
      <c r="W724">
        <v>722</v>
      </c>
      <c r="X724">
        <v>85.718246310708707</v>
      </c>
      <c r="Y724">
        <v>-3.2182463107087074</v>
      </c>
      <c r="Z724">
        <v>85.737485286361405</v>
      </c>
      <c r="AA724">
        <v>0.97210430563978167</v>
      </c>
      <c r="AB724">
        <v>69.400000000000006</v>
      </c>
      <c r="AC724">
        <v>1.898648757670367</v>
      </c>
      <c r="AD724">
        <v>-0.43597332088559854</v>
      </c>
      <c r="AE724">
        <v>-9.0017423264730848E-2</v>
      </c>
      <c r="AF724">
        <v>5.9425677496492361E-3</v>
      </c>
      <c r="AG724">
        <v>-0.43727452362838221</v>
      </c>
      <c r="AH724">
        <v>-9.0189010443387771E-2</v>
      </c>
      <c r="AI724">
        <v>6.3503624055606106E-5</v>
      </c>
    </row>
    <row r="725" spans="23:35" x14ac:dyDescent="0.25">
      <c r="W725">
        <v>723</v>
      </c>
      <c r="X725">
        <v>87.049610262046428</v>
      </c>
      <c r="Y725">
        <v>-4.7496102620464313</v>
      </c>
      <c r="Z725">
        <v>87.064678391221435</v>
      </c>
      <c r="AA725">
        <v>0.97028502122498483</v>
      </c>
      <c r="AB725">
        <v>69.5</v>
      </c>
      <c r="AC725">
        <v>1.8630011940066851</v>
      </c>
      <c r="AD725">
        <v>-0.64342600253014803</v>
      </c>
      <c r="AE725">
        <v>-8.9615574432839837E-2</v>
      </c>
      <c r="AF725">
        <v>3.162465110504162E-3</v>
      </c>
      <c r="AG725">
        <v>-0.64444582818300544</v>
      </c>
      <c r="AH725">
        <v>-8.9887295031416112E-2</v>
      </c>
      <c r="AI725">
        <v>7.3198416914844634E-5</v>
      </c>
    </row>
    <row r="726" spans="23:35" x14ac:dyDescent="0.25">
      <c r="W726">
        <v>724</v>
      </c>
      <c r="X726">
        <v>85.536332825546879</v>
      </c>
      <c r="Y726">
        <v>-3.5363328255468787</v>
      </c>
      <c r="Z726">
        <v>85.560102318775094</v>
      </c>
      <c r="AA726">
        <v>0.96604002425712554</v>
      </c>
      <c r="AB726">
        <v>69.5</v>
      </c>
      <c r="AC726">
        <v>1.7539324289023792</v>
      </c>
      <c r="AD726">
        <v>-0.479064253279889</v>
      </c>
      <c r="AE726">
        <v>-8.9577613120982308E-2</v>
      </c>
      <c r="AF726">
        <v>6.6766320459006783E-3</v>
      </c>
      <c r="AG726">
        <v>-0.48067157426387885</v>
      </c>
      <c r="AH726">
        <v>-8.9697797569380858E-2</v>
      </c>
      <c r="AI726">
        <v>8.6276231020944723E-5</v>
      </c>
    </row>
    <row r="727" spans="23:35" x14ac:dyDescent="0.25">
      <c r="W727">
        <v>725</v>
      </c>
      <c r="X727">
        <v>85.517944145482545</v>
      </c>
      <c r="Y727">
        <v>-3.5179441454825451</v>
      </c>
      <c r="Z727">
        <v>85.546581000391583</v>
      </c>
      <c r="AA727">
        <v>0.96604002425712554</v>
      </c>
      <c r="AB727">
        <v>69.5</v>
      </c>
      <c r="AC727">
        <v>1.7539324289023792</v>
      </c>
      <c r="AD727">
        <v>-0.47657315311528264</v>
      </c>
      <c r="AE727">
        <v>-8.9279966662926424E-2</v>
      </c>
      <c r="AF727">
        <v>8.0744962277401987E-3</v>
      </c>
      <c r="AG727">
        <v>-0.47850892790347305</v>
      </c>
      <c r="AH727">
        <v>-8.9670483444307586E-2</v>
      </c>
      <c r="AI727">
        <v>1.0354853632642996E-4</v>
      </c>
    </row>
    <row r="728" spans="23:35" x14ac:dyDescent="0.25">
      <c r="W728">
        <v>726</v>
      </c>
      <c r="X728">
        <v>85.390551000874353</v>
      </c>
      <c r="Y728">
        <v>-3.5905510008743562</v>
      </c>
      <c r="Z728">
        <v>85.416162263906031</v>
      </c>
      <c r="AA728">
        <v>0.95815645845967257</v>
      </c>
      <c r="AB728">
        <v>69.5</v>
      </c>
      <c r="AC728">
        <v>1.7064083338107217</v>
      </c>
      <c r="AD728">
        <v>-0.48640914725870715</v>
      </c>
      <c r="AE728">
        <v>-8.8698156650174234E-2</v>
      </c>
      <c r="AF728">
        <v>7.0824429775481618E-3</v>
      </c>
      <c r="AG728">
        <v>-0.4881408336592114</v>
      </c>
      <c r="AH728">
        <v>-8.8902073326909428E-2</v>
      </c>
      <c r="AI728">
        <v>9.4425146749011941E-5</v>
      </c>
    </row>
    <row r="729" spans="23:35" x14ac:dyDescent="0.25">
      <c r="W729">
        <v>727</v>
      </c>
      <c r="X729">
        <v>80.417331059216536</v>
      </c>
      <c r="Y729">
        <v>1.1826689407834579</v>
      </c>
      <c r="Z729">
        <v>80.401043178611886</v>
      </c>
      <c r="AA729">
        <v>0.95148574893875071</v>
      </c>
      <c r="AB729">
        <v>69.5</v>
      </c>
      <c r="AC729">
        <v>1.6445597025796697</v>
      </c>
      <c r="AD729">
        <v>0.16021524017783204</v>
      </c>
      <c r="AE729">
        <v>-8.8020518486503718E-2</v>
      </c>
      <c r="AF729">
        <v>1.358504352624483E-2</v>
      </c>
      <c r="AG729">
        <v>0.16131472082176468</v>
      </c>
      <c r="AH729">
        <v>-8.8104624295646458E-2</v>
      </c>
      <c r="AI729">
        <v>1.9910257749449656E-5</v>
      </c>
    </row>
    <row r="730" spans="23:35" x14ac:dyDescent="0.25">
      <c r="W730">
        <v>728</v>
      </c>
      <c r="X730">
        <v>84.994566590191937</v>
      </c>
      <c r="Y730">
        <v>-3.4945665901919369</v>
      </c>
      <c r="Z730">
        <v>85.008802476236497</v>
      </c>
      <c r="AA730">
        <v>0.94966646452395387</v>
      </c>
      <c r="AB730">
        <v>69.5</v>
      </c>
      <c r="AC730">
        <v>1.6214924498394727</v>
      </c>
      <c r="AD730">
        <v>-0.47340621390981558</v>
      </c>
      <c r="AE730">
        <v>-8.6120813530947929E-2</v>
      </c>
      <c r="AF730">
        <v>4.0571922018915428E-3</v>
      </c>
      <c r="AG730">
        <v>-0.47436949606820317</v>
      </c>
      <c r="AH730">
        <v>-8.6280994045826162E-2</v>
      </c>
      <c r="AI730">
        <v>5.0927479883966361E-5</v>
      </c>
    </row>
    <row r="731" spans="23:35" x14ac:dyDescent="0.25">
      <c r="W731">
        <v>729</v>
      </c>
      <c r="X731">
        <v>83.707403318870576</v>
      </c>
      <c r="Y731">
        <v>-2.4074033188705783</v>
      </c>
      <c r="Z731">
        <v>83.722042561390012</v>
      </c>
      <c r="AA731">
        <v>0.94481503941782896</v>
      </c>
      <c r="AB731">
        <v>69.5</v>
      </c>
      <c r="AC731">
        <v>1.5725296242490356</v>
      </c>
      <c r="AD731">
        <v>-0.32612905238066986</v>
      </c>
      <c r="AE731">
        <v>-8.5258576864273947E-2</v>
      </c>
      <c r="AF731">
        <v>6.0441722836766555E-3</v>
      </c>
      <c r="AG731">
        <v>-0.32711913290070888</v>
      </c>
      <c r="AH731">
        <v>-8.5550161467835895E-2</v>
      </c>
      <c r="AI731">
        <v>3.6150069637731092E-5</v>
      </c>
    </row>
    <row r="732" spans="23:35" x14ac:dyDescent="0.25">
      <c r="W732">
        <v>730</v>
      </c>
      <c r="X732">
        <v>83.489163053024754</v>
      </c>
      <c r="Y732">
        <v>-2.2891630530247511</v>
      </c>
      <c r="Z732">
        <v>83.497285513665346</v>
      </c>
      <c r="AA732">
        <v>0.94178289872650089</v>
      </c>
      <c r="AB732">
        <v>69.5</v>
      </c>
      <c r="AC732">
        <v>1.5519290565282795</v>
      </c>
      <c r="AD732">
        <v>-0.31011113566880411</v>
      </c>
      <c r="AE732">
        <v>-8.2617062026835636E-2</v>
      </c>
      <c r="AF732">
        <v>3.5356774733795236E-3</v>
      </c>
      <c r="AG732">
        <v>-0.31066082020778657</v>
      </c>
      <c r="AH732">
        <v>-8.3400496122452331E-2</v>
      </c>
      <c r="AI732">
        <v>1.9024416778474098E-5</v>
      </c>
    </row>
    <row r="733" spans="23:35" x14ac:dyDescent="0.25">
      <c r="W733">
        <v>731</v>
      </c>
      <c r="X733">
        <v>82.006239158106382</v>
      </c>
      <c r="Y733">
        <v>5.9937608418936179</v>
      </c>
      <c r="Z733">
        <v>81.976082962281055</v>
      </c>
      <c r="AA733">
        <v>0.99575500303214071</v>
      </c>
      <c r="AB733">
        <v>69.599999999999994</v>
      </c>
      <c r="AC733">
        <v>2.428517260365656</v>
      </c>
      <c r="AD733">
        <v>0.81197011246133366</v>
      </c>
      <c r="AE733">
        <v>-8.214676937804459E-2</v>
      </c>
      <c r="AF733">
        <v>5.0060775466363502E-3</v>
      </c>
      <c r="AG733">
        <v>0.81401016784555313</v>
      </c>
      <c r="AH733">
        <v>-8.2231368677661121E-2</v>
      </c>
      <c r="AI733">
        <v>1.8520994342109524E-4</v>
      </c>
    </row>
    <row r="734" spans="23:35" x14ac:dyDescent="0.25">
      <c r="W734">
        <v>732</v>
      </c>
      <c r="X734">
        <v>80.762066242805417</v>
      </c>
      <c r="Y734">
        <v>8.2379337571945825</v>
      </c>
      <c r="Z734">
        <v>80.721504687915001</v>
      </c>
      <c r="AA734">
        <v>1</v>
      </c>
      <c r="AB734">
        <v>69.599999999999994</v>
      </c>
      <c r="AC734">
        <v>2.6570161854420777</v>
      </c>
      <c r="AD734">
        <v>1.1159864692173889</v>
      </c>
      <c r="AE734">
        <v>-8.0195532288474869E-2</v>
      </c>
      <c r="AF734">
        <v>4.8996289013062246E-3</v>
      </c>
      <c r="AG734">
        <v>1.1187305167345822</v>
      </c>
      <c r="AH734">
        <v>-8.0319160468007744E-2</v>
      </c>
      <c r="AI734">
        <v>3.4235349379104722E-4</v>
      </c>
    </row>
    <row r="735" spans="23:35" x14ac:dyDescent="0.25">
      <c r="W735">
        <v>733</v>
      </c>
      <c r="X735">
        <v>80.951125992679465</v>
      </c>
      <c r="Y735">
        <v>-1.0511259926794594</v>
      </c>
      <c r="Z735">
        <v>80.956030922742173</v>
      </c>
      <c r="AA735">
        <v>0.92177077016373554</v>
      </c>
      <c r="AB735">
        <v>69.599999999999994</v>
      </c>
      <c r="AC735">
        <v>1.3946242806491955</v>
      </c>
      <c r="AD735">
        <v>-0.14239521946246517</v>
      </c>
      <c r="AE735">
        <v>-7.8945212619978708E-2</v>
      </c>
      <c r="AF735">
        <v>4.6446841253194029E-3</v>
      </c>
      <c r="AG735">
        <v>-0.14272706631146545</v>
      </c>
      <c r="AH735">
        <v>-7.9094552884399164E-2</v>
      </c>
      <c r="AI735">
        <v>5.2810249211633876E-6</v>
      </c>
    </row>
    <row r="736" spans="23:35" x14ac:dyDescent="0.25">
      <c r="W736">
        <v>734</v>
      </c>
      <c r="X736">
        <v>80.159703718386481</v>
      </c>
      <c r="Y736">
        <v>-0.15970371838648134</v>
      </c>
      <c r="Z736">
        <v>80.160263829268885</v>
      </c>
      <c r="AA736">
        <v>0.92722862340812617</v>
      </c>
      <c r="AB736">
        <v>69.599999999999994</v>
      </c>
      <c r="AC736">
        <v>1.4191611772342045</v>
      </c>
      <c r="AD736">
        <v>-2.1634938329937788E-2</v>
      </c>
      <c r="AE736">
        <v>-7.5435077078016638E-2</v>
      </c>
      <c r="AF736">
        <v>3.4949301097076026E-3</v>
      </c>
      <c r="AG736">
        <v>-2.1672844015913909E-2</v>
      </c>
      <c r="AH736">
        <v>-7.5611374742451082E-2</v>
      </c>
      <c r="AI736">
        <v>9.1520479787354677E-8</v>
      </c>
    </row>
    <row r="737" spans="23:35" x14ac:dyDescent="0.25">
      <c r="W737">
        <v>735</v>
      </c>
      <c r="X737">
        <v>78.728989729154634</v>
      </c>
      <c r="Y737">
        <v>1.0710102708453633</v>
      </c>
      <c r="Z737">
        <v>78.725207252976801</v>
      </c>
      <c r="AA737">
        <v>0.91813220133414186</v>
      </c>
      <c r="AB737">
        <v>69.599999999999994</v>
      </c>
      <c r="AC737">
        <v>1.3748000243745633</v>
      </c>
      <c r="AD737">
        <v>0.1450889271369076</v>
      </c>
      <c r="AE737">
        <v>-7.3598864824448648E-2</v>
      </c>
      <c r="AF737">
        <v>3.5192609815342928E-3</v>
      </c>
      <c r="AG737">
        <v>0.14534490587746185</v>
      </c>
      <c r="AH737">
        <v>-7.3723109745705104E-2</v>
      </c>
      <c r="AI737">
        <v>4.1448583264800717E-6</v>
      </c>
    </row>
    <row r="738" spans="23:35" x14ac:dyDescent="0.25">
      <c r="W738">
        <v>736</v>
      </c>
      <c r="X738">
        <v>77.664466862247991</v>
      </c>
      <c r="Y738">
        <v>1.7355331377520145</v>
      </c>
      <c r="Z738">
        <v>77.658058053649597</v>
      </c>
      <c r="AA738">
        <v>0.90661006670709521</v>
      </c>
      <c r="AB738">
        <v>69.599999999999994</v>
      </c>
      <c r="AC738">
        <v>1.2933897637306977</v>
      </c>
      <c r="AD738">
        <v>0.23511132229220935</v>
      </c>
      <c r="AE738">
        <v>-7.2741603671820143E-2</v>
      </c>
      <c r="AF738">
        <v>3.6791172127297591E-3</v>
      </c>
      <c r="AG738">
        <v>0.23554502043589751</v>
      </c>
      <c r="AH738">
        <v>-7.2850496518904739E-2</v>
      </c>
      <c r="AI738">
        <v>1.1382030388152165E-5</v>
      </c>
    </row>
    <row r="739" spans="23:35" x14ac:dyDescent="0.25">
      <c r="W739">
        <v>737</v>
      </c>
      <c r="X739">
        <v>73.147097142452409</v>
      </c>
      <c r="Y739">
        <v>2.6529028575475877</v>
      </c>
      <c r="Z739">
        <v>73.142616680010548</v>
      </c>
      <c r="AA739">
        <v>0.79624014554275313</v>
      </c>
      <c r="AB739">
        <v>69.599999999999994</v>
      </c>
      <c r="AC739">
        <v>0.81442193874053515</v>
      </c>
      <c r="AD739">
        <v>0.35938668365542714</v>
      </c>
      <c r="AE739">
        <v>-7.1866771205630051E-2</v>
      </c>
      <c r="AF739">
        <v>1.6860429611928768E-3</v>
      </c>
      <c r="AG739">
        <v>0.35969003800488109</v>
      </c>
      <c r="AH739">
        <v>-7.1941645839014939E-2</v>
      </c>
      <c r="AI739">
        <v>1.2139080962385432E-5</v>
      </c>
    </row>
    <row r="740" spans="23:35" x14ac:dyDescent="0.25">
      <c r="W740">
        <v>738</v>
      </c>
      <c r="X740">
        <v>73.526533635038561</v>
      </c>
      <c r="Y740">
        <v>2.0734663649614333</v>
      </c>
      <c r="Z740">
        <v>73.522632174682172</v>
      </c>
      <c r="AA740">
        <v>0.78835657974530016</v>
      </c>
      <c r="AB740">
        <v>69.599999999999994</v>
      </c>
      <c r="AC740">
        <v>0.78719041678006285</v>
      </c>
      <c r="AD740">
        <v>0.2808908733520018</v>
      </c>
      <c r="AE740">
        <v>-7.0987252634272441E-2</v>
      </c>
      <c r="AF740">
        <v>1.8780787440944662E-3</v>
      </c>
      <c r="AG740">
        <v>0.28115501305598467</v>
      </c>
      <c r="AH740">
        <v>-7.1158093215845333E-2</v>
      </c>
      <c r="AI740">
        <v>8.26322087173355E-6</v>
      </c>
    </row>
    <row r="741" spans="23:35" x14ac:dyDescent="0.25">
      <c r="W741">
        <v>739</v>
      </c>
      <c r="X741">
        <v>74.270754849091674</v>
      </c>
      <c r="Y741">
        <v>1.0292451509083236</v>
      </c>
      <c r="Z741">
        <v>74.268770797400293</v>
      </c>
      <c r="AA741">
        <v>0.77258944815039421</v>
      </c>
      <c r="AB741">
        <v>69.599999999999994</v>
      </c>
      <c r="AC741">
        <v>0.72844171022016913</v>
      </c>
      <c r="AD741">
        <v>0.1394310388716285</v>
      </c>
      <c r="AE741">
        <v>-7.0129191099970928E-2</v>
      </c>
      <c r="AF741">
        <v>1.923967713853756E-3</v>
      </c>
      <c r="AG741">
        <v>0.13956536313794754</v>
      </c>
      <c r="AH741">
        <v>-7.0457933933687655E-2</v>
      </c>
      <c r="AI741">
        <v>2.0860126991718812E-6</v>
      </c>
    </row>
    <row r="742" spans="23:35" x14ac:dyDescent="0.25">
      <c r="W742">
        <v>740</v>
      </c>
      <c r="X742">
        <v>73.17053420400137</v>
      </c>
      <c r="Y742">
        <v>2.0294657959986324</v>
      </c>
      <c r="Z742">
        <v>73.16672046346423</v>
      </c>
      <c r="AA742">
        <v>0.76652516676773808</v>
      </c>
      <c r="AB742">
        <v>69.7</v>
      </c>
      <c r="AC742">
        <v>0.71660092108895201</v>
      </c>
      <c r="AD742">
        <v>0.27493015054848718</v>
      </c>
      <c r="AE742">
        <v>-6.6715019134639897E-2</v>
      </c>
      <c r="AF742">
        <v>1.8756597253882156E-3</v>
      </c>
      <c r="AG742">
        <v>0.27518835153354498</v>
      </c>
      <c r="AH742">
        <v>-6.6822127744788767E-2</v>
      </c>
      <c r="AI742">
        <v>7.9060033685559769E-6</v>
      </c>
    </row>
    <row r="743" spans="23:35" x14ac:dyDescent="0.25">
      <c r="W743">
        <v>741</v>
      </c>
      <c r="X743">
        <v>68.331813464159666</v>
      </c>
      <c r="Y743">
        <v>6.6681865358403343</v>
      </c>
      <c r="Z743">
        <v>68.29069379549928</v>
      </c>
      <c r="AA743">
        <v>0.76046088538508183</v>
      </c>
      <c r="AB743">
        <v>69.7</v>
      </c>
      <c r="AC743">
        <v>0.67020216077934069</v>
      </c>
      <c r="AD743">
        <v>0.90333403588202865</v>
      </c>
      <c r="AE743">
        <v>-6.6181604082438658E-2</v>
      </c>
      <c r="AF743">
        <v>6.1287512310600305E-3</v>
      </c>
      <c r="AG743">
        <v>0.90611498000894564</v>
      </c>
      <c r="AH743">
        <v>-6.6341239707654043E-2</v>
      </c>
      <c r="AI743">
        <v>2.8127814006373463E-4</v>
      </c>
    </row>
    <row r="744" spans="23:35" x14ac:dyDescent="0.25">
      <c r="W744">
        <v>742</v>
      </c>
      <c r="X744">
        <v>59.088592517032026</v>
      </c>
      <c r="Y744">
        <v>15.611407482967977</v>
      </c>
      <c r="Z744">
        <v>58.90680605700453</v>
      </c>
      <c r="AA744">
        <v>0.7362037598544573</v>
      </c>
      <c r="AB744">
        <v>69.7</v>
      </c>
      <c r="AC744">
        <v>0.61415241452626612</v>
      </c>
      <c r="AD744">
        <v>2.1148652113420776</v>
      </c>
      <c r="AE744">
        <v>-6.5712662922502066E-2</v>
      </c>
      <c r="AF744">
        <v>1.1510430422348061E-2</v>
      </c>
      <c r="AG744">
        <v>2.1271428083511084</v>
      </c>
      <c r="AH744">
        <v>-6.5995868163694363E-2</v>
      </c>
      <c r="AI744">
        <v>2.9271182225761565E-3</v>
      </c>
    </row>
    <row r="745" spans="23:35" x14ac:dyDescent="0.25">
      <c r="W745">
        <v>743</v>
      </c>
      <c r="X745">
        <v>72.557052136634496</v>
      </c>
      <c r="Y745">
        <v>1.9429478633655037</v>
      </c>
      <c r="Z745">
        <v>72.553576188161756</v>
      </c>
      <c r="AA745">
        <v>0.72407519708914492</v>
      </c>
      <c r="AB745">
        <v>69.7</v>
      </c>
      <c r="AC745">
        <v>0.56531175535073552</v>
      </c>
      <c r="AD745">
        <v>0.26320963360709893</v>
      </c>
      <c r="AE745">
        <v>-6.0530108085951932E-2</v>
      </c>
      <c r="AF745">
        <v>1.7858127565051134E-3</v>
      </c>
      <c r="AG745">
        <v>0.26344497041531928</v>
      </c>
      <c r="AH745">
        <v>-6.0620966652432648E-2</v>
      </c>
      <c r="AI745">
        <v>6.8979414064889228E-6</v>
      </c>
    </row>
    <row r="746" spans="23:35" x14ac:dyDescent="0.25">
      <c r="W746">
        <v>744</v>
      </c>
      <c r="X746">
        <v>71.634334643058111</v>
      </c>
      <c r="Y746">
        <v>2.5656653569418921</v>
      </c>
      <c r="Z746">
        <v>71.629372767767947</v>
      </c>
      <c r="AA746">
        <v>0.7010309278350515</v>
      </c>
      <c r="AB746">
        <v>69.8</v>
      </c>
      <c r="AC746">
        <v>0.5039283835636299</v>
      </c>
      <c r="AD746">
        <v>0.34756868740129676</v>
      </c>
      <c r="AE746">
        <v>-5.9144793267025444E-2</v>
      </c>
      <c r="AF746">
        <v>1.9302196864466159E-3</v>
      </c>
      <c r="AG746">
        <v>0.34790461575264126</v>
      </c>
      <c r="AH746">
        <v>-5.9255264200122094E-2</v>
      </c>
      <c r="AI746">
        <v>1.3004501552278421E-5</v>
      </c>
    </row>
    <row r="747" spans="23:35" x14ac:dyDescent="0.25">
      <c r="W747">
        <v>745</v>
      </c>
      <c r="X747">
        <v>69.245055617016632</v>
      </c>
      <c r="Y747">
        <v>4.7549443829833677</v>
      </c>
      <c r="Z747">
        <v>69.2294706572943</v>
      </c>
      <c r="AA747">
        <v>0.68465736810187994</v>
      </c>
      <c r="AB747">
        <v>69.8</v>
      </c>
      <c r="AC747">
        <v>0.4663087141536239</v>
      </c>
      <c r="AD747">
        <v>0.64414861173850591</v>
      </c>
      <c r="AE747">
        <v>-5.3468552836121098E-2</v>
      </c>
      <c r="AF747">
        <v>3.2669246120786699E-3</v>
      </c>
      <c r="AG747">
        <v>0.64520338932916255</v>
      </c>
      <c r="AH747">
        <v>-5.358213297358836E-2</v>
      </c>
      <c r="AI747">
        <v>7.5802061687329334E-5</v>
      </c>
    </row>
    <row r="748" spans="23:35" x14ac:dyDescent="0.25">
      <c r="W748">
        <v>746</v>
      </c>
      <c r="X748">
        <v>71.525406178440221</v>
      </c>
      <c r="Y748">
        <v>1.9745938215597789</v>
      </c>
      <c r="Z748">
        <v>71.520859405858758</v>
      </c>
      <c r="AA748">
        <v>0.64463311097634934</v>
      </c>
      <c r="AB748">
        <v>69.8</v>
      </c>
      <c r="AC748">
        <v>0.35220887014201224</v>
      </c>
      <c r="AD748">
        <v>0.26749668691332235</v>
      </c>
      <c r="AE748">
        <v>-5.2113324822459665E-2</v>
      </c>
      <c r="AF748">
        <v>2.297346936811588E-3</v>
      </c>
      <c r="AG748">
        <v>0.2678044836991158</v>
      </c>
      <c r="AH748">
        <v>-5.3059674998051892E-2</v>
      </c>
      <c r="AI748">
        <v>9.1746317424637416E-6</v>
      </c>
    </row>
    <row r="749" spans="23:35" x14ac:dyDescent="0.25">
      <c r="W749">
        <v>747</v>
      </c>
      <c r="X749">
        <v>66.839108331471195</v>
      </c>
      <c r="Y749">
        <v>6.4608916685288023</v>
      </c>
      <c r="Z749">
        <v>66.82237737976395</v>
      </c>
      <c r="AA749">
        <v>0.63007883565797451</v>
      </c>
      <c r="AB749">
        <v>69.8</v>
      </c>
      <c r="AC749">
        <v>0.3152427890443939</v>
      </c>
      <c r="AD749">
        <v>0.8752519616779425</v>
      </c>
      <c r="AE749">
        <v>-5.1889756531863944E-2</v>
      </c>
      <c r="AF749">
        <v>2.5828845995089318E-3</v>
      </c>
      <c r="AG749">
        <v>0.87638449345618941</v>
      </c>
      <c r="AH749">
        <v>-5.2041719963909702E-2</v>
      </c>
      <c r="AI749">
        <v>1.1049561683676777E-4</v>
      </c>
    </row>
    <row r="750" spans="23:35" x14ac:dyDescent="0.25">
      <c r="W750">
        <v>748</v>
      </c>
      <c r="X750">
        <v>67.967766621087435</v>
      </c>
      <c r="Y750">
        <v>5.1322333789125594</v>
      </c>
      <c r="Z750">
        <v>67.93430396231885</v>
      </c>
      <c r="AA750">
        <v>0.61491813220133418</v>
      </c>
      <c r="AB750">
        <v>69.900000000000006</v>
      </c>
      <c r="AC750">
        <v>0.27870266916975811</v>
      </c>
      <c r="AD750">
        <v>0.69525965813091828</v>
      </c>
      <c r="AE750">
        <v>-5.0993824964134842E-2</v>
      </c>
      <c r="AF750">
        <v>6.4778605873239831E-3</v>
      </c>
      <c r="AG750">
        <v>0.697522555704984</v>
      </c>
      <c r="AH750">
        <v>-5.1161965576770357E-2</v>
      </c>
      <c r="AI750">
        <v>1.7623739085328638E-4</v>
      </c>
    </row>
    <row r="751" spans="23:35" x14ac:dyDescent="0.25">
      <c r="W751">
        <v>749</v>
      </c>
      <c r="X751">
        <v>81.897468727034081</v>
      </c>
      <c r="Y751">
        <v>-7.8974687270340809</v>
      </c>
      <c r="Z751">
        <v>81.926989754743758</v>
      </c>
      <c r="AA751">
        <v>0.68465736810187994</v>
      </c>
      <c r="AB751">
        <v>69.900000000000006</v>
      </c>
      <c r="AC751">
        <v>0.4663087141536239</v>
      </c>
      <c r="AD751">
        <v>-1.06986393678394</v>
      </c>
      <c r="AE751">
        <v>-4.9840415281852214E-2</v>
      </c>
      <c r="AF751">
        <v>3.7241157896042939E-3</v>
      </c>
      <c r="AG751">
        <v>-1.0718616669425072</v>
      </c>
      <c r="AH751">
        <v>-4.9973824190654437E-2</v>
      </c>
      <c r="AI751">
        <v>2.3858796420133397E-4</v>
      </c>
    </row>
    <row r="752" spans="23:35" x14ac:dyDescent="0.25">
      <c r="W752">
        <v>750</v>
      </c>
      <c r="X752">
        <v>81.503786494488907</v>
      </c>
      <c r="Y752">
        <v>-7.6037864944889009</v>
      </c>
      <c r="Z752">
        <v>81.530851693949415</v>
      </c>
      <c r="AA752">
        <v>0.67919951485748942</v>
      </c>
      <c r="AB752">
        <v>69.900000000000006</v>
      </c>
      <c r="AC752">
        <v>0.43434378704136062</v>
      </c>
      <c r="AD752">
        <v>-1.0300790335023688</v>
      </c>
      <c r="AE752">
        <v>-4.9314726224522973E-2</v>
      </c>
      <c r="AF752">
        <v>3.5468124065319469E-3</v>
      </c>
      <c r="AG752">
        <v>-1.0319106558084343</v>
      </c>
      <c r="AH752">
        <v>-4.937994572064025E-2</v>
      </c>
      <c r="AI752">
        <v>2.1056830794362208E-4</v>
      </c>
    </row>
    <row r="753" spans="23:35" x14ac:dyDescent="0.25">
      <c r="W753">
        <v>751</v>
      </c>
      <c r="X753">
        <v>81.533848067125433</v>
      </c>
      <c r="Y753">
        <v>-7.8338480671254302</v>
      </c>
      <c r="Z753">
        <v>81.563710601155563</v>
      </c>
      <c r="AA753">
        <v>0.66040024257125529</v>
      </c>
      <c r="AB753">
        <v>69.900000000000006</v>
      </c>
      <c r="AC753">
        <v>0.39787592189543292</v>
      </c>
      <c r="AD753">
        <v>-1.0612452955428973</v>
      </c>
      <c r="AE753">
        <v>-4.7607441841159184E-2</v>
      </c>
      <c r="AF753">
        <v>3.7975118293069638E-3</v>
      </c>
      <c r="AG753">
        <v>-1.0632660986673887</v>
      </c>
      <c r="AH753">
        <v>-4.8132110316720399E-2</v>
      </c>
      <c r="AI753">
        <v>2.3942138685087232E-4</v>
      </c>
    </row>
    <row r="754" spans="23:35" x14ac:dyDescent="0.25">
      <c r="W754">
        <v>752</v>
      </c>
      <c r="X754">
        <v>82.296948276046379</v>
      </c>
      <c r="Y754">
        <v>-8.6969482760463848</v>
      </c>
      <c r="Z754">
        <v>82.330119805022463</v>
      </c>
      <c r="AA754">
        <v>0.65433596118859916</v>
      </c>
      <c r="AB754">
        <v>69.900000000000006</v>
      </c>
      <c r="AC754">
        <v>0.3716850598056044</v>
      </c>
      <c r="AD754">
        <v>-1.1781688085407132</v>
      </c>
      <c r="AE754">
        <v>-4.7526137223173393E-2</v>
      </c>
      <c r="AF754">
        <v>3.7996648060894551E-3</v>
      </c>
      <c r="AG754">
        <v>-1.1804135307427599</v>
      </c>
      <c r="AH754">
        <v>-4.7708315815464981E-2</v>
      </c>
      <c r="AI754">
        <v>2.9525309291633347E-4</v>
      </c>
    </row>
    <row r="755" spans="23:35" x14ac:dyDescent="0.25">
      <c r="W755">
        <v>753</v>
      </c>
      <c r="X755">
        <v>82.731467751161091</v>
      </c>
      <c r="Y755">
        <v>-9.3314677511610853</v>
      </c>
      <c r="Z755">
        <v>82.766986083533979</v>
      </c>
      <c r="AA755">
        <v>0.63735597331716187</v>
      </c>
      <c r="AB755">
        <v>69.900000000000006</v>
      </c>
      <c r="AC755">
        <v>0.33286538375086522</v>
      </c>
      <c r="AD755">
        <v>-1.2641266675808509</v>
      </c>
      <c r="AE755">
        <v>-4.746984352326386E-2</v>
      </c>
      <c r="AF755">
        <v>3.7918634720005909E-3</v>
      </c>
      <c r="AG755">
        <v>-1.2665302030209371</v>
      </c>
      <c r="AH755">
        <v>-4.7682548422680743E-2</v>
      </c>
      <c r="AI755">
        <v>3.3920418680934324E-4</v>
      </c>
    </row>
    <row r="756" spans="23:35" x14ac:dyDescent="0.25">
      <c r="W756">
        <v>754</v>
      </c>
      <c r="X756">
        <v>79.060202789043785</v>
      </c>
      <c r="Y756">
        <v>-5.7602027890437881</v>
      </c>
      <c r="Z756">
        <v>79.110821433380806</v>
      </c>
      <c r="AA756">
        <v>0.63007883565797451</v>
      </c>
      <c r="AB756">
        <v>69.900000000000006</v>
      </c>
      <c r="AC756">
        <v>0.3152427890443939</v>
      </c>
      <c r="AD756">
        <v>-0.78033018496986373</v>
      </c>
      <c r="AE756">
        <v>-4.7071428601312561E-2</v>
      </c>
      <c r="AF756">
        <v>8.7110996125684195E-3</v>
      </c>
      <c r="AG756">
        <v>-0.78375131963598055</v>
      </c>
      <c r="AH756">
        <v>-4.7349334150204939E-2</v>
      </c>
      <c r="AI756">
        <v>2.9988642138017009E-4</v>
      </c>
    </row>
    <row r="757" spans="23:35" x14ac:dyDescent="0.25">
      <c r="W757">
        <v>755</v>
      </c>
      <c r="X757">
        <v>78.097498030898947</v>
      </c>
      <c r="Y757">
        <v>-4.9974980308989529</v>
      </c>
      <c r="Z757">
        <v>78.138630133313754</v>
      </c>
      <c r="AA757">
        <v>0.61491813220133418</v>
      </c>
      <c r="AB757">
        <v>70</v>
      </c>
      <c r="AC757">
        <v>0.27870266916975811</v>
      </c>
      <c r="AD757">
        <v>-0.67700716548649009</v>
      </c>
      <c r="AE757">
        <v>-4.5005503234719205E-2</v>
      </c>
      <c r="AF757">
        <v>8.1633502214925775E-3</v>
      </c>
      <c r="AG757">
        <v>-0.6797875231866376</v>
      </c>
      <c r="AH757">
        <v>-4.5113695827224028E-2</v>
      </c>
      <c r="AI757">
        <v>2.1130129089380151E-4</v>
      </c>
    </row>
    <row r="758" spans="23:35" x14ac:dyDescent="0.25">
      <c r="W758">
        <v>756</v>
      </c>
      <c r="X758">
        <v>81.891698921040529</v>
      </c>
      <c r="Y758">
        <v>-8.8916989210405291</v>
      </c>
      <c r="Z758">
        <v>81.931000155552994</v>
      </c>
      <c r="AA758">
        <v>0.60946027895694366</v>
      </c>
      <c r="AB758">
        <v>70</v>
      </c>
      <c r="AC758">
        <v>0.22222871718700732</v>
      </c>
      <c r="AD758">
        <v>-1.2045515267186799</v>
      </c>
      <c r="AE758">
        <v>-4.4826591877765221E-2</v>
      </c>
      <c r="AF758">
        <v>4.4005412415117498E-3</v>
      </c>
      <c r="AG758">
        <v>-1.2072106454507667</v>
      </c>
      <c r="AH758">
        <v>-4.4917849927306013E-2</v>
      </c>
      <c r="AI758">
        <v>3.5786156063153009E-4</v>
      </c>
    </row>
    <row r="759" spans="23:35" x14ac:dyDescent="0.25">
      <c r="W759">
        <v>757</v>
      </c>
      <c r="X759">
        <v>83.688892155308466</v>
      </c>
      <c r="Y759">
        <v>-10.888892155308469</v>
      </c>
      <c r="Z759">
        <v>83.725226297367328</v>
      </c>
      <c r="AA759">
        <v>0.58156458459672533</v>
      </c>
      <c r="AB759">
        <v>70</v>
      </c>
      <c r="AC759">
        <v>0.18343432307636306</v>
      </c>
      <c r="AD759">
        <v>-1.4751097384679528</v>
      </c>
      <c r="AE759">
        <v>-4.4015283651653025E-2</v>
      </c>
      <c r="AF759">
        <v>3.3257107056558158E-3</v>
      </c>
      <c r="AG759">
        <v>-1.4775687678104208</v>
      </c>
      <c r="AH759">
        <v>-4.4121369378119002E-2</v>
      </c>
      <c r="AI759">
        <v>4.0471948469040543E-4</v>
      </c>
    </row>
    <row r="760" spans="23:35" x14ac:dyDescent="0.25">
      <c r="W760">
        <v>758</v>
      </c>
      <c r="X760">
        <v>83.585363384727458</v>
      </c>
      <c r="Y760">
        <v>-11.185363384727452</v>
      </c>
      <c r="Z760">
        <v>83.623614373494988</v>
      </c>
      <c r="AA760">
        <v>0.55124317768344455</v>
      </c>
      <c r="AB760">
        <v>70</v>
      </c>
      <c r="AC760">
        <v>0.11578501997911882</v>
      </c>
      <c r="AD760">
        <v>-1.5152724649835523</v>
      </c>
      <c r="AE760">
        <v>-4.2023114128514401E-2</v>
      </c>
      <c r="AF760">
        <v>3.408081166603673E-3</v>
      </c>
      <c r="AG760">
        <v>-1.5178611695274953</v>
      </c>
      <c r="AH760">
        <v>-4.2061769769017453E-2</v>
      </c>
      <c r="AI760">
        <v>4.3770767785142453E-4</v>
      </c>
    </row>
    <row r="761" spans="23:35" x14ac:dyDescent="0.25">
      <c r="W761">
        <v>759</v>
      </c>
      <c r="X761">
        <v>83.018874520186117</v>
      </c>
      <c r="Y761">
        <v>-10.518874520186117</v>
      </c>
      <c r="Z761">
        <v>83.058598045378147</v>
      </c>
      <c r="AA761">
        <v>0.55852031534263191</v>
      </c>
      <c r="AB761">
        <v>70</v>
      </c>
      <c r="AC761">
        <v>0.12956927093944998</v>
      </c>
      <c r="AD761">
        <v>-1.4249837376600771</v>
      </c>
      <c r="AE761">
        <v>-4.1127952395777247E-2</v>
      </c>
      <c r="AF761">
        <v>3.7621969338453558E-3</v>
      </c>
      <c r="AG761">
        <v>-1.4276718597002374</v>
      </c>
      <c r="AH761">
        <v>-4.116016324854567E-2</v>
      </c>
      <c r="AI761">
        <v>4.276247186414199E-4</v>
      </c>
    </row>
    <row r="762" spans="23:35" x14ac:dyDescent="0.25">
      <c r="W762">
        <v>760</v>
      </c>
      <c r="X762">
        <v>82.046642677071304</v>
      </c>
      <c r="Y762">
        <v>-9.746642677071307</v>
      </c>
      <c r="Z762">
        <v>82.080501428642151</v>
      </c>
      <c r="AA762">
        <v>0.54578532443905392</v>
      </c>
      <c r="AB762">
        <v>70</v>
      </c>
      <c r="AC762">
        <v>9.896716322379942E-2</v>
      </c>
      <c r="AD762">
        <v>-1.3203700913968646</v>
      </c>
      <c r="AE762">
        <v>-3.9567801078314611E-2</v>
      </c>
      <c r="AF762">
        <v>3.4618625453796854E-3</v>
      </c>
      <c r="AG762">
        <v>-1.322661512437417</v>
      </c>
      <c r="AH762">
        <v>-3.9665970894329411E-2</v>
      </c>
      <c r="AI762">
        <v>3.3762984075941005E-4</v>
      </c>
    </row>
    <row r="763" spans="23:35" x14ac:dyDescent="0.25">
      <c r="W763">
        <v>761</v>
      </c>
      <c r="X763">
        <v>81.483972276474631</v>
      </c>
      <c r="Y763">
        <v>-9.3839722764746369</v>
      </c>
      <c r="Z763">
        <v>81.520041465442546</v>
      </c>
      <c r="AA763">
        <v>0.5312310491206792</v>
      </c>
      <c r="AB763">
        <v>71</v>
      </c>
      <c r="AC763">
        <v>6.3887210036911155E-2</v>
      </c>
      <c r="AD763">
        <v>-1.271239414727116</v>
      </c>
      <c r="AE763">
        <v>-3.4166423793280158E-2</v>
      </c>
      <c r="AF763">
        <v>3.8289840973875114E-3</v>
      </c>
      <c r="AG763">
        <v>-1.2736802040269939</v>
      </c>
      <c r="AH763">
        <v>-3.4461545852046235E-2</v>
      </c>
      <c r="AI763">
        <v>3.4641600886148332E-4</v>
      </c>
    </row>
    <row r="764" spans="23:35" x14ac:dyDescent="0.25">
      <c r="W764">
        <v>762</v>
      </c>
      <c r="X764">
        <v>81.210007769364609</v>
      </c>
      <c r="Y764">
        <v>-9.3100077693646028</v>
      </c>
      <c r="Z764">
        <v>81.247979390222582</v>
      </c>
      <c r="AA764">
        <v>0.51607034566403887</v>
      </c>
      <c r="AB764">
        <v>71</v>
      </c>
      <c r="AC764">
        <v>2.7365033500434649E-2</v>
      </c>
      <c r="AD764">
        <v>-1.2612195005629552</v>
      </c>
      <c r="AE764">
        <v>-3.212005668397501E-2</v>
      </c>
      <c r="AF764">
        <v>4.0620137542971609E-3</v>
      </c>
      <c r="AG764">
        <v>-1.2637888763270195</v>
      </c>
      <c r="AH764">
        <v>-3.2175048655313301E-2</v>
      </c>
      <c r="AI764">
        <v>3.6189755103218312E-4</v>
      </c>
    </row>
    <row r="765" spans="23:35" x14ac:dyDescent="0.25">
      <c r="W765">
        <v>763</v>
      </c>
      <c r="X765">
        <v>79.760138979494073</v>
      </c>
      <c r="Y765">
        <v>-8.0601389794940701</v>
      </c>
      <c r="Z765">
        <v>79.791336330613504</v>
      </c>
      <c r="AA765">
        <v>0.50394178289872649</v>
      </c>
      <c r="AB765">
        <v>71</v>
      </c>
      <c r="AC765">
        <v>-4.5602855597810616E-3</v>
      </c>
      <c r="AD765">
        <v>-1.0919007491740589</v>
      </c>
      <c r="AE765">
        <v>-2.8939495786591444E-2</v>
      </c>
      <c r="AF765">
        <v>3.8556487883707156E-3</v>
      </c>
      <c r="AG765">
        <v>-1.0940118487836044</v>
      </c>
      <c r="AH765">
        <v>-2.8979700284632672E-2</v>
      </c>
      <c r="AI765">
        <v>2.5736337121755651E-4</v>
      </c>
    </row>
    <row r="766" spans="23:35" x14ac:dyDescent="0.25">
      <c r="W766">
        <v>764</v>
      </c>
      <c r="X766">
        <v>77.617025242942645</v>
      </c>
      <c r="Y766">
        <v>-7.7170252429426398</v>
      </c>
      <c r="Z766">
        <v>77.641059036324108</v>
      </c>
      <c r="AA766">
        <v>0.45724681625227409</v>
      </c>
      <c r="AB766">
        <v>71</v>
      </c>
      <c r="AC766">
        <v>-0.11731546960548965</v>
      </c>
      <c r="AD766">
        <v>-1.0454193985490188</v>
      </c>
      <c r="AE766">
        <v>-2.8482254078251685E-2</v>
      </c>
      <c r="AF766">
        <v>3.104716456583472E-3</v>
      </c>
      <c r="AG766">
        <v>-1.047046052660723</v>
      </c>
      <c r="AH766">
        <v>-2.8738983797682284E-2</v>
      </c>
      <c r="AI766">
        <v>1.8968433439730463E-4</v>
      </c>
    </row>
    <row r="767" spans="23:35" x14ac:dyDescent="0.25">
      <c r="W767">
        <v>765</v>
      </c>
      <c r="X767">
        <v>77.948980269502613</v>
      </c>
      <c r="Y767">
        <v>-8.4489802695026128</v>
      </c>
      <c r="Z767">
        <v>77.975872689303642</v>
      </c>
      <c r="AA767">
        <v>0.44269254093389931</v>
      </c>
      <c r="AB767">
        <v>71</v>
      </c>
      <c r="AC767">
        <v>-0.15567569037416348</v>
      </c>
      <c r="AD767">
        <v>-1.1445767758468379</v>
      </c>
      <c r="AE767">
        <v>-2.7516706210341069E-2</v>
      </c>
      <c r="AF767">
        <v>3.1728201669390822E-3</v>
      </c>
      <c r="AG767">
        <v>-1.1463968762708252</v>
      </c>
      <c r="AH767">
        <v>-2.7556332878840302E-2</v>
      </c>
      <c r="AI767">
        <v>2.323930143293703E-4</v>
      </c>
    </row>
    <row r="768" spans="23:35" x14ac:dyDescent="0.25">
      <c r="W768">
        <v>766</v>
      </c>
      <c r="X768">
        <v>72.429037706181106</v>
      </c>
      <c r="Y768">
        <v>-3.3290377061811114</v>
      </c>
      <c r="Z768">
        <v>72.469870346793257</v>
      </c>
      <c r="AA768">
        <v>0.42510612492419647</v>
      </c>
      <c r="AB768">
        <v>71</v>
      </c>
      <c r="AC768">
        <v>-0.198915705174462</v>
      </c>
      <c r="AD768">
        <v>-0.45098214493021205</v>
      </c>
      <c r="AE768">
        <v>-2.6542441627498668E-2</v>
      </c>
      <c r="AF768">
        <v>1.2116976740960834E-2</v>
      </c>
      <c r="AG768">
        <v>-0.45373949855973778</v>
      </c>
      <c r="AH768">
        <v>-2.6631288271159789E-2</v>
      </c>
      <c r="AI768">
        <v>1.4029087388851654E-4</v>
      </c>
    </row>
    <row r="769" spans="23:35" x14ac:dyDescent="0.25">
      <c r="W769">
        <v>767</v>
      </c>
      <c r="X769">
        <v>76.725409751136851</v>
      </c>
      <c r="Y769">
        <v>-8.2254097511368514</v>
      </c>
      <c r="Z769">
        <v>76.782005405413386</v>
      </c>
      <c r="AA769">
        <v>0.40388114008489995</v>
      </c>
      <c r="AB769">
        <v>71</v>
      </c>
      <c r="AC769">
        <v>-0.25193465741015014</v>
      </c>
      <c r="AD769">
        <v>-1.114289851872218</v>
      </c>
      <c r="AE769">
        <v>-2.6455282777352047E-2</v>
      </c>
      <c r="AF769">
        <v>6.8335688648004031E-3</v>
      </c>
      <c r="AG769">
        <v>-1.1181167649041543</v>
      </c>
      <c r="AH769">
        <v>-2.6496216043074707E-2</v>
      </c>
      <c r="AI769">
        <v>4.7788935505766399E-4</v>
      </c>
    </row>
    <row r="770" spans="23:35" x14ac:dyDescent="0.25">
      <c r="W770">
        <v>768</v>
      </c>
      <c r="X770">
        <v>78.36076117045468</v>
      </c>
      <c r="Y770">
        <v>-10.560761170454683</v>
      </c>
      <c r="Z770">
        <v>78.392255887833372</v>
      </c>
      <c r="AA770">
        <v>0.37355973317161917</v>
      </c>
      <c r="AB770">
        <v>71</v>
      </c>
      <c r="AC770">
        <v>-0.337689309602062</v>
      </c>
      <c r="AD770">
        <v>-1.4306580895447032</v>
      </c>
      <c r="AE770">
        <v>-2.5006689717642437E-2</v>
      </c>
      <c r="AF770">
        <v>2.9733720287919907E-3</v>
      </c>
      <c r="AG770">
        <v>-1.4327897838375909</v>
      </c>
      <c r="AH770">
        <v>-2.5086976884641309E-2</v>
      </c>
      <c r="AI770">
        <v>3.4012217028476263E-4</v>
      </c>
    </row>
    <row r="771" spans="23:35" x14ac:dyDescent="0.25">
      <c r="W771">
        <v>769</v>
      </c>
      <c r="X771">
        <v>78.169218257175984</v>
      </c>
      <c r="Y771">
        <v>-10.369218257175987</v>
      </c>
      <c r="Z771">
        <v>78.197528850916157</v>
      </c>
      <c r="AA771">
        <v>0.37355973317161917</v>
      </c>
      <c r="AB771">
        <v>71</v>
      </c>
      <c r="AC771">
        <v>-0.337689309602062</v>
      </c>
      <c r="AD771">
        <v>-1.4047099202835922</v>
      </c>
      <c r="AE771">
        <v>-2.3621169769233594E-2</v>
      </c>
      <c r="AF771">
        <v>2.7228194454755007E-3</v>
      </c>
      <c r="AG771">
        <v>-1.4066262202198858</v>
      </c>
      <c r="AH771">
        <v>-2.3874815496875069E-2</v>
      </c>
      <c r="AI771">
        <v>3.0011511855550363E-4</v>
      </c>
    </row>
    <row r="772" spans="23:35" x14ac:dyDescent="0.25">
      <c r="W772">
        <v>770</v>
      </c>
      <c r="X772">
        <v>77.150249380444947</v>
      </c>
      <c r="Y772">
        <v>-10.550249380444953</v>
      </c>
      <c r="Z772">
        <v>77.190236853126763</v>
      </c>
      <c r="AA772">
        <v>0.32686476652516677</v>
      </c>
      <c r="AB772">
        <v>71</v>
      </c>
      <c r="AC772">
        <v>-0.45616451589519369</v>
      </c>
      <c r="AD772">
        <v>-1.4292340655401561</v>
      </c>
      <c r="AE772">
        <v>-2.1634938329937788E-2</v>
      </c>
      <c r="AF772">
        <v>3.775880864271078E-3</v>
      </c>
      <c r="AG772">
        <v>-1.431940039812633</v>
      </c>
      <c r="AH772">
        <v>-2.1672844015913909E-2</v>
      </c>
      <c r="AI772">
        <v>4.3175601026615006E-4</v>
      </c>
    </row>
    <row r="773" spans="23:35" x14ac:dyDescent="0.25">
      <c r="W773">
        <v>771</v>
      </c>
      <c r="X773">
        <v>76.390993380612343</v>
      </c>
      <c r="Y773">
        <v>-11.090993380612346</v>
      </c>
      <c r="Z773">
        <v>76.441314836878746</v>
      </c>
      <c r="AA773">
        <v>0.28380836870830806</v>
      </c>
      <c r="AB773">
        <v>71</v>
      </c>
      <c r="AC773">
        <v>-0.57963781842623852</v>
      </c>
      <c r="AD773">
        <v>-1.502488234034806</v>
      </c>
      <c r="AE773">
        <v>-1.695150329753722E-2</v>
      </c>
      <c r="AF773">
        <v>4.5166532858249521E-3</v>
      </c>
      <c r="AG773">
        <v>-1.5058928808019343</v>
      </c>
      <c r="AH773">
        <v>-1.6993468969888188E-2</v>
      </c>
      <c r="AI773">
        <v>5.7160814675416549E-4</v>
      </c>
    </row>
    <row r="774" spans="23:35" x14ac:dyDescent="0.25">
      <c r="W774">
        <v>772</v>
      </c>
      <c r="X774">
        <v>76.697254828166919</v>
      </c>
      <c r="Y774">
        <v>-11.697254828166919</v>
      </c>
      <c r="Z774">
        <v>76.750205818171722</v>
      </c>
      <c r="AA774">
        <v>0.27289266221952696</v>
      </c>
      <c r="AB774">
        <v>71</v>
      </c>
      <c r="AC774">
        <v>-0.62335641379693996</v>
      </c>
      <c r="AD774">
        <v>-1.5846180000927281</v>
      </c>
      <c r="AE774">
        <v>-1.2948085405649193E-2</v>
      </c>
      <c r="AF774">
        <v>4.506388298569898E-3</v>
      </c>
      <c r="AG774">
        <v>-1.5882005649780884</v>
      </c>
      <c r="AH774">
        <v>-1.2970436891065362E-2</v>
      </c>
      <c r="AI774">
        <v>6.3434908880216916E-4</v>
      </c>
    </row>
    <row r="775" spans="23:35" x14ac:dyDescent="0.25">
      <c r="W775">
        <v>773</v>
      </c>
      <c r="X775">
        <v>77.757222755158892</v>
      </c>
      <c r="Y775">
        <v>-13.157222755158898</v>
      </c>
      <c r="Z775">
        <v>77.819707877144097</v>
      </c>
      <c r="AA775">
        <v>0.25773195876288657</v>
      </c>
      <c r="AB775">
        <v>71</v>
      </c>
      <c r="AC775">
        <v>-0.66071795340131467</v>
      </c>
      <c r="AD775">
        <v>-1.7823987179324972</v>
      </c>
      <c r="AE775">
        <v>-1.2941704991316338E-2</v>
      </c>
      <c r="AF775">
        <v>4.7266643533963159E-3</v>
      </c>
      <c r="AG775">
        <v>-1.7866261101893555</v>
      </c>
      <c r="AH775">
        <v>-1.2959497133667588E-2</v>
      </c>
      <c r="AI775">
        <v>8.4218449693713386E-4</v>
      </c>
    </row>
    <row r="776" spans="23:35" x14ac:dyDescent="0.25">
      <c r="W776">
        <v>774</v>
      </c>
      <c r="X776">
        <v>73.601622572417654</v>
      </c>
      <c r="Y776">
        <v>-8.9016225724176508</v>
      </c>
      <c r="Z776">
        <v>73.640024377799065</v>
      </c>
      <c r="AA776">
        <v>0.26197695573074592</v>
      </c>
      <c r="AB776">
        <v>71</v>
      </c>
      <c r="AC776">
        <v>-0.64941472986293491</v>
      </c>
      <c r="AD776">
        <v>-1.2058958760407932</v>
      </c>
      <c r="AE776">
        <v>-1.1946193216171821E-2</v>
      </c>
      <c r="AF776">
        <v>4.2954922446041587E-3</v>
      </c>
      <c r="AG776">
        <v>-1.2084942080716334</v>
      </c>
      <c r="AH776">
        <v>-1.1980364619667061E-2</v>
      </c>
      <c r="AI776">
        <v>3.5002503484997405E-4</v>
      </c>
    </row>
    <row r="777" spans="23:35" x14ac:dyDescent="0.25">
      <c r="W777">
        <v>775</v>
      </c>
      <c r="X777">
        <v>73.677735387825237</v>
      </c>
      <c r="Y777">
        <v>-9.2777353878252313</v>
      </c>
      <c r="Z777">
        <v>73.713548233836235</v>
      </c>
      <c r="AA777">
        <v>0.25227410551849605</v>
      </c>
      <c r="AB777">
        <v>71.099999999999994</v>
      </c>
      <c r="AC777">
        <v>-0.67401274003943057</v>
      </c>
      <c r="AD777">
        <v>-1.2568475861741188</v>
      </c>
      <c r="AE777">
        <v>-1.1850509150672553E-2</v>
      </c>
      <c r="AF777">
        <v>3.8452419112280822E-3</v>
      </c>
      <c r="AG777">
        <v>-1.2592710189390914</v>
      </c>
      <c r="AH777">
        <v>-1.1875304039832748E-2</v>
      </c>
      <c r="AI777">
        <v>3.4006564958772103E-4</v>
      </c>
    </row>
    <row r="778" spans="23:35" x14ac:dyDescent="0.25">
      <c r="W778">
        <v>776</v>
      </c>
      <c r="X778">
        <v>71.644527958464636</v>
      </c>
      <c r="Y778">
        <v>-6.9445279584646329</v>
      </c>
      <c r="Z778">
        <v>71.668089001203512</v>
      </c>
      <c r="AA778">
        <v>0.26197695573074592</v>
      </c>
      <c r="AB778">
        <v>71.099999999999994</v>
      </c>
      <c r="AC778">
        <v>-0.64941472986293491</v>
      </c>
      <c r="AD778">
        <v>-0.94076979315109699</v>
      </c>
      <c r="AE778">
        <v>-9.617796599008889E-3</v>
      </c>
      <c r="AF778">
        <v>3.3812775259909646E-3</v>
      </c>
      <c r="AG778">
        <v>-0.94236433987554369</v>
      </c>
      <c r="AH778">
        <v>-9.6382135281054306E-3</v>
      </c>
      <c r="AI778">
        <v>1.6738516255004703E-4</v>
      </c>
    </row>
    <row r="779" spans="23:35" x14ac:dyDescent="0.25">
      <c r="W779">
        <v>777</v>
      </c>
      <c r="X779">
        <v>70.527963657701747</v>
      </c>
      <c r="Y779">
        <v>-6.1279636577017413</v>
      </c>
      <c r="Z779">
        <v>70.55065979278271</v>
      </c>
      <c r="AA779">
        <v>0.25227410551849605</v>
      </c>
      <c r="AB779">
        <v>71.099999999999994</v>
      </c>
      <c r="AC779">
        <v>-0.67401274003943057</v>
      </c>
      <c r="AD779">
        <v>-0.8301504633826966</v>
      </c>
      <c r="AE779">
        <v>-9.0490456357193664E-3</v>
      </c>
      <c r="AF779">
        <v>3.6900325892833419E-3</v>
      </c>
      <c r="AG779">
        <v>-0.83168635644572908</v>
      </c>
      <c r="AH779">
        <v>-9.0982126571130615E-3</v>
      </c>
      <c r="AI779">
        <v>1.4232538773381771E-4</v>
      </c>
    </row>
    <row r="780" spans="23:35" x14ac:dyDescent="0.25">
      <c r="W780">
        <v>778</v>
      </c>
      <c r="X780">
        <v>70.472565187656343</v>
      </c>
      <c r="Y780">
        <v>-6.5725651876563447</v>
      </c>
      <c r="Z780">
        <v>70.495805549648765</v>
      </c>
      <c r="AA780">
        <v>0.23771983020012127</v>
      </c>
      <c r="AB780">
        <v>71.099999999999994</v>
      </c>
      <c r="AC780">
        <v>-0.71660092108895201</v>
      </c>
      <c r="AD780">
        <v>-0.89038028632699484</v>
      </c>
      <c r="AE780">
        <v>-6.8911749257641909E-3</v>
      </c>
      <c r="AF780">
        <v>3.5235062370286142E-3</v>
      </c>
      <c r="AG780">
        <v>-0.89195307409126701</v>
      </c>
      <c r="AH780">
        <v>-7.0486473132248774E-3</v>
      </c>
      <c r="AI780">
        <v>1.5628579068713256E-4</v>
      </c>
    </row>
    <row r="781" spans="23:35" x14ac:dyDescent="0.25">
      <c r="W781">
        <v>779</v>
      </c>
      <c r="X781">
        <v>69.47608785418538</v>
      </c>
      <c r="Y781">
        <v>-6.5760878541853813</v>
      </c>
      <c r="Z781">
        <v>69.492466530803142</v>
      </c>
      <c r="AA781">
        <v>0.21710127349909036</v>
      </c>
      <c r="AB781">
        <v>71.099999999999994</v>
      </c>
      <c r="AC781">
        <v>-0.78926429572475043</v>
      </c>
      <c r="AD781">
        <v>-0.89085749921773172</v>
      </c>
      <c r="AE781">
        <v>-3.117740601936194E-3</v>
      </c>
      <c r="AF781">
        <v>2.4844535108730311E-3</v>
      </c>
      <c r="AG781">
        <v>-0.89196621257689312</v>
      </c>
      <c r="AH781">
        <v>-3.1265652409980852E-3</v>
      </c>
      <c r="AI781">
        <v>1.1008686493678695E-4</v>
      </c>
    </row>
    <row r="782" spans="23:35" x14ac:dyDescent="0.25">
      <c r="W782">
        <v>780</v>
      </c>
      <c r="X782">
        <v>65.373385533570456</v>
      </c>
      <c r="Y782">
        <v>-2.7733855335704547</v>
      </c>
      <c r="Z782">
        <v>65.384796669954966</v>
      </c>
      <c r="AA782">
        <v>0.20921770770163736</v>
      </c>
      <c r="AB782">
        <v>71.099999999999994</v>
      </c>
      <c r="AC782">
        <v>-0.81230589119800856</v>
      </c>
      <c r="AD782">
        <v>-0.3757083779272698</v>
      </c>
      <c r="AE782">
        <v>-2.8521171032214799E-3</v>
      </c>
      <c r="AF782">
        <v>4.0976551385711185E-3</v>
      </c>
      <c r="AG782">
        <v>-0.37648051338054611</v>
      </c>
      <c r="AH782">
        <v>-2.8821639596653824E-3</v>
      </c>
      <c r="AI782">
        <v>3.239896593030764E-5</v>
      </c>
    </row>
    <row r="783" spans="23:35" x14ac:dyDescent="0.25">
      <c r="W783">
        <v>781</v>
      </c>
      <c r="X783">
        <v>65.931926046752039</v>
      </c>
      <c r="Y783">
        <v>-3.831926046752038</v>
      </c>
      <c r="Z783">
        <v>65.948057917327873</v>
      </c>
      <c r="AA783">
        <v>0.20133414190418436</v>
      </c>
      <c r="AB783">
        <v>71.099999999999994</v>
      </c>
      <c r="AC783">
        <v>-0.84444052159937644</v>
      </c>
      <c r="AD783">
        <v>-0.51910803670667882</v>
      </c>
      <c r="AE783">
        <v>9.4452826617592736E-4</v>
      </c>
      <c r="AF783">
        <v>4.1922109600252269E-3</v>
      </c>
      <c r="AG783">
        <v>-0.52019957507796222</v>
      </c>
      <c r="AH783">
        <v>9.4639421549811277E-4</v>
      </c>
      <c r="AI783">
        <v>6.3289999352825777E-5</v>
      </c>
    </row>
    <row r="784" spans="23:35" x14ac:dyDescent="0.25">
      <c r="W784">
        <v>782</v>
      </c>
      <c r="X784">
        <v>67.983864720055522</v>
      </c>
      <c r="Y784">
        <v>-6.7838647200555187</v>
      </c>
      <c r="Z784">
        <v>68.000285058591246</v>
      </c>
      <c r="AA784">
        <v>0.18071558520315342</v>
      </c>
      <c r="AB784">
        <v>71.099999999999994</v>
      </c>
      <c r="AC784">
        <v>-0.91841998904288702</v>
      </c>
      <c r="AD784">
        <v>-0.91900486939110326</v>
      </c>
      <c r="AE784">
        <v>1.1537347970538624E-3</v>
      </c>
      <c r="AF784">
        <v>2.4146544437838877E-3</v>
      </c>
      <c r="AG784">
        <v>-0.92011642240483904</v>
      </c>
      <c r="AH784">
        <v>1.1632537410051309E-3</v>
      </c>
      <c r="AI784">
        <v>1.1384605524550491E-4</v>
      </c>
    </row>
    <row r="785" spans="23:35" x14ac:dyDescent="0.25">
      <c r="W785">
        <v>783</v>
      </c>
      <c r="X785">
        <v>52.780731461749426</v>
      </c>
      <c r="Y785">
        <v>10.219268538250574</v>
      </c>
      <c r="Z785">
        <v>52.667085942670603</v>
      </c>
      <c r="AA785">
        <v>0.22195269860521527</v>
      </c>
      <c r="AB785">
        <v>71.2</v>
      </c>
      <c r="AC785">
        <v>-0.78098898173722842</v>
      </c>
      <c r="AD785">
        <v>1.384396348662849</v>
      </c>
      <c r="AE785">
        <v>3.1003400943769716E-3</v>
      </c>
      <c r="AF785">
        <v>1.0998399720378294E-2</v>
      </c>
      <c r="AG785">
        <v>1.3920728007438206</v>
      </c>
      <c r="AH785">
        <v>3.1040298600252957E-3</v>
      </c>
      <c r="AI785">
        <v>1.1972473819214647E-3</v>
      </c>
    </row>
    <row r="786" spans="23:35" x14ac:dyDescent="0.25">
      <c r="W786">
        <v>784</v>
      </c>
      <c r="X786">
        <v>64.481781377438097</v>
      </c>
      <c r="Y786">
        <v>-5.3817813774380951</v>
      </c>
      <c r="Z786">
        <v>64.496203322643424</v>
      </c>
      <c r="AA786">
        <v>0.15342631898120074</v>
      </c>
      <c r="AB786">
        <v>71.2</v>
      </c>
      <c r="AC786">
        <v>-1.0334469496720613</v>
      </c>
      <c r="AD786">
        <v>-0.72906573110784134</v>
      </c>
      <c r="AE786">
        <v>5.2228554356133433E-3</v>
      </c>
      <c r="AF786">
        <v>2.6726096744378938E-3</v>
      </c>
      <c r="AG786">
        <v>-0.7300419423811324</v>
      </c>
      <c r="AH786">
        <v>5.2279451270579895E-3</v>
      </c>
      <c r="AI786">
        <v>7.934524552666758E-5</v>
      </c>
    </row>
    <row r="787" spans="23:35" x14ac:dyDescent="0.25">
      <c r="W787">
        <v>785</v>
      </c>
      <c r="X787">
        <v>62.382857892269769</v>
      </c>
      <c r="Y787">
        <v>-4.4828578922697702</v>
      </c>
      <c r="Z787">
        <v>62.396578475040229</v>
      </c>
      <c r="AA787">
        <v>0.12734990903577925</v>
      </c>
      <c r="AB787">
        <v>71.2</v>
      </c>
      <c r="AC787">
        <v>-1.1463081367501964</v>
      </c>
      <c r="AD787">
        <v>-0.60728926678103634</v>
      </c>
      <c r="AE787">
        <v>6.7803695772743764E-3</v>
      </c>
      <c r="AF787">
        <v>3.0513384446917598E-3</v>
      </c>
      <c r="AG787">
        <v>-0.60821791508084122</v>
      </c>
      <c r="AH787">
        <v>6.79345552008932E-3</v>
      </c>
      <c r="AI787">
        <v>6.2901861414456055E-5</v>
      </c>
    </row>
    <row r="788" spans="23:35" x14ac:dyDescent="0.25">
      <c r="W788">
        <v>786</v>
      </c>
      <c r="X788">
        <v>59.694380811969673</v>
      </c>
      <c r="Y788">
        <v>-2.8943808119696754</v>
      </c>
      <c r="Z788">
        <v>59.702733825746918</v>
      </c>
      <c r="AA788">
        <v>0.10794420861127957</v>
      </c>
      <c r="AB788">
        <v>71.2</v>
      </c>
      <c r="AC788">
        <v>-1.2523823790942721</v>
      </c>
      <c r="AD788">
        <v>-0.39209951404374971</v>
      </c>
      <c r="AE788">
        <v>7.4757433545974885E-3</v>
      </c>
      <c r="AF788">
        <v>2.8776368343359678E-3</v>
      </c>
      <c r="AG788">
        <v>-0.39266489455879938</v>
      </c>
      <c r="AH788">
        <v>7.4916754536834872E-3</v>
      </c>
      <c r="AI788">
        <v>2.4720609465717982E-5</v>
      </c>
    </row>
    <row r="789" spans="23:35" x14ac:dyDescent="0.25">
      <c r="W789">
        <v>787</v>
      </c>
      <c r="X789">
        <v>50.852204053295083</v>
      </c>
      <c r="Y789">
        <v>4.4477959467049146</v>
      </c>
      <c r="Z789">
        <v>50.787964124697815</v>
      </c>
      <c r="AA789">
        <v>8.6719223771983017E-2</v>
      </c>
      <c r="AB789">
        <v>71.2</v>
      </c>
      <c r="AC789">
        <v>-1.3946242806491973</v>
      </c>
      <c r="AD789">
        <v>0.60253945232657535</v>
      </c>
      <c r="AE789">
        <v>8.6123290503118191E-3</v>
      </c>
      <c r="AF789">
        <v>1.4237459624135447E-2</v>
      </c>
      <c r="AG789">
        <v>0.60687511988106391</v>
      </c>
      <c r="AH789">
        <v>8.6221365657477827E-3</v>
      </c>
      <c r="AI789">
        <v>2.955196445995879E-4</v>
      </c>
    </row>
    <row r="790" spans="23:35" x14ac:dyDescent="0.25">
      <c r="W790">
        <v>788</v>
      </c>
      <c r="X790">
        <v>52.169694237472413</v>
      </c>
      <c r="Y790">
        <v>1.9303057625275883</v>
      </c>
      <c r="Z790">
        <v>52.143720867927556</v>
      </c>
      <c r="AA790">
        <v>7.1558520315342627E-2</v>
      </c>
      <c r="AB790">
        <v>71.2</v>
      </c>
      <c r="AC790">
        <v>-1.4754749432056431</v>
      </c>
      <c r="AD790">
        <v>0.26149701805404552</v>
      </c>
      <c r="AE790">
        <v>1.0818337906726174E-2</v>
      </c>
      <c r="AF790">
        <v>1.3276924094845361E-2</v>
      </c>
      <c r="AG790">
        <v>0.26325043552413646</v>
      </c>
      <c r="AH790">
        <v>1.089203363494547E-2</v>
      </c>
      <c r="AI790">
        <v>5.1804546841161844E-5</v>
      </c>
    </row>
    <row r="791" spans="23:35" x14ac:dyDescent="0.25">
      <c r="W791">
        <v>789</v>
      </c>
      <c r="X791">
        <v>53.524010192718976</v>
      </c>
      <c r="Y791">
        <v>-0.52401019271897553</v>
      </c>
      <c r="Z791">
        <v>53.526535432857045</v>
      </c>
      <c r="AA791">
        <v>5.8823529411764705E-2</v>
      </c>
      <c r="AB791">
        <v>71.2</v>
      </c>
      <c r="AC791">
        <v>-1.5725296242490356</v>
      </c>
      <c r="AD791">
        <v>-7.0987252634272441E-2</v>
      </c>
      <c r="AE791">
        <v>1.4136177608460523E-2</v>
      </c>
      <c r="AF791">
        <v>4.7959548028278405E-3</v>
      </c>
      <c r="AG791">
        <v>-7.1158093215845333E-2</v>
      </c>
      <c r="AH791">
        <v>1.4156636281800887E-2</v>
      </c>
      <c r="AI791">
        <v>1.3556233724748641E-6</v>
      </c>
    </row>
    <row r="792" spans="23:35" x14ac:dyDescent="0.25">
      <c r="W792">
        <v>790</v>
      </c>
      <c r="X792">
        <v>51.045430837749322</v>
      </c>
      <c r="Y792">
        <v>1.3545691622506766</v>
      </c>
      <c r="Z792">
        <v>51.038224380802447</v>
      </c>
      <c r="AA792">
        <v>5.2759248029108551E-2</v>
      </c>
      <c r="AB792">
        <v>71.2</v>
      </c>
      <c r="AC792">
        <v>-1.6271784104016083</v>
      </c>
      <c r="AD792">
        <v>0.18350242927975299</v>
      </c>
      <c r="AE792">
        <v>1.5679192384346567E-2</v>
      </c>
      <c r="AF792">
        <v>5.2919562116420776E-3</v>
      </c>
      <c r="AG792">
        <v>0.18398990833384823</v>
      </c>
      <c r="AH792">
        <v>1.5707946840678819E-2</v>
      </c>
      <c r="AI792">
        <v>1.0005438181128219E-5</v>
      </c>
    </row>
    <row r="793" spans="23:35" x14ac:dyDescent="0.25">
      <c r="W793">
        <v>791</v>
      </c>
      <c r="X793">
        <v>52.910377343635254</v>
      </c>
      <c r="Y793">
        <v>-0.8103773436352526</v>
      </c>
      <c r="Z793">
        <v>52.915207028881127</v>
      </c>
      <c r="AA793">
        <v>4.9120679199514856E-2</v>
      </c>
      <c r="AB793">
        <v>71.3</v>
      </c>
      <c r="AC793">
        <v>-1.6746834237964712</v>
      </c>
      <c r="AD793">
        <v>-0.10978118750559779</v>
      </c>
      <c r="AE793">
        <v>1.7075283514320156E-2</v>
      </c>
      <c r="AF793">
        <v>5.924489209207285E-3</v>
      </c>
      <c r="AG793">
        <v>-0.11010783838439038</v>
      </c>
      <c r="AH793">
        <v>1.7135787296080531E-2</v>
      </c>
      <c r="AI793">
        <v>4.0141676453327347E-6</v>
      </c>
    </row>
    <row r="794" spans="23:35" x14ac:dyDescent="0.25">
      <c r="W794">
        <v>792</v>
      </c>
      <c r="X794">
        <v>64.996180454566073</v>
      </c>
      <c r="Y794">
        <v>1.1038195454339217</v>
      </c>
      <c r="Z794">
        <v>64.986226786846046</v>
      </c>
      <c r="AA794">
        <v>0.31412977562158884</v>
      </c>
      <c r="AB794">
        <v>71.3</v>
      </c>
      <c r="AC794">
        <v>-0.4918835074548818</v>
      </c>
      <c r="AD794">
        <v>0.14953357400890893</v>
      </c>
      <c r="AE794">
        <v>1.9978794140519032E-2</v>
      </c>
      <c r="AF794">
        <v>8.93688912829327E-3</v>
      </c>
      <c r="AG794">
        <v>0.1502062687163721</v>
      </c>
      <c r="AH794">
        <v>2.004210600402961E-2</v>
      </c>
      <c r="AI794">
        <v>1.1302868360095873E-5</v>
      </c>
    </row>
    <row r="795" spans="23:35" x14ac:dyDescent="0.25">
      <c r="W795">
        <v>793</v>
      </c>
      <c r="X795">
        <v>67.741461533477775</v>
      </c>
      <c r="Y795">
        <v>-1.9414615334777778</v>
      </c>
      <c r="Z795">
        <v>67.760919082614095</v>
      </c>
      <c r="AA795">
        <v>0.30078835657974529</v>
      </c>
      <c r="AB795">
        <v>71.3</v>
      </c>
      <c r="AC795">
        <v>-0.53349185558387491</v>
      </c>
      <c r="AD795">
        <v>-0.26300828165497298</v>
      </c>
      <c r="AE795">
        <v>2.0025716980340735E-2</v>
      </c>
      <c r="AF795">
        <v>9.9226680533775966E-3</v>
      </c>
      <c r="AG795">
        <v>-0.26432294545183871</v>
      </c>
      <c r="AH795">
        <v>2.0054772683968169E-2</v>
      </c>
      <c r="AI795">
        <v>3.8900624272507932E-5</v>
      </c>
    </row>
    <row r="796" spans="23:35" x14ac:dyDescent="0.25">
      <c r="W796">
        <v>794</v>
      </c>
      <c r="X796">
        <v>67.701011989457328</v>
      </c>
      <c r="Y796">
        <v>-2.0010119894573251</v>
      </c>
      <c r="Z796">
        <v>67.720321921389967</v>
      </c>
      <c r="AA796">
        <v>0.29654335961188599</v>
      </c>
      <c r="AB796">
        <v>71.400000000000006</v>
      </c>
      <c r="AC796">
        <v>-0.54051528578164909</v>
      </c>
      <c r="AD796">
        <v>-0.27107553554019148</v>
      </c>
      <c r="AE796">
        <v>2.0124294145565151E-2</v>
      </c>
      <c r="AF796">
        <v>9.5578490379148121E-3</v>
      </c>
      <c r="AG796">
        <v>-0.27238034593472488</v>
      </c>
      <c r="AH796">
        <v>2.0150520875687611E-2</v>
      </c>
      <c r="AI796">
        <v>3.9774990191669364E-5</v>
      </c>
    </row>
    <row r="797" spans="23:35" x14ac:dyDescent="0.25">
      <c r="W797">
        <v>795</v>
      </c>
      <c r="X797">
        <v>67.944857425855162</v>
      </c>
      <c r="Y797">
        <v>-2.4448574258551616</v>
      </c>
      <c r="Z797">
        <v>67.968043462801219</v>
      </c>
      <c r="AA797">
        <v>0.28987265009096425</v>
      </c>
      <c r="AB797">
        <v>71.400000000000006</v>
      </c>
      <c r="AC797">
        <v>-0.56174840893422073</v>
      </c>
      <c r="AD797">
        <v>-0.33120293107930721</v>
      </c>
      <c r="AE797">
        <v>2.0787040481453474E-2</v>
      </c>
      <c r="AF797">
        <v>9.3945010675560627E-3</v>
      </c>
      <c r="AG797">
        <v>-0.33276972232394364</v>
      </c>
      <c r="AH797">
        <v>2.1721607298897772E-2</v>
      </c>
      <c r="AI797">
        <v>5.8342910312674664E-5</v>
      </c>
    </row>
    <row r="798" spans="23:35" x14ac:dyDescent="0.25">
      <c r="W798">
        <v>796</v>
      </c>
      <c r="X798">
        <v>67.298915060895794</v>
      </c>
      <c r="Y798">
        <v>-1.9989150608957971</v>
      </c>
      <c r="Z798">
        <v>67.31663075018011</v>
      </c>
      <c r="AA798">
        <v>0.28380836870830806</v>
      </c>
      <c r="AB798">
        <v>71.400000000000006</v>
      </c>
      <c r="AC798">
        <v>-0.57963781842623852</v>
      </c>
      <c r="AD798">
        <v>-0.27079146626134626</v>
      </c>
      <c r="AE798">
        <v>2.3393759501398704E-2</v>
      </c>
      <c r="AF798">
        <v>8.7847957702357482E-3</v>
      </c>
      <c r="AG798">
        <v>-0.2719887845732113</v>
      </c>
      <c r="AH798">
        <v>2.3415601894400791E-2</v>
      </c>
      <c r="AI798">
        <v>3.6424466703414178E-5</v>
      </c>
    </row>
    <row r="799" spans="23:35" x14ac:dyDescent="0.25">
      <c r="W799">
        <v>797</v>
      </c>
      <c r="X799">
        <v>74.45115647682448</v>
      </c>
      <c r="Y799">
        <v>-9.2511564768244767</v>
      </c>
      <c r="Z799">
        <v>74.549743681621507</v>
      </c>
      <c r="AA799">
        <v>0.28077622801697999</v>
      </c>
      <c r="AB799">
        <v>71.400000000000006</v>
      </c>
      <c r="AC799">
        <v>-0.59046081866695443</v>
      </c>
      <c r="AD799">
        <v>-1.2532469618042676</v>
      </c>
      <c r="AE799">
        <v>2.3986010840690276E-2</v>
      </c>
      <c r="AF799">
        <v>1.0544375135205359E-2</v>
      </c>
      <c r="AG799">
        <v>-1.2599070310834863</v>
      </c>
      <c r="AH799">
        <v>2.4024723588135476E-2</v>
      </c>
      <c r="AI799">
        <v>9.3978610737286371E-4</v>
      </c>
    </row>
    <row r="800" spans="23:35" x14ac:dyDescent="0.25">
      <c r="W800">
        <v>798</v>
      </c>
      <c r="X800">
        <v>72.493143710736135</v>
      </c>
      <c r="Y800">
        <v>-7.3931437107361404</v>
      </c>
      <c r="Z800">
        <v>72.573735769433142</v>
      </c>
      <c r="AA800">
        <v>0.27713765918738631</v>
      </c>
      <c r="AB800">
        <v>71.400000000000006</v>
      </c>
      <c r="AC800">
        <v>-0.60317578841021124</v>
      </c>
      <c r="AD800">
        <v>-1.0015434196658213</v>
      </c>
      <c r="AE800">
        <v>2.431310517689815E-2</v>
      </c>
      <c r="AF800">
        <v>1.0783370082016762E-2</v>
      </c>
      <c r="AG800">
        <v>-1.0069874952306868</v>
      </c>
      <c r="AH800">
        <v>2.4346801780702663E-2</v>
      </c>
      <c r="AI800">
        <v>6.1409951090801989E-4</v>
      </c>
    </row>
    <row r="801" spans="23:35" x14ac:dyDescent="0.25">
      <c r="W801">
        <v>799</v>
      </c>
      <c r="X801">
        <v>78.628034823558409</v>
      </c>
      <c r="Y801">
        <v>-13.628034823558409</v>
      </c>
      <c r="Z801">
        <v>78.795912402657592</v>
      </c>
      <c r="AA801">
        <v>0.27289266221952696</v>
      </c>
      <c r="AB801">
        <v>71.400000000000006</v>
      </c>
      <c r="AC801">
        <v>-0.62335641379693996</v>
      </c>
      <c r="AD801">
        <v>-1.8461792621034467</v>
      </c>
      <c r="AE801">
        <v>2.6365178434560377E-2</v>
      </c>
      <c r="AF801">
        <v>1.216864634968548E-2</v>
      </c>
      <c r="AG801">
        <v>-1.8575155796602028</v>
      </c>
      <c r="AH801">
        <v>2.642622640062563E-2</v>
      </c>
      <c r="AI801">
        <v>2.3613039200804866E-3</v>
      </c>
    </row>
    <row r="802" spans="23:35" x14ac:dyDescent="0.25">
      <c r="W802">
        <v>800</v>
      </c>
      <c r="X802">
        <v>68.827644134981398</v>
      </c>
      <c r="Y802">
        <v>-3.8276441349813979</v>
      </c>
      <c r="Z802">
        <v>68.857349355817519</v>
      </c>
      <c r="AA802">
        <v>0.27289266221952696</v>
      </c>
      <c r="AB802">
        <v>71.400000000000006</v>
      </c>
      <c r="AC802">
        <v>-0.62335641379693996</v>
      </c>
      <c r="AD802">
        <v>-0.51852796945446966</v>
      </c>
      <c r="AE802">
        <v>3.0202676816501735E-2</v>
      </c>
      <c r="AF802">
        <v>7.7009412671727355E-3</v>
      </c>
      <c r="AG802">
        <v>-0.52053615231946138</v>
      </c>
      <c r="AH802">
        <v>3.0234399587446757E-2</v>
      </c>
      <c r="AI802">
        <v>1.1682358293827814E-4</v>
      </c>
    </row>
    <row r="803" spans="23:35" x14ac:dyDescent="0.25">
      <c r="W803">
        <v>801</v>
      </c>
      <c r="X803">
        <v>55.186058610179643</v>
      </c>
      <c r="Y803">
        <v>9.7139413898203628</v>
      </c>
      <c r="Z803">
        <v>54.814759804899566</v>
      </c>
      <c r="AA803">
        <v>0.26622195269860521</v>
      </c>
      <c r="AB803">
        <v>71.400000000000006</v>
      </c>
      <c r="AC803">
        <v>-0.62890421763218984</v>
      </c>
      <c r="AD803">
        <v>1.3159400734853739</v>
      </c>
      <c r="AE803">
        <v>3.2270742447944187E-2</v>
      </c>
      <c r="AF803">
        <v>3.6816059716699573E-2</v>
      </c>
      <c r="AG803">
        <v>1.3408540127832029</v>
      </c>
      <c r="AH803">
        <v>3.2474294086661644E-2</v>
      </c>
      <c r="AI803">
        <v>3.8178473511887526E-3</v>
      </c>
    </row>
    <row r="804" spans="23:35" x14ac:dyDescent="0.25">
      <c r="W804">
        <v>802</v>
      </c>
      <c r="X804">
        <v>54.419898752395127</v>
      </c>
      <c r="Y804">
        <v>10.38010124760487</v>
      </c>
      <c r="Z804">
        <v>54.111335858027857</v>
      </c>
      <c r="AA804">
        <v>0.26440266828380837</v>
      </c>
      <c r="AB804">
        <v>71.400000000000006</v>
      </c>
      <c r="AC804">
        <v>-0.63633155866502356</v>
      </c>
      <c r="AD804">
        <v>1.4061842305197785</v>
      </c>
      <c r="AE804">
        <v>3.2475089469376668E-2</v>
      </c>
      <c r="AF804">
        <v>2.8868237440037602E-2</v>
      </c>
      <c r="AG804">
        <v>1.4269315613290992</v>
      </c>
      <c r="AH804">
        <v>3.2509094786474062E-2</v>
      </c>
      <c r="AI804">
        <v>3.3626052967114248E-3</v>
      </c>
    </row>
    <row r="805" spans="23:35" x14ac:dyDescent="0.25">
      <c r="W805">
        <v>803</v>
      </c>
      <c r="X805">
        <v>49.179088845788797</v>
      </c>
      <c r="Y805">
        <v>15.520911154211205</v>
      </c>
      <c r="Z805">
        <v>48.592345846187982</v>
      </c>
      <c r="AA805">
        <v>0.26197695573074592</v>
      </c>
      <c r="AB805">
        <v>71.400000000000006</v>
      </c>
      <c r="AC805">
        <v>-0.64941472986293491</v>
      </c>
      <c r="AD805">
        <v>2.1026057441767581</v>
      </c>
      <c r="AE805">
        <v>3.2940119796118751E-2</v>
      </c>
      <c r="AF805">
        <v>3.6426347002363392E-2</v>
      </c>
      <c r="AG805">
        <v>2.1419798856608088</v>
      </c>
      <c r="AH805">
        <v>3.3072367489555193E-2</v>
      </c>
      <c r="AI805">
        <v>9.6358265810511604E-3</v>
      </c>
    </row>
    <row r="806" spans="23:35" x14ac:dyDescent="0.25">
      <c r="W806">
        <v>804</v>
      </c>
      <c r="X806">
        <v>61.974553892536889</v>
      </c>
      <c r="Y806">
        <v>2.6254461074631052</v>
      </c>
      <c r="Z806">
        <v>61.903056923057576</v>
      </c>
      <c r="AA806">
        <v>0.25773195876288657</v>
      </c>
      <c r="AB806">
        <v>71.400000000000006</v>
      </c>
      <c r="AC806">
        <v>-0.66071795340131467</v>
      </c>
      <c r="AD806">
        <v>0.35566713910868869</v>
      </c>
      <c r="AE806">
        <v>3.3083795238681386E-2</v>
      </c>
      <c r="AF806">
        <v>2.6510373945441847E-2</v>
      </c>
      <c r="AG806">
        <v>0.36047742962795354</v>
      </c>
      <c r="AH806">
        <v>3.3127151252270962E-2</v>
      </c>
      <c r="AI806">
        <v>1.9659305709288086E-4</v>
      </c>
    </row>
    <row r="807" spans="23:35" x14ac:dyDescent="0.25">
      <c r="W807">
        <v>805</v>
      </c>
      <c r="X807">
        <v>58.460127432182652</v>
      </c>
      <c r="Y807">
        <v>5.8398725678173449</v>
      </c>
      <c r="Z807">
        <v>58.320323939876893</v>
      </c>
      <c r="AA807">
        <v>0.2498483929654336</v>
      </c>
      <c r="AB807">
        <v>71.400000000000006</v>
      </c>
      <c r="AC807">
        <v>-0.68742774275107121</v>
      </c>
      <c r="AD807">
        <v>0.79112298784220803</v>
      </c>
      <c r="AE807">
        <v>3.3585526112385321E-2</v>
      </c>
      <c r="AF807">
        <v>2.3379776914350128E-2</v>
      </c>
      <c r="AG807">
        <v>0.80053651740507314</v>
      </c>
      <c r="AH807">
        <v>3.3651393009884845E-2</v>
      </c>
      <c r="AI807">
        <v>8.5232345482492825E-4</v>
      </c>
    </row>
    <row r="808" spans="23:35" x14ac:dyDescent="0.25">
      <c r="W808">
        <v>806</v>
      </c>
      <c r="X808">
        <v>44.213233426523779</v>
      </c>
      <c r="Y808">
        <v>19.886766573476216</v>
      </c>
      <c r="Z808">
        <v>43.699628842359637</v>
      </c>
      <c r="AA808">
        <v>0.24257125530624621</v>
      </c>
      <c r="AB808">
        <v>71.400000000000006</v>
      </c>
      <c r="AC808">
        <v>-0.70291235686137066</v>
      </c>
      <c r="AD808">
        <v>2.6940447770779397</v>
      </c>
      <c r="AE808">
        <v>3.4716222733060735E-2</v>
      </c>
      <c r="AF808">
        <v>2.517623724565371E-2</v>
      </c>
      <c r="AG808">
        <v>2.7286118202607992</v>
      </c>
      <c r="AH808">
        <v>3.4752593672254188E-2</v>
      </c>
      <c r="AI808">
        <v>1.0682569388314852E-2</v>
      </c>
    </row>
    <row r="809" spans="23:35" x14ac:dyDescent="0.25">
      <c r="W809">
        <v>807</v>
      </c>
      <c r="X809">
        <v>81.92594617537253</v>
      </c>
      <c r="Y809">
        <v>-7.5259461753725247</v>
      </c>
      <c r="Z809">
        <v>82.026067158219888</v>
      </c>
      <c r="AA809">
        <v>0.71376591873862949</v>
      </c>
      <c r="AB809">
        <v>71.5</v>
      </c>
      <c r="AC809">
        <v>0.54051528578164909</v>
      </c>
      <c r="AD809">
        <v>-1.0195340661047405</v>
      </c>
      <c r="AE809">
        <v>3.544641433454003E-2</v>
      </c>
      <c r="AF809">
        <v>1.3128783260115845E-2</v>
      </c>
      <c r="AG809">
        <v>-1.0262933158364447</v>
      </c>
      <c r="AH809">
        <v>3.5517203094729548E-2</v>
      </c>
      <c r="AI809">
        <v>7.7845675571757507E-4</v>
      </c>
    </row>
    <row r="810" spans="23:35" x14ac:dyDescent="0.25">
      <c r="W810">
        <v>808</v>
      </c>
      <c r="X810">
        <v>74.450410544568044</v>
      </c>
      <c r="Y810">
        <v>-0.35041054456804943</v>
      </c>
      <c r="Z810">
        <v>74.453557849119491</v>
      </c>
      <c r="AA810">
        <v>0.69254093389933291</v>
      </c>
      <c r="AB810">
        <v>71.5</v>
      </c>
      <c r="AC810">
        <v>0.48161589062349974</v>
      </c>
      <c r="AD810">
        <v>-4.746984352326386E-2</v>
      </c>
      <c r="AE810">
        <v>3.5857792693650227E-2</v>
      </c>
      <c r="AF810">
        <v>8.9018093058651493E-3</v>
      </c>
      <c r="AG810">
        <v>-4.7682548422680743E-2</v>
      </c>
      <c r="AH810">
        <v>3.5960329694388574E-2</v>
      </c>
      <c r="AI810">
        <v>1.1345091820688891E-6</v>
      </c>
    </row>
    <row r="811" spans="23:35" x14ac:dyDescent="0.25">
      <c r="W811">
        <v>809</v>
      </c>
      <c r="X811">
        <v>77.874336685525364</v>
      </c>
      <c r="Y811">
        <v>-4.0743366855253669</v>
      </c>
      <c r="Z811">
        <v>77.924172880174666</v>
      </c>
      <c r="AA811">
        <v>0.66767738023044265</v>
      </c>
      <c r="AB811">
        <v>71.5</v>
      </c>
      <c r="AC811">
        <v>0.4143837514429769</v>
      </c>
      <c r="AD811">
        <v>-0.55194721711755734</v>
      </c>
      <c r="AE811">
        <v>3.7502178912468737E-2</v>
      </c>
      <c r="AF811">
        <v>1.2083924728003332E-2</v>
      </c>
      <c r="AG811">
        <v>-0.55531259253824683</v>
      </c>
      <c r="AH811">
        <v>3.767211769736499E-2</v>
      </c>
      <c r="AI811">
        <v>2.0955136670485633E-4</v>
      </c>
    </row>
    <row r="812" spans="23:35" x14ac:dyDescent="0.25">
      <c r="W812">
        <v>810</v>
      </c>
      <c r="X812">
        <v>80.985918329946344</v>
      </c>
      <c r="Y812">
        <v>-7.3859183299463496</v>
      </c>
      <c r="Z812">
        <v>81.008965223307428</v>
      </c>
      <c r="AA812">
        <v>0.65433596118859916</v>
      </c>
      <c r="AB812">
        <v>71.5</v>
      </c>
      <c r="AC812">
        <v>0.3716850598056044</v>
      </c>
      <c r="AD812">
        <v>-1.0005646029583783</v>
      </c>
      <c r="AE812">
        <v>3.7795608380594169E-2</v>
      </c>
      <c r="AF812">
        <v>3.1106764124881137E-3</v>
      </c>
      <c r="AG812">
        <v>-1.002124459414512</v>
      </c>
      <c r="AH812">
        <v>3.8200284549498774E-2</v>
      </c>
      <c r="AI812">
        <v>1.7409195839137616E-4</v>
      </c>
    </row>
    <row r="813" spans="23:35" x14ac:dyDescent="0.25">
      <c r="W813">
        <v>811</v>
      </c>
      <c r="X813">
        <v>79.890237769922535</v>
      </c>
      <c r="Y813">
        <v>-7.0902377699225383</v>
      </c>
      <c r="Z813">
        <v>79.912844452148306</v>
      </c>
      <c r="AA813">
        <v>0.58156458459672533</v>
      </c>
      <c r="AB813">
        <v>71.599999999999994</v>
      </c>
      <c r="AC813">
        <v>0.18343432307636306</v>
      </c>
      <c r="AD813">
        <v>-0.96050898780985772</v>
      </c>
      <c r="AE813">
        <v>4.54027158697883E-2</v>
      </c>
      <c r="AF813">
        <v>3.1782899763731212E-3</v>
      </c>
      <c r="AG813">
        <v>-0.96203902399546748</v>
      </c>
      <c r="AH813">
        <v>4.5456005173854584E-2</v>
      </c>
      <c r="AI813">
        <v>1.6394149954886356E-4</v>
      </c>
    </row>
    <row r="814" spans="23:35" x14ac:dyDescent="0.25">
      <c r="W814">
        <v>812</v>
      </c>
      <c r="X814">
        <v>83.40065545150847</v>
      </c>
      <c r="Y814">
        <v>-10.800655451508476</v>
      </c>
      <c r="Z814">
        <v>83.43152543338222</v>
      </c>
      <c r="AA814">
        <v>0.56458459672528805</v>
      </c>
      <c r="AB814">
        <v>71.599999999999994</v>
      </c>
      <c r="AC814">
        <v>0.14798710972583889</v>
      </c>
      <c r="AD814">
        <v>-1.463156380935412</v>
      </c>
      <c r="AE814">
        <v>4.9888803632188047E-2</v>
      </c>
      <c r="AF814">
        <v>2.8500124071726019E-3</v>
      </c>
      <c r="AG814">
        <v>-1.4652458551879783</v>
      </c>
      <c r="AH814">
        <v>5.0033738272522207E-2</v>
      </c>
      <c r="AI814">
        <v>3.4090609067349809E-4</v>
      </c>
    </row>
    <row r="815" spans="23:35" x14ac:dyDescent="0.25">
      <c r="W815">
        <v>813</v>
      </c>
      <c r="X815">
        <v>80.049807807585694</v>
      </c>
      <c r="Y815">
        <v>-8.1498078075856881</v>
      </c>
      <c r="Z815">
        <v>80.15966938274839</v>
      </c>
      <c r="AA815">
        <v>0.51607034566403887</v>
      </c>
      <c r="AB815">
        <v>71.599999999999994</v>
      </c>
      <c r="AC815">
        <v>2.7365033500434649E-2</v>
      </c>
      <c r="AD815">
        <v>-1.1040481154688451</v>
      </c>
      <c r="AE815">
        <v>5.1999293242511381E-2</v>
      </c>
      <c r="AF815">
        <v>1.3300965216860122E-2</v>
      </c>
      <c r="AG815">
        <v>-1.1114646359767479</v>
      </c>
      <c r="AH815">
        <v>5.2085055303692347E-2</v>
      </c>
      <c r="AI815">
        <v>9.2516085212617373E-4</v>
      </c>
    </row>
    <row r="816" spans="23:35" x14ac:dyDescent="0.25">
      <c r="W816">
        <v>814</v>
      </c>
      <c r="X816">
        <v>82.668406523954502</v>
      </c>
      <c r="Y816">
        <v>-4.6684065239545021</v>
      </c>
      <c r="Z816">
        <v>82.689809782032128</v>
      </c>
      <c r="AA816">
        <v>0.86294724075197093</v>
      </c>
      <c r="AB816">
        <v>71.599999999999994</v>
      </c>
      <c r="AC816">
        <v>1.0491313979639725</v>
      </c>
      <c r="AD816">
        <v>-0.6324253953838086</v>
      </c>
      <c r="AE816">
        <v>5.3913626300738468E-2</v>
      </c>
      <c r="AF816">
        <v>4.563779571534898E-3</v>
      </c>
      <c r="AG816">
        <v>-0.63387347887354517</v>
      </c>
      <c r="AH816">
        <v>5.4310458541268224E-2</v>
      </c>
      <c r="AI816">
        <v>1.0233963848950137E-4</v>
      </c>
    </row>
    <row r="817" spans="23:35" x14ac:dyDescent="0.25">
      <c r="W817">
        <v>815</v>
      </c>
      <c r="X817">
        <v>83.425765540854343</v>
      </c>
      <c r="Y817">
        <v>-8.4257655408543428</v>
      </c>
      <c r="Z817">
        <v>83.449718304299623</v>
      </c>
      <c r="AA817">
        <v>0.76046088538508183</v>
      </c>
      <c r="AB817">
        <v>71.599999999999994</v>
      </c>
      <c r="AC817">
        <v>0.67020216077934069</v>
      </c>
      <c r="AD817">
        <v>-1.1414318946397759</v>
      </c>
      <c r="AE817">
        <v>5.6608273309191569E-2</v>
      </c>
      <c r="AF817">
        <v>2.8347410626809498E-3</v>
      </c>
      <c r="AG817">
        <v>-1.1430531743172467</v>
      </c>
      <c r="AH817">
        <v>5.726516091449195E-2</v>
      </c>
      <c r="AI817">
        <v>2.0635101925121761E-4</v>
      </c>
    </row>
    <row r="818" spans="23:35" x14ac:dyDescent="0.25">
      <c r="W818">
        <v>816</v>
      </c>
      <c r="X818">
        <v>81.86443418297354</v>
      </c>
      <c r="Y818">
        <v>-5.8644341829735396</v>
      </c>
      <c r="Z818">
        <v>81.890047434317651</v>
      </c>
      <c r="AA818">
        <v>0.80836870830806551</v>
      </c>
      <c r="AB818">
        <v>71.599999999999994</v>
      </c>
      <c r="AC818">
        <v>0.83794453378675593</v>
      </c>
      <c r="AD818">
        <v>-0.79445033071535254</v>
      </c>
      <c r="AE818">
        <v>5.7578762103188047E-2</v>
      </c>
      <c r="AF818">
        <v>4.3485645285101671E-3</v>
      </c>
      <c r="AG818">
        <v>-0.79618334412240277</v>
      </c>
      <c r="AH818">
        <v>6.0132293604878477E-2</v>
      </c>
      <c r="AI818">
        <v>1.5381272479236086E-4</v>
      </c>
    </row>
    <row r="819" spans="23:35" x14ac:dyDescent="0.25">
      <c r="W819">
        <v>817</v>
      </c>
      <c r="X819">
        <v>79.267181389240761</v>
      </c>
      <c r="Y819">
        <v>-8.2671813892407613</v>
      </c>
      <c r="Z819">
        <v>79.298834299005449</v>
      </c>
      <c r="AA819">
        <v>0.46937537901758641</v>
      </c>
      <c r="AB819">
        <v>71.599999999999994</v>
      </c>
      <c r="AC819">
        <v>-9.743972564826138E-2</v>
      </c>
      <c r="AD819">
        <v>-1.1199486231484856</v>
      </c>
      <c r="AE819">
        <v>6.2506503492812657E-2</v>
      </c>
      <c r="AF819">
        <v>3.8141392663396186E-3</v>
      </c>
      <c r="AG819">
        <v>-1.1220905723791474</v>
      </c>
      <c r="AH819">
        <v>6.2938843369040778E-2</v>
      </c>
      <c r="AI819">
        <v>2.6781783507508943E-4</v>
      </c>
    </row>
    <row r="820" spans="23:35" x14ac:dyDescent="0.25">
      <c r="W820">
        <v>818</v>
      </c>
      <c r="X820">
        <v>78.828228373287146</v>
      </c>
      <c r="Y820">
        <v>-0.82822837328714627</v>
      </c>
      <c r="Z820">
        <v>78.830374046703312</v>
      </c>
      <c r="AA820">
        <v>0.86294724075197093</v>
      </c>
      <c r="AB820">
        <v>71.599999999999994</v>
      </c>
      <c r="AC820">
        <v>1.0491313979639725</v>
      </c>
      <c r="AD820">
        <v>-0.11219945258762923</v>
      </c>
      <c r="AE820">
        <v>6.6254592494603776E-2</v>
      </c>
      <c r="AF820">
        <v>2.5839841992661696E-3</v>
      </c>
      <c r="AG820">
        <v>-0.11234469493258858</v>
      </c>
      <c r="AH820">
        <v>6.6473849741724128E-2</v>
      </c>
      <c r="AI820">
        <v>1.8165449530523439E-6</v>
      </c>
    </row>
    <row r="821" spans="23:35" x14ac:dyDescent="0.25">
      <c r="W821">
        <v>819</v>
      </c>
      <c r="X821">
        <v>80.343530430579477</v>
      </c>
      <c r="Y821">
        <v>-7.3435304305794773</v>
      </c>
      <c r="Z821">
        <v>80.357355130723974</v>
      </c>
      <c r="AA821">
        <v>0.60946027895694366</v>
      </c>
      <c r="AB821">
        <v>71.599999999999994</v>
      </c>
      <c r="AC821">
        <v>0.22222871718700732</v>
      </c>
      <c r="AD821">
        <v>-0.99482234724884866</v>
      </c>
      <c r="AE821">
        <v>6.6661371728740634E-2</v>
      </c>
      <c r="AF821">
        <v>1.879031241370833E-3</v>
      </c>
      <c r="AG821">
        <v>-0.99575831762882172</v>
      </c>
      <c r="AH821">
        <v>6.6890942365273084E-2</v>
      </c>
      <c r="AI821">
        <v>1.037017778399346E-4</v>
      </c>
    </row>
    <row r="822" spans="23:35" x14ac:dyDescent="0.25">
      <c r="W822">
        <v>820</v>
      </c>
      <c r="X822">
        <v>78.860710313784352</v>
      </c>
      <c r="Y822">
        <v>-8.9607103137843467</v>
      </c>
      <c r="Z822">
        <v>78.876876301452455</v>
      </c>
      <c r="AA822">
        <v>0.45724681625227409</v>
      </c>
      <c r="AB822">
        <v>71.599999999999994</v>
      </c>
      <c r="AC822">
        <v>-0.11731546960548965</v>
      </c>
      <c r="AD822">
        <v>-1.2139004463378364</v>
      </c>
      <c r="AE822">
        <v>6.9263096636921706E-2</v>
      </c>
      <c r="AF822">
        <v>1.8008477698963068E-3</v>
      </c>
      <c r="AG822">
        <v>-1.2149949497912913</v>
      </c>
      <c r="AH822">
        <v>6.9319417677550579E-2</v>
      </c>
      <c r="AI822">
        <v>1.4795724843334648E-4</v>
      </c>
    </row>
    <row r="823" spans="23:35" x14ac:dyDescent="0.25">
      <c r="W823">
        <v>821</v>
      </c>
      <c r="X823">
        <v>76.519796364855864</v>
      </c>
      <c r="Y823">
        <v>-5.5197963648558641</v>
      </c>
      <c r="Z823">
        <v>76.530170866602006</v>
      </c>
      <c r="AA823">
        <v>0.46937537901758641</v>
      </c>
      <c r="AB823">
        <v>71.599999999999994</v>
      </c>
      <c r="AC823">
        <v>-9.743972564826138E-2</v>
      </c>
      <c r="AD823">
        <v>-0.74776251394770377</v>
      </c>
      <c r="AE823">
        <v>7.2419418238973021E-2</v>
      </c>
      <c r="AF823">
        <v>1.8759821344397167E-3</v>
      </c>
      <c r="AG823">
        <v>-0.74846489690423601</v>
      </c>
      <c r="AH823">
        <v>7.2659812682535893E-2</v>
      </c>
      <c r="AI823">
        <v>5.8494436321884906E-5</v>
      </c>
    </row>
    <row r="824" spans="23:35" x14ac:dyDescent="0.25">
      <c r="W824">
        <v>822</v>
      </c>
      <c r="X824">
        <v>77.67948174619292</v>
      </c>
      <c r="Y824">
        <v>-2.8794817461929227</v>
      </c>
      <c r="Z824">
        <v>77.696694171741001</v>
      </c>
      <c r="AA824">
        <v>0.74166161309884782</v>
      </c>
      <c r="AB824">
        <v>71.7</v>
      </c>
      <c r="AC824">
        <v>0.63261352584071384</v>
      </c>
      <c r="AD824">
        <v>-0.39008114920847597</v>
      </c>
      <c r="AE824">
        <v>7.499552395833993E-2</v>
      </c>
      <c r="AF824">
        <v>5.9420927883928297E-3</v>
      </c>
      <c r="AG824">
        <v>-0.39124528904714145</v>
      </c>
      <c r="AH824">
        <v>7.5158769795122329E-2</v>
      </c>
      <c r="AI824">
        <v>5.0833906107775772E-5</v>
      </c>
    </row>
    <row r="825" spans="23:35" x14ac:dyDescent="0.25">
      <c r="W825">
        <v>823</v>
      </c>
      <c r="X825">
        <v>79.121724990385843</v>
      </c>
      <c r="Y825">
        <v>-4.2217249903858374</v>
      </c>
      <c r="Z825">
        <v>79.138037005074082</v>
      </c>
      <c r="AA825">
        <v>0.74833232261976956</v>
      </c>
      <c r="AB825">
        <v>71.7</v>
      </c>
      <c r="AC825">
        <v>0.64941472986293525</v>
      </c>
      <c r="AD825">
        <v>-0.57191379597011505</v>
      </c>
      <c r="AE825">
        <v>7.5840921627145605E-2</v>
      </c>
      <c r="AF825">
        <v>3.8489552282601229E-3</v>
      </c>
      <c r="AG825">
        <v>-0.57301761871492018</v>
      </c>
      <c r="AH825">
        <v>7.5937546898128219E-2</v>
      </c>
      <c r="AI825">
        <v>7.048246924468172E-5</v>
      </c>
    </row>
    <row r="826" spans="23:35" x14ac:dyDescent="0.25">
      <c r="W826">
        <v>824</v>
      </c>
      <c r="X826">
        <v>77.713841607707138</v>
      </c>
      <c r="Y826">
        <v>-2.7138416077071383</v>
      </c>
      <c r="Z826">
        <v>77.730955669473744</v>
      </c>
      <c r="AA826">
        <v>0.76046088538508183</v>
      </c>
      <c r="AB826">
        <v>71.7</v>
      </c>
      <c r="AC826">
        <v>0.67020216077934069</v>
      </c>
      <c r="AD826">
        <v>-0.36764200867181052</v>
      </c>
      <c r="AE826">
        <v>8.0905866148524269E-2</v>
      </c>
      <c r="AF826">
        <v>6.2666933622914714E-3</v>
      </c>
      <c r="AG826">
        <v>-0.36879940115710186</v>
      </c>
      <c r="AH826">
        <v>8.1136748439099807E-2</v>
      </c>
      <c r="AI826">
        <v>4.7651492491329214E-5</v>
      </c>
    </row>
    <row r="827" spans="23:35" x14ac:dyDescent="0.25">
      <c r="W827">
        <v>825</v>
      </c>
      <c r="X827">
        <v>78.054424086691739</v>
      </c>
      <c r="Y827">
        <v>-3.0544240866917391</v>
      </c>
      <c r="Z827">
        <v>78.066234865002826</v>
      </c>
      <c r="AA827">
        <v>0.76046088538508183</v>
      </c>
      <c r="AB827">
        <v>71.7</v>
      </c>
      <c r="AC827">
        <v>0.67020216077934069</v>
      </c>
      <c r="AD827">
        <v>-0.41378045180597428</v>
      </c>
      <c r="AE827">
        <v>8.1187973183724504E-2</v>
      </c>
      <c r="AF827">
        <v>3.8518831175970323E-3</v>
      </c>
      <c r="AG827">
        <v>-0.41457967841249421</v>
      </c>
      <c r="AH827">
        <v>8.1798985551407646E-2</v>
      </c>
      <c r="AI827">
        <v>3.6922635891790189E-5</v>
      </c>
    </row>
    <row r="828" spans="23:35" x14ac:dyDescent="0.25">
      <c r="W828">
        <v>826</v>
      </c>
      <c r="X828">
        <v>78.183726974675778</v>
      </c>
      <c r="Y828">
        <v>-3.2837269746757727</v>
      </c>
      <c r="Z828">
        <v>78.196270379712345</v>
      </c>
      <c r="AA828">
        <v>0.74833232261976956</v>
      </c>
      <c r="AB828">
        <v>71.7</v>
      </c>
      <c r="AC828">
        <v>0.64941472986293525</v>
      </c>
      <c r="AD828">
        <v>-0.44484393542760003</v>
      </c>
      <c r="AE828">
        <v>8.5915904677868124E-2</v>
      </c>
      <c r="AF828">
        <v>3.8053325703414215E-3</v>
      </c>
      <c r="AG828">
        <v>-0.44569274826672817</v>
      </c>
      <c r="AH828">
        <v>8.6020641888737606E-2</v>
      </c>
      <c r="AI828">
        <v>4.2154800303164007E-5</v>
      </c>
    </row>
    <row r="829" spans="23:35" x14ac:dyDescent="0.25">
      <c r="W829">
        <v>827</v>
      </c>
      <c r="X829">
        <v>78.539055566895755</v>
      </c>
      <c r="Y829">
        <v>-3.8390555668957518</v>
      </c>
      <c r="Z829">
        <v>78.55277486630817</v>
      </c>
      <c r="AA829">
        <v>0.7362037598544573</v>
      </c>
      <c r="AB829">
        <v>71.7</v>
      </c>
      <c r="AC829">
        <v>0.61415241452626612</v>
      </c>
      <c r="AD829">
        <v>-0.5200738672470675</v>
      </c>
      <c r="AE829">
        <v>9.0073221829601313E-2</v>
      </c>
      <c r="AF829">
        <v>3.560887902481452E-3</v>
      </c>
      <c r="AG829">
        <v>-0.52100230991550478</v>
      </c>
      <c r="AH829">
        <v>9.0321279862261655E-2</v>
      </c>
      <c r="AI829">
        <v>5.3890762518270795E-5</v>
      </c>
    </row>
    <row r="830" spans="23:35" x14ac:dyDescent="0.25">
      <c r="W830">
        <v>828</v>
      </c>
      <c r="X830">
        <v>79.102618406926624</v>
      </c>
      <c r="Y830">
        <v>-4.6026184069266236</v>
      </c>
      <c r="Z830">
        <v>79.120939101475187</v>
      </c>
      <c r="AA830">
        <v>0.72407519708914492</v>
      </c>
      <c r="AB830">
        <v>71.7</v>
      </c>
      <c r="AC830">
        <v>0.56531175535073552</v>
      </c>
      <c r="AD830">
        <v>-0.62351313041514678</v>
      </c>
      <c r="AE830">
        <v>9.0207096290155594E-2</v>
      </c>
      <c r="AF830">
        <v>3.9647123985506964E-3</v>
      </c>
      <c r="AG830">
        <v>-0.62475284308304979</v>
      </c>
      <c r="AH830">
        <v>9.0616847685036139E-2</v>
      </c>
      <c r="AI830">
        <v>8.6313939962278394E-5</v>
      </c>
    </row>
    <row r="831" spans="23:35" x14ac:dyDescent="0.25">
      <c r="W831">
        <v>829</v>
      </c>
      <c r="X831">
        <v>71.257497578935514</v>
      </c>
      <c r="Y831">
        <v>3.1425024210644921</v>
      </c>
      <c r="Z831">
        <v>71.201500365433247</v>
      </c>
      <c r="AA831">
        <v>0.71376591873862949</v>
      </c>
      <c r="AB831">
        <v>71.7</v>
      </c>
      <c r="AC831">
        <v>0.54051528578164909</v>
      </c>
      <c r="AD831">
        <v>0.42571235515556749</v>
      </c>
      <c r="AE831">
        <v>9.0236409967368619E-2</v>
      </c>
      <c r="AF831">
        <v>1.7507337783345213E-2</v>
      </c>
      <c r="AG831">
        <v>0.42948855656057694</v>
      </c>
      <c r="AH831">
        <v>9.0778379661889189E-2</v>
      </c>
      <c r="AI831">
        <v>1.8260870813482181E-4</v>
      </c>
    </row>
    <row r="832" spans="23:35" x14ac:dyDescent="0.25">
      <c r="W832">
        <v>830</v>
      </c>
      <c r="X832">
        <v>77.459754389477695</v>
      </c>
      <c r="Y832">
        <v>-3.3597543894777004</v>
      </c>
      <c r="Z832">
        <v>77.476221443421494</v>
      </c>
      <c r="AA832">
        <v>0.69254093389933291</v>
      </c>
      <c r="AB832">
        <v>71.7</v>
      </c>
      <c r="AC832">
        <v>0.48161589062349974</v>
      </c>
      <c r="AD832">
        <v>-0.45514331008989684</v>
      </c>
      <c r="AE832">
        <v>9.0805779077613474E-2</v>
      </c>
      <c r="AF832">
        <v>4.8773619324909917E-3</v>
      </c>
      <c r="AG832">
        <v>-0.45625733620894149</v>
      </c>
      <c r="AH832">
        <v>9.1017842869920915E-2</v>
      </c>
      <c r="AI832">
        <v>5.6683361094893257E-5</v>
      </c>
    </row>
    <row r="833" spans="23:35" x14ac:dyDescent="0.25">
      <c r="W833">
        <v>831</v>
      </c>
      <c r="X833">
        <v>58.653309897089471</v>
      </c>
      <c r="Y833">
        <v>15.246690102910534</v>
      </c>
      <c r="Z833">
        <v>58.170346164540483</v>
      </c>
      <c r="AA833">
        <v>0.67919951485748942</v>
      </c>
      <c r="AB833">
        <v>71.7</v>
      </c>
      <c r="AC833">
        <v>0.43434378704136062</v>
      </c>
      <c r="AD833">
        <v>2.0654572319592557</v>
      </c>
      <c r="AE833">
        <v>9.3671219022809366E-2</v>
      </c>
      <c r="AF833">
        <v>3.0704028047981294E-2</v>
      </c>
      <c r="AG833">
        <v>2.0979155536813803</v>
      </c>
      <c r="AH833">
        <v>9.3772798225571732E-2</v>
      </c>
      <c r="AI833">
        <v>7.7453749500107213E-3</v>
      </c>
    </row>
    <row r="834" spans="23:35" x14ac:dyDescent="0.25">
      <c r="W834">
        <v>832</v>
      </c>
      <c r="X834">
        <v>60.005586843041826</v>
      </c>
      <c r="Y834">
        <v>13.694413156958177</v>
      </c>
      <c r="Z834">
        <v>59.536028840860368</v>
      </c>
      <c r="AA834">
        <v>0.66040024257125529</v>
      </c>
      <c r="AB834">
        <v>71.8</v>
      </c>
      <c r="AC834">
        <v>0.39787592189543292</v>
      </c>
      <c r="AD834">
        <v>1.8551714832242645</v>
      </c>
      <c r="AE834">
        <v>9.5881635712895222E-2</v>
      </c>
      <c r="AF834">
        <v>3.3151578530182753E-2</v>
      </c>
      <c r="AG834">
        <v>1.886708750360774</v>
      </c>
      <c r="AH834">
        <v>9.6104380739232914E-2</v>
      </c>
      <c r="AI834">
        <v>6.7808328987539676E-3</v>
      </c>
    </row>
    <row r="835" spans="23:35" x14ac:dyDescent="0.25">
      <c r="W835">
        <v>833</v>
      </c>
      <c r="X835">
        <v>67.274574490655212</v>
      </c>
      <c r="Y835">
        <v>6.2254255093447881</v>
      </c>
      <c r="Z835">
        <v>67.049698829197766</v>
      </c>
      <c r="AA835">
        <v>0.64463311097634934</v>
      </c>
      <c r="AB835">
        <v>71.8</v>
      </c>
      <c r="AC835">
        <v>0.35220887014201224</v>
      </c>
      <c r="AD835">
        <v>0.84335354450768407</v>
      </c>
      <c r="AE835">
        <v>9.78679571713469E-2</v>
      </c>
      <c r="AF835">
        <v>3.4862815782208678E-2</v>
      </c>
      <c r="AG835">
        <v>0.85845028760681463</v>
      </c>
      <c r="AH835">
        <v>9.7950585843247007E-2</v>
      </c>
      <c r="AI835">
        <v>1.4788741192367136E-3</v>
      </c>
    </row>
    <row r="836" spans="23:35" x14ac:dyDescent="0.25">
      <c r="W836">
        <v>834</v>
      </c>
      <c r="X836">
        <v>62.254863159453421</v>
      </c>
      <c r="Y836">
        <v>10.945136840546581</v>
      </c>
      <c r="Z836">
        <v>61.808967430415478</v>
      </c>
      <c r="AA836">
        <v>0.62340812613705276</v>
      </c>
      <c r="AB836">
        <v>71.8</v>
      </c>
      <c r="AC836">
        <v>0.29295400660571058</v>
      </c>
      <c r="AD836">
        <v>1.4827291621658318</v>
      </c>
      <c r="AE836">
        <v>0.10141386745792864</v>
      </c>
      <c r="AF836">
        <v>3.9144452121797707E-2</v>
      </c>
      <c r="AG836">
        <v>1.5126302395054572</v>
      </c>
      <c r="AH836">
        <v>0.10216040744130872</v>
      </c>
      <c r="AI836">
        <v>5.1785141624349704E-3</v>
      </c>
    </row>
    <row r="837" spans="23:35" x14ac:dyDescent="0.25">
      <c r="W837">
        <v>835</v>
      </c>
      <c r="X837">
        <v>51.228353984336863</v>
      </c>
      <c r="Y837">
        <v>21.771646015663137</v>
      </c>
      <c r="Z837">
        <v>50.248058904340716</v>
      </c>
      <c r="AA837">
        <v>0.60946027895694366</v>
      </c>
      <c r="AB837">
        <v>71.8</v>
      </c>
      <c r="AC837">
        <v>0.22222871718700732</v>
      </c>
      <c r="AD837">
        <v>2.9493879268998882</v>
      </c>
      <c r="AE837">
        <v>0.10321008539453598</v>
      </c>
      <c r="AF837">
        <v>4.3086217385784879E-2</v>
      </c>
      <c r="AG837">
        <v>3.0150567660144256</v>
      </c>
      <c r="AH837">
        <v>0.10330994901991655</v>
      </c>
      <c r="AI837">
        <v>2.2739663817785416E-2</v>
      </c>
    </row>
    <row r="838" spans="23:35" x14ac:dyDescent="0.25">
      <c r="W838">
        <v>836</v>
      </c>
      <c r="X838">
        <v>63.960660516064486</v>
      </c>
      <c r="Y838">
        <v>8.7393394839355167</v>
      </c>
      <c r="Z838">
        <v>63.63943377784765</v>
      </c>
      <c r="AA838">
        <v>0.57246816252274102</v>
      </c>
      <c r="AB838">
        <v>71.8</v>
      </c>
      <c r="AC838">
        <v>0.16337348484333708</v>
      </c>
      <c r="AD838">
        <v>1.1839115124531761</v>
      </c>
      <c r="AE838">
        <v>0.10423687672729742</v>
      </c>
      <c r="AF838">
        <v>3.5453274148746182E-2</v>
      </c>
      <c r="AG838">
        <v>1.2054733346285242</v>
      </c>
      <c r="AH838">
        <v>0.10459978628125456</v>
      </c>
      <c r="AI838">
        <v>2.967397926718093E-3</v>
      </c>
    </row>
    <row r="839" spans="23:35" x14ac:dyDescent="0.25">
      <c r="W839">
        <v>837</v>
      </c>
      <c r="X839">
        <v>58.1566150529369</v>
      </c>
      <c r="Y839">
        <v>-6.0566150529368983</v>
      </c>
      <c r="Z839">
        <v>58.293462452968633</v>
      </c>
      <c r="AA839">
        <v>4.9120679199514856E-2</v>
      </c>
      <c r="AB839">
        <v>71.8</v>
      </c>
      <c r="AC839">
        <v>-1.6746834237964712</v>
      </c>
      <c r="AD839">
        <v>-0.82048492347160362</v>
      </c>
      <c r="AE839">
        <v>0.1054364659749943</v>
      </c>
      <c r="AF839">
        <v>2.2095459699790508E-2</v>
      </c>
      <c r="AG839">
        <v>-0.8297024528192658</v>
      </c>
      <c r="AH839">
        <v>0.10607331533238225</v>
      </c>
      <c r="AI839">
        <v>8.6412948090420453E-4</v>
      </c>
    </row>
    <row r="840" spans="23:35" x14ac:dyDescent="0.25">
      <c r="W840">
        <v>838</v>
      </c>
      <c r="X840">
        <v>66.736666088542705</v>
      </c>
      <c r="Y840">
        <v>-14.636666088542704</v>
      </c>
      <c r="Z840">
        <v>67.084128131772019</v>
      </c>
      <c r="AA840">
        <v>4.9120679199514856E-2</v>
      </c>
      <c r="AB840">
        <v>71.8</v>
      </c>
      <c r="AC840">
        <v>-1.6746834237964712</v>
      </c>
      <c r="AD840">
        <v>-1.9828177539059615</v>
      </c>
      <c r="AE840">
        <v>0.10904505121535853</v>
      </c>
      <c r="AF840">
        <v>2.318867271913938E-2</v>
      </c>
      <c r="AG840">
        <v>-2.0062149173214912</v>
      </c>
      <c r="AH840">
        <v>0.10957553764808377</v>
      </c>
      <c r="AI840">
        <v>5.308204055377388E-3</v>
      </c>
    </row>
    <row r="841" spans="23:35" x14ac:dyDescent="0.25">
      <c r="W841">
        <v>839</v>
      </c>
      <c r="X841">
        <v>69.111474226710271</v>
      </c>
      <c r="Y841">
        <v>-16.911474226710268</v>
      </c>
      <c r="Z841">
        <v>69.303392237306923</v>
      </c>
      <c r="AA841">
        <v>5.033353547604609E-2</v>
      </c>
      <c r="AB841">
        <v>71.8</v>
      </c>
      <c r="AC841">
        <v>-1.6504653896281696</v>
      </c>
      <c r="AD841">
        <v>-2.2909842404407037</v>
      </c>
      <c r="AE841">
        <v>0.10975847463318691</v>
      </c>
      <c r="AF841">
        <v>1.1221049481519431E-2</v>
      </c>
      <c r="AG841">
        <v>-2.3039470591119264</v>
      </c>
      <c r="AH841">
        <v>0.11029270996901719</v>
      </c>
      <c r="AI841">
        <v>3.3466226878219722E-3</v>
      </c>
    </row>
    <row r="842" spans="23:35" x14ac:dyDescent="0.25">
      <c r="W842">
        <v>840</v>
      </c>
      <c r="X842">
        <v>62.125620054694572</v>
      </c>
      <c r="Y842">
        <v>-9.8256200546945749</v>
      </c>
      <c r="Z842">
        <v>62.251250026413139</v>
      </c>
      <c r="AA842">
        <v>5.1546391752577317E-2</v>
      </c>
      <c r="AB842">
        <v>71.8</v>
      </c>
      <c r="AC842">
        <v>-1.6387108222805178</v>
      </c>
      <c r="AD842">
        <v>-1.3310690952247193</v>
      </c>
      <c r="AE842">
        <v>0.1101567788555677</v>
      </c>
      <c r="AF842">
        <v>1.26245417796876E-2</v>
      </c>
      <c r="AG842">
        <v>-1.3395515644250882</v>
      </c>
      <c r="AH842">
        <v>0.11043624804697795</v>
      </c>
      <c r="AI842">
        <v>1.2746168701158681E-3</v>
      </c>
    </row>
    <row r="843" spans="23:35" x14ac:dyDescent="0.25">
      <c r="W843">
        <v>841</v>
      </c>
      <c r="X843">
        <v>60.421955197293805</v>
      </c>
      <c r="Y843">
        <v>-9.3219551972938035</v>
      </c>
      <c r="Z843">
        <v>60.506477110930874</v>
      </c>
      <c r="AA843">
        <v>3.8811400848999394E-2</v>
      </c>
      <c r="AB843">
        <v>71.8</v>
      </c>
      <c r="AC843">
        <v>-1.7755718253255368</v>
      </c>
      <c r="AD843">
        <v>-1.2628380093181748</v>
      </c>
      <c r="AE843">
        <v>0.11126905025321572</v>
      </c>
      <c r="AF843">
        <v>8.9855014412197343E-3</v>
      </c>
      <c r="AG843">
        <v>-1.2685501494821578</v>
      </c>
      <c r="AH843">
        <v>0.11139007443747781</v>
      </c>
      <c r="AI843">
        <v>8.1059717612287435E-4</v>
      </c>
    </row>
    <row r="844" spans="23:35" x14ac:dyDescent="0.25">
      <c r="W844">
        <v>842</v>
      </c>
      <c r="X844">
        <v>63.630853917232926</v>
      </c>
      <c r="Y844">
        <v>-14.230853917232928</v>
      </c>
      <c r="Z844">
        <v>63.758727614252692</v>
      </c>
      <c r="AA844">
        <v>2.9108550636749546E-2</v>
      </c>
      <c r="AB844">
        <v>71.8</v>
      </c>
      <c r="AC844">
        <v>-1.8986487576703672</v>
      </c>
      <c r="AD844">
        <v>-1.9278426951626308</v>
      </c>
      <c r="AE844">
        <v>0.11178113517519551</v>
      </c>
      <c r="AF844">
        <v>8.9056426485059296E-3</v>
      </c>
      <c r="AG844">
        <v>-1.9364847998776042</v>
      </c>
      <c r="AH844">
        <v>0.11200848393557578</v>
      </c>
      <c r="AI844">
        <v>1.8720004147924497E-3</v>
      </c>
    </row>
    <row r="845" spans="23:35" x14ac:dyDescent="0.25">
      <c r="W845">
        <v>843</v>
      </c>
      <c r="X845">
        <v>57.611429250880057</v>
      </c>
      <c r="Y845">
        <v>-9.8114292508800602</v>
      </c>
      <c r="Z845">
        <v>57.744666594538174</v>
      </c>
      <c r="AA845">
        <v>1.9405700424499697E-2</v>
      </c>
      <c r="AB845">
        <v>71.900000000000006</v>
      </c>
      <c r="AC845">
        <v>-2.0994271873972417</v>
      </c>
      <c r="AD845">
        <v>-1.3291466780857752</v>
      </c>
      <c r="AE845">
        <v>0.11347018142860002</v>
      </c>
      <c r="AF845">
        <v>1.3397869339460208E-2</v>
      </c>
      <c r="AG845">
        <v>-1.3381410252535182</v>
      </c>
      <c r="AH845">
        <v>0.11387500317783641</v>
      </c>
      <c r="AI845">
        <v>1.3509054547778286E-3</v>
      </c>
    </row>
    <row r="846" spans="23:35" x14ac:dyDescent="0.25">
      <c r="W846">
        <v>844</v>
      </c>
      <c r="X846">
        <v>54.956668815695778</v>
      </c>
      <c r="Y846">
        <v>-8.7566688156957753</v>
      </c>
      <c r="Z846">
        <v>55.177124614337913</v>
      </c>
      <c r="AA846">
        <v>1.3341419041843541E-2</v>
      </c>
      <c r="AB846">
        <v>71.900000000000006</v>
      </c>
      <c r="AC846">
        <v>-2.2435160869312201</v>
      </c>
      <c r="AD846">
        <v>-1.1862591035282</v>
      </c>
      <c r="AE846">
        <v>0.11386658723439606</v>
      </c>
      <c r="AF846">
        <v>2.4557506786753461E-2</v>
      </c>
      <c r="AG846">
        <v>-1.2010987717724717</v>
      </c>
      <c r="AH846">
        <v>0.11403811193071871</v>
      </c>
      <c r="AI846">
        <v>2.0177508667036841E-3</v>
      </c>
    </row>
    <row r="847" spans="23:35" x14ac:dyDescent="0.25">
      <c r="W847">
        <v>845</v>
      </c>
      <c r="X847">
        <v>53.918771044077374</v>
      </c>
      <c r="Y847">
        <v>-8.618771044077377</v>
      </c>
      <c r="Z847">
        <v>54.091207740229898</v>
      </c>
      <c r="AA847">
        <v>7.2771376591873865E-3</v>
      </c>
      <c r="AB847">
        <v>71.900000000000006</v>
      </c>
      <c r="AC847">
        <v>-2.5264513477970261</v>
      </c>
      <c r="AD847">
        <v>-1.1675781998213741</v>
      </c>
      <c r="AE847">
        <v>0.11405241056301706</v>
      </c>
      <c r="AF847">
        <v>1.961467653226184E-2</v>
      </c>
      <c r="AG847">
        <v>-1.1792002890592457</v>
      </c>
      <c r="AH847">
        <v>0.11501533160481987</v>
      </c>
      <c r="AI847">
        <v>1.5455640171047409E-3</v>
      </c>
    </row>
    <row r="848" spans="23:35" x14ac:dyDescent="0.25">
      <c r="W848">
        <v>846</v>
      </c>
      <c r="X848">
        <v>53.333877248718281</v>
      </c>
      <c r="Y848">
        <v>-8.8338772487182808</v>
      </c>
      <c r="Z848">
        <v>53.519873074478213</v>
      </c>
      <c r="AA848">
        <v>2.4257125530624622E-3</v>
      </c>
      <c r="AB848">
        <v>71.900000000000006</v>
      </c>
      <c r="AC848">
        <v>-2.9644605992605717</v>
      </c>
      <c r="AD848">
        <v>-1.1967184698088942</v>
      </c>
      <c r="AE848">
        <v>0.11491845898862015</v>
      </c>
      <c r="AF848">
        <v>2.0620669961111456E-2</v>
      </c>
      <c r="AG848">
        <v>-1.2092511996195483</v>
      </c>
      <c r="AH848">
        <v>0.11521312533946682</v>
      </c>
      <c r="AI848">
        <v>1.7104578875581165E-3</v>
      </c>
    </row>
    <row r="849" spans="23:35" x14ac:dyDescent="0.25">
      <c r="W849">
        <v>847</v>
      </c>
      <c r="X849">
        <v>46.981286582970043</v>
      </c>
      <c r="Y849">
        <v>-2.1812865829700456</v>
      </c>
      <c r="Z849">
        <v>47.060845020899897</v>
      </c>
      <c r="AA849">
        <v>4.8514251061249243E-3</v>
      </c>
      <c r="AB849">
        <v>71.900000000000006</v>
      </c>
      <c r="AC849">
        <v>-2.6570161854420777</v>
      </c>
      <c r="AD849">
        <v>-0.29549719429996935</v>
      </c>
      <c r="AE849">
        <v>0.11592306238372849</v>
      </c>
      <c r="AF849">
        <v>3.5189691108585996E-2</v>
      </c>
      <c r="AG849">
        <v>-0.30083779308180497</v>
      </c>
      <c r="AH849">
        <v>0.11603796455524971</v>
      </c>
      <c r="AI849">
        <v>1.8338584151533844E-4</v>
      </c>
    </row>
    <row r="850" spans="23:35" x14ac:dyDescent="0.25">
      <c r="W850">
        <v>848</v>
      </c>
      <c r="X850">
        <v>35.907032547624127</v>
      </c>
      <c r="Y850">
        <v>9.5929674523758734</v>
      </c>
      <c r="Z850">
        <v>35.598123084971029</v>
      </c>
      <c r="AA850">
        <v>8.4899939357186167E-3</v>
      </c>
      <c r="AB850">
        <v>71.900000000000006</v>
      </c>
      <c r="AC850">
        <v>-2.4004805754973497</v>
      </c>
      <c r="AD850">
        <v>1.299551828411408</v>
      </c>
      <c r="AE850">
        <v>0.11882086444685137</v>
      </c>
      <c r="AF850">
        <v>3.1197061456524434E-2</v>
      </c>
      <c r="AG850">
        <v>1.3203099035205637</v>
      </c>
      <c r="AH850">
        <v>0.11899786716317144</v>
      </c>
      <c r="AI850">
        <v>3.1185843685958992E-3</v>
      </c>
    </row>
    <row r="851" spans="23:35" x14ac:dyDescent="0.25">
      <c r="W851">
        <v>849</v>
      </c>
      <c r="X851">
        <v>50.631968119509501</v>
      </c>
      <c r="Y851">
        <v>7.4680318804904999</v>
      </c>
      <c r="Z851">
        <v>50.537829285933867</v>
      </c>
      <c r="AA851">
        <v>0.13523347483323225</v>
      </c>
      <c r="AB851">
        <v>71.900000000000006</v>
      </c>
      <c r="AC851">
        <v>-1.1174634002413726</v>
      </c>
      <c r="AD851">
        <v>1.0116884616889295</v>
      </c>
      <c r="AE851">
        <v>0.11967115588243682</v>
      </c>
      <c r="AF851">
        <v>1.2448652263368288E-2</v>
      </c>
      <c r="AG851">
        <v>1.0180449498535828</v>
      </c>
      <c r="AH851">
        <v>0.11995390458964325</v>
      </c>
      <c r="AI851">
        <v>7.2581184638831082E-4</v>
      </c>
    </row>
    <row r="852" spans="23:35" x14ac:dyDescent="0.25">
      <c r="W852">
        <v>850</v>
      </c>
      <c r="X852">
        <v>63.962373929024835</v>
      </c>
      <c r="Y852">
        <v>-2.8623739290248338</v>
      </c>
      <c r="Z852">
        <v>63.974109404276895</v>
      </c>
      <c r="AA852">
        <v>0.17889630078835658</v>
      </c>
      <c r="AB852">
        <v>71.900000000000006</v>
      </c>
      <c r="AC852">
        <v>-0.9277300733017374</v>
      </c>
      <c r="AD852">
        <v>-0.38776356654270638</v>
      </c>
      <c r="AE852">
        <v>0.12189904362044426</v>
      </c>
      <c r="AF852">
        <v>4.083169288752235E-3</v>
      </c>
      <c r="AG852">
        <v>-0.38855765130182773</v>
      </c>
      <c r="AH852">
        <v>0.12206314345932937</v>
      </c>
      <c r="AI852">
        <v>3.438846097847025E-5</v>
      </c>
    </row>
    <row r="853" spans="23:35" x14ac:dyDescent="0.25">
      <c r="W853">
        <v>851</v>
      </c>
      <c r="X853">
        <v>46.267492550646665</v>
      </c>
      <c r="Y853">
        <v>20.732507449353335</v>
      </c>
      <c r="Z853">
        <v>46.058819923824856</v>
      </c>
      <c r="AA853">
        <v>0.33959975742874471</v>
      </c>
      <c r="AB853">
        <v>71.900000000000006</v>
      </c>
      <c r="AC853">
        <v>-0.42600652312983872</v>
      </c>
      <c r="AD853">
        <v>2.8086166347502144</v>
      </c>
      <c r="AE853">
        <v>0.12355698087055864</v>
      </c>
      <c r="AF853">
        <v>9.9647023741137198E-3</v>
      </c>
      <c r="AG853">
        <v>2.8227156061509637</v>
      </c>
      <c r="AH853">
        <v>0.12420845920637802</v>
      </c>
      <c r="AI853">
        <v>4.4552840356621359E-3</v>
      </c>
    </row>
    <row r="854" spans="23:35" x14ac:dyDescent="0.25">
      <c r="W854">
        <v>852</v>
      </c>
      <c r="X854">
        <v>62.376423696583984</v>
      </c>
      <c r="Y854">
        <v>-0.37642369658398422</v>
      </c>
      <c r="Z854">
        <v>62.378910133195255</v>
      </c>
      <c r="AA854">
        <v>0.19890842935112188</v>
      </c>
      <c r="AB854">
        <v>72</v>
      </c>
      <c r="AC854">
        <v>-0.85973834429501084</v>
      </c>
      <c r="AD854">
        <v>-5.0993824964134842E-2</v>
      </c>
      <c r="AE854">
        <v>0.12488320448489923</v>
      </c>
      <c r="AF854">
        <v>6.5620747333967767E-3</v>
      </c>
      <c r="AG854">
        <v>-5.1161965576770357E-2</v>
      </c>
      <c r="AH854">
        <v>0.12502462945598283</v>
      </c>
      <c r="AI854">
        <v>9.6055530267129714E-7</v>
      </c>
    </row>
    <row r="855" spans="23:35" x14ac:dyDescent="0.25">
      <c r="W855">
        <v>853</v>
      </c>
      <c r="X855">
        <v>56.645882724845691</v>
      </c>
      <c r="Y855">
        <v>3.0541172751543115</v>
      </c>
      <c r="Z855">
        <v>56.589500265885491</v>
      </c>
      <c r="AA855">
        <v>0.16919345057610674</v>
      </c>
      <c r="AB855">
        <v>72</v>
      </c>
      <c r="AC855">
        <v>-0.96823093621551704</v>
      </c>
      <c r="AD855">
        <v>0.41373888828598726</v>
      </c>
      <c r="AE855">
        <v>0.12930385548379864</v>
      </c>
      <c r="AF855">
        <v>1.8126495347942514E-2</v>
      </c>
      <c r="AG855">
        <v>0.41754046706128861</v>
      </c>
      <c r="AH855">
        <v>0.12948891339564131</v>
      </c>
      <c r="AI855">
        <v>1.7880635215691249E-4</v>
      </c>
    </row>
    <row r="856" spans="23:35" x14ac:dyDescent="0.25">
      <c r="W856">
        <v>854</v>
      </c>
      <c r="X856">
        <v>65.739101959916511</v>
      </c>
      <c r="Y856">
        <v>-6.5391019599165077</v>
      </c>
      <c r="Z856">
        <v>65.825020538409348</v>
      </c>
      <c r="AA856">
        <v>0.15767131594906003</v>
      </c>
      <c r="AB856">
        <v>72</v>
      </c>
      <c r="AC856">
        <v>-1.0205681915260707</v>
      </c>
      <c r="AD856">
        <v>-0.8858470489309811</v>
      </c>
      <c r="AE856">
        <v>0.13487526731385419</v>
      </c>
      <c r="AF856">
        <v>1.2968801831589553E-2</v>
      </c>
      <c r="AG856">
        <v>-0.89164771852160662</v>
      </c>
      <c r="AH856">
        <v>0.13601553700333202</v>
      </c>
      <c r="AI856">
        <v>5.8034076014973942E-4</v>
      </c>
    </row>
    <row r="857" spans="23:35" x14ac:dyDescent="0.25">
      <c r="W857">
        <v>855</v>
      </c>
      <c r="X857">
        <v>62.940640977449526</v>
      </c>
      <c r="Y857">
        <v>-4.3406409774495245</v>
      </c>
      <c r="Z857">
        <v>62.975209788202001</v>
      </c>
      <c r="AA857">
        <v>0.14432989690721648</v>
      </c>
      <c r="AB857">
        <v>72</v>
      </c>
      <c r="AC857">
        <v>-1.0704544602760233</v>
      </c>
      <c r="AD857">
        <v>-0.58802325210901685</v>
      </c>
      <c r="AE857">
        <v>0.13498095262161192</v>
      </c>
      <c r="AF857">
        <v>7.9010635891544351E-3</v>
      </c>
      <c r="AG857">
        <v>-0.59036011358463603</v>
      </c>
      <c r="AH857">
        <v>0.13610676283322659</v>
      </c>
      <c r="AI857">
        <v>1.5420273734448946E-4</v>
      </c>
    </row>
    <row r="858" spans="23:35" x14ac:dyDescent="0.25">
      <c r="W858">
        <v>856</v>
      </c>
      <c r="X858">
        <v>81.067547503358952</v>
      </c>
      <c r="Y858">
        <v>-7.6675475033589464</v>
      </c>
      <c r="Z858">
        <v>81.114015152099881</v>
      </c>
      <c r="AA858">
        <v>0.63735597331716187</v>
      </c>
      <c r="AB858">
        <v>72</v>
      </c>
      <c r="AC858">
        <v>0.33286538375086522</v>
      </c>
      <c r="AD858">
        <v>-1.0387166877078882</v>
      </c>
      <c r="AE858">
        <v>0.13643402518253159</v>
      </c>
      <c r="AF858">
        <v>6.0237953678743241E-3</v>
      </c>
      <c r="AG858">
        <v>-1.0418594015414893</v>
      </c>
      <c r="AH858">
        <v>0.13759281068343371</v>
      </c>
      <c r="AI858">
        <v>3.6546008216920304E-4</v>
      </c>
    </row>
    <row r="859" spans="23:35" x14ac:dyDescent="0.25">
      <c r="W859">
        <v>857</v>
      </c>
      <c r="X859">
        <v>80.749861454215505</v>
      </c>
      <c r="Y859">
        <v>-7.7498614542155053</v>
      </c>
      <c r="Z859">
        <v>80.796664537663204</v>
      </c>
      <c r="AA859">
        <v>0.60946027895694366</v>
      </c>
      <c r="AB859">
        <v>72</v>
      </c>
      <c r="AC859">
        <v>0.22222871718700732</v>
      </c>
      <c r="AD859">
        <v>-1.049867694512661</v>
      </c>
      <c r="AE859">
        <v>0.13729125092123737</v>
      </c>
      <c r="AF859">
        <v>6.0029623208245767E-3</v>
      </c>
      <c r="AG859">
        <v>-1.0530331111770919</v>
      </c>
      <c r="AH859">
        <v>0.13887007297469081</v>
      </c>
      <c r="AI859">
        <v>3.7204209098590625E-4</v>
      </c>
    </row>
    <row r="860" spans="23:35" x14ac:dyDescent="0.25">
      <c r="W860">
        <v>858</v>
      </c>
      <c r="X860">
        <v>75.437626597004808</v>
      </c>
      <c r="Y860">
        <v>-2.4376265970048081</v>
      </c>
      <c r="Z860">
        <v>75.465957556399871</v>
      </c>
      <c r="AA860">
        <v>0.60946027895694366</v>
      </c>
      <c r="AB860">
        <v>72</v>
      </c>
      <c r="AC860">
        <v>0.22222871718700732</v>
      </c>
      <c r="AD860">
        <v>-0.33022337632734361</v>
      </c>
      <c r="AE860">
        <v>0.13848430531308109</v>
      </c>
      <c r="AF860">
        <v>1.1488826854110904E-2</v>
      </c>
      <c r="AG860">
        <v>-0.33213681921115262</v>
      </c>
      <c r="AH860">
        <v>0.138906147190973</v>
      </c>
      <c r="AI860">
        <v>7.122880219047361E-5</v>
      </c>
    </row>
    <row r="861" spans="23:35" x14ac:dyDescent="0.25">
      <c r="W861">
        <v>859</v>
      </c>
      <c r="X861">
        <v>75.669460257753457</v>
      </c>
      <c r="Y861">
        <v>-2.8694602577534596</v>
      </c>
      <c r="Z861">
        <v>75.700619188011927</v>
      </c>
      <c r="AA861">
        <v>0.58156458459672533</v>
      </c>
      <c r="AB861">
        <v>72</v>
      </c>
      <c r="AC861">
        <v>0.18343432307636306</v>
      </c>
      <c r="AD861">
        <v>-0.38872354597573672</v>
      </c>
      <c r="AE861">
        <v>0.139345083540102</v>
      </c>
      <c r="AF861">
        <v>1.0742165116761669E-2</v>
      </c>
      <c r="AG861">
        <v>-0.39082838539546844</v>
      </c>
      <c r="AH861">
        <v>0.13956536313794754</v>
      </c>
      <c r="AI861">
        <v>9.2147173198326175E-5</v>
      </c>
    </row>
    <row r="862" spans="23:35" x14ac:dyDescent="0.25">
      <c r="W862">
        <v>860</v>
      </c>
      <c r="X862">
        <v>79.003149177663801</v>
      </c>
      <c r="Y862">
        <v>-6.6031491776637949</v>
      </c>
      <c r="Z862">
        <v>79.072939992347628</v>
      </c>
      <c r="AA862">
        <v>0.55124317768344455</v>
      </c>
      <c r="AB862">
        <v>72</v>
      </c>
      <c r="AC862">
        <v>0.11578501997911882</v>
      </c>
      <c r="AD862">
        <v>-0.89452347563016033</v>
      </c>
      <c r="AE862">
        <v>0.1394310388716285</v>
      </c>
      <c r="AF862">
        <v>1.0458780502127214E-2</v>
      </c>
      <c r="AG862">
        <v>-0.89923830389159776</v>
      </c>
      <c r="AH862">
        <v>0.13976703323965883</v>
      </c>
      <c r="AI862">
        <v>4.7481480226132231E-4</v>
      </c>
    </row>
    <row r="863" spans="23:35" x14ac:dyDescent="0.25">
      <c r="W863">
        <v>861</v>
      </c>
      <c r="X863">
        <v>84.510957752961787</v>
      </c>
      <c r="Y863">
        <v>-12.310957752961784</v>
      </c>
      <c r="Z863">
        <v>84.555257808132012</v>
      </c>
      <c r="AA863">
        <v>0.53911461491813217</v>
      </c>
      <c r="AB863">
        <v>72</v>
      </c>
      <c r="AC863">
        <v>7.9127168877726875E-2</v>
      </c>
      <c r="AD863">
        <v>-1.6677558572759161</v>
      </c>
      <c r="AE863">
        <v>0.13971622609438564</v>
      </c>
      <c r="AF863">
        <v>3.5855225247561724E-3</v>
      </c>
      <c r="AG863">
        <v>-1.6707538097045933</v>
      </c>
      <c r="AH863">
        <v>0.14044822447685357</v>
      </c>
      <c r="AI863">
        <v>5.580393718645091E-4</v>
      </c>
    </row>
    <row r="864" spans="23:35" x14ac:dyDescent="0.25">
      <c r="W864">
        <v>862</v>
      </c>
      <c r="X864">
        <v>82.889651431309773</v>
      </c>
      <c r="Y864">
        <v>-11.789651431309778</v>
      </c>
      <c r="Z864">
        <v>82.945544519670563</v>
      </c>
      <c r="AA864">
        <v>0.47422680412371132</v>
      </c>
      <c r="AB864">
        <v>72</v>
      </c>
      <c r="AC864">
        <v>-7.6077819866612773E-2</v>
      </c>
      <c r="AD864">
        <v>-1.5971348959489282</v>
      </c>
      <c r="AE864">
        <v>0.14032049935352586</v>
      </c>
      <c r="AF864">
        <v>4.7184904221135356E-3</v>
      </c>
      <c r="AG864">
        <v>-1.6009163160237438</v>
      </c>
      <c r="AH864">
        <v>0.1406437706698877</v>
      </c>
      <c r="AI864">
        <v>6.7502817247994476E-4</v>
      </c>
    </row>
    <row r="865" spans="23:35" x14ac:dyDescent="0.25">
      <c r="W865">
        <v>863</v>
      </c>
      <c r="X865">
        <v>79.717769367115949</v>
      </c>
      <c r="Y865">
        <v>-7.7177693671159489</v>
      </c>
      <c r="Z865">
        <v>79.757914039421848</v>
      </c>
      <c r="AA865">
        <v>0.52516676773802307</v>
      </c>
      <c r="AB865">
        <v>72</v>
      </c>
      <c r="AC865">
        <v>4.1053957112594373E-2</v>
      </c>
      <c r="AD865">
        <v>-1.0455202044711476</v>
      </c>
      <c r="AE865">
        <v>0.14056983402327836</v>
      </c>
      <c r="AF865">
        <v>5.1746735142856343E-3</v>
      </c>
      <c r="AG865">
        <v>-1.0482358613615101</v>
      </c>
      <c r="AH865">
        <v>0.14082196367047595</v>
      </c>
      <c r="AI865">
        <v>3.1752771821331511E-4</v>
      </c>
    </row>
    <row r="866" spans="23:35" x14ac:dyDescent="0.25">
      <c r="W866">
        <v>864</v>
      </c>
      <c r="X866">
        <v>82.693620481482114</v>
      </c>
      <c r="Y866">
        <v>-6.6936204814821139</v>
      </c>
      <c r="Z866">
        <v>82.730898573667545</v>
      </c>
      <c r="AA866">
        <v>0.80836870830806551</v>
      </c>
      <c r="AB866">
        <v>72</v>
      </c>
      <c r="AC866">
        <v>0.83794453378675593</v>
      </c>
      <c r="AD866">
        <v>-0.90677955268656074</v>
      </c>
      <c r="AE866">
        <v>0.1431538662153517</v>
      </c>
      <c r="AF866">
        <v>5.5383529817654657E-3</v>
      </c>
      <c r="AG866">
        <v>-0.90930106391809218</v>
      </c>
      <c r="AH866">
        <v>0.14340036990350996</v>
      </c>
      <c r="AI866">
        <v>2.5582058425869923E-4</v>
      </c>
    </row>
    <row r="867" spans="23:35" x14ac:dyDescent="0.25">
      <c r="W867">
        <v>865</v>
      </c>
      <c r="X867">
        <v>81.438662962776164</v>
      </c>
      <c r="Y867">
        <v>-3.4386629627761636</v>
      </c>
      <c r="Z867">
        <v>81.453923314599663</v>
      </c>
      <c r="AA867">
        <v>0.86294724075197093</v>
      </c>
      <c r="AB867">
        <v>72</v>
      </c>
      <c r="AC867">
        <v>1.0491313979639725</v>
      </c>
      <c r="AD867">
        <v>-0.46583299304946491</v>
      </c>
      <c r="AE867">
        <v>0.14320537117005866</v>
      </c>
      <c r="AF867">
        <v>4.4182659640981722E-3</v>
      </c>
      <c r="AG867">
        <v>-0.46686550276796901</v>
      </c>
      <c r="AH867">
        <v>0.14340679769152828</v>
      </c>
      <c r="AI867">
        <v>5.3738556868199E-5</v>
      </c>
    </row>
    <row r="868" spans="23:35" x14ac:dyDescent="0.25">
      <c r="W868">
        <v>866</v>
      </c>
      <c r="X868">
        <v>74.318146858901585</v>
      </c>
      <c r="Y868">
        <v>-2.7181468589015907</v>
      </c>
      <c r="Z868">
        <v>74.378442352482878</v>
      </c>
      <c r="AA868">
        <v>0.49787750151607035</v>
      </c>
      <c r="AB868">
        <v>72</v>
      </c>
      <c r="AC868">
        <v>-2.1282865457297767E-2</v>
      </c>
      <c r="AD868">
        <v>-0.36822523769758347</v>
      </c>
      <c r="AE868">
        <v>0.14378239942269402</v>
      </c>
      <c r="AF868">
        <v>2.1701185747985175E-2</v>
      </c>
      <c r="AG868">
        <v>-0.37228692833116167</v>
      </c>
      <c r="AH868">
        <v>0.14394955858946634</v>
      </c>
      <c r="AI868">
        <v>1.7080280840535027E-4</v>
      </c>
    </row>
    <row r="869" spans="23:35" x14ac:dyDescent="0.25">
      <c r="W869">
        <v>867</v>
      </c>
      <c r="X869">
        <v>79.088187933776425</v>
      </c>
      <c r="Y869">
        <v>-7.4881879337764303</v>
      </c>
      <c r="Z869">
        <v>79.126290118378691</v>
      </c>
      <c r="AA869">
        <v>0.49787750151607035</v>
      </c>
      <c r="AB869">
        <v>72.099999999999994</v>
      </c>
      <c r="AC869">
        <v>-2.1282865457297767E-2</v>
      </c>
      <c r="AD869">
        <v>-1.0144189865271849</v>
      </c>
      <c r="AE869">
        <v>0.1450889271369076</v>
      </c>
      <c r="AF869">
        <v>5.0625452916326493E-3</v>
      </c>
      <c r="AG869">
        <v>-1.0169965484665369</v>
      </c>
      <c r="AH869">
        <v>0.14534490587746185</v>
      </c>
      <c r="AI869">
        <v>2.9237456871894312E-4</v>
      </c>
    </row>
    <row r="870" spans="23:35" x14ac:dyDescent="0.25">
      <c r="W870">
        <v>868</v>
      </c>
      <c r="X870">
        <v>78.113398902392092</v>
      </c>
      <c r="Y870">
        <v>-6.7133989023920861</v>
      </c>
      <c r="Z870">
        <v>78.141155083711453</v>
      </c>
      <c r="AA870">
        <v>0.4887810794420861</v>
      </c>
      <c r="AB870">
        <v>72.099999999999994</v>
      </c>
      <c r="AC870">
        <v>-4.7140240828996732E-2</v>
      </c>
      <c r="AD870">
        <v>-0.90945891996099881</v>
      </c>
      <c r="AE870">
        <v>0.14605029256296728</v>
      </c>
      <c r="AF870">
        <v>4.117422159063416E-3</v>
      </c>
      <c r="AG870">
        <v>-0.91133703485391637</v>
      </c>
      <c r="AH870">
        <v>0.14714459480110326</v>
      </c>
      <c r="AI870">
        <v>1.9076680076947919E-4</v>
      </c>
    </row>
    <row r="871" spans="23:35" x14ac:dyDescent="0.25">
      <c r="W871">
        <v>869</v>
      </c>
      <c r="X871">
        <v>76.686339343818048</v>
      </c>
      <c r="Y871">
        <v>-5.4863393438180452</v>
      </c>
      <c r="Z871">
        <v>76.709446666376991</v>
      </c>
      <c r="AA871">
        <v>0.47907822922983628</v>
      </c>
      <c r="AB871">
        <v>72.099999999999994</v>
      </c>
      <c r="AC871">
        <v>-6.3887210036911155E-2</v>
      </c>
      <c r="AD871">
        <v>-0.74323011736877775</v>
      </c>
      <c r="AE871">
        <v>0.14898501314597537</v>
      </c>
      <c r="AF871">
        <v>4.1941276426121126E-3</v>
      </c>
      <c r="AG871">
        <v>-0.74479363828612044</v>
      </c>
      <c r="AH871">
        <v>0.14932811770465604</v>
      </c>
      <c r="AI871">
        <v>1.2979751330902386E-4</v>
      </c>
    </row>
    <row r="872" spans="23:35" x14ac:dyDescent="0.25">
      <c r="W872">
        <v>870</v>
      </c>
      <c r="X872">
        <v>74.203920145313646</v>
      </c>
      <c r="Y872">
        <v>-2.6039201453136513</v>
      </c>
      <c r="Z872">
        <v>74.214375911058994</v>
      </c>
      <c r="AA872">
        <v>0.49787750151607035</v>
      </c>
      <c r="AB872">
        <v>72.099999999999994</v>
      </c>
      <c r="AC872">
        <v>-2.1282865457297767E-2</v>
      </c>
      <c r="AD872">
        <v>-0.35275103378377076</v>
      </c>
      <c r="AE872">
        <v>0.14953357400890893</v>
      </c>
      <c r="AF872">
        <v>3.9993352528672329E-3</v>
      </c>
      <c r="AG872">
        <v>-0.35345854148527878</v>
      </c>
      <c r="AH872">
        <v>0.1502062687163721</v>
      </c>
      <c r="AI872">
        <v>2.7869722217082847E-5</v>
      </c>
    </row>
    <row r="873" spans="23:35" x14ac:dyDescent="0.25">
      <c r="W873">
        <v>871</v>
      </c>
      <c r="X873">
        <v>68.741547489630193</v>
      </c>
      <c r="Y873">
        <v>12.95845251036981</v>
      </c>
      <c r="Z873">
        <v>67.617999627131525</v>
      </c>
      <c r="AA873">
        <v>0.95573074590661011</v>
      </c>
      <c r="AB873">
        <v>72.099999999999994</v>
      </c>
      <c r="AC873">
        <v>1.6624525291871317</v>
      </c>
      <c r="AD873">
        <v>1.755471467701343</v>
      </c>
      <c r="AE873">
        <v>0.15235154210370286</v>
      </c>
      <c r="AF873">
        <v>7.9786098050627821E-2</v>
      </c>
      <c r="AG873">
        <v>1.8299927961710745</v>
      </c>
      <c r="AH873">
        <v>0.15259831009500743</v>
      </c>
      <c r="AI873">
        <v>1.6131126298069284E-2</v>
      </c>
    </row>
    <row r="874" spans="23:35" x14ac:dyDescent="0.25">
      <c r="W874">
        <v>872</v>
      </c>
      <c r="X874">
        <v>68.999350139821971</v>
      </c>
      <c r="Y874">
        <v>12.400649860178035</v>
      </c>
      <c r="Z874">
        <v>68.027038175849782</v>
      </c>
      <c r="AA874">
        <v>0.94724075197089141</v>
      </c>
      <c r="AB874">
        <v>72.099999999999994</v>
      </c>
      <c r="AC874">
        <v>1.5992570753291051</v>
      </c>
      <c r="AD874">
        <v>1.6799063771755831</v>
      </c>
      <c r="AE874">
        <v>0.15484067129477622</v>
      </c>
      <c r="AF874">
        <v>7.2707301251417319E-2</v>
      </c>
      <c r="AG874">
        <v>1.7445228352757669</v>
      </c>
      <c r="AH874">
        <v>0.15512507071942877</v>
      </c>
      <c r="AI874">
        <v>1.3256900498385512E-2</v>
      </c>
    </row>
    <row r="875" spans="23:35" x14ac:dyDescent="0.25">
      <c r="W875">
        <v>873</v>
      </c>
      <c r="X875">
        <v>70.178146126934067</v>
      </c>
      <c r="Y875">
        <v>10.921853873065928</v>
      </c>
      <c r="Z875">
        <v>70.071247015783939</v>
      </c>
      <c r="AA875">
        <v>0.93935718617343844</v>
      </c>
      <c r="AB875">
        <v>72.099999999999994</v>
      </c>
      <c r="AC875">
        <v>1.5222105313262397</v>
      </c>
      <c r="AD875">
        <v>1.4795750366973008</v>
      </c>
      <c r="AE875">
        <v>0.15680640406219093</v>
      </c>
      <c r="AF875">
        <v>9.6927650209512137E-3</v>
      </c>
      <c r="AG875">
        <v>1.4867981750350852</v>
      </c>
      <c r="AH875">
        <v>0.15697009900202832</v>
      </c>
      <c r="AI875">
        <v>1.2020132806054302E-3</v>
      </c>
    </row>
    <row r="876" spans="23:35" x14ac:dyDescent="0.25">
      <c r="W876">
        <v>874</v>
      </c>
      <c r="X876">
        <v>75.543831242589789</v>
      </c>
      <c r="Y876">
        <v>12.456168757410211</v>
      </c>
      <c r="Z876">
        <v>74.623035039212922</v>
      </c>
      <c r="AA876">
        <v>0.99575500303214071</v>
      </c>
      <c r="AB876">
        <v>72.099999999999994</v>
      </c>
      <c r="AC876">
        <v>2.428517260365656</v>
      </c>
      <c r="AD876">
        <v>1.6874274789376442</v>
      </c>
      <c r="AE876">
        <v>0.15692560096876365</v>
      </c>
      <c r="AF876">
        <v>6.8834463278932154E-2</v>
      </c>
      <c r="AG876">
        <v>1.7486853438073608</v>
      </c>
      <c r="AH876">
        <v>0.15733301224423757</v>
      </c>
      <c r="AI876">
        <v>1.2558271606453106E-2</v>
      </c>
    </row>
    <row r="877" spans="23:35" x14ac:dyDescent="0.25">
      <c r="W877">
        <v>875</v>
      </c>
      <c r="X877">
        <v>76.127356588584519</v>
      </c>
      <c r="Y877">
        <v>9.8726434114154813</v>
      </c>
      <c r="Z877">
        <v>76.084799307548991</v>
      </c>
      <c r="AA877">
        <v>0.99029714978775019</v>
      </c>
      <c r="AB877">
        <v>72.099999999999994</v>
      </c>
      <c r="AC877">
        <v>2.190305027167327</v>
      </c>
      <c r="AD877">
        <v>1.3374393127312492</v>
      </c>
      <c r="AE877">
        <v>0.15715838794679676</v>
      </c>
      <c r="AF877">
        <v>4.2921250265691747E-3</v>
      </c>
      <c r="AG877">
        <v>1.3403188138106605</v>
      </c>
      <c r="AH877">
        <v>0.15750348794035454</v>
      </c>
      <c r="AI877">
        <v>4.3021360925349849E-4</v>
      </c>
    </row>
    <row r="878" spans="23:35" x14ac:dyDescent="0.25">
      <c r="W878">
        <v>876</v>
      </c>
      <c r="X878">
        <v>76.029542214460733</v>
      </c>
      <c r="Y878">
        <v>6.9704577855392671</v>
      </c>
      <c r="Z878">
        <v>75.995876659446438</v>
      </c>
      <c r="AA878">
        <v>0.97877501516070342</v>
      </c>
      <c r="AB878">
        <v>72.099999999999994</v>
      </c>
      <c r="AC878">
        <v>1.9368862628682144</v>
      </c>
      <c r="AD878">
        <v>0.94428248662707526</v>
      </c>
      <c r="AE878">
        <v>0.1575357684871625</v>
      </c>
      <c r="AF878">
        <v>4.8065337198401562E-3</v>
      </c>
      <c r="AG878">
        <v>0.94656006316648855</v>
      </c>
      <c r="AH878">
        <v>0.15776649259001765</v>
      </c>
      <c r="AI878">
        <v>2.4040767376456835E-4</v>
      </c>
    </row>
    <row r="879" spans="23:35" x14ac:dyDescent="0.25">
      <c r="W879">
        <v>877</v>
      </c>
      <c r="X879">
        <v>75.882954199583423</v>
      </c>
      <c r="Y879">
        <v>4.1170458004165766</v>
      </c>
      <c r="Z879">
        <v>75.533186087207795</v>
      </c>
      <c r="AA879">
        <v>0.92722862340812617</v>
      </c>
      <c r="AB879">
        <v>72.2</v>
      </c>
      <c r="AC879">
        <v>1.4191611772342045</v>
      </c>
      <c r="AD879">
        <v>0.55773298764396084</v>
      </c>
      <c r="AE879">
        <v>0.15789513141662756</v>
      </c>
      <c r="AF879">
        <v>7.8303712490449928E-2</v>
      </c>
      <c r="AG879">
        <v>0.58094151493366286</v>
      </c>
      <c r="AH879">
        <v>0.15822708742146735</v>
      </c>
      <c r="AI879">
        <v>1.5928938502536604E-3</v>
      </c>
    </row>
    <row r="880" spans="23:35" x14ac:dyDescent="0.25">
      <c r="W880">
        <v>878</v>
      </c>
      <c r="X880">
        <v>74.442131963033574</v>
      </c>
      <c r="Y880">
        <v>5.2578680369664283</v>
      </c>
      <c r="Z880">
        <v>74.413449448401025</v>
      </c>
      <c r="AA880">
        <v>0.9151000606428138</v>
      </c>
      <c r="AB880">
        <v>72.2</v>
      </c>
      <c r="AC880">
        <v>1.3555018111021329</v>
      </c>
      <c r="AD880">
        <v>0.71227928739540725</v>
      </c>
      <c r="AE880">
        <v>0.15805547430822128</v>
      </c>
      <c r="AF880">
        <v>5.4255632954972729E-3</v>
      </c>
      <c r="AG880">
        <v>0.71421944398532</v>
      </c>
      <c r="AH880">
        <v>0.15847537716999824</v>
      </c>
      <c r="AI880">
        <v>1.5459604363053214E-4</v>
      </c>
    </row>
    <row r="881" spans="23:35" x14ac:dyDescent="0.25">
      <c r="W881">
        <v>879</v>
      </c>
      <c r="X881">
        <v>77.005311277309872</v>
      </c>
      <c r="Y881">
        <v>2.3946887226901339</v>
      </c>
      <c r="Z881">
        <v>76.873507266934027</v>
      </c>
      <c r="AA881">
        <v>0.90661006670709521</v>
      </c>
      <c r="AB881">
        <v>72.2</v>
      </c>
      <c r="AC881">
        <v>1.2933897637306977</v>
      </c>
      <c r="AD881">
        <v>0.32440661594003362</v>
      </c>
      <c r="AE881">
        <v>0.15909455739038539</v>
      </c>
      <c r="AF881">
        <v>5.2168766864372121E-2</v>
      </c>
      <c r="AG881">
        <v>0.33321473258951961</v>
      </c>
      <c r="AH881">
        <v>0.15950151915329783</v>
      </c>
      <c r="AI881">
        <v>3.3951224335101158E-4</v>
      </c>
    </row>
    <row r="882" spans="23:35" x14ac:dyDescent="0.25">
      <c r="W882">
        <v>880</v>
      </c>
      <c r="X882">
        <v>74.693951997709789</v>
      </c>
      <c r="Y882">
        <v>4.1060480022902084</v>
      </c>
      <c r="Z882">
        <v>74.670719774509621</v>
      </c>
      <c r="AA882">
        <v>0.88174651303820495</v>
      </c>
      <c r="AB882">
        <v>72.2</v>
      </c>
      <c r="AC882">
        <v>1.1700898139672218</v>
      </c>
      <c r="AD882">
        <v>0.55624312449842483</v>
      </c>
      <c r="AE882">
        <v>0.15912478840009378</v>
      </c>
      <c r="AF882">
        <v>5.6262161760685693E-3</v>
      </c>
      <c r="AG882">
        <v>0.55781453045069262</v>
      </c>
      <c r="AH882">
        <v>0.16131472082176468</v>
      </c>
      <c r="AI882">
        <v>9.7807890008277208E-5</v>
      </c>
    </row>
    <row r="883" spans="23:35" x14ac:dyDescent="0.25">
      <c r="W883">
        <v>881</v>
      </c>
      <c r="X883">
        <v>75.913991272619796</v>
      </c>
      <c r="Y883">
        <v>2.7860087273802066</v>
      </c>
      <c r="Z883">
        <v>75.82083254839884</v>
      </c>
      <c r="AA883">
        <v>0.87871437234687688</v>
      </c>
      <c r="AB883">
        <v>72.2</v>
      </c>
      <c r="AC883">
        <v>1.1521925343545227</v>
      </c>
      <c r="AD883">
        <v>0.37741843215994536</v>
      </c>
      <c r="AE883">
        <v>0.16021524017783204</v>
      </c>
      <c r="AF883">
        <v>3.2356132731754174E-2</v>
      </c>
      <c r="AG883">
        <v>0.38367661684407395</v>
      </c>
      <c r="AH883">
        <v>0.16155829259317223</v>
      </c>
      <c r="AI883">
        <v>2.7346340597449111E-4</v>
      </c>
    </row>
    <row r="884" spans="23:35" x14ac:dyDescent="0.25">
      <c r="W884">
        <v>882</v>
      </c>
      <c r="X884">
        <v>74.720229834999088</v>
      </c>
      <c r="Y884">
        <v>3.879770165000906</v>
      </c>
      <c r="Z884">
        <v>74.63451499369485</v>
      </c>
      <c r="AA884">
        <v>0.8750758035172832</v>
      </c>
      <c r="AB884">
        <v>72.2</v>
      </c>
      <c r="AC884">
        <v>1.1404631659072275</v>
      </c>
      <c r="AD884">
        <v>0.52558944213807623</v>
      </c>
      <c r="AE884">
        <v>0.1611747475947245</v>
      </c>
      <c r="AF884">
        <v>2.16152226443794E-2</v>
      </c>
      <c r="AG884">
        <v>0.53136358605727474</v>
      </c>
      <c r="AH884">
        <v>0.16249337489481025</v>
      </c>
      <c r="AI884">
        <v>3.4654616703664188E-4</v>
      </c>
    </row>
    <row r="885" spans="23:35" x14ac:dyDescent="0.25">
      <c r="W885">
        <v>883</v>
      </c>
      <c r="X885">
        <v>74.827399790151887</v>
      </c>
      <c r="Y885">
        <v>3.4726002098481104</v>
      </c>
      <c r="Z885">
        <v>74.806192551794737</v>
      </c>
      <c r="AA885">
        <v>0.86901152213462707</v>
      </c>
      <c r="AB885">
        <v>72.2</v>
      </c>
      <c r="AC885">
        <v>1.1118051137279645</v>
      </c>
      <c r="AD885">
        <v>0.4704304454751661</v>
      </c>
      <c r="AE885">
        <v>0.16122720157268963</v>
      </c>
      <c r="AF885">
        <v>6.0699505257621085E-3</v>
      </c>
      <c r="AG885">
        <v>0.47186472304839328</v>
      </c>
      <c r="AH885">
        <v>0.16373912013285488</v>
      </c>
      <c r="AI885">
        <v>7.554258573430988E-5</v>
      </c>
    </row>
    <row r="886" spans="23:35" x14ac:dyDescent="0.25">
      <c r="W886">
        <v>884</v>
      </c>
      <c r="X886">
        <v>73.956660058681791</v>
      </c>
      <c r="Y886">
        <v>4.0433399413182087</v>
      </c>
      <c r="Z886">
        <v>73.900713756942167</v>
      </c>
      <c r="AA886">
        <v>0.86294724075197093</v>
      </c>
      <c r="AB886">
        <v>72.2</v>
      </c>
      <c r="AC886">
        <v>1.0491313979639725</v>
      </c>
      <c r="AD886">
        <v>0.54774811232446885</v>
      </c>
      <c r="AE886">
        <v>0.16225619505168867</v>
      </c>
      <c r="AF886">
        <v>1.3647815356725252E-2</v>
      </c>
      <c r="AG886">
        <v>0.5515245946907319</v>
      </c>
      <c r="AH886">
        <v>0.16401614958331889</v>
      </c>
      <c r="AI886">
        <v>2.3382362576814195E-4</v>
      </c>
    </row>
    <row r="887" spans="23:35" x14ac:dyDescent="0.25">
      <c r="W887">
        <v>885</v>
      </c>
      <c r="X887">
        <v>74.160028690463903</v>
      </c>
      <c r="Y887">
        <v>3.6399713095360937</v>
      </c>
      <c r="Z887">
        <v>74.103722519323483</v>
      </c>
      <c r="AA887">
        <v>0.85203153426318978</v>
      </c>
      <c r="AB887">
        <v>72.2</v>
      </c>
      <c r="AC887">
        <v>1.0386467129748296</v>
      </c>
      <c r="AD887">
        <v>0.49310407797757566</v>
      </c>
      <c r="AE887">
        <v>0.16248136082070883</v>
      </c>
      <c r="AF887">
        <v>1.5233210015963278E-2</v>
      </c>
      <c r="AG887">
        <v>0.49690331846326502</v>
      </c>
      <c r="AH887">
        <v>0.16419403379671649</v>
      </c>
      <c r="AI887">
        <v>2.1219215554075488E-4</v>
      </c>
    </row>
    <row r="888" spans="23:35" x14ac:dyDescent="0.25">
      <c r="W888">
        <v>886</v>
      </c>
      <c r="X888">
        <v>60.035798446301051</v>
      </c>
      <c r="Y888">
        <v>5.0642015536989433</v>
      </c>
      <c r="Z888">
        <v>60.015039720656922</v>
      </c>
      <c r="AA888">
        <v>0.27713765918738631</v>
      </c>
      <c r="AB888">
        <v>72.2</v>
      </c>
      <c r="AC888">
        <v>-0.60317578841021124</v>
      </c>
      <c r="AD888">
        <v>0.68604343976205229</v>
      </c>
      <c r="AE888">
        <v>0.16400533840255663</v>
      </c>
      <c r="AF888">
        <v>4.0823771482453603E-3</v>
      </c>
      <c r="AG888">
        <v>0.68744808598045526</v>
      </c>
      <c r="AH888">
        <v>0.1684969292638874</v>
      </c>
      <c r="AI888">
        <v>1.0762099826191511E-4</v>
      </c>
    </row>
    <row r="889" spans="23:35" x14ac:dyDescent="0.25">
      <c r="W889">
        <v>887</v>
      </c>
      <c r="X889">
        <v>59.445281374918643</v>
      </c>
      <c r="Y889">
        <v>5.2547186250813596</v>
      </c>
      <c r="Z889">
        <v>59.431065986626486</v>
      </c>
      <c r="AA889">
        <v>0.26197695573074592</v>
      </c>
      <c r="AB889">
        <v>72.2</v>
      </c>
      <c r="AC889">
        <v>-0.64941472986293491</v>
      </c>
      <c r="AD889">
        <v>0.71185263902054519</v>
      </c>
      <c r="AE889">
        <v>0.16745382084364263</v>
      </c>
      <c r="AF889">
        <v>2.6979628623319731E-3</v>
      </c>
      <c r="AG889">
        <v>0.71281486248302894</v>
      </c>
      <c r="AH889">
        <v>0.1691249681256996</v>
      </c>
      <c r="AI889">
        <v>7.6364277773490342E-5</v>
      </c>
    </row>
    <row r="890" spans="23:35" x14ac:dyDescent="0.25">
      <c r="W890">
        <v>888</v>
      </c>
      <c r="X890">
        <v>54.418135396679929</v>
      </c>
      <c r="Y890">
        <v>9.8818646033200679</v>
      </c>
      <c r="Z890">
        <v>54.294606501043496</v>
      </c>
      <c r="AA890">
        <v>0.2498483929654336</v>
      </c>
      <c r="AB890">
        <v>72.2</v>
      </c>
      <c r="AC890">
        <v>-0.68742774275107121</v>
      </c>
      <c r="AD890">
        <v>1.3386885004157929</v>
      </c>
      <c r="AE890">
        <v>0.16877337569926434</v>
      </c>
      <c r="AF890">
        <v>1.2346230625443832E-2</v>
      </c>
      <c r="AG890">
        <v>1.3470296955957954</v>
      </c>
      <c r="AH890">
        <v>0.16927285169058418</v>
      </c>
      <c r="AI890">
        <v>1.2601188103039504E-3</v>
      </c>
    </row>
    <row r="891" spans="23:35" x14ac:dyDescent="0.25">
      <c r="W891">
        <v>889</v>
      </c>
      <c r="X891">
        <v>61.617160996689243</v>
      </c>
      <c r="Y891">
        <v>2.1828390033107539</v>
      </c>
      <c r="Z891">
        <v>61.612836466409256</v>
      </c>
      <c r="AA891">
        <v>0.23650697392359005</v>
      </c>
      <c r="AB891">
        <v>72.2</v>
      </c>
      <c r="AC891">
        <v>-0.72448350403832318</v>
      </c>
      <c r="AD891">
        <v>0.29570749947428021</v>
      </c>
      <c r="AE891">
        <v>0.16912397669685778</v>
      </c>
      <c r="AF891">
        <v>1.9772322524460161E-3</v>
      </c>
      <c r="AG891">
        <v>0.29600027491229236</v>
      </c>
      <c r="AH891">
        <v>0.16939425827443652</v>
      </c>
      <c r="AI891">
        <v>9.6433729002099162E-6</v>
      </c>
    </row>
    <row r="892" spans="23:35" x14ac:dyDescent="0.25">
      <c r="W892">
        <v>890</v>
      </c>
      <c r="X892">
        <v>51.695272429545859</v>
      </c>
      <c r="Y892">
        <v>11.604727570454138</v>
      </c>
      <c r="Z892">
        <v>51.573072350299931</v>
      </c>
      <c r="AA892">
        <v>0.22741055184960582</v>
      </c>
      <c r="AB892">
        <v>72.3</v>
      </c>
      <c r="AC892">
        <v>-0.75647701124006039</v>
      </c>
      <c r="AD892">
        <v>1.5720834045637131</v>
      </c>
      <c r="AE892">
        <v>0.16922850662108133</v>
      </c>
      <c r="AF892">
        <v>1.0420468420733586E-2</v>
      </c>
      <c r="AG892">
        <v>1.5803389032430717</v>
      </c>
      <c r="AH892">
        <v>0.16973393125974773</v>
      </c>
      <c r="AI892">
        <v>1.4610480382144749E-3</v>
      </c>
    </row>
    <row r="893" spans="23:35" x14ac:dyDescent="0.25">
      <c r="W893">
        <v>891</v>
      </c>
      <c r="X893">
        <v>61.550797374495879</v>
      </c>
      <c r="Y893">
        <v>1.2492026255041182</v>
      </c>
      <c r="Z893">
        <v>61.548349101372636</v>
      </c>
      <c r="AA893">
        <v>0.21467556094602788</v>
      </c>
      <c r="AB893">
        <v>72.3</v>
      </c>
      <c r="AC893">
        <v>-0.79968509868701798</v>
      </c>
      <c r="AD893">
        <v>0.16922850662108133</v>
      </c>
      <c r="AE893">
        <v>0.16938864660386105</v>
      </c>
      <c r="AF893">
        <v>1.9560351260287548E-3</v>
      </c>
      <c r="AG893">
        <v>0.16939425827443652</v>
      </c>
      <c r="AH893">
        <v>0.17193833731542507</v>
      </c>
      <c r="AI893">
        <v>3.1242936250262957E-6</v>
      </c>
    </row>
    <row r="894" spans="23:35" x14ac:dyDescent="0.25">
      <c r="W894">
        <v>892</v>
      </c>
      <c r="X894">
        <v>60.51025506411149</v>
      </c>
      <c r="Y894">
        <v>1.7897449358885069</v>
      </c>
      <c r="Z894">
        <v>60.506530995687363</v>
      </c>
      <c r="AA894">
        <v>0.20557913887204365</v>
      </c>
      <c r="AB894">
        <v>72.3</v>
      </c>
      <c r="AC894">
        <v>-0.82505741806651978</v>
      </c>
      <c r="AD894">
        <v>0.2424553523579322</v>
      </c>
      <c r="AE894">
        <v>0.16975005782614952</v>
      </c>
      <c r="AF894">
        <v>2.0764609899417944E-3</v>
      </c>
      <c r="AG894">
        <v>0.24270746960014419</v>
      </c>
      <c r="AH894">
        <v>0.17370358711042938</v>
      </c>
      <c r="AI894">
        <v>6.8095794202392151E-6</v>
      </c>
    </row>
    <row r="895" spans="23:35" x14ac:dyDescent="0.25">
      <c r="W895">
        <v>893</v>
      </c>
      <c r="X895">
        <v>60.978143333893428</v>
      </c>
      <c r="Y895">
        <v>0.9218566661065708</v>
      </c>
      <c r="Z895">
        <v>60.976054223925999</v>
      </c>
      <c r="AA895">
        <v>0.19466343238326259</v>
      </c>
      <c r="AB895">
        <v>72.3</v>
      </c>
      <c r="AC895">
        <v>-0.86414620345364646</v>
      </c>
      <c r="AD895">
        <v>0.12488320448489923</v>
      </c>
      <c r="AE895">
        <v>0.17354121019575869</v>
      </c>
      <c r="AF895">
        <v>2.2610742118479715E-3</v>
      </c>
      <c r="AG895">
        <v>0.12502462945598283</v>
      </c>
      <c r="AH895">
        <v>0.17372962561972152</v>
      </c>
      <c r="AI895">
        <v>1.9679612725198027E-6</v>
      </c>
    </row>
    <row r="896" spans="23:35" x14ac:dyDescent="0.25">
      <c r="W896">
        <v>894</v>
      </c>
      <c r="X896">
        <v>61.064848476169843</v>
      </c>
      <c r="Y896">
        <v>0.3351515238301559</v>
      </c>
      <c r="Z896">
        <v>61.064061277770712</v>
      </c>
      <c r="AA896">
        <v>0.18617343844754397</v>
      </c>
      <c r="AB896">
        <v>72.3</v>
      </c>
      <c r="AC896">
        <v>-0.90460220385671419</v>
      </c>
      <c r="AD896">
        <v>4.54027158697883E-2</v>
      </c>
      <c r="AE896">
        <v>0.17578267977058684</v>
      </c>
      <c r="AF896">
        <v>2.3432797324139036E-3</v>
      </c>
      <c r="AG896">
        <v>4.5456005173854584E-2</v>
      </c>
      <c r="AH896">
        <v>0.17679689583532188</v>
      </c>
      <c r="AI896">
        <v>2.6962057491579706E-7</v>
      </c>
    </row>
    <row r="897" spans="23:35" x14ac:dyDescent="0.25">
      <c r="W897">
        <v>895</v>
      </c>
      <c r="X897">
        <v>55.927702958416042</v>
      </c>
      <c r="Y897">
        <v>13.072297041583958</v>
      </c>
      <c r="Z897">
        <v>55.762809680367035</v>
      </c>
      <c r="AA897">
        <v>0.42086112795633718</v>
      </c>
      <c r="AB897">
        <v>72.3</v>
      </c>
      <c r="AC897">
        <v>-0.21444491222324932</v>
      </c>
      <c r="AD897">
        <v>1.7708938976666759</v>
      </c>
      <c r="AE897">
        <v>0.17583441526193236</v>
      </c>
      <c r="AF897">
        <v>1.2456818559482382E-2</v>
      </c>
      <c r="AG897">
        <v>1.782027878797624</v>
      </c>
      <c r="AH897">
        <v>0.17760686031106881</v>
      </c>
      <c r="AI897">
        <v>2.2253971473140044E-3</v>
      </c>
    </row>
    <row r="898" spans="23:35" x14ac:dyDescent="0.25">
      <c r="W898">
        <v>896</v>
      </c>
      <c r="X898">
        <v>61.114785176561526</v>
      </c>
      <c r="Y898">
        <v>2.8852148234384742</v>
      </c>
      <c r="Z898">
        <v>61.078104257887595</v>
      </c>
      <c r="AA898">
        <v>0.24075197089144937</v>
      </c>
      <c r="AB898">
        <v>72.3</v>
      </c>
      <c r="AC898">
        <v>-0.7126762947196924</v>
      </c>
      <c r="AD898">
        <v>0.39085780471719817</v>
      </c>
      <c r="AE898">
        <v>0.17752893474484044</v>
      </c>
      <c r="AF898">
        <v>1.255380818187966E-2</v>
      </c>
      <c r="AG898">
        <v>0.39333452542788949</v>
      </c>
      <c r="AH898">
        <v>0.17773139023899459</v>
      </c>
      <c r="AI898">
        <v>1.0927320514771182E-4</v>
      </c>
    </row>
    <row r="899" spans="23:35" x14ac:dyDescent="0.25">
      <c r="W899">
        <v>897</v>
      </c>
      <c r="X899">
        <v>60.28468756530323</v>
      </c>
      <c r="Y899">
        <v>-0.38468756530323134</v>
      </c>
      <c r="Z899">
        <v>60.298785864168181</v>
      </c>
      <c r="AA899">
        <v>0.17404487568223165</v>
      </c>
      <c r="AB899">
        <v>72.3</v>
      </c>
      <c r="AC899">
        <v>-0.94897780985887348</v>
      </c>
      <c r="AD899">
        <v>-5.2113324822459665E-2</v>
      </c>
      <c r="AE899">
        <v>0.17786536949598375</v>
      </c>
      <c r="AF899">
        <v>3.5353055691568568E-2</v>
      </c>
      <c r="AG899">
        <v>-5.3059674998051892E-2</v>
      </c>
      <c r="AH899">
        <v>0.17840031759248623</v>
      </c>
      <c r="AI899">
        <v>5.7321194289411208E-6</v>
      </c>
    </row>
    <row r="900" spans="23:35" x14ac:dyDescent="0.25">
      <c r="W900">
        <v>898</v>
      </c>
      <c r="X900">
        <v>55.994637978695508</v>
      </c>
      <c r="Y900">
        <v>3.3053620213044894</v>
      </c>
      <c r="Z900">
        <v>55.98294622267629</v>
      </c>
      <c r="AA900">
        <v>0.16070345664038813</v>
      </c>
      <c r="AB900">
        <v>72.3</v>
      </c>
      <c r="AC900">
        <v>-1.0028172174115717</v>
      </c>
      <c r="AD900">
        <v>0.44777481834195326</v>
      </c>
      <c r="AE900">
        <v>0.17867247644724135</v>
      </c>
      <c r="AF900">
        <v>3.5247411721642473E-3</v>
      </c>
      <c r="AG900">
        <v>0.44856605580691084</v>
      </c>
      <c r="AH900">
        <v>0.17912176869792507</v>
      </c>
      <c r="AI900">
        <v>3.954039638529231E-5</v>
      </c>
    </row>
    <row r="901" spans="23:35" x14ac:dyDescent="0.25">
      <c r="W901">
        <v>899</v>
      </c>
      <c r="X901">
        <v>69.776742805593514</v>
      </c>
      <c r="Y901">
        <v>-12.176742805593513</v>
      </c>
      <c r="Z901">
        <v>69.8661111482226</v>
      </c>
      <c r="AA901">
        <v>0.12431776834445118</v>
      </c>
      <c r="AB901">
        <v>72.3</v>
      </c>
      <c r="AC901">
        <v>-1.1700898139672218</v>
      </c>
      <c r="AD901">
        <v>-1.6495738629015497</v>
      </c>
      <c r="AE901">
        <v>0.18125373766931249</v>
      </c>
      <c r="AF901">
        <v>7.2857926647796438E-3</v>
      </c>
      <c r="AG901">
        <v>-1.655616126606775</v>
      </c>
      <c r="AH901">
        <v>0.18144071568615561</v>
      </c>
      <c r="AI901">
        <v>1.1176333735057006E-3</v>
      </c>
    </row>
    <row r="902" spans="23:35" x14ac:dyDescent="0.25">
      <c r="W902">
        <v>900</v>
      </c>
      <c r="X902">
        <v>61.565963471202522</v>
      </c>
      <c r="Y902">
        <v>-4.8659634712025195</v>
      </c>
      <c r="Z902">
        <v>61.596205777660082</v>
      </c>
      <c r="AA902">
        <v>0.10491206791995149</v>
      </c>
      <c r="AB902">
        <v>72.3</v>
      </c>
      <c r="AC902">
        <v>-1.2726185683477402</v>
      </c>
      <c r="AD902">
        <v>-0.65918828114216199</v>
      </c>
      <c r="AE902">
        <v>0.18144506271121441</v>
      </c>
      <c r="AF902">
        <v>6.1766820740142246E-3</v>
      </c>
      <c r="AG902">
        <v>-0.66123355902737335</v>
      </c>
      <c r="AH902">
        <v>0.1816640855734018</v>
      </c>
      <c r="AI902">
        <v>1.5096745513215257E-4</v>
      </c>
    </row>
    <row r="903" spans="23:35" x14ac:dyDescent="0.25">
      <c r="W903">
        <v>901</v>
      </c>
      <c r="X903">
        <v>65.933036130963671</v>
      </c>
      <c r="Y903">
        <v>-10.633036130963674</v>
      </c>
      <c r="Z903">
        <v>66.066021045855663</v>
      </c>
      <c r="AA903">
        <v>8.6719223771983017E-2</v>
      </c>
      <c r="AB903">
        <v>72.400000000000006</v>
      </c>
      <c r="AC903">
        <v>-1.3946242806491973</v>
      </c>
      <c r="AD903">
        <v>-1.4404491221468787</v>
      </c>
      <c r="AE903">
        <v>0.1815316258870483</v>
      </c>
      <c r="AF903">
        <v>1.2352280784662469E-2</v>
      </c>
      <c r="AG903">
        <v>-1.4494288140752423</v>
      </c>
      <c r="AH903">
        <v>0.18185254790568131</v>
      </c>
      <c r="AI903">
        <v>1.4597092708806526E-3</v>
      </c>
    </row>
    <row r="904" spans="23:35" x14ac:dyDescent="0.25">
      <c r="W904">
        <v>902</v>
      </c>
      <c r="X904">
        <v>67.088578002350715</v>
      </c>
      <c r="Y904">
        <v>-12.988578002350714</v>
      </c>
      <c r="Z904">
        <v>67.196864427496536</v>
      </c>
      <c r="AA904">
        <v>7.1558520315342627E-2</v>
      </c>
      <c r="AB904">
        <v>72.400000000000006</v>
      </c>
      <c r="AC904">
        <v>-1.4754749432056431</v>
      </c>
      <c r="AD904">
        <v>-1.7595525446339955</v>
      </c>
      <c r="AE904">
        <v>0.18350242927975299</v>
      </c>
      <c r="AF904">
        <v>8.2681183534646235E-3</v>
      </c>
      <c r="AG904">
        <v>-1.7668720593419029</v>
      </c>
      <c r="AH904">
        <v>0.18398990833384823</v>
      </c>
      <c r="AI904">
        <v>1.4459394627840817E-3</v>
      </c>
    </row>
    <row r="905" spans="23:35" x14ac:dyDescent="0.25">
      <c r="W905">
        <v>903</v>
      </c>
      <c r="X905">
        <v>64.399696844186082</v>
      </c>
      <c r="Y905">
        <v>-11.499696844186083</v>
      </c>
      <c r="Z905">
        <v>66.080276564561615</v>
      </c>
      <c r="AA905">
        <v>5.7610673135233471E-2</v>
      </c>
      <c r="AB905">
        <v>72.400000000000006</v>
      </c>
      <c r="AC905">
        <v>-1.5777854040319945</v>
      </c>
      <c r="AD905">
        <v>-1.5578549738889875</v>
      </c>
      <c r="AE905">
        <v>0.19122723393071428</v>
      </c>
      <c r="AF905">
        <v>0.12750716664733566</v>
      </c>
      <c r="AG905">
        <v>-1.6678081473575923</v>
      </c>
      <c r="AH905">
        <v>0.19313803495169463</v>
      </c>
      <c r="AI905">
        <v>2.2583560012294803E-2</v>
      </c>
    </row>
    <row r="906" spans="23:35" x14ac:dyDescent="0.25">
      <c r="W906">
        <v>904</v>
      </c>
      <c r="X906">
        <v>54.739375500860461</v>
      </c>
      <c r="Y906">
        <v>-3.2393755008604614</v>
      </c>
      <c r="Z906">
        <v>54.7713287399745</v>
      </c>
      <c r="AA906">
        <v>4.1843541540327468E-2</v>
      </c>
      <c r="AB906">
        <v>72.400000000000006</v>
      </c>
      <c r="AC906">
        <v>-1.7330844772440359</v>
      </c>
      <c r="AD906">
        <v>-0.4388356758170503</v>
      </c>
      <c r="AE906">
        <v>0.19271321345199541</v>
      </c>
      <c r="AF906">
        <v>9.7676637396856957E-3</v>
      </c>
      <c r="AG906">
        <v>-0.44099470491636622</v>
      </c>
      <c r="AH906">
        <v>0.19325103201584523</v>
      </c>
      <c r="AI906">
        <v>1.0657315936578576E-4</v>
      </c>
    </row>
    <row r="907" spans="23:35" x14ac:dyDescent="0.25">
      <c r="W907">
        <v>905</v>
      </c>
      <c r="X907">
        <v>52.976316527512978</v>
      </c>
      <c r="Y907">
        <v>-2.9763165275129779</v>
      </c>
      <c r="Z907">
        <v>53.007156091756229</v>
      </c>
      <c r="AA907">
        <v>3.5779260157671314E-2</v>
      </c>
      <c r="AB907">
        <v>72.400000000000006</v>
      </c>
      <c r="AC907">
        <v>-1.8215296776288319</v>
      </c>
      <c r="AD907">
        <v>-0.40319928160525897</v>
      </c>
      <c r="AE907">
        <v>0.19292963446297134</v>
      </c>
      <c r="AF907">
        <v>1.0255391905925936E-2</v>
      </c>
      <c r="AG907">
        <v>-0.40528280420169616</v>
      </c>
      <c r="AH907">
        <v>0.19339655037699705</v>
      </c>
      <c r="AI907">
        <v>9.4552489198718994E-5</v>
      </c>
    </row>
    <row r="908" spans="23:35" x14ac:dyDescent="0.25">
      <c r="W908">
        <v>906</v>
      </c>
      <c r="X908">
        <v>57.634204718185465</v>
      </c>
      <c r="Y908">
        <v>-9.1342047181854653</v>
      </c>
      <c r="Z908">
        <v>57.72286386802314</v>
      </c>
      <c r="AA908">
        <v>2.3650697392359005E-2</v>
      </c>
      <c r="AB908">
        <v>72.400000000000006</v>
      </c>
      <c r="AC908">
        <v>-1.9890565032593337</v>
      </c>
      <c r="AD908">
        <v>-1.2374035981600373</v>
      </c>
      <c r="AE908">
        <v>0.19426339841537896</v>
      </c>
      <c r="AF908">
        <v>9.6129739207216972E-3</v>
      </c>
      <c r="AG908">
        <v>-1.2433943891752421</v>
      </c>
      <c r="AH908">
        <v>0.19448784592822529</v>
      </c>
      <c r="AI908">
        <v>8.3367758157591189E-4</v>
      </c>
    </row>
    <row r="909" spans="23:35" x14ac:dyDescent="0.25">
      <c r="W909">
        <v>907</v>
      </c>
      <c r="X909">
        <v>58.055096196415803</v>
      </c>
      <c r="Y909">
        <v>-10.955096196415802</v>
      </c>
      <c r="Z909">
        <v>58.179632838558391</v>
      </c>
      <c r="AA909">
        <v>1.758641600970285E-2</v>
      </c>
      <c r="AB909">
        <v>72.400000000000006</v>
      </c>
      <c r="AC909">
        <v>-2.1426564926871321</v>
      </c>
      <c r="AD909">
        <v>-1.4840783483476778</v>
      </c>
      <c r="AE909">
        <v>0.19611237722437247</v>
      </c>
      <c r="AF909">
        <v>1.1240141614547255E-2</v>
      </c>
      <c r="AG909">
        <v>-1.4924899512512773</v>
      </c>
      <c r="AH909">
        <v>0.19634512642487459</v>
      </c>
      <c r="AI909">
        <v>1.4067965115498453E-3</v>
      </c>
    </row>
    <row r="910" spans="23:35" x14ac:dyDescent="0.25">
      <c r="W910">
        <v>908</v>
      </c>
      <c r="X910">
        <v>50.217274267407859</v>
      </c>
      <c r="Y910">
        <v>-4.2172742674078592</v>
      </c>
      <c r="Z910">
        <v>50.293581428767993</v>
      </c>
      <c r="AA910">
        <v>1.2128562765312311E-2</v>
      </c>
      <c r="AB910">
        <v>72.400000000000006</v>
      </c>
      <c r="AC910">
        <v>-2.3261203997549518</v>
      </c>
      <c r="AD910">
        <v>-0.57131085999514186</v>
      </c>
      <c r="AE910">
        <v>0.19622821059318532</v>
      </c>
      <c r="AF910">
        <v>1.7772380150719854E-2</v>
      </c>
      <c r="AG910">
        <v>-0.57645632474576303</v>
      </c>
      <c r="AH910">
        <v>0.19646384725856536</v>
      </c>
      <c r="AI910">
        <v>3.3403637652352434E-4</v>
      </c>
    </row>
    <row r="911" spans="23:35" x14ac:dyDescent="0.25">
      <c r="W911">
        <v>909</v>
      </c>
      <c r="X911">
        <v>56.260630858709803</v>
      </c>
      <c r="Y911">
        <v>-11.160630858709801</v>
      </c>
      <c r="Z911">
        <v>56.396475733492906</v>
      </c>
      <c r="AA911">
        <v>5.4578532443905394E-3</v>
      </c>
      <c r="AB911">
        <v>72.400000000000006</v>
      </c>
      <c r="AC911">
        <v>-2.5652792972685243</v>
      </c>
      <c r="AD911">
        <v>-1.5119219689491359</v>
      </c>
      <c r="AE911">
        <v>0.19676917666682842</v>
      </c>
      <c r="AF911">
        <v>1.2025420846993528E-2</v>
      </c>
      <c r="AG911">
        <v>-1.5210955383706737</v>
      </c>
      <c r="AH911">
        <v>0.19709453783021935</v>
      </c>
      <c r="AI911">
        <v>1.5645699824917317E-3</v>
      </c>
    </row>
    <row r="912" spans="23:35" x14ac:dyDescent="0.25">
      <c r="W912">
        <v>910</v>
      </c>
      <c r="X912">
        <v>54.22290560108182</v>
      </c>
      <c r="Y912">
        <v>-9.6229056010818184</v>
      </c>
      <c r="Z912">
        <v>54.342913446726456</v>
      </c>
      <c r="AA912">
        <v>3.6385688295936932E-3</v>
      </c>
      <c r="AB912">
        <v>72.5</v>
      </c>
      <c r="AC912">
        <v>-2.7786903070508315</v>
      </c>
      <c r="AD912">
        <v>-1.3036075260965314</v>
      </c>
      <c r="AE912">
        <v>0.1976569492448374</v>
      </c>
      <c r="AF912">
        <v>1.2317449631553035E-2</v>
      </c>
      <c r="AG912">
        <v>-1.311711024258492</v>
      </c>
      <c r="AH912">
        <v>0.19874615356015654</v>
      </c>
      <c r="AI912">
        <v>1.1920850624771255E-3</v>
      </c>
    </row>
    <row r="913" spans="23:35" x14ac:dyDescent="0.25">
      <c r="W913">
        <v>911</v>
      </c>
      <c r="X913">
        <v>44.979427674014616</v>
      </c>
      <c r="Y913">
        <v>-0.97942767401461595</v>
      </c>
      <c r="Z913">
        <v>44.998671478785695</v>
      </c>
      <c r="AA913">
        <v>6.0642813826561554E-4</v>
      </c>
      <c r="AB913">
        <v>72.5</v>
      </c>
      <c r="AC913">
        <v>-3.4287229888501014</v>
      </c>
      <c r="AD913">
        <v>-0.13268230408174589</v>
      </c>
      <c r="AE913">
        <v>0.19826269424527462</v>
      </c>
      <c r="AF913">
        <v>1.9269404583855329E-2</v>
      </c>
      <c r="AG913">
        <v>-0.13397943518492308</v>
      </c>
      <c r="AH913">
        <v>0.19939510615719985</v>
      </c>
      <c r="AI913">
        <v>1.9593966061107687E-5</v>
      </c>
    </row>
    <row r="914" spans="23:35" x14ac:dyDescent="0.25">
      <c r="W914">
        <v>912</v>
      </c>
      <c r="X914">
        <v>78.67094824210443</v>
      </c>
      <c r="Y914">
        <v>-3.8709482421044328</v>
      </c>
      <c r="Z914">
        <v>78.691626830424269</v>
      </c>
      <c r="AA914">
        <v>0.74166161309884782</v>
      </c>
      <c r="AB914">
        <v>72.5</v>
      </c>
      <c r="AC914">
        <v>0.63261352584071384</v>
      </c>
      <c r="AD914">
        <v>-0.52439434311505428</v>
      </c>
      <c r="AE914">
        <v>0.19893292358647063</v>
      </c>
      <c r="AF914">
        <v>5.3136102768593669E-3</v>
      </c>
      <c r="AG914">
        <v>-0.52579313364617208</v>
      </c>
      <c r="AH914">
        <v>0.1998607834786448</v>
      </c>
      <c r="AI914">
        <v>8.204664715149375E-5</v>
      </c>
    </row>
    <row r="915" spans="23:35" x14ac:dyDescent="0.25">
      <c r="W915">
        <v>913</v>
      </c>
      <c r="X915">
        <v>79.343815841948697</v>
      </c>
      <c r="Y915">
        <v>-4.7438158419487024</v>
      </c>
      <c r="Z915">
        <v>79.360898519668652</v>
      </c>
      <c r="AA915">
        <v>0.73013947847180105</v>
      </c>
      <c r="AB915">
        <v>72.5</v>
      </c>
      <c r="AC915">
        <v>0.59589828697336056</v>
      </c>
      <c r="AD915">
        <v>-0.64264103695302388</v>
      </c>
      <c r="AE915">
        <v>0.20114867295499533</v>
      </c>
      <c r="AF915">
        <v>3.5881205300593794E-3</v>
      </c>
      <c r="AG915">
        <v>-0.64379708566559068</v>
      </c>
      <c r="AH915">
        <v>0.20132455170396504</v>
      </c>
      <c r="AI915">
        <v>8.2918919491245074E-5</v>
      </c>
    </row>
    <row r="916" spans="23:35" x14ac:dyDescent="0.25">
      <c r="W916">
        <v>914</v>
      </c>
      <c r="X916">
        <v>79.320797370263762</v>
      </c>
      <c r="Y916">
        <v>-4.8207973702637616</v>
      </c>
      <c r="Z916">
        <v>79.33849608828308</v>
      </c>
      <c r="AA916">
        <v>0.72407519708914492</v>
      </c>
      <c r="AB916">
        <v>72.5</v>
      </c>
      <c r="AC916">
        <v>0.56531175535073552</v>
      </c>
      <c r="AD916">
        <v>-0.65306966462974592</v>
      </c>
      <c r="AE916">
        <v>0.20335906907219872</v>
      </c>
      <c r="AF916">
        <v>3.6578965232970471E-3</v>
      </c>
      <c r="AG916">
        <v>-0.65426738210599278</v>
      </c>
      <c r="AH916">
        <v>0.20405937459783929</v>
      </c>
      <c r="AI916">
        <v>8.7309392513353228E-5</v>
      </c>
    </row>
    <row r="917" spans="23:35" x14ac:dyDescent="0.25">
      <c r="W917">
        <v>915</v>
      </c>
      <c r="X917">
        <v>77.720810940335951</v>
      </c>
      <c r="Y917">
        <v>-3.4208109403359543</v>
      </c>
      <c r="Z917">
        <v>77.739781877515441</v>
      </c>
      <c r="AA917">
        <v>0.7052759248029109</v>
      </c>
      <c r="AB917">
        <v>72.5</v>
      </c>
      <c r="AC917">
        <v>0.52824151828033117</v>
      </c>
      <c r="AD917">
        <v>-0.46341459347517366</v>
      </c>
      <c r="AE917">
        <v>0.20407301602297781</v>
      </c>
      <c r="AF917">
        <v>5.5151570230342461E-3</v>
      </c>
      <c r="AG917">
        <v>-0.46469780588472753</v>
      </c>
      <c r="AH917">
        <v>0.20428235175106643</v>
      </c>
      <c r="AI917">
        <v>6.6531674203539762E-5</v>
      </c>
    </row>
    <row r="918" spans="23:35" x14ac:dyDescent="0.25">
      <c r="W918">
        <v>916</v>
      </c>
      <c r="X918">
        <v>78.306015531062727</v>
      </c>
      <c r="Y918">
        <v>-4.2060155310627323</v>
      </c>
      <c r="Z918">
        <v>78.322370420112804</v>
      </c>
      <c r="AA918">
        <v>0.69254093389933291</v>
      </c>
      <c r="AB918">
        <v>72.5</v>
      </c>
      <c r="AC918">
        <v>0.48161589062349974</v>
      </c>
      <c r="AD918">
        <v>-0.56978564775236618</v>
      </c>
      <c r="AE918">
        <v>0.20574926320618103</v>
      </c>
      <c r="AF918">
        <v>3.8733903998981727E-3</v>
      </c>
      <c r="AG918">
        <v>-0.57089236498206797</v>
      </c>
      <c r="AH918">
        <v>0.20613405019825151</v>
      </c>
      <c r="AI918">
        <v>7.0406490169514044E-5</v>
      </c>
    </row>
    <row r="919" spans="23:35" x14ac:dyDescent="0.25">
      <c r="W919">
        <v>917</v>
      </c>
      <c r="X919">
        <v>77.324910018165696</v>
      </c>
      <c r="Y919">
        <v>-3.3249100181656956</v>
      </c>
      <c r="Z919">
        <v>77.33929094433671</v>
      </c>
      <c r="AA919">
        <v>0.68465736810187994</v>
      </c>
      <c r="AB919">
        <v>72.5</v>
      </c>
      <c r="AC919">
        <v>0.4663087141536239</v>
      </c>
      <c r="AD919">
        <v>-0.45042297024999184</v>
      </c>
      <c r="AE919">
        <v>0.2072862877177486</v>
      </c>
      <c r="AF919">
        <v>4.3065807714074266E-3</v>
      </c>
      <c r="AG919">
        <v>-0.45139600567340826</v>
      </c>
      <c r="AH919">
        <v>0.20762492293527013</v>
      </c>
      <c r="AI919">
        <v>4.8960954811129445E-5</v>
      </c>
    </row>
    <row r="920" spans="23:35" x14ac:dyDescent="0.25">
      <c r="W920">
        <v>918</v>
      </c>
      <c r="X920">
        <v>76.341957984169113</v>
      </c>
      <c r="Y920">
        <v>-2.541957984169116</v>
      </c>
      <c r="Z920">
        <v>76.355044495031166</v>
      </c>
      <c r="AA920">
        <v>0.66767738023044265</v>
      </c>
      <c r="AB920">
        <v>72.5</v>
      </c>
      <c r="AC920">
        <v>0.4143837514429769</v>
      </c>
      <c r="AD920">
        <v>-0.34435706807842897</v>
      </c>
      <c r="AE920">
        <v>0.20775091210933905</v>
      </c>
      <c r="AF920">
        <v>5.1218328633788179E-3</v>
      </c>
      <c r="AG920">
        <v>-0.34524233986824598</v>
      </c>
      <c r="AH920">
        <v>0.20793204960344452</v>
      </c>
      <c r="AI920">
        <v>3.4090321715065999E-5</v>
      </c>
    </row>
    <row r="921" spans="23:35" x14ac:dyDescent="0.25">
      <c r="W921">
        <v>919</v>
      </c>
      <c r="X921">
        <v>75.68907357449271</v>
      </c>
      <c r="Y921">
        <v>-1.9890735744927071</v>
      </c>
      <c r="Z921">
        <v>75.69842631605627</v>
      </c>
      <c r="AA921">
        <v>0.66040024257125529</v>
      </c>
      <c r="AB921">
        <v>72.5</v>
      </c>
      <c r="AC921">
        <v>0.39787592189543292</v>
      </c>
      <c r="AD921">
        <v>-0.26945824776426336</v>
      </c>
      <c r="AE921">
        <v>0.20841528379141633</v>
      </c>
      <c r="AF921">
        <v>4.6800532441029575E-3</v>
      </c>
      <c r="AG921">
        <v>-0.27009100912344153</v>
      </c>
      <c r="AH921">
        <v>0.20932532686805752</v>
      </c>
      <c r="AI921">
        <v>1.9056179553374364E-5</v>
      </c>
    </row>
    <row r="922" spans="23:35" x14ac:dyDescent="0.25">
      <c r="W922">
        <v>920</v>
      </c>
      <c r="X922">
        <v>76.575326699987443</v>
      </c>
      <c r="Y922">
        <v>-2.9753266999874484</v>
      </c>
      <c r="Z922">
        <v>76.588118604053264</v>
      </c>
      <c r="AA922">
        <v>0.65433596118859916</v>
      </c>
      <c r="AB922">
        <v>72.5</v>
      </c>
      <c r="AC922">
        <v>0.3716850598056044</v>
      </c>
      <c r="AD922">
        <v>-0.40306519044139338</v>
      </c>
      <c r="AE922">
        <v>0.20917086775023114</v>
      </c>
      <c r="AF922">
        <v>4.2809224668889012E-3</v>
      </c>
      <c r="AG922">
        <v>-0.40393071578474493</v>
      </c>
      <c r="AH922">
        <v>0.21053332444548467</v>
      </c>
      <c r="AI922">
        <v>3.897102129950997E-5</v>
      </c>
    </row>
    <row r="923" spans="23:35" x14ac:dyDescent="0.25">
      <c r="W923">
        <v>921</v>
      </c>
      <c r="X923">
        <v>74.428184903016472</v>
      </c>
      <c r="Y923">
        <v>-1.0281849030164665</v>
      </c>
      <c r="Z923">
        <v>74.435857826314091</v>
      </c>
      <c r="AA923">
        <v>0.63735597331716187</v>
      </c>
      <c r="AB923">
        <v>72.5</v>
      </c>
      <c r="AC923">
        <v>0.33286538375086522</v>
      </c>
      <c r="AD923">
        <v>-0.13928740791558988</v>
      </c>
      <c r="AE923">
        <v>0.21164955919348608</v>
      </c>
      <c r="AF923">
        <v>7.407313149260953E-3</v>
      </c>
      <c r="AG923">
        <v>-0.13980616436887716</v>
      </c>
      <c r="AH923">
        <v>0.21183887163244092</v>
      </c>
      <c r="AI923">
        <v>8.1034465267659886E-6</v>
      </c>
    </row>
    <row r="924" spans="23:35" x14ac:dyDescent="0.25">
      <c r="W924">
        <v>922</v>
      </c>
      <c r="X924">
        <v>77.47336836515089</v>
      </c>
      <c r="Y924">
        <v>-4.2733683651508869</v>
      </c>
      <c r="Z924">
        <v>77.491258835815685</v>
      </c>
      <c r="AA924">
        <v>0.62340812613705276</v>
      </c>
      <c r="AB924">
        <v>72.599999999999994</v>
      </c>
      <c r="AC924">
        <v>0.29295400660571058</v>
      </c>
      <c r="AD924">
        <v>-0.57890988372236041</v>
      </c>
      <c r="AE924">
        <v>0.21187785348958091</v>
      </c>
      <c r="AF924">
        <v>4.1690495375113143E-3</v>
      </c>
      <c r="AG924">
        <v>-0.58012042212756021</v>
      </c>
      <c r="AH924">
        <v>0.21216320569883654</v>
      </c>
      <c r="AI924">
        <v>7.8273587464834971E-5</v>
      </c>
    </row>
    <row r="925" spans="23:35" x14ac:dyDescent="0.25">
      <c r="W925">
        <v>923</v>
      </c>
      <c r="X925">
        <v>75.6962698503973</v>
      </c>
      <c r="Y925">
        <v>-2.5962698503973058</v>
      </c>
      <c r="Z925">
        <v>75.706238367526623</v>
      </c>
      <c r="AA925">
        <v>0.61491813220133418</v>
      </c>
      <c r="AB925">
        <v>72.599999999999994</v>
      </c>
      <c r="AC925">
        <v>0.27870266916975811</v>
      </c>
      <c r="AD925">
        <v>-0.35171465429058685</v>
      </c>
      <c r="AE925">
        <v>0.21282273852600417</v>
      </c>
      <c r="AF925">
        <v>3.8248677686292358E-3</v>
      </c>
      <c r="AG925">
        <v>-0.35238922102746245</v>
      </c>
      <c r="AH925">
        <v>0.2145385840417772</v>
      </c>
      <c r="AI925">
        <v>2.648826151966593E-5</v>
      </c>
    </row>
    <row r="926" spans="23:35" x14ac:dyDescent="0.25">
      <c r="W926">
        <v>924</v>
      </c>
      <c r="X926">
        <v>72.988183818603545</v>
      </c>
      <c r="Y926">
        <v>-8.8183818603539521E-2</v>
      </c>
      <c r="Z926">
        <v>72.988689029689908</v>
      </c>
      <c r="AA926">
        <v>0.58762886597938147</v>
      </c>
      <c r="AB926">
        <v>72.599999999999994</v>
      </c>
      <c r="AC926">
        <v>0.206674078513852</v>
      </c>
      <c r="AD926">
        <v>-1.1946193216171821E-2</v>
      </c>
      <c r="AE926">
        <v>0.21414220218283486</v>
      </c>
      <c r="AF926">
        <v>5.696432671811069E-3</v>
      </c>
      <c r="AG926">
        <v>-1.1980364619667061E-2</v>
      </c>
      <c r="AH926">
        <v>0.21459582809613714</v>
      </c>
      <c r="AI926">
        <v>4.56826761813958E-8</v>
      </c>
    </row>
    <row r="927" spans="23:35" x14ac:dyDescent="0.25">
      <c r="W927">
        <v>925</v>
      </c>
      <c r="X927">
        <v>74.933528500978781</v>
      </c>
      <c r="Y927">
        <v>-2.2335285009787782</v>
      </c>
      <c r="Z927">
        <v>74.943113679652697</v>
      </c>
      <c r="AA927">
        <v>0.57246816252274102</v>
      </c>
      <c r="AB927">
        <v>72.599999999999994</v>
      </c>
      <c r="AC927">
        <v>0.16337348484333708</v>
      </c>
      <c r="AD927">
        <v>-0.30257436623920625</v>
      </c>
      <c r="AE927">
        <v>0.21424185395471912</v>
      </c>
      <c r="AF927">
        <v>4.273157781016881E-3</v>
      </c>
      <c r="AG927">
        <v>-0.30322291951251368</v>
      </c>
      <c r="AH927">
        <v>0.21724994093293459</v>
      </c>
      <c r="AI927">
        <v>2.1920994793638629E-5</v>
      </c>
    </row>
    <row r="928" spans="23:35" x14ac:dyDescent="0.25">
      <c r="W928">
        <v>926</v>
      </c>
      <c r="X928">
        <v>75.034926062477496</v>
      </c>
      <c r="Y928">
        <v>-2.6349260624774899</v>
      </c>
      <c r="Z928">
        <v>75.046994467064508</v>
      </c>
      <c r="AA928">
        <v>0.55124317768344455</v>
      </c>
      <c r="AB928">
        <v>72.599999999999994</v>
      </c>
      <c r="AC928">
        <v>0.11578501997911882</v>
      </c>
      <c r="AD928">
        <v>-0.35695138123015552</v>
      </c>
      <c r="AE928">
        <v>0.2214956199442116</v>
      </c>
      <c r="AF928">
        <v>4.5592859135799831E-3</v>
      </c>
      <c r="AG928">
        <v>-0.35776789603887804</v>
      </c>
      <c r="AH928">
        <v>0.2220189677761176</v>
      </c>
      <c r="AI928">
        <v>3.2569542409788606E-5</v>
      </c>
    </row>
    <row r="929" spans="23:35" x14ac:dyDescent="0.25">
      <c r="W929">
        <v>927</v>
      </c>
      <c r="X929">
        <v>88.504374608970693</v>
      </c>
      <c r="Y929">
        <v>-10.30437460897069</v>
      </c>
      <c r="Z929">
        <v>88.66436863036742</v>
      </c>
      <c r="AA929">
        <v>0.86658580958156461</v>
      </c>
      <c r="AB929">
        <v>72.599999999999994</v>
      </c>
      <c r="AC929">
        <v>1.1033838166983498</v>
      </c>
      <c r="AD929">
        <v>-1.3959256017706394</v>
      </c>
      <c r="AE929">
        <v>0.22218256355031252</v>
      </c>
      <c r="AF929">
        <v>1.5289409905957679E-2</v>
      </c>
      <c r="AG929">
        <v>-1.4067209914277918</v>
      </c>
      <c r="AH929">
        <v>0.2234358486466817</v>
      </c>
      <c r="AI929">
        <v>1.706968657098759E-3</v>
      </c>
    </row>
    <row r="930" spans="23:35" x14ac:dyDescent="0.25">
      <c r="W930">
        <v>928</v>
      </c>
      <c r="X930">
        <v>85.085201954346104</v>
      </c>
      <c r="Y930">
        <v>-7.1852019543460983</v>
      </c>
      <c r="Z930">
        <v>85.160939298886092</v>
      </c>
      <c r="AA930">
        <v>0.8526379624014554</v>
      </c>
      <c r="AB930">
        <v>72.599999999999994</v>
      </c>
      <c r="AC930">
        <v>1.0464994400123697</v>
      </c>
      <c r="AD930">
        <v>-0.97337371190215827</v>
      </c>
      <c r="AE930">
        <v>0.22290060871624454</v>
      </c>
      <c r="AF930">
        <v>1.0430791585270903E-2</v>
      </c>
      <c r="AG930">
        <v>-0.97849030361614953</v>
      </c>
      <c r="AH930">
        <v>0.22367775775271886</v>
      </c>
      <c r="AI930">
        <v>5.6067558173100533E-4</v>
      </c>
    </row>
    <row r="931" spans="23:35" x14ac:dyDescent="0.25">
      <c r="W931">
        <v>929</v>
      </c>
      <c r="X931">
        <v>82.209918965442824</v>
      </c>
      <c r="Y931">
        <v>-4.6099189654428301</v>
      </c>
      <c r="Z931">
        <v>82.247109166677404</v>
      </c>
      <c r="AA931">
        <v>0.8483929654335961</v>
      </c>
      <c r="AB931">
        <v>72.599999999999994</v>
      </c>
      <c r="AC931">
        <v>1.0205681915260707</v>
      </c>
      <c r="AD931">
        <v>-0.62450213139062805</v>
      </c>
      <c r="AE931">
        <v>0.22313409997822065</v>
      </c>
      <c r="AF931">
        <v>8.0028679982931568E-3</v>
      </c>
      <c r="AG931">
        <v>-0.62701613498459208</v>
      </c>
      <c r="AH931">
        <v>0.22436752650872832</v>
      </c>
      <c r="AI931">
        <v>1.7620578606748093E-4</v>
      </c>
    </row>
    <row r="932" spans="23:35" x14ac:dyDescent="0.25">
      <c r="W932">
        <v>930</v>
      </c>
      <c r="X932">
        <v>78.395642535418006</v>
      </c>
      <c r="Y932">
        <v>-1.0956425354180084</v>
      </c>
      <c r="Z932">
        <v>78.4032025954792</v>
      </c>
      <c r="AA932">
        <v>0.84414796846573681</v>
      </c>
      <c r="AB932">
        <v>72.599999999999994</v>
      </c>
      <c r="AC932">
        <v>1.0003070916314494</v>
      </c>
      <c r="AD932">
        <v>-0.14842584083146687</v>
      </c>
      <c r="AE932">
        <v>0.22339601390133904</v>
      </c>
      <c r="AF932">
        <v>6.8528301983430354E-3</v>
      </c>
      <c r="AG932">
        <v>-0.14893703824095131</v>
      </c>
      <c r="AH932">
        <v>0.22468400868142574</v>
      </c>
      <c r="AI932">
        <v>8.50333487997713E-6</v>
      </c>
    </row>
    <row r="933" spans="23:35" x14ac:dyDescent="0.25">
      <c r="W933">
        <v>931</v>
      </c>
      <c r="X933">
        <v>77.601384936168841</v>
      </c>
      <c r="Y933">
        <v>-0.90138493616883864</v>
      </c>
      <c r="Z933">
        <v>77.607467542896558</v>
      </c>
      <c r="AA933">
        <v>0.82534869617950268</v>
      </c>
      <c r="AB933">
        <v>72.599999999999994</v>
      </c>
      <c r="AC933">
        <v>0.93241539434320941</v>
      </c>
      <c r="AD933">
        <v>-0.12210991517651787</v>
      </c>
      <c r="AE933">
        <v>0.2241720092091285</v>
      </c>
      <c r="AF933">
        <v>6.7028366748058711E-3</v>
      </c>
      <c r="AG933">
        <v>-0.1225212254534728</v>
      </c>
      <c r="AH933">
        <v>0.22596237149015153</v>
      </c>
      <c r="AI933">
        <v>5.6276826713772709E-6</v>
      </c>
    </row>
    <row r="934" spans="23:35" x14ac:dyDescent="0.25">
      <c r="W934">
        <v>932</v>
      </c>
      <c r="X934">
        <v>79.536035647009498</v>
      </c>
      <c r="Y934">
        <v>-3.2360356470095013</v>
      </c>
      <c r="Z934">
        <v>79.560564380697045</v>
      </c>
      <c r="AA934">
        <v>0.8168587022437841</v>
      </c>
      <c r="AB934">
        <v>72.7</v>
      </c>
      <c r="AC934">
        <v>0.89095501331493132</v>
      </c>
      <c r="AD934">
        <v>-0.43838322841741201</v>
      </c>
      <c r="AE934">
        <v>0.22586683171010621</v>
      </c>
      <c r="AF934">
        <v>7.5228490603517773E-3</v>
      </c>
      <c r="AG934">
        <v>-0.44004153613311153</v>
      </c>
      <c r="AH934">
        <v>0.22609428087680813</v>
      </c>
      <c r="AI934">
        <v>8.1541119574530017E-5</v>
      </c>
    </row>
    <row r="935" spans="23:35" x14ac:dyDescent="0.25">
      <c r="W935">
        <v>933</v>
      </c>
      <c r="X935">
        <v>77.700897052199352</v>
      </c>
      <c r="Y935">
        <v>-1.8008970521993461</v>
      </c>
      <c r="Z935">
        <v>77.717784831375965</v>
      </c>
      <c r="AA935">
        <v>0.79866585809581569</v>
      </c>
      <c r="AB935">
        <v>72.7</v>
      </c>
      <c r="AC935">
        <v>0.82933781119598415</v>
      </c>
      <c r="AD935">
        <v>-0.24396612086771363</v>
      </c>
      <c r="AE935">
        <v>0.2282146144346251</v>
      </c>
      <c r="AF935">
        <v>9.2903070182571591E-3</v>
      </c>
      <c r="AG935">
        <v>-0.24510733883403932</v>
      </c>
      <c r="AH935">
        <v>0.22860760771502889</v>
      </c>
      <c r="AI935">
        <v>3.1298518348266041E-5</v>
      </c>
    </row>
    <row r="936" spans="23:35" x14ac:dyDescent="0.25">
      <c r="W936">
        <v>934</v>
      </c>
      <c r="X936">
        <v>77.335632528955699</v>
      </c>
      <c r="Y936">
        <v>-1.9356325289556935</v>
      </c>
      <c r="Z936">
        <v>77.347821903351814</v>
      </c>
      <c r="AA936">
        <v>0.77986658580958157</v>
      </c>
      <c r="AB936">
        <v>72.7</v>
      </c>
      <c r="AC936">
        <v>0.74840704313415274</v>
      </c>
      <c r="AD936">
        <v>-0.26221863095282066</v>
      </c>
      <c r="AE936">
        <v>0.23511132229220935</v>
      </c>
      <c r="AF936">
        <v>6.2579511890366339E-3</v>
      </c>
      <c r="AG936">
        <v>-0.26304297771487728</v>
      </c>
      <c r="AH936">
        <v>0.23554502043589751</v>
      </c>
      <c r="AI936">
        <v>2.420691381497384E-5</v>
      </c>
    </row>
    <row r="937" spans="23:35" x14ac:dyDescent="0.25">
      <c r="W937">
        <v>935</v>
      </c>
      <c r="X937">
        <v>78.071569203966405</v>
      </c>
      <c r="Y937">
        <v>-3.0715692039664049</v>
      </c>
      <c r="Z937">
        <v>78.091222319121556</v>
      </c>
      <c r="AA937">
        <v>0.76046088538508183</v>
      </c>
      <c r="AB937">
        <v>72.7</v>
      </c>
      <c r="AC937">
        <v>0.67020216077934069</v>
      </c>
      <c r="AD937">
        <v>-0.41610308748812719</v>
      </c>
      <c r="AE937">
        <v>0.23734891892665802</v>
      </c>
      <c r="AF937">
        <v>6.3577165037841925E-3</v>
      </c>
      <c r="AG937">
        <v>-0.41743216099418412</v>
      </c>
      <c r="AH937">
        <v>0.23866870416140698</v>
      </c>
      <c r="AI937">
        <v>6.1939885964261635E-5</v>
      </c>
    </row>
    <row r="938" spans="23:35" x14ac:dyDescent="0.25">
      <c r="W938">
        <v>936</v>
      </c>
      <c r="X938">
        <v>80.437321585662886</v>
      </c>
      <c r="Y938">
        <v>-6.1373215856628889</v>
      </c>
      <c r="Z938">
        <v>80.484927005283865</v>
      </c>
      <c r="AA938">
        <v>0.7052759248029109</v>
      </c>
      <c r="AB938">
        <v>72.7</v>
      </c>
      <c r="AC938">
        <v>0.52824151828033117</v>
      </c>
      <c r="AD938">
        <v>-0.83141817459431333</v>
      </c>
      <c r="AE938">
        <v>0.23914762937400175</v>
      </c>
      <c r="AF938">
        <v>7.6970058951890113E-3</v>
      </c>
      <c r="AG938">
        <v>-0.83463648034129767</v>
      </c>
      <c r="AH938">
        <v>0.23942134476295021</v>
      </c>
      <c r="AI938">
        <v>3.0019243128939625E-4</v>
      </c>
    </row>
    <row r="939" spans="23:35" x14ac:dyDescent="0.25">
      <c r="W939">
        <v>937</v>
      </c>
      <c r="X939">
        <v>76.249573104422723</v>
      </c>
      <c r="Y939">
        <v>-2.8495731044227171</v>
      </c>
      <c r="Z939">
        <v>76.272008225412137</v>
      </c>
      <c r="AA939">
        <v>0.63735597331716187</v>
      </c>
      <c r="AB939">
        <v>72.7</v>
      </c>
      <c r="AC939">
        <v>0.33286538375086522</v>
      </c>
      <c r="AD939">
        <v>-0.38602944880495316</v>
      </c>
      <c r="AE939">
        <v>0.23927305811947841</v>
      </c>
      <c r="AF939">
        <v>7.8116492811195664E-3</v>
      </c>
      <c r="AG939">
        <v>-0.38754610362676112</v>
      </c>
      <c r="AH939">
        <v>0.23961879170367217</v>
      </c>
      <c r="AI939">
        <v>6.5693569101194768E-5</v>
      </c>
    </row>
    <row r="940" spans="23:35" x14ac:dyDescent="0.25">
      <c r="W940">
        <v>938</v>
      </c>
      <c r="X940">
        <v>76.135378349774157</v>
      </c>
      <c r="Y940">
        <v>-3.4353783497741546</v>
      </c>
      <c r="Z940">
        <v>76.156043157283847</v>
      </c>
      <c r="AA940">
        <v>0.57246816252274102</v>
      </c>
      <c r="AB940">
        <v>72.7</v>
      </c>
      <c r="AC940">
        <v>0.16337348484333708</v>
      </c>
      <c r="AD940">
        <v>-0.46538802908460464</v>
      </c>
      <c r="AE940">
        <v>0.24014323454073547</v>
      </c>
      <c r="AF940">
        <v>5.9793256534230984E-3</v>
      </c>
      <c r="AG940">
        <v>-0.46678565314459425</v>
      </c>
      <c r="AH940">
        <v>0.24062120153197716</v>
      </c>
      <c r="AI940">
        <v>7.2814736710532054E-5</v>
      </c>
    </row>
    <row r="941" spans="23:35" x14ac:dyDescent="0.25">
      <c r="W941">
        <v>939</v>
      </c>
      <c r="X941">
        <v>76.57480748676393</v>
      </c>
      <c r="Y941">
        <v>-4.7748074867639332</v>
      </c>
      <c r="Z941">
        <v>76.603110328363897</v>
      </c>
      <c r="AA941">
        <v>0.51061249241964823</v>
      </c>
      <c r="AB941">
        <v>72.7</v>
      </c>
      <c r="AC941">
        <v>1.0640830227304372E-2</v>
      </c>
      <c r="AD941">
        <v>-0.64683945093546014</v>
      </c>
      <c r="AE941">
        <v>0.24033583739975464</v>
      </c>
      <c r="AF941">
        <v>5.8926070119254591E-3</v>
      </c>
      <c r="AG941">
        <v>-0.64875370038388136</v>
      </c>
      <c r="AH941">
        <v>0.24179564442354518</v>
      </c>
      <c r="AI941">
        <v>1.3859940489688901E-4</v>
      </c>
    </row>
    <row r="942" spans="23:35" x14ac:dyDescent="0.25">
      <c r="W942">
        <v>940</v>
      </c>
      <c r="X942">
        <v>75.794718672626416</v>
      </c>
      <c r="Y942">
        <v>2.2052813273735836</v>
      </c>
      <c r="Z942">
        <v>75.781663976921593</v>
      </c>
      <c r="AA942">
        <v>0.86294724075197093</v>
      </c>
      <c r="AB942">
        <v>72.7</v>
      </c>
      <c r="AC942">
        <v>1.0491313979639725</v>
      </c>
      <c r="AD942">
        <v>0.29874774363381068</v>
      </c>
      <c r="AE942">
        <v>0.24137378980599544</v>
      </c>
      <c r="AF942">
        <v>5.8849045270917685E-3</v>
      </c>
      <c r="AG942">
        <v>0.29963069358220157</v>
      </c>
      <c r="AH942">
        <v>0.24222074975615884</v>
      </c>
      <c r="AI942">
        <v>2.9525879775674691E-5</v>
      </c>
    </row>
    <row r="943" spans="23:35" x14ac:dyDescent="0.25">
      <c r="W943">
        <v>941</v>
      </c>
      <c r="X943">
        <v>76.145271047222536</v>
      </c>
      <c r="Y943">
        <v>-6.5452710472225419</v>
      </c>
      <c r="Z943">
        <v>76.187303991112316</v>
      </c>
      <c r="AA943">
        <v>0.44815039417828989</v>
      </c>
      <c r="AB943">
        <v>72.7</v>
      </c>
      <c r="AC943">
        <v>-0.14337818601426075</v>
      </c>
      <c r="AD943">
        <v>-0.8866827703829705</v>
      </c>
      <c r="AE943">
        <v>0.2419375439673952</v>
      </c>
      <c r="AF943">
        <v>6.3809024065830302E-3</v>
      </c>
      <c r="AG943">
        <v>-0.88952529917546708</v>
      </c>
      <c r="AH943">
        <v>0.24239851530572024</v>
      </c>
      <c r="AI943">
        <v>2.8229700850452687E-4</v>
      </c>
    </row>
    <row r="944" spans="23:35" x14ac:dyDescent="0.25">
      <c r="W944">
        <v>942</v>
      </c>
      <c r="X944">
        <v>58.292473630640472</v>
      </c>
      <c r="Y944">
        <v>-0.49247363064047533</v>
      </c>
      <c r="Z944">
        <v>58.294056198088036</v>
      </c>
      <c r="AA944">
        <v>0.12553062462098241</v>
      </c>
      <c r="AB944">
        <v>72.7</v>
      </c>
      <c r="AC944">
        <v>-1.1521925343545227</v>
      </c>
      <c r="AD944">
        <v>-6.6715019134639897E-2</v>
      </c>
      <c r="AE944">
        <v>0.2424553523579322</v>
      </c>
      <c r="AF944">
        <v>3.2032134273120827E-3</v>
      </c>
      <c r="AG944">
        <v>-6.6822127744788767E-2</v>
      </c>
      <c r="AH944">
        <v>0.24270746960014419</v>
      </c>
      <c r="AI944">
        <v>7.9716338476347084E-7</v>
      </c>
    </row>
    <row r="945" spans="23:35" x14ac:dyDescent="0.25">
      <c r="W945">
        <v>943</v>
      </c>
      <c r="X945">
        <v>52.815192274065062</v>
      </c>
      <c r="Y945">
        <v>4.4848077259349353</v>
      </c>
      <c r="Z945">
        <v>52.768196473720202</v>
      </c>
      <c r="AA945">
        <v>0.11643420254699818</v>
      </c>
      <c r="AB945">
        <v>72.7</v>
      </c>
      <c r="AC945">
        <v>-1.207056068729359</v>
      </c>
      <c r="AD945">
        <v>0.60755340922884959</v>
      </c>
      <c r="AE945">
        <v>0.24358646095989581</v>
      </c>
      <c r="AF945">
        <v>1.0370220172240291E-2</v>
      </c>
      <c r="AG945">
        <v>0.6107283556603178</v>
      </c>
      <c r="AH945">
        <v>0.2440139380940598</v>
      </c>
      <c r="AI945">
        <v>2.1713952591165964E-4</v>
      </c>
    </row>
    <row r="946" spans="23:35" x14ac:dyDescent="0.25">
      <c r="W946">
        <v>944</v>
      </c>
      <c r="X946">
        <v>53.076591722962206</v>
      </c>
      <c r="Y946">
        <v>4.1234082770377967</v>
      </c>
      <c r="Z946">
        <v>53.056826643617832</v>
      </c>
      <c r="AA946">
        <v>0.1134020618556701</v>
      </c>
      <c r="AB946">
        <v>72.7</v>
      </c>
      <c r="AC946">
        <v>-1.210211632562187</v>
      </c>
      <c r="AD946">
        <v>0.55859490739583939</v>
      </c>
      <c r="AE946">
        <v>0.24637064486092111</v>
      </c>
      <c r="AF946">
        <v>4.7705170998773166E-3</v>
      </c>
      <c r="AG946">
        <v>0.55993208685928653</v>
      </c>
      <c r="AH946">
        <v>0.24659760023782523</v>
      </c>
      <c r="AI946">
        <v>8.3491147392385451E-5</v>
      </c>
    </row>
    <row r="947" spans="23:35" x14ac:dyDescent="0.25">
      <c r="W947">
        <v>945</v>
      </c>
      <c r="X947">
        <v>55.00190550254225</v>
      </c>
      <c r="Y947">
        <v>1.7980944974577469</v>
      </c>
      <c r="Z947">
        <v>54.995588905650386</v>
      </c>
      <c r="AA947">
        <v>0.10794420861127957</v>
      </c>
      <c r="AB947">
        <v>72.8</v>
      </c>
      <c r="AC947">
        <v>-1.2523823790942721</v>
      </c>
      <c r="AD947">
        <v>0.24358646095989581</v>
      </c>
      <c r="AE947">
        <v>0.24721944368807044</v>
      </c>
      <c r="AF947">
        <v>3.5006417947915898E-3</v>
      </c>
      <c r="AG947">
        <v>0.2440139380940598</v>
      </c>
      <c r="AH947">
        <v>0.24768741665023775</v>
      </c>
      <c r="AI947">
        <v>1.1620569518267756E-5</v>
      </c>
    </row>
    <row r="948" spans="23:35" x14ac:dyDescent="0.25">
      <c r="W948">
        <v>946</v>
      </c>
      <c r="X948">
        <v>53.616318745431229</v>
      </c>
      <c r="Y948">
        <v>2.8836812545687707</v>
      </c>
      <c r="Z948">
        <v>53.603609279486044</v>
      </c>
      <c r="AA948">
        <v>0.10066707095209218</v>
      </c>
      <c r="AB948">
        <v>72.8</v>
      </c>
      <c r="AC948">
        <v>-1.2898891601746336</v>
      </c>
      <c r="AD948">
        <v>0.39065005333698011</v>
      </c>
      <c r="AE948">
        <v>0.24775254394186211</v>
      </c>
      <c r="AF948">
        <v>4.3880357215507447E-3</v>
      </c>
      <c r="AG948">
        <v>0.39150997760224382</v>
      </c>
      <c r="AH948">
        <v>0.24882716105891151</v>
      </c>
      <c r="AI948">
        <v>3.7531265752802167E-5</v>
      </c>
    </row>
    <row r="949" spans="23:35" x14ac:dyDescent="0.25">
      <c r="W949">
        <v>947</v>
      </c>
      <c r="X949">
        <v>53.396553406740651</v>
      </c>
      <c r="Y949">
        <v>2.6034465932593491</v>
      </c>
      <c r="Z949">
        <v>53.383787164565845</v>
      </c>
      <c r="AA949">
        <v>9.2783505154639179E-2</v>
      </c>
      <c r="AB949">
        <v>72.8</v>
      </c>
      <c r="AC949">
        <v>-1.3329906577816031</v>
      </c>
      <c r="AD949">
        <v>0.35268688205584386</v>
      </c>
      <c r="AE949">
        <v>0.24824442806307942</v>
      </c>
      <c r="AF949">
        <v>4.8796649882223205E-3</v>
      </c>
      <c r="AG949">
        <v>0.35355054103422839</v>
      </c>
      <c r="AH949">
        <v>0.24916669469863237</v>
      </c>
      <c r="AI949">
        <v>3.4052179412257517E-5</v>
      </c>
    </row>
    <row r="950" spans="23:35" x14ac:dyDescent="0.25">
      <c r="W950">
        <v>948</v>
      </c>
      <c r="X950">
        <v>50.862392436846314</v>
      </c>
      <c r="Y950">
        <v>4.6376075631536864</v>
      </c>
      <c r="Z950">
        <v>50.836535993417826</v>
      </c>
      <c r="AA950">
        <v>8.7932080048514258E-2</v>
      </c>
      <c r="AB950">
        <v>72.8</v>
      </c>
      <c r="AC950">
        <v>-1.3593210527266006</v>
      </c>
      <c r="AD950">
        <v>0.6282530841547157</v>
      </c>
      <c r="AE950">
        <v>0.24852255719339544</v>
      </c>
      <c r="AF950">
        <v>5.5444715327474066E-3</v>
      </c>
      <c r="AG950">
        <v>0.63000202591291654</v>
      </c>
      <c r="AH950">
        <v>0.24935434720303548</v>
      </c>
      <c r="AI950">
        <v>1.2293800987755785E-4</v>
      </c>
    </row>
    <row r="951" spans="23:35" x14ac:dyDescent="0.25">
      <c r="W951">
        <v>949</v>
      </c>
      <c r="X951">
        <v>53.113978843811438</v>
      </c>
      <c r="Y951">
        <v>1.886021156188562</v>
      </c>
      <c r="Z951">
        <v>53.10412152977581</v>
      </c>
      <c r="AA951">
        <v>8.1261370527592483E-2</v>
      </c>
      <c r="AB951">
        <v>72.8</v>
      </c>
      <c r="AC951">
        <v>-1.4067868590764927</v>
      </c>
      <c r="AD951">
        <v>0.25549781692842222</v>
      </c>
      <c r="AE951">
        <v>0.24906837000694027</v>
      </c>
      <c r="AF951">
        <v>5.1993385601666643E-3</v>
      </c>
      <c r="AG951">
        <v>0.25616462811662438</v>
      </c>
      <c r="AH951">
        <v>0.25022768810586543</v>
      </c>
      <c r="AI951">
        <v>1.9053635353165724E-5</v>
      </c>
    </row>
    <row r="952" spans="23:35" x14ac:dyDescent="0.25">
      <c r="W952">
        <v>950</v>
      </c>
      <c r="X952">
        <v>51.413857280829582</v>
      </c>
      <c r="Y952">
        <v>2.8861427191704152</v>
      </c>
      <c r="Z952">
        <v>51.377254498266815</v>
      </c>
      <c r="AA952">
        <v>7.3984232868405095E-2</v>
      </c>
      <c r="AB952">
        <v>72.8</v>
      </c>
      <c r="AC952">
        <v>-1.4576525936309461</v>
      </c>
      <c r="AD952">
        <v>0.39098350602922755</v>
      </c>
      <c r="AE952">
        <v>0.24957955430081119</v>
      </c>
      <c r="AF952">
        <v>1.2523424479162855E-2</v>
      </c>
      <c r="AG952">
        <v>0.39345497000759605</v>
      </c>
      <c r="AH952">
        <v>0.25134076932606048</v>
      </c>
      <c r="AI952">
        <v>1.0907214773669897E-4</v>
      </c>
    </row>
    <row r="953" spans="23:35" x14ac:dyDescent="0.25">
      <c r="W953">
        <v>951</v>
      </c>
      <c r="X953">
        <v>48.129959819528317</v>
      </c>
      <c r="Y953">
        <v>5.4700401804716847</v>
      </c>
      <c r="Z953">
        <v>48.082508051671304</v>
      </c>
      <c r="AA953">
        <v>6.4887810794420867E-2</v>
      </c>
      <c r="AB953">
        <v>72.8</v>
      </c>
      <c r="AC953">
        <v>-1.5319668124298669</v>
      </c>
      <c r="AD953">
        <v>0.7410220824063436</v>
      </c>
      <c r="AE953">
        <v>0.24985895907348862</v>
      </c>
      <c r="AF953">
        <v>8.6002423386204938E-3</v>
      </c>
      <c r="AG953">
        <v>0.74422926897627451</v>
      </c>
      <c r="AH953">
        <v>0.25144332090708865</v>
      </c>
      <c r="AI953">
        <v>2.6693336872182701E-4</v>
      </c>
    </row>
    <row r="954" spans="23:35" x14ac:dyDescent="0.25">
      <c r="W954">
        <v>952</v>
      </c>
      <c r="X954">
        <v>39.004670138506256</v>
      </c>
      <c r="Y954">
        <v>13.795329861493741</v>
      </c>
      <c r="Z954">
        <v>38.827227219338241</v>
      </c>
      <c r="AA954">
        <v>5.7004244996967858E-2</v>
      </c>
      <c r="AB954">
        <v>72.8</v>
      </c>
      <c r="AC954">
        <v>-1.5884297017318656</v>
      </c>
      <c r="AD954">
        <v>1.8688425905794723</v>
      </c>
      <c r="AE954">
        <v>0.25174217795982157</v>
      </c>
      <c r="AF954">
        <v>1.2699191631713388E-2</v>
      </c>
      <c r="AG954">
        <v>1.8808232153905777</v>
      </c>
      <c r="AH954">
        <v>0.25226728418341271</v>
      </c>
      <c r="AI954">
        <v>2.5278426239158168E-3</v>
      </c>
    </row>
    <row r="955" spans="23:35" x14ac:dyDescent="0.25">
      <c r="W955">
        <v>953</v>
      </c>
      <c r="X955">
        <v>41.265427014430507</v>
      </c>
      <c r="Y955">
        <v>10.734572985569493</v>
      </c>
      <c r="Z955">
        <v>41.179576447606976</v>
      </c>
      <c r="AA955">
        <v>4.6694966646452396E-2</v>
      </c>
      <c r="AB955">
        <v>72.8</v>
      </c>
      <c r="AC955">
        <v>-1.6935133675401242</v>
      </c>
      <c r="AD955">
        <v>1.4542042407490434</v>
      </c>
      <c r="AE955">
        <v>0.25266496161435942</v>
      </c>
      <c r="AF955">
        <v>7.9341225791983265E-3</v>
      </c>
      <c r="AG955">
        <v>1.4600077151317288</v>
      </c>
      <c r="AH955">
        <v>0.25292368794906134</v>
      </c>
      <c r="AI955">
        <v>9.4710077092637762E-4</v>
      </c>
    </row>
    <row r="956" spans="23:35" x14ac:dyDescent="0.25">
      <c r="W956">
        <v>954</v>
      </c>
      <c r="X956">
        <v>80.20060312186537</v>
      </c>
      <c r="Y956">
        <v>1.1993968781346354</v>
      </c>
      <c r="Z956">
        <v>80.181962320283361</v>
      </c>
      <c r="AA956">
        <v>0.94724075197089141</v>
      </c>
      <c r="AB956">
        <v>72.8</v>
      </c>
      <c r="AC956">
        <v>1.5992570753291051</v>
      </c>
      <c r="AD956">
        <v>0.16248136082070883</v>
      </c>
      <c r="AE956">
        <v>0.25549781692842222</v>
      </c>
      <c r="AF956">
        <v>1.5303961357208861E-2</v>
      </c>
      <c r="AG956">
        <v>0.16373912013285488</v>
      </c>
      <c r="AH956">
        <v>0.25616462811662438</v>
      </c>
      <c r="AI956">
        <v>2.3149097771758983E-5</v>
      </c>
    </row>
    <row r="957" spans="23:35" x14ac:dyDescent="0.25">
      <c r="W957">
        <v>955</v>
      </c>
      <c r="X957">
        <v>80.905378829016769</v>
      </c>
      <c r="Y957">
        <v>0.19462117098322551</v>
      </c>
      <c r="Z957">
        <v>80.904476503851384</v>
      </c>
      <c r="AA957">
        <v>0.93935718617343844</v>
      </c>
      <c r="AB957">
        <v>72.8</v>
      </c>
      <c r="AC957">
        <v>1.5222105313262397</v>
      </c>
      <c r="AD957">
        <v>2.6365178434560377E-2</v>
      </c>
      <c r="AE957">
        <v>0.25595632924735884</v>
      </c>
      <c r="AF957">
        <v>4.6149193481011463E-3</v>
      </c>
      <c r="AG957">
        <v>2.642622640062563E-2</v>
      </c>
      <c r="AH957">
        <v>0.25617861262379071</v>
      </c>
      <c r="AI957">
        <v>1.7987499140672064E-7</v>
      </c>
    </row>
    <row r="958" spans="23:35" x14ac:dyDescent="0.25">
      <c r="W958">
        <v>956</v>
      </c>
      <c r="X958">
        <v>81.095532438218882</v>
      </c>
      <c r="Y958">
        <v>-9.5532438218882021E-2</v>
      </c>
      <c r="Z958">
        <v>81.095957092518844</v>
      </c>
      <c r="AA958">
        <v>0.93571861734384476</v>
      </c>
      <c r="AB958">
        <v>72.8</v>
      </c>
      <c r="AC958">
        <v>1.4576525936309466</v>
      </c>
      <c r="AD958">
        <v>-1.2941704991316338E-2</v>
      </c>
      <c r="AE958">
        <v>0.25735116756459114</v>
      </c>
      <c r="AF958">
        <v>4.4254602636399163E-3</v>
      </c>
      <c r="AG958">
        <v>-1.2970436891065362E-2</v>
      </c>
      <c r="AH958">
        <v>0.25757070536953647</v>
      </c>
      <c r="AI958">
        <v>4.154524923000413E-8</v>
      </c>
    </row>
    <row r="959" spans="23:35" x14ac:dyDescent="0.25">
      <c r="W959">
        <v>957</v>
      </c>
      <c r="X959">
        <v>82.753223578219945</v>
      </c>
      <c r="Y959">
        <v>4.246776421780055</v>
      </c>
      <c r="Z959">
        <v>82.73521474397532</v>
      </c>
      <c r="AA959">
        <v>0.99211643420254703</v>
      </c>
      <c r="AB959">
        <v>72.8</v>
      </c>
      <c r="AC959">
        <v>2.349487559997844</v>
      </c>
      <c r="AD959">
        <v>0.57530749386748625</v>
      </c>
      <c r="AE959">
        <v>0.25761542648074498</v>
      </c>
      <c r="AF959">
        <v>4.2226825416780481E-3</v>
      </c>
      <c r="AG959">
        <v>0.57652602478549198</v>
      </c>
      <c r="AH959">
        <v>0.25795181966895975</v>
      </c>
      <c r="AI959">
        <v>7.8305367311581233E-5</v>
      </c>
    </row>
    <row r="960" spans="23:35" x14ac:dyDescent="0.25">
      <c r="W960">
        <v>958</v>
      </c>
      <c r="X960">
        <v>77.240809355270557</v>
      </c>
      <c r="Y960">
        <v>5.7591906447294434</v>
      </c>
      <c r="Z960">
        <v>77.21932812719497</v>
      </c>
      <c r="AA960">
        <v>0.97877501516070342</v>
      </c>
      <c r="AB960">
        <v>72.8</v>
      </c>
      <c r="AC960">
        <v>1.9368862628682144</v>
      </c>
      <c r="AD960">
        <v>0.7801930705680008</v>
      </c>
      <c r="AE960">
        <v>0.25763684530172443</v>
      </c>
      <c r="AF960">
        <v>3.7160434891038235E-3</v>
      </c>
      <c r="AG960">
        <v>0.78164673893616221</v>
      </c>
      <c r="AH960">
        <v>0.25899150387652647</v>
      </c>
      <c r="AI960">
        <v>1.2660363835999841E-4</v>
      </c>
    </row>
    <row r="961" spans="23:35" x14ac:dyDescent="0.25">
      <c r="W961">
        <v>959</v>
      </c>
      <c r="X961">
        <v>76.660985806529538</v>
      </c>
      <c r="Y961">
        <v>5.3390141934704616</v>
      </c>
      <c r="Z961">
        <v>76.639505254056928</v>
      </c>
      <c r="AA961">
        <v>0.96604002425712554</v>
      </c>
      <c r="AB961">
        <v>72.8</v>
      </c>
      <c r="AC961">
        <v>1.7539324289023792</v>
      </c>
      <c r="AD961">
        <v>0.72327209400888715</v>
      </c>
      <c r="AE961">
        <v>0.25840334166177714</v>
      </c>
      <c r="AF961">
        <v>4.0071958822207512E-3</v>
      </c>
      <c r="AG961">
        <v>0.72472561034248684</v>
      </c>
      <c r="AH961">
        <v>0.25972263073061369</v>
      </c>
      <c r="AI961">
        <v>1.1739756360510077E-4</v>
      </c>
    </row>
    <row r="962" spans="23:35" x14ac:dyDescent="0.25">
      <c r="W962">
        <v>960</v>
      </c>
      <c r="X962">
        <v>76.192171070715887</v>
      </c>
      <c r="Y962">
        <v>3.8078289292841134</v>
      </c>
      <c r="Z962">
        <v>76.174701016745217</v>
      </c>
      <c r="AA962">
        <v>0.92722862340812617</v>
      </c>
      <c r="AB962">
        <v>72.900000000000006</v>
      </c>
      <c r="AC962">
        <v>1.4191611772342045</v>
      </c>
      <c r="AD962">
        <v>0.51584361897354758</v>
      </c>
      <c r="AE962">
        <v>0.25870251817834</v>
      </c>
      <c r="AF962">
        <v>4.5669773910858406E-3</v>
      </c>
      <c r="AG962">
        <v>0.51702559212395793</v>
      </c>
      <c r="AH962">
        <v>0.26015486129090032</v>
      </c>
      <c r="AI962">
        <v>6.8134707189659692E-5</v>
      </c>
    </row>
    <row r="963" spans="23:35" x14ac:dyDescent="0.25">
      <c r="W963">
        <v>961</v>
      </c>
      <c r="X963">
        <v>76.191425862477701</v>
      </c>
      <c r="Y963">
        <v>3.4085741375222938</v>
      </c>
      <c r="Z963">
        <v>76.17955355248543</v>
      </c>
      <c r="AA963">
        <v>0.91206791995148573</v>
      </c>
      <c r="AB963">
        <v>72.900000000000006</v>
      </c>
      <c r="AC963">
        <v>1.3404190152831756</v>
      </c>
      <c r="AD963">
        <v>0.4617568833297625</v>
      </c>
      <c r="AE963">
        <v>0.2597442461330921</v>
      </c>
      <c r="AF963">
        <v>3.4709825674661284E-3</v>
      </c>
      <c r="AG963">
        <v>0.46256035059769451</v>
      </c>
      <c r="AH963">
        <v>0.26032348002052103</v>
      </c>
      <c r="AI963">
        <v>4.14025209086642E-5</v>
      </c>
    </row>
    <row r="964" spans="23:35" x14ac:dyDescent="0.25">
      <c r="W964">
        <v>962</v>
      </c>
      <c r="X964">
        <v>78.45946525458092</v>
      </c>
      <c r="Y964">
        <v>0.84053474541907747</v>
      </c>
      <c r="Z964">
        <v>78.456931042242175</v>
      </c>
      <c r="AA964">
        <v>0.9017586416009703</v>
      </c>
      <c r="AB964">
        <v>72.900000000000006</v>
      </c>
      <c r="AC964">
        <v>1.262435852359769</v>
      </c>
      <c r="AD964">
        <v>0.11386658723439606</v>
      </c>
      <c r="AE964">
        <v>0.25975664636255102</v>
      </c>
      <c r="AF964">
        <v>3.0059371958006788E-3</v>
      </c>
      <c r="AG964">
        <v>0.11403811193071871</v>
      </c>
      <c r="AH964">
        <v>0.26098834802704418</v>
      </c>
      <c r="AI964">
        <v>2.1782858078218031E-6</v>
      </c>
    </row>
    <row r="965" spans="23:35" x14ac:dyDescent="0.25">
      <c r="W965">
        <v>963</v>
      </c>
      <c r="X965">
        <v>81.098929088643644</v>
      </c>
      <c r="Y965">
        <v>-2.0989290886436436</v>
      </c>
      <c r="Z965">
        <v>81.104306781406891</v>
      </c>
      <c r="AA965">
        <v>0.89023650697392354</v>
      </c>
      <c r="AB965">
        <v>72.900000000000006</v>
      </c>
      <c r="AC965">
        <v>1.2070560687293583</v>
      </c>
      <c r="AD965">
        <v>-0.28434028869525468</v>
      </c>
      <c r="AE965">
        <v>0.2598826336487326</v>
      </c>
      <c r="AF965">
        <v>2.5555650016231782E-3</v>
      </c>
      <c r="AG965">
        <v>-0.28470431160235382</v>
      </c>
      <c r="AH965">
        <v>0.26213864686719351</v>
      </c>
      <c r="AI965">
        <v>1.1537555510256206E-5</v>
      </c>
    </row>
    <row r="966" spans="23:35" x14ac:dyDescent="0.25">
      <c r="W966">
        <v>964</v>
      </c>
      <c r="X966">
        <v>78.552175152230959</v>
      </c>
      <c r="Y966">
        <v>0.14782484776904425</v>
      </c>
      <c r="Z966">
        <v>78.551745877121178</v>
      </c>
      <c r="AA966">
        <v>0.87871437234687688</v>
      </c>
      <c r="AB966">
        <v>72.900000000000006</v>
      </c>
      <c r="AC966">
        <v>1.1521925343545227</v>
      </c>
      <c r="AD966">
        <v>2.0025716980340735E-2</v>
      </c>
      <c r="AE966">
        <v>0.26058978261345234</v>
      </c>
      <c r="AF966">
        <v>2.8955357291231957E-3</v>
      </c>
      <c r="AG966">
        <v>2.0054772683968169E-2</v>
      </c>
      <c r="AH966">
        <v>0.26268776572421593</v>
      </c>
      <c r="AI966">
        <v>6.4886037001162796E-8</v>
      </c>
    </row>
    <row r="967" spans="23:35" x14ac:dyDescent="0.25">
      <c r="W967">
        <v>965</v>
      </c>
      <c r="X967">
        <v>77.60017166506077</v>
      </c>
      <c r="Y967">
        <v>0.89982833493922953</v>
      </c>
      <c r="Z967">
        <v>77.59774734619684</v>
      </c>
      <c r="AA967">
        <v>0.87265009096422075</v>
      </c>
      <c r="AB967">
        <v>72.900000000000006</v>
      </c>
      <c r="AC967">
        <v>1.128888636463274</v>
      </c>
      <c r="AD967">
        <v>0.12189904362044426</v>
      </c>
      <c r="AE967">
        <v>0.26116725640275074</v>
      </c>
      <c r="AF967">
        <v>2.6869622978767278E-3</v>
      </c>
      <c r="AG967">
        <v>0.12206314345932937</v>
      </c>
      <c r="AH967">
        <v>0.26273650407117655</v>
      </c>
      <c r="AI967">
        <v>2.2301119820297288E-6</v>
      </c>
    </row>
    <row r="968" spans="23:35" x14ac:dyDescent="0.25">
      <c r="W968">
        <v>966</v>
      </c>
      <c r="X968">
        <v>55.064566282323582</v>
      </c>
      <c r="Y968">
        <v>7.9354337176764176</v>
      </c>
      <c r="Z968">
        <v>55.027570015080414</v>
      </c>
      <c r="AA968">
        <v>0.22195269860521527</v>
      </c>
      <c r="AB968">
        <v>72.900000000000006</v>
      </c>
      <c r="AC968">
        <v>-0.78098898173722842</v>
      </c>
      <c r="AD968">
        <v>1.0750070244937446</v>
      </c>
      <c r="AE968">
        <v>0.26149701805404552</v>
      </c>
      <c r="AF968">
        <v>4.6405258262723304E-3</v>
      </c>
      <c r="AG968">
        <v>1.0775100382757705</v>
      </c>
      <c r="AH968">
        <v>0.26325043552413646</v>
      </c>
      <c r="AI968">
        <v>3.0071658720923368E-4</v>
      </c>
    </row>
    <row r="969" spans="23:35" x14ac:dyDescent="0.25">
      <c r="W969">
        <v>967</v>
      </c>
      <c r="X969">
        <v>44.537416434549826</v>
      </c>
      <c r="Y969">
        <v>18.162583565450177</v>
      </c>
      <c r="Z969">
        <v>44.388537428844408</v>
      </c>
      <c r="AA969">
        <v>0.21164342025469982</v>
      </c>
      <c r="AB969">
        <v>72.900000000000006</v>
      </c>
      <c r="AC969">
        <v>-0.80808466725232064</v>
      </c>
      <c r="AD969">
        <v>2.4604710480186194</v>
      </c>
      <c r="AE969">
        <v>0.26178277812072231</v>
      </c>
      <c r="AF969">
        <v>8.1303721713597964E-3</v>
      </c>
      <c r="AG969">
        <v>2.4705347285355757</v>
      </c>
      <c r="AH969">
        <v>0.26344497041531928</v>
      </c>
      <c r="AI969">
        <v>2.7794908933267541E-3</v>
      </c>
    </row>
    <row r="970" spans="23:35" x14ac:dyDescent="0.25">
      <c r="W970">
        <v>968</v>
      </c>
      <c r="X970">
        <v>42.920437073982065</v>
      </c>
      <c r="Y970">
        <v>19.579562926017935</v>
      </c>
      <c r="Z970">
        <v>42.764616621911017</v>
      </c>
      <c r="AA970">
        <v>0.20800485142510614</v>
      </c>
      <c r="AB970">
        <v>72.900000000000006</v>
      </c>
      <c r="AC970">
        <v>-0.81866501502518862</v>
      </c>
      <c r="AD970">
        <v>2.652428138250484</v>
      </c>
      <c r="AE970">
        <v>0.2623671255453201</v>
      </c>
      <c r="AF970">
        <v>7.895486451205554E-3</v>
      </c>
      <c r="AG970">
        <v>2.6629616601273112</v>
      </c>
      <c r="AH970">
        <v>0.26432334042495181</v>
      </c>
      <c r="AI970">
        <v>3.1352977411173931E-3</v>
      </c>
    </row>
    <row r="971" spans="23:35" x14ac:dyDescent="0.25">
      <c r="W971">
        <v>969</v>
      </c>
      <c r="X971">
        <v>55.056481702865227</v>
      </c>
      <c r="Y971">
        <v>7.1435182971347757</v>
      </c>
      <c r="Z971">
        <v>55.035744344461435</v>
      </c>
      <c r="AA971">
        <v>0.20436628259551243</v>
      </c>
      <c r="AB971">
        <v>72.900000000000006</v>
      </c>
      <c r="AC971">
        <v>-0.8357870519497973</v>
      </c>
      <c r="AD971">
        <v>0.96772685932887736</v>
      </c>
      <c r="AE971">
        <v>0.26320963360709893</v>
      </c>
      <c r="AF971">
        <v>2.8945586814392958E-3</v>
      </c>
      <c r="AG971">
        <v>0.96913047829902699</v>
      </c>
      <c r="AH971">
        <v>0.2645429129647619</v>
      </c>
      <c r="AI971">
        <v>1.5147231782189276E-4</v>
      </c>
    </row>
    <row r="972" spans="23:35" x14ac:dyDescent="0.25">
      <c r="W972">
        <v>970</v>
      </c>
      <c r="X972">
        <v>52.98789342561016</v>
      </c>
      <c r="Y972">
        <v>9.0121065743898399</v>
      </c>
      <c r="Z972">
        <v>52.961110848501264</v>
      </c>
      <c r="AA972">
        <v>0.19890842935112188</v>
      </c>
      <c r="AB972">
        <v>73</v>
      </c>
      <c r="AC972">
        <v>-0.85973834429501084</v>
      </c>
      <c r="AD972">
        <v>1.2208630577273742</v>
      </c>
      <c r="AE972">
        <v>0.26540300625268803</v>
      </c>
      <c r="AF972">
        <v>2.9630385614867489E-3</v>
      </c>
      <c r="AG972">
        <v>1.2226758193446594</v>
      </c>
      <c r="AH972">
        <v>0.26698464475036487</v>
      </c>
      <c r="AI972">
        <v>2.4681763498681647E-4</v>
      </c>
    </row>
    <row r="973" spans="23:35" x14ac:dyDescent="0.25">
      <c r="W973">
        <v>971</v>
      </c>
      <c r="X973">
        <v>52.583667011759339</v>
      </c>
      <c r="Y973">
        <v>9.1163329882406643</v>
      </c>
      <c r="Z973">
        <v>52.556974777523266</v>
      </c>
      <c r="AA973">
        <v>0.19102486355366888</v>
      </c>
      <c r="AB973">
        <v>73</v>
      </c>
      <c r="AC973">
        <v>-0.87970786716299942</v>
      </c>
      <c r="AD973">
        <v>1.2349825288254499</v>
      </c>
      <c r="AE973">
        <v>0.2667036542572469</v>
      </c>
      <c r="AF973">
        <v>2.9194094499982929E-3</v>
      </c>
      <c r="AG973">
        <v>1.2367891954215087</v>
      </c>
      <c r="AH973">
        <v>0.26763255426722909</v>
      </c>
      <c r="AI973">
        <v>2.4881903838975264E-4</v>
      </c>
    </row>
    <row r="974" spans="23:35" x14ac:dyDescent="0.25">
      <c r="W974">
        <v>972</v>
      </c>
      <c r="X974">
        <v>53.944261866149937</v>
      </c>
      <c r="Y974">
        <v>7.4557381338500619</v>
      </c>
      <c r="Z974">
        <v>53.920413697888215</v>
      </c>
      <c r="AA974">
        <v>0.18617343844754397</v>
      </c>
      <c r="AB974">
        <v>73</v>
      </c>
      <c r="AC974">
        <v>-0.90460220385671419</v>
      </c>
      <c r="AD974">
        <v>1.0100230374076606</v>
      </c>
      <c r="AE974">
        <v>0.26749668691332235</v>
      </c>
      <c r="AF974">
        <v>3.1884341323777815E-3</v>
      </c>
      <c r="AG974">
        <v>1.0116370941334878</v>
      </c>
      <c r="AH974">
        <v>0.2678044836991158</v>
      </c>
      <c r="AI974">
        <v>1.8186175047094896E-4</v>
      </c>
    </row>
    <row r="975" spans="23:35" x14ac:dyDescent="0.25">
      <c r="W975">
        <v>973</v>
      </c>
      <c r="X975">
        <v>55.133957803883732</v>
      </c>
      <c r="Y975">
        <v>6.0660421961162712</v>
      </c>
      <c r="Z975">
        <v>55.115532981867418</v>
      </c>
      <c r="AA975">
        <v>0.18071558520315342</v>
      </c>
      <c r="AB975">
        <v>73</v>
      </c>
      <c r="AC975">
        <v>-0.91841998904288702</v>
      </c>
      <c r="AD975">
        <v>0.82176201121491876</v>
      </c>
      <c r="AE975">
        <v>0.26966293362250338</v>
      </c>
      <c r="AF975">
        <v>3.0281735378634126E-3</v>
      </c>
      <c r="AG975">
        <v>0.8230090631363195</v>
      </c>
      <c r="AH975">
        <v>0.27013378930576637</v>
      </c>
      <c r="AI975">
        <v>1.1429694033317677E-4</v>
      </c>
    </row>
    <row r="976" spans="23:35" x14ac:dyDescent="0.25">
      <c r="W976">
        <v>974</v>
      </c>
      <c r="X976">
        <v>53.102993352366951</v>
      </c>
      <c r="Y976">
        <v>15.897006647633049</v>
      </c>
      <c r="Z976">
        <v>53.05355782335581</v>
      </c>
      <c r="AA976">
        <v>0.42086112795633718</v>
      </c>
      <c r="AB976">
        <v>73</v>
      </c>
      <c r="AC976">
        <v>-0.21444491222324932</v>
      </c>
      <c r="AD976">
        <v>2.1535551077141686</v>
      </c>
      <c r="AE976">
        <v>0.2740683775600769</v>
      </c>
      <c r="AF976">
        <v>3.1000977185713522E-3</v>
      </c>
      <c r="AG976">
        <v>2.1569010048211581</v>
      </c>
      <c r="AH976">
        <v>0.2743403604694275</v>
      </c>
      <c r="AI976">
        <v>8.0373290815142617E-4</v>
      </c>
    </row>
    <row r="977" spans="23:35" x14ac:dyDescent="0.25">
      <c r="W977">
        <v>975</v>
      </c>
      <c r="X977">
        <v>53.970997716650579</v>
      </c>
      <c r="Y977">
        <v>12.029002283349421</v>
      </c>
      <c r="Z977">
        <v>53.919758416854961</v>
      </c>
      <c r="AA977">
        <v>0.31109763493026077</v>
      </c>
      <c r="AB977">
        <v>73</v>
      </c>
      <c r="AC977">
        <v>-0.50738317096904828</v>
      </c>
      <c r="AD977">
        <v>1.6295595694343896</v>
      </c>
      <c r="AE977">
        <v>0.27411144419816336</v>
      </c>
      <c r="AF977">
        <v>4.2415790647024453E-3</v>
      </c>
      <c r="AG977">
        <v>1.6330265553394101</v>
      </c>
      <c r="AH977">
        <v>0.27465562098740498</v>
      </c>
      <c r="AI977">
        <v>6.3108457894402604E-4</v>
      </c>
    </row>
    <row r="978" spans="23:35" x14ac:dyDescent="0.25">
      <c r="W978">
        <v>976</v>
      </c>
      <c r="X978">
        <v>84.215828810647679</v>
      </c>
      <c r="Y978">
        <v>-10.015828810647676</v>
      </c>
      <c r="Z978">
        <v>84.257489994598473</v>
      </c>
      <c r="AA978">
        <v>0.7010309278350515</v>
      </c>
      <c r="AB978">
        <v>73</v>
      </c>
      <c r="AC978">
        <v>0.5039283835636299</v>
      </c>
      <c r="AD978">
        <v>-1.3568365272321625</v>
      </c>
      <c r="AE978">
        <v>0.27430603475381921</v>
      </c>
      <c r="AF978">
        <v>4.142304289954447E-3</v>
      </c>
      <c r="AG978">
        <v>-1.3596555029366857</v>
      </c>
      <c r="AH978">
        <v>0.27504809855571066</v>
      </c>
      <c r="AI978">
        <v>4.2719875582653732E-4</v>
      </c>
    </row>
    <row r="979" spans="23:35" x14ac:dyDescent="0.25">
      <c r="W979">
        <v>977</v>
      </c>
      <c r="X979">
        <v>83.601820074404415</v>
      </c>
      <c r="Y979">
        <v>-9.5018200744044208</v>
      </c>
      <c r="Z979">
        <v>83.644898878377774</v>
      </c>
      <c r="AA979">
        <v>0.69254093389933291</v>
      </c>
      <c r="AB979">
        <v>73</v>
      </c>
      <c r="AC979">
        <v>0.48161589062349974</v>
      </c>
      <c r="AD979">
        <v>-1.2872041641161049</v>
      </c>
      <c r="AE979">
        <v>0.27493015054848718</v>
      </c>
      <c r="AF979">
        <v>4.5132802895325487E-3</v>
      </c>
      <c r="AG979">
        <v>-1.2901187903201339</v>
      </c>
      <c r="AH979">
        <v>0.27518835153354498</v>
      </c>
      <c r="AI979">
        <v>4.1922167711256806E-4</v>
      </c>
    </row>
    <row r="980" spans="23:35" x14ac:dyDescent="0.25">
      <c r="W980">
        <v>978</v>
      </c>
      <c r="X980">
        <v>82.42853663097064</v>
      </c>
      <c r="Y980">
        <v>-8.5285366309706347</v>
      </c>
      <c r="Z980">
        <v>82.464401092105859</v>
      </c>
      <c r="AA980">
        <v>0.67919951485748942</v>
      </c>
      <c r="AB980">
        <v>73</v>
      </c>
      <c r="AC980">
        <v>0.43434378704136062</v>
      </c>
      <c r="AD980">
        <v>-1.1553542141651469</v>
      </c>
      <c r="AE980">
        <v>0.27579315650248348</v>
      </c>
      <c r="AF980">
        <v>4.1876204476553394E-3</v>
      </c>
      <c r="AG980">
        <v>-1.1577809309227345</v>
      </c>
      <c r="AH980">
        <v>0.27618901240351856</v>
      </c>
      <c r="AI980">
        <v>3.1316272993741202E-4</v>
      </c>
    </row>
    <row r="981" spans="23:35" x14ac:dyDescent="0.25">
      <c r="W981">
        <v>979</v>
      </c>
      <c r="X981">
        <v>80.141619411289469</v>
      </c>
      <c r="Y981">
        <v>-6.5416194112894743</v>
      </c>
      <c r="Z981">
        <v>80.157241616019064</v>
      </c>
      <c r="AA981">
        <v>0.65433596118859916</v>
      </c>
      <c r="AB981">
        <v>73</v>
      </c>
      <c r="AC981">
        <v>0.3716850598056044</v>
      </c>
      <c r="AD981">
        <v>-0.88618808610752919</v>
      </c>
      <c r="AE981">
        <v>0.27609273172618637</v>
      </c>
      <c r="AF981">
        <v>2.3824354270292093E-3</v>
      </c>
      <c r="AG981">
        <v>-0.88724561905678601</v>
      </c>
      <c r="AH981">
        <v>0.2764293629167735</v>
      </c>
      <c r="AI981">
        <v>1.0444130112996347E-4</v>
      </c>
    </row>
    <row r="982" spans="23:35" x14ac:dyDescent="0.25">
      <c r="W982">
        <v>980</v>
      </c>
      <c r="X982">
        <v>77.849027293238578</v>
      </c>
      <c r="Y982">
        <v>-4.5490272932385807</v>
      </c>
      <c r="Z982">
        <v>77.877012238956937</v>
      </c>
      <c r="AA982">
        <v>0.63007883565797451</v>
      </c>
      <c r="AB982">
        <v>73</v>
      </c>
      <c r="AC982">
        <v>0.3152427890443939</v>
      </c>
      <c r="AD982">
        <v>-0.61625318398817841</v>
      </c>
      <c r="AE982">
        <v>0.2808908733520018</v>
      </c>
      <c r="AF982">
        <v>6.1142387779000891E-3</v>
      </c>
      <c r="AG982">
        <v>-0.61814582703480359</v>
      </c>
      <c r="AH982">
        <v>0.28115501305598467</v>
      </c>
      <c r="AI982">
        <v>1.3059161861491957E-4</v>
      </c>
    </row>
    <row r="983" spans="23:35" x14ac:dyDescent="0.25">
      <c r="W983">
        <v>981</v>
      </c>
      <c r="X983">
        <v>76.527029001284589</v>
      </c>
      <c r="Y983">
        <v>-3.7270290012845919</v>
      </c>
      <c r="Z983">
        <v>76.549523922369403</v>
      </c>
      <c r="AA983">
        <v>0.58156458459672533</v>
      </c>
      <c r="AB983">
        <v>73</v>
      </c>
      <c r="AC983">
        <v>0.18343432307636306</v>
      </c>
      <c r="AD983">
        <v>-0.50489771566588215</v>
      </c>
      <c r="AE983">
        <v>0.2821559254568568</v>
      </c>
      <c r="AF983">
        <v>5.99940727157822E-3</v>
      </c>
      <c r="AG983">
        <v>-0.50641910820211222</v>
      </c>
      <c r="AH983">
        <v>0.28522058911704817</v>
      </c>
      <c r="AI983">
        <v>8.5994240449056814E-5</v>
      </c>
    </row>
    <row r="984" spans="23:35" x14ac:dyDescent="0.25">
      <c r="W984">
        <v>982</v>
      </c>
      <c r="X984">
        <v>79.116320074861022</v>
      </c>
      <c r="Y984">
        <v>-6.4163200748610194</v>
      </c>
      <c r="Z984">
        <v>79.133061972366875</v>
      </c>
      <c r="AA984">
        <v>0.57246816252274102</v>
      </c>
      <c r="AB984">
        <v>73</v>
      </c>
      <c r="AC984">
        <v>0.16337348484333708</v>
      </c>
      <c r="AD984">
        <v>-0.86921388260243893</v>
      </c>
      <c r="AE984">
        <v>0.28760907926219037</v>
      </c>
      <c r="AF984">
        <v>2.6024772616481968E-3</v>
      </c>
      <c r="AG984">
        <v>-0.87034714974174432</v>
      </c>
      <c r="AH984">
        <v>0.28851831021030577</v>
      </c>
      <c r="AI984">
        <v>1.0980729068672293E-4</v>
      </c>
    </row>
    <row r="985" spans="23:35" x14ac:dyDescent="0.25">
      <c r="W985">
        <v>983</v>
      </c>
      <c r="X985">
        <v>76.999320968428037</v>
      </c>
      <c r="Y985">
        <v>-4.0993209684280316</v>
      </c>
      <c r="Z985">
        <v>77.009502252922744</v>
      </c>
      <c r="AA985">
        <v>0.58762886597938147</v>
      </c>
      <c r="AB985">
        <v>73</v>
      </c>
      <c r="AC985">
        <v>0.206674078513852</v>
      </c>
      <c r="AD985">
        <v>-0.55533181846108259</v>
      </c>
      <c r="AE985">
        <v>0.28839357717752528</v>
      </c>
      <c r="AF985">
        <v>2.4774982146491516E-3</v>
      </c>
      <c r="AG985">
        <v>-0.55602101613469601</v>
      </c>
      <c r="AH985">
        <v>0.28870194799425025</v>
      </c>
      <c r="AI985">
        <v>4.2658006700278072E-5</v>
      </c>
    </row>
    <row r="986" spans="23:35" x14ac:dyDescent="0.25">
      <c r="W986">
        <v>984</v>
      </c>
      <c r="X986">
        <v>76.622087428322629</v>
      </c>
      <c r="Y986">
        <v>-4.8220874283226323</v>
      </c>
      <c r="Z986">
        <v>76.633094725769197</v>
      </c>
      <c r="AA986">
        <v>0.51061249241964823</v>
      </c>
      <c r="AB986">
        <v>73</v>
      </c>
      <c r="AC986">
        <v>1.0640830227304372E-2</v>
      </c>
      <c r="AD986">
        <v>-0.65324442779010106</v>
      </c>
      <c r="AE986">
        <v>0.29144441628114964</v>
      </c>
      <c r="AF986">
        <v>2.2774843182525603E-3</v>
      </c>
      <c r="AG986">
        <v>-0.65398957780268219</v>
      </c>
      <c r="AH986">
        <v>0.29185000176995757</v>
      </c>
      <c r="AI986">
        <v>5.423938689273155E-5</v>
      </c>
    </row>
    <row r="987" spans="23:35" x14ac:dyDescent="0.25">
      <c r="W987">
        <v>985</v>
      </c>
      <c r="X987">
        <v>75.346895436028035</v>
      </c>
      <c r="Y987">
        <v>-3.2468954360280406</v>
      </c>
      <c r="Z987">
        <v>75.353794017900427</v>
      </c>
      <c r="AA987">
        <v>0.5312310491206792</v>
      </c>
      <c r="AB987">
        <v>73</v>
      </c>
      <c r="AC987">
        <v>6.3887210036911155E-2</v>
      </c>
      <c r="AD987">
        <v>-0.43985439557661149</v>
      </c>
      <c r="AE987">
        <v>0.29474404031532758</v>
      </c>
      <c r="AF987">
        <v>2.1201655158357355E-3</v>
      </c>
      <c r="AG987">
        <v>-0.44032142039614175</v>
      </c>
      <c r="AH987">
        <v>0.29503266953901219</v>
      </c>
      <c r="AI987">
        <v>2.28854070513771E-5</v>
      </c>
    </row>
    <row r="988" spans="23:35" x14ac:dyDescent="0.25">
      <c r="W988">
        <v>986</v>
      </c>
      <c r="X988">
        <v>74.569454669577709</v>
      </c>
      <c r="Y988">
        <v>-2.6694546695777035</v>
      </c>
      <c r="Z988">
        <v>74.575390451337981</v>
      </c>
      <c r="AA988">
        <v>0.51607034566403887</v>
      </c>
      <c r="AB988">
        <v>73</v>
      </c>
      <c r="AC988">
        <v>2.7365033500434649E-2</v>
      </c>
      <c r="AD988">
        <v>-0.36162894473825108</v>
      </c>
      <c r="AE988">
        <v>0.29570749947428021</v>
      </c>
      <c r="AF988">
        <v>2.2186599930899141E-3</v>
      </c>
      <c r="AG988">
        <v>-0.36203077934881189</v>
      </c>
      <c r="AH988">
        <v>0.29600027491229236</v>
      </c>
      <c r="AI988">
        <v>1.6191006973145502E-5</v>
      </c>
    </row>
    <row r="989" spans="23:35" x14ac:dyDescent="0.25">
      <c r="W989">
        <v>987</v>
      </c>
      <c r="X989">
        <v>74.044650814984522</v>
      </c>
      <c r="Y989">
        <v>-2.5446508149845215</v>
      </c>
      <c r="Z989">
        <v>74.050501546501906</v>
      </c>
      <c r="AA989">
        <v>0.49120679199514855</v>
      </c>
      <c r="AB989">
        <v>73</v>
      </c>
      <c r="AC989">
        <v>-2.7365033500434788E-2</v>
      </c>
      <c r="AD989">
        <v>-0.34472186377143382</v>
      </c>
      <c r="AE989">
        <v>0.29713632640215804</v>
      </c>
      <c r="AF989">
        <v>2.2939533306319021E-3</v>
      </c>
      <c r="AG989">
        <v>-0.34511793325930701</v>
      </c>
      <c r="AH989">
        <v>0.29836388169523059</v>
      </c>
      <c r="AI989">
        <v>1.5214038913265383E-5</v>
      </c>
    </row>
    <row r="990" spans="23:35" x14ac:dyDescent="0.25">
      <c r="W990">
        <v>988</v>
      </c>
      <c r="X990">
        <v>72.030502579435947</v>
      </c>
      <c r="Y990">
        <v>-0.53050257943594659</v>
      </c>
      <c r="Z990">
        <v>72.031608567009982</v>
      </c>
      <c r="AA990">
        <v>0.49120679199514855</v>
      </c>
      <c r="AB990">
        <v>73</v>
      </c>
      <c r="AC990">
        <v>-2.7365033500434788E-2</v>
      </c>
      <c r="AD990">
        <v>-7.1866771205630051E-2</v>
      </c>
      <c r="AE990">
        <v>0.29721434531257013</v>
      </c>
      <c r="AF990">
        <v>2.0804547606386829E-3</v>
      </c>
      <c r="AG990">
        <v>-7.1941645839014939E-2</v>
      </c>
      <c r="AH990">
        <v>0.29860489103669324</v>
      </c>
      <c r="AI990">
        <v>5.994472620145001E-7</v>
      </c>
    </row>
    <row r="991" spans="23:35" x14ac:dyDescent="0.25">
      <c r="W991">
        <v>989</v>
      </c>
      <c r="X991">
        <v>70.940161233417868</v>
      </c>
      <c r="Y991">
        <v>0.55983876658213205</v>
      </c>
      <c r="Z991">
        <v>70.938733797384316</v>
      </c>
      <c r="AA991">
        <v>0.49120679199514855</v>
      </c>
      <c r="AB991">
        <v>73</v>
      </c>
      <c r="AC991">
        <v>-2.7365033500434788E-2</v>
      </c>
      <c r="AD991">
        <v>7.5840921627145605E-2</v>
      </c>
      <c r="AE991">
        <v>0.29769433097811987</v>
      </c>
      <c r="AF991">
        <v>2.5432424523370478E-3</v>
      </c>
      <c r="AG991">
        <v>7.5937546898128219E-2</v>
      </c>
      <c r="AH991">
        <v>0.29875173259272686</v>
      </c>
      <c r="AI991">
        <v>8.1683494545327685E-7</v>
      </c>
    </row>
    <row r="992" spans="23:35" x14ac:dyDescent="0.25">
      <c r="W992">
        <v>990</v>
      </c>
      <c r="X992">
        <v>69.938634190856021</v>
      </c>
      <c r="Y992">
        <v>1.0613658091439788</v>
      </c>
      <c r="Z992">
        <v>69.9361649017617</v>
      </c>
      <c r="AA992">
        <v>0.46937537901758641</v>
      </c>
      <c r="AB992">
        <v>73</v>
      </c>
      <c r="AC992">
        <v>-9.743972564826138E-2</v>
      </c>
      <c r="AD992">
        <v>0.14378239942269402</v>
      </c>
      <c r="AE992">
        <v>0.29802795842681862</v>
      </c>
      <c r="AF992">
        <v>2.3211201608290505E-3</v>
      </c>
      <c r="AG992">
        <v>0.14394955858946634</v>
      </c>
      <c r="AH992">
        <v>0.29963069358220157</v>
      </c>
      <c r="AI992">
        <v>2.6782740600882407E-6</v>
      </c>
    </row>
    <row r="993" spans="23:35" x14ac:dyDescent="0.25">
      <c r="W993">
        <v>991</v>
      </c>
      <c r="X993">
        <v>74.561952319728192</v>
      </c>
      <c r="Y993">
        <v>2.0380476802718022</v>
      </c>
      <c r="Z993">
        <v>74.556979434967047</v>
      </c>
      <c r="AA993">
        <v>0.82413583990297146</v>
      </c>
      <c r="AB993">
        <v>73</v>
      </c>
      <c r="AC993">
        <v>0.91841998904288702</v>
      </c>
      <c r="AD993">
        <v>0.27609273172618637</v>
      </c>
      <c r="AE993">
        <v>0.29874774363381068</v>
      </c>
      <c r="AF993">
        <v>2.4340845345646096E-3</v>
      </c>
      <c r="AG993">
        <v>0.2764293629167735</v>
      </c>
      <c r="AH993">
        <v>0.29992953342171091</v>
      </c>
      <c r="AI993">
        <v>1.0358333645583751E-5</v>
      </c>
    </row>
    <row r="994" spans="23:35" x14ac:dyDescent="0.25">
      <c r="W994">
        <v>992</v>
      </c>
      <c r="X994">
        <v>70.704555462897616</v>
      </c>
      <c r="Y994">
        <v>5.895444537102378</v>
      </c>
      <c r="Z994">
        <v>70.673530647944474</v>
      </c>
      <c r="AA994">
        <v>0.82413583990297146</v>
      </c>
      <c r="AB994">
        <v>73</v>
      </c>
      <c r="AC994">
        <v>0.91841998904288702</v>
      </c>
      <c r="AD994">
        <v>0.79865127923392965</v>
      </c>
      <c r="AE994">
        <v>0.30185755368828188</v>
      </c>
      <c r="AF994">
        <v>5.2349574612045443E-3</v>
      </c>
      <c r="AG994">
        <v>0.80074997551388905</v>
      </c>
      <c r="AH994">
        <v>0.30208954056518939</v>
      </c>
      <c r="AI994">
        <v>1.8746232750460135E-4</v>
      </c>
    </row>
    <row r="995" spans="23:35" x14ac:dyDescent="0.25">
      <c r="W995">
        <v>993</v>
      </c>
      <c r="X995">
        <v>75.137110250901088</v>
      </c>
      <c r="Y995">
        <v>1.162889749098909</v>
      </c>
      <c r="Z995">
        <v>75.133701460944621</v>
      </c>
      <c r="AA995">
        <v>0.8168587022437841</v>
      </c>
      <c r="AB995">
        <v>73</v>
      </c>
      <c r="AC995">
        <v>0.89095501331493132</v>
      </c>
      <c r="AD995">
        <v>0.1575357684871625</v>
      </c>
      <c r="AE995">
        <v>0.30228239313552863</v>
      </c>
      <c r="AF995">
        <v>2.9227421987773824E-3</v>
      </c>
      <c r="AG995">
        <v>0.15776649259001765</v>
      </c>
      <c r="AH995">
        <v>0.30302286605029782</v>
      </c>
      <c r="AI995">
        <v>4.0533932075556668E-6</v>
      </c>
    </row>
    <row r="996" spans="23:35" x14ac:dyDescent="0.25">
      <c r="W996">
        <v>994</v>
      </c>
      <c r="X996">
        <v>68.704794943054608</v>
      </c>
      <c r="Y996">
        <v>7.395205056945386</v>
      </c>
      <c r="Z996">
        <v>68.657060978505484</v>
      </c>
      <c r="AA996">
        <v>0.81079442086112796</v>
      </c>
      <c r="AB996">
        <v>73</v>
      </c>
      <c r="AC996">
        <v>0.873012700415573</v>
      </c>
      <c r="AD996">
        <v>1.0018226686311194</v>
      </c>
      <c r="AE996">
        <v>0.30515685048504892</v>
      </c>
      <c r="AF996">
        <v>6.4133219970320321E-3</v>
      </c>
      <c r="AG996">
        <v>1.0050507094840453</v>
      </c>
      <c r="AH996">
        <v>0.30616741448985818</v>
      </c>
      <c r="AI996">
        <v>3.6222692519646273E-4</v>
      </c>
    </row>
    <row r="997" spans="23:35" x14ac:dyDescent="0.25">
      <c r="W997">
        <v>995</v>
      </c>
      <c r="X997">
        <v>66.717332857834947</v>
      </c>
      <c r="Y997">
        <v>8.8826671421650474</v>
      </c>
      <c r="Z997">
        <v>66.642148618274334</v>
      </c>
      <c r="AA997">
        <v>0.78835657974530016</v>
      </c>
      <c r="AB997">
        <v>73</v>
      </c>
      <c r="AC997">
        <v>0.78719041678006285</v>
      </c>
      <c r="AD997">
        <v>1.2033279986696472</v>
      </c>
      <c r="AE997">
        <v>0.30635094426171189</v>
      </c>
      <c r="AF997">
        <v>8.3931108428518999E-3</v>
      </c>
      <c r="AG997">
        <v>1.208409843137727</v>
      </c>
      <c r="AH997">
        <v>0.30675549417741299</v>
      </c>
      <c r="AI997">
        <v>6.866563276605351E-4</v>
      </c>
    </row>
    <row r="998" spans="23:35" x14ac:dyDescent="0.25">
      <c r="W998">
        <v>996</v>
      </c>
      <c r="X998">
        <v>72.217756698920027</v>
      </c>
      <c r="Y998">
        <v>3.4822433010799756</v>
      </c>
      <c r="Z998">
        <v>72.20768290470329</v>
      </c>
      <c r="AA998">
        <v>0.79199514857489384</v>
      </c>
      <c r="AB998">
        <v>73</v>
      </c>
      <c r="AC998">
        <v>0.80177968430189828</v>
      </c>
      <c r="AD998">
        <v>0.4717367875329414</v>
      </c>
      <c r="AE998">
        <v>0.30958681251670439</v>
      </c>
      <c r="AF998">
        <v>2.88455885930405E-3</v>
      </c>
      <c r="AG998">
        <v>0.47241863928404659</v>
      </c>
      <c r="AH998">
        <v>0.31143081357977342</v>
      </c>
      <c r="AI998">
        <v>3.5868689294954898E-5</v>
      </c>
    </row>
    <row r="999" spans="23:35" x14ac:dyDescent="0.25">
      <c r="W999">
        <v>997</v>
      </c>
      <c r="X999">
        <v>71.82453710552312</v>
      </c>
      <c r="Y999">
        <v>3.775462894476874</v>
      </c>
      <c r="Z999">
        <v>71.802935447383874</v>
      </c>
      <c r="AA999">
        <v>0.78835657974530016</v>
      </c>
      <c r="AB999">
        <v>73</v>
      </c>
      <c r="AC999">
        <v>0.78719041678006285</v>
      </c>
      <c r="AD999">
        <v>0.51145901744946365</v>
      </c>
      <c r="AE999">
        <v>0.31080431536234354</v>
      </c>
      <c r="AF999">
        <v>5.6890415846008492E-3</v>
      </c>
      <c r="AG999">
        <v>0.51292011038683982</v>
      </c>
      <c r="AH999">
        <v>0.31250494239987769</v>
      </c>
      <c r="AI999">
        <v>8.3626482809231927E-5</v>
      </c>
    </row>
    <row r="1000" spans="23:35" x14ac:dyDescent="0.25">
      <c r="W1000">
        <v>998</v>
      </c>
      <c r="X1000">
        <v>71.815224498506453</v>
      </c>
      <c r="Y1000">
        <v>4.1847755014935473</v>
      </c>
      <c r="Z1000">
        <v>71.796452474756208</v>
      </c>
      <c r="AA1000">
        <v>0.80836870830806551</v>
      </c>
      <c r="AB1000">
        <v>73</v>
      </c>
      <c r="AC1000">
        <v>0.83794453378675593</v>
      </c>
      <c r="AD1000">
        <v>0.56690827749137251</v>
      </c>
      <c r="AE1000">
        <v>0.31220102733354099</v>
      </c>
      <c r="AF1000">
        <v>4.4657574673573662E-3</v>
      </c>
      <c r="AG1000">
        <v>0.56817837046013442</v>
      </c>
      <c r="AH1000">
        <v>0.31290461296053101</v>
      </c>
      <c r="AI1000">
        <v>8.0451809965492618E-5</v>
      </c>
    </row>
    <row r="1001" spans="23:35" x14ac:dyDescent="0.25">
      <c r="W1001">
        <v>999</v>
      </c>
      <c r="X1001">
        <v>72.306673906285212</v>
      </c>
      <c r="Y1001">
        <v>3.493326093714785</v>
      </c>
      <c r="Z1001">
        <v>72.297261275538943</v>
      </c>
      <c r="AA1001">
        <v>0.79624014554275313</v>
      </c>
      <c r="AB1001">
        <v>73</v>
      </c>
      <c r="AC1001">
        <v>0.81442193874053515</v>
      </c>
      <c r="AD1001">
        <v>0.4732381648183302</v>
      </c>
      <c r="AE1001">
        <v>0.31226128984082219</v>
      </c>
      <c r="AF1001">
        <v>2.6872203400540367E-3</v>
      </c>
      <c r="AG1001">
        <v>0.47387529680288493</v>
      </c>
      <c r="AH1001">
        <v>0.31339730689615786</v>
      </c>
      <c r="AI1001">
        <v>3.3614567494003538E-5</v>
      </c>
    </row>
    <row r="1002" spans="23:35" x14ac:dyDescent="0.25">
      <c r="W1002">
        <v>1000</v>
      </c>
      <c r="X1002">
        <v>72.68197381892611</v>
      </c>
      <c r="Y1002">
        <v>2.618026181073887</v>
      </c>
      <c r="Z1002">
        <v>72.675513106739274</v>
      </c>
      <c r="AA1002">
        <v>0.77258944815039421</v>
      </c>
      <c r="AB1002">
        <v>73</v>
      </c>
      <c r="AC1002">
        <v>0.72844171022016913</v>
      </c>
      <c r="AD1002">
        <v>0.35466196746043105</v>
      </c>
      <c r="AE1002">
        <v>0.31251162265445237</v>
      </c>
      <c r="AF1002">
        <v>2.4617048777917207E-3</v>
      </c>
      <c r="AG1002">
        <v>0.35509931163312375</v>
      </c>
      <c r="AH1002">
        <v>0.31545464229962045</v>
      </c>
      <c r="AI1002">
        <v>1.7287554602740657E-5</v>
      </c>
    </row>
    <row r="1003" spans="23:35" x14ac:dyDescent="0.25">
      <c r="W1003">
        <v>1001</v>
      </c>
      <c r="X1003">
        <v>72.117626695223805</v>
      </c>
      <c r="Y1003">
        <v>3.2823733047762005</v>
      </c>
      <c r="Z1003">
        <v>72.109584995887957</v>
      </c>
      <c r="AA1003">
        <v>0.77986658580958157</v>
      </c>
      <c r="AB1003">
        <v>73</v>
      </c>
      <c r="AC1003">
        <v>0.74840704313415274</v>
      </c>
      <c r="AD1003">
        <v>0.44466055482073485</v>
      </c>
      <c r="AE1003">
        <v>0.31786208081045941</v>
      </c>
      <c r="AF1003">
        <v>2.4439772265204456E-3</v>
      </c>
      <c r="AG1003">
        <v>0.44520492297649239</v>
      </c>
      <c r="AH1003">
        <v>0.32045484826285686</v>
      </c>
      <c r="AI1003">
        <v>2.6977845964534331E-5</v>
      </c>
    </row>
    <row r="1004" spans="23:35" x14ac:dyDescent="0.25">
      <c r="W1004">
        <v>1002</v>
      </c>
      <c r="X1004">
        <v>71.647168042363077</v>
      </c>
      <c r="Y1004">
        <v>3.3528319576369228</v>
      </c>
      <c r="Z1004">
        <v>71.638237442046275</v>
      </c>
      <c r="AA1004">
        <v>0.76046088538508183</v>
      </c>
      <c r="AB1004">
        <v>73</v>
      </c>
      <c r="AC1004">
        <v>0.67020216077934069</v>
      </c>
      <c r="AD1004">
        <v>0.45420553364059718</v>
      </c>
      <c r="AE1004">
        <v>0.3184806648391999</v>
      </c>
      <c r="AF1004">
        <v>2.6565232263858667E-3</v>
      </c>
      <c r="AG1004">
        <v>0.45481004210049014</v>
      </c>
      <c r="AH1004">
        <v>0.32114995772725458</v>
      </c>
      <c r="AI1004">
        <v>3.0609515205309755E-5</v>
      </c>
    </row>
    <row r="1005" spans="23:35" x14ac:dyDescent="0.25">
      <c r="W1005">
        <v>1003</v>
      </c>
      <c r="X1005">
        <v>70.271750694655452</v>
      </c>
      <c r="Y1005">
        <v>4.7282493053445478</v>
      </c>
      <c r="Z1005">
        <v>70.257115061486374</v>
      </c>
      <c r="AA1005">
        <v>0.76046088538508183</v>
      </c>
      <c r="AB1005">
        <v>73</v>
      </c>
      <c r="AC1005">
        <v>0.67020216077934069</v>
      </c>
      <c r="AD1005">
        <v>0.64053225036468286</v>
      </c>
      <c r="AE1005">
        <v>0.32265719571029</v>
      </c>
      <c r="AF1005">
        <v>3.0858081861182369E-3</v>
      </c>
      <c r="AG1005">
        <v>0.64152282332455757</v>
      </c>
      <c r="AH1005">
        <v>0.32471831132935247</v>
      </c>
      <c r="AI1005">
        <v>7.0772227801380237E-5</v>
      </c>
    </row>
    <row r="1006" spans="23:35" x14ac:dyDescent="0.25">
      <c r="W1006">
        <v>1004</v>
      </c>
      <c r="X1006">
        <v>69.900157608800228</v>
      </c>
      <c r="Y1006">
        <v>5.0998423911997719</v>
      </c>
      <c r="Z1006">
        <v>69.884451228766025</v>
      </c>
      <c r="AA1006">
        <v>0.76046088538508183</v>
      </c>
      <c r="AB1006">
        <v>73</v>
      </c>
      <c r="AC1006">
        <v>0.67020216077934069</v>
      </c>
      <c r="AD1006">
        <v>0.69087167625615653</v>
      </c>
      <c r="AE1006">
        <v>0.32311254452584864</v>
      </c>
      <c r="AF1006">
        <v>3.0703216285457805E-3</v>
      </c>
      <c r="AG1006">
        <v>0.69193472393222943</v>
      </c>
      <c r="AH1006">
        <v>0.32556080535430393</v>
      </c>
      <c r="AI1006">
        <v>8.1917576093363045E-5</v>
      </c>
    </row>
    <row r="1007" spans="23:35" x14ac:dyDescent="0.25">
      <c r="W1007">
        <v>1005</v>
      </c>
      <c r="X1007">
        <v>68.758771621295296</v>
      </c>
      <c r="Y1007">
        <v>6.0412283787047016</v>
      </c>
      <c r="Z1007">
        <v>68.739910939604712</v>
      </c>
      <c r="AA1007">
        <v>0.74166161309884782</v>
      </c>
      <c r="AB1007">
        <v>73</v>
      </c>
      <c r="AC1007">
        <v>0.63261352584071384</v>
      </c>
      <c r="AD1007">
        <v>0.81840050269868947</v>
      </c>
      <c r="AE1007">
        <v>0.32440661594003362</v>
      </c>
      <c r="AF1007">
        <v>3.1122779719264032E-3</v>
      </c>
      <c r="AG1007">
        <v>0.81967702807743681</v>
      </c>
      <c r="AH1007">
        <v>0.32622300027754941</v>
      </c>
      <c r="AI1007">
        <v>1.1653198773798827E-4</v>
      </c>
    </row>
    <row r="1008" spans="23:35" x14ac:dyDescent="0.25">
      <c r="W1008">
        <v>1006</v>
      </c>
      <c r="X1008">
        <v>83.043941686149537</v>
      </c>
      <c r="Y1008">
        <v>-14.643941686149532</v>
      </c>
      <c r="Z1008">
        <v>83.113978793109069</v>
      </c>
      <c r="AA1008">
        <v>0.40024257125530627</v>
      </c>
      <c r="AB1008">
        <v>73.099999999999994</v>
      </c>
      <c r="AC1008">
        <v>-0.26293383539244392</v>
      </c>
      <c r="AD1008">
        <v>-1.9838033734464924</v>
      </c>
      <c r="AE1008">
        <v>0.32592425208979658</v>
      </c>
      <c r="AF1008">
        <v>4.7599026710798877E-3</v>
      </c>
      <c r="AG1008">
        <v>-1.9885416509650544</v>
      </c>
      <c r="AH1008">
        <v>0.32844000660706069</v>
      </c>
      <c r="AI1008">
        <v>1.050671824799763E-3</v>
      </c>
    </row>
    <row r="1009" spans="23:35" x14ac:dyDescent="0.25">
      <c r="W1009">
        <v>1007</v>
      </c>
      <c r="X1009">
        <v>77.316961836617708</v>
      </c>
      <c r="Y1009">
        <v>-9.2169618366177133</v>
      </c>
      <c r="Z1009">
        <v>77.417386040000309</v>
      </c>
      <c r="AA1009">
        <v>0.38932686476652517</v>
      </c>
      <c r="AB1009">
        <v>73.099999999999994</v>
      </c>
      <c r="AC1009">
        <v>-0.29295400660571042</v>
      </c>
      <c r="AD1009">
        <v>-1.248614640531087</v>
      </c>
      <c r="AE1009">
        <v>0.32802496423084598</v>
      </c>
      <c r="AF1009">
        <v>1.0778152043015674E-2</v>
      </c>
      <c r="AG1009">
        <v>-1.255398406618216</v>
      </c>
      <c r="AH1009">
        <v>0.33175718506188823</v>
      </c>
      <c r="AI1009">
        <v>9.5398434335375283E-4</v>
      </c>
    </row>
    <row r="1010" spans="23:35" x14ac:dyDescent="0.25">
      <c r="W1010">
        <v>1008</v>
      </c>
      <c r="X1010">
        <v>81.838941971215093</v>
      </c>
      <c r="Y1010">
        <v>-14.038941971215095</v>
      </c>
      <c r="Z1010">
        <v>81.911971490808625</v>
      </c>
      <c r="AA1010">
        <v>0.37355973317161917</v>
      </c>
      <c r="AB1010">
        <v>73.099999999999994</v>
      </c>
      <c r="AC1010">
        <v>-0.337689309602062</v>
      </c>
      <c r="AD1010">
        <v>-1.9018445333238041</v>
      </c>
      <c r="AE1010">
        <v>0.32950167124124263</v>
      </c>
      <c r="AF1010">
        <v>5.175004756855164E-3</v>
      </c>
      <c r="AG1010">
        <v>-1.9067847430742471</v>
      </c>
      <c r="AH1010">
        <v>0.33321473258951961</v>
      </c>
      <c r="AI1010">
        <v>1.0507391069368734E-3</v>
      </c>
    </row>
    <row r="1011" spans="23:35" x14ac:dyDescent="0.25">
      <c r="W1011">
        <v>1009</v>
      </c>
      <c r="X1011">
        <v>81.568841657220759</v>
      </c>
      <c r="Y1011">
        <v>-14.268841657220761</v>
      </c>
      <c r="Z1011">
        <v>81.639930635253137</v>
      </c>
      <c r="AA1011">
        <v>0.35112189205579136</v>
      </c>
      <c r="AB1011">
        <v>73.099999999999994</v>
      </c>
      <c r="AC1011">
        <v>-0.39787592189543292</v>
      </c>
      <c r="AD1011">
        <v>-1.9329888647085496</v>
      </c>
      <c r="AE1011">
        <v>0.33200496523830719</v>
      </c>
      <c r="AF1011">
        <v>4.957414358589771E-3</v>
      </c>
      <c r="AG1011">
        <v>-1.9377980663944057</v>
      </c>
      <c r="AH1011">
        <v>0.33481999979354887</v>
      </c>
      <c r="AI1011">
        <v>1.0393410573171339E-3</v>
      </c>
    </row>
    <row r="1012" spans="23:35" x14ac:dyDescent="0.25">
      <c r="W1012">
        <v>1010</v>
      </c>
      <c r="X1012">
        <v>74.323988562727507</v>
      </c>
      <c r="Y1012">
        <v>-8.02398856272751</v>
      </c>
      <c r="Z1012">
        <v>74.348722641897979</v>
      </c>
      <c r="AA1012">
        <v>0.31898120072771374</v>
      </c>
      <c r="AB1012">
        <v>73.099999999999994</v>
      </c>
      <c r="AC1012">
        <v>-0.47479897905845492</v>
      </c>
      <c r="AD1012">
        <v>-1.0870034803737585</v>
      </c>
      <c r="AE1012">
        <v>0.332151145868604</v>
      </c>
      <c r="AF1012">
        <v>3.073044043252488E-3</v>
      </c>
      <c r="AG1012">
        <v>-1.0886775445031334</v>
      </c>
      <c r="AH1012">
        <v>0.33554879218327716</v>
      </c>
      <c r="AI1012">
        <v>2.029698219081688E-4</v>
      </c>
    </row>
    <row r="1013" spans="23:35" x14ac:dyDescent="0.25">
      <c r="W1013">
        <v>1011</v>
      </c>
      <c r="X1013">
        <v>76.198175202742021</v>
      </c>
      <c r="Y1013">
        <v>-9.2981752027420157</v>
      </c>
      <c r="Z1013">
        <v>76.217752803671516</v>
      </c>
      <c r="AA1013">
        <v>0.33474833232261975</v>
      </c>
      <c r="AB1013">
        <v>73.099999999999994</v>
      </c>
      <c r="AC1013">
        <v>-0.43267393579163727</v>
      </c>
      <c r="AD1013">
        <v>-1.2596165519794724</v>
      </c>
      <c r="AE1013">
        <v>0.33513732322921802</v>
      </c>
      <c r="AF1013">
        <v>2.1011075676719204E-3</v>
      </c>
      <c r="AG1013">
        <v>-1.2609419358609937</v>
      </c>
      <c r="AH1013">
        <v>0.33558856429336176</v>
      </c>
      <c r="AI1013">
        <v>1.8598564207421135E-4</v>
      </c>
    </row>
    <row r="1014" spans="23:35" x14ac:dyDescent="0.25">
      <c r="W1014">
        <v>1012</v>
      </c>
      <c r="X1014">
        <v>75.050322550529032</v>
      </c>
      <c r="Y1014">
        <v>-7.650322550529026</v>
      </c>
      <c r="Z1014">
        <v>75.064374428988557</v>
      </c>
      <c r="AA1014">
        <v>0.3547604608853851</v>
      </c>
      <c r="AB1014">
        <v>73.099999999999994</v>
      </c>
      <c r="AC1014">
        <v>-0.38147581702590427</v>
      </c>
      <c r="AD1014">
        <v>-1.0363832367652521</v>
      </c>
      <c r="AE1014">
        <v>0.3351422894011406</v>
      </c>
      <c r="AF1014">
        <v>1.8334018763989184E-3</v>
      </c>
      <c r="AG1014">
        <v>-1.0373345986222398</v>
      </c>
      <c r="AH1014">
        <v>0.33660485169288434</v>
      </c>
      <c r="AI1014">
        <v>1.0980442957736918E-4</v>
      </c>
    </row>
    <row r="1015" spans="23:35" x14ac:dyDescent="0.25">
      <c r="W1015">
        <v>1013</v>
      </c>
      <c r="X1015">
        <v>71.896735740698858</v>
      </c>
      <c r="Y1015">
        <v>-5.9967357406988526</v>
      </c>
      <c r="Z1015">
        <v>71.911172720167954</v>
      </c>
      <c r="AA1015">
        <v>0.30563978168587025</v>
      </c>
      <c r="AB1015">
        <v>73.099999999999994</v>
      </c>
      <c r="AC1015">
        <v>-0.52126361871264315</v>
      </c>
      <c r="AD1015">
        <v>-0.8123731196852062</v>
      </c>
      <c r="AE1015">
        <v>0.33650021341933989</v>
      </c>
      <c r="AF1015">
        <v>2.4016910079215923E-3</v>
      </c>
      <c r="AG1015">
        <v>-0.8133504150173233</v>
      </c>
      <c r="AH1015">
        <v>0.33813092422203556</v>
      </c>
      <c r="AI1015">
        <v>8.8479835769145979E-5</v>
      </c>
    </row>
    <row r="1016" spans="23:35" x14ac:dyDescent="0.25">
      <c r="W1016">
        <v>1014</v>
      </c>
      <c r="X1016">
        <v>73.791412203527528</v>
      </c>
      <c r="Y1016">
        <v>-8.7914122035275284</v>
      </c>
      <c r="Z1016">
        <v>73.817619517013</v>
      </c>
      <c r="AA1016">
        <v>0.27289266221952696</v>
      </c>
      <c r="AB1016">
        <v>73.099999999999994</v>
      </c>
      <c r="AC1016">
        <v>-0.62335641379693996</v>
      </c>
      <c r="AD1016">
        <v>-1.1909657632146955</v>
      </c>
      <c r="AE1016">
        <v>0.33745948602789311</v>
      </c>
      <c r="AF1016">
        <v>2.9721529075860827E-3</v>
      </c>
      <c r="AG1016">
        <v>-1.1927395844243771</v>
      </c>
      <c r="AH1016">
        <v>0.33819720635281902</v>
      </c>
      <c r="AI1016">
        <v>2.3560397901089026E-4</v>
      </c>
    </row>
    <row r="1017" spans="23:35" x14ac:dyDescent="0.25">
      <c r="W1017">
        <v>1015</v>
      </c>
      <c r="X1017">
        <v>72.225349137898434</v>
      </c>
      <c r="Y1017">
        <v>-7.7253491378984336</v>
      </c>
      <c r="Z1017">
        <v>72.247010770291837</v>
      </c>
      <c r="AA1017">
        <v>0.25409338993329289</v>
      </c>
      <c r="AB1017">
        <v>73.2</v>
      </c>
      <c r="AC1017">
        <v>-0.6664012884495929</v>
      </c>
      <c r="AD1017">
        <v>-1.0465470301148516</v>
      </c>
      <c r="AE1017">
        <v>0.3380657826909359</v>
      </c>
      <c r="AF1017">
        <v>2.7961278273249566E-3</v>
      </c>
      <c r="AG1017">
        <v>-1.048013245262801</v>
      </c>
      <c r="AH1017">
        <v>0.33860365659483072</v>
      </c>
      <c r="AI1017">
        <v>1.7109373350776691E-4</v>
      </c>
    </row>
    <row r="1018" spans="23:35" x14ac:dyDescent="0.25">
      <c r="W1018">
        <v>1016</v>
      </c>
      <c r="X1018">
        <v>71.04745679371517</v>
      </c>
      <c r="Y1018">
        <v>-7.0474567937151704</v>
      </c>
      <c r="Z1018">
        <v>71.071269609599653</v>
      </c>
      <c r="AA1018">
        <v>0.24075197089144937</v>
      </c>
      <c r="AB1018">
        <v>73.2</v>
      </c>
      <c r="AC1018">
        <v>-0.7126762947196924</v>
      </c>
      <c r="AD1018">
        <v>-0.95471348228692998</v>
      </c>
      <c r="AE1018">
        <v>0.33878860996958254</v>
      </c>
      <c r="AF1018">
        <v>3.3675446135088272E-3</v>
      </c>
      <c r="AG1018">
        <v>-0.95632507388341859</v>
      </c>
      <c r="AH1018">
        <v>0.33983356132084397</v>
      </c>
      <c r="AI1018">
        <v>1.7167889621385332E-4</v>
      </c>
    </row>
    <row r="1019" spans="23:35" x14ac:dyDescent="0.25">
      <c r="W1019">
        <v>1017</v>
      </c>
      <c r="X1019">
        <v>65.385301142530452</v>
      </c>
      <c r="Y1019">
        <v>-1.3853011425304516</v>
      </c>
      <c r="Z1019">
        <v>65.394645309354942</v>
      </c>
      <c r="AA1019">
        <v>0.24075197089144937</v>
      </c>
      <c r="AB1019">
        <v>73.2</v>
      </c>
      <c r="AC1019">
        <v>-0.7126762947196924</v>
      </c>
      <c r="AD1019">
        <v>-0.18766566670983451</v>
      </c>
      <c r="AE1019">
        <v>0.33946927015067052</v>
      </c>
      <c r="AF1019">
        <v>6.7000310127689868E-3</v>
      </c>
      <c r="AG1019">
        <v>-0.18829752649217329</v>
      </c>
      <c r="AH1019">
        <v>0.33996399419046397</v>
      </c>
      <c r="AI1019">
        <v>1.3286577225241746E-5</v>
      </c>
    </row>
    <row r="1020" spans="23:35" x14ac:dyDescent="0.25">
      <c r="W1020">
        <v>1018</v>
      </c>
      <c r="X1020">
        <v>66.667513909854904</v>
      </c>
      <c r="Y1020">
        <v>-2.8675139098549067</v>
      </c>
      <c r="Z1020">
        <v>66.677079470532533</v>
      </c>
      <c r="AA1020">
        <v>0.23650697392359005</v>
      </c>
      <c r="AB1020">
        <v>73.2</v>
      </c>
      <c r="AC1020">
        <v>-0.72448350403832318</v>
      </c>
      <c r="AD1020">
        <v>-0.38845987574201118</v>
      </c>
      <c r="AE1020">
        <v>0.34085190955806316</v>
      </c>
      <c r="AF1020">
        <v>3.3247467703296681E-3</v>
      </c>
      <c r="AG1020">
        <v>-0.38910725582979261</v>
      </c>
      <c r="AH1020">
        <v>0.34358149315669739</v>
      </c>
      <c r="AI1020">
        <v>2.8058926485927509E-5</v>
      </c>
    </row>
    <row r="1021" spans="23:35" x14ac:dyDescent="0.25">
      <c r="W1021">
        <v>1019</v>
      </c>
      <c r="X1021">
        <v>64.243379530715188</v>
      </c>
      <c r="Y1021">
        <v>-1.0433795307151854</v>
      </c>
      <c r="Z1021">
        <v>64.247920809218655</v>
      </c>
      <c r="AA1021">
        <v>0.22437841115827775</v>
      </c>
      <c r="AB1021">
        <v>73.2</v>
      </c>
      <c r="AC1021">
        <v>-0.7625619542054235</v>
      </c>
      <c r="AD1021">
        <v>-0.14134581229420687</v>
      </c>
      <c r="AE1021">
        <v>0.34299902585764519</v>
      </c>
      <c r="AF1021">
        <v>4.3336084783431074E-3</v>
      </c>
      <c r="AG1021">
        <v>-0.14165308004451324</v>
      </c>
      <c r="AH1021">
        <v>0.34418233281679106</v>
      </c>
      <c r="AI1021">
        <v>4.8519393492844061E-6</v>
      </c>
    </row>
    <row r="1022" spans="23:35" x14ac:dyDescent="0.25">
      <c r="W1022">
        <v>1020</v>
      </c>
      <c r="X1022">
        <v>61.609861012611475</v>
      </c>
      <c r="Y1022">
        <v>1.1901389873885222</v>
      </c>
      <c r="Z1022">
        <v>61.604967930967476</v>
      </c>
      <c r="AA1022">
        <v>0.21467556094602788</v>
      </c>
      <c r="AB1022">
        <v>73.2</v>
      </c>
      <c r="AC1022">
        <v>-0.79968509868701798</v>
      </c>
      <c r="AD1022">
        <v>0.16122720157268963</v>
      </c>
      <c r="AE1022">
        <v>0.34517131260591777</v>
      </c>
      <c r="AF1022">
        <v>4.0945191102343403E-3</v>
      </c>
      <c r="AG1022">
        <v>0.16155829259317223</v>
      </c>
      <c r="AH1022">
        <v>0.34566347313531554</v>
      </c>
      <c r="AI1022">
        <v>5.9617091464942657E-6</v>
      </c>
    </row>
    <row r="1023" spans="23:35" x14ac:dyDescent="0.25">
      <c r="W1023">
        <v>1021</v>
      </c>
      <c r="X1023">
        <v>83.530932338859756</v>
      </c>
      <c r="Y1023">
        <v>-7.6309323388597505</v>
      </c>
      <c r="Z1023">
        <v>83.571387576398607</v>
      </c>
      <c r="AA1023">
        <v>0.79866585809581569</v>
      </c>
      <c r="AB1023">
        <v>73.2</v>
      </c>
      <c r="AC1023">
        <v>0.82933781119598415</v>
      </c>
      <c r="AD1023">
        <v>-1.033756459894259</v>
      </c>
      <c r="AE1023">
        <v>0.3458100290113017</v>
      </c>
      <c r="AF1023">
        <v>5.2735228322079823E-3</v>
      </c>
      <c r="AG1023">
        <v>-1.0364930574427367</v>
      </c>
      <c r="AH1023">
        <v>0.34616940562131132</v>
      </c>
      <c r="AI1023">
        <v>3.1641527617679266E-4</v>
      </c>
    </row>
    <row r="1024" spans="23:35" x14ac:dyDescent="0.25">
      <c r="W1024">
        <v>1022</v>
      </c>
      <c r="X1024">
        <v>77.163405353278421</v>
      </c>
      <c r="Y1024">
        <v>-1.3634053532784236</v>
      </c>
      <c r="Z1024">
        <v>77.19193226081542</v>
      </c>
      <c r="AA1024">
        <v>0.79624014554275313</v>
      </c>
      <c r="AB1024">
        <v>73.2</v>
      </c>
      <c r="AC1024">
        <v>0.81442193874053515</v>
      </c>
      <c r="AD1024">
        <v>-0.18469946119540462</v>
      </c>
      <c r="AE1024">
        <v>0.34618675834789964</v>
      </c>
      <c r="AF1024">
        <v>2.0494465384606631E-2</v>
      </c>
      <c r="AG1024">
        <v>-0.18662171724579457</v>
      </c>
      <c r="AH1024">
        <v>0.34652954834783956</v>
      </c>
      <c r="AI1024">
        <v>4.0483826712786151E-5</v>
      </c>
    </row>
    <row r="1025" spans="23:35" x14ac:dyDescent="0.25">
      <c r="W1025">
        <v>1023</v>
      </c>
      <c r="X1025">
        <v>77.710058834639156</v>
      </c>
      <c r="Y1025">
        <v>-2.1100588346391618</v>
      </c>
      <c r="Z1025">
        <v>77.755113754062464</v>
      </c>
      <c r="AA1025">
        <v>0.78835657974530016</v>
      </c>
      <c r="AB1025">
        <v>73.2</v>
      </c>
      <c r="AC1025">
        <v>0.78719041678006285</v>
      </c>
      <c r="AD1025">
        <v>-0.28584802671584475</v>
      </c>
      <c r="AE1025">
        <v>0.34707100198183849</v>
      </c>
      <c r="AF1025">
        <v>2.0906051635731931E-2</v>
      </c>
      <c r="AG1025">
        <v>-0.28888368504305878</v>
      </c>
      <c r="AH1025">
        <v>0.34790461575264126</v>
      </c>
      <c r="AI1025">
        <v>9.8996804910503238E-5</v>
      </c>
    </row>
    <row r="1026" spans="23:35" x14ac:dyDescent="0.25">
      <c r="W1026">
        <v>1024</v>
      </c>
      <c r="X1026">
        <v>81.032016176789313</v>
      </c>
      <c r="Y1026">
        <v>-5.6320161767893069</v>
      </c>
      <c r="Z1026">
        <v>81.040723105631088</v>
      </c>
      <c r="AA1026">
        <v>0.77986658580958157</v>
      </c>
      <c r="AB1026">
        <v>73.2</v>
      </c>
      <c r="AC1026">
        <v>0.74840704313415274</v>
      </c>
      <c r="AD1026">
        <v>-0.76296484445764112</v>
      </c>
      <c r="AE1026">
        <v>0.34756868740129676</v>
      </c>
      <c r="AF1026">
        <v>1.5435838063182343E-3</v>
      </c>
      <c r="AG1026">
        <v>-0.76355437712966145</v>
      </c>
      <c r="AH1026">
        <v>0.34799145685661914</v>
      </c>
      <c r="AI1026">
        <v>5.0073568059488696E-5</v>
      </c>
    </row>
    <row r="1027" spans="23:35" x14ac:dyDescent="0.25">
      <c r="W1027">
        <v>1025</v>
      </c>
      <c r="X1027">
        <v>79.233425984344834</v>
      </c>
      <c r="Y1027">
        <v>-3.9334259843448365</v>
      </c>
      <c r="Z1027">
        <v>79.278279470605185</v>
      </c>
      <c r="AA1027">
        <v>0.77258944815039421</v>
      </c>
      <c r="AB1027">
        <v>73.2</v>
      </c>
      <c r="AC1027">
        <v>0.72844171022016913</v>
      </c>
      <c r="AD1027">
        <v>-0.53285815418984572</v>
      </c>
      <c r="AE1027">
        <v>0.34888383580410276</v>
      </c>
      <c r="AF1027">
        <v>1.1274594103245116E-2</v>
      </c>
      <c r="AG1027">
        <v>-0.535887675564792</v>
      </c>
      <c r="AH1027">
        <v>0.35103315698008336</v>
      </c>
      <c r="AI1027">
        <v>1.819282974668472E-4</v>
      </c>
    </row>
    <row r="1028" spans="23:35" x14ac:dyDescent="0.25">
      <c r="W1028">
        <v>1026</v>
      </c>
      <c r="X1028">
        <v>78.765165331490806</v>
      </c>
      <c r="Y1028">
        <v>-3.765165331490806</v>
      </c>
      <c r="Z1028">
        <v>78.771244555674556</v>
      </c>
      <c r="AA1028">
        <v>0.76046088538508183</v>
      </c>
      <c r="AB1028">
        <v>73.2</v>
      </c>
      <c r="AC1028">
        <v>0.67020216077934069</v>
      </c>
      <c r="AD1028">
        <v>-0.51006401461294182</v>
      </c>
      <c r="AE1028">
        <v>0.35268688205584386</v>
      </c>
      <c r="AF1028">
        <v>1.6119941557764539E-3</v>
      </c>
      <c r="AG1028">
        <v>-0.51047562241718913</v>
      </c>
      <c r="AH1028">
        <v>0.35355054103422839</v>
      </c>
      <c r="AI1028">
        <v>2.3374461670353151E-5</v>
      </c>
    </row>
    <row r="1029" spans="23:35" x14ac:dyDescent="0.25">
      <c r="W1029">
        <v>1027</v>
      </c>
      <c r="X1029">
        <v>77.95703442835196</v>
      </c>
      <c r="Y1029">
        <v>-3.357034428351966</v>
      </c>
      <c r="Z1029">
        <v>77.961830067955773</v>
      </c>
      <c r="AA1029">
        <v>0.73013947847180105</v>
      </c>
      <c r="AB1029">
        <v>73.2</v>
      </c>
      <c r="AC1029">
        <v>0.59589828697336056</v>
      </c>
      <c r="AD1029">
        <v>-0.45477483907488458</v>
      </c>
      <c r="AE1029">
        <v>0.35330581390978683</v>
      </c>
      <c r="AF1029">
        <v>1.4264967315056544E-3</v>
      </c>
      <c r="AG1029">
        <v>-0.45509955393047735</v>
      </c>
      <c r="AH1029">
        <v>0.3542054191474292</v>
      </c>
      <c r="AI1029">
        <v>1.6437321793162726E-5</v>
      </c>
    </row>
    <row r="1030" spans="23:35" x14ac:dyDescent="0.25">
      <c r="W1030">
        <v>1028</v>
      </c>
      <c r="X1030">
        <v>75.804779969443786</v>
      </c>
      <c r="Y1030">
        <v>-1.6047799694437828</v>
      </c>
      <c r="Z1030">
        <v>75.82218207855172</v>
      </c>
      <c r="AA1030">
        <v>0.7010309278350515</v>
      </c>
      <c r="AB1030">
        <v>73.2</v>
      </c>
      <c r="AC1030">
        <v>0.5039283835636299</v>
      </c>
      <c r="AD1030">
        <v>-0.21739829243058265</v>
      </c>
      <c r="AE1030">
        <v>0.35338349649919326</v>
      </c>
      <c r="AF1030">
        <v>1.0727592998358836E-2</v>
      </c>
      <c r="AG1030">
        <v>-0.21857383922196641</v>
      </c>
      <c r="AH1030">
        <v>0.35509931163312375</v>
      </c>
      <c r="AI1030">
        <v>2.8781289543350011E-5</v>
      </c>
    </row>
    <row r="1031" spans="23:35" x14ac:dyDescent="0.25">
      <c r="W1031">
        <v>1029</v>
      </c>
      <c r="X1031">
        <v>62.086691343712161</v>
      </c>
      <c r="Y1031">
        <v>11.713308656287836</v>
      </c>
      <c r="Z1031">
        <v>61.929385940138019</v>
      </c>
      <c r="AA1031">
        <v>0.66767738023044265</v>
      </c>
      <c r="AB1031">
        <v>73.3</v>
      </c>
      <c r="AC1031">
        <v>0.4143837514429769</v>
      </c>
      <c r="AD1031">
        <v>1.5867927996832734</v>
      </c>
      <c r="AE1031">
        <v>0.35466196746043105</v>
      </c>
      <c r="AF1031">
        <v>1.3251665228173812E-2</v>
      </c>
      <c r="AG1031">
        <v>1.5974122848963879</v>
      </c>
      <c r="AH1031">
        <v>0.35661273974155538</v>
      </c>
      <c r="AI1031">
        <v>1.9038187020512429E-3</v>
      </c>
    </row>
    <row r="1032" spans="23:35" x14ac:dyDescent="0.25">
      <c r="W1032">
        <v>1030</v>
      </c>
      <c r="X1032">
        <v>76.63838395542146</v>
      </c>
      <c r="Y1032">
        <v>-2.538383955421466</v>
      </c>
      <c r="Z1032">
        <v>76.646748951797662</v>
      </c>
      <c r="AA1032">
        <v>0.69254093389933291</v>
      </c>
      <c r="AB1032">
        <v>73.3</v>
      </c>
      <c r="AC1032">
        <v>0.48161589062349974</v>
      </c>
      <c r="AD1032">
        <v>-0.34387289718794467</v>
      </c>
      <c r="AE1032">
        <v>0.35566713910868869</v>
      </c>
      <c r="AF1032">
        <v>3.284578313185375E-3</v>
      </c>
      <c r="AG1032">
        <v>-0.34443903093356998</v>
      </c>
      <c r="AH1032">
        <v>0.35969003800488109</v>
      </c>
      <c r="AI1032">
        <v>2.1720041735043808E-5</v>
      </c>
    </row>
    <row r="1033" spans="23:35" x14ac:dyDescent="0.25">
      <c r="W1033">
        <v>1031</v>
      </c>
      <c r="X1033">
        <v>76.097404909113237</v>
      </c>
      <c r="Y1033">
        <v>-2.1974049091132315</v>
      </c>
      <c r="Z1033">
        <v>76.104638824657727</v>
      </c>
      <c r="AA1033">
        <v>0.67919951485748942</v>
      </c>
      <c r="AB1033">
        <v>73.3</v>
      </c>
      <c r="AC1033">
        <v>0.43434378704136062</v>
      </c>
      <c r="AD1033">
        <v>-0.29768073138735107</v>
      </c>
      <c r="AE1033">
        <v>0.35633106416094668</v>
      </c>
      <c r="AF1033">
        <v>3.2812247809378635E-3</v>
      </c>
      <c r="AG1033">
        <v>-0.29817031523965409</v>
      </c>
      <c r="AH1033">
        <v>0.36023102796815526</v>
      </c>
      <c r="AI1033">
        <v>1.6259966538834985E-5</v>
      </c>
    </row>
    <row r="1034" spans="23:35" x14ac:dyDescent="0.25">
      <c r="W1034">
        <v>1032</v>
      </c>
      <c r="X1034">
        <v>74.8505884104773</v>
      </c>
      <c r="Y1034">
        <v>-1.250588410477306</v>
      </c>
      <c r="Z1034">
        <v>74.854667808808458</v>
      </c>
      <c r="AA1034">
        <v>0.65433596118859916</v>
      </c>
      <c r="AB1034">
        <v>73.3</v>
      </c>
      <c r="AC1034">
        <v>0.3716850598056044</v>
      </c>
      <c r="AD1034">
        <v>-0.16941623783195345</v>
      </c>
      <c r="AE1034">
        <v>0.35938668365542714</v>
      </c>
      <c r="AF1034">
        <v>3.2513772191445872E-3</v>
      </c>
      <c r="AG1034">
        <v>-0.16969232932097197</v>
      </c>
      <c r="AH1034">
        <v>0.36047742962795354</v>
      </c>
      <c r="AI1034">
        <v>5.2183551323426479E-6</v>
      </c>
    </row>
    <row r="1035" spans="23:35" x14ac:dyDescent="0.25">
      <c r="W1035">
        <v>1033</v>
      </c>
      <c r="X1035">
        <v>72.286550230017866</v>
      </c>
      <c r="Y1035">
        <v>1.013449769982131</v>
      </c>
      <c r="Z1035">
        <v>72.282093262636934</v>
      </c>
      <c r="AA1035">
        <v>0.63007883565797451</v>
      </c>
      <c r="AB1035">
        <v>73.3</v>
      </c>
      <c r="AC1035">
        <v>0.3152427890443939</v>
      </c>
      <c r="AD1035">
        <v>0.13729125092123737</v>
      </c>
      <c r="AE1035">
        <v>0.35980136384583211</v>
      </c>
      <c r="AF1035">
        <v>4.3785616278321443E-3</v>
      </c>
      <c r="AG1035">
        <v>0.13759281068343371</v>
      </c>
      <c r="AH1035">
        <v>0.36451165078553649</v>
      </c>
      <c r="AI1035">
        <v>4.6254736017268765E-6</v>
      </c>
    </row>
    <row r="1036" spans="23:35" x14ac:dyDescent="0.25">
      <c r="W1036">
        <v>1034</v>
      </c>
      <c r="X1036">
        <v>70.602494702099833</v>
      </c>
      <c r="Y1036">
        <v>2.1975052979001646</v>
      </c>
      <c r="Z1036">
        <v>70.592598673137289</v>
      </c>
      <c r="AA1036">
        <v>0.58156458459672533</v>
      </c>
      <c r="AB1036">
        <v>73.3</v>
      </c>
      <c r="AC1036">
        <v>0.18343432307636306</v>
      </c>
      <c r="AD1036">
        <v>0.29769433097811987</v>
      </c>
      <c r="AE1036">
        <v>0.36293831968651369</v>
      </c>
      <c r="AF1036">
        <v>4.4831127181642547E-3</v>
      </c>
      <c r="AG1036">
        <v>0.29836388169523059</v>
      </c>
      <c r="AH1036">
        <v>0.36800216548094533</v>
      </c>
      <c r="AI1036">
        <v>2.2271579542342441E-5</v>
      </c>
    </row>
    <row r="1037" spans="23:35" x14ac:dyDescent="0.25">
      <c r="W1037">
        <v>1035</v>
      </c>
      <c r="X1037">
        <v>70.615376639418798</v>
      </c>
      <c r="Y1037">
        <v>1.6846233605811989</v>
      </c>
      <c r="Z1037">
        <v>70.609569687091366</v>
      </c>
      <c r="AA1037">
        <v>0.54578532443905392</v>
      </c>
      <c r="AB1037">
        <v>73.3</v>
      </c>
      <c r="AC1037">
        <v>9.896716322379942E-2</v>
      </c>
      <c r="AD1037">
        <v>0.2282146144346251</v>
      </c>
      <c r="AE1037">
        <v>0.36487809881315814</v>
      </c>
      <c r="AF1037">
        <v>3.435191787021943E-3</v>
      </c>
      <c r="AG1037">
        <v>0.22860760771502889</v>
      </c>
      <c r="AH1037">
        <v>0.36881271304590157</v>
      </c>
      <c r="AI1037">
        <v>1.0008161266939471E-5</v>
      </c>
    </row>
    <row r="1038" spans="23:35" x14ac:dyDescent="0.25">
      <c r="W1038">
        <v>1036</v>
      </c>
      <c r="X1038">
        <v>69.809415485556201</v>
      </c>
      <c r="Y1038">
        <v>1.9905845144437961</v>
      </c>
      <c r="Z1038">
        <v>69.802457938185341</v>
      </c>
      <c r="AA1038">
        <v>0.51061249241964823</v>
      </c>
      <c r="AB1038">
        <v>73.3</v>
      </c>
      <c r="AC1038">
        <v>1.0640830227304372E-2</v>
      </c>
      <c r="AD1038">
        <v>0.26966293362250338</v>
      </c>
      <c r="AE1038">
        <v>0.36759122728701005</v>
      </c>
      <c r="AF1038">
        <v>3.4830542514509861E-3</v>
      </c>
      <c r="AG1038">
        <v>0.27013378930576637</v>
      </c>
      <c r="AH1038">
        <v>0.37210989942028561</v>
      </c>
      <c r="AI1038">
        <v>1.4169706902173729E-5</v>
      </c>
    </row>
    <row r="1039" spans="23:35" x14ac:dyDescent="0.25">
      <c r="W1039">
        <v>1037</v>
      </c>
      <c r="X1039">
        <v>63.778125240749461</v>
      </c>
      <c r="Y1039">
        <v>7.6218747592505451</v>
      </c>
      <c r="Z1039">
        <v>63.747001319499184</v>
      </c>
      <c r="AA1039">
        <v>0.4887810794420861</v>
      </c>
      <c r="AB1039">
        <v>73.3</v>
      </c>
      <c r="AC1039">
        <v>-4.7140240828996732E-2</v>
      </c>
      <c r="AD1039">
        <v>1.032529436639926</v>
      </c>
      <c r="AE1039">
        <v>0.37184050973258415</v>
      </c>
      <c r="AF1039">
        <v>4.066892279699582E-3</v>
      </c>
      <c r="AG1039">
        <v>1.0346354555326087</v>
      </c>
      <c r="AH1039">
        <v>0.37472899845403995</v>
      </c>
      <c r="AI1039">
        <v>2.4284809912645869E-4</v>
      </c>
    </row>
    <row r="1040" spans="23:35" x14ac:dyDescent="0.25">
      <c r="W1040">
        <v>1038</v>
      </c>
      <c r="X1040">
        <v>68.504482715336962</v>
      </c>
      <c r="Y1040">
        <v>2.4955172846630376</v>
      </c>
      <c r="Z1040">
        <v>68.49653549622218</v>
      </c>
      <c r="AA1040">
        <v>0.46937537901758641</v>
      </c>
      <c r="AB1040">
        <v>73.3</v>
      </c>
      <c r="AC1040">
        <v>-9.743972564826138E-2</v>
      </c>
      <c r="AD1040">
        <v>0.3380657826909359</v>
      </c>
      <c r="AE1040">
        <v>0.37424298183356453</v>
      </c>
      <c r="AF1040">
        <v>3.1744884350434583E-3</v>
      </c>
      <c r="AG1040">
        <v>0.33860365659483072</v>
      </c>
      <c r="AH1040">
        <v>0.37741960114381429</v>
      </c>
      <c r="AI1040">
        <v>2.0284550457224904E-5</v>
      </c>
    </row>
    <row r="1041" spans="23:35" x14ac:dyDescent="0.25">
      <c r="W1041">
        <v>1039</v>
      </c>
      <c r="X1041">
        <v>68.573315003329071</v>
      </c>
      <c r="Y1041">
        <v>8.4266849966709287</v>
      </c>
      <c r="Z1041">
        <v>68.54513460906584</v>
      </c>
      <c r="AA1041">
        <v>0.83747725894481506</v>
      </c>
      <c r="AB1041">
        <v>73.3</v>
      </c>
      <c r="AC1041">
        <v>0.95855995741850497</v>
      </c>
      <c r="AD1041">
        <v>1.1415564526030464</v>
      </c>
      <c r="AE1041">
        <v>0.37741843215994536</v>
      </c>
      <c r="AF1041">
        <v>3.3330387842066727E-3</v>
      </c>
      <c r="AG1041">
        <v>1.1434636474607307</v>
      </c>
      <c r="AH1041">
        <v>0.38367661684407395</v>
      </c>
      <c r="AI1041">
        <v>2.4291958175112199E-4</v>
      </c>
    </row>
    <row r="1042" spans="23:35" x14ac:dyDescent="0.25">
      <c r="W1042">
        <v>1040</v>
      </c>
      <c r="X1042">
        <v>67.559456129378802</v>
      </c>
      <c r="Y1042">
        <v>4.4405438706211982</v>
      </c>
      <c r="Z1042">
        <v>67.543845316610373</v>
      </c>
      <c r="AA1042">
        <v>0.52516676773802307</v>
      </c>
      <c r="AB1042">
        <v>73.400000000000006</v>
      </c>
      <c r="AC1042">
        <v>4.1053957112594373E-2</v>
      </c>
      <c r="AD1042">
        <v>0.60155701922845839</v>
      </c>
      <c r="AE1042">
        <v>0.38303702421821439</v>
      </c>
      <c r="AF1042">
        <v>3.503202621446609E-3</v>
      </c>
      <c r="AG1042">
        <v>0.60261348386082514</v>
      </c>
      <c r="AH1042">
        <v>0.38375057216819941</v>
      </c>
      <c r="AI1042">
        <v>7.0924214552849852E-5</v>
      </c>
    </row>
    <row r="1043" spans="23:35" x14ac:dyDescent="0.25">
      <c r="W1043">
        <v>1041</v>
      </c>
      <c r="X1043">
        <v>64.386011908990824</v>
      </c>
      <c r="Y1043">
        <v>5.5139880910091819</v>
      </c>
      <c r="Z1043">
        <v>64.313987825784835</v>
      </c>
      <c r="AA1043">
        <v>0.45724681625227409</v>
      </c>
      <c r="AB1043">
        <v>73.400000000000006</v>
      </c>
      <c r="AC1043">
        <v>-0.11731546960548965</v>
      </c>
      <c r="AD1043">
        <v>0.74697567161400014</v>
      </c>
      <c r="AE1043">
        <v>0.38664639966012976</v>
      </c>
      <c r="AF1043">
        <v>1.2893649523079018E-2</v>
      </c>
      <c r="AG1043">
        <v>0.7518383671426081</v>
      </c>
      <c r="AH1043">
        <v>0.38869536441791785</v>
      </c>
      <c r="AI1043">
        <v>4.1019312666063846E-4</v>
      </c>
    </row>
    <row r="1044" spans="23:35" x14ac:dyDescent="0.25">
      <c r="W1044">
        <v>1042</v>
      </c>
      <c r="X1044">
        <v>62.762790483855312</v>
      </c>
      <c r="Y1044">
        <v>6.7372095161446879</v>
      </c>
      <c r="Z1044">
        <v>62.729415905711789</v>
      </c>
      <c r="AA1044">
        <v>0.44269254093389931</v>
      </c>
      <c r="AB1044">
        <v>73.400000000000006</v>
      </c>
      <c r="AC1044">
        <v>-0.15567569037416348</v>
      </c>
      <c r="AD1044">
        <v>0.9126845252589848</v>
      </c>
      <c r="AE1044">
        <v>0.38825464379894908</v>
      </c>
      <c r="AF1044">
        <v>4.9293499170447314E-3</v>
      </c>
      <c r="AG1044">
        <v>0.91494234658427365</v>
      </c>
      <c r="AH1044">
        <v>0.39017540443064502</v>
      </c>
      <c r="AI1044">
        <v>2.3038313497163149E-4</v>
      </c>
    </row>
    <row r="1045" spans="23:35" x14ac:dyDescent="0.25">
      <c r="W1045">
        <v>1043</v>
      </c>
      <c r="X1045">
        <v>62.434553446113867</v>
      </c>
      <c r="Y1045">
        <v>6.5654465538861331</v>
      </c>
      <c r="Z1045">
        <v>62.408511436626114</v>
      </c>
      <c r="AA1045">
        <v>0.42086112795633718</v>
      </c>
      <c r="AB1045">
        <v>73.400000000000006</v>
      </c>
      <c r="AC1045">
        <v>-0.21444491222324932</v>
      </c>
      <c r="AD1045">
        <v>0.88941593055514467</v>
      </c>
      <c r="AE1045">
        <v>0.39006889749992718</v>
      </c>
      <c r="AF1045">
        <v>3.9508540805872714E-3</v>
      </c>
      <c r="AG1045">
        <v>0.89117813020224879</v>
      </c>
      <c r="AH1045">
        <v>0.3910858266361355</v>
      </c>
      <c r="AI1045">
        <v>1.7501156880980891E-4</v>
      </c>
    </row>
    <row r="1046" spans="23:35" x14ac:dyDescent="0.25">
      <c r="W1046">
        <v>1044</v>
      </c>
      <c r="X1046">
        <v>58.713473340900173</v>
      </c>
      <c r="Y1046">
        <v>9.8865266590998218</v>
      </c>
      <c r="Z1046">
        <v>58.628149795929048</v>
      </c>
      <c r="AA1046">
        <v>0.40570042449969679</v>
      </c>
      <c r="AB1046">
        <v>73.400000000000006</v>
      </c>
      <c r="AC1046">
        <v>-0.24253103988010652</v>
      </c>
      <c r="AD1046">
        <v>1.3393200654808068</v>
      </c>
      <c r="AE1046">
        <v>0.39019104485625472</v>
      </c>
      <c r="AF1046">
        <v>8.556440703079312E-3</v>
      </c>
      <c r="AG1046">
        <v>1.3450870067120124</v>
      </c>
      <c r="AH1046">
        <v>0.39150997760224382</v>
      </c>
      <c r="AI1046">
        <v>8.6746787218622702E-4</v>
      </c>
    </row>
    <row r="1047" spans="23:35" x14ac:dyDescent="0.25">
      <c r="W1047">
        <v>1045</v>
      </c>
      <c r="X1047">
        <v>57.785770712415214</v>
      </c>
      <c r="Y1047">
        <v>-1.0857707124152114</v>
      </c>
      <c r="Z1047">
        <v>57.791255810822207</v>
      </c>
      <c r="AA1047">
        <v>0.10491206791995149</v>
      </c>
      <c r="AB1047">
        <v>73.400000000000006</v>
      </c>
      <c r="AC1047">
        <v>-1.2726185683477402</v>
      </c>
      <c r="AD1047">
        <v>-0.14708851265885212</v>
      </c>
      <c r="AE1047">
        <v>0.39056336637053174</v>
      </c>
      <c r="AF1047">
        <v>5.0264093465480992E-3</v>
      </c>
      <c r="AG1047">
        <v>-0.14745957561940504</v>
      </c>
      <c r="AH1047">
        <v>0.39306300841622316</v>
      </c>
      <c r="AI1047">
        <v>6.1026681561329293E-6</v>
      </c>
    </row>
    <row r="1048" spans="23:35" x14ac:dyDescent="0.25">
      <c r="W1048">
        <v>1046</v>
      </c>
      <c r="X1048">
        <v>51.615017491377586</v>
      </c>
      <c r="Y1048">
        <v>3.6849825086224115</v>
      </c>
      <c r="Z1048">
        <v>51.601944222208715</v>
      </c>
      <c r="AA1048">
        <v>8.6719223771983017E-2</v>
      </c>
      <c r="AB1048">
        <v>73.400000000000006</v>
      </c>
      <c r="AC1048">
        <v>-1.3946242806491973</v>
      </c>
      <c r="AD1048">
        <v>0.49920171005670116</v>
      </c>
      <c r="AE1048">
        <v>0.39065005333698011</v>
      </c>
      <c r="AF1048">
        <v>3.5351736032168913E-3</v>
      </c>
      <c r="AG1048">
        <v>0.50008643885543691</v>
      </c>
      <c r="AH1048">
        <v>0.39322798637932538</v>
      </c>
      <c r="AI1048">
        <v>4.929086306788216E-5</v>
      </c>
    </row>
    <row r="1049" spans="23:35" x14ac:dyDescent="0.25">
      <c r="W1049">
        <v>1047</v>
      </c>
      <c r="X1049">
        <v>50.26327016196376</v>
      </c>
      <c r="Y1049">
        <v>4.5367298380362371</v>
      </c>
      <c r="Z1049">
        <v>50.244870635110892</v>
      </c>
      <c r="AA1049">
        <v>7.7622801697998789E-2</v>
      </c>
      <c r="AB1049">
        <v>73.400000000000006</v>
      </c>
      <c r="AC1049">
        <v>-1.4402815816722083</v>
      </c>
      <c r="AD1049">
        <v>0.61458725731091701</v>
      </c>
      <c r="AE1049">
        <v>0.39085780471719817</v>
      </c>
      <c r="AF1049">
        <v>4.0392984213991042E-3</v>
      </c>
      <c r="AG1049">
        <v>0.61583228101895315</v>
      </c>
      <c r="AH1049">
        <v>0.39333452542788949</v>
      </c>
      <c r="AI1049">
        <v>8.5450799950879209E-5</v>
      </c>
    </row>
    <row r="1050" spans="23:35" x14ac:dyDescent="0.25">
      <c r="W1050">
        <v>1048</v>
      </c>
      <c r="X1050">
        <v>48.492765429241373</v>
      </c>
      <c r="Y1050">
        <v>5.8072345707586237</v>
      </c>
      <c r="Z1050">
        <v>48.448049229255382</v>
      </c>
      <c r="AA1050">
        <v>7.3984232868405095E-2</v>
      </c>
      <c r="AB1050">
        <v>73.400000000000006</v>
      </c>
      <c r="AC1050">
        <v>-1.4576525936309461</v>
      </c>
      <c r="AD1050">
        <v>0.78670154380375856</v>
      </c>
      <c r="AE1050">
        <v>0.39098350602922755</v>
      </c>
      <c r="AF1050">
        <v>7.6412467803969372E-3</v>
      </c>
      <c r="AG1050">
        <v>0.78972456996405882</v>
      </c>
      <c r="AH1050">
        <v>0.39345497000759605</v>
      </c>
      <c r="AI1050">
        <v>2.6679292959769137E-4</v>
      </c>
    </row>
    <row r="1051" spans="23:35" x14ac:dyDescent="0.25">
      <c r="W1051">
        <v>1049</v>
      </c>
      <c r="X1051">
        <v>46.371775875446772</v>
      </c>
      <c r="Y1051">
        <v>7.6282241245532276</v>
      </c>
      <c r="Z1051">
        <v>46.311911958822456</v>
      </c>
      <c r="AA1051">
        <v>6.9739235900545787E-2</v>
      </c>
      <c r="AB1051">
        <v>73.400000000000006</v>
      </c>
      <c r="AC1051">
        <v>-1.4984336523422108</v>
      </c>
      <c r="AD1051">
        <v>1.0333895802116952</v>
      </c>
      <c r="AE1051">
        <v>0.39222390704011878</v>
      </c>
      <c r="AF1051">
        <v>7.7865805260920323E-3</v>
      </c>
      <c r="AG1051">
        <v>1.0374365150357483</v>
      </c>
      <c r="AH1051">
        <v>0.39370851404511892</v>
      </c>
      <c r="AI1051">
        <v>4.6923698710898184E-4</v>
      </c>
    </row>
    <row r="1052" spans="23:35" x14ac:dyDescent="0.25">
      <c r="W1052">
        <v>1050</v>
      </c>
      <c r="X1052">
        <v>45.000766446695714</v>
      </c>
      <c r="Y1052">
        <v>8.7992335533042834</v>
      </c>
      <c r="Z1052">
        <v>44.916834329553218</v>
      </c>
      <c r="AA1052">
        <v>6.6707095209217707E-2</v>
      </c>
      <c r="AB1052">
        <v>73.400000000000006</v>
      </c>
      <c r="AC1052">
        <v>-1.5078422496152202</v>
      </c>
      <c r="AD1052">
        <v>1.1920253153765774</v>
      </c>
      <c r="AE1052">
        <v>0.39472155017636518</v>
      </c>
      <c r="AF1052">
        <v>9.4484466750101199E-3</v>
      </c>
      <c r="AG1052">
        <v>1.1976969319610995</v>
      </c>
      <c r="AH1052">
        <v>0.39528020302017025</v>
      </c>
      <c r="AI1052">
        <v>7.6015945554698582E-4</v>
      </c>
    </row>
    <row r="1053" spans="23:35" x14ac:dyDescent="0.25">
      <c r="W1053">
        <v>1051</v>
      </c>
      <c r="X1053">
        <v>44.610549384187692</v>
      </c>
      <c r="Y1053">
        <v>8.5894506158123107</v>
      </c>
      <c r="Z1053">
        <v>44.548746730194267</v>
      </c>
      <c r="AA1053">
        <v>6.0642813826561552E-2</v>
      </c>
      <c r="AB1053">
        <v>73.400000000000006</v>
      </c>
      <c r="AC1053">
        <v>-1.5621464731395975</v>
      </c>
      <c r="AD1053">
        <v>1.1636061842432086</v>
      </c>
      <c r="AE1053">
        <v>0.39587242692933294</v>
      </c>
      <c r="AF1053">
        <v>7.1437804519174425E-3</v>
      </c>
      <c r="AG1053">
        <v>1.1677848598314329</v>
      </c>
      <c r="AH1053">
        <v>0.39656288408612039</v>
      </c>
      <c r="AI1053">
        <v>5.451235117134945E-4</v>
      </c>
    </row>
    <row r="1054" spans="23:35" x14ac:dyDescent="0.25">
      <c r="W1054">
        <v>1052</v>
      </c>
      <c r="X1054">
        <v>47.070570823708252</v>
      </c>
      <c r="Y1054">
        <v>5.0294291762917496</v>
      </c>
      <c r="Z1054">
        <v>47.039976090178719</v>
      </c>
      <c r="AA1054">
        <v>4.9120679199514856E-2</v>
      </c>
      <c r="AB1054">
        <v>73.5</v>
      </c>
      <c r="AC1054">
        <v>-1.6746834237964712</v>
      </c>
      <c r="AD1054">
        <v>0.68133285288035295</v>
      </c>
      <c r="AE1054">
        <v>0.39790135582770086</v>
      </c>
      <c r="AF1054">
        <v>6.0463614549627056E-3</v>
      </c>
      <c r="AG1054">
        <v>0.68340203323164916</v>
      </c>
      <c r="AH1054">
        <v>0.39881119330562065</v>
      </c>
      <c r="AI1054">
        <v>1.5783670505134992E-4</v>
      </c>
    </row>
    <row r="1055" spans="23:35" x14ac:dyDescent="0.25">
      <c r="W1055">
        <v>1053</v>
      </c>
      <c r="X1055">
        <v>46.011079614490214</v>
      </c>
      <c r="Y1055">
        <v>5.188920385509789</v>
      </c>
      <c r="Z1055">
        <v>45.973911711719005</v>
      </c>
      <c r="AA1055">
        <v>4.0024257125530621E-2</v>
      </c>
      <c r="AB1055">
        <v>73.5</v>
      </c>
      <c r="AC1055">
        <v>-1.7610542000458449</v>
      </c>
      <c r="AD1055">
        <v>0.70293900275877419</v>
      </c>
      <c r="AE1055">
        <v>0.40387894176924616</v>
      </c>
      <c r="AF1055">
        <v>7.1119928942937026E-3</v>
      </c>
      <c r="AG1055">
        <v>0.70545206398318461</v>
      </c>
      <c r="AH1055">
        <v>0.40458823384923381</v>
      </c>
      <c r="AI1055">
        <v>1.980402933051771E-4</v>
      </c>
    </row>
    <row r="1056" spans="23:35" x14ac:dyDescent="0.25">
      <c r="W1056">
        <v>1054</v>
      </c>
      <c r="X1056">
        <v>39.791075574488076</v>
      </c>
      <c r="Y1056">
        <v>18.208924425511924</v>
      </c>
      <c r="Z1056">
        <v>39.454829721980772</v>
      </c>
      <c r="AA1056">
        <v>0.13159490600363857</v>
      </c>
      <c r="AB1056">
        <v>73.5</v>
      </c>
      <c r="AC1056">
        <v>-1.1375552391677688</v>
      </c>
      <c r="AD1056">
        <v>2.4667488082343576</v>
      </c>
      <c r="AE1056">
        <v>0.4043021625763541</v>
      </c>
      <c r="AF1056">
        <v>1.8131181729069353E-2</v>
      </c>
      <c r="AG1056">
        <v>2.4894201068529815</v>
      </c>
      <c r="AH1056">
        <v>0.40591365880124269</v>
      </c>
      <c r="AI1056">
        <v>6.3576486541335429E-3</v>
      </c>
    </row>
    <row r="1057" spans="23:35" x14ac:dyDescent="0.25">
      <c r="W1057">
        <v>1055</v>
      </c>
      <c r="X1057">
        <v>43.721202122444495</v>
      </c>
      <c r="Y1057">
        <v>10.278797877555505</v>
      </c>
      <c r="Z1057">
        <v>43.644864425943688</v>
      </c>
      <c r="AA1057">
        <v>6.9739235900545787E-2</v>
      </c>
      <c r="AB1057">
        <v>73.5</v>
      </c>
      <c r="AC1057">
        <v>-1.4984336523422108</v>
      </c>
      <c r="AD1057">
        <v>1.3924607418886057</v>
      </c>
      <c r="AE1057">
        <v>0.40727954223356289</v>
      </c>
      <c r="AF1057">
        <v>7.3719649496494085E-3</v>
      </c>
      <c r="AG1057">
        <v>1.3976218811788776</v>
      </c>
      <c r="AH1057">
        <v>0.41140270865981016</v>
      </c>
      <c r="AI1057">
        <v>8.0594165412670789E-4</v>
      </c>
    </row>
    <row r="1058" spans="23:35" x14ac:dyDescent="0.25">
      <c r="W1058">
        <v>1056</v>
      </c>
      <c r="X1058">
        <v>44.445194194211034</v>
      </c>
      <c r="Y1058">
        <v>6.5548058057889662</v>
      </c>
      <c r="Z1058">
        <v>44.362752169330385</v>
      </c>
      <c r="AA1058">
        <v>3.7598544572468161E-2</v>
      </c>
      <c r="AB1058">
        <v>73.5</v>
      </c>
      <c r="AC1058">
        <v>-1.7980761038936304</v>
      </c>
      <c r="AD1058">
        <v>0.88797443669894338</v>
      </c>
      <c r="AE1058">
        <v>0.41373888828598726</v>
      </c>
      <c r="AF1058">
        <v>1.2421115948043921E-2</v>
      </c>
      <c r="AG1058">
        <v>0.89354116617633716</v>
      </c>
      <c r="AH1058">
        <v>0.41733176123419025</v>
      </c>
      <c r="AI1058">
        <v>5.5788597870296182E-4</v>
      </c>
    </row>
    <row r="1059" spans="23:35" x14ac:dyDescent="0.25">
      <c r="W1059">
        <v>1057</v>
      </c>
      <c r="X1059">
        <v>41.289476342441866</v>
      </c>
      <c r="Y1059">
        <v>8.5105236575581316</v>
      </c>
      <c r="Z1059">
        <v>41.231317195132483</v>
      </c>
      <c r="AA1059">
        <v>3.3353547604608853E-2</v>
      </c>
      <c r="AB1059">
        <v>73.5</v>
      </c>
      <c r="AC1059">
        <v>-1.8544489690938102</v>
      </c>
      <c r="AD1059">
        <v>1.1529140106880105</v>
      </c>
      <c r="AE1059">
        <v>0.41640454359877366</v>
      </c>
      <c r="AF1059">
        <v>6.7874081272266268E-3</v>
      </c>
      <c r="AG1059">
        <v>1.1568466905404573</v>
      </c>
      <c r="AH1059">
        <v>0.41754046706128861</v>
      </c>
      <c r="AI1059">
        <v>5.0809024774885441E-4</v>
      </c>
    </row>
    <row r="1060" spans="23:35" x14ac:dyDescent="0.25">
      <c r="W1060">
        <v>1058</v>
      </c>
      <c r="X1060">
        <v>34.389577580396761</v>
      </c>
      <c r="Y1060">
        <v>15.110422419603239</v>
      </c>
      <c r="Z1060">
        <v>34.235432742808378</v>
      </c>
      <c r="AA1060">
        <v>2.9714978775015159E-2</v>
      </c>
      <c r="AB1060">
        <v>73.5</v>
      </c>
      <c r="AC1060">
        <v>-1.8895099603334302</v>
      </c>
      <c r="AD1060">
        <v>2.0469971550461912</v>
      </c>
      <c r="AE1060">
        <v>0.41661950003220999</v>
      </c>
      <c r="AF1060">
        <v>1.0098212087588557E-2</v>
      </c>
      <c r="AG1060">
        <v>2.0574116029434695</v>
      </c>
      <c r="AH1060">
        <v>0.4179453004746902</v>
      </c>
      <c r="AI1060">
        <v>2.3989557842546568E-3</v>
      </c>
    </row>
    <row r="1061" spans="23:35" x14ac:dyDescent="0.25">
      <c r="W1061">
        <v>1059</v>
      </c>
      <c r="X1061">
        <v>62.152387588502592</v>
      </c>
      <c r="Y1061">
        <v>4.2476124114974141</v>
      </c>
      <c r="Z1061">
        <v>62.122119201076231</v>
      </c>
      <c r="AA1061">
        <v>0.32201334141904187</v>
      </c>
      <c r="AB1061">
        <v>73.5</v>
      </c>
      <c r="AC1061">
        <v>-0.46970075330452549</v>
      </c>
      <c r="AD1061">
        <v>0.57542074474330962</v>
      </c>
      <c r="AE1061">
        <v>0.41754080551189748</v>
      </c>
      <c r="AF1061">
        <v>7.0755565311629246E-3</v>
      </c>
      <c r="AG1061">
        <v>0.57746732268248913</v>
      </c>
      <c r="AH1061">
        <v>0.42062495906222586</v>
      </c>
      <c r="AI1061">
        <v>1.3201604729101785E-4</v>
      </c>
    </row>
    <row r="1062" spans="23:35" x14ac:dyDescent="0.25">
      <c r="W1062">
        <v>1060</v>
      </c>
      <c r="X1062">
        <v>59.42835590238785</v>
      </c>
      <c r="Y1062">
        <v>6.7716440976121532</v>
      </c>
      <c r="Z1062">
        <v>59.384155851370338</v>
      </c>
      <c r="AA1062">
        <v>0.3171619163129169</v>
      </c>
      <c r="AB1062">
        <v>73.5</v>
      </c>
      <c r="AC1062">
        <v>-0.48332360885611292</v>
      </c>
      <c r="AD1062">
        <v>0.91734935118785244</v>
      </c>
      <c r="AE1062">
        <v>0.41853420643438516</v>
      </c>
      <c r="AF1062">
        <v>6.4848975495429024E-3</v>
      </c>
      <c r="AG1062">
        <v>0.92033835488649984</v>
      </c>
      <c r="AH1062">
        <v>0.42371060792948873</v>
      </c>
      <c r="AI1062">
        <v>3.0715046990826558E-4</v>
      </c>
    </row>
    <row r="1063" spans="23:35" x14ac:dyDescent="0.25">
      <c r="W1063">
        <v>1061</v>
      </c>
      <c r="X1063">
        <v>61.158535429097824</v>
      </c>
      <c r="Y1063">
        <v>4.7414645709021812</v>
      </c>
      <c r="Z1063">
        <v>61.124674747741885</v>
      </c>
      <c r="AA1063">
        <v>0.30563978168587025</v>
      </c>
      <c r="AB1063">
        <v>73.5</v>
      </c>
      <c r="AC1063">
        <v>-0.52126361871264315</v>
      </c>
      <c r="AD1063">
        <v>0.64232251209585467</v>
      </c>
      <c r="AE1063">
        <v>0.42127620371780361</v>
      </c>
      <c r="AF1063">
        <v>7.0907591770688425E-3</v>
      </c>
      <c r="AG1063">
        <v>0.64461197194591313</v>
      </c>
      <c r="AH1063">
        <v>0.42423823709029751</v>
      </c>
      <c r="AI1063">
        <v>1.6485700749823451E-4</v>
      </c>
    </row>
    <row r="1064" spans="23:35" x14ac:dyDescent="0.25">
      <c r="W1064">
        <v>1062</v>
      </c>
      <c r="X1064">
        <v>53.257028825350702</v>
      </c>
      <c r="Y1064">
        <v>12.342971174649293</v>
      </c>
      <c r="Z1064">
        <v>52.984897061865567</v>
      </c>
      <c r="AA1064">
        <v>0.29411764705882354</v>
      </c>
      <c r="AB1064">
        <v>73.5</v>
      </c>
      <c r="AC1064">
        <v>-0.55287102664223609</v>
      </c>
      <c r="AD1064">
        <v>1.6720926905753353</v>
      </c>
      <c r="AE1064">
        <v>0.42492639232452017</v>
      </c>
      <c r="AF1064">
        <v>2.1571901935298936E-2</v>
      </c>
      <c r="AG1064">
        <v>1.6904249353978733</v>
      </c>
      <c r="AH1064">
        <v>0.42524571858441684</v>
      </c>
      <c r="AI1064">
        <v>3.5000866560789255E-3</v>
      </c>
    </row>
    <row r="1065" spans="23:35" x14ac:dyDescent="0.25">
      <c r="W1065">
        <v>1063</v>
      </c>
      <c r="X1065">
        <v>49.219870993789669</v>
      </c>
      <c r="Y1065">
        <v>16.180129006210336</v>
      </c>
      <c r="Z1065">
        <v>48.888036962471809</v>
      </c>
      <c r="AA1065">
        <v>0.28684050939963612</v>
      </c>
      <c r="AB1065">
        <v>73.5</v>
      </c>
      <c r="AC1065">
        <v>-0.57067028430202504</v>
      </c>
      <c r="AD1065">
        <v>2.1919094730948347</v>
      </c>
      <c r="AE1065">
        <v>0.4251478392839107</v>
      </c>
      <c r="AF1065">
        <v>2.0096582736024288E-2</v>
      </c>
      <c r="AG1065">
        <v>2.2142720468391475</v>
      </c>
      <c r="AH1065">
        <v>0.42639255952524752</v>
      </c>
      <c r="AI1065">
        <v>5.5863532304636547E-3</v>
      </c>
    </row>
    <row r="1066" spans="23:35" x14ac:dyDescent="0.25">
      <c r="W1066">
        <v>1064</v>
      </c>
      <c r="X1066">
        <v>50.777417179166591</v>
      </c>
      <c r="Y1066">
        <v>14.422582820833412</v>
      </c>
      <c r="Z1066">
        <v>50.501092152983617</v>
      </c>
      <c r="AA1066">
        <v>0.28077622801697999</v>
      </c>
      <c r="AB1066">
        <v>73.599999999999994</v>
      </c>
      <c r="AC1066">
        <v>-0.59046081866695443</v>
      </c>
      <c r="AD1066">
        <v>1.9538160603877588</v>
      </c>
      <c r="AE1066">
        <v>0.42571235515556749</v>
      </c>
      <c r="AF1066">
        <v>1.8799017522860634E-2</v>
      </c>
      <c r="AG1066">
        <v>1.972444027538508</v>
      </c>
      <c r="AH1066">
        <v>0.42948855656057694</v>
      </c>
      <c r="AI1066">
        <v>4.1410840869355167E-3</v>
      </c>
    </row>
    <row r="1067" spans="23:35" x14ac:dyDescent="0.25">
      <c r="W1067">
        <v>1065</v>
      </c>
      <c r="X1067">
        <v>61.062240674103663</v>
      </c>
      <c r="Y1067">
        <v>-1.8622406741036599</v>
      </c>
      <c r="Z1067">
        <v>61.075818686959643</v>
      </c>
      <c r="AA1067">
        <v>0.15767131594906003</v>
      </c>
      <c r="AB1067">
        <v>73.599999999999994</v>
      </c>
      <c r="AC1067">
        <v>-1.0205681915260707</v>
      </c>
      <c r="AD1067">
        <v>-0.25227629354398862</v>
      </c>
      <c r="AE1067">
        <v>0.43656911136088988</v>
      </c>
      <c r="AF1067">
        <v>7.2384463116685737E-3</v>
      </c>
      <c r="AG1067">
        <v>-0.25319432460335345</v>
      </c>
      <c r="AH1067">
        <v>0.43907556326397601</v>
      </c>
      <c r="AI1067">
        <v>2.5967840544927285E-5</v>
      </c>
    </row>
    <row r="1068" spans="23:35" x14ac:dyDescent="0.25">
      <c r="W1068">
        <v>1066</v>
      </c>
      <c r="X1068">
        <v>59.305809076284845</v>
      </c>
      <c r="Y1068">
        <v>5.1941909237151549</v>
      </c>
      <c r="Z1068">
        <v>59.276902315284332</v>
      </c>
      <c r="AA1068">
        <v>0.25409338993329289</v>
      </c>
      <c r="AB1068">
        <v>73.599999999999994</v>
      </c>
      <c r="AC1068">
        <v>-0.6664012884495929</v>
      </c>
      <c r="AD1068">
        <v>0.7036529984640133</v>
      </c>
      <c r="AE1068">
        <v>0.43665310262434942</v>
      </c>
      <c r="AF1068">
        <v>5.5344094147626501E-3</v>
      </c>
      <c r="AG1068">
        <v>0.70560827006236138</v>
      </c>
      <c r="AH1068">
        <v>0.43942555317350784</v>
      </c>
      <c r="AI1068">
        <v>1.5393463356311632E-4</v>
      </c>
    </row>
    <row r="1069" spans="23:35" x14ac:dyDescent="0.25">
      <c r="W1069">
        <v>1067</v>
      </c>
      <c r="X1069">
        <v>55.92457756565247</v>
      </c>
      <c r="Y1069">
        <v>8.2754224343475329</v>
      </c>
      <c r="Z1069">
        <v>55.867320655900883</v>
      </c>
      <c r="AA1069">
        <v>0.24560339599757428</v>
      </c>
      <c r="AB1069">
        <v>73.599999999999994</v>
      </c>
      <c r="AC1069">
        <v>-0.69708605805955215</v>
      </c>
      <c r="AD1069">
        <v>1.1210650311098067</v>
      </c>
      <c r="AE1069">
        <v>0.43895076613909401</v>
      </c>
      <c r="AF1069">
        <v>6.871368426307839E-3</v>
      </c>
      <c r="AG1069">
        <v>1.1249366203405196</v>
      </c>
      <c r="AH1069">
        <v>0.44000395294283351</v>
      </c>
      <c r="AI1069">
        <v>4.8643110320850609E-4</v>
      </c>
    </row>
    <row r="1070" spans="23:35" x14ac:dyDescent="0.25">
      <c r="W1070">
        <v>1068</v>
      </c>
      <c r="X1070">
        <v>57.192323823400457</v>
      </c>
      <c r="Y1070">
        <v>6.7076761765995414</v>
      </c>
      <c r="Z1070">
        <v>57.154814516863439</v>
      </c>
      <c r="AA1070">
        <v>0.23771983020012127</v>
      </c>
      <c r="AB1070">
        <v>73.599999999999994</v>
      </c>
      <c r="AC1070">
        <v>-0.71660092108895201</v>
      </c>
      <c r="AD1070">
        <v>0.90868366675555223</v>
      </c>
      <c r="AE1070">
        <v>0.44082187573081461</v>
      </c>
      <c r="AF1070">
        <v>5.5609006795730252E-3</v>
      </c>
      <c r="AG1070">
        <v>0.91122080305504138</v>
      </c>
      <c r="AH1070">
        <v>0.44255235131803289</v>
      </c>
      <c r="AI1070">
        <v>2.5795365979085189E-4</v>
      </c>
    </row>
    <row r="1071" spans="23:35" x14ac:dyDescent="0.25">
      <c r="W1071">
        <v>1069</v>
      </c>
      <c r="X1071">
        <v>58.139947048629026</v>
      </c>
      <c r="Y1071">
        <v>5.3600529513709745</v>
      </c>
      <c r="Z1071">
        <v>58.096587921834477</v>
      </c>
      <c r="AA1071">
        <v>0.23226197695573075</v>
      </c>
      <c r="AB1071">
        <v>73.599999999999994</v>
      </c>
      <c r="AC1071">
        <v>-0.74038552290047832</v>
      </c>
      <c r="AD1071">
        <v>0.72612219815370471</v>
      </c>
      <c r="AE1071">
        <v>0.44309169748736565</v>
      </c>
      <c r="AF1071">
        <v>8.0243975782925102E-3</v>
      </c>
      <c r="AG1071">
        <v>0.72905319622143239</v>
      </c>
      <c r="AH1071">
        <v>0.44514598267794164</v>
      </c>
      <c r="AI1071">
        <v>2.3886767301679228E-4</v>
      </c>
    </row>
    <row r="1072" spans="23:35" x14ac:dyDescent="0.25">
      <c r="W1072">
        <v>1070</v>
      </c>
      <c r="X1072">
        <v>55.91898325741434</v>
      </c>
      <c r="Y1072">
        <v>7.2810167425856633</v>
      </c>
      <c r="Z1072">
        <v>55.829822173628003</v>
      </c>
      <c r="AA1072">
        <v>0.22437841115827775</v>
      </c>
      <c r="AB1072">
        <v>73.599999999999994</v>
      </c>
      <c r="AC1072">
        <v>-0.7625619542054235</v>
      </c>
      <c r="AD1072">
        <v>0.98635366663084234</v>
      </c>
      <c r="AE1072">
        <v>0.44354763569435907</v>
      </c>
      <c r="AF1072">
        <v>1.2097548510606741E-2</v>
      </c>
      <c r="AG1072">
        <v>0.99237458143636081</v>
      </c>
      <c r="AH1072">
        <v>0.44520492297649239</v>
      </c>
      <c r="AI1072">
        <v>6.6998035343153743E-4</v>
      </c>
    </row>
    <row r="1073" spans="23:35" x14ac:dyDescent="0.25">
      <c r="W1073">
        <v>1071</v>
      </c>
      <c r="X1073">
        <v>76.393374416088648</v>
      </c>
      <c r="Y1073">
        <v>-10.493374416088642</v>
      </c>
      <c r="Z1073">
        <v>76.428140150338081</v>
      </c>
      <c r="AA1073">
        <v>0.30563978168587025</v>
      </c>
      <c r="AB1073">
        <v>73.599999999999994</v>
      </c>
      <c r="AC1073">
        <v>-0.52126361871264315</v>
      </c>
      <c r="AD1073">
        <v>-1.4215292584210857</v>
      </c>
      <c r="AE1073">
        <v>0.44466055482073485</v>
      </c>
      <c r="AF1073">
        <v>3.3021724400499751E-3</v>
      </c>
      <c r="AG1073">
        <v>-1.4238821546490379</v>
      </c>
      <c r="AH1073">
        <v>0.44661933282331967</v>
      </c>
      <c r="AI1073">
        <v>3.7317438510233093E-4</v>
      </c>
    </row>
    <row r="1074" spans="23:35" x14ac:dyDescent="0.25">
      <c r="W1074">
        <v>1072</v>
      </c>
      <c r="X1074">
        <v>75.762144316187985</v>
      </c>
      <c r="Y1074">
        <v>-9.662144316187991</v>
      </c>
      <c r="Z1074">
        <v>75.791939642427778</v>
      </c>
      <c r="AA1074">
        <v>0.31412977562158884</v>
      </c>
      <c r="AB1074">
        <v>73.599999999999994</v>
      </c>
      <c r="AC1074">
        <v>-0.4918835074548818</v>
      </c>
      <c r="AD1074">
        <v>-1.3089231642672947</v>
      </c>
      <c r="AE1074">
        <v>0.44777481834195326</v>
      </c>
      <c r="AF1074">
        <v>3.0742377005072491E-3</v>
      </c>
      <c r="AG1074">
        <v>-1.3109397856096621</v>
      </c>
      <c r="AH1074">
        <v>0.44856605580691084</v>
      </c>
      <c r="AI1074">
        <v>2.944202031772439E-4</v>
      </c>
    </row>
    <row r="1075" spans="23:35" x14ac:dyDescent="0.25">
      <c r="W1075">
        <v>1073</v>
      </c>
      <c r="X1075">
        <v>73.887081295853164</v>
      </c>
      <c r="Y1075">
        <v>-8.0870812958531673</v>
      </c>
      <c r="Z1075">
        <v>73.912309120892971</v>
      </c>
      <c r="AA1075">
        <v>0.30078835657974529</v>
      </c>
      <c r="AB1075">
        <v>73.599999999999994</v>
      </c>
      <c r="AC1075">
        <v>-0.53349185558387491</v>
      </c>
      <c r="AD1075">
        <v>-1.0955506037847333</v>
      </c>
      <c r="AE1075">
        <v>0.44984719214371288</v>
      </c>
      <c r="AF1075">
        <v>3.1098204794526756E-3</v>
      </c>
      <c r="AG1075">
        <v>-1.0972580701056589</v>
      </c>
      <c r="AH1075">
        <v>0.45030573589277489</v>
      </c>
      <c r="AI1075">
        <v>2.0865705035177923E-4</v>
      </c>
    </row>
    <row r="1076" spans="23:35" x14ac:dyDescent="0.25">
      <c r="W1076">
        <v>1074</v>
      </c>
      <c r="X1076">
        <v>69.113878864464539</v>
      </c>
      <c r="Y1076">
        <v>-4.8138788644645416</v>
      </c>
      <c r="Z1076">
        <v>69.137087175949759</v>
      </c>
      <c r="AA1076">
        <v>0.2498483929654336</v>
      </c>
      <c r="AB1076">
        <v>73.599999999999994</v>
      </c>
      <c r="AC1076">
        <v>-0.68742774275107121</v>
      </c>
      <c r="AD1076">
        <v>-0.6521324200382379</v>
      </c>
      <c r="AE1076">
        <v>0.45271496028985247</v>
      </c>
      <c r="AF1076">
        <v>4.7979932221632621E-3</v>
      </c>
      <c r="AG1076">
        <v>-0.65370253582206517</v>
      </c>
      <c r="AH1076">
        <v>0.45327965707938755</v>
      </c>
      <c r="AI1076">
        <v>1.144553825535987E-4</v>
      </c>
    </row>
    <row r="1077" spans="23:35" x14ac:dyDescent="0.25">
      <c r="W1077">
        <v>1075</v>
      </c>
      <c r="X1077">
        <v>61.875378916971201</v>
      </c>
      <c r="Y1077">
        <v>1.1246210830287993</v>
      </c>
      <c r="Z1077">
        <v>61.871732806986465</v>
      </c>
      <c r="AA1077">
        <v>0.22195269860521527</v>
      </c>
      <c r="AB1077">
        <v>73.599999999999994</v>
      </c>
      <c r="AC1077">
        <v>-0.78098898173722842</v>
      </c>
      <c r="AD1077">
        <v>0.15235154210370286</v>
      </c>
      <c r="AE1077">
        <v>0.45420553364059718</v>
      </c>
      <c r="AF1077">
        <v>3.2316015278233299E-3</v>
      </c>
      <c r="AG1077">
        <v>0.15259831009500743</v>
      </c>
      <c r="AH1077">
        <v>0.45481004210049014</v>
      </c>
      <c r="AI1077">
        <v>4.1942130517337495E-6</v>
      </c>
    </row>
    <row r="1078" spans="23:35" x14ac:dyDescent="0.25">
      <c r="W1078">
        <v>1076</v>
      </c>
      <c r="X1078">
        <v>78.417127925347941</v>
      </c>
      <c r="Y1078">
        <v>-8.8171279253479469</v>
      </c>
      <c r="Z1078">
        <v>78.477095834741775</v>
      </c>
      <c r="AA1078">
        <v>0.44815039417828989</v>
      </c>
      <c r="AB1078">
        <v>73.599999999999994</v>
      </c>
      <c r="AC1078">
        <v>-0.14337818601426075</v>
      </c>
      <c r="AD1078">
        <v>-1.1944494520186606</v>
      </c>
      <c r="AE1078">
        <v>0.45873007484372841</v>
      </c>
      <c r="AF1078">
        <v>6.7553522582391654E-3</v>
      </c>
      <c r="AG1078">
        <v>-1.19850447184052</v>
      </c>
      <c r="AH1078">
        <v>0.46023876269042002</v>
      </c>
      <c r="AI1078">
        <v>5.4274843430830071E-4</v>
      </c>
    </row>
    <row r="1079" spans="23:35" x14ac:dyDescent="0.25">
      <c r="W1079">
        <v>1077</v>
      </c>
      <c r="X1079">
        <v>78.223067342471722</v>
      </c>
      <c r="Y1079">
        <v>-8.9230673424717253</v>
      </c>
      <c r="Z1079">
        <v>78.283444489640559</v>
      </c>
      <c r="AA1079">
        <v>0.4329896907216495</v>
      </c>
      <c r="AB1079">
        <v>73.599999999999994</v>
      </c>
      <c r="AC1079">
        <v>-0.17879863688351211</v>
      </c>
      <c r="AD1079">
        <v>-1.2088009823357939</v>
      </c>
      <c r="AE1079">
        <v>0.45970641701588499</v>
      </c>
      <c r="AF1079">
        <v>6.720935075455849E-3</v>
      </c>
      <c r="AG1079">
        <v>-1.2128837101732473</v>
      </c>
      <c r="AH1079">
        <v>0.46033668997855615</v>
      </c>
      <c r="AI1079">
        <v>5.5299886433291098E-4</v>
      </c>
    </row>
    <row r="1080" spans="23:35" x14ac:dyDescent="0.25">
      <c r="W1080">
        <v>1078</v>
      </c>
      <c r="X1080">
        <v>64.786708431698372</v>
      </c>
      <c r="Y1080">
        <v>4.1132915683016336</v>
      </c>
      <c r="Z1080">
        <v>64.699868869157996</v>
      </c>
      <c r="AA1080">
        <v>0.41479684657368104</v>
      </c>
      <c r="AB1080">
        <v>73.599999999999994</v>
      </c>
      <c r="AC1080">
        <v>-0.22378708008709278</v>
      </c>
      <c r="AD1080">
        <v>0.55722440474367729</v>
      </c>
      <c r="AE1080">
        <v>0.45993434683474771</v>
      </c>
      <c r="AF1080">
        <v>2.067544079819509E-2</v>
      </c>
      <c r="AG1080">
        <v>0.56307572680435336</v>
      </c>
      <c r="AH1080">
        <v>0.46256035059769451</v>
      </c>
      <c r="AI1080">
        <v>3.7186836879401423E-4</v>
      </c>
    </row>
    <row r="1081" spans="23:35" x14ac:dyDescent="0.25">
      <c r="W1081">
        <v>1079</v>
      </c>
      <c r="X1081">
        <v>77.924553775097934</v>
      </c>
      <c r="Y1081">
        <v>-9.5245537750979281</v>
      </c>
      <c r="Z1081">
        <v>77.992588187980843</v>
      </c>
      <c r="AA1081">
        <v>0.40024257125530627</v>
      </c>
      <c r="AB1081">
        <v>73.599999999999994</v>
      </c>
      <c r="AC1081">
        <v>-0.26293383539244392</v>
      </c>
      <c r="AD1081">
        <v>-1.2902838808408279</v>
      </c>
      <c r="AE1081">
        <v>0.4617568833297625</v>
      </c>
      <c r="AF1081">
        <v>7.0923937887962859E-3</v>
      </c>
      <c r="AG1081">
        <v>-1.2948839652531616</v>
      </c>
      <c r="AH1081">
        <v>0.4646024794093076</v>
      </c>
      <c r="AI1081">
        <v>6.6538530303951839E-4</v>
      </c>
    </row>
    <row r="1082" spans="23:35" x14ac:dyDescent="0.25">
      <c r="W1082">
        <v>1080</v>
      </c>
      <c r="X1082">
        <v>73.759165837770126</v>
      </c>
      <c r="Y1082">
        <v>-5.7591658377701265</v>
      </c>
      <c r="Z1082">
        <v>73.800188136854842</v>
      </c>
      <c r="AA1082">
        <v>0.38447543966040026</v>
      </c>
      <c r="AB1082">
        <v>73.7</v>
      </c>
      <c r="AC1082">
        <v>-0.31204933220437475</v>
      </c>
      <c r="AD1082">
        <v>-0.78018970998854531</v>
      </c>
      <c r="AE1082">
        <v>0.46974856672236331</v>
      </c>
      <c r="AF1082">
        <v>7.0725807709686389E-3</v>
      </c>
      <c r="AG1082">
        <v>-0.78296340896870531</v>
      </c>
      <c r="AH1082">
        <v>0.47186472304839328</v>
      </c>
      <c r="AI1082">
        <v>2.425888521333946E-4</v>
      </c>
    </row>
    <row r="1083" spans="23:35" x14ac:dyDescent="0.25">
      <c r="W1083">
        <v>1081</v>
      </c>
      <c r="X1083">
        <v>73.332356161516529</v>
      </c>
      <c r="Y1083">
        <v>-5.8323561615165289</v>
      </c>
      <c r="Z1083">
        <v>73.373794171853334</v>
      </c>
      <c r="AA1083">
        <v>0.35900545785324439</v>
      </c>
      <c r="AB1083">
        <v>73.7</v>
      </c>
      <c r="AC1083">
        <v>-0.37168505980560429</v>
      </c>
      <c r="AD1083">
        <v>-0.79010474613547843</v>
      </c>
      <c r="AE1083">
        <v>0.4704304454751661</v>
      </c>
      <c r="AF1083">
        <v>7.0547263190412768E-3</v>
      </c>
      <c r="AG1083">
        <v>-0.79290656580854268</v>
      </c>
      <c r="AH1083">
        <v>0.47241863928404659</v>
      </c>
      <c r="AI1083">
        <v>2.4815691447624996E-4</v>
      </c>
    </row>
    <row r="1084" spans="23:35" x14ac:dyDescent="0.25">
      <c r="W1084">
        <v>1082</v>
      </c>
      <c r="X1084">
        <v>70.69062792702087</v>
      </c>
      <c r="Y1084">
        <v>-3.6906279270208699</v>
      </c>
      <c r="Z1084">
        <v>70.718335659898102</v>
      </c>
      <c r="AA1084">
        <v>0.33959975742874471</v>
      </c>
      <c r="AB1084">
        <v>73.7</v>
      </c>
      <c r="AC1084">
        <v>-0.42600652312983872</v>
      </c>
      <c r="AD1084">
        <v>-0.49996649048968878</v>
      </c>
      <c r="AE1084">
        <v>0.4717367875329414</v>
      </c>
      <c r="AF1084">
        <v>7.4516491816646498E-3</v>
      </c>
      <c r="AG1084">
        <v>-0.50183975363477062</v>
      </c>
      <c r="AH1084">
        <v>0.47271966831871043</v>
      </c>
      <c r="AI1084">
        <v>1.0504087864580474E-4</v>
      </c>
    </row>
    <row r="1085" spans="23:35" x14ac:dyDescent="0.25">
      <c r="W1085">
        <v>1083</v>
      </c>
      <c r="X1085">
        <v>69.948505098147066</v>
      </c>
      <c r="Y1085">
        <v>-3.3485050981470721</v>
      </c>
      <c r="Z1085">
        <v>69.973531582486657</v>
      </c>
      <c r="AA1085">
        <v>0.32686476652516677</v>
      </c>
      <c r="AB1085">
        <v>73.7</v>
      </c>
      <c r="AC1085">
        <v>-0.45616451589519369</v>
      </c>
      <c r="AD1085">
        <v>-0.45361937735587821</v>
      </c>
      <c r="AE1085">
        <v>0.4732381648183302</v>
      </c>
      <c r="AF1085">
        <v>7.418482301904122E-3</v>
      </c>
      <c r="AG1085">
        <v>-0.4553113809327109</v>
      </c>
      <c r="AH1085">
        <v>0.47387529680288493</v>
      </c>
      <c r="AI1085">
        <v>8.6078241808857183E-5</v>
      </c>
    </row>
    <row r="1086" spans="23:35" x14ac:dyDescent="0.25">
      <c r="W1086">
        <v>1084</v>
      </c>
      <c r="X1086">
        <v>67.939831081327867</v>
      </c>
      <c r="Y1086">
        <v>-1.939831081327867</v>
      </c>
      <c r="Z1086">
        <v>67.961288567169859</v>
      </c>
      <c r="AA1086">
        <v>0.31109763493026077</v>
      </c>
      <c r="AB1086">
        <v>73.7</v>
      </c>
      <c r="AC1086">
        <v>-0.50738317096904828</v>
      </c>
      <c r="AD1086">
        <v>-0.26278740557225166</v>
      </c>
      <c r="AE1086">
        <v>0.47433810235945295</v>
      </c>
      <c r="AF1086">
        <v>1.0940504218079959E-2</v>
      </c>
      <c r="AG1086">
        <v>-0.26423682285139383</v>
      </c>
      <c r="AH1086">
        <v>0.47547473734808149</v>
      </c>
      <c r="AI1086">
        <v>4.2907093189795373E-5</v>
      </c>
    </row>
    <row r="1087" spans="23:35" x14ac:dyDescent="0.25">
      <c r="W1087">
        <v>1085</v>
      </c>
      <c r="X1087">
        <v>65.161785428484563</v>
      </c>
      <c r="Y1087">
        <v>0.23821457151544223</v>
      </c>
      <c r="Z1087">
        <v>65.158770816006552</v>
      </c>
      <c r="AA1087">
        <v>0.28684050939963612</v>
      </c>
      <c r="AB1087">
        <v>73.7</v>
      </c>
      <c r="AC1087">
        <v>-0.57067028430202504</v>
      </c>
      <c r="AD1087">
        <v>3.2270742447944187E-2</v>
      </c>
      <c r="AE1087">
        <v>0.47882294136144121</v>
      </c>
      <c r="AF1087">
        <v>1.2496881298153161E-2</v>
      </c>
      <c r="AG1087">
        <v>3.2474294086661644E-2</v>
      </c>
      <c r="AH1087">
        <v>0.47935471575686006</v>
      </c>
      <c r="AI1087">
        <v>7.4142991077704545E-7</v>
      </c>
    </row>
    <row r="1088" spans="23:35" x14ac:dyDescent="0.25">
      <c r="W1088">
        <v>1086</v>
      </c>
      <c r="X1088">
        <v>57.556553567986271</v>
      </c>
      <c r="Y1088">
        <v>7.1434464320137323</v>
      </c>
      <c r="Z1088">
        <v>57.413048224259938</v>
      </c>
      <c r="AA1088">
        <v>0.26197695573074592</v>
      </c>
      <c r="AB1088">
        <v>73.7</v>
      </c>
      <c r="AC1088">
        <v>-0.64941472986293491</v>
      </c>
      <c r="AD1088">
        <v>0.96771712381690833</v>
      </c>
      <c r="AE1088">
        <v>0.4788235018776949</v>
      </c>
      <c r="AF1088">
        <v>1.9693466917689036E-2</v>
      </c>
      <c r="AG1088">
        <v>0.97738906877555831</v>
      </c>
      <c r="AH1088">
        <v>0.47940185194465534</v>
      </c>
      <c r="AI1088">
        <v>1.0661608497276752E-3</v>
      </c>
    </row>
    <row r="1089" spans="23:35" x14ac:dyDescent="0.25">
      <c r="W1089">
        <v>1087</v>
      </c>
      <c r="X1089">
        <v>64.474365583449099</v>
      </c>
      <c r="Y1089">
        <v>-0.17436558344910225</v>
      </c>
      <c r="Z1089">
        <v>64.478130387855401</v>
      </c>
      <c r="AA1089">
        <v>0.2498483929654336</v>
      </c>
      <c r="AB1089">
        <v>73.7</v>
      </c>
      <c r="AC1089">
        <v>-0.68742774275107121</v>
      </c>
      <c r="AD1089">
        <v>-2.3621169769233594E-2</v>
      </c>
      <c r="AE1089">
        <v>0.48002679808765703</v>
      </c>
      <c r="AF1089">
        <v>2.1135104748990163E-2</v>
      </c>
      <c r="AG1089">
        <v>-2.3874815496875069E-2</v>
      </c>
      <c r="AH1089">
        <v>0.48101678633255673</v>
      </c>
      <c r="AI1089">
        <v>6.8373717588141748E-7</v>
      </c>
    </row>
    <row r="1090" spans="23:35" x14ac:dyDescent="0.25">
      <c r="W1090">
        <v>1088</v>
      </c>
      <c r="X1090">
        <v>84.173241237227202</v>
      </c>
      <c r="Y1090">
        <v>-2.4732412372271995</v>
      </c>
      <c r="Z1090">
        <v>84.488112628798731</v>
      </c>
      <c r="AA1090">
        <v>0.95573074590661011</v>
      </c>
      <c r="AB1090">
        <v>73.7</v>
      </c>
      <c r="AC1090">
        <v>1.6624525291871317</v>
      </c>
      <c r="AD1090">
        <v>-0.33504806389654418</v>
      </c>
      <c r="AE1090">
        <v>0.48405408692191748</v>
      </c>
      <c r="AF1090">
        <v>0.11293352654379411</v>
      </c>
      <c r="AG1090">
        <v>-0.35573699319140861</v>
      </c>
      <c r="AH1090">
        <v>0.4845098546465999</v>
      </c>
      <c r="AI1090">
        <v>8.9506026835460811E-4</v>
      </c>
    </row>
    <row r="1091" spans="23:35" x14ac:dyDescent="0.25">
      <c r="W1091">
        <v>1089</v>
      </c>
      <c r="X1091">
        <v>84.977727874737226</v>
      </c>
      <c r="Y1091">
        <v>-3.5777278747372208</v>
      </c>
      <c r="Z1091">
        <v>85.410885859903118</v>
      </c>
      <c r="AA1091">
        <v>0.94724075197089141</v>
      </c>
      <c r="AB1091">
        <v>73.7</v>
      </c>
      <c r="AC1091">
        <v>1.5992570753291051</v>
      </c>
      <c r="AD1091">
        <v>-0.48467200834937652</v>
      </c>
      <c r="AE1091">
        <v>0.48463903963220678</v>
      </c>
      <c r="AF1091">
        <v>0.10799559007554364</v>
      </c>
      <c r="AG1091">
        <v>-0.51317375523981612</v>
      </c>
      <c r="AH1091">
        <v>0.48672440636349829</v>
      </c>
      <c r="AI1091">
        <v>1.7713133274211081E-3</v>
      </c>
    </row>
    <row r="1092" spans="23:35" x14ac:dyDescent="0.25">
      <c r="W1092">
        <v>1090</v>
      </c>
      <c r="X1092">
        <v>78.491411172675171</v>
      </c>
      <c r="Y1092">
        <v>2.608588827324823</v>
      </c>
      <c r="Z1092">
        <v>78.124485948276941</v>
      </c>
      <c r="AA1092">
        <v>0.93935718617343844</v>
      </c>
      <c r="AB1092">
        <v>73.8</v>
      </c>
      <c r="AC1092">
        <v>1.5222105313262397</v>
      </c>
      <c r="AD1092">
        <v>0.35338349649919326</v>
      </c>
      <c r="AE1092">
        <v>0.4865705651754077</v>
      </c>
      <c r="AF1092">
        <v>0.12331490223873955</v>
      </c>
      <c r="AG1092">
        <v>0.37741960114381429</v>
      </c>
      <c r="AH1092">
        <v>0.48766695354077561</v>
      </c>
      <c r="AI1092">
        <v>1.1131362760329866E-3</v>
      </c>
    </row>
    <row r="1093" spans="23:35" x14ac:dyDescent="0.25">
      <c r="W1093">
        <v>1091</v>
      </c>
      <c r="X1093">
        <v>81.709858544851699</v>
      </c>
      <c r="Y1093">
        <v>-0.60985854485170421</v>
      </c>
      <c r="Z1093">
        <v>81.721479614653276</v>
      </c>
      <c r="AA1093">
        <v>0.93935718617343844</v>
      </c>
      <c r="AB1093">
        <v>73.8</v>
      </c>
      <c r="AC1093">
        <v>1.5222105313262397</v>
      </c>
      <c r="AD1093">
        <v>-8.2617062026835636E-2</v>
      </c>
      <c r="AE1093">
        <v>0.4866380070863825</v>
      </c>
      <c r="AF1093">
        <v>1.8699036183287804E-2</v>
      </c>
      <c r="AG1093">
        <v>-8.3400496122452331E-2</v>
      </c>
      <c r="AH1093">
        <v>0.48807667949949168</v>
      </c>
      <c r="AI1093">
        <v>7.3634570795411682E-6</v>
      </c>
    </row>
    <row r="1094" spans="23:35" x14ac:dyDescent="0.25">
      <c r="W1094">
        <v>1092</v>
      </c>
      <c r="X1094">
        <v>73.357004786141871</v>
      </c>
      <c r="Y1094">
        <v>1.1429952138581285</v>
      </c>
      <c r="Z1094">
        <v>73.352802198957662</v>
      </c>
      <c r="AA1094">
        <v>0.72407519708914492</v>
      </c>
      <c r="AB1094">
        <v>73.8</v>
      </c>
      <c r="AC1094">
        <v>0.56531175535073552</v>
      </c>
      <c r="AD1094">
        <v>0.15484067129477622</v>
      </c>
      <c r="AE1094">
        <v>0.49073095595839317</v>
      </c>
      <c r="AF1094">
        <v>3.6633501043895882E-3</v>
      </c>
      <c r="AG1094">
        <v>0.15512507071942877</v>
      </c>
      <c r="AH1094">
        <v>0.49129209933070334</v>
      </c>
      <c r="AI1094">
        <v>4.9154558518660825E-6</v>
      </c>
    </row>
    <row r="1095" spans="23:35" x14ac:dyDescent="0.25">
      <c r="W1095">
        <v>1093</v>
      </c>
      <c r="X1095">
        <v>72.055603486006035</v>
      </c>
      <c r="Y1095">
        <v>1.8443965139939706</v>
      </c>
      <c r="Z1095">
        <v>72.050155737725092</v>
      </c>
      <c r="AA1095">
        <v>0.67919951485748942</v>
      </c>
      <c r="AB1095">
        <v>73.8</v>
      </c>
      <c r="AC1095">
        <v>0.43434378704136062</v>
      </c>
      <c r="AD1095">
        <v>0.24985895907348862</v>
      </c>
      <c r="AE1095">
        <v>0.49161534286133285</v>
      </c>
      <c r="AF1095">
        <v>2.9449767161717389E-3</v>
      </c>
      <c r="AG1095">
        <v>0.25022768810586543</v>
      </c>
      <c r="AH1095">
        <v>0.4925094368159188</v>
      </c>
      <c r="AI1095">
        <v>1.0274506266113071E-5</v>
      </c>
    </row>
    <row r="1096" spans="23:35" x14ac:dyDescent="0.25">
      <c r="W1096">
        <v>1094</v>
      </c>
      <c r="X1096">
        <v>71.86416370930705</v>
      </c>
      <c r="Y1096">
        <v>2.0358362906929557</v>
      </c>
      <c r="Z1096">
        <v>71.858315296049895</v>
      </c>
      <c r="AA1096">
        <v>0.67919951485748942</v>
      </c>
      <c r="AB1096">
        <v>73.8</v>
      </c>
      <c r="AC1096">
        <v>0.43434378704136062</v>
      </c>
      <c r="AD1096">
        <v>0.27579315650248348</v>
      </c>
      <c r="AE1096">
        <v>0.49211271929789185</v>
      </c>
      <c r="AF1096">
        <v>2.8645036355730872E-3</v>
      </c>
      <c r="AG1096">
        <v>0.27618901240351856</v>
      </c>
      <c r="AH1096">
        <v>0.49674344404920512</v>
      </c>
      <c r="AI1096">
        <v>1.2174061467087204E-5</v>
      </c>
    </row>
    <row r="1097" spans="23:35" x14ac:dyDescent="0.25">
      <c r="W1097">
        <v>1095</v>
      </c>
      <c r="X1097">
        <v>65.586988924837271</v>
      </c>
      <c r="Y1097">
        <v>8.9130110751627285</v>
      </c>
      <c r="Z1097">
        <v>65.536919072281961</v>
      </c>
      <c r="AA1097">
        <v>0.72407519708914492</v>
      </c>
      <c r="AB1097">
        <v>73.8</v>
      </c>
      <c r="AC1097">
        <v>0.56531175535073552</v>
      </c>
      <c r="AD1097">
        <v>1.2074386676366897</v>
      </c>
      <c r="AE1097">
        <v>0.49310407797757566</v>
      </c>
      <c r="AF1097">
        <v>5.5862323412116319E-3</v>
      </c>
      <c r="AG1097">
        <v>1.2108253799495412</v>
      </c>
      <c r="AH1097">
        <v>0.49690331846326502</v>
      </c>
      <c r="AI1097">
        <v>4.5755403792487449E-4</v>
      </c>
    </row>
    <row r="1098" spans="23:35" x14ac:dyDescent="0.25">
      <c r="W1098">
        <v>1096</v>
      </c>
      <c r="X1098">
        <v>65.356072823013378</v>
      </c>
      <c r="Y1098">
        <v>7.8439271769866252</v>
      </c>
      <c r="Z1098">
        <v>65.31094241827229</v>
      </c>
      <c r="AA1098">
        <v>0.62340812613705276</v>
      </c>
      <c r="AB1098">
        <v>73.8</v>
      </c>
      <c r="AC1098">
        <v>0.29295400660571058</v>
      </c>
      <c r="AD1098">
        <v>1.0626107047047548</v>
      </c>
      <c r="AE1098">
        <v>0.49717272577820504</v>
      </c>
      <c r="AF1098">
        <v>5.7206332028315841E-3</v>
      </c>
      <c r="AG1098">
        <v>1.0656632107060249</v>
      </c>
      <c r="AH1098">
        <v>0.49819152441224662</v>
      </c>
      <c r="AI1098">
        <v>3.6299706747327712E-4</v>
      </c>
    </row>
    <row r="1099" spans="23:35" x14ac:dyDescent="0.25">
      <c r="W1099">
        <v>1097</v>
      </c>
      <c r="X1099">
        <v>69.806561893362499</v>
      </c>
      <c r="Y1099">
        <v>3.3934381066375039</v>
      </c>
      <c r="Z1099">
        <v>69.798698056812952</v>
      </c>
      <c r="AA1099">
        <v>0.62340812613705276</v>
      </c>
      <c r="AB1099">
        <v>73.8</v>
      </c>
      <c r="AC1099">
        <v>0.29295400660571058</v>
      </c>
      <c r="AD1099">
        <v>0.45970641701588499</v>
      </c>
      <c r="AE1099">
        <v>0.49739011139087863</v>
      </c>
      <c r="AF1099">
        <v>2.3120077784608262E-3</v>
      </c>
      <c r="AG1099">
        <v>0.46023876269042002</v>
      </c>
      <c r="AH1099">
        <v>0.49907649245283181</v>
      </c>
      <c r="AI1099">
        <v>2.7270206553340321E-5</v>
      </c>
    </row>
    <row r="1100" spans="23:35" x14ac:dyDescent="0.25">
      <c r="W1100">
        <v>1098</v>
      </c>
      <c r="X1100">
        <v>68.877546485285805</v>
      </c>
      <c r="Y1100">
        <v>3.622453514714195</v>
      </c>
      <c r="Z1100">
        <v>68.869257307901123</v>
      </c>
      <c r="AA1100">
        <v>0.55852031534263191</v>
      </c>
      <c r="AB1100">
        <v>73.8</v>
      </c>
      <c r="AC1100">
        <v>0.12956927093944998</v>
      </c>
      <c r="AD1100">
        <v>0.49073095595839317</v>
      </c>
      <c r="AE1100">
        <v>0.49879605400675969</v>
      </c>
      <c r="AF1100">
        <v>2.2830528317875258E-3</v>
      </c>
      <c r="AG1100">
        <v>0.49129209933070334</v>
      </c>
      <c r="AH1100">
        <v>0.50008643885543691</v>
      </c>
      <c r="AI1100">
        <v>3.0684260951706932E-5</v>
      </c>
    </row>
    <row r="1101" spans="23:35" x14ac:dyDescent="0.25">
      <c r="W1101">
        <v>1099</v>
      </c>
      <c r="X1101">
        <v>67.738084490215641</v>
      </c>
      <c r="Y1101">
        <v>4.7619155097843588</v>
      </c>
      <c r="Z1101">
        <v>67.72842512932607</v>
      </c>
      <c r="AA1101">
        <v>0.55852031534263191</v>
      </c>
      <c r="AB1101">
        <v>73.8</v>
      </c>
      <c r="AC1101">
        <v>0.12956927093944998</v>
      </c>
      <c r="AD1101">
        <v>0.64509298485613509</v>
      </c>
      <c r="AE1101">
        <v>0.49920171005670116</v>
      </c>
      <c r="AF1101">
        <v>2.0243548831105048E-3</v>
      </c>
      <c r="AG1101">
        <v>0.64574692644816434</v>
      </c>
      <c r="AH1101">
        <v>0.50081136360655198</v>
      </c>
      <c r="AI1101">
        <v>4.6991455529871498E-5</v>
      </c>
    </row>
    <row r="1102" spans="23:35" x14ac:dyDescent="0.25">
      <c r="W1102">
        <v>1100</v>
      </c>
      <c r="X1102">
        <v>64.48512372777796</v>
      </c>
      <c r="Y1102">
        <v>8.5148762722220397</v>
      </c>
      <c r="Z1102">
        <v>64.465168137348613</v>
      </c>
      <c r="AA1102">
        <v>0.60946027895694366</v>
      </c>
      <c r="AB1102">
        <v>73.8</v>
      </c>
      <c r="AC1102">
        <v>0.22222871718700732</v>
      </c>
      <c r="AD1102">
        <v>1.1535036560060972</v>
      </c>
      <c r="AE1102">
        <v>0.50005972071536708</v>
      </c>
      <c r="AF1102">
        <v>2.3381351560856005E-3</v>
      </c>
      <c r="AG1102">
        <v>1.1548545491216151</v>
      </c>
      <c r="AH1102">
        <v>0.50275748985649049</v>
      </c>
      <c r="AI1102">
        <v>1.7364741153190594E-4</v>
      </c>
    </row>
    <row r="1103" spans="23:35" x14ac:dyDescent="0.25">
      <c r="W1103">
        <v>1101</v>
      </c>
      <c r="X1103">
        <v>65.934870835178799</v>
      </c>
      <c r="Y1103">
        <v>5.2651291648212037</v>
      </c>
      <c r="Z1103">
        <v>65.926270930548583</v>
      </c>
      <c r="AA1103">
        <v>0.47907822922983628</v>
      </c>
      <c r="AB1103">
        <v>73.8</v>
      </c>
      <c r="AC1103">
        <v>-6.3887210036911155E-2</v>
      </c>
      <c r="AD1103">
        <v>0.71326294672989876</v>
      </c>
      <c r="AE1103">
        <v>0.50010918009344063</v>
      </c>
      <c r="AF1103">
        <v>1.6307065677736246E-3</v>
      </c>
      <c r="AG1103">
        <v>0.7138452202505835</v>
      </c>
      <c r="AH1103">
        <v>0.50310846595453007</v>
      </c>
      <c r="AI1103">
        <v>4.6240254107500379E-5</v>
      </c>
    </row>
    <row r="1104" spans="23:35" x14ac:dyDescent="0.25">
      <c r="W1104">
        <v>1102</v>
      </c>
      <c r="X1104">
        <v>60.090282157419786</v>
      </c>
      <c r="Y1104">
        <v>10.909717842580214</v>
      </c>
      <c r="Z1104">
        <v>59.965990988998598</v>
      </c>
      <c r="AA1104">
        <v>0.46937537901758641</v>
      </c>
      <c r="AB1104">
        <v>73.900000000000006</v>
      </c>
      <c r="AC1104">
        <v>-9.743972564826138E-2</v>
      </c>
      <c r="AD1104">
        <v>1.4779309781006609</v>
      </c>
      <c r="AE1104">
        <v>0.50057276782670224</v>
      </c>
      <c r="AF1104">
        <v>1.1264370755657676E-2</v>
      </c>
      <c r="AG1104">
        <v>1.4863259493493517</v>
      </c>
      <c r="AH1104">
        <v>0.50318956205080168</v>
      </c>
      <c r="AI1104">
        <v>1.3982420771451024E-3</v>
      </c>
    </row>
    <row r="1105" spans="23:35" x14ac:dyDescent="0.25">
      <c r="W1105">
        <v>1103</v>
      </c>
      <c r="X1105">
        <v>65.613564300574012</v>
      </c>
      <c r="Y1105">
        <v>10.386435699425988</v>
      </c>
      <c r="Z1105">
        <v>65.597182522359233</v>
      </c>
      <c r="AA1105">
        <v>0.80836870830806551</v>
      </c>
      <c r="AB1105">
        <v>73.900000000000006</v>
      </c>
      <c r="AC1105">
        <v>0.83794453378675593</v>
      </c>
      <c r="AD1105">
        <v>1.4070423537738168</v>
      </c>
      <c r="AE1105">
        <v>0.50230482539321419</v>
      </c>
      <c r="AF1105">
        <v>1.5747443661288229E-3</v>
      </c>
      <c r="AG1105">
        <v>1.4081515299573266</v>
      </c>
      <c r="AH1105">
        <v>0.50338918935356303</v>
      </c>
      <c r="AI1105">
        <v>1.7374838750529556E-4</v>
      </c>
    </row>
    <row r="1106" spans="23:35" x14ac:dyDescent="0.25">
      <c r="W1106">
        <v>1104</v>
      </c>
      <c r="X1106">
        <v>64.273474087612655</v>
      </c>
      <c r="Y1106">
        <v>10.726525912387345</v>
      </c>
      <c r="Z1106">
        <v>64.256835678856561</v>
      </c>
      <c r="AA1106">
        <v>0.76046088538508183</v>
      </c>
      <c r="AB1106">
        <v>73.900000000000006</v>
      </c>
      <c r="AC1106">
        <v>0.67020216077934069</v>
      </c>
      <c r="AD1106">
        <v>1.4531141100132583</v>
      </c>
      <c r="AE1106">
        <v>0.50233416509348949</v>
      </c>
      <c r="AF1106">
        <v>1.5487437647534214E-3</v>
      </c>
      <c r="AG1106">
        <v>1.4542406694548873</v>
      </c>
      <c r="AH1106">
        <v>0.5038463718273225</v>
      </c>
      <c r="AI1106">
        <v>1.8224380323031224E-4</v>
      </c>
    </row>
    <row r="1107" spans="23:35" x14ac:dyDescent="0.25">
      <c r="W1107">
        <v>1105</v>
      </c>
      <c r="X1107">
        <v>63.34923671111234</v>
      </c>
      <c r="Y1107">
        <v>9.65076328888766</v>
      </c>
      <c r="Z1107">
        <v>63.332468205101364</v>
      </c>
      <c r="AA1107">
        <v>0.60946027895694366</v>
      </c>
      <c r="AB1107">
        <v>73.900000000000006</v>
      </c>
      <c r="AC1107">
        <v>0.22222871718700732</v>
      </c>
      <c r="AD1107">
        <v>1.3073813853640752</v>
      </c>
      <c r="AE1107">
        <v>0.50236102557881601</v>
      </c>
      <c r="AF1107">
        <v>1.734517803171375E-3</v>
      </c>
      <c r="AG1107">
        <v>1.3085167006403826</v>
      </c>
      <c r="AH1107">
        <v>0.50620144902276409</v>
      </c>
      <c r="AI1107">
        <v>1.6527940553274028E-4</v>
      </c>
    </row>
    <row r="1108" spans="23:35" x14ac:dyDescent="0.25">
      <c r="W1108">
        <v>1106</v>
      </c>
      <c r="X1108">
        <v>61.675651406284167</v>
      </c>
      <c r="Y1108">
        <v>11.324348593715833</v>
      </c>
      <c r="Z1108">
        <v>61.657400169523918</v>
      </c>
      <c r="AA1108">
        <v>0.60946027895694366</v>
      </c>
      <c r="AB1108">
        <v>73.900000000000006</v>
      </c>
      <c r="AC1108">
        <v>0.22222871718700732</v>
      </c>
      <c r="AD1108">
        <v>1.5341006829838393</v>
      </c>
      <c r="AE1108">
        <v>0.50249476766346257</v>
      </c>
      <c r="AF1108">
        <v>1.6090876018753164E-3</v>
      </c>
      <c r="AG1108">
        <v>1.5353364256921838</v>
      </c>
      <c r="AH1108">
        <v>0.50690573811882877</v>
      </c>
      <c r="AI1108">
        <v>2.1106376040052507E-4</v>
      </c>
    </row>
    <row r="1109" spans="23:35" x14ac:dyDescent="0.25">
      <c r="W1109">
        <v>1107</v>
      </c>
      <c r="X1109">
        <v>48.162248338246116</v>
      </c>
      <c r="Y1109">
        <v>13.237751661753883</v>
      </c>
      <c r="Z1109">
        <v>48.085332301805117</v>
      </c>
      <c r="AA1109">
        <v>0.18617343844754397</v>
      </c>
      <c r="AB1109">
        <v>73.900000000000006</v>
      </c>
      <c r="AC1109">
        <v>-0.90460220385671419</v>
      </c>
      <c r="AD1109">
        <v>1.7933079061816</v>
      </c>
      <c r="AE1109">
        <v>0.50533487230918961</v>
      </c>
      <c r="AF1109">
        <v>5.7767897918641724E-3</v>
      </c>
      <c r="AG1109">
        <v>1.7985102380498628</v>
      </c>
      <c r="AH1109">
        <v>0.50859348876504307</v>
      </c>
      <c r="AI1109">
        <v>1.0441334056848703E-3</v>
      </c>
    </row>
    <row r="1110" spans="23:35" x14ac:dyDescent="0.25">
      <c r="W1110">
        <v>1108</v>
      </c>
      <c r="X1110">
        <v>43.045478715706722</v>
      </c>
      <c r="Y1110">
        <v>25.954521284293278</v>
      </c>
      <c r="Z1110">
        <v>42.465797950037782</v>
      </c>
      <c r="AA1110">
        <v>0.42086112795633718</v>
      </c>
      <c r="AB1110">
        <v>73.900000000000006</v>
      </c>
      <c r="AC1110">
        <v>-0.21444491222324932</v>
      </c>
      <c r="AD1110">
        <v>3.5160387813254252</v>
      </c>
      <c r="AE1110">
        <v>0.50757468315177712</v>
      </c>
      <c r="AF1110">
        <v>2.1846549769140973E-2</v>
      </c>
      <c r="AG1110">
        <v>3.5550864090658538</v>
      </c>
      <c r="AH1110">
        <v>0.50936732209327795</v>
      </c>
      <c r="AI1110">
        <v>1.5682080697574628E-2</v>
      </c>
    </row>
    <row r="1111" spans="23:35" x14ac:dyDescent="0.25">
      <c r="W1111">
        <v>1109</v>
      </c>
      <c r="X1111">
        <v>42.118192036606892</v>
      </c>
      <c r="Y1111">
        <v>20.881807963393108</v>
      </c>
      <c r="Z1111">
        <v>41.96799556989081</v>
      </c>
      <c r="AA1111">
        <v>0.22195269860521527</v>
      </c>
      <c r="AB1111">
        <v>73.900000000000006</v>
      </c>
      <c r="AC1111">
        <v>-0.78098898173722842</v>
      </c>
      <c r="AD1111">
        <v>2.8288422590907931</v>
      </c>
      <c r="AE1111">
        <v>0.50861530434212887</v>
      </c>
      <c r="AF1111">
        <v>7.1413291688482497E-3</v>
      </c>
      <c r="AG1111">
        <v>2.8389975300448862</v>
      </c>
      <c r="AH1111">
        <v>0.50945110311776742</v>
      </c>
      <c r="AI1111">
        <v>3.2206916180549162E-3</v>
      </c>
    </row>
    <row r="1112" spans="23:35" x14ac:dyDescent="0.25">
      <c r="W1112">
        <v>1110</v>
      </c>
      <c r="X1112">
        <v>38.094369313548235</v>
      </c>
      <c r="Y1112">
        <v>21.305630686451764</v>
      </c>
      <c r="Z1112">
        <v>37.778041831792351</v>
      </c>
      <c r="AA1112">
        <v>0.16312916919345058</v>
      </c>
      <c r="AB1112">
        <v>73.900000000000006</v>
      </c>
      <c r="AC1112">
        <v>-0.99032898964496086</v>
      </c>
      <c r="AD1112">
        <v>2.8862571932503753</v>
      </c>
      <c r="AE1112">
        <v>0.50864970904760687</v>
      </c>
      <c r="AF1112">
        <v>1.4629918312440598E-2</v>
      </c>
      <c r="AG1112">
        <v>2.907604567161103</v>
      </c>
      <c r="AH1112">
        <v>0.51292011038683982</v>
      </c>
      <c r="AI1112">
        <v>6.9733378851001976E-3</v>
      </c>
    </row>
    <row r="1113" spans="23:35" x14ac:dyDescent="0.25">
      <c r="W1113">
        <v>1111</v>
      </c>
      <c r="X1113">
        <v>34.661696646692846</v>
      </c>
      <c r="Y1113">
        <v>23.538303353307157</v>
      </c>
      <c r="Z1113">
        <v>34.29711071936304</v>
      </c>
      <c r="AA1113">
        <v>0.13644633110976348</v>
      </c>
      <c r="AB1113">
        <v>73.900000000000006</v>
      </c>
      <c r="AC1113">
        <v>-1.1005940465096573</v>
      </c>
      <c r="AD1113">
        <v>3.1887156203075318</v>
      </c>
      <c r="AE1113">
        <v>0.51145901744946365</v>
      </c>
      <c r="AF1113">
        <v>1.5252797394043465E-2</v>
      </c>
      <c r="AG1113">
        <v>3.2133158137371844</v>
      </c>
      <c r="AH1113">
        <v>0.51473310238449621</v>
      </c>
      <c r="AI1113">
        <v>8.8850333705186267E-3</v>
      </c>
    </row>
    <row r="1114" spans="23:35" x14ac:dyDescent="0.25">
      <c r="W1114">
        <v>1112</v>
      </c>
      <c r="X1114">
        <v>44.937152201840888</v>
      </c>
      <c r="Y1114">
        <v>12.162847798159113</v>
      </c>
      <c r="Z1114">
        <v>44.634588111955814</v>
      </c>
      <c r="AA1114">
        <v>0.11279563371740449</v>
      </c>
      <c r="AB1114">
        <v>73.900000000000006</v>
      </c>
      <c r="AC1114">
        <v>-1.2197514087080794</v>
      </c>
      <c r="AD1114">
        <v>1.6476915170678117</v>
      </c>
      <c r="AE1114">
        <v>0.51177286887862394</v>
      </c>
      <c r="AF1114">
        <v>2.4272289804981702E-2</v>
      </c>
      <c r="AG1114">
        <v>1.6680596858746166</v>
      </c>
      <c r="AH1114">
        <v>0.51635349077895165</v>
      </c>
      <c r="AI1114">
        <v>3.8453225740724827E-3</v>
      </c>
    </row>
    <row r="1115" spans="23:35" x14ac:dyDescent="0.25">
      <c r="W1115">
        <v>1113</v>
      </c>
      <c r="X1115">
        <v>59.82248290065742</v>
      </c>
      <c r="Y1115">
        <v>-6.2224829006574183</v>
      </c>
      <c r="Z1115">
        <v>60.333138140792911</v>
      </c>
      <c r="AA1115">
        <v>6.4887810794420867E-2</v>
      </c>
      <c r="AB1115">
        <v>73.900000000000006</v>
      </c>
      <c r="AC1115">
        <v>-1.5319668124298669</v>
      </c>
      <c r="AD1115">
        <v>-0.84295491160092662</v>
      </c>
      <c r="AE1115">
        <v>0.51400871295333672</v>
      </c>
      <c r="AF1115">
        <v>7.5842085734388151E-2</v>
      </c>
      <c r="AG1115">
        <v>-0.87686200445650075</v>
      </c>
      <c r="AH1115">
        <v>0.51664644358659062</v>
      </c>
      <c r="AI1115">
        <v>3.5055331614262069E-3</v>
      </c>
    </row>
    <row r="1116" spans="23:35" x14ac:dyDescent="0.25">
      <c r="W1116">
        <v>1114</v>
      </c>
      <c r="X1116">
        <v>54.83894452239133</v>
      </c>
      <c r="Y1116">
        <v>-1.638944522391327</v>
      </c>
      <c r="Z1116">
        <v>54.969001062132037</v>
      </c>
      <c r="AA1116">
        <v>6.0642813826561552E-2</v>
      </c>
      <c r="AB1116">
        <v>73.900000000000006</v>
      </c>
      <c r="AC1116">
        <v>-1.5621464731395975</v>
      </c>
      <c r="AD1116">
        <v>-0.22202653780619303</v>
      </c>
      <c r="AE1116">
        <v>0.51452730126544433</v>
      </c>
      <c r="AF1116">
        <v>7.3519763512160177E-2</v>
      </c>
      <c r="AG1116">
        <v>-0.23066771155948979</v>
      </c>
      <c r="AH1116">
        <v>0.51702559212395793</v>
      </c>
      <c r="AI1116">
        <v>2.3456815445928097E-4</v>
      </c>
    </row>
    <row r="1117" spans="23:35" x14ac:dyDescent="0.25">
      <c r="W1117">
        <v>1115</v>
      </c>
      <c r="X1117">
        <v>48.513465717963712</v>
      </c>
      <c r="Y1117">
        <v>4.1865342820362912</v>
      </c>
      <c r="Z1117">
        <v>48.235422882867837</v>
      </c>
      <c r="AA1117">
        <v>5.5791388720436631E-2</v>
      </c>
      <c r="AB1117">
        <v>73.900000000000006</v>
      </c>
      <c r="AC1117">
        <v>-1.5938200328066188</v>
      </c>
      <c r="AD1117">
        <v>0.56714653812151061</v>
      </c>
      <c r="AE1117">
        <v>0.51584361897354758</v>
      </c>
      <c r="AF1117">
        <v>6.227752994318863E-2</v>
      </c>
      <c r="AG1117">
        <v>0.58567693901275664</v>
      </c>
      <c r="AH1117">
        <v>0.51817068394307619</v>
      </c>
      <c r="AI1117">
        <v>1.2656126276563576E-3</v>
      </c>
    </row>
    <row r="1118" spans="23:35" x14ac:dyDescent="0.25">
      <c r="W1118">
        <v>1116</v>
      </c>
      <c r="X1118">
        <v>56.306496269123954</v>
      </c>
      <c r="Y1118">
        <v>-4.0064962691239572</v>
      </c>
      <c r="Z1118">
        <v>56.649249761679634</v>
      </c>
      <c r="AA1118">
        <v>5.1546391752577317E-2</v>
      </c>
      <c r="AB1118">
        <v>73.900000000000006</v>
      </c>
      <c r="AC1118">
        <v>-1.6387108222805178</v>
      </c>
      <c r="AD1118">
        <v>-0.54275692875138459</v>
      </c>
      <c r="AE1118">
        <v>0.51588764544913379</v>
      </c>
      <c r="AF1118">
        <v>7.8807498151890309E-2</v>
      </c>
      <c r="AG1118">
        <v>-0.56549683571868659</v>
      </c>
      <c r="AH1118">
        <v>0.51824371466180075</v>
      </c>
      <c r="AI1118">
        <v>1.5198649485827569E-3</v>
      </c>
    </row>
    <row r="1119" spans="23:35" x14ac:dyDescent="0.25">
      <c r="W1119">
        <v>1117</v>
      </c>
      <c r="X1119">
        <v>56.202336750145449</v>
      </c>
      <c r="Y1119">
        <v>-4.2023367501454487</v>
      </c>
      <c r="Z1119">
        <v>56.486045071155573</v>
      </c>
      <c r="AA1119">
        <v>4.6694966646452396E-2</v>
      </c>
      <c r="AB1119">
        <v>73.900000000000006</v>
      </c>
      <c r="AC1119">
        <v>-1.6935133675401242</v>
      </c>
      <c r="AD1119">
        <v>-0.56928728616705748</v>
      </c>
      <c r="AE1119">
        <v>0.51722435478301776</v>
      </c>
      <c r="AF1119">
        <v>6.3242414311509301E-2</v>
      </c>
      <c r="AG1119">
        <v>-0.58819032355600276</v>
      </c>
      <c r="AH1119">
        <v>0.52075461786057065</v>
      </c>
      <c r="AI1119">
        <v>1.2976108504327312E-3</v>
      </c>
    </row>
    <row r="1120" spans="23:35" x14ac:dyDescent="0.25">
      <c r="W1120">
        <v>1118</v>
      </c>
      <c r="X1120">
        <v>59.461898121902536</v>
      </c>
      <c r="Y1120">
        <v>-7.8618981219025343</v>
      </c>
      <c r="Z1120">
        <v>60.078662580261138</v>
      </c>
      <c r="AA1120">
        <v>4.3056397816858702E-2</v>
      </c>
      <c r="AB1120">
        <v>73.900000000000006</v>
      </c>
      <c r="AC1120">
        <v>-1.7262996894247766</v>
      </c>
      <c r="AD1120">
        <v>-1.0650452146141955</v>
      </c>
      <c r="AE1120">
        <v>0.51949065710188069</v>
      </c>
      <c r="AF1120">
        <v>7.2743130478440166E-2</v>
      </c>
      <c r="AG1120">
        <v>-1.1060328235501364</v>
      </c>
      <c r="AH1120">
        <v>0.52416112684977789</v>
      </c>
      <c r="AI1120">
        <v>5.3315741494350463E-3</v>
      </c>
    </row>
    <row r="1121" spans="23:35" x14ac:dyDescent="0.25">
      <c r="W1121">
        <v>1119</v>
      </c>
      <c r="X1121">
        <v>54.761833659271751</v>
      </c>
      <c r="Y1121">
        <v>4.2381663407282488</v>
      </c>
      <c r="Z1121">
        <v>54.390352791181328</v>
      </c>
      <c r="AA1121">
        <v>0.15039417828987264</v>
      </c>
      <c r="AB1121">
        <v>73.900000000000006</v>
      </c>
      <c r="AC1121">
        <v>-1.0386467129748296</v>
      </c>
      <c r="AD1121">
        <v>0.57414109289414883</v>
      </c>
      <c r="AE1121">
        <v>0.5230083444108985</v>
      </c>
      <c r="AF1121">
        <v>8.0587700373196541E-2</v>
      </c>
      <c r="AG1121">
        <v>0.59877474848498025</v>
      </c>
      <c r="AH1121">
        <v>0.52661673796826403</v>
      </c>
      <c r="AI1121">
        <v>1.7458740210272083E-3</v>
      </c>
    </row>
    <row r="1122" spans="23:35" x14ac:dyDescent="0.25">
      <c r="W1122">
        <v>1120</v>
      </c>
      <c r="X1122">
        <v>54.574967939924967</v>
      </c>
      <c r="Y1122">
        <v>0.4250320600750328</v>
      </c>
      <c r="Z1122">
        <v>54.536432926257476</v>
      </c>
      <c r="AA1122">
        <v>8.1261370527592483E-2</v>
      </c>
      <c r="AB1122">
        <v>73.900000000000006</v>
      </c>
      <c r="AC1122">
        <v>-1.4067868590764927</v>
      </c>
      <c r="AD1122">
        <v>5.7578762103188047E-2</v>
      </c>
      <c r="AE1122">
        <v>0.52558944213807623</v>
      </c>
      <c r="AF1122">
        <v>8.3127158614586208E-2</v>
      </c>
      <c r="AG1122">
        <v>6.0132293604878477E-2</v>
      </c>
      <c r="AH1122">
        <v>0.52744413039841276</v>
      </c>
      <c r="AI1122">
        <v>1.8212805968795028E-5</v>
      </c>
    </row>
    <row r="1123" spans="23:35" x14ac:dyDescent="0.25">
      <c r="W1123">
        <v>1121</v>
      </c>
      <c r="X1123">
        <v>51.664885271240394</v>
      </c>
      <c r="Y1123">
        <v>-1.8648852712403965</v>
      </c>
      <c r="Z1123">
        <v>51.85585530962927</v>
      </c>
      <c r="AA1123">
        <v>3.3353547604608853E-2</v>
      </c>
      <c r="AB1123">
        <v>74</v>
      </c>
      <c r="AC1123">
        <v>-1.8544489690938102</v>
      </c>
      <c r="AD1123">
        <v>-0.25263455505811544</v>
      </c>
      <c r="AE1123">
        <v>0.52588474745336544</v>
      </c>
      <c r="AF1123">
        <v>9.2890797078180931E-2</v>
      </c>
      <c r="AG1123">
        <v>-0.26525462562753294</v>
      </c>
      <c r="AH1123">
        <v>0.53021191394740819</v>
      </c>
      <c r="AI1123">
        <v>4.0028244463834135E-4</v>
      </c>
    </row>
    <row r="1124" spans="23:35" x14ac:dyDescent="0.25">
      <c r="W1124">
        <v>1122</v>
      </c>
      <c r="X1124">
        <v>56.245554049666623</v>
      </c>
      <c r="Y1124">
        <v>-7.0455540496666202</v>
      </c>
      <c r="Z1124">
        <v>58.064247505606815</v>
      </c>
      <c r="AA1124">
        <v>2.7895694360218316E-2</v>
      </c>
      <c r="AB1124">
        <v>74</v>
      </c>
      <c r="AC1124">
        <v>-1.9270603903023944</v>
      </c>
      <c r="AD1124">
        <v>-0.95445571903279947</v>
      </c>
      <c r="AE1124">
        <v>0.52768259888253322</v>
      </c>
      <c r="AF1124">
        <v>0.20517178190137747</v>
      </c>
      <c r="AG1124">
        <v>-1.0705800496686364</v>
      </c>
      <c r="AH1124">
        <v>0.53049480385704562</v>
      </c>
      <c r="AI1124">
        <v>1.6436530127549559E-2</v>
      </c>
    </row>
    <row r="1125" spans="23:35" x14ac:dyDescent="0.25">
      <c r="W1125">
        <v>1123</v>
      </c>
      <c r="X1125">
        <v>61.714781732157405</v>
      </c>
      <c r="Y1125">
        <v>4.4852182678425976</v>
      </c>
      <c r="Z1125">
        <v>61.622734315941372</v>
      </c>
      <c r="AA1125">
        <v>0.3171619163129169</v>
      </c>
      <c r="AB1125">
        <v>74</v>
      </c>
      <c r="AC1125">
        <v>-0.48332360885611292</v>
      </c>
      <c r="AD1125">
        <v>0.60760902502129244</v>
      </c>
      <c r="AE1125">
        <v>0.52958164071126534</v>
      </c>
      <c r="AF1125">
        <v>2.010969486359716E-2</v>
      </c>
      <c r="AG1125">
        <v>0.61381215676156176</v>
      </c>
      <c r="AH1125">
        <v>0.53136358605727474</v>
      </c>
      <c r="AI1125">
        <v>4.2956262333306141E-4</v>
      </c>
    </row>
    <row r="1126" spans="23:35" x14ac:dyDescent="0.25">
      <c r="W1126">
        <v>1124</v>
      </c>
      <c r="X1126">
        <v>58.465386278016055</v>
      </c>
      <c r="Y1126">
        <v>7.5346137219839449</v>
      </c>
      <c r="Z1126">
        <v>57.819143990295828</v>
      </c>
      <c r="AA1126">
        <v>0.31109763493026077</v>
      </c>
      <c r="AB1126">
        <v>74</v>
      </c>
      <c r="AC1126">
        <v>-0.50738317096904828</v>
      </c>
      <c r="AD1126">
        <v>1.0207082518926764</v>
      </c>
      <c r="AE1126">
        <v>0.53078673617163119</v>
      </c>
      <c r="AF1126">
        <v>7.8994458153725425E-2</v>
      </c>
      <c r="AG1126">
        <v>1.0635808376320544</v>
      </c>
      <c r="AH1126">
        <v>0.53393762812660495</v>
      </c>
      <c r="AI1126">
        <v>5.3901752327719299E-3</v>
      </c>
    </row>
    <row r="1127" spans="23:35" x14ac:dyDescent="0.25">
      <c r="W1127">
        <v>1125</v>
      </c>
      <c r="X1127">
        <v>58.179489022184875</v>
      </c>
      <c r="Y1127">
        <v>7.5205109778151282</v>
      </c>
      <c r="Z1127">
        <v>57.533420596367861</v>
      </c>
      <c r="AA1127">
        <v>0.29654335961188599</v>
      </c>
      <c r="AB1127">
        <v>74</v>
      </c>
      <c r="AC1127">
        <v>-0.54051528578164909</v>
      </c>
      <c r="AD1127">
        <v>1.0187977641253418</v>
      </c>
      <c r="AE1127">
        <v>0.53329966417082642</v>
      </c>
      <c r="AF1127">
        <v>7.9111264812985485E-2</v>
      </c>
      <c r="AG1127">
        <v>1.0616574286264724</v>
      </c>
      <c r="AH1127">
        <v>0.53536720878905852</v>
      </c>
      <c r="AI1127">
        <v>5.3793210939664972E-3</v>
      </c>
    </row>
    <row r="1128" spans="23:35" x14ac:dyDescent="0.25">
      <c r="W1128">
        <v>1126</v>
      </c>
      <c r="X1128">
        <v>49.527795063854555</v>
      </c>
      <c r="Y1128">
        <v>15.972204936145445</v>
      </c>
      <c r="Z1128">
        <v>49.193630733922909</v>
      </c>
      <c r="AA1128">
        <v>0.28987265009096425</v>
      </c>
      <c r="AB1128">
        <v>74</v>
      </c>
      <c r="AC1128">
        <v>-0.56174840893422073</v>
      </c>
      <c r="AD1128">
        <v>2.1637421612838637</v>
      </c>
      <c r="AE1128">
        <v>0.53363068727988106</v>
      </c>
      <c r="AF1128">
        <v>2.0492871495730293E-2</v>
      </c>
      <c r="AG1128">
        <v>2.1862594869655529</v>
      </c>
      <c r="AH1128">
        <v>0.53784766227991887</v>
      </c>
      <c r="AI1128">
        <v>5.555538028548559E-3</v>
      </c>
    </row>
    <row r="1129" spans="23:35" x14ac:dyDescent="0.25">
      <c r="W1129">
        <v>1127</v>
      </c>
      <c r="X1129">
        <v>52.985488265860887</v>
      </c>
      <c r="Y1129">
        <v>12.114511734139107</v>
      </c>
      <c r="Z1129">
        <v>52.623024023519051</v>
      </c>
      <c r="AA1129">
        <v>0.27713765918738631</v>
      </c>
      <c r="AB1129">
        <v>74</v>
      </c>
      <c r="AC1129">
        <v>-0.60317578841021124</v>
      </c>
      <c r="AD1129">
        <v>1.6411434681259953</v>
      </c>
      <c r="AE1129">
        <v>0.53552674165388126</v>
      </c>
      <c r="AF1129">
        <v>2.905064841233004E-2</v>
      </c>
      <c r="AG1129">
        <v>1.6655138960866867</v>
      </c>
      <c r="AH1129">
        <v>0.53921629349929867</v>
      </c>
      <c r="AI1129">
        <v>4.6108741668064272E-3</v>
      </c>
    </row>
    <row r="1130" spans="23:35" x14ac:dyDescent="0.25">
      <c r="W1130">
        <v>1128</v>
      </c>
      <c r="X1130">
        <v>46.308961550560525</v>
      </c>
      <c r="Y1130">
        <v>18.491038449439472</v>
      </c>
      <c r="Z1130">
        <v>45.611552023897431</v>
      </c>
      <c r="AA1130">
        <v>0.26440266828380837</v>
      </c>
      <c r="AB1130">
        <v>74</v>
      </c>
      <c r="AC1130">
        <v>-0.63633155866502356</v>
      </c>
      <c r="AD1130">
        <v>2.504966575305458</v>
      </c>
      <c r="AE1130">
        <v>0.53594531755238506</v>
      </c>
      <c r="AF1130">
        <v>3.6345280636123044E-2</v>
      </c>
      <c r="AG1130">
        <v>2.5517681294508523</v>
      </c>
      <c r="AH1130">
        <v>0.53987761899699072</v>
      </c>
      <c r="AI1130">
        <v>1.3643835882061634E-2</v>
      </c>
    </row>
    <row r="1131" spans="23:35" x14ac:dyDescent="0.25">
      <c r="W1131">
        <v>1129</v>
      </c>
      <c r="X1131">
        <v>47.371351433417544</v>
      </c>
      <c r="Y1131">
        <v>17.22864856658245</v>
      </c>
      <c r="Z1131">
        <v>45.679085942575348</v>
      </c>
      <c r="AA1131">
        <v>0.25773195876288657</v>
      </c>
      <c r="AB1131">
        <v>74</v>
      </c>
      <c r="AC1131">
        <v>-0.66071795340131467</v>
      </c>
      <c r="AD1131">
        <v>2.3339516012028825</v>
      </c>
      <c r="AE1131">
        <v>0.53696128614794958</v>
      </c>
      <c r="AF1131">
        <v>8.9438886816260527E-2</v>
      </c>
      <c r="AG1131">
        <v>2.4458921111985545</v>
      </c>
      <c r="AH1131">
        <v>0.54032505726692803</v>
      </c>
      <c r="AI1131">
        <v>3.2645202997414045E-2</v>
      </c>
    </row>
    <row r="1132" spans="23:35" x14ac:dyDescent="0.25">
      <c r="W1132">
        <v>1130</v>
      </c>
      <c r="X1132">
        <v>51.388949615492351</v>
      </c>
      <c r="Y1132">
        <v>13.011050384507655</v>
      </c>
      <c r="Z1132">
        <v>50.163408590687872</v>
      </c>
      <c r="AA1132">
        <v>0.25227410551849605</v>
      </c>
      <c r="AB1132">
        <v>74.099999999999994</v>
      </c>
      <c r="AC1132">
        <v>-0.67401274003943057</v>
      </c>
      <c r="AD1132">
        <v>1.7625968607401217</v>
      </c>
      <c r="AE1132">
        <v>0.53725185332853953</v>
      </c>
      <c r="AF1132">
        <v>8.6083879881728997E-2</v>
      </c>
      <c r="AG1132">
        <v>1.843740618205139</v>
      </c>
      <c r="AH1132">
        <v>0.5408437594118739</v>
      </c>
      <c r="AI1132">
        <v>1.7788635526630823E-2</v>
      </c>
    </row>
    <row r="1133" spans="23:35" x14ac:dyDescent="0.25">
      <c r="W1133">
        <v>1131</v>
      </c>
      <c r="X1133">
        <v>62.272128455730396</v>
      </c>
      <c r="Y1133">
        <v>1.9278715442696068</v>
      </c>
      <c r="Z1133">
        <v>62.225252067185409</v>
      </c>
      <c r="AA1133">
        <v>0.24560339599757428</v>
      </c>
      <c r="AB1133">
        <v>74.099999999999994</v>
      </c>
      <c r="AC1133">
        <v>-0.69708605805955215</v>
      </c>
      <c r="AD1133">
        <v>0.26116725640275074</v>
      </c>
      <c r="AE1133">
        <v>0.53830878459940135</v>
      </c>
      <c r="AF1133">
        <v>2.3737909920570677E-2</v>
      </c>
      <c r="AG1133">
        <v>0.26432334042495181</v>
      </c>
      <c r="AH1133">
        <v>0.54108658283580413</v>
      </c>
      <c r="AI1133">
        <v>9.4378827008653057E-5</v>
      </c>
    </row>
    <row r="1134" spans="23:35" x14ac:dyDescent="0.25">
      <c r="W1134">
        <v>1132</v>
      </c>
      <c r="X1134">
        <v>57.132156170469123</v>
      </c>
      <c r="Y1134">
        <v>5.7678438295308752</v>
      </c>
      <c r="Z1134">
        <v>56.944712285254255</v>
      </c>
      <c r="AA1134">
        <v>0.21710127349909036</v>
      </c>
      <c r="AB1134">
        <v>74.099999999999994</v>
      </c>
      <c r="AC1134">
        <v>-0.78926429572475043</v>
      </c>
      <c r="AD1134">
        <v>0.78136531077272464</v>
      </c>
      <c r="AE1134">
        <v>0.54333644684408422</v>
      </c>
      <c r="AF1134">
        <v>3.147520223930509E-2</v>
      </c>
      <c r="AG1134">
        <v>0.79396023968644958</v>
      </c>
      <c r="AH1134">
        <v>0.54381245316552196</v>
      </c>
      <c r="AI1134">
        <v>1.1381061962528599E-3</v>
      </c>
    </row>
    <row r="1135" spans="23:35" x14ac:dyDescent="0.25">
      <c r="W1135">
        <v>1133</v>
      </c>
      <c r="X1135">
        <v>56.863968470860307</v>
      </c>
      <c r="Y1135">
        <v>6.8360315291396958</v>
      </c>
      <c r="Z1135">
        <v>56.684597514271971</v>
      </c>
      <c r="AA1135">
        <v>0.23408126137052759</v>
      </c>
      <c r="AB1135">
        <v>74.099999999999994</v>
      </c>
      <c r="AC1135">
        <v>-0.73042509746273321</v>
      </c>
      <c r="AD1135">
        <v>0.92607186638283612</v>
      </c>
      <c r="AE1135">
        <v>0.54420858569422936</v>
      </c>
      <c r="AF1135">
        <v>2.5568163331076532E-2</v>
      </c>
      <c r="AG1135">
        <v>0.93814281841045544</v>
      </c>
      <c r="AH1135">
        <v>0.54590749734172406</v>
      </c>
      <c r="AI1135">
        <v>1.282961070949634E-3</v>
      </c>
    </row>
    <row r="1136" spans="23:35" x14ac:dyDescent="0.25">
      <c r="W1136">
        <v>1134</v>
      </c>
      <c r="X1136">
        <v>57.315683952760061</v>
      </c>
      <c r="Y1136">
        <v>6.184316047239939</v>
      </c>
      <c r="Z1136">
        <v>57.159246741714995</v>
      </c>
      <c r="AA1136">
        <v>0.23226197695573075</v>
      </c>
      <c r="AB1136">
        <v>74.099999999999994</v>
      </c>
      <c r="AC1136">
        <v>-0.74038552290047832</v>
      </c>
      <c r="AD1136">
        <v>0.83778447769821263</v>
      </c>
      <c r="AE1136">
        <v>0.54601084300394565</v>
      </c>
      <c r="AF1136">
        <v>2.4671707709278835E-2</v>
      </c>
      <c r="AG1136">
        <v>0.8483145157086418</v>
      </c>
      <c r="AH1136">
        <v>0.54711742372892413</v>
      </c>
      <c r="AI1136">
        <v>1.0113225254089421E-3</v>
      </c>
    </row>
    <row r="1137" spans="23:35" x14ac:dyDescent="0.25">
      <c r="W1137">
        <v>1135</v>
      </c>
      <c r="X1137">
        <v>62.242024918848678</v>
      </c>
      <c r="Y1137">
        <v>15.357975081151316</v>
      </c>
      <c r="Z1137">
        <v>62.031175710284892</v>
      </c>
      <c r="AA1137">
        <v>0.8483929654335961</v>
      </c>
      <c r="AB1137">
        <v>74.099999999999994</v>
      </c>
      <c r="AC1137">
        <v>1.0205681915260707</v>
      </c>
      <c r="AD1137">
        <v>2.0805329212770292</v>
      </c>
      <c r="AE1137">
        <v>0.54625420060801644</v>
      </c>
      <c r="AF1137">
        <v>1.3543039900776099E-2</v>
      </c>
      <c r="AG1137">
        <v>2.0947660253568698</v>
      </c>
      <c r="AH1137">
        <v>0.55009981659543994</v>
      </c>
      <c r="AI1137">
        <v>3.3468523590342307E-3</v>
      </c>
    </row>
    <row r="1138" spans="23:35" x14ac:dyDescent="0.25">
      <c r="W1138">
        <v>1136</v>
      </c>
      <c r="X1138">
        <v>66.708805577532502</v>
      </c>
      <c r="Y1138">
        <v>10.791194422467498</v>
      </c>
      <c r="Z1138">
        <v>66.528425888812208</v>
      </c>
      <c r="AA1138">
        <v>0.84596725288053365</v>
      </c>
      <c r="AB1138">
        <v>74.099999999999994</v>
      </c>
      <c r="AC1138">
        <v>1.0129215482717411</v>
      </c>
      <c r="AD1138">
        <v>1.4618747027008203</v>
      </c>
      <c r="AE1138">
        <v>0.54774811232446885</v>
      </c>
      <c r="AF1138">
        <v>1.644063895410942E-2</v>
      </c>
      <c r="AG1138">
        <v>1.4740420158490055</v>
      </c>
      <c r="AH1138">
        <v>0.5515245946907319</v>
      </c>
      <c r="AI1138">
        <v>2.017740616737736E-3</v>
      </c>
    </row>
    <row r="1139" spans="23:35" x14ac:dyDescent="0.25">
      <c r="W1139">
        <v>1137</v>
      </c>
      <c r="X1139">
        <v>71.637654021063852</v>
      </c>
      <c r="Y1139">
        <v>5.5623459789361505</v>
      </c>
      <c r="Z1139">
        <v>71.621252643191369</v>
      </c>
      <c r="AA1139">
        <v>0.84111582777440874</v>
      </c>
      <c r="AB1139">
        <v>74.099999999999994</v>
      </c>
      <c r="AC1139">
        <v>0.99032898964496086</v>
      </c>
      <c r="AD1139">
        <v>0.7535266770234933</v>
      </c>
      <c r="AE1139">
        <v>0.54900022844869112</v>
      </c>
      <c r="AF1139">
        <v>2.9399750201019874E-3</v>
      </c>
      <c r="AG1139">
        <v>0.75463680022866675</v>
      </c>
      <c r="AH1139">
        <v>0.55188234059870134</v>
      </c>
      <c r="AI1139">
        <v>9.328800180011353E-5</v>
      </c>
    </row>
    <row r="1140" spans="23:35" x14ac:dyDescent="0.25">
      <c r="W1140">
        <v>1138</v>
      </c>
      <c r="X1140">
        <v>73.765448478845087</v>
      </c>
      <c r="Y1140">
        <v>3.5345515211549099</v>
      </c>
      <c r="Z1140">
        <v>73.757593267424369</v>
      </c>
      <c r="AA1140">
        <v>0.84414796846573681</v>
      </c>
      <c r="AB1140">
        <v>74.099999999999994</v>
      </c>
      <c r="AC1140">
        <v>1.0003070916314494</v>
      </c>
      <c r="AD1140">
        <v>0.47882294136144121</v>
      </c>
      <c r="AE1140">
        <v>0.55323727356431562</v>
      </c>
      <c r="AF1140">
        <v>2.2174786843332816E-3</v>
      </c>
      <c r="AG1140">
        <v>0.47935471575686006</v>
      </c>
      <c r="AH1140">
        <v>0.55560727073301219</v>
      </c>
      <c r="AI1140">
        <v>2.8370374273435064E-5</v>
      </c>
    </row>
    <row r="1141" spans="23:35" x14ac:dyDescent="0.25">
      <c r="W1141">
        <v>1139</v>
      </c>
      <c r="X1141">
        <v>75.065996047679988</v>
      </c>
      <c r="Y1141">
        <v>1.4340039523200119</v>
      </c>
      <c r="Z1141">
        <v>75.062680502320418</v>
      </c>
      <c r="AA1141">
        <v>0.82049727107337778</v>
      </c>
      <c r="AB1141">
        <v>74.099999999999994</v>
      </c>
      <c r="AC1141">
        <v>0.91148934236618206</v>
      </c>
      <c r="AD1141">
        <v>0.19426339841537896</v>
      </c>
      <c r="AE1141">
        <v>0.55329694015662123</v>
      </c>
      <c r="AF1141">
        <v>2.3067559891350835E-3</v>
      </c>
      <c r="AG1141">
        <v>0.19448784592822529</v>
      </c>
      <c r="AH1141">
        <v>0.55562453944590606</v>
      </c>
      <c r="AI1141">
        <v>4.858666085360938E-6</v>
      </c>
    </row>
    <row r="1142" spans="23:35" x14ac:dyDescent="0.25">
      <c r="W1142">
        <v>1140</v>
      </c>
      <c r="X1142">
        <v>72.789225872863923</v>
      </c>
      <c r="Y1142">
        <v>4.0107741271360737</v>
      </c>
      <c r="Z1142">
        <v>72.782195274657454</v>
      </c>
      <c r="AA1142">
        <v>0.82838083687083086</v>
      </c>
      <c r="AB1142">
        <v>74.099999999999994</v>
      </c>
      <c r="AC1142">
        <v>0.93712127394454448</v>
      </c>
      <c r="AD1142">
        <v>0.54333644684408422</v>
      </c>
      <c r="AE1142">
        <v>0.55462791474494477</v>
      </c>
      <c r="AF1142">
        <v>1.7498606047542582E-3</v>
      </c>
      <c r="AG1142">
        <v>0.54381245316552196</v>
      </c>
      <c r="AH1142">
        <v>0.55781453045069262</v>
      </c>
      <c r="AI1142">
        <v>2.8799826167273692E-5</v>
      </c>
    </row>
    <row r="1143" spans="23:35" x14ac:dyDescent="0.25">
      <c r="W1143">
        <v>1141</v>
      </c>
      <c r="X1143">
        <v>72.18111283327724</v>
      </c>
      <c r="Y1143">
        <v>4.3188871667227602</v>
      </c>
      <c r="Z1143">
        <v>72.174847015145772</v>
      </c>
      <c r="AA1143">
        <v>0.82049727107337778</v>
      </c>
      <c r="AB1143">
        <v>74.099999999999994</v>
      </c>
      <c r="AC1143">
        <v>0.91148934236618206</v>
      </c>
      <c r="AD1143">
        <v>0.5850762803148114</v>
      </c>
      <c r="AE1143">
        <v>0.55465210881446325</v>
      </c>
      <c r="AF1143">
        <v>1.4486928331589187E-3</v>
      </c>
      <c r="AG1143">
        <v>0.58550053924322498</v>
      </c>
      <c r="AH1143">
        <v>0.55981319321640088</v>
      </c>
      <c r="AI1143">
        <v>2.7630453990197911E-5</v>
      </c>
    </row>
    <row r="1144" spans="23:35" x14ac:dyDescent="0.25">
      <c r="W1144">
        <v>1142</v>
      </c>
      <c r="X1144">
        <v>72.155401929157534</v>
      </c>
      <c r="Y1144">
        <v>4.2445980708424713</v>
      </c>
      <c r="Z1144">
        <v>72.14838513292392</v>
      </c>
      <c r="AA1144">
        <v>0.81867798665858094</v>
      </c>
      <c r="AB1144">
        <v>74.099999999999994</v>
      </c>
      <c r="AC1144">
        <v>0.90460220385671419</v>
      </c>
      <c r="AD1144">
        <v>0.57501239436278007</v>
      </c>
      <c r="AE1144">
        <v>0.55624312449842483</v>
      </c>
      <c r="AF1144">
        <v>1.6503837842759162E-3</v>
      </c>
      <c r="AG1144">
        <v>0.5754874780622552</v>
      </c>
      <c r="AH1144">
        <v>0.55993208685928653</v>
      </c>
      <c r="AI1144">
        <v>3.0415961099952132E-5</v>
      </c>
    </row>
    <row r="1145" spans="23:35" x14ac:dyDescent="0.25">
      <c r="W1145">
        <v>1143</v>
      </c>
      <c r="X1145">
        <v>73.971762830478838</v>
      </c>
      <c r="Y1145">
        <v>2.2282371695211651</v>
      </c>
      <c r="Z1145">
        <v>73.968336575870694</v>
      </c>
      <c r="AA1145">
        <v>0.81322013341419042</v>
      </c>
      <c r="AB1145">
        <v>74.2</v>
      </c>
      <c r="AC1145">
        <v>0.88194836619248052</v>
      </c>
      <c r="AD1145">
        <v>0.30185755368828188</v>
      </c>
      <c r="AE1145">
        <v>0.55709483132538917</v>
      </c>
      <c r="AF1145">
        <v>1.5352918236245759E-3</v>
      </c>
      <c r="AG1145">
        <v>0.30208954056518939</v>
      </c>
      <c r="AH1145">
        <v>0.5603321588941389</v>
      </c>
      <c r="AI1145">
        <v>7.7957354073433092E-6</v>
      </c>
    </row>
    <row r="1146" spans="23:35" x14ac:dyDescent="0.25">
      <c r="W1146">
        <v>1144</v>
      </c>
      <c r="X1146">
        <v>69.552823669648944</v>
      </c>
      <c r="Y1146">
        <v>6.2471763303510528</v>
      </c>
      <c r="Z1146">
        <v>69.514527577754976</v>
      </c>
      <c r="AA1146">
        <v>0.79624014554275313</v>
      </c>
      <c r="AB1146">
        <v>74.2</v>
      </c>
      <c r="AC1146">
        <v>0.81442193874053515</v>
      </c>
      <c r="AD1146">
        <v>0.84630011128678218</v>
      </c>
      <c r="AE1146">
        <v>0.55722440474367729</v>
      </c>
      <c r="AF1146">
        <v>6.0927945142879632E-3</v>
      </c>
      <c r="AG1146">
        <v>0.84889011894038613</v>
      </c>
      <c r="AH1146">
        <v>0.56307572680435336</v>
      </c>
      <c r="AI1146">
        <v>2.4541502278247043E-4</v>
      </c>
    </row>
    <row r="1147" spans="23:35" x14ac:dyDescent="0.25">
      <c r="W1147">
        <v>1145</v>
      </c>
      <c r="X1147">
        <v>75.108542425423209</v>
      </c>
      <c r="Y1147">
        <v>0.69145757457678769</v>
      </c>
      <c r="Z1147">
        <v>75.107041947611819</v>
      </c>
      <c r="AA1147">
        <v>0.79624014554275313</v>
      </c>
      <c r="AB1147">
        <v>74.2</v>
      </c>
      <c r="AC1147">
        <v>0.81442193874053515</v>
      </c>
      <c r="AD1147">
        <v>9.3671219022809366E-2</v>
      </c>
      <c r="AE1147">
        <v>0.55773298764396084</v>
      </c>
      <c r="AF1147">
        <v>2.1653227150253336E-3</v>
      </c>
      <c r="AG1147">
        <v>9.3772798225571732E-2</v>
      </c>
      <c r="AH1147">
        <v>0.56392641562482193</v>
      </c>
      <c r="AI1147">
        <v>1.0600962190156972E-6</v>
      </c>
    </row>
    <row r="1148" spans="23:35" x14ac:dyDescent="0.25">
      <c r="W1148">
        <v>1146</v>
      </c>
      <c r="X1148">
        <v>74.16203011833035</v>
      </c>
      <c r="Y1148">
        <v>1.3379698816696504</v>
      </c>
      <c r="Z1148">
        <v>74.159268244350116</v>
      </c>
      <c r="AA1148">
        <v>0.78411158277744086</v>
      </c>
      <c r="AB1148">
        <v>74.2</v>
      </c>
      <c r="AC1148">
        <v>0.77276680816182786</v>
      </c>
      <c r="AD1148">
        <v>0.18125373766931249</v>
      </c>
      <c r="AE1148">
        <v>0.55859490739583939</v>
      </c>
      <c r="AF1148">
        <v>2.0599750610803035E-3</v>
      </c>
      <c r="AG1148">
        <v>0.18144071568615561</v>
      </c>
      <c r="AH1148">
        <v>0.56428711042662527</v>
      </c>
      <c r="AI1148">
        <v>3.7753265011290188E-6</v>
      </c>
    </row>
    <row r="1149" spans="23:35" x14ac:dyDescent="0.25">
      <c r="W1149">
        <v>1147</v>
      </c>
      <c r="X1149">
        <v>74.360617804592906</v>
      </c>
      <c r="Y1149">
        <v>1.3393821954070972</v>
      </c>
      <c r="Z1149">
        <v>74.357382308706207</v>
      </c>
      <c r="AA1149">
        <v>0.79199514857489384</v>
      </c>
      <c r="AB1149">
        <v>74.2</v>
      </c>
      <c r="AC1149">
        <v>0.80177968430189828</v>
      </c>
      <c r="AD1149">
        <v>0.18144506271121441</v>
      </c>
      <c r="AE1149">
        <v>0.56259080702968456</v>
      </c>
      <c r="AF1149">
        <v>2.4098415413963351E-3</v>
      </c>
      <c r="AG1149">
        <v>0.1816640855734018</v>
      </c>
      <c r="AH1149">
        <v>0.5675530974534474</v>
      </c>
      <c r="AI1149">
        <v>4.4289622607812E-6</v>
      </c>
    </row>
    <row r="1150" spans="23:35" x14ac:dyDescent="0.25">
      <c r="W1150">
        <v>1148</v>
      </c>
      <c r="X1150">
        <v>73.634890275145665</v>
      </c>
      <c r="Y1150">
        <v>1.8651097248543351</v>
      </c>
      <c r="Z1150">
        <v>73.631068612937241</v>
      </c>
      <c r="AA1150">
        <v>0.78411158277744086</v>
      </c>
      <c r="AB1150">
        <v>74.2</v>
      </c>
      <c r="AC1150">
        <v>0.77276680816182786</v>
      </c>
      <c r="AD1150">
        <v>0.25266496161435942</v>
      </c>
      <c r="AE1150">
        <v>0.56337957761103374</v>
      </c>
      <c r="AF1150">
        <v>2.044838154505217E-3</v>
      </c>
      <c r="AG1150">
        <v>0.25292368794906134</v>
      </c>
      <c r="AH1150">
        <v>0.56817837046013442</v>
      </c>
      <c r="AI1150">
        <v>7.282062760244234E-6</v>
      </c>
    </row>
    <row r="1151" spans="23:35" x14ac:dyDescent="0.25">
      <c r="W1151">
        <v>1149</v>
      </c>
      <c r="X1151">
        <v>60.208958246076023</v>
      </c>
      <c r="Y1151">
        <v>2.4910417539239802</v>
      </c>
      <c r="Z1151">
        <v>60.199035605873924</v>
      </c>
      <c r="AA1151">
        <v>0.21164342025469982</v>
      </c>
      <c r="AB1151">
        <v>74.2</v>
      </c>
      <c r="AC1151">
        <v>-0.80808466725232064</v>
      </c>
      <c r="AD1151">
        <v>0.33745948602789311</v>
      </c>
      <c r="AE1151">
        <v>0.56481237592732314</v>
      </c>
      <c r="AF1151">
        <v>3.9675255774944684E-3</v>
      </c>
      <c r="AG1151">
        <v>0.33813092422203556</v>
      </c>
      <c r="AH1151">
        <v>0.57262191212461389</v>
      </c>
      <c r="AI1151">
        <v>2.5301339547253772E-5</v>
      </c>
    </row>
    <row r="1152" spans="23:35" x14ac:dyDescent="0.25">
      <c r="W1152">
        <v>1150</v>
      </c>
      <c r="X1152">
        <v>57.443977017978924</v>
      </c>
      <c r="Y1152">
        <v>4.9560229820210751</v>
      </c>
      <c r="Z1152">
        <v>57.380446878581196</v>
      </c>
      <c r="AA1152">
        <v>0.20618556701030927</v>
      </c>
      <c r="AB1152">
        <v>74.2</v>
      </c>
      <c r="AC1152">
        <v>-0.8207920883323806</v>
      </c>
      <c r="AD1152">
        <v>0.67138857292164722</v>
      </c>
      <c r="AE1152">
        <v>0.56690827749137251</v>
      </c>
      <c r="AF1152">
        <v>1.2656532934504233E-2</v>
      </c>
      <c r="AG1152">
        <v>0.67567805945399806</v>
      </c>
      <c r="AH1152">
        <v>0.57466348915217424</v>
      </c>
      <c r="AI1152">
        <v>3.2512744047801786E-4</v>
      </c>
    </row>
    <row r="1153" spans="23:35" x14ac:dyDescent="0.25">
      <c r="W1153">
        <v>1151</v>
      </c>
      <c r="X1153">
        <v>60.949615261086443</v>
      </c>
      <c r="Y1153">
        <v>1.2503847389135601</v>
      </c>
      <c r="Z1153">
        <v>60.944512455147191</v>
      </c>
      <c r="AA1153">
        <v>0.20436628259551243</v>
      </c>
      <c r="AB1153">
        <v>74.2</v>
      </c>
      <c r="AC1153">
        <v>-0.8357870519497973</v>
      </c>
      <c r="AD1153">
        <v>0.16938864660386105</v>
      </c>
      <c r="AE1153">
        <v>0.56714653812151061</v>
      </c>
      <c r="AF1153">
        <v>4.0644018813021481E-3</v>
      </c>
      <c r="AG1153">
        <v>0.16973393125974773</v>
      </c>
      <c r="AH1153">
        <v>0.57468518780825539</v>
      </c>
      <c r="AI1153">
        <v>6.5317600646191098E-6</v>
      </c>
    </row>
    <row r="1154" spans="23:35" x14ac:dyDescent="0.25">
      <c r="W1154">
        <v>1152</v>
      </c>
      <c r="X1154">
        <v>59.468066744770596</v>
      </c>
      <c r="Y1154">
        <v>2.5319332552294043</v>
      </c>
      <c r="Z1154">
        <v>59.459460186677262</v>
      </c>
      <c r="AA1154">
        <v>0.19890842935112188</v>
      </c>
      <c r="AB1154">
        <v>74.2</v>
      </c>
      <c r="AC1154">
        <v>-0.85973834429501084</v>
      </c>
      <c r="AD1154">
        <v>0.34299902585764519</v>
      </c>
      <c r="AE1154">
        <v>0.57030675503437001</v>
      </c>
      <c r="AF1154">
        <v>3.3876887298523546E-3</v>
      </c>
      <c r="AG1154">
        <v>0.34358149315669739</v>
      </c>
      <c r="AH1154">
        <v>0.5754874780622552</v>
      </c>
      <c r="AI1154">
        <v>2.2292782145282876E-5</v>
      </c>
    </row>
    <row r="1155" spans="23:35" x14ac:dyDescent="0.25">
      <c r="W1155">
        <v>1153</v>
      </c>
      <c r="X1155">
        <v>57.36815221453827</v>
      </c>
      <c r="Y1155">
        <v>4.4318477854617271</v>
      </c>
      <c r="Z1155">
        <v>57.351774816566518</v>
      </c>
      <c r="AA1155">
        <v>0.19345057610673136</v>
      </c>
      <c r="AB1155">
        <v>74.2</v>
      </c>
      <c r="AC1155">
        <v>-0.873012700415573</v>
      </c>
      <c r="AD1155">
        <v>0.60037896734564788</v>
      </c>
      <c r="AE1155">
        <v>0.57267572204431194</v>
      </c>
      <c r="AF1155">
        <v>3.6817825753841004E-3</v>
      </c>
      <c r="AG1155">
        <v>0.60148726106903871</v>
      </c>
      <c r="AH1155">
        <v>0.57601761498256965</v>
      </c>
      <c r="AI1155">
        <v>7.4274618401795606E-5</v>
      </c>
    </row>
    <row r="1156" spans="23:35" x14ac:dyDescent="0.25">
      <c r="W1156">
        <v>1154</v>
      </c>
      <c r="X1156">
        <v>57.230218207414019</v>
      </c>
      <c r="Y1156">
        <v>4.3697817925859823</v>
      </c>
      <c r="Z1156">
        <v>57.214057421047265</v>
      </c>
      <c r="AA1156">
        <v>0.18920557913887204</v>
      </c>
      <c r="AB1156">
        <v>74.2</v>
      </c>
      <c r="AC1156">
        <v>-0.88869659543514345</v>
      </c>
      <c r="AD1156">
        <v>0.591970935636558</v>
      </c>
      <c r="AE1156">
        <v>0.57404186735865936</v>
      </c>
      <c r="AF1156">
        <v>3.6846780539967492E-3</v>
      </c>
      <c r="AG1156">
        <v>0.59306456999173129</v>
      </c>
      <c r="AH1156">
        <v>0.57652602478549198</v>
      </c>
      <c r="AI1156">
        <v>7.2266029333183779E-5</v>
      </c>
    </row>
    <row r="1157" spans="23:35" x14ac:dyDescent="0.25">
      <c r="W1157">
        <v>1155</v>
      </c>
      <c r="X1157">
        <v>52.206783476984654</v>
      </c>
      <c r="Y1157">
        <v>9.1932165230153444</v>
      </c>
      <c r="Z1157">
        <v>52.186248521521655</v>
      </c>
      <c r="AA1157">
        <v>0.18617343844754397</v>
      </c>
      <c r="AB1157">
        <v>74.2</v>
      </c>
      <c r="AC1157">
        <v>-0.90460220385671419</v>
      </c>
      <c r="AD1157">
        <v>1.245397881393588</v>
      </c>
      <c r="AE1157">
        <v>0.57414109289414883</v>
      </c>
      <c r="AF1157">
        <v>2.2287290373484846E-3</v>
      </c>
      <c r="AG1157">
        <v>1.2467880327393051</v>
      </c>
      <c r="AH1157">
        <v>0.57678434257459865</v>
      </c>
      <c r="AI1157">
        <v>1.9290301757380501E-4</v>
      </c>
    </row>
    <row r="1158" spans="23:35" x14ac:dyDescent="0.25">
      <c r="W1158">
        <v>1156</v>
      </c>
      <c r="X1158">
        <v>54.584227998762941</v>
      </c>
      <c r="Y1158">
        <v>6.5157720012370604</v>
      </c>
      <c r="Z1158">
        <v>54.559951251301811</v>
      </c>
      <c r="AA1158">
        <v>0.17889630078835658</v>
      </c>
      <c r="AB1158">
        <v>74.2</v>
      </c>
      <c r="AC1158">
        <v>-0.9277300733017374</v>
      </c>
      <c r="AD1158">
        <v>0.88268655760135306</v>
      </c>
      <c r="AE1158">
        <v>0.57501239436278007</v>
      </c>
      <c r="AF1158">
        <v>3.7120132271123794E-3</v>
      </c>
      <c r="AG1158">
        <v>0.88432940481032141</v>
      </c>
      <c r="AH1158">
        <v>0.57746732268248913</v>
      </c>
      <c r="AI1158">
        <v>1.6187517401211168E-4</v>
      </c>
    </row>
    <row r="1159" spans="23:35" x14ac:dyDescent="0.25">
      <c r="W1159">
        <v>1157</v>
      </c>
      <c r="X1159">
        <v>54.577493385714945</v>
      </c>
      <c r="Y1159">
        <v>13.422506614285055</v>
      </c>
      <c r="Z1159">
        <v>54.524953037627974</v>
      </c>
      <c r="AA1159">
        <v>0.38447543966040026</v>
      </c>
      <c r="AB1159">
        <v>74.3</v>
      </c>
      <c r="AC1159">
        <v>-0.31204933220437475</v>
      </c>
      <c r="AD1159">
        <v>1.8183365156876692</v>
      </c>
      <c r="AE1159">
        <v>0.57530749386748625</v>
      </c>
      <c r="AF1159">
        <v>3.8990845993849632E-3</v>
      </c>
      <c r="AG1159">
        <v>1.8218918399073061</v>
      </c>
      <c r="AH1159">
        <v>0.57774228841400366</v>
      </c>
      <c r="AI1159">
        <v>7.2182512599092055E-4</v>
      </c>
    </row>
    <row r="1160" spans="23:35" x14ac:dyDescent="0.25">
      <c r="W1160">
        <v>1158</v>
      </c>
      <c r="X1160">
        <v>50.330722026581384</v>
      </c>
      <c r="Y1160">
        <v>13.669277973418616</v>
      </c>
      <c r="Z1160">
        <v>50.293438002542032</v>
      </c>
      <c r="AA1160">
        <v>0.24075197089144937</v>
      </c>
      <c r="AB1160">
        <v>74.3</v>
      </c>
      <c r="AC1160">
        <v>-0.7126762947196924</v>
      </c>
      <c r="AD1160">
        <v>1.8517664394890017</v>
      </c>
      <c r="AE1160">
        <v>0.57542074474330962</v>
      </c>
      <c r="AF1160">
        <v>2.7201587127586783E-3</v>
      </c>
      <c r="AG1160">
        <v>1.8542901386114887</v>
      </c>
      <c r="AH1160">
        <v>0.58076324804591817</v>
      </c>
      <c r="AI1160">
        <v>5.210268164142324E-4</v>
      </c>
    </row>
    <row r="1161" spans="23:35" x14ac:dyDescent="0.25">
      <c r="W1161">
        <v>1159</v>
      </c>
      <c r="X1161">
        <v>48.824097669867058</v>
      </c>
      <c r="Y1161">
        <v>11.075902330132941</v>
      </c>
      <c r="Z1161">
        <v>48.691636216409172</v>
      </c>
      <c r="AA1161">
        <v>0.17404487568223165</v>
      </c>
      <c r="AB1161">
        <v>74.3</v>
      </c>
      <c r="AC1161">
        <v>-0.94897780985887348</v>
      </c>
      <c r="AD1161">
        <v>1.5004438611814088</v>
      </c>
      <c r="AE1161">
        <v>0.57630556801823773</v>
      </c>
      <c r="AF1161">
        <v>1.1818090134780416E-2</v>
      </c>
      <c r="AG1161">
        <v>1.5093894196932778</v>
      </c>
      <c r="AH1161">
        <v>0.58094151493366286</v>
      </c>
      <c r="AI1161">
        <v>1.5137023893318545E-3</v>
      </c>
    </row>
    <row r="1162" spans="23:35" x14ac:dyDescent="0.25">
      <c r="W1162">
        <v>1160</v>
      </c>
      <c r="X1162">
        <v>51.903252740234592</v>
      </c>
      <c r="Y1162">
        <v>7.6967472597654094</v>
      </c>
      <c r="Z1162">
        <v>51.863031991157413</v>
      </c>
      <c r="AA1162">
        <v>0.16616130988477865</v>
      </c>
      <c r="AB1162">
        <v>74.3</v>
      </c>
      <c r="AC1162">
        <v>-0.97554401628441823</v>
      </c>
      <c r="AD1162">
        <v>1.042672355963365</v>
      </c>
      <c r="AE1162">
        <v>0.57631986301934934</v>
      </c>
      <c r="AF1162">
        <v>5.1985156241060159E-3</v>
      </c>
      <c r="AG1162">
        <v>1.0453931428774657</v>
      </c>
      <c r="AH1162">
        <v>0.58207892755697277</v>
      </c>
      <c r="AI1162">
        <v>3.1727051824790399E-4</v>
      </c>
    </row>
    <row r="1163" spans="23:35" x14ac:dyDescent="0.25">
      <c r="W1163">
        <v>1161</v>
      </c>
      <c r="X1163">
        <v>50.580521167977111</v>
      </c>
      <c r="Y1163">
        <v>8.7194788320228866</v>
      </c>
      <c r="Z1163">
        <v>50.465941266660387</v>
      </c>
      <c r="AA1163">
        <v>0.16070345664038813</v>
      </c>
      <c r="AB1163">
        <v>74.3</v>
      </c>
      <c r="AC1163">
        <v>-1.0028172174115717</v>
      </c>
      <c r="AD1163">
        <v>1.1812210054088612</v>
      </c>
      <c r="AE1163">
        <v>0.57787815871926784</v>
      </c>
      <c r="AF1163">
        <v>1.2970244456752662E-2</v>
      </c>
      <c r="AG1163">
        <v>1.1889567002640926</v>
      </c>
      <c r="AH1163">
        <v>0.58550053924322498</v>
      </c>
      <c r="AI1163">
        <v>1.0319947510750124E-3</v>
      </c>
    </row>
    <row r="1164" spans="23:35" x14ac:dyDescent="0.25">
      <c r="W1164">
        <v>1162</v>
      </c>
      <c r="X1164">
        <v>48.053026376763526</v>
      </c>
      <c r="Y1164">
        <v>11.046973623236475</v>
      </c>
      <c r="Z1164">
        <v>47.988890943658348</v>
      </c>
      <c r="AA1164">
        <v>0.15342631898120074</v>
      </c>
      <c r="AB1164">
        <v>74.3</v>
      </c>
      <c r="AC1164">
        <v>-1.0334469496720613</v>
      </c>
      <c r="AD1164">
        <v>1.4965249117919195</v>
      </c>
      <c r="AE1164">
        <v>0.5800713417119514</v>
      </c>
      <c r="AF1164">
        <v>5.7721900469129318E-3</v>
      </c>
      <c r="AG1164">
        <v>1.5008628133458024</v>
      </c>
      <c r="AH1164">
        <v>0.58567223017787462</v>
      </c>
      <c r="AI1164">
        <v>7.2654782045695131E-4</v>
      </c>
    </row>
    <row r="1165" spans="23:35" x14ac:dyDescent="0.25">
      <c r="W1165">
        <v>1163</v>
      </c>
      <c r="X1165">
        <v>45.280285520078664</v>
      </c>
      <c r="Y1165">
        <v>13.619714479921335</v>
      </c>
      <c r="Z1165">
        <v>45.204789946569306</v>
      </c>
      <c r="AA1165">
        <v>0.14918132201334142</v>
      </c>
      <c r="AB1165">
        <v>74.3</v>
      </c>
      <c r="AC1165">
        <v>-1.0491313979639725</v>
      </c>
      <c r="AD1165">
        <v>1.8450521116319945</v>
      </c>
      <c r="AE1165">
        <v>0.58108787184846233</v>
      </c>
      <c r="AF1165">
        <v>5.5125531638299807E-3</v>
      </c>
      <c r="AG1165">
        <v>1.8501587080735822</v>
      </c>
      <c r="AH1165">
        <v>0.58567693901275664</v>
      </c>
      <c r="AI1165">
        <v>1.0541415906062184E-3</v>
      </c>
    </row>
    <row r="1166" spans="23:35" x14ac:dyDescent="0.25">
      <c r="W1166">
        <v>1164</v>
      </c>
      <c r="X1166">
        <v>76.037681308276973</v>
      </c>
      <c r="Y1166">
        <v>-2.1376813082769672</v>
      </c>
      <c r="Z1166">
        <v>76.047467908921902</v>
      </c>
      <c r="AA1166">
        <v>0.67919951485748942</v>
      </c>
      <c r="AB1166">
        <v>74.400000000000006</v>
      </c>
      <c r="AC1166">
        <v>0.43434378704136062</v>
      </c>
      <c r="AD1166">
        <v>-0.28959002170326287</v>
      </c>
      <c r="AE1166">
        <v>0.58491851976777931</v>
      </c>
      <c r="AF1166">
        <v>4.5572744553127953E-3</v>
      </c>
      <c r="AG1166">
        <v>-0.29025215631578632</v>
      </c>
      <c r="AH1166">
        <v>0.5857011589611506</v>
      </c>
      <c r="AI1166">
        <v>2.1427293159505901E-5</v>
      </c>
    </row>
    <row r="1167" spans="23:35" x14ac:dyDescent="0.25">
      <c r="W1167">
        <v>1165</v>
      </c>
      <c r="X1167">
        <v>61.26825776320316</v>
      </c>
      <c r="Y1167">
        <v>12.531742236796838</v>
      </c>
      <c r="Z1167">
        <v>61.078711249404627</v>
      </c>
      <c r="AA1167">
        <v>0.66767738023044265</v>
      </c>
      <c r="AB1167">
        <v>74.400000000000006</v>
      </c>
      <c r="AC1167">
        <v>0.4143837514429769</v>
      </c>
      <c r="AD1167">
        <v>1.6976653593228195</v>
      </c>
      <c r="AE1167">
        <v>0.5850762803148114</v>
      </c>
      <c r="AF1167">
        <v>1.4899945871416635E-2</v>
      </c>
      <c r="AG1167">
        <v>1.710456034390252</v>
      </c>
      <c r="AH1167">
        <v>0.59306456999173129</v>
      </c>
      <c r="AI1167">
        <v>2.4584176982639858E-3</v>
      </c>
    </row>
    <row r="1168" spans="23:35" x14ac:dyDescent="0.25">
      <c r="W1168">
        <v>1166</v>
      </c>
      <c r="X1168">
        <v>65.674611077140455</v>
      </c>
      <c r="Y1168">
        <v>7.9253889228595398</v>
      </c>
      <c r="Z1168">
        <v>65.645374089466941</v>
      </c>
      <c r="AA1168">
        <v>0.65433596118859916</v>
      </c>
      <c r="AB1168">
        <v>74.400000000000006</v>
      </c>
      <c r="AC1168">
        <v>0.3716850598056044</v>
      </c>
      <c r="AD1168">
        <v>1.0736462639642113</v>
      </c>
      <c r="AE1168">
        <v>0.591970935636558</v>
      </c>
      <c r="AF1168">
        <v>3.6754698463941598E-3</v>
      </c>
      <c r="AG1168">
        <v>1.0756247969008568</v>
      </c>
      <c r="AH1168">
        <v>0.59578262966251594</v>
      </c>
      <c r="AI1168">
        <v>2.371161568234155E-4</v>
      </c>
    </row>
    <row r="1169" spans="23:35" x14ac:dyDescent="0.25">
      <c r="W1169">
        <v>1167</v>
      </c>
      <c r="X1169">
        <v>70.324618767441066</v>
      </c>
      <c r="Y1169">
        <v>3.0753812325589394</v>
      </c>
      <c r="Z1169">
        <v>70.314094309640893</v>
      </c>
      <c r="AA1169">
        <v>0.63735597331716187</v>
      </c>
      <c r="AB1169">
        <v>74.400000000000006</v>
      </c>
      <c r="AC1169">
        <v>0.33286538375086522</v>
      </c>
      <c r="AD1169">
        <v>0.41661950003220999</v>
      </c>
      <c r="AE1169">
        <v>0.59242046279624438</v>
      </c>
      <c r="AF1169">
        <v>3.4104923663274118E-3</v>
      </c>
      <c r="AG1169">
        <v>0.41733176123419025</v>
      </c>
      <c r="AH1169">
        <v>0.59687905619114401</v>
      </c>
      <c r="AI1169">
        <v>3.3112436809778944E-5</v>
      </c>
    </row>
    <row r="1170" spans="23:35" x14ac:dyDescent="0.25">
      <c r="W1170">
        <v>1168</v>
      </c>
      <c r="X1170">
        <v>71.889525684447676</v>
      </c>
      <c r="Y1170">
        <v>1.3104743155523266</v>
      </c>
      <c r="Z1170">
        <v>71.886535028215249</v>
      </c>
      <c r="AA1170">
        <v>0.62340812613705276</v>
      </c>
      <c r="AB1170">
        <v>74.400000000000006</v>
      </c>
      <c r="AC1170">
        <v>0.29295400660571058</v>
      </c>
      <c r="AD1170">
        <v>0.17752893474484044</v>
      </c>
      <c r="AE1170">
        <v>0.59524997934554713</v>
      </c>
      <c r="AF1170">
        <v>2.2769211944565562E-3</v>
      </c>
      <c r="AG1170">
        <v>0.17773139023899459</v>
      </c>
      <c r="AH1170">
        <v>0.59761075870978064</v>
      </c>
      <c r="AI1170">
        <v>4.0049191435001612E-6</v>
      </c>
    </row>
    <row r="1171" spans="23:35" x14ac:dyDescent="0.25">
      <c r="W1171">
        <v>1169</v>
      </c>
      <c r="X1171">
        <v>70.237431654882073</v>
      </c>
      <c r="Y1171">
        <v>2.762568345117927</v>
      </c>
      <c r="Z1171">
        <v>70.23025168878651</v>
      </c>
      <c r="AA1171">
        <v>0.60946027895694366</v>
      </c>
      <c r="AB1171">
        <v>74.400000000000006</v>
      </c>
      <c r="AC1171">
        <v>0.22222871718700732</v>
      </c>
      <c r="AD1171">
        <v>0.37424298183356453</v>
      </c>
      <c r="AE1171">
        <v>0.59538563530854238</v>
      </c>
      <c r="AF1171">
        <v>2.5922810626841214E-3</v>
      </c>
      <c r="AG1171">
        <v>0.37472899845403995</v>
      </c>
      <c r="AH1171">
        <v>0.59877474848498025</v>
      </c>
      <c r="AI1171">
        <v>2.0275494819600592E-5</v>
      </c>
    </row>
    <row r="1172" spans="23:35" x14ac:dyDescent="0.25">
      <c r="W1172">
        <v>1170</v>
      </c>
      <c r="X1172">
        <v>68.891846078254559</v>
      </c>
      <c r="Y1172">
        <v>3.8081539217454434</v>
      </c>
      <c r="Z1172">
        <v>68.884965465008321</v>
      </c>
      <c r="AA1172">
        <v>0.57246816252274102</v>
      </c>
      <c r="AB1172">
        <v>74.400000000000006</v>
      </c>
      <c r="AC1172">
        <v>0.16337348484333708</v>
      </c>
      <c r="AD1172">
        <v>0.51588764544913379</v>
      </c>
      <c r="AE1172">
        <v>0.60037896734564788</v>
      </c>
      <c r="AF1172">
        <v>1.8035520211238968E-3</v>
      </c>
      <c r="AG1172">
        <v>0.51635349077895165</v>
      </c>
      <c r="AH1172">
        <v>0.60148726106903871</v>
      </c>
      <c r="AI1172">
        <v>2.6762974670259753E-5</v>
      </c>
    </row>
    <row r="1173" spans="23:35" x14ac:dyDescent="0.25">
      <c r="W1173">
        <v>1171</v>
      </c>
      <c r="X1173">
        <v>69.515542280248084</v>
      </c>
      <c r="Y1173">
        <v>2.9844577197519158</v>
      </c>
      <c r="Z1173">
        <v>69.511317372507662</v>
      </c>
      <c r="AA1173">
        <v>0.55852031534263191</v>
      </c>
      <c r="AB1173">
        <v>74.400000000000006</v>
      </c>
      <c r="AC1173">
        <v>0.12956927093944998</v>
      </c>
      <c r="AD1173">
        <v>0.4043021625763541</v>
      </c>
      <c r="AE1173">
        <v>0.60155701922845839</v>
      </c>
      <c r="AF1173">
        <v>1.4136354598361534E-3</v>
      </c>
      <c r="AG1173">
        <v>0.40458823384923381</v>
      </c>
      <c r="AH1173">
        <v>0.60261348386082514</v>
      </c>
      <c r="AI1173">
        <v>1.2873771337754789E-5</v>
      </c>
    </row>
    <row r="1174" spans="23:35" x14ac:dyDescent="0.25">
      <c r="W1174">
        <v>1172</v>
      </c>
      <c r="X1174">
        <v>70.276577690070951</v>
      </c>
      <c r="Y1174">
        <v>2.023422309929046</v>
      </c>
      <c r="Z1174">
        <v>70.273196673248265</v>
      </c>
      <c r="AA1174">
        <v>0.54578532443905392</v>
      </c>
      <c r="AB1174">
        <v>74.400000000000006</v>
      </c>
      <c r="AC1174">
        <v>9.896716322379942E-2</v>
      </c>
      <c r="AD1174">
        <v>0.27411144419816336</v>
      </c>
      <c r="AE1174">
        <v>0.60241683461612483</v>
      </c>
      <c r="AF1174">
        <v>1.6681523944897419E-3</v>
      </c>
      <c r="AG1174">
        <v>0.2743403604694275</v>
      </c>
      <c r="AH1174">
        <v>0.60529774544399284</v>
      </c>
      <c r="AI1174">
        <v>6.9866293231355404E-6</v>
      </c>
    </row>
    <row r="1175" spans="23:35" x14ac:dyDescent="0.25">
      <c r="W1175">
        <v>1173</v>
      </c>
      <c r="X1175">
        <v>70.200297871693266</v>
      </c>
      <c r="Y1175">
        <v>1.8997021283067284</v>
      </c>
      <c r="Z1175">
        <v>70.197055342601203</v>
      </c>
      <c r="AA1175">
        <v>0.5312310491206792</v>
      </c>
      <c r="AB1175">
        <v>74.400000000000006</v>
      </c>
      <c r="AC1175">
        <v>6.3887210036911155E-2</v>
      </c>
      <c r="AD1175">
        <v>0.25735116756459114</v>
      </c>
      <c r="AE1175">
        <v>0.60253945232657535</v>
      </c>
      <c r="AF1175">
        <v>1.7039534384042869E-3</v>
      </c>
      <c r="AG1175">
        <v>0.25757070536953647</v>
      </c>
      <c r="AH1175">
        <v>0.60615472970204287</v>
      </c>
      <c r="AI1175">
        <v>6.2909871993978677E-6</v>
      </c>
    </row>
    <row r="1176" spans="23:35" x14ac:dyDescent="0.25">
      <c r="W1176">
        <v>1174</v>
      </c>
      <c r="X1176">
        <v>67.041059532488646</v>
      </c>
      <c r="Y1176">
        <v>4.8589404675113599</v>
      </c>
      <c r="Z1176">
        <v>66.989852210588012</v>
      </c>
      <c r="AA1176">
        <v>0.51607034566403887</v>
      </c>
      <c r="AB1176">
        <v>74.400000000000006</v>
      </c>
      <c r="AC1176">
        <v>2.7365033500434649E-2</v>
      </c>
      <c r="AD1176">
        <v>0.65823688030263072</v>
      </c>
      <c r="AE1176">
        <v>0.60268027697925297</v>
      </c>
      <c r="AF1176">
        <v>1.0428875890671379E-2</v>
      </c>
      <c r="AG1176">
        <v>0.66169629768331806</v>
      </c>
      <c r="AH1176">
        <v>0.60660221185806384</v>
      </c>
      <c r="AI1176">
        <v>2.5635122046658069E-4</v>
      </c>
    </row>
    <row r="1177" spans="23:35" x14ac:dyDescent="0.25">
      <c r="W1177">
        <v>1175</v>
      </c>
      <c r="X1177">
        <v>68.955166104687066</v>
      </c>
      <c r="Y1177">
        <v>2.7448338953129365</v>
      </c>
      <c r="Z1177">
        <v>68.951187529054366</v>
      </c>
      <c r="AA1177">
        <v>0.50394178289872649</v>
      </c>
      <c r="AB1177">
        <v>74.400000000000006</v>
      </c>
      <c r="AC1177">
        <v>-4.5602855597810616E-3</v>
      </c>
      <c r="AD1177">
        <v>0.37184050973258415</v>
      </c>
      <c r="AE1177">
        <v>0.6031417250107699</v>
      </c>
      <c r="AF1177">
        <v>1.4473797957323974E-3</v>
      </c>
      <c r="AG1177">
        <v>0.37210989942028561</v>
      </c>
      <c r="AH1177">
        <v>0.6066260181202181</v>
      </c>
      <c r="AI1177">
        <v>1.1150170107993037E-5</v>
      </c>
    </row>
    <row r="1178" spans="23:35" x14ac:dyDescent="0.25">
      <c r="W1178">
        <v>1176</v>
      </c>
      <c r="X1178">
        <v>76.299531523232133</v>
      </c>
      <c r="Y1178">
        <v>-0.99953152323213601</v>
      </c>
      <c r="Z1178">
        <v>76.303578766183549</v>
      </c>
      <c r="AA1178">
        <v>0.77258944815039421</v>
      </c>
      <c r="AB1178">
        <v>74.400000000000006</v>
      </c>
      <c r="AC1178">
        <v>0.72844171022016913</v>
      </c>
      <c r="AD1178">
        <v>-0.13540575687551773</v>
      </c>
      <c r="AE1178">
        <v>0.60445021612886207</v>
      </c>
      <c r="AF1178">
        <v>4.0328104657006624E-3</v>
      </c>
      <c r="AG1178">
        <v>-0.13567961835475467</v>
      </c>
      <c r="AH1178">
        <v>0.60687511988106391</v>
      </c>
      <c r="AI1178">
        <v>4.1411360757991668E-6</v>
      </c>
    </row>
    <row r="1179" spans="23:35" x14ac:dyDescent="0.25">
      <c r="W1179">
        <v>1177</v>
      </c>
      <c r="X1179">
        <v>71.979340232199519</v>
      </c>
      <c r="Y1179">
        <v>3.3206597678004783</v>
      </c>
      <c r="Z1179">
        <v>71.972567070743466</v>
      </c>
      <c r="AA1179">
        <v>0.77258944815039421</v>
      </c>
      <c r="AB1179">
        <v>74.400000000000006</v>
      </c>
      <c r="AC1179">
        <v>0.72844171022016913</v>
      </c>
      <c r="AD1179">
        <v>0.44984719214371288</v>
      </c>
      <c r="AE1179">
        <v>0.60474548024872465</v>
      </c>
      <c r="AF1179">
        <v>2.0355516099212784E-3</v>
      </c>
      <c r="AG1179">
        <v>0.45030573589277489</v>
      </c>
      <c r="AH1179">
        <v>0.60779487374955876</v>
      </c>
      <c r="AI1179">
        <v>2.2977855853195155E-5</v>
      </c>
    </row>
    <row r="1180" spans="23:35" x14ac:dyDescent="0.25">
      <c r="W1180">
        <v>1178</v>
      </c>
      <c r="X1180">
        <v>74.051700599657792</v>
      </c>
      <c r="Y1180">
        <v>0.84829940034221352</v>
      </c>
      <c r="Z1180">
        <v>74.050269817879993</v>
      </c>
      <c r="AA1180">
        <v>0.74833232261976956</v>
      </c>
      <c r="AB1180">
        <v>74.5</v>
      </c>
      <c r="AC1180">
        <v>0.64941472986293525</v>
      </c>
      <c r="AD1180">
        <v>0.11491845898862015</v>
      </c>
      <c r="AE1180">
        <v>0.60531836218603341</v>
      </c>
      <c r="AF1180">
        <v>1.6838071753866302E-3</v>
      </c>
      <c r="AG1180">
        <v>0.11501533160481987</v>
      </c>
      <c r="AH1180">
        <v>0.60817424900072736</v>
      </c>
      <c r="AI1180">
        <v>1.2395475951075456E-6</v>
      </c>
    </row>
    <row r="1181" spans="23:35" x14ac:dyDescent="0.25">
      <c r="W1181">
        <v>1179</v>
      </c>
      <c r="X1181">
        <v>73.015170668410619</v>
      </c>
      <c r="Y1181">
        <v>1.4848293315893812</v>
      </c>
      <c r="Z1181">
        <v>73.012572947108112</v>
      </c>
      <c r="AA1181">
        <v>0.72407519708914492</v>
      </c>
      <c r="AB1181">
        <v>74.5</v>
      </c>
      <c r="AC1181">
        <v>0.56531175535073552</v>
      </c>
      <c r="AD1181">
        <v>0.20114867295499533</v>
      </c>
      <c r="AE1181">
        <v>0.60663209299276699</v>
      </c>
      <c r="AF1181">
        <v>1.7464529083644591E-3</v>
      </c>
      <c r="AG1181">
        <v>0.20132455170396504</v>
      </c>
      <c r="AH1181">
        <v>0.6107283556603178</v>
      </c>
      <c r="AI1181">
        <v>3.9394627109325221E-6</v>
      </c>
    </row>
    <row r="1182" spans="23:35" x14ac:dyDescent="0.25">
      <c r="W1182">
        <v>1180</v>
      </c>
      <c r="X1182">
        <v>71.767584827936844</v>
      </c>
      <c r="Y1182">
        <v>1.932415172063159</v>
      </c>
      <c r="Z1182">
        <v>71.762327388224449</v>
      </c>
      <c r="AA1182">
        <v>0.66040024257125529</v>
      </c>
      <c r="AB1182">
        <v>74.5</v>
      </c>
      <c r="AC1182">
        <v>0.39787592189543292</v>
      </c>
      <c r="AD1182">
        <v>0.26178277812072231</v>
      </c>
      <c r="AE1182">
        <v>0.60755340922884959</v>
      </c>
      <c r="AF1182">
        <v>2.7132755453340021E-3</v>
      </c>
      <c r="AG1182">
        <v>0.26213864686719351</v>
      </c>
      <c r="AH1182">
        <v>0.61251707169007441</v>
      </c>
      <c r="AI1182">
        <v>1.0386362215931853E-5</v>
      </c>
    </row>
    <row r="1183" spans="23:35" x14ac:dyDescent="0.25">
      <c r="W1183">
        <v>1181</v>
      </c>
      <c r="X1183">
        <v>72.014077396494386</v>
      </c>
      <c r="Y1183">
        <v>1.7859226035056111</v>
      </c>
      <c r="Z1183">
        <v>72.009893840359481</v>
      </c>
      <c r="AA1183">
        <v>0.66767738023044265</v>
      </c>
      <c r="AB1183">
        <v>74.5</v>
      </c>
      <c r="AC1183">
        <v>0.4143837514429769</v>
      </c>
      <c r="AD1183">
        <v>0.2419375439673952</v>
      </c>
      <c r="AE1183">
        <v>0.60760902502129244</v>
      </c>
      <c r="AF1183">
        <v>2.3370435950791327E-3</v>
      </c>
      <c r="AG1183">
        <v>0.24222074975615884</v>
      </c>
      <c r="AH1183">
        <v>0.61381215676156176</v>
      </c>
      <c r="AI1183">
        <v>7.6354238439694233E-6</v>
      </c>
    </row>
    <row r="1184" spans="23:35" x14ac:dyDescent="0.25">
      <c r="W1184">
        <v>1182</v>
      </c>
      <c r="X1184">
        <v>67.941299713625185</v>
      </c>
      <c r="Y1184">
        <v>5.9587002863748211</v>
      </c>
      <c r="Z1184">
        <v>67.900740956773859</v>
      </c>
      <c r="AA1184">
        <v>0.67919951485748942</v>
      </c>
      <c r="AB1184">
        <v>74.5</v>
      </c>
      <c r="AC1184">
        <v>0.43434378704136062</v>
      </c>
      <c r="AD1184">
        <v>0.8072204863153295</v>
      </c>
      <c r="AE1184">
        <v>0.61188970143021115</v>
      </c>
      <c r="AF1184">
        <v>6.760627697370061E-3</v>
      </c>
      <c r="AG1184">
        <v>0.80996305889940579</v>
      </c>
      <c r="AH1184">
        <v>0.61425608776369656</v>
      </c>
      <c r="AI1184">
        <v>2.4807957668647836E-4</v>
      </c>
    </row>
    <row r="1185" spans="23:35" x14ac:dyDescent="0.25">
      <c r="W1185">
        <v>1183</v>
      </c>
      <c r="X1185">
        <v>67.709614031803483</v>
      </c>
      <c r="Y1185">
        <v>6.2903859681965173</v>
      </c>
      <c r="Z1185">
        <v>67.666030135367649</v>
      </c>
      <c r="AA1185">
        <v>0.68465736810187994</v>
      </c>
      <c r="AB1185">
        <v>74.5</v>
      </c>
      <c r="AC1185">
        <v>0.4663087141536239</v>
      </c>
      <c r="AD1185">
        <v>0.8521536872679204</v>
      </c>
      <c r="AE1185">
        <v>0.61458725731091701</v>
      </c>
      <c r="AF1185">
        <v>6.8809762861671486E-3</v>
      </c>
      <c r="AG1185">
        <v>0.85510072957234762</v>
      </c>
      <c r="AH1185">
        <v>0.61583228101895315</v>
      </c>
      <c r="AI1185">
        <v>2.8145619288038665E-4</v>
      </c>
    </row>
    <row r="1186" spans="23:35" x14ac:dyDescent="0.25">
      <c r="W1186">
        <v>1184</v>
      </c>
      <c r="X1186">
        <v>71.647316620633944</v>
      </c>
      <c r="Y1186">
        <v>2.5526833793660586</v>
      </c>
      <c r="Z1186">
        <v>71.642008206738694</v>
      </c>
      <c r="AA1186">
        <v>0.7010309278350515</v>
      </c>
      <c r="AB1186">
        <v>74.5</v>
      </c>
      <c r="AC1186">
        <v>0.5039283835636299</v>
      </c>
      <c r="AD1186">
        <v>0.3458100290113017</v>
      </c>
      <c r="AE1186">
        <v>0.61596545903479472</v>
      </c>
      <c r="AF1186">
        <v>2.0752271016805158E-3</v>
      </c>
      <c r="AG1186">
        <v>0.34616940562131132</v>
      </c>
      <c r="AH1186">
        <v>0.61858710672173267</v>
      </c>
      <c r="AI1186">
        <v>1.384435370104312E-5</v>
      </c>
    </row>
    <row r="1187" spans="23:35" x14ac:dyDescent="0.25">
      <c r="W1187">
        <v>1185</v>
      </c>
      <c r="X1187">
        <v>69.005715889279656</v>
      </c>
      <c r="Y1187">
        <v>3.7942841107203407</v>
      </c>
      <c r="Z1187">
        <v>68.995013829219644</v>
      </c>
      <c r="AA1187">
        <v>0.58156458459672533</v>
      </c>
      <c r="AB1187">
        <v>74.5</v>
      </c>
      <c r="AC1187">
        <v>0.18343432307636306</v>
      </c>
      <c r="AD1187">
        <v>0.51400871295333672</v>
      </c>
      <c r="AE1187">
        <v>0.62821095529965321</v>
      </c>
      <c r="AF1187">
        <v>2.8126409872898505E-3</v>
      </c>
      <c r="AG1187">
        <v>0.51473310238449621</v>
      </c>
      <c r="AH1187">
        <v>0.63000202591291654</v>
      </c>
      <c r="AI1187">
        <v>4.1517312094936309E-5</v>
      </c>
    </row>
    <row r="1188" spans="23:35" x14ac:dyDescent="0.25">
      <c r="W1188">
        <v>1186</v>
      </c>
      <c r="X1188">
        <v>69.644535698638123</v>
      </c>
      <c r="Y1188">
        <v>2.5554643013618801</v>
      </c>
      <c r="Z1188">
        <v>69.639472412519765</v>
      </c>
      <c r="AA1188">
        <v>0.53911461491813217</v>
      </c>
      <c r="AB1188">
        <v>74.5</v>
      </c>
      <c r="AC1188">
        <v>7.9127168877726875E-2</v>
      </c>
      <c r="AD1188">
        <v>0.34618675834789964</v>
      </c>
      <c r="AE1188">
        <v>0.6282530841547157</v>
      </c>
      <c r="AF1188">
        <v>1.9774386119170992E-3</v>
      </c>
      <c r="AG1188">
        <v>0.34652954834783956</v>
      </c>
      <c r="AH1188">
        <v>0.63106416324263681</v>
      </c>
      <c r="AI1188">
        <v>1.3218150455010248E-5</v>
      </c>
    </row>
    <row r="1189" spans="23:35" x14ac:dyDescent="0.25">
      <c r="W1189">
        <v>1187</v>
      </c>
      <c r="X1189">
        <v>71.995650262856586</v>
      </c>
      <c r="Y1189">
        <v>0.10434973714340856</v>
      </c>
      <c r="Z1189">
        <v>71.995348002643482</v>
      </c>
      <c r="AA1189">
        <v>0.5312310491206792</v>
      </c>
      <c r="AB1189">
        <v>74.5</v>
      </c>
      <c r="AC1189">
        <v>6.3887210036911155E-2</v>
      </c>
      <c r="AD1189">
        <v>1.4136177608460523E-2</v>
      </c>
      <c r="AE1189">
        <v>0.6320667948808677</v>
      </c>
      <c r="AF1189">
        <v>2.8882412255955858E-3</v>
      </c>
      <c r="AG1189">
        <v>1.4156636281800887E-2</v>
      </c>
      <c r="AH1189">
        <v>0.63445294724346957</v>
      </c>
      <c r="AI1189">
        <v>3.2250560579756029E-8</v>
      </c>
    </row>
    <row r="1190" spans="23:35" x14ac:dyDescent="0.25">
      <c r="W1190">
        <v>1188</v>
      </c>
      <c r="X1190">
        <v>68.450868934448195</v>
      </c>
      <c r="Y1190">
        <v>-5.0868934448189407E-2</v>
      </c>
      <c r="Z1190">
        <v>68.453220341085597</v>
      </c>
      <c r="AA1190">
        <v>0.40024257125530627</v>
      </c>
      <c r="AB1190">
        <v>74.5</v>
      </c>
      <c r="AC1190">
        <v>-0.26293383539244392</v>
      </c>
      <c r="AD1190">
        <v>-6.8911749257641909E-3</v>
      </c>
      <c r="AE1190">
        <v>0.63214223617686716</v>
      </c>
      <c r="AF1190">
        <v>4.4182479657891016E-2</v>
      </c>
      <c r="AG1190">
        <v>-7.0486473132248774E-3</v>
      </c>
      <c r="AH1190">
        <v>0.63498713515385941</v>
      </c>
      <c r="AI1190">
        <v>1.2758927085007535E-7</v>
      </c>
    </row>
    <row r="1191" spans="23:35" x14ac:dyDescent="0.25">
      <c r="W1191">
        <v>1189</v>
      </c>
      <c r="X1191">
        <v>67.103604275812003</v>
      </c>
      <c r="Y1191">
        <v>0.99639572418799105</v>
      </c>
      <c r="Z1191">
        <v>67.086914062058781</v>
      </c>
      <c r="AA1191">
        <v>0.38932686476652517</v>
      </c>
      <c r="AB1191">
        <v>74.5</v>
      </c>
      <c r="AC1191">
        <v>-0.29295400660571042</v>
      </c>
      <c r="AD1191">
        <v>0.13498095262161192</v>
      </c>
      <c r="AE1191">
        <v>0.63288613498340152</v>
      </c>
      <c r="AF1191">
        <v>1.6474627796275759E-2</v>
      </c>
      <c r="AG1191">
        <v>0.13610676283322659</v>
      </c>
      <c r="AH1191">
        <v>0.63524663008062066</v>
      </c>
      <c r="AI1191">
        <v>1.7239193649006243E-5</v>
      </c>
    </row>
    <row r="1192" spans="23:35" x14ac:dyDescent="0.25">
      <c r="W1192">
        <v>1190</v>
      </c>
      <c r="X1192">
        <v>65.21970703154625</v>
      </c>
      <c r="Y1192">
        <v>2.8802929684537446</v>
      </c>
      <c r="Z1192">
        <v>65.167542802815802</v>
      </c>
      <c r="AA1192">
        <v>0.38932686476652517</v>
      </c>
      <c r="AB1192">
        <v>74.5</v>
      </c>
      <c r="AC1192">
        <v>-0.29295400660571042</v>
      </c>
      <c r="AD1192">
        <v>0.39019104485625472</v>
      </c>
      <c r="AE1192">
        <v>0.63320617878022911</v>
      </c>
      <c r="AF1192">
        <v>1.7788572934852104E-2</v>
      </c>
      <c r="AG1192">
        <v>0.39370851404511892</v>
      </c>
      <c r="AH1192">
        <v>0.63563552188006411</v>
      </c>
      <c r="AI1192">
        <v>1.5596000286362705E-4</v>
      </c>
    </row>
    <row r="1193" spans="23:35" x14ac:dyDescent="0.25">
      <c r="W1193">
        <v>1191</v>
      </c>
      <c r="X1193">
        <v>66.04086120685389</v>
      </c>
      <c r="Y1193">
        <v>1.9591387931461099</v>
      </c>
      <c r="Z1193">
        <v>66.007807015173128</v>
      </c>
      <c r="AA1193">
        <v>0.38447543966040026</v>
      </c>
      <c r="AB1193">
        <v>74.5</v>
      </c>
      <c r="AC1193">
        <v>-0.31204933220437475</v>
      </c>
      <c r="AD1193">
        <v>0.26540300625268803</v>
      </c>
      <c r="AE1193">
        <v>0.63398485980586106</v>
      </c>
      <c r="AF1193">
        <v>1.6591862300743956E-2</v>
      </c>
      <c r="AG1193">
        <v>0.26763255426722909</v>
      </c>
      <c r="AH1193">
        <v>0.63933344632299127</v>
      </c>
      <c r="AI1193">
        <v>6.7137738763242466E-5</v>
      </c>
    </row>
    <row r="1194" spans="23:35" x14ac:dyDescent="0.25">
      <c r="W1194">
        <v>1192</v>
      </c>
      <c r="X1194">
        <v>63.453109186649314</v>
      </c>
      <c r="Y1194">
        <v>4.4468908133506915</v>
      </c>
      <c r="Z1194">
        <v>63.373356086313287</v>
      </c>
      <c r="AA1194">
        <v>0.37719830200121285</v>
      </c>
      <c r="AB1194">
        <v>74.5</v>
      </c>
      <c r="AC1194">
        <v>-0.32163939638952632</v>
      </c>
      <c r="AD1194">
        <v>0.60241683461612483</v>
      </c>
      <c r="AE1194">
        <v>0.6352275316022753</v>
      </c>
      <c r="AF1194">
        <v>1.7618593787526469E-2</v>
      </c>
      <c r="AG1194">
        <v>0.60779487374955876</v>
      </c>
      <c r="AH1194">
        <v>0.64110730981747244</v>
      </c>
      <c r="AI1194">
        <v>3.6807190534772976E-4</v>
      </c>
    </row>
    <row r="1195" spans="23:35" x14ac:dyDescent="0.25">
      <c r="W1195">
        <v>1193</v>
      </c>
      <c r="X1195">
        <v>66.428995628207346</v>
      </c>
      <c r="Y1195">
        <v>1.5710043717926538</v>
      </c>
      <c r="Z1195">
        <v>66.402709574081385</v>
      </c>
      <c r="AA1195">
        <v>0.38447543966040026</v>
      </c>
      <c r="AB1195">
        <v>74.5</v>
      </c>
      <c r="AC1195">
        <v>-0.31204933220437475</v>
      </c>
      <c r="AD1195">
        <v>0.21282273852600417</v>
      </c>
      <c r="AE1195">
        <v>0.64053225036468286</v>
      </c>
      <c r="AF1195">
        <v>1.6456652903834745E-2</v>
      </c>
      <c r="AG1195">
        <v>0.21459582809613714</v>
      </c>
      <c r="AH1195">
        <v>0.64152282332455757</v>
      </c>
      <c r="AI1195">
        <v>4.280732091983791E-5</v>
      </c>
    </row>
    <row r="1196" spans="23:35" x14ac:dyDescent="0.25">
      <c r="W1196">
        <v>1194</v>
      </c>
      <c r="X1196">
        <v>66.504384418392974</v>
      </c>
      <c r="Y1196">
        <v>0.99561558160702646</v>
      </c>
      <c r="Z1196">
        <v>66.487478884501357</v>
      </c>
      <c r="AA1196">
        <v>0.35900545785324439</v>
      </c>
      <c r="AB1196">
        <v>74.5</v>
      </c>
      <c r="AC1196">
        <v>-0.37168505980560429</v>
      </c>
      <c r="AD1196">
        <v>0.13487526731385419</v>
      </c>
      <c r="AE1196">
        <v>0.64169596923653616</v>
      </c>
      <c r="AF1196">
        <v>1.6696475394784204E-2</v>
      </c>
      <c r="AG1196">
        <v>0.13601553700333202</v>
      </c>
      <c r="AH1196">
        <v>0.64308687083706961</v>
      </c>
      <c r="AI1196">
        <v>1.7451860861080069E-5</v>
      </c>
    </row>
    <row r="1197" spans="23:35" x14ac:dyDescent="0.25">
      <c r="W1197">
        <v>1195</v>
      </c>
      <c r="X1197">
        <v>65.049222158033089</v>
      </c>
      <c r="Y1197">
        <v>2.4507778419669108</v>
      </c>
      <c r="Z1197">
        <v>65.007486201755171</v>
      </c>
      <c r="AA1197">
        <v>0.35900545785324439</v>
      </c>
      <c r="AB1197">
        <v>74.599999999999994</v>
      </c>
      <c r="AC1197">
        <v>-0.37168505980560429</v>
      </c>
      <c r="AD1197">
        <v>0.33200496523830719</v>
      </c>
      <c r="AE1197">
        <v>0.64232251209585467</v>
      </c>
      <c r="AF1197">
        <v>1.6744523664145725E-2</v>
      </c>
      <c r="AG1197">
        <v>0.33481999979354887</v>
      </c>
      <c r="AH1197">
        <v>0.64461197194591313</v>
      </c>
      <c r="AI1197">
        <v>1.0606124044280594E-4</v>
      </c>
    </row>
    <row r="1198" spans="23:35" x14ac:dyDescent="0.25">
      <c r="W1198">
        <v>1196</v>
      </c>
      <c r="X1198">
        <v>63.522220332556479</v>
      </c>
      <c r="Y1198">
        <v>3.777779667443518</v>
      </c>
      <c r="Z1198">
        <v>63.449926714667306</v>
      </c>
      <c r="AA1198">
        <v>0.35112189205579136</v>
      </c>
      <c r="AB1198">
        <v>74.599999999999994</v>
      </c>
      <c r="AC1198">
        <v>-0.39787592189543292</v>
      </c>
      <c r="AD1198">
        <v>0.51177286887862394</v>
      </c>
      <c r="AE1198">
        <v>0.64360500040198954</v>
      </c>
      <c r="AF1198">
        <v>1.8777205661146084E-2</v>
      </c>
      <c r="AG1198">
        <v>0.51664644358659062</v>
      </c>
      <c r="AH1198">
        <v>0.64520338932916255</v>
      </c>
      <c r="AI1198">
        <v>2.8377734277248707E-4</v>
      </c>
    </row>
    <row r="1199" spans="23:35" x14ac:dyDescent="0.25">
      <c r="W1199">
        <v>1197</v>
      </c>
      <c r="X1199">
        <v>57.387911070466544</v>
      </c>
      <c r="Y1199">
        <v>9.6120889295334564</v>
      </c>
      <c r="Z1199">
        <v>57.099770637061326</v>
      </c>
      <c r="AA1199">
        <v>0.33959975742874471</v>
      </c>
      <c r="AB1199">
        <v>74.599999999999994</v>
      </c>
      <c r="AC1199">
        <v>-0.42600652312983872</v>
      </c>
      <c r="AD1199">
        <v>1.3021422000274308</v>
      </c>
      <c r="AE1199">
        <v>0.64414861173850591</v>
      </c>
      <c r="AF1199">
        <v>2.9104419992921356E-2</v>
      </c>
      <c r="AG1199">
        <v>1.321515166829542</v>
      </c>
      <c r="AH1199">
        <v>0.64574692644816434</v>
      </c>
      <c r="AI1199">
        <v>2.9084273733618183E-3</v>
      </c>
    </row>
    <row r="1200" spans="23:35" x14ac:dyDescent="0.25">
      <c r="W1200">
        <v>1198</v>
      </c>
      <c r="X1200">
        <v>63.343785345738695</v>
      </c>
      <c r="Y1200">
        <v>3.9562146542613021</v>
      </c>
      <c r="Z1200">
        <v>63.267518204862128</v>
      </c>
      <c r="AA1200">
        <v>0.35112189205579136</v>
      </c>
      <c r="AB1200">
        <v>74.599999999999994</v>
      </c>
      <c r="AC1200">
        <v>-0.39787592189543292</v>
      </c>
      <c r="AD1200">
        <v>0.53594531755238506</v>
      </c>
      <c r="AE1200">
        <v>0.64509298485613509</v>
      </c>
      <c r="AF1200">
        <v>1.891320153472912E-2</v>
      </c>
      <c r="AG1200">
        <v>0.54108658283580413</v>
      </c>
      <c r="AH1200">
        <v>0.64647278474062686</v>
      </c>
      <c r="AI1200">
        <v>3.1355854702621146E-4</v>
      </c>
    </row>
    <row r="1201" spans="23:35" x14ac:dyDescent="0.25">
      <c r="W1201">
        <v>1199</v>
      </c>
      <c r="X1201">
        <v>64.345872718249353</v>
      </c>
      <c r="Y1201">
        <v>2.8541272817506496</v>
      </c>
      <c r="Z1201">
        <v>64.293534486210547</v>
      </c>
      <c r="AA1201">
        <v>0.34505761067313523</v>
      </c>
      <c r="AB1201">
        <v>74.599999999999994</v>
      </c>
      <c r="AC1201">
        <v>-0.40776731506460179</v>
      </c>
      <c r="AD1201">
        <v>0.38664639966012976</v>
      </c>
      <c r="AE1201">
        <v>0.65455961823503539</v>
      </c>
      <c r="AF1201">
        <v>1.8007518682223909E-2</v>
      </c>
      <c r="AG1201">
        <v>0.39017540443064502</v>
      </c>
      <c r="AH1201">
        <v>0.65599249581524455</v>
      </c>
      <c r="AI1201">
        <v>1.5509328141120136E-4</v>
      </c>
    </row>
    <row r="1202" spans="23:35" x14ac:dyDescent="0.25">
      <c r="W1202">
        <v>1200</v>
      </c>
      <c r="X1202">
        <v>62.110908805412748</v>
      </c>
      <c r="Y1202">
        <v>4.6890911945872489</v>
      </c>
      <c r="Z1202">
        <v>62.023700946656042</v>
      </c>
      <c r="AA1202">
        <v>0.33232261976955729</v>
      </c>
      <c r="AB1202">
        <v>74.599999999999994</v>
      </c>
      <c r="AC1202">
        <v>-0.44438857281516719</v>
      </c>
      <c r="AD1202">
        <v>0.6352275316022753</v>
      </c>
      <c r="AE1202">
        <v>0.65664531800243886</v>
      </c>
      <c r="AF1202">
        <v>1.8258458648155652E-2</v>
      </c>
      <c r="AG1202">
        <v>0.64110730981747244</v>
      </c>
      <c r="AH1202">
        <v>0.65814786047152596</v>
      </c>
      <c r="AI1202">
        <v>4.24674218653387E-4</v>
      </c>
    </row>
    <row r="1203" spans="23:35" x14ac:dyDescent="0.25">
      <c r="W1203">
        <v>1201</v>
      </c>
      <c r="X1203">
        <v>61.142267213049152</v>
      </c>
      <c r="Y1203">
        <v>5.6577327869508451</v>
      </c>
      <c r="Z1203">
        <v>61.036278152292695</v>
      </c>
      <c r="AA1203">
        <v>0.33232261976955729</v>
      </c>
      <c r="AB1203">
        <v>74.599999999999994</v>
      </c>
      <c r="AC1203">
        <v>-0.44438857281516719</v>
      </c>
      <c r="AD1203">
        <v>0.76644865360448577</v>
      </c>
      <c r="AE1203">
        <v>0.65724621423810758</v>
      </c>
      <c r="AF1203">
        <v>1.8388996477791325E-2</v>
      </c>
      <c r="AG1203">
        <v>0.77359447012583615</v>
      </c>
      <c r="AH1203">
        <v>0.6589105290348195</v>
      </c>
      <c r="AI1203">
        <v>6.2283472767706439E-4</v>
      </c>
    </row>
    <row r="1204" spans="23:35" x14ac:dyDescent="0.25">
      <c r="W1204">
        <v>1202</v>
      </c>
      <c r="X1204">
        <v>60.282222084332133</v>
      </c>
      <c r="Y1204">
        <v>6.5177779156678639</v>
      </c>
      <c r="Z1204">
        <v>60.130406291841489</v>
      </c>
      <c r="AA1204">
        <v>0.33232261976955729</v>
      </c>
      <c r="AB1204">
        <v>74.599999999999994</v>
      </c>
      <c r="AC1204">
        <v>-0.44438857281516719</v>
      </c>
      <c r="AD1204">
        <v>0.88295829726680364</v>
      </c>
      <c r="AE1204">
        <v>0.65728196703841923</v>
      </c>
      <c r="AF1204">
        <v>2.2762374911224105E-2</v>
      </c>
      <c r="AG1204">
        <v>0.89318228779724784</v>
      </c>
      <c r="AH1204">
        <v>0.66016678522204619</v>
      </c>
      <c r="AI1204">
        <v>1.0323455544614987E-3</v>
      </c>
    </row>
    <row r="1205" spans="23:35" x14ac:dyDescent="0.25">
      <c r="W1205">
        <v>1203</v>
      </c>
      <c r="X1205">
        <v>80.001340533150113</v>
      </c>
      <c r="Y1205">
        <v>-2.7013405331501161</v>
      </c>
      <c r="Z1205">
        <v>80.029782271361398</v>
      </c>
      <c r="AA1205">
        <v>0.84414796846573681</v>
      </c>
      <c r="AB1205">
        <v>74.599999999999994</v>
      </c>
      <c r="AC1205">
        <v>1.0003070916314494</v>
      </c>
      <c r="AD1205">
        <v>-0.36594849783917843</v>
      </c>
      <c r="AE1205">
        <v>0.65823688030263072</v>
      </c>
      <c r="AF1205">
        <v>1.041905008676763E-2</v>
      </c>
      <c r="AG1205">
        <v>-0.36786994353744862</v>
      </c>
      <c r="AH1205">
        <v>0.66169629768331806</v>
      </c>
      <c r="AI1205">
        <v>7.9157652405971234E-5</v>
      </c>
    </row>
    <row r="1206" spans="23:35" x14ac:dyDescent="0.25">
      <c r="W1206">
        <v>1204</v>
      </c>
      <c r="X1206">
        <v>73.204778674003961</v>
      </c>
      <c r="Y1206">
        <v>3.8952213259960331</v>
      </c>
      <c r="Z1206">
        <v>73.163150050704616</v>
      </c>
      <c r="AA1206">
        <v>0.83869011522134629</v>
      </c>
      <c r="AB1206">
        <v>74.599999999999994</v>
      </c>
      <c r="AC1206">
        <v>0.98537673313779217</v>
      </c>
      <c r="AD1206">
        <v>0.52768259888253322</v>
      </c>
      <c r="AE1206">
        <v>0.66234326664227261</v>
      </c>
      <c r="AF1206">
        <v>1.0574094475404694E-2</v>
      </c>
      <c r="AG1206">
        <v>0.53049480385704562</v>
      </c>
      <c r="AH1206">
        <v>0.66432181495320253</v>
      </c>
      <c r="AI1206">
        <v>1.6708969757585934E-4</v>
      </c>
    </row>
    <row r="1207" spans="23:35" x14ac:dyDescent="0.25">
      <c r="W1207">
        <v>1205</v>
      </c>
      <c r="X1207">
        <v>78.427552696165634</v>
      </c>
      <c r="Y1207">
        <v>-1.6275526961656368</v>
      </c>
      <c r="Z1207">
        <v>78.441370110573104</v>
      </c>
      <c r="AA1207">
        <v>0.82838083687083086</v>
      </c>
      <c r="AB1207">
        <v>74.7</v>
      </c>
      <c r="AC1207">
        <v>0.93712127394454448</v>
      </c>
      <c r="AD1207">
        <v>-0.22048329598096675</v>
      </c>
      <c r="AE1207">
        <v>0.66257682976191923</v>
      </c>
      <c r="AF1207">
        <v>8.4182198265088989E-3</v>
      </c>
      <c r="AG1207">
        <v>-0.22141723514071221</v>
      </c>
      <c r="AH1207">
        <v>0.66594084705401446</v>
      </c>
      <c r="AI1207">
        <v>2.3122887479092341E-5</v>
      </c>
    </row>
    <row r="1208" spans="23:35" x14ac:dyDescent="0.25">
      <c r="W1208">
        <v>1206</v>
      </c>
      <c r="X1208">
        <v>78.545571359494346</v>
      </c>
      <c r="Y1208">
        <v>-1.8455713594943433</v>
      </c>
      <c r="Z1208">
        <v>78.562645546308048</v>
      </c>
      <c r="AA1208">
        <v>0.82534869617950268</v>
      </c>
      <c r="AB1208">
        <v>74.7</v>
      </c>
      <c r="AC1208">
        <v>0.93241539434320941</v>
      </c>
      <c r="AD1208">
        <v>-0.25001811447828798</v>
      </c>
      <c r="AE1208">
        <v>0.66374259682020431</v>
      </c>
      <c r="AF1208">
        <v>9.1666322921982075E-3</v>
      </c>
      <c r="AG1208">
        <v>-0.25117196532160235</v>
      </c>
      <c r="AH1208">
        <v>0.66767149597227582</v>
      </c>
      <c r="AI1208">
        <v>3.242492717551353E-5</v>
      </c>
    </row>
    <row r="1209" spans="23:35" x14ac:dyDescent="0.25">
      <c r="W1209">
        <v>1207</v>
      </c>
      <c r="X1209">
        <v>76.785074487098441</v>
      </c>
      <c r="Y1209">
        <v>-0.48507448709844425</v>
      </c>
      <c r="Z1209">
        <v>76.789264597753359</v>
      </c>
      <c r="AA1209">
        <v>0.8168587022437841</v>
      </c>
      <c r="AB1209">
        <v>74.7</v>
      </c>
      <c r="AC1209">
        <v>0.89095501331493132</v>
      </c>
      <c r="AD1209">
        <v>-6.5712662922502066E-2</v>
      </c>
      <c r="AE1209">
        <v>0.66691702424544552</v>
      </c>
      <c r="AF1209">
        <v>8.5640994140155288E-3</v>
      </c>
      <c r="AG1209">
        <v>-6.5995868163694363E-2</v>
      </c>
      <c r="AH1209">
        <v>0.66777591733319219</v>
      </c>
      <c r="AI1209">
        <v>2.0901528497597126E-6</v>
      </c>
    </row>
    <row r="1210" spans="23:35" x14ac:dyDescent="0.25">
      <c r="W1210">
        <v>1208</v>
      </c>
      <c r="X1210">
        <v>79.672374353015883</v>
      </c>
      <c r="Y1210">
        <v>-3.9723743530158799</v>
      </c>
      <c r="Z1210">
        <v>79.682293900615619</v>
      </c>
      <c r="AA1210">
        <v>0.79199514857489384</v>
      </c>
      <c r="AB1210">
        <v>74.7</v>
      </c>
      <c r="AC1210">
        <v>0.80177968430189828</v>
      </c>
      <c r="AD1210">
        <v>-0.53813445935520521</v>
      </c>
      <c r="AE1210">
        <v>0.66758446883614342</v>
      </c>
      <c r="AF1210">
        <v>2.4909129881642133E-3</v>
      </c>
      <c r="AG1210">
        <v>-0.53880593711752556</v>
      </c>
      <c r="AH1210">
        <v>0.66916843831745221</v>
      </c>
      <c r="AI1210">
        <v>4.0274850457874969E-5</v>
      </c>
    </row>
    <row r="1211" spans="23:35" x14ac:dyDescent="0.25">
      <c r="W1211">
        <v>1209</v>
      </c>
      <c r="X1211">
        <v>77.380837490824376</v>
      </c>
      <c r="Y1211">
        <v>-1.8808374908243763</v>
      </c>
      <c r="Z1211">
        <v>77.39048296672027</v>
      </c>
      <c r="AA1211">
        <v>0.78411158277744086</v>
      </c>
      <c r="AB1211">
        <v>74.7</v>
      </c>
      <c r="AC1211">
        <v>0.77276680816182786</v>
      </c>
      <c r="AD1211">
        <v>-0.25479558981930883</v>
      </c>
      <c r="AE1211">
        <v>0.66984681094873144</v>
      </c>
      <c r="AF1211">
        <v>5.1021226140024823E-3</v>
      </c>
      <c r="AG1211">
        <v>-0.25544808689406751</v>
      </c>
      <c r="AH1211">
        <v>0.67228314069053163</v>
      </c>
      <c r="AI1211">
        <v>1.8591104453874839E-5</v>
      </c>
    </row>
    <row r="1212" spans="23:35" x14ac:dyDescent="0.25">
      <c r="W1212">
        <v>1210</v>
      </c>
      <c r="X1212">
        <v>79.057103229906033</v>
      </c>
      <c r="Y1212">
        <v>-3.7571032299060363</v>
      </c>
      <c r="Z1212">
        <v>79.069636762318694</v>
      </c>
      <c r="AA1212">
        <v>0.77258944815039421</v>
      </c>
      <c r="AB1212">
        <v>74.7</v>
      </c>
      <c r="AC1212">
        <v>0.72844171022016913</v>
      </c>
      <c r="AD1212">
        <v>-0.5089718479911598</v>
      </c>
      <c r="AE1212">
        <v>0.67138857292164722</v>
      </c>
      <c r="AF1212">
        <v>3.3248647556553485E-3</v>
      </c>
      <c r="AG1212">
        <v>-0.50982009508786752</v>
      </c>
      <c r="AH1212">
        <v>0.67567805945399806</v>
      </c>
      <c r="AI1212">
        <v>4.8170566611744883E-5</v>
      </c>
    </row>
    <row r="1213" spans="23:35" x14ac:dyDescent="0.25">
      <c r="W1213">
        <v>1211</v>
      </c>
      <c r="X1213">
        <v>78.954058251931841</v>
      </c>
      <c r="Y1213">
        <v>-3.7540582519318377</v>
      </c>
      <c r="Z1213">
        <v>78.967043859191747</v>
      </c>
      <c r="AA1213">
        <v>0.76652516676773808</v>
      </c>
      <c r="AB1213">
        <v>74.7</v>
      </c>
      <c r="AC1213">
        <v>0.71660092108895201</v>
      </c>
      <c r="AD1213">
        <v>-0.50855934719685525</v>
      </c>
      <c r="AE1213">
        <v>0.6776744008529122</v>
      </c>
      <c r="AF1213">
        <v>3.4471611548194791E-3</v>
      </c>
      <c r="AG1213">
        <v>-0.50943816292854172</v>
      </c>
      <c r="AH1213">
        <v>0.67967336299935643</v>
      </c>
      <c r="AI1213">
        <v>4.9873713099548447E-5</v>
      </c>
    </row>
    <row r="1214" spans="23:35" x14ac:dyDescent="0.25">
      <c r="W1214">
        <v>1212</v>
      </c>
      <c r="X1214">
        <v>78.818703740332666</v>
      </c>
      <c r="Y1214">
        <v>-3.8187037403326656</v>
      </c>
      <c r="Z1214">
        <v>78.829544321390017</v>
      </c>
      <c r="AA1214">
        <v>0.76046088538508183</v>
      </c>
      <c r="AB1214">
        <v>74.7</v>
      </c>
      <c r="AC1214">
        <v>0.67020216077934069</v>
      </c>
      <c r="AD1214">
        <v>-0.51731682115545163</v>
      </c>
      <c r="AE1214">
        <v>0.67896833107769483</v>
      </c>
      <c r="AF1214">
        <v>2.8307757131299377E-3</v>
      </c>
      <c r="AG1214">
        <v>-0.51805058330718234</v>
      </c>
      <c r="AH1214">
        <v>0.68018661873384056</v>
      </c>
      <c r="AI1214">
        <v>4.2326116549998129E-5</v>
      </c>
    </row>
    <row r="1215" spans="23:35" x14ac:dyDescent="0.25">
      <c r="W1215">
        <v>1213</v>
      </c>
      <c r="X1215">
        <v>80.578286758385843</v>
      </c>
      <c r="Y1215">
        <v>-5.6782867583858376</v>
      </c>
      <c r="Z1215">
        <v>80.590479971139018</v>
      </c>
      <c r="AA1215">
        <v>0.74833232261976956</v>
      </c>
      <c r="AB1215">
        <v>74.7</v>
      </c>
      <c r="AC1215">
        <v>0.64941472986293525</v>
      </c>
      <c r="AD1215">
        <v>-0.76923308410443969</v>
      </c>
      <c r="AE1215">
        <v>0.67929614269560734</v>
      </c>
      <c r="AF1215">
        <v>2.1427388928545047E-3</v>
      </c>
      <c r="AG1215">
        <v>-0.77005854372337912</v>
      </c>
      <c r="AH1215">
        <v>0.68229833798839068</v>
      </c>
      <c r="AI1215">
        <v>7.0741752245186409E-5</v>
      </c>
    </row>
    <row r="1216" spans="23:35" x14ac:dyDescent="0.25">
      <c r="W1216">
        <v>1214</v>
      </c>
      <c r="X1216">
        <v>80.391586592895436</v>
      </c>
      <c r="Y1216">
        <v>-5.6915865928954332</v>
      </c>
      <c r="Z1216">
        <v>80.402409095781593</v>
      </c>
      <c r="AA1216">
        <v>0.7362037598544573</v>
      </c>
      <c r="AB1216">
        <v>74.7</v>
      </c>
      <c r="AC1216">
        <v>0.61415241452626612</v>
      </c>
      <c r="AD1216">
        <v>-0.77103480232565946</v>
      </c>
      <c r="AE1216">
        <v>0.67966664933662246</v>
      </c>
      <c r="AF1216">
        <v>1.8978825798664917E-3</v>
      </c>
      <c r="AG1216">
        <v>-0.77176751219864592</v>
      </c>
      <c r="AH1216">
        <v>0.68270345483415451</v>
      </c>
      <c r="AI1216">
        <v>6.2920888008279933E-5</v>
      </c>
    </row>
    <row r="1217" spans="23:35" x14ac:dyDescent="0.25">
      <c r="W1217">
        <v>1215</v>
      </c>
      <c r="X1217">
        <v>80.285495812673361</v>
      </c>
      <c r="Y1217">
        <v>-5.7854958126733607</v>
      </c>
      <c r="Z1217">
        <v>80.294428028266253</v>
      </c>
      <c r="AA1217">
        <v>0.72407519708914492</v>
      </c>
      <c r="AB1217">
        <v>74.8</v>
      </c>
      <c r="AC1217">
        <v>0.56531175535073552</v>
      </c>
      <c r="AD1217">
        <v>-0.78375661117917217</v>
      </c>
      <c r="AE1217">
        <v>0.68133285288035295</v>
      </c>
      <c r="AF1217">
        <v>1.541518084152345E-3</v>
      </c>
      <c r="AG1217">
        <v>-0.78436139798126048</v>
      </c>
      <c r="AH1217">
        <v>0.68301580864881251</v>
      </c>
      <c r="AI1217">
        <v>5.276895964208431E-5</v>
      </c>
    </row>
    <row r="1218" spans="23:35" x14ac:dyDescent="0.25">
      <c r="W1218">
        <v>1216</v>
      </c>
      <c r="X1218">
        <v>79.061025739029333</v>
      </c>
      <c r="Y1218">
        <v>-4.8610257390293299</v>
      </c>
      <c r="Z1218">
        <v>79.06845490321804</v>
      </c>
      <c r="AA1218">
        <v>0.7010309278350515</v>
      </c>
      <c r="AB1218">
        <v>74.8</v>
      </c>
      <c r="AC1218">
        <v>0.5039283835636299</v>
      </c>
      <c r="AD1218">
        <v>-0.65851937041086517</v>
      </c>
      <c r="AE1218">
        <v>0.68195904600198565</v>
      </c>
      <c r="AF1218">
        <v>1.5259798717254165E-3</v>
      </c>
      <c r="AG1218">
        <v>-0.65902238983446049</v>
      </c>
      <c r="AH1218">
        <v>0.68340203323164916</v>
      </c>
      <c r="AI1218">
        <v>3.687566579049503E-5</v>
      </c>
    </row>
    <row r="1219" spans="23:35" x14ac:dyDescent="0.25">
      <c r="W1219">
        <v>1217</v>
      </c>
      <c r="X1219">
        <v>77.678827766514843</v>
      </c>
      <c r="Y1219">
        <v>-3.9788277665148399</v>
      </c>
      <c r="Z1219">
        <v>77.687249149042501</v>
      </c>
      <c r="AA1219">
        <v>0.66040024257125529</v>
      </c>
      <c r="AB1219">
        <v>74.8</v>
      </c>
      <c r="AC1219">
        <v>0.39787592189543292</v>
      </c>
      <c r="AD1219">
        <v>-0.53900869825507669</v>
      </c>
      <c r="AE1219">
        <v>0.6824872675380157</v>
      </c>
      <c r="AF1219">
        <v>2.1120783309159876E-3</v>
      </c>
      <c r="AG1219">
        <v>-0.53957881580977618</v>
      </c>
      <c r="AH1219">
        <v>0.68409090164411113</v>
      </c>
      <c r="AI1219">
        <v>3.4234621538317725E-5</v>
      </c>
    </row>
    <row r="1220" spans="23:35" x14ac:dyDescent="0.25">
      <c r="W1220">
        <v>1218</v>
      </c>
      <c r="X1220">
        <v>80.704728126633128</v>
      </c>
      <c r="Y1220">
        <v>8.2952718733668718</v>
      </c>
      <c r="Z1220">
        <v>80.605442714595725</v>
      </c>
      <c r="AA1220">
        <v>1</v>
      </c>
      <c r="AB1220">
        <v>74.8</v>
      </c>
      <c r="AC1220">
        <v>2.6570161854420777</v>
      </c>
      <c r="AD1220">
        <v>1.1237540191522017</v>
      </c>
      <c r="AE1220">
        <v>0.68604343976205229</v>
      </c>
      <c r="AF1220">
        <v>1.1827355352025167E-2</v>
      </c>
      <c r="AG1220">
        <v>1.130459074483489</v>
      </c>
      <c r="AH1220">
        <v>0.68744808598045526</v>
      </c>
      <c r="AI1220">
        <v>8.4975162112512382E-4</v>
      </c>
    </row>
    <row r="1221" spans="23:35" x14ac:dyDescent="0.25">
      <c r="W1221">
        <v>1219</v>
      </c>
      <c r="X1221">
        <v>78.376453885924917</v>
      </c>
      <c r="Y1221">
        <v>7.6235461140750829</v>
      </c>
      <c r="Z1221">
        <v>78.29363960120169</v>
      </c>
      <c r="AA1221">
        <v>0.99029714978775019</v>
      </c>
      <c r="AB1221">
        <v>74.8</v>
      </c>
      <c r="AC1221">
        <v>2.190305027167327</v>
      </c>
      <c r="AD1221">
        <v>1.0327558537761183</v>
      </c>
      <c r="AE1221">
        <v>0.68609030321656816</v>
      </c>
      <c r="AF1221">
        <v>1.074622525260251E-2</v>
      </c>
      <c r="AG1221">
        <v>1.0383500956265439</v>
      </c>
      <c r="AH1221">
        <v>0.68899018425073921</v>
      </c>
      <c r="AI1221">
        <v>6.5067381958758405E-4</v>
      </c>
    </row>
    <row r="1222" spans="23:35" x14ac:dyDescent="0.25">
      <c r="W1222">
        <v>1220</v>
      </c>
      <c r="X1222">
        <v>83.292079638232167</v>
      </c>
      <c r="Y1222">
        <v>-0.29207963823216687</v>
      </c>
      <c r="Z1222">
        <v>83.293530766355744</v>
      </c>
      <c r="AA1222">
        <v>0.97877501516070342</v>
      </c>
      <c r="AB1222">
        <v>74.8</v>
      </c>
      <c r="AC1222">
        <v>1.9368862628682144</v>
      </c>
      <c r="AD1222">
        <v>-3.9567801078314611E-2</v>
      </c>
      <c r="AE1222">
        <v>0.68675818712249481</v>
      </c>
      <c r="AF1222">
        <v>4.9437002519207834E-3</v>
      </c>
      <c r="AG1222">
        <v>-3.9665970894329411E-2</v>
      </c>
      <c r="AH1222">
        <v>0.69023092124647378</v>
      </c>
      <c r="AI1222">
        <v>4.3427832054897205E-7</v>
      </c>
    </row>
    <row r="1223" spans="23:35" x14ac:dyDescent="0.25">
      <c r="W1223">
        <v>1221</v>
      </c>
      <c r="X1223">
        <v>75.987617999097154</v>
      </c>
      <c r="Y1223">
        <v>6.0123820009028464</v>
      </c>
      <c r="Z1223">
        <v>75.943185943931311</v>
      </c>
      <c r="AA1223">
        <v>0.96604002425712554</v>
      </c>
      <c r="AB1223">
        <v>74.8</v>
      </c>
      <c r="AC1223">
        <v>1.7539324289023792</v>
      </c>
      <c r="AD1223">
        <v>0.81449270636751747</v>
      </c>
      <c r="AE1223">
        <v>0.68679536279623854</v>
      </c>
      <c r="AF1223">
        <v>7.3358790206424669E-3</v>
      </c>
      <c r="AG1223">
        <v>0.81749675448743864</v>
      </c>
      <c r="AH1223">
        <v>0.69113256115188149</v>
      </c>
      <c r="AI1223">
        <v>2.7437807500932024E-4</v>
      </c>
    </row>
    <row r="1224" spans="23:35" x14ac:dyDescent="0.25">
      <c r="W1224">
        <v>1222</v>
      </c>
      <c r="X1224">
        <v>75.083182846628446</v>
      </c>
      <c r="Y1224">
        <v>4.516817153371548</v>
      </c>
      <c r="Z1224">
        <v>75.04817914428483</v>
      </c>
      <c r="AA1224">
        <v>0.91206791995148573</v>
      </c>
      <c r="AB1224">
        <v>74.8</v>
      </c>
      <c r="AC1224">
        <v>1.3404190152831756</v>
      </c>
      <c r="AD1224">
        <v>0.61188970143021115</v>
      </c>
      <c r="AE1224">
        <v>0.68942314240480496</v>
      </c>
      <c r="AF1224">
        <v>7.6900439303683402E-3</v>
      </c>
      <c r="AG1224">
        <v>0.61425608776369656</v>
      </c>
      <c r="AH1224">
        <v>0.69193472393222943</v>
      </c>
      <c r="AI1224">
        <v>1.624455824659676E-4</v>
      </c>
    </row>
    <row r="1225" spans="23:35" x14ac:dyDescent="0.25">
      <c r="W1225">
        <v>1223</v>
      </c>
      <c r="X1225">
        <v>74.285605310278953</v>
      </c>
      <c r="Y1225">
        <v>5.0143946897210441</v>
      </c>
      <c r="Z1225">
        <v>74.241184452582218</v>
      </c>
      <c r="AA1225">
        <v>0.9017586416009703</v>
      </c>
      <c r="AB1225">
        <v>74.8</v>
      </c>
      <c r="AC1225">
        <v>1.262435852359769</v>
      </c>
      <c r="AD1225">
        <v>0.67929614269560734</v>
      </c>
      <c r="AE1225">
        <v>0.69087167625615653</v>
      </c>
      <c r="AF1225">
        <v>8.7808810739117629E-3</v>
      </c>
      <c r="AG1225">
        <v>0.68229833798839068</v>
      </c>
      <c r="AH1225">
        <v>0.69400591446621607</v>
      </c>
      <c r="AI1225">
        <v>2.2911026446224001E-4</v>
      </c>
    </row>
    <row r="1226" spans="23:35" x14ac:dyDescent="0.25">
      <c r="W1226">
        <v>1224</v>
      </c>
      <c r="X1226">
        <v>80.922824926930048</v>
      </c>
      <c r="Y1226">
        <v>-1.9228249269300477</v>
      </c>
      <c r="Z1226">
        <v>80.932048724152651</v>
      </c>
      <c r="AA1226">
        <v>0.89023650697392354</v>
      </c>
      <c r="AB1226">
        <v>74.900000000000006</v>
      </c>
      <c r="AC1226">
        <v>1.2070560687293583</v>
      </c>
      <c r="AD1226">
        <v>-0.26048359508278113</v>
      </c>
      <c r="AE1226">
        <v>0.69525965813091828</v>
      </c>
      <c r="AF1226">
        <v>4.7741017642544091E-3</v>
      </c>
      <c r="AG1226">
        <v>-0.26110761793068821</v>
      </c>
      <c r="AH1226">
        <v>0.697522555704984</v>
      </c>
      <c r="AI1226">
        <v>1.8169232553407546E-5</v>
      </c>
    </row>
    <row r="1227" spans="23:35" x14ac:dyDescent="0.25">
      <c r="W1227">
        <v>1225</v>
      </c>
      <c r="X1227">
        <v>79.415087993254559</v>
      </c>
      <c r="Y1227">
        <v>-0.71508799325455641</v>
      </c>
      <c r="Z1227">
        <v>79.418984747873196</v>
      </c>
      <c r="AA1227">
        <v>0.87871437234687688</v>
      </c>
      <c r="AB1227">
        <v>74.900000000000006</v>
      </c>
      <c r="AC1227">
        <v>1.1521925343545227</v>
      </c>
      <c r="AD1227">
        <v>-9.6872413434369239E-2</v>
      </c>
      <c r="AE1227">
        <v>0.69860543227615002</v>
      </c>
      <c r="AF1227">
        <v>5.4198015050489681E-3</v>
      </c>
      <c r="AG1227">
        <v>-9.7135999985756713E-2</v>
      </c>
      <c r="AH1227">
        <v>0.69949650224356419</v>
      </c>
      <c r="AI1227">
        <v>2.8564820453310197E-6</v>
      </c>
    </row>
    <row r="1228" spans="23:35" x14ac:dyDescent="0.25">
      <c r="W1228">
        <v>1226</v>
      </c>
      <c r="X1228">
        <v>78.832219399234134</v>
      </c>
      <c r="Y1228">
        <v>-0.33221939923413402</v>
      </c>
      <c r="Z1228">
        <v>78.833818620642347</v>
      </c>
      <c r="AA1228">
        <v>0.87265009096422075</v>
      </c>
      <c r="AB1228">
        <v>74.900000000000006</v>
      </c>
      <c r="AC1228">
        <v>1.128888636463274</v>
      </c>
      <c r="AD1228">
        <v>-4.5005503234719205E-2</v>
      </c>
      <c r="AE1228">
        <v>0.69888895745216717</v>
      </c>
      <c r="AF1228">
        <v>4.7906896419761041E-3</v>
      </c>
      <c r="AG1228">
        <v>-4.5113695827224028E-2</v>
      </c>
      <c r="AH1228">
        <v>0.70156347491844517</v>
      </c>
      <c r="AI1228">
        <v>5.44286942091857E-7</v>
      </c>
    </row>
    <row r="1229" spans="23:35" x14ac:dyDescent="0.25">
      <c r="W1229">
        <v>1227</v>
      </c>
      <c r="X1229">
        <v>77.331733295264897</v>
      </c>
      <c r="Y1229">
        <v>0.36826670473510603</v>
      </c>
      <c r="Z1229">
        <v>77.32959044439589</v>
      </c>
      <c r="AA1229">
        <v>0.85021224984839294</v>
      </c>
      <c r="AB1229">
        <v>74.900000000000006</v>
      </c>
      <c r="AC1229">
        <v>1.0308575175648222</v>
      </c>
      <c r="AD1229">
        <v>4.9888803632188047E-2</v>
      </c>
      <c r="AE1229">
        <v>0.69898390334046945</v>
      </c>
      <c r="AF1229">
        <v>5.7850852835414227E-3</v>
      </c>
      <c r="AG1229">
        <v>5.0033738272522207E-2</v>
      </c>
      <c r="AH1229">
        <v>0.70275502721957894</v>
      </c>
      <c r="AI1229">
        <v>8.0925034181170393E-7</v>
      </c>
    </row>
    <row r="1230" spans="23:35" x14ac:dyDescent="0.25">
      <c r="W1230">
        <v>1228</v>
      </c>
      <c r="X1230">
        <v>79.87172737797863</v>
      </c>
      <c r="Y1230">
        <v>-1.8717273779786296</v>
      </c>
      <c r="Z1230">
        <v>79.883726096711129</v>
      </c>
      <c r="AA1230">
        <v>0.86294724075197093</v>
      </c>
      <c r="AB1230">
        <v>74.900000000000006</v>
      </c>
      <c r="AC1230">
        <v>1.0491313979639725</v>
      </c>
      <c r="AD1230">
        <v>-0.25356144992834195</v>
      </c>
      <c r="AE1230">
        <v>0.70201605192119354</v>
      </c>
      <c r="AF1230">
        <v>6.3696727212349874E-3</v>
      </c>
      <c r="AG1230">
        <v>-0.25437288012652409</v>
      </c>
      <c r="AH1230">
        <v>0.70381253660187815</v>
      </c>
      <c r="AI1230">
        <v>2.3044186934451603E-5</v>
      </c>
    </row>
    <row r="1231" spans="23:35" x14ac:dyDescent="0.25">
      <c r="W1231">
        <v>1229</v>
      </c>
      <c r="X1231">
        <v>77.961519817806021</v>
      </c>
      <c r="Y1231">
        <v>-0.66151981780602398</v>
      </c>
      <c r="Z1231">
        <v>77.965537446817862</v>
      </c>
      <c r="AA1231">
        <v>0.84414796846573681</v>
      </c>
      <c r="AB1231">
        <v>74.900000000000006</v>
      </c>
      <c r="AC1231">
        <v>1.0003070916314494</v>
      </c>
      <c r="AD1231">
        <v>-8.9615574432839837E-2</v>
      </c>
      <c r="AE1231">
        <v>0.70267250493376154</v>
      </c>
      <c r="AF1231">
        <v>6.0366686067863913E-3</v>
      </c>
      <c r="AG1231">
        <v>-8.9887295031416112E-2</v>
      </c>
      <c r="AH1231">
        <v>0.70545206398318461</v>
      </c>
      <c r="AI1231">
        <v>2.726158422577078E-6</v>
      </c>
    </row>
    <row r="1232" spans="23:35" x14ac:dyDescent="0.25">
      <c r="W1232">
        <v>1230</v>
      </c>
      <c r="X1232">
        <v>79.131798713789095</v>
      </c>
      <c r="Y1232">
        <v>-1.9317987137890924</v>
      </c>
      <c r="Z1232">
        <v>79.140317390658495</v>
      </c>
      <c r="AA1232">
        <v>0.84111582777440874</v>
      </c>
      <c r="AB1232">
        <v>74.900000000000006</v>
      </c>
      <c r="AC1232">
        <v>0.99032898964496086</v>
      </c>
      <c r="AD1232">
        <v>-0.26169926699851953</v>
      </c>
      <c r="AE1232">
        <v>0.70293900275877419</v>
      </c>
      <c r="AF1232">
        <v>4.3903522745351153E-3</v>
      </c>
      <c r="AG1232">
        <v>-0.26227564154594063</v>
      </c>
      <c r="AH1232">
        <v>0.70560827006236138</v>
      </c>
      <c r="AI1232">
        <v>1.6852086639816883E-5</v>
      </c>
    </row>
    <row r="1233" spans="23:35" x14ac:dyDescent="0.25">
      <c r="W1233">
        <v>1231</v>
      </c>
      <c r="X1233">
        <v>72.228192411242787</v>
      </c>
      <c r="Y1233">
        <v>4.6718075887572184</v>
      </c>
      <c r="Z1233">
        <v>72.132522691138561</v>
      </c>
      <c r="AA1233">
        <v>0.83080654942389331</v>
      </c>
      <c r="AB1233">
        <v>74.900000000000006</v>
      </c>
      <c r="AC1233">
        <v>0.94897780985887181</v>
      </c>
      <c r="AD1233">
        <v>0.63288613498340152</v>
      </c>
      <c r="AE1233">
        <v>0.7036529984640133</v>
      </c>
      <c r="AF1233">
        <v>2.0067157934114187E-2</v>
      </c>
      <c r="AG1233">
        <v>0.63933344632299127</v>
      </c>
      <c r="AH1233">
        <v>0.70765738238108378</v>
      </c>
      <c r="AI1233">
        <v>4.6502028738308046E-4</v>
      </c>
    </row>
    <row r="1234" spans="23:35" x14ac:dyDescent="0.25">
      <c r="W1234">
        <v>1232</v>
      </c>
      <c r="X1234">
        <v>72.646875168616788</v>
      </c>
      <c r="Y1234">
        <v>3.9531248313832066</v>
      </c>
      <c r="Z1234">
        <v>72.592216825721763</v>
      </c>
      <c r="AA1234">
        <v>0.82413583990297146</v>
      </c>
      <c r="AB1234">
        <v>74.900000000000006</v>
      </c>
      <c r="AC1234">
        <v>0.91841998904288702</v>
      </c>
      <c r="AD1234">
        <v>0.53552674165388126</v>
      </c>
      <c r="AE1234">
        <v>0.70520949857030546</v>
      </c>
      <c r="AF1234">
        <v>1.3638048895913257E-2</v>
      </c>
      <c r="AG1234">
        <v>0.53921629349929867</v>
      </c>
      <c r="AH1234">
        <v>0.71281486248302894</v>
      </c>
      <c r="AI1234">
        <v>2.2334150619863499E-4</v>
      </c>
    </row>
    <row r="1235" spans="23:35" x14ac:dyDescent="0.25">
      <c r="W1235">
        <v>1233</v>
      </c>
      <c r="X1235">
        <v>84.470303715281148</v>
      </c>
      <c r="Y1235">
        <v>-9.6703037152811504</v>
      </c>
      <c r="Z1235">
        <v>84.511520047597799</v>
      </c>
      <c r="AA1235">
        <v>0.74166161309884782</v>
      </c>
      <c r="AB1235">
        <v>74.900000000000006</v>
      </c>
      <c r="AC1235">
        <v>0.63261352584071384</v>
      </c>
      <c r="AD1235">
        <v>-1.3100285117067492</v>
      </c>
      <c r="AE1235">
        <v>0.71185263902054519</v>
      </c>
      <c r="AF1235">
        <v>4.2440660282476346E-3</v>
      </c>
      <c r="AG1235">
        <v>-1.3128173155048211</v>
      </c>
      <c r="AH1235">
        <v>0.7138452202505835</v>
      </c>
      <c r="AI1235">
        <v>4.0809879850717289E-4</v>
      </c>
    </row>
    <row r="1236" spans="23:35" x14ac:dyDescent="0.25">
      <c r="W1236">
        <v>1234</v>
      </c>
      <c r="X1236">
        <v>77.261920635086824</v>
      </c>
      <c r="Y1236">
        <v>-2.6619206350868296</v>
      </c>
      <c r="Z1236">
        <v>77.268389800040183</v>
      </c>
      <c r="AA1236">
        <v>0.73013947847180105</v>
      </c>
      <c r="AB1236">
        <v>74.900000000000006</v>
      </c>
      <c r="AC1236">
        <v>0.59589828697336056</v>
      </c>
      <c r="AD1236">
        <v>-0.3606083149543457</v>
      </c>
      <c r="AE1236">
        <v>0.71227928739540725</v>
      </c>
      <c r="AF1236">
        <v>2.4243702899991982E-3</v>
      </c>
      <c r="AG1236">
        <v>-0.36104623541898417</v>
      </c>
      <c r="AH1236">
        <v>0.71409081962494791</v>
      </c>
      <c r="AI1236">
        <v>1.7599740287908057E-5</v>
      </c>
    </row>
    <row r="1237" spans="23:35" x14ac:dyDescent="0.25">
      <c r="W1237">
        <v>1235</v>
      </c>
      <c r="X1237">
        <v>79.7084574462707</v>
      </c>
      <c r="Y1237">
        <v>-5.3084574462706939</v>
      </c>
      <c r="Z1237">
        <v>79.723200599786708</v>
      </c>
      <c r="AA1237">
        <v>0.71376591873862949</v>
      </c>
      <c r="AB1237">
        <v>75</v>
      </c>
      <c r="AC1237">
        <v>0.54051528578164909</v>
      </c>
      <c r="AD1237">
        <v>-0.71913259526765794</v>
      </c>
      <c r="AE1237">
        <v>0.71276494407513735</v>
      </c>
      <c r="AF1237">
        <v>2.7696032188969958E-3</v>
      </c>
      <c r="AG1237">
        <v>-0.72013052462334814</v>
      </c>
      <c r="AH1237">
        <v>0.71421944398532</v>
      </c>
      <c r="AI1237">
        <v>8.0015105532814962E-5</v>
      </c>
    </row>
    <row r="1238" spans="23:35" x14ac:dyDescent="0.25">
      <c r="W1238">
        <v>1236</v>
      </c>
      <c r="X1238">
        <v>80.850902821956851</v>
      </c>
      <c r="Y1238">
        <v>-6.5509028219568535</v>
      </c>
      <c r="Z1238">
        <v>80.872729680930874</v>
      </c>
      <c r="AA1238">
        <v>0.7052759248029109</v>
      </c>
      <c r="AB1238">
        <v>75</v>
      </c>
      <c r="AC1238">
        <v>0.52824151828033117</v>
      </c>
      <c r="AD1238">
        <v>-0.8874457025194038</v>
      </c>
      <c r="AE1238">
        <v>0.71326294672989876</v>
      </c>
      <c r="AF1238">
        <v>3.3208210338164313E-3</v>
      </c>
      <c r="AG1238">
        <v>-0.88892290686534303</v>
      </c>
      <c r="AH1238">
        <v>0.71603639367802319</v>
      </c>
      <c r="AI1238">
        <v>1.4626680531547821E-4</v>
      </c>
    </row>
    <row r="1239" spans="23:35" x14ac:dyDescent="0.25">
      <c r="W1239">
        <v>1237</v>
      </c>
      <c r="X1239">
        <v>81.68401257202899</v>
      </c>
      <c r="Y1239">
        <v>-8.2840125720289848</v>
      </c>
      <c r="Z1239">
        <v>81.701569831462393</v>
      </c>
      <c r="AA1239">
        <v>0.63735597331716187</v>
      </c>
      <c r="AB1239">
        <v>75</v>
      </c>
      <c r="AC1239">
        <v>0.33286538375086522</v>
      </c>
      <c r="AD1239">
        <v>-1.1222287303702969</v>
      </c>
      <c r="AE1239">
        <v>0.71444414146967927</v>
      </c>
      <c r="AF1239">
        <v>2.1149324513139748E-3</v>
      </c>
      <c r="AG1239">
        <v>-1.1234173350467136</v>
      </c>
      <c r="AH1239">
        <v>0.71693805958747348</v>
      </c>
      <c r="AI1239">
        <v>1.4860236256622101E-4</v>
      </c>
    </row>
    <row r="1240" spans="23:35" x14ac:dyDescent="0.25">
      <c r="W1240">
        <v>1238</v>
      </c>
      <c r="X1240">
        <v>79.76877388556855</v>
      </c>
      <c r="Y1240">
        <v>-6.6687738855685552</v>
      </c>
      <c r="Z1240">
        <v>79.79090071436525</v>
      </c>
      <c r="AA1240">
        <v>0.61491813220133418</v>
      </c>
      <c r="AB1240">
        <v>75</v>
      </c>
      <c r="AC1240">
        <v>0.27870266916975811</v>
      </c>
      <c r="AD1240">
        <v>-0.90341360369219947</v>
      </c>
      <c r="AE1240">
        <v>0.71600529740118413</v>
      </c>
      <c r="AF1240">
        <v>3.307003009205103E-3</v>
      </c>
      <c r="AG1240">
        <v>-0.90491111467544882</v>
      </c>
      <c r="AH1240">
        <v>0.71765974505959296</v>
      </c>
      <c r="AI1240">
        <v>1.509428421574987E-4</v>
      </c>
    </row>
    <row r="1241" spans="23:35" x14ac:dyDescent="0.25">
      <c r="W1241">
        <v>1239</v>
      </c>
      <c r="X1241">
        <v>76.621082481908672</v>
      </c>
      <c r="Y1241">
        <v>-3.5210824819086781</v>
      </c>
      <c r="Z1241">
        <v>76.63700363957858</v>
      </c>
      <c r="AA1241">
        <v>0.61491813220133418</v>
      </c>
      <c r="AB1241">
        <v>75</v>
      </c>
      <c r="AC1241">
        <v>0.27870266916975811</v>
      </c>
      <c r="AD1241">
        <v>-0.47699830110634994</v>
      </c>
      <c r="AE1241">
        <v>0.71711194685844437</v>
      </c>
      <c r="AF1241">
        <v>4.5013122100712819E-3</v>
      </c>
      <c r="AG1241">
        <v>-0.47807549821239276</v>
      </c>
      <c r="AH1241">
        <v>0.72074332957869791</v>
      </c>
      <c r="AI1241">
        <v>5.7414146369388157E-5</v>
      </c>
    </row>
    <row r="1242" spans="23:35" x14ac:dyDescent="0.25">
      <c r="W1242">
        <v>1240</v>
      </c>
      <c r="X1242">
        <v>75.159714030679794</v>
      </c>
      <c r="Y1242">
        <v>-2.2597140306797883</v>
      </c>
      <c r="Z1242">
        <v>75.166793235999364</v>
      </c>
      <c r="AA1242">
        <v>0.58762886597938147</v>
      </c>
      <c r="AB1242">
        <v>75</v>
      </c>
      <c r="AC1242">
        <v>0.206674078513852</v>
      </c>
      <c r="AD1242">
        <v>-0.30612169955080221</v>
      </c>
      <c r="AE1242">
        <v>0.71996041614637873</v>
      </c>
      <c r="AF1242">
        <v>3.1230044307301763E-3</v>
      </c>
      <c r="AG1242">
        <v>-0.30660083180445813</v>
      </c>
      <c r="AH1242">
        <v>0.72404259157891249</v>
      </c>
      <c r="AI1242">
        <v>1.6360824221757091E-5</v>
      </c>
    </row>
    <row r="1243" spans="23:35" x14ac:dyDescent="0.25">
      <c r="W1243">
        <v>1241</v>
      </c>
      <c r="X1243">
        <v>76.038956595798282</v>
      </c>
      <c r="Y1243">
        <v>-3.5389565957982825</v>
      </c>
      <c r="Z1243">
        <v>76.046405324701183</v>
      </c>
      <c r="AA1243">
        <v>0.55852031534263191</v>
      </c>
      <c r="AB1243">
        <v>75</v>
      </c>
      <c r="AC1243">
        <v>0.12956927093944998</v>
      </c>
      <c r="AD1243">
        <v>-0.47941969339208274</v>
      </c>
      <c r="AE1243">
        <v>0.72101637358048909</v>
      </c>
      <c r="AF1243">
        <v>2.1003602862356956E-3</v>
      </c>
      <c r="AG1243">
        <v>-0.479923964937432</v>
      </c>
      <c r="AH1243">
        <v>0.72472561034248684</v>
      </c>
      <c r="AI1243">
        <v>2.6932663246665504E-5</v>
      </c>
    </row>
    <row r="1244" spans="23:35" x14ac:dyDescent="0.25">
      <c r="W1244">
        <v>1242</v>
      </c>
      <c r="X1244">
        <v>75.597122722346853</v>
      </c>
      <c r="Y1244">
        <v>-3.6971227223468475</v>
      </c>
      <c r="Z1244">
        <v>75.605058233609498</v>
      </c>
      <c r="AA1244">
        <v>0.51607034566403887</v>
      </c>
      <c r="AB1244">
        <v>75</v>
      </c>
      <c r="AC1244">
        <v>2.7365033500434649E-2</v>
      </c>
      <c r="AD1244">
        <v>-0.50084633535343237</v>
      </c>
      <c r="AE1244">
        <v>0.72150006579545733</v>
      </c>
      <c r="AF1244">
        <v>2.1418047335018211E-3</v>
      </c>
      <c r="AG1244">
        <v>-0.50138355599982398</v>
      </c>
      <c r="AH1244">
        <v>0.72610608412932709</v>
      </c>
      <c r="AI1244">
        <v>2.9976347375247561E-5</v>
      </c>
    </row>
    <row r="1245" spans="23:35" x14ac:dyDescent="0.25">
      <c r="W1245">
        <v>1243</v>
      </c>
      <c r="X1245">
        <v>72.243288462496963</v>
      </c>
      <c r="Y1245">
        <v>-0.54328846249696028</v>
      </c>
      <c r="Z1245">
        <v>72.245124300799873</v>
      </c>
      <c r="AA1245">
        <v>0.50394178289872649</v>
      </c>
      <c r="AB1245">
        <v>75</v>
      </c>
      <c r="AC1245">
        <v>-4.5602855597810616E-3</v>
      </c>
      <c r="AD1245">
        <v>-7.3598864824448648E-2</v>
      </c>
      <c r="AE1245">
        <v>0.72327209400888715</v>
      </c>
      <c r="AF1245">
        <v>3.3677425501268616E-3</v>
      </c>
      <c r="AG1245">
        <v>-7.3723109745705104E-2</v>
      </c>
      <c r="AH1245">
        <v>0.726356441667387</v>
      </c>
      <c r="AI1245">
        <v>1.0203254785186608E-6</v>
      </c>
    </row>
    <row r="1246" spans="23:35" x14ac:dyDescent="0.25">
      <c r="W1246">
        <v>1244</v>
      </c>
      <c r="X1246">
        <v>71.691983416321079</v>
      </c>
      <c r="Y1246">
        <v>-0.59198341632108509</v>
      </c>
      <c r="Z1246">
        <v>71.693810007929144</v>
      </c>
      <c r="AA1246">
        <v>0.47422680412371132</v>
      </c>
      <c r="AB1246">
        <v>75</v>
      </c>
      <c r="AC1246">
        <v>-7.6077819866612773E-2</v>
      </c>
      <c r="AD1246">
        <v>-8.0195532288474869E-2</v>
      </c>
      <c r="AE1246">
        <v>0.72522462698081624</v>
      </c>
      <c r="AF1246">
        <v>3.0760539291521368E-3</v>
      </c>
      <c r="AG1246">
        <v>-8.0319160468007744E-2</v>
      </c>
      <c r="AH1246">
        <v>0.72905319622143239</v>
      </c>
      <c r="AI1246">
        <v>1.105853846835185E-6</v>
      </c>
    </row>
    <row r="1247" spans="23:35" x14ac:dyDescent="0.25">
      <c r="W1247">
        <v>1245</v>
      </c>
      <c r="X1247">
        <v>69.295709121400165</v>
      </c>
      <c r="Y1247">
        <v>7.704290878599835</v>
      </c>
      <c r="Z1247">
        <v>69.263003055672911</v>
      </c>
      <c r="AA1247">
        <v>0.83747725894481506</v>
      </c>
      <c r="AB1247">
        <v>75</v>
      </c>
      <c r="AC1247">
        <v>0.95855995741850497</v>
      </c>
      <c r="AD1247">
        <v>1.0436942841308259</v>
      </c>
      <c r="AE1247">
        <v>0.72612219815370471</v>
      </c>
      <c r="AF1247">
        <v>4.2272300173566025E-3</v>
      </c>
      <c r="AG1247">
        <v>1.0459072706131955</v>
      </c>
      <c r="AH1247">
        <v>0.72938952749220598</v>
      </c>
      <c r="AI1247">
        <v>2.5799393270702634E-4</v>
      </c>
    </row>
    <row r="1248" spans="23:35" x14ac:dyDescent="0.25">
      <c r="W1248">
        <v>1246</v>
      </c>
      <c r="X1248">
        <v>68.464321553914644</v>
      </c>
      <c r="Y1248">
        <v>9.5356784460853561</v>
      </c>
      <c r="Z1248">
        <v>68.419416139297496</v>
      </c>
      <c r="AA1248">
        <v>0.86294724075197093</v>
      </c>
      <c r="AB1248">
        <v>75</v>
      </c>
      <c r="AC1248">
        <v>1.0491313979639725</v>
      </c>
      <c r="AD1248">
        <v>1.291790931354025</v>
      </c>
      <c r="AE1248">
        <v>0.73025776597689374</v>
      </c>
      <c r="AF1248">
        <v>4.6871271386018428E-3</v>
      </c>
      <c r="AG1248">
        <v>1.2948290095954373</v>
      </c>
      <c r="AH1248">
        <v>0.73180469767968681</v>
      </c>
      <c r="AI1248">
        <v>4.3863112883455065E-4</v>
      </c>
    </row>
    <row r="1249" spans="23:35" x14ac:dyDescent="0.25">
      <c r="W1249">
        <v>1247</v>
      </c>
      <c r="X1249">
        <v>67.346746104992221</v>
      </c>
      <c r="Y1249">
        <v>9.6532538950077793</v>
      </c>
      <c r="Z1249">
        <v>67.296121473530377</v>
      </c>
      <c r="AA1249">
        <v>0.83747725894481506</v>
      </c>
      <c r="AB1249">
        <v>75</v>
      </c>
      <c r="AC1249">
        <v>0.95855995741850497</v>
      </c>
      <c r="AD1249">
        <v>1.3077187858351309</v>
      </c>
      <c r="AE1249">
        <v>0.7313333158862414</v>
      </c>
      <c r="AF1249">
        <v>5.2169481845580831E-3</v>
      </c>
      <c r="AG1249">
        <v>1.3111433415457732</v>
      </c>
      <c r="AH1249">
        <v>0.73483606942448287</v>
      </c>
      <c r="AI1249">
        <v>5.0085958370184476E-4</v>
      </c>
    </row>
    <row r="1250" spans="23:35" x14ac:dyDescent="0.25">
      <c r="W1250">
        <v>1248</v>
      </c>
      <c r="X1250">
        <v>79.251920565589259</v>
      </c>
      <c r="Y1250">
        <v>-6.2519205655892591</v>
      </c>
      <c r="Z1250">
        <v>79.302335066791102</v>
      </c>
      <c r="AA1250">
        <v>0.60946027895694366</v>
      </c>
      <c r="AB1250">
        <v>75</v>
      </c>
      <c r="AC1250">
        <v>0.22222871718700732</v>
      </c>
      <c r="AD1250">
        <v>-0.84694280913901954</v>
      </c>
      <c r="AE1250">
        <v>0.73392221100186406</v>
      </c>
      <c r="AF1250">
        <v>7.9993368596803366E-3</v>
      </c>
      <c r="AG1250">
        <v>-0.85035075924461312</v>
      </c>
      <c r="AH1250">
        <v>0.73809552781787102</v>
      </c>
      <c r="AI1250">
        <v>3.2394085623139486E-4</v>
      </c>
    </row>
    <row r="1251" spans="23:35" x14ac:dyDescent="0.25">
      <c r="W1251">
        <v>1249</v>
      </c>
      <c r="X1251">
        <v>79.432135419766013</v>
      </c>
      <c r="Y1251">
        <v>-9.4321354197660128</v>
      </c>
      <c r="Z1251">
        <v>79.473483013461859</v>
      </c>
      <c r="AA1251">
        <v>0.46088538508186777</v>
      </c>
      <c r="AB1251">
        <v>75</v>
      </c>
      <c r="AC1251">
        <v>-0.10660788786182936</v>
      </c>
      <c r="AD1251">
        <v>-1.2777640382325199</v>
      </c>
      <c r="AE1251">
        <v>0.73600940040277674</v>
      </c>
      <c r="AF1251">
        <v>4.3645609156727104E-3</v>
      </c>
      <c r="AG1251">
        <v>-1.2805616387844765</v>
      </c>
      <c r="AH1251">
        <v>0.74114146397959857</v>
      </c>
      <c r="AI1251">
        <v>3.9936378791916223E-4</v>
      </c>
    </row>
    <row r="1252" spans="23:35" x14ac:dyDescent="0.25">
      <c r="W1252">
        <v>1250</v>
      </c>
      <c r="X1252">
        <v>75.92273891120621</v>
      </c>
      <c r="Y1252">
        <v>-6.3227389112062156</v>
      </c>
      <c r="Z1252">
        <v>76.004965558959725</v>
      </c>
      <c r="AA1252">
        <v>0.44815039417828989</v>
      </c>
      <c r="AB1252">
        <v>75</v>
      </c>
      <c r="AC1252">
        <v>-0.14337818601426075</v>
      </c>
      <c r="AD1252">
        <v>-0.8565365152563893</v>
      </c>
      <c r="AE1252">
        <v>0.7403508421352788</v>
      </c>
      <c r="AF1252">
        <v>1.2837953146912544E-2</v>
      </c>
      <c r="AG1252">
        <v>-0.86208811401170293</v>
      </c>
      <c r="AH1252">
        <v>0.74241146571110173</v>
      </c>
      <c r="AI1252">
        <v>5.3695531566764728E-4</v>
      </c>
    </row>
    <row r="1253" spans="23:35" x14ac:dyDescent="0.25">
      <c r="W1253">
        <v>1251</v>
      </c>
      <c r="X1253">
        <v>74.748762555683186</v>
      </c>
      <c r="Y1253">
        <v>-5.3487625556831802</v>
      </c>
      <c r="Z1253">
        <v>74.811865813765223</v>
      </c>
      <c r="AA1253">
        <v>0.43784111582777441</v>
      </c>
      <c r="AB1253">
        <v>75</v>
      </c>
      <c r="AC1253">
        <v>-0.16799678341230881</v>
      </c>
      <c r="AD1253">
        <v>-0.72459269704443874</v>
      </c>
      <c r="AE1253">
        <v>0.7410220824063436</v>
      </c>
      <c r="AF1253">
        <v>1.1660166798951103E-2</v>
      </c>
      <c r="AG1253">
        <v>-0.72885443879026313</v>
      </c>
      <c r="AH1253">
        <v>0.74401184343328797</v>
      </c>
      <c r="AI1253">
        <v>3.4818300154882092E-4</v>
      </c>
    </row>
    <row r="1254" spans="23:35" x14ac:dyDescent="0.25">
      <c r="W1254">
        <v>1252</v>
      </c>
      <c r="X1254">
        <v>74.812038657927516</v>
      </c>
      <c r="Y1254">
        <v>-6.4120386579275106</v>
      </c>
      <c r="Z1254">
        <v>74.867793007292136</v>
      </c>
      <c r="AA1254">
        <v>0.40024257125530627</v>
      </c>
      <c r="AB1254">
        <v>75</v>
      </c>
      <c r="AC1254">
        <v>-0.26293383539244392</v>
      </c>
      <c r="AD1254">
        <v>-0.86863388238543049</v>
      </c>
      <c r="AE1254">
        <v>0.74119826199128536</v>
      </c>
      <c r="AF1254">
        <v>8.6203051491843558E-3</v>
      </c>
      <c r="AG1254">
        <v>-0.87240220761226794</v>
      </c>
      <c r="AH1254">
        <v>0.74422926897627451</v>
      </c>
      <c r="AI1254">
        <v>3.6765766676532868E-4</v>
      </c>
    </row>
    <row r="1255" spans="23:35" x14ac:dyDescent="0.25">
      <c r="W1255">
        <v>1253</v>
      </c>
      <c r="X1255">
        <v>74.883859439517948</v>
      </c>
      <c r="Y1255">
        <v>-6.6838594395179456</v>
      </c>
      <c r="Z1255">
        <v>74.955438570764059</v>
      </c>
      <c r="AA1255">
        <v>0.39175257731958762</v>
      </c>
      <c r="AB1255">
        <v>75</v>
      </c>
      <c r="AC1255">
        <v>-0.28028330588569778</v>
      </c>
      <c r="AD1255">
        <v>-0.90545723193495709</v>
      </c>
      <c r="AE1255">
        <v>0.74590765228143163</v>
      </c>
      <c r="AF1255">
        <v>1.0595778571044656E-2</v>
      </c>
      <c r="AG1255">
        <v>-0.91029270491428016</v>
      </c>
      <c r="AH1255">
        <v>0.7471277383535404</v>
      </c>
      <c r="AI1255">
        <v>4.9300206049260418E-4</v>
      </c>
    </row>
    <row r="1256" spans="23:35" x14ac:dyDescent="0.25">
      <c r="W1256">
        <v>1254</v>
      </c>
      <c r="X1256">
        <v>74.011912352690914</v>
      </c>
      <c r="Y1256">
        <v>-6.5119123526909135</v>
      </c>
      <c r="Z1256">
        <v>74.078766948982746</v>
      </c>
      <c r="AA1256">
        <v>0.35900545785324439</v>
      </c>
      <c r="AB1256">
        <v>75</v>
      </c>
      <c r="AC1256">
        <v>-0.37168505980560429</v>
      </c>
      <c r="AD1256">
        <v>-0.88216369401924755</v>
      </c>
      <c r="AE1256">
        <v>0.74641914569308043</v>
      </c>
      <c r="AF1256">
        <v>1.0162177321414983E-2</v>
      </c>
      <c r="AG1256">
        <v>-0.88668050070687965</v>
      </c>
      <c r="AH1256">
        <v>0.74798141089026737</v>
      </c>
      <c r="AI1256">
        <v>4.4841954605912097E-4</v>
      </c>
    </row>
    <row r="1257" spans="23:35" x14ac:dyDescent="0.25">
      <c r="W1257">
        <v>1255</v>
      </c>
      <c r="X1257">
        <v>74.797479392737017</v>
      </c>
      <c r="Y1257">
        <v>-7.49747939273702</v>
      </c>
      <c r="Z1257">
        <v>74.844859483777171</v>
      </c>
      <c r="AA1257">
        <v>0.35112189205579136</v>
      </c>
      <c r="AB1257">
        <v>75.099999999999994</v>
      </c>
      <c r="AC1257">
        <v>-0.39787592189543292</v>
      </c>
      <c r="AD1257">
        <v>-1.0156776932350715</v>
      </c>
      <c r="AE1257">
        <v>0.74672381560274781</v>
      </c>
      <c r="AF1257">
        <v>6.2797844203773164E-3</v>
      </c>
      <c r="AG1257">
        <v>-1.0188819109820673</v>
      </c>
      <c r="AH1257">
        <v>0.75178908314989012</v>
      </c>
      <c r="AI1257">
        <v>3.6446498325434654E-4</v>
      </c>
    </row>
    <row r="1258" spans="23:35" x14ac:dyDescent="0.25">
      <c r="W1258">
        <v>1256</v>
      </c>
      <c r="X1258">
        <v>71.541008332163813</v>
      </c>
      <c r="Y1258">
        <v>-5.1410083321638069</v>
      </c>
      <c r="Z1258">
        <v>71.570402624046679</v>
      </c>
      <c r="AA1258">
        <v>0.32201334141904187</v>
      </c>
      <c r="AB1258">
        <v>75.099999999999994</v>
      </c>
      <c r="AC1258">
        <v>-0.46970075330452549</v>
      </c>
      <c r="AD1258">
        <v>-0.69644839421268812</v>
      </c>
      <c r="AE1258">
        <v>0.74697567161400014</v>
      </c>
      <c r="AF1258">
        <v>5.6851069481821696E-3</v>
      </c>
      <c r="AG1258">
        <v>-0.69843656727517256</v>
      </c>
      <c r="AH1258">
        <v>0.7518383671426081</v>
      </c>
      <c r="AI1258">
        <v>1.5495162241717435E-4</v>
      </c>
    </row>
    <row r="1259" spans="23:35" x14ac:dyDescent="0.25">
      <c r="W1259">
        <v>1257</v>
      </c>
      <c r="X1259">
        <v>73.33012503458832</v>
      </c>
      <c r="Y1259">
        <v>-8.3301250345883204</v>
      </c>
      <c r="Z1259">
        <v>73.414488970042342</v>
      </c>
      <c r="AA1259">
        <v>0.27289266221952696</v>
      </c>
      <c r="AB1259">
        <v>75.099999999999994</v>
      </c>
      <c r="AC1259">
        <v>-0.62335641379693996</v>
      </c>
      <c r="AD1259">
        <v>-1.1284755497542922</v>
      </c>
      <c r="AE1259">
        <v>0.75053091867647803</v>
      </c>
      <c r="AF1259">
        <v>1.0026031973465969E-2</v>
      </c>
      <c r="AG1259">
        <v>-1.1341755127252315</v>
      </c>
      <c r="AH1259">
        <v>0.75417841993331414</v>
      </c>
      <c r="AI1259">
        <v>7.2375793532784437E-4</v>
      </c>
    </row>
    <row r="1260" spans="23:35" x14ac:dyDescent="0.25">
      <c r="W1260">
        <v>1258</v>
      </c>
      <c r="X1260">
        <v>74.745512048874616</v>
      </c>
      <c r="Y1260">
        <v>-9.8455120488746104</v>
      </c>
      <c r="Z1260">
        <v>74.811903671380932</v>
      </c>
      <c r="AA1260">
        <v>0.26622195269860521</v>
      </c>
      <c r="AB1260">
        <v>75.099999999999994</v>
      </c>
      <c r="AC1260">
        <v>-0.62890421763218984</v>
      </c>
      <c r="AD1260">
        <v>-1.3337638481815859</v>
      </c>
      <c r="AE1260">
        <v>0.75236157609629872</v>
      </c>
      <c r="AF1260">
        <v>6.6981706751264043E-3</v>
      </c>
      <c r="AG1260">
        <v>-1.3382533031120127</v>
      </c>
      <c r="AH1260">
        <v>0.75463680022866675</v>
      </c>
      <c r="AI1260">
        <v>6.7093294415261422E-4</v>
      </c>
    </row>
    <row r="1261" spans="23:35" x14ac:dyDescent="0.25">
      <c r="W1261">
        <v>1259</v>
      </c>
      <c r="X1261">
        <v>72.088696516162599</v>
      </c>
      <c r="Y1261">
        <v>-7.4886965161626051</v>
      </c>
      <c r="Z1261">
        <v>72.164737018917322</v>
      </c>
      <c r="AA1261">
        <v>0.25773195876288657</v>
      </c>
      <c r="AB1261">
        <v>75.2</v>
      </c>
      <c r="AC1261">
        <v>-0.66071795340131467</v>
      </c>
      <c r="AD1261">
        <v>-1.014487883786884</v>
      </c>
      <c r="AE1261">
        <v>0.75334461659756624</v>
      </c>
      <c r="AF1261">
        <v>1.0051969098802873E-2</v>
      </c>
      <c r="AG1261">
        <v>-1.0196254488084704</v>
      </c>
      <c r="AH1261">
        <v>0.75640562866475769</v>
      </c>
      <c r="AI1261">
        <v>5.8647239727496736E-4</v>
      </c>
    </row>
    <row r="1262" spans="23:35" x14ac:dyDescent="0.25">
      <c r="W1262">
        <v>1260</v>
      </c>
      <c r="X1262">
        <v>72.818076146869487</v>
      </c>
      <c r="Y1262">
        <v>-8.0180761468694897</v>
      </c>
      <c r="Z1262">
        <v>72.866565833104431</v>
      </c>
      <c r="AA1262">
        <v>0.26440266828380837</v>
      </c>
      <c r="AB1262">
        <v>75.2</v>
      </c>
      <c r="AC1262">
        <v>-0.63633155866502356</v>
      </c>
      <c r="AD1262">
        <v>-1.0862025300028995</v>
      </c>
      <c r="AE1262">
        <v>0.7535266770234933</v>
      </c>
      <c r="AF1262">
        <v>6.0111932683847473E-3</v>
      </c>
      <c r="AG1262">
        <v>-1.0894820092877078</v>
      </c>
      <c r="AH1262">
        <v>0.75649086038899027</v>
      </c>
      <c r="AI1262">
        <v>3.9879234993837512E-4</v>
      </c>
    </row>
    <row r="1263" spans="23:35" x14ac:dyDescent="0.25">
      <c r="W1263">
        <v>1261</v>
      </c>
      <c r="X1263">
        <v>68.09410411864836</v>
      </c>
      <c r="Y1263">
        <v>-2.9941041186483659</v>
      </c>
      <c r="Z1263">
        <v>68.116716734226614</v>
      </c>
      <c r="AA1263">
        <v>0.27713765918738631</v>
      </c>
      <c r="AB1263">
        <v>75.2</v>
      </c>
      <c r="AC1263">
        <v>-0.60317578841021124</v>
      </c>
      <c r="AD1263">
        <v>-0.40560895272087427</v>
      </c>
      <c r="AE1263">
        <v>0.75427053357034779</v>
      </c>
      <c r="AF1263">
        <v>7.4957702596648726E-3</v>
      </c>
      <c r="AG1263">
        <v>-0.40713772838543072</v>
      </c>
      <c r="AH1263">
        <v>0.75732128220440798</v>
      </c>
      <c r="AI1263">
        <v>6.954951314578668E-5</v>
      </c>
    </row>
    <row r="1264" spans="23:35" x14ac:dyDescent="0.25">
      <c r="W1264">
        <v>1262</v>
      </c>
      <c r="X1264">
        <v>64.8623914233645</v>
      </c>
      <c r="Y1264">
        <v>0.83760857663550325</v>
      </c>
      <c r="Z1264">
        <v>64.85640417582637</v>
      </c>
      <c r="AA1264">
        <v>0.29654335961188599</v>
      </c>
      <c r="AB1264">
        <v>75.2</v>
      </c>
      <c r="AC1264">
        <v>-0.54051528578164909</v>
      </c>
      <c r="AD1264">
        <v>0.11347018142860002</v>
      </c>
      <c r="AE1264">
        <v>0.7557427926329976</v>
      </c>
      <c r="AF1264">
        <v>7.0972939487911413E-3</v>
      </c>
      <c r="AG1264">
        <v>0.11387500317783641</v>
      </c>
      <c r="AH1264">
        <v>0.75891433826927746</v>
      </c>
      <c r="AI1264">
        <v>5.1495632593175811E-6</v>
      </c>
    </row>
    <row r="1265" spans="23:35" x14ac:dyDescent="0.25">
      <c r="W1265">
        <v>1263</v>
      </c>
      <c r="X1265">
        <v>67.361963180039197</v>
      </c>
      <c r="Y1265">
        <v>-2.1619631800391943</v>
      </c>
      <c r="Z1265">
        <v>67.374419787857576</v>
      </c>
      <c r="AA1265">
        <v>0.28077622801697999</v>
      </c>
      <c r="AB1265">
        <v>75.2</v>
      </c>
      <c r="AC1265">
        <v>-0.59046081866695443</v>
      </c>
      <c r="AD1265">
        <v>-0.29287946795673037</v>
      </c>
      <c r="AE1265">
        <v>0.75737213978909279</v>
      </c>
      <c r="AF1265">
        <v>5.7287042216695658E-3</v>
      </c>
      <c r="AG1265">
        <v>-0.2937219995729205</v>
      </c>
      <c r="AH1265">
        <v>0.76229646890242986</v>
      </c>
      <c r="AI1265">
        <v>2.7615438596184164E-5</v>
      </c>
    </row>
    <row r="1266" spans="23:35" x14ac:dyDescent="0.25">
      <c r="W1266">
        <v>1264</v>
      </c>
      <c r="X1266">
        <v>68.203651457234699</v>
      </c>
      <c r="Y1266">
        <v>-3.6036514572347045</v>
      </c>
      <c r="Z1266">
        <v>68.216334726452615</v>
      </c>
      <c r="AA1266">
        <v>0.25773195876288657</v>
      </c>
      <c r="AB1266">
        <v>75.2</v>
      </c>
      <c r="AC1266">
        <v>-0.66071795340131467</v>
      </c>
      <c r="AD1266">
        <v>-0.48818385587735236</v>
      </c>
      <c r="AE1266">
        <v>0.75923918877505336</v>
      </c>
      <c r="AF1266">
        <v>3.5072166094424159E-3</v>
      </c>
      <c r="AG1266">
        <v>-0.48904219759503675</v>
      </c>
      <c r="AH1266">
        <v>0.76579940255499046</v>
      </c>
      <c r="AI1266">
        <v>4.6763670839944737E-5</v>
      </c>
    </row>
    <row r="1267" spans="23:35" x14ac:dyDescent="0.25">
      <c r="W1267">
        <v>1265</v>
      </c>
      <c r="X1267">
        <v>61.191984606173939</v>
      </c>
      <c r="Y1267">
        <v>2.608015393826058</v>
      </c>
      <c r="Z1267">
        <v>61.17868637442924</v>
      </c>
      <c r="AA1267">
        <v>0.23650697392359005</v>
      </c>
      <c r="AB1267">
        <v>75.3</v>
      </c>
      <c r="AC1267">
        <v>-0.72448350403832318</v>
      </c>
      <c r="AD1267">
        <v>0.35330581390978683</v>
      </c>
      <c r="AE1267">
        <v>0.7649618839904736</v>
      </c>
      <c r="AF1267">
        <v>5.0731173923547913E-3</v>
      </c>
      <c r="AG1267">
        <v>0.3542054191474292</v>
      </c>
      <c r="AH1267">
        <v>0.76992793483732913</v>
      </c>
      <c r="AI1267">
        <v>3.5540345397090874E-5</v>
      </c>
    </row>
    <row r="1268" spans="23:35" x14ac:dyDescent="0.25">
      <c r="W1268">
        <v>1266</v>
      </c>
      <c r="X1268">
        <v>57.900417706437224</v>
      </c>
      <c r="Y1268">
        <v>4.8995822935627729</v>
      </c>
      <c r="Z1268">
        <v>57.867910094583408</v>
      </c>
      <c r="AA1268">
        <v>0.21467556094602788</v>
      </c>
      <c r="AB1268">
        <v>75.3</v>
      </c>
      <c r="AC1268">
        <v>-0.79968509868701798</v>
      </c>
      <c r="AD1268">
        <v>0.66374259682020431</v>
      </c>
      <c r="AE1268">
        <v>0.76644865360448577</v>
      </c>
      <c r="AF1268">
        <v>6.5910420282719526E-3</v>
      </c>
      <c r="AG1268">
        <v>0.66594084705401446</v>
      </c>
      <c r="AH1268">
        <v>0.77359447012583615</v>
      </c>
      <c r="AI1268">
        <v>1.6346501262335295E-4</v>
      </c>
    </row>
    <row r="1269" spans="23:35" x14ac:dyDescent="0.25">
      <c r="W1269">
        <v>1267</v>
      </c>
      <c r="X1269">
        <v>60.944815927218052</v>
      </c>
      <c r="Y1269">
        <v>5.5184072781948146E-2</v>
      </c>
      <c r="Z1269">
        <v>60.944580463014631</v>
      </c>
      <c r="AA1269">
        <v>0.17647058823529413</v>
      </c>
      <c r="AB1269">
        <v>75.3</v>
      </c>
      <c r="AC1269">
        <v>-0.93241539434320697</v>
      </c>
      <c r="AD1269">
        <v>7.4757433545974885E-3</v>
      </c>
      <c r="AE1269">
        <v>0.76837152255124685</v>
      </c>
      <c r="AF1269">
        <v>4.2487580414400086E-3</v>
      </c>
      <c r="AG1269">
        <v>7.4916754536834872E-3</v>
      </c>
      <c r="AH1269">
        <v>0.77459221395941513</v>
      </c>
      <c r="AI1269">
        <v>1.3304438423917362E-8</v>
      </c>
    </row>
    <row r="1270" spans="23:35" x14ac:dyDescent="0.25">
      <c r="W1270">
        <v>1268</v>
      </c>
      <c r="X1270">
        <v>62.100753848706916</v>
      </c>
      <c r="Y1270">
        <v>5.8992461512930845</v>
      </c>
      <c r="Z1270">
        <v>62.076757461344378</v>
      </c>
      <c r="AA1270">
        <v>0.38447543966040026</v>
      </c>
      <c r="AB1270">
        <v>75.3</v>
      </c>
      <c r="AC1270">
        <v>-0.31204933220437475</v>
      </c>
      <c r="AD1270">
        <v>0.79916628094710906</v>
      </c>
      <c r="AE1270">
        <v>0.7736017572839764</v>
      </c>
      <c r="AF1270">
        <v>4.0512248495534276E-3</v>
      </c>
      <c r="AG1270">
        <v>0.80079001735519528</v>
      </c>
      <c r="AH1270">
        <v>0.78164673893616221</v>
      </c>
      <c r="AI1270">
        <v>1.4491526727074838E-4</v>
      </c>
    </row>
    <row r="1271" spans="23:35" x14ac:dyDescent="0.25">
      <c r="W1271">
        <v>1269</v>
      </c>
      <c r="X1271">
        <v>60.923194800670302</v>
      </c>
      <c r="Y1271">
        <v>-1.3231948006703007</v>
      </c>
      <c r="Z1271">
        <v>60.929757953173997</v>
      </c>
      <c r="AA1271">
        <v>0.16616130988477865</v>
      </c>
      <c r="AB1271">
        <v>75.3</v>
      </c>
      <c r="AC1271">
        <v>-0.97554401628441823</v>
      </c>
      <c r="AD1271">
        <v>-0.17925216895525664</v>
      </c>
      <c r="AE1271">
        <v>0.7801930705680008</v>
      </c>
      <c r="AF1271">
        <v>4.9355993607929803E-3</v>
      </c>
      <c r="AG1271">
        <v>-0.17969617164272153</v>
      </c>
      <c r="AH1271">
        <v>0.78427330587478794</v>
      </c>
      <c r="AI1271">
        <v>8.8980297704118625E-6</v>
      </c>
    </row>
    <row r="1272" spans="23:35" x14ac:dyDescent="0.25">
      <c r="W1272">
        <v>1270</v>
      </c>
      <c r="X1272">
        <v>52.655357920303977</v>
      </c>
      <c r="Y1272">
        <v>4.944642079696024</v>
      </c>
      <c r="Z1272">
        <v>52.619323751589199</v>
      </c>
      <c r="AA1272">
        <v>0.12431776834445118</v>
      </c>
      <c r="AB1272">
        <v>75.3</v>
      </c>
      <c r="AC1272">
        <v>-1.1700898139672218</v>
      </c>
      <c r="AD1272">
        <v>0.66984681094873144</v>
      </c>
      <c r="AE1272">
        <v>0.78136531077272464</v>
      </c>
      <c r="AF1272">
        <v>7.2347944169779514E-3</v>
      </c>
      <c r="AG1272">
        <v>0.67228314069053163</v>
      </c>
      <c r="AH1272">
        <v>0.78586472918428973</v>
      </c>
      <c r="AI1272">
        <v>1.8298335353005856E-4</v>
      </c>
    </row>
    <row r="1273" spans="23:35" x14ac:dyDescent="0.25">
      <c r="W1273">
        <v>1271</v>
      </c>
      <c r="X1273">
        <v>50.634240575513104</v>
      </c>
      <c r="Y1273">
        <v>4.6657594244868932</v>
      </c>
      <c r="Z1273">
        <v>50.598946116806289</v>
      </c>
      <c r="AA1273">
        <v>8.6719223771983017E-2</v>
      </c>
      <c r="AB1273">
        <v>75.3</v>
      </c>
      <c r="AC1273">
        <v>-1.3946242806491973</v>
      </c>
      <c r="AD1273">
        <v>0.6320667948808677</v>
      </c>
      <c r="AE1273">
        <v>0.78274990242588793</v>
      </c>
      <c r="AF1273">
        <v>7.5077758272449387E-3</v>
      </c>
      <c r="AG1273">
        <v>0.63445294724346957</v>
      </c>
      <c r="AH1273">
        <v>0.78728771874245618</v>
      </c>
      <c r="AI1273">
        <v>1.6916500151764938E-4</v>
      </c>
    </row>
    <row r="1274" spans="23:35" x14ac:dyDescent="0.25">
      <c r="W1274">
        <v>1272</v>
      </c>
      <c r="X1274">
        <v>51.375141271125486</v>
      </c>
      <c r="Y1274">
        <v>2.0248587288745128</v>
      </c>
      <c r="Z1274">
        <v>51.364170992760833</v>
      </c>
      <c r="AA1274">
        <v>6.2462098241358399E-2</v>
      </c>
      <c r="AB1274">
        <v>75.3</v>
      </c>
      <c r="AC1274">
        <v>-1.5418711328403236</v>
      </c>
      <c r="AD1274">
        <v>0.27430603475381921</v>
      </c>
      <c r="AE1274">
        <v>0.78597368883509366</v>
      </c>
      <c r="AF1274">
        <v>5.3886049985760204E-3</v>
      </c>
      <c r="AG1274">
        <v>0.27504809855571066</v>
      </c>
      <c r="AH1274">
        <v>0.78808299661947212</v>
      </c>
      <c r="AI1274">
        <v>2.2770245232190485E-5</v>
      </c>
    </row>
    <row r="1275" spans="23:35" x14ac:dyDescent="0.25">
      <c r="W1275">
        <v>1273</v>
      </c>
      <c r="X1275">
        <v>46.677636972091541</v>
      </c>
      <c r="Y1275">
        <v>5.3223630279084588</v>
      </c>
      <c r="Z1275">
        <v>46.632865639846081</v>
      </c>
      <c r="AA1275">
        <v>4.6694966646452396E-2</v>
      </c>
      <c r="AB1275">
        <v>75.3</v>
      </c>
      <c r="AC1275">
        <v>-1.6935133675401242</v>
      </c>
      <c r="AD1275">
        <v>0.72101637358048909</v>
      </c>
      <c r="AE1275">
        <v>0.78670154380375856</v>
      </c>
      <c r="AF1275">
        <v>8.3417573030859574E-3</v>
      </c>
      <c r="AG1275">
        <v>0.72404259157891249</v>
      </c>
      <c r="AH1275">
        <v>0.78972456996405882</v>
      </c>
      <c r="AI1275">
        <v>2.4499163011685562E-4</v>
      </c>
    </row>
    <row r="1276" spans="23:35" x14ac:dyDescent="0.25">
      <c r="W1276">
        <v>1274</v>
      </c>
      <c r="X1276">
        <v>45.896823221618561</v>
      </c>
      <c r="Y1276">
        <v>11.103176778381439</v>
      </c>
      <c r="Z1276">
        <v>45.817532883934348</v>
      </c>
      <c r="AA1276">
        <v>0.11097634930260764</v>
      </c>
      <c r="AB1276">
        <v>75.3</v>
      </c>
      <c r="AC1276">
        <v>-1.2294035019788656</v>
      </c>
      <c r="AD1276">
        <v>1.504138709440429</v>
      </c>
      <c r="AE1276">
        <v>0.78695608499121894</v>
      </c>
      <c r="AF1276">
        <v>7.0905943081469355E-3</v>
      </c>
      <c r="AG1276">
        <v>1.5094998553153878</v>
      </c>
      <c r="AH1276">
        <v>0.79396023968644958</v>
      </c>
      <c r="AI1276">
        <v>9.0399631333936597E-4</v>
      </c>
    </row>
    <row r="1277" spans="23:35" x14ac:dyDescent="0.25">
      <c r="W1277">
        <v>1275</v>
      </c>
      <c r="X1277">
        <v>73.265417918009703</v>
      </c>
      <c r="Y1277">
        <v>0.534582081990294</v>
      </c>
      <c r="Z1277">
        <v>73.261862963853375</v>
      </c>
      <c r="AA1277">
        <v>0.66767738023044265</v>
      </c>
      <c r="AB1277">
        <v>75.400000000000006</v>
      </c>
      <c r="AC1277">
        <v>0.4143837514429769</v>
      </c>
      <c r="AD1277">
        <v>7.2419418238973021E-2</v>
      </c>
      <c r="AE1277">
        <v>0.79112298784220803</v>
      </c>
      <c r="AF1277">
        <v>6.6060388294027E-3</v>
      </c>
      <c r="AG1277">
        <v>7.2659812682535893E-2</v>
      </c>
      <c r="AH1277">
        <v>0.79810975080561708</v>
      </c>
      <c r="AI1277">
        <v>1.9504537168722475E-6</v>
      </c>
    </row>
    <row r="1278" spans="23:35" x14ac:dyDescent="0.25">
      <c r="W1278">
        <v>1276</v>
      </c>
      <c r="X1278">
        <v>72.821694307007306</v>
      </c>
      <c r="Y1278">
        <v>0.77830569299268859</v>
      </c>
      <c r="Z1278">
        <v>72.812263785785902</v>
      </c>
      <c r="AA1278">
        <v>0.65433596118859916</v>
      </c>
      <c r="AB1278">
        <v>75.400000000000006</v>
      </c>
      <c r="AC1278">
        <v>0.3716850598056044</v>
      </c>
      <c r="AD1278">
        <v>0.1054364659749943</v>
      </c>
      <c r="AE1278">
        <v>0.79730453903338183</v>
      </c>
      <c r="AF1278">
        <v>1.1971674084847882E-2</v>
      </c>
      <c r="AG1278">
        <v>0.10607331533238225</v>
      </c>
      <c r="AH1278">
        <v>0.80053651740507314</v>
      </c>
      <c r="AI1278">
        <v>7.5739994702245372E-6</v>
      </c>
    </row>
    <row r="1279" spans="23:35" x14ac:dyDescent="0.25">
      <c r="W1279">
        <v>1277</v>
      </c>
      <c r="X1279">
        <v>71.887042207031072</v>
      </c>
      <c r="Y1279">
        <v>1.3129577929689304</v>
      </c>
      <c r="Z1279">
        <v>71.879132623620436</v>
      </c>
      <c r="AA1279">
        <v>0.62340812613705276</v>
      </c>
      <c r="AB1279">
        <v>75.400000000000006</v>
      </c>
      <c r="AC1279">
        <v>0.29295400660571058</v>
      </c>
      <c r="AD1279">
        <v>0.17786536949598375</v>
      </c>
      <c r="AE1279">
        <v>0.79865127923392965</v>
      </c>
      <c r="AF1279">
        <v>5.9881737955541237E-3</v>
      </c>
      <c r="AG1279">
        <v>0.17840031759248623</v>
      </c>
      <c r="AH1279">
        <v>0.80074997551388905</v>
      </c>
      <c r="AI1279">
        <v>1.065176524133453E-5</v>
      </c>
    </row>
    <row r="1280" spans="23:35" x14ac:dyDescent="0.25">
      <c r="W1280">
        <v>1278</v>
      </c>
      <c r="X1280">
        <v>67.409267774095298</v>
      </c>
      <c r="Y1280">
        <v>5.5907322259047021</v>
      </c>
      <c r="Z1280">
        <v>67.33633109181666</v>
      </c>
      <c r="AA1280">
        <v>0.60946027895694366</v>
      </c>
      <c r="AB1280">
        <v>75.400000000000006</v>
      </c>
      <c r="AC1280">
        <v>0.22222871718700732</v>
      </c>
      <c r="AD1280">
        <v>0.75737213978909279</v>
      </c>
      <c r="AE1280">
        <v>0.79916628094710906</v>
      </c>
      <c r="AF1280">
        <v>1.2877991892014638E-2</v>
      </c>
      <c r="AG1280">
        <v>0.76229646890242986</v>
      </c>
      <c r="AH1280">
        <v>0.80079001735519528</v>
      </c>
      <c r="AI1280">
        <v>4.211653400794199E-4</v>
      </c>
    </row>
    <row r="1281" spans="23:35" x14ac:dyDescent="0.25">
      <c r="W1281">
        <v>1279</v>
      </c>
      <c r="X1281">
        <v>69.662791439124518</v>
      </c>
      <c r="Y1281">
        <v>2.9372085608754759</v>
      </c>
      <c r="Z1281">
        <v>69.649343695294732</v>
      </c>
      <c r="AA1281">
        <v>0.56458459672528805</v>
      </c>
      <c r="AB1281">
        <v>75.400000000000006</v>
      </c>
      <c r="AC1281">
        <v>0.14798710972583889</v>
      </c>
      <c r="AD1281">
        <v>0.39790135582770086</v>
      </c>
      <c r="AE1281">
        <v>0.80161293873855655</v>
      </c>
      <c r="AF1281">
        <v>4.5575432856566509E-3</v>
      </c>
      <c r="AG1281">
        <v>0.39881119330562065</v>
      </c>
      <c r="AH1281">
        <v>0.80309826594820954</v>
      </c>
      <c r="AI1281">
        <v>4.0455429388943318E-5</v>
      </c>
    </row>
    <row r="1282" spans="23:35" x14ac:dyDescent="0.25">
      <c r="W1282">
        <v>1280</v>
      </c>
      <c r="X1282">
        <v>67.879597844066964</v>
      </c>
      <c r="Y1282">
        <v>8.1204021559330357</v>
      </c>
      <c r="Z1282">
        <v>67.827681009110179</v>
      </c>
      <c r="AA1282">
        <v>0.80836870830806551</v>
      </c>
      <c r="AB1282">
        <v>75.400000000000006</v>
      </c>
      <c r="AC1282">
        <v>0.83794453378675593</v>
      </c>
      <c r="AD1282">
        <v>1.1000645547447472</v>
      </c>
      <c r="AE1282">
        <v>0.80535934619200999</v>
      </c>
      <c r="AF1282">
        <v>6.3527665788200832E-3</v>
      </c>
      <c r="AG1282">
        <v>1.103575518547973</v>
      </c>
      <c r="AH1282">
        <v>0.80911343074535291</v>
      </c>
      <c r="AI1282">
        <v>4.3257586084204656E-4</v>
      </c>
    </row>
    <row r="1283" spans="23:35" x14ac:dyDescent="0.25">
      <c r="W1283">
        <v>1281</v>
      </c>
      <c r="X1283">
        <v>64.234302603569489</v>
      </c>
      <c r="Y1283">
        <v>8.2656973964305109</v>
      </c>
      <c r="Z1283">
        <v>64.15594059245521</v>
      </c>
      <c r="AA1283">
        <v>0.55852031534263191</v>
      </c>
      <c r="AB1283">
        <v>75.400000000000006</v>
      </c>
      <c r="AC1283">
        <v>0.12956927093944998</v>
      </c>
      <c r="AD1283">
        <v>1.1197475877984249</v>
      </c>
      <c r="AE1283">
        <v>0.80614373679796614</v>
      </c>
      <c r="AF1283">
        <v>9.3913534512259367E-3</v>
      </c>
      <c r="AG1283">
        <v>1.1250428873345841</v>
      </c>
      <c r="AH1283">
        <v>0.80961799056803785</v>
      </c>
      <c r="AI1283">
        <v>6.6664054373481436E-4</v>
      </c>
    </row>
    <row r="1284" spans="23:35" x14ac:dyDescent="0.25">
      <c r="W1284">
        <v>1282</v>
      </c>
      <c r="X1284">
        <v>60.793166014369362</v>
      </c>
      <c r="Y1284">
        <v>11.406833985630641</v>
      </c>
      <c r="Z1284">
        <v>60.701481863599952</v>
      </c>
      <c r="AA1284">
        <v>0.53911461491813217</v>
      </c>
      <c r="AB1284">
        <v>75.400000000000006</v>
      </c>
      <c r="AC1284">
        <v>7.9127168877726875E-2</v>
      </c>
      <c r="AD1284">
        <v>1.5452749147752305</v>
      </c>
      <c r="AE1284">
        <v>0.80667600569208908</v>
      </c>
      <c r="AF1284">
        <v>7.9735623044479564E-3</v>
      </c>
      <c r="AG1284">
        <v>1.5514726760835538</v>
      </c>
      <c r="AH1284">
        <v>0.80996305889940579</v>
      </c>
      <c r="AI1284">
        <v>1.0748426806520865E-3</v>
      </c>
    </row>
    <row r="1285" spans="23:35" x14ac:dyDescent="0.25">
      <c r="W1285">
        <v>1283</v>
      </c>
      <c r="X1285">
        <v>57.824240158412579</v>
      </c>
      <c r="Y1285">
        <v>14.175759841587421</v>
      </c>
      <c r="Z1285">
        <v>57.688107648034908</v>
      </c>
      <c r="AA1285">
        <v>0.52516676773802307</v>
      </c>
      <c r="AB1285">
        <v>75.400000000000006</v>
      </c>
      <c r="AC1285">
        <v>4.1053957112594373E-2</v>
      </c>
      <c r="AD1285">
        <v>1.9203791436500046</v>
      </c>
      <c r="AE1285">
        <v>0.8072204863153295</v>
      </c>
      <c r="AF1285">
        <v>9.5118456057266976E-3</v>
      </c>
      <c r="AG1285">
        <v>1.9295779944111893</v>
      </c>
      <c r="AH1285">
        <v>0.81107912354809053</v>
      </c>
      <c r="AI1285">
        <v>1.9864044361955361E-3</v>
      </c>
    </row>
    <row r="1286" spans="23:35" x14ac:dyDescent="0.25">
      <c r="W1286">
        <v>1284</v>
      </c>
      <c r="X1286">
        <v>63.866791817084625</v>
      </c>
      <c r="Y1286">
        <v>7.7332081829153694</v>
      </c>
      <c r="Z1286">
        <v>63.82842402514337</v>
      </c>
      <c r="AA1286">
        <v>0.49787750151607035</v>
      </c>
      <c r="AB1286">
        <v>75.400000000000006</v>
      </c>
      <c r="AC1286">
        <v>-2.1282865457297767E-2</v>
      </c>
      <c r="AD1286">
        <v>1.0476116888215583</v>
      </c>
      <c r="AE1286">
        <v>0.80920351029185555</v>
      </c>
      <c r="AF1286">
        <v>4.9369384106112482E-3</v>
      </c>
      <c r="AG1286">
        <v>1.0502073007605202</v>
      </c>
      <c r="AH1286">
        <v>0.81270561012520548</v>
      </c>
      <c r="AI1286">
        <v>3.0400775730415766E-4</v>
      </c>
    </row>
    <row r="1287" spans="23:35" x14ac:dyDescent="0.25">
      <c r="W1287">
        <v>1285</v>
      </c>
      <c r="X1287">
        <v>63.74745320391677</v>
      </c>
      <c r="Y1287">
        <v>7.6525467960832358</v>
      </c>
      <c r="Z1287">
        <v>63.692505269367601</v>
      </c>
      <c r="AA1287">
        <v>0.4887810794420861</v>
      </c>
      <c r="AB1287">
        <v>75.400000000000006</v>
      </c>
      <c r="AC1287">
        <v>-4.7140240828996732E-2</v>
      </c>
      <c r="AD1287">
        <v>1.0366845535779234</v>
      </c>
      <c r="AE1287">
        <v>0.81197011246133366</v>
      </c>
      <c r="AF1287">
        <v>7.1291562913151051E-3</v>
      </c>
      <c r="AG1287">
        <v>1.0403997733120072</v>
      </c>
      <c r="AH1287">
        <v>0.81401016784555313</v>
      </c>
      <c r="AI1287">
        <v>4.3179078625690299E-4</v>
      </c>
    </row>
    <row r="1288" spans="23:35" x14ac:dyDescent="0.25">
      <c r="W1288">
        <v>1286</v>
      </c>
      <c r="X1288">
        <v>69.568820461178348</v>
      </c>
      <c r="Y1288">
        <v>9.4311795388216524</v>
      </c>
      <c r="Z1288">
        <v>69.536824431671931</v>
      </c>
      <c r="AA1288">
        <v>0.89023650697392354</v>
      </c>
      <c r="AB1288">
        <v>75.400000000000006</v>
      </c>
      <c r="AC1288">
        <v>1.2070560687293583</v>
      </c>
      <c r="AD1288">
        <v>1.2776345457855631</v>
      </c>
      <c r="AE1288">
        <v>0.81449270636751747</v>
      </c>
      <c r="AF1288">
        <v>3.3811091504524463E-3</v>
      </c>
      <c r="AG1288">
        <v>1.2797999493615801</v>
      </c>
      <c r="AH1288">
        <v>0.81749675448743864</v>
      </c>
      <c r="AI1288">
        <v>3.0870363854267757E-4</v>
      </c>
    </row>
    <row r="1289" spans="23:35" x14ac:dyDescent="0.25">
      <c r="W1289">
        <v>1287</v>
      </c>
      <c r="X1289">
        <v>70.198138273072459</v>
      </c>
      <c r="Y1289">
        <v>5.801861726927541</v>
      </c>
      <c r="Z1289">
        <v>70.178722374355871</v>
      </c>
      <c r="AA1289">
        <v>0.80836870830806551</v>
      </c>
      <c r="AB1289">
        <v>75.5</v>
      </c>
      <c r="AC1289">
        <v>0.83794453378675593</v>
      </c>
      <c r="AD1289">
        <v>0.78597368883509366</v>
      </c>
      <c r="AE1289">
        <v>0.81549591587620673</v>
      </c>
      <c r="AF1289">
        <v>3.3353328882748641E-3</v>
      </c>
      <c r="AG1289">
        <v>0.78728771874245618</v>
      </c>
      <c r="AH1289">
        <v>0.81967702807743681</v>
      </c>
      <c r="AI1289">
        <v>1.1523504399077973E-4</v>
      </c>
    </row>
    <row r="1290" spans="23:35" x14ac:dyDescent="0.25">
      <c r="W1290">
        <v>1288</v>
      </c>
      <c r="X1290">
        <v>69.493895761309631</v>
      </c>
      <c r="Y1290">
        <v>5.5061042386903694</v>
      </c>
      <c r="Z1290">
        <v>69.475868287408304</v>
      </c>
      <c r="AA1290">
        <v>0.76046088538508183</v>
      </c>
      <c r="AB1290">
        <v>75.5</v>
      </c>
      <c r="AC1290">
        <v>0.67020216077934069</v>
      </c>
      <c r="AD1290">
        <v>0.74590765228143163</v>
      </c>
      <c r="AE1290">
        <v>0.81840050269868947</v>
      </c>
      <c r="AF1290">
        <v>3.2634040676895988E-3</v>
      </c>
      <c r="AG1290">
        <v>0.7471277383535404</v>
      </c>
      <c r="AH1290">
        <v>0.82295418897205919</v>
      </c>
      <c r="AI1290">
        <v>1.0153310383736208E-4</v>
      </c>
    </row>
    <row r="1291" spans="23:35" x14ac:dyDescent="0.25">
      <c r="W1291">
        <v>1289</v>
      </c>
      <c r="X1291">
        <v>69.705720067376149</v>
      </c>
      <c r="Y1291">
        <v>2.2942799326238514</v>
      </c>
      <c r="Z1291">
        <v>69.696461438164349</v>
      </c>
      <c r="AA1291">
        <v>0.52516676773802307</v>
      </c>
      <c r="AB1291">
        <v>75.5</v>
      </c>
      <c r="AC1291">
        <v>4.1053957112594373E-2</v>
      </c>
      <c r="AD1291">
        <v>0.31080431536234354</v>
      </c>
      <c r="AE1291">
        <v>0.82088599119964856</v>
      </c>
      <c r="AF1291">
        <v>4.0193072367873776E-3</v>
      </c>
      <c r="AG1291">
        <v>0.31143081357977342</v>
      </c>
      <c r="AH1291">
        <v>0.8230090631363195</v>
      </c>
      <c r="AI1291">
        <v>2.1744575859138901E-5</v>
      </c>
    </row>
    <row r="1292" spans="23:35" x14ac:dyDescent="0.25">
      <c r="W1292">
        <v>1290</v>
      </c>
      <c r="X1292">
        <v>69.214975496859182</v>
      </c>
      <c r="Y1292">
        <v>-1.914975496859185</v>
      </c>
      <c r="Z1292">
        <v>69.226275404645676</v>
      </c>
      <c r="AA1292">
        <v>0.35112189205579136</v>
      </c>
      <c r="AB1292">
        <v>75.5</v>
      </c>
      <c r="AC1292">
        <v>-0.39787592189543292</v>
      </c>
      <c r="AD1292">
        <v>-0.25942023890532945</v>
      </c>
      <c r="AE1292">
        <v>0.82176201121491876</v>
      </c>
      <c r="AF1292">
        <v>5.8661953318028849E-3</v>
      </c>
      <c r="AG1292">
        <v>-0.26018450796484471</v>
      </c>
      <c r="AH1292">
        <v>0.8261642729813431</v>
      </c>
      <c r="AI1292">
        <v>2.2192286018540622E-5</v>
      </c>
    </row>
    <row r="1293" spans="23:35" x14ac:dyDescent="0.25">
      <c r="W1293">
        <v>1291</v>
      </c>
      <c r="X1293">
        <v>73.060487992732931</v>
      </c>
      <c r="Y1293">
        <v>-5.9604879927329364</v>
      </c>
      <c r="Z1293">
        <v>73.085093570939605</v>
      </c>
      <c r="AA1293">
        <v>0.34141904184354155</v>
      </c>
      <c r="AB1293">
        <v>75.5</v>
      </c>
      <c r="AC1293">
        <v>-0.41272795222137554</v>
      </c>
      <c r="AD1293">
        <v>-0.80746266550314438</v>
      </c>
      <c r="AE1293">
        <v>0.82260387605736107</v>
      </c>
      <c r="AF1293">
        <v>4.1111434458008713E-3</v>
      </c>
      <c r="AG1293">
        <v>-0.80912759827109382</v>
      </c>
      <c r="AH1293">
        <v>0.82851277977017412</v>
      </c>
      <c r="AI1293">
        <v>1.5014583230471651E-4</v>
      </c>
    </row>
    <row r="1294" spans="23:35" x14ac:dyDescent="0.25">
      <c r="W1294">
        <v>1292</v>
      </c>
      <c r="X1294">
        <v>71.290321760334379</v>
      </c>
      <c r="Y1294">
        <v>-4.3903217603343734</v>
      </c>
      <c r="Z1294">
        <v>71.304202961862913</v>
      </c>
      <c r="AA1294">
        <v>0.33474833232261975</v>
      </c>
      <c r="AB1294">
        <v>75.5</v>
      </c>
      <c r="AC1294">
        <v>-0.43267393579163727</v>
      </c>
      <c r="AD1294">
        <v>-0.59475346906799598</v>
      </c>
      <c r="AE1294">
        <v>0.82517404581659992</v>
      </c>
      <c r="AF1294">
        <v>3.1518078637002354E-3</v>
      </c>
      <c r="AG1294">
        <v>-0.59569296481516887</v>
      </c>
      <c r="AH1294">
        <v>0.82905558276502256</v>
      </c>
      <c r="AI1294">
        <v>6.2330863899783681E-5</v>
      </c>
    </row>
    <row r="1295" spans="23:35" x14ac:dyDescent="0.25">
      <c r="W1295">
        <v>1293</v>
      </c>
      <c r="X1295">
        <v>64.471150546784941</v>
      </c>
      <c r="Y1295">
        <v>2.1288494532150537</v>
      </c>
      <c r="Z1295">
        <v>64.466595479881008</v>
      </c>
      <c r="AA1295">
        <v>0.32686476652516677</v>
      </c>
      <c r="AB1295">
        <v>75.5</v>
      </c>
      <c r="AC1295">
        <v>-0.45616451589519369</v>
      </c>
      <c r="AD1295">
        <v>0.28839357717752528</v>
      </c>
      <c r="AE1295">
        <v>0.82588753985013752</v>
      </c>
      <c r="AF1295">
        <v>2.1351163649358162E-3</v>
      </c>
      <c r="AG1295">
        <v>0.28870194799425025</v>
      </c>
      <c r="AH1295">
        <v>0.83059104348427804</v>
      </c>
      <c r="AI1295">
        <v>9.9077886386375336E-6</v>
      </c>
    </row>
    <row r="1296" spans="23:35" x14ac:dyDescent="0.25">
      <c r="W1296">
        <v>1294</v>
      </c>
      <c r="X1296">
        <v>62.469744017413738</v>
      </c>
      <c r="Y1296">
        <v>3.7302559825862645</v>
      </c>
      <c r="Z1296">
        <v>62.456939341427741</v>
      </c>
      <c r="AA1296">
        <v>0.3171619163129169</v>
      </c>
      <c r="AB1296">
        <v>75.599999999999994</v>
      </c>
      <c r="AC1296">
        <v>-0.48332360885611292</v>
      </c>
      <c r="AD1296">
        <v>0.50533487230918961</v>
      </c>
      <c r="AE1296">
        <v>0.82740860128853055</v>
      </c>
      <c r="AF1296">
        <v>3.4209106274216538E-3</v>
      </c>
      <c r="AG1296">
        <v>0.50620144902276409</v>
      </c>
      <c r="AH1296">
        <v>0.83146712016079827</v>
      </c>
      <c r="AI1296">
        <v>4.8865710840699305E-5</v>
      </c>
    </row>
    <row r="1297" spans="23:35" x14ac:dyDescent="0.25">
      <c r="W1297">
        <v>1295</v>
      </c>
      <c r="X1297">
        <v>62.972516227481314</v>
      </c>
      <c r="Y1297">
        <v>2.8274837725186828</v>
      </c>
      <c r="Z1297">
        <v>62.961971949338654</v>
      </c>
      <c r="AA1297">
        <v>0.30078835657974529</v>
      </c>
      <c r="AB1297">
        <v>75.599999999999994</v>
      </c>
      <c r="AC1297">
        <v>-0.53349185558387491</v>
      </c>
      <c r="AD1297">
        <v>0.38303702421821439</v>
      </c>
      <c r="AE1297">
        <v>0.83009506951470691</v>
      </c>
      <c r="AF1297">
        <v>3.7153537436681477E-3</v>
      </c>
      <c r="AG1297">
        <v>0.38375057216819941</v>
      </c>
      <c r="AH1297">
        <v>0.83195908698132159</v>
      </c>
      <c r="AI1297">
        <v>3.0510006437494924E-5</v>
      </c>
    </row>
    <row r="1298" spans="23:35" x14ac:dyDescent="0.25">
      <c r="W1298">
        <v>1296</v>
      </c>
      <c r="X1298">
        <v>65.143733502991736</v>
      </c>
      <c r="Y1298">
        <v>0.25626649700826931</v>
      </c>
      <c r="Z1298">
        <v>65.143196259311253</v>
      </c>
      <c r="AA1298">
        <v>0.28684050939963612</v>
      </c>
      <c r="AB1298">
        <v>75.599999999999994</v>
      </c>
      <c r="AC1298">
        <v>-0.57067028430202504</v>
      </c>
      <c r="AD1298">
        <v>3.4716222733060735E-2</v>
      </c>
      <c r="AE1298">
        <v>0.83778447769821263</v>
      </c>
      <c r="AF1298">
        <v>2.092039933057655E-3</v>
      </c>
      <c r="AG1298">
        <v>3.4752593672254188E-2</v>
      </c>
      <c r="AH1298">
        <v>0.83866108318002364</v>
      </c>
      <c r="AI1298">
        <v>1.4066350129062583E-7</v>
      </c>
    </row>
    <row r="1299" spans="23:35" x14ac:dyDescent="0.25">
      <c r="W1299">
        <v>1297</v>
      </c>
      <c r="X1299">
        <v>65.870887602773337</v>
      </c>
      <c r="Y1299">
        <v>-0.77088760277334245</v>
      </c>
      <c r="Z1299">
        <v>65.872727368553441</v>
      </c>
      <c r="AA1299">
        <v>0.27713765918738631</v>
      </c>
      <c r="AB1299">
        <v>75.599999999999994</v>
      </c>
      <c r="AC1299">
        <v>-0.60317578841021124</v>
      </c>
      <c r="AD1299">
        <v>-0.10443154307123895</v>
      </c>
      <c r="AE1299">
        <v>0.8378042061554779</v>
      </c>
      <c r="AF1299">
        <v>2.3808730672310037E-3</v>
      </c>
      <c r="AG1299">
        <v>-0.10455608462777685</v>
      </c>
      <c r="AH1299">
        <v>0.83877723851681507</v>
      </c>
      <c r="AI1299">
        <v>1.4494311588756819E-6</v>
      </c>
    </row>
    <row r="1300" spans="23:35" x14ac:dyDescent="0.25">
      <c r="W1300">
        <v>1298</v>
      </c>
      <c r="X1300">
        <v>62.468626771646228</v>
      </c>
      <c r="Y1300">
        <v>2.2313732283537746</v>
      </c>
      <c r="Z1300">
        <v>62.457681409406611</v>
      </c>
      <c r="AA1300">
        <v>0.26197695573074592</v>
      </c>
      <c r="AB1300">
        <v>75.599999999999994</v>
      </c>
      <c r="AC1300">
        <v>-0.64941472986293491</v>
      </c>
      <c r="AD1300">
        <v>0.30228239313552863</v>
      </c>
      <c r="AE1300">
        <v>0.83814628271140101</v>
      </c>
      <c r="AF1300">
        <v>4.8812698987274195E-3</v>
      </c>
      <c r="AG1300">
        <v>0.30302286605029782</v>
      </c>
      <c r="AH1300">
        <v>0.84073375394568095</v>
      </c>
      <c r="AI1300">
        <v>2.5022818106273439E-5</v>
      </c>
    </row>
    <row r="1301" spans="23:35" x14ac:dyDescent="0.25">
      <c r="W1301">
        <v>1299</v>
      </c>
      <c r="X1301">
        <v>59.452808048408031</v>
      </c>
      <c r="Y1301">
        <v>4.8471919515919666</v>
      </c>
      <c r="Z1301">
        <v>59.430599881508051</v>
      </c>
      <c r="AA1301">
        <v>0.2498483929654336</v>
      </c>
      <c r="AB1301">
        <v>75.599999999999994</v>
      </c>
      <c r="AC1301">
        <v>-0.68742774275107121</v>
      </c>
      <c r="AD1301">
        <v>0.65664531800243886</v>
      </c>
      <c r="AE1301">
        <v>0.83993500638072782</v>
      </c>
      <c r="AF1301">
        <v>4.5607603317796052E-3</v>
      </c>
      <c r="AG1301">
        <v>0.65814786047152596</v>
      </c>
      <c r="AH1301">
        <v>0.8444514223929106</v>
      </c>
      <c r="AI1301">
        <v>1.1025465554401827E-4</v>
      </c>
    </row>
    <row r="1302" spans="23:35" x14ac:dyDescent="0.25">
      <c r="W1302">
        <v>1300</v>
      </c>
      <c r="X1302">
        <v>63.791483417502214</v>
      </c>
      <c r="Y1302">
        <v>8.5165824977835314E-3</v>
      </c>
      <c r="Z1302">
        <v>63.791342304825442</v>
      </c>
      <c r="AA1302">
        <v>0.23650697392359005</v>
      </c>
      <c r="AB1302">
        <v>75.599999999999994</v>
      </c>
      <c r="AC1302">
        <v>-0.72448350403832318</v>
      </c>
      <c r="AD1302">
        <v>1.1537347970538624E-3</v>
      </c>
      <c r="AE1302">
        <v>0.84280980890473922</v>
      </c>
      <c r="AF1302">
        <v>1.6299104314101899E-2</v>
      </c>
      <c r="AG1302">
        <v>1.1632537410051309E-3</v>
      </c>
      <c r="AH1302">
        <v>0.8483145157086418</v>
      </c>
      <c r="AI1302">
        <v>1.2455956506382354E-9</v>
      </c>
    </row>
    <row r="1303" spans="23:35" x14ac:dyDescent="0.25">
      <c r="W1303">
        <v>1301</v>
      </c>
      <c r="X1303">
        <v>64.115409812723627</v>
      </c>
      <c r="Y1303">
        <v>-0.71540981272362814</v>
      </c>
      <c r="Z1303">
        <v>64.122997435193284</v>
      </c>
      <c r="AA1303">
        <v>0.22922983626440266</v>
      </c>
      <c r="AB1303">
        <v>75.7</v>
      </c>
      <c r="AC1303">
        <v>-0.74639716414434454</v>
      </c>
      <c r="AD1303">
        <v>-9.6916010067165798E-2</v>
      </c>
      <c r="AE1303">
        <v>0.84335354450768407</v>
      </c>
      <c r="AF1303">
        <v>1.0494674116821453E-2</v>
      </c>
      <c r="AG1303">
        <v>-9.7428599177208433E-2</v>
      </c>
      <c r="AH1303">
        <v>0.84831867059323007</v>
      </c>
      <c r="AI1303">
        <v>5.5930825954901419E-6</v>
      </c>
    </row>
    <row r="1304" spans="23:35" x14ac:dyDescent="0.25">
      <c r="W1304">
        <v>1302</v>
      </c>
      <c r="X1304">
        <v>62.865444341253919</v>
      </c>
      <c r="Y1304">
        <v>3.5345556587460862</v>
      </c>
      <c r="Z1304">
        <v>62.856900712754751</v>
      </c>
      <c r="AA1304">
        <v>0.32201334141904187</v>
      </c>
      <c r="AB1304">
        <v>75.7</v>
      </c>
      <c r="AC1304">
        <v>-0.46970075330452549</v>
      </c>
      <c r="AD1304">
        <v>0.4788235018776949</v>
      </c>
      <c r="AE1304">
        <v>0.84425464479654355</v>
      </c>
      <c r="AF1304">
        <v>2.4113432355457195E-3</v>
      </c>
      <c r="AG1304">
        <v>0.47940185194465534</v>
      </c>
      <c r="AH1304">
        <v>0.84889011894038613</v>
      </c>
      <c r="AI1304">
        <v>3.0862737182888264E-5</v>
      </c>
    </row>
    <row r="1305" spans="23:35" x14ac:dyDescent="0.25">
      <c r="W1305">
        <v>1303</v>
      </c>
      <c r="X1305">
        <v>62.308318773915055</v>
      </c>
      <c r="Y1305">
        <v>3.6916812260849454</v>
      </c>
      <c r="Z1305">
        <v>62.297944809088705</v>
      </c>
      <c r="AA1305">
        <v>0.31109763493026077</v>
      </c>
      <c r="AB1305">
        <v>75.7</v>
      </c>
      <c r="AC1305">
        <v>-0.50738317096904828</v>
      </c>
      <c r="AD1305">
        <v>0.50010918009344063</v>
      </c>
      <c r="AE1305">
        <v>0.84630011128678218</v>
      </c>
      <c r="AF1305">
        <v>2.8022177659091851E-3</v>
      </c>
      <c r="AG1305">
        <v>0.50081136360655198</v>
      </c>
      <c r="AH1305">
        <v>0.85083435945223995</v>
      </c>
      <c r="AI1305">
        <v>3.915582892170405E-5</v>
      </c>
    </row>
    <row r="1306" spans="23:35" x14ac:dyDescent="0.25">
      <c r="W1306">
        <v>1304</v>
      </c>
      <c r="X1306">
        <v>53.66340559636545</v>
      </c>
      <c r="Y1306">
        <v>11.936594403634544</v>
      </c>
      <c r="Z1306">
        <v>53.418628762862987</v>
      </c>
      <c r="AA1306">
        <v>0.29411764705882354</v>
      </c>
      <c r="AB1306">
        <v>75.7</v>
      </c>
      <c r="AC1306">
        <v>-0.55287102664223609</v>
      </c>
      <c r="AD1306">
        <v>1.6170411459497622</v>
      </c>
      <c r="AE1306">
        <v>0.84708300409861559</v>
      </c>
      <c r="AF1306">
        <v>2.0094357912368424E-2</v>
      </c>
      <c r="AG1306">
        <v>1.6335368715121681</v>
      </c>
      <c r="AH1306">
        <v>0.85361971949594906</v>
      </c>
      <c r="AI1306">
        <v>3.040011688211892E-3</v>
      </c>
    </row>
    <row r="1307" spans="23:35" x14ac:dyDescent="0.25">
      <c r="W1307">
        <v>1305</v>
      </c>
      <c r="X1307">
        <v>51.583556321971287</v>
      </c>
      <c r="Y1307">
        <v>13.316443678028719</v>
      </c>
      <c r="Z1307">
        <v>51.521287396508562</v>
      </c>
      <c r="AA1307">
        <v>0.26622195269860521</v>
      </c>
      <c r="AB1307">
        <v>75.7</v>
      </c>
      <c r="AC1307">
        <v>-0.62890421763218984</v>
      </c>
      <c r="AD1307">
        <v>1.8039682523298626</v>
      </c>
      <c r="AE1307">
        <v>0.84869308668124022</v>
      </c>
      <c r="AF1307">
        <v>4.6543286568897311E-3</v>
      </c>
      <c r="AG1307">
        <v>1.8081810945778114</v>
      </c>
      <c r="AH1307">
        <v>0.85510072957234762</v>
      </c>
      <c r="AI1307">
        <v>8.4936518999692231E-4</v>
      </c>
    </row>
    <row r="1308" spans="23:35" x14ac:dyDescent="0.25">
      <c r="W1308">
        <v>1306</v>
      </c>
      <c r="X1308">
        <v>52.133846155181914</v>
      </c>
      <c r="Y1308">
        <v>12.166153844818083</v>
      </c>
      <c r="Z1308">
        <v>52.08682246559512</v>
      </c>
      <c r="AA1308">
        <v>0.2498483929654336</v>
      </c>
      <c r="AB1308">
        <v>75.7</v>
      </c>
      <c r="AC1308">
        <v>-0.68742774275107121</v>
      </c>
      <c r="AD1308">
        <v>1.6481393846334851</v>
      </c>
      <c r="AE1308">
        <v>0.85196206087772874</v>
      </c>
      <c r="AF1308">
        <v>3.8502420401508759E-3</v>
      </c>
      <c r="AG1308">
        <v>1.651321444135248</v>
      </c>
      <c r="AH1308">
        <v>0.85662954262698199</v>
      </c>
      <c r="AI1308">
        <v>5.8553671813701936E-4</v>
      </c>
    </row>
    <row r="1309" spans="23:35" x14ac:dyDescent="0.25">
      <c r="W1309">
        <v>1307</v>
      </c>
      <c r="X1309">
        <v>52.085637961772058</v>
      </c>
      <c r="Y1309">
        <v>11.414362038227942</v>
      </c>
      <c r="Z1309">
        <v>52.042199499249776</v>
      </c>
      <c r="AA1309">
        <v>0.23226197695573075</v>
      </c>
      <c r="AB1309">
        <v>75.8</v>
      </c>
      <c r="AC1309">
        <v>-0.74038552290047832</v>
      </c>
      <c r="AD1309">
        <v>1.5462947341966733</v>
      </c>
      <c r="AE1309">
        <v>0.8521536872679204</v>
      </c>
      <c r="AF1309">
        <v>3.7911693888753152E-3</v>
      </c>
      <c r="AG1309">
        <v>1.5492342275614479</v>
      </c>
      <c r="AH1309">
        <v>0.85845028760681463</v>
      </c>
      <c r="AI1309">
        <v>5.0743972570793639E-4</v>
      </c>
    </row>
    <row r="1310" spans="23:35" x14ac:dyDescent="0.25">
      <c r="W1310">
        <v>1308</v>
      </c>
      <c r="X1310">
        <v>49.595251840317395</v>
      </c>
      <c r="Y1310">
        <v>13.204748159682602</v>
      </c>
      <c r="Z1310">
        <v>49.517408219357506</v>
      </c>
      <c r="AA1310">
        <v>0.21467556094602788</v>
      </c>
      <c r="AB1310">
        <v>75.8</v>
      </c>
      <c r="AC1310">
        <v>-0.79968509868701798</v>
      </c>
      <c r="AD1310">
        <v>1.7888369474638059</v>
      </c>
      <c r="AE1310">
        <v>0.85391721806056187</v>
      </c>
      <c r="AF1310">
        <v>5.8605746713781557E-3</v>
      </c>
      <c r="AG1310">
        <v>1.7941019068173907</v>
      </c>
      <c r="AH1310">
        <v>0.85923925361031461</v>
      </c>
      <c r="AI1310">
        <v>1.0541796225153389E-3</v>
      </c>
    </row>
    <row r="1311" spans="23:35" x14ac:dyDescent="0.25">
      <c r="W1311">
        <v>1309</v>
      </c>
      <c r="X1311">
        <v>51.365653793725102</v>
      </c>
      <c r="Y1311">
        <v>10.7343462062749</v>
      </c>
      <c r="Z1311">
        <v>51.124262114277812</v>
      </c>
      <c r="AA1311">
        <v>0.20133414190418436</v>
      </c>
      <c r="AB1311">
        <v>75.8</v>
      </c>
      <c r="AC1311">
        <v>-0.84444052159937644</v>
      </c>
      <c r="AD1311">
        <v>1.4541735191346528</v>
      </c>
      <c r="AE1311">
        <v>0.85681504647338724</v>
      </c>
      <c r="AF1311">
        <v>2.1993207378002956E-2</v>
      </c>
      <c r="AG1311">
        <v>1.4704331877495822</v>
      </c>
      <c r="AH1311">
        <v>0.86401627576997242</v>
      </c>
      <c r="AI1311">
        <v>2.7012500345756844E-3</v>
      </c>
    </row>
    <row r="1312" spans="23:35" x14ac:dyDescent="0.25">
      <c r="W1312">
        <v>1310</v>
      </c>
      <c r="X1312">
        <v>56.821993200717515</v>
      </c>
      <c r="Y1312">
        <v>4.4780067992824826</v>
      </c>
      <c r="Z1312">
        <v>56.799196639258504</v>
      </c>
      <c r="AA1312">
        <v>0.18253486961795026</v>
      </c>
      <c r="AB1312">
        <v>75.8</v>
      </c>
      <c r="AC1312">
        <v>-0.91148934236618206</v>
      </c>
      <c r="AD1312">
        <v>0.60663209299276699</v>
      </c>
      <c r="AE1312">
        <v>0.86290853095356301</v>
      </c>
      <c r="AF1312">
        <v>5.0649983196018314E-3</v>
      </c>
      <c r="AG1312">
        <v>0.60817424900072736</v>
      </c>
      <c r="AH1312">
        <v>0.87638449345618941</v>
      </c>
      <c r="AI1312">
        <v>1.0460878212868481E-4</v>
      </c>
    </row>
    <row r="1313" spans="23:35" x14ac:dyDescent="0.25">
      <c r="W1313">
        <v>1311</v>
      </c>
      <c r="X1313">
        <v>55.464650381779222</v>
      </c>
      <c r="Y1313">
        <v>9.5353496182207778</v>
      </c>
      <c r="Z1313">
        <v>55.415443979599551</v>
      </c>
      <c r="AA1313">
        <v>0.27289266221952696</v>
      </c>
      <c r="AB1313">
        <v>75.8</v>
      </c>
      <c r="AC1313">
        <v>-0.62335641379693996</v>
      </c>
      <c r="AD1313">
        <v>1.2917463852993485</v>
      </c>
      <c r="AE1313">
        <v>0.8752519616779425</v>
      </c>
      <c r="AF1313">
        <v>5.1339260863976647E-3</v>
      </c>
      <c r="AG1313">
        <v>1.2950750729564455</v>
      </c>
      <c r="AH1313">
        <v>0.88046926625122712</v>
      </c>
      <c r="AI1313">
        <v>4.8084197712592057E-4</v>
      </c>
    </row>
    <row r="1314" spans="23:35" x14ac:dyDescent="0.25">
      <c r="W1314">
        <v>1312</v>
      </c>
      <c r="X1314">
        <v>55.247758226564194</v>
      </c>
      <c r="Y1314">
        <v>4.4522417734358086</v>
      </c>
      <c r="Z1314">
        <v>55.215870925148714</v>
      </c>
      <c r="AA1314">
        <v>0.16919345057610674</v>
      </c>
      <c r="AB1314">
        <v>75.8</v>
      </c>
      <c r="AC1314">
        <v>-0.96823093621551704</v>
      </c>
      <c r="AD1314">
        <v>0.6031417250107699</v>
      </c>
      <c r="AE1314">
        <v>0.87895351820515433</v>
      </c>
      <c r="AF1314">
        <v>7.111147088588194E-3</v>
      </c>
      <c r="AG1314">
        <v>0.60529774544399284</v>
      </c>
      <c r="AH1314">
        <v>0.88123173246617803</v>
      </c>
      <c r="AI1314">
        <v>1.45782245133241E-4</v>
      </c>
    </row>
    <row r="1315" spans="23:35" x14ac:dyDescent="0.25">
      <c r="W1315">
        <v>1313</v>
      </c>
      <c r="X1315">
        <v>72.899146984659552</v>
      </c>
      <c r="Y1315">
        <v>2.5008530153404536</v>
      </c>
      <c r="Z1315">
        <v>72.883696052641852</v>
      </c>
      <c r="AA1315">
        <v>0.77986658580958157</v>
      </c>
      <c r="AB1315">
        <v>75.8</v>
      </c>
      <c r="AC1315">
        <v>0.74840704313415274</v>
      </c>
      <c r="AD1315">
        <v>0.33878860996958254</v>
      </c>
      <c r="AE1315">
        <v>0.88268655760135306</v>
      </c>
      <c r="AF1315">
        <v>6.1403281721689384E-3</v>
      </c>
      <c r="AG1315">
        <v>0.33983356132084397</v>
      </c>
      <c r="AH1315">
        <v>0.88432940481032141</v>
      </c>
      <c r="AI1315">
        <v>3.9639351677045718E-5</v>
      </c>
    </row>
    <row r="1316" spans="23:35" x14ac:dyDescent="0.25">
      <c r="W1316">
        <v>1314</v>
      </c>
      <c r="X1316">
        <v>72.161664694293862</v>
      </c>
      <c r="Y1316">
        <v>3.1383353057061356</v>
      </c>
      <c r="Z1316">
        <v>72.14326136493014</v>
      </c>
      <c r="AA1316">
        <v>0.77258944815039421</v>
      </c>
      <c r="AB1316">
        <v>75.900000000000006</v>
      </c>
      <c r="AC1316">
        <v>0.72844171022016913</v>
      </c>
      <c r="AD1316">
        <v>0.4251478392839107</v>
      </c>
      <c r="AE1316">
        <v>0.88295829726680364</v>
      </c>
      <c r="AF1316">
        <v>5.8298552687474203E-3</v>
      </c>
      <c r="AG1316">
        <v>0.42639255952524752</v>
      </c>
      <c r="AH1316">
        <v>0.88501535379788643</v>
      </c>
      <c r="AI1316">
        <v>5.9230280111342718E-5</v>
      </c>
    </row>
    <row r="1317" spans="23:35" x14ac:dyDescent="0.25">
      <c r="W1317">
        <v>1315</v>
      </c>
      <c r="X1317">
        <v>78.156745682484825</v>
      </c>
      <c r="Y1317">
        <v>-3.2567456824848193</v>
      </c>
      <c r="Z1317">
        <v>78.168640736451778</v>
      </c>
      <c r="AA1317">
        <v>0.74833232261976956</v>
      </c>
      <c r="AB1317">
        <v>75.900000000000006</v>
      </c>
      <c r="AC1317">
        <v>0.64941472986293525</v>
      </c>
      <c r="AD1317">
        <v>-0.44118880079134398</v>
      </c>
      <c r="AE1317">
        <v>0.88361010277859664</v>
      </c>
      <c r="AF1317">
        <v>3.6391438906990458E-3</v>
      </c>
      <c r="AG1317">
        <v>-0.44199377328140521</v>
      </c>
      <c r="AH1317">
        <v>0.89059418817649916</v>
      </c>
      <c r="AI1317">
        <v>3.9640796107085779E-5</v>
      </c>
    </row>
    <row r="1318" spans="23:35" x14ac:dyDescent="0.25">
      <c r="W1318">
        <v>1316</v>
      </c>
      <c r="X1318">
        <v>76.7195445720902</v>
      </c>
      <c r="Y1318">
        <v>-2.1195445720902057</v>
      </c>
      <c r="Z1318">
        <v>76.727390471209944</v>
      </c>
      <c r="AA1318">
        <v>0.73013947847180105</v>
      </c>
      <c r="AB1318">
        <v>75.900000000000006</v>
      </c>
      <c r="AC1318">
        <v>0.59589828697336056</v>
      </c>
      <c r="AD1318">
        <v>-0.28713305217950164</v>
      </c>
      <c r="AE1318">
        <v>0.88400783187885967</v>
      </c>
      <c r="AF1318">
        <v>3.6880390440442038E-3</v>
      </c>
      <c r="AG1318">
        <v>-0.28766400020311372</v>
      </c>
      <c r="AH1318">
        <v>0.89117813020224879</v>
      </c>
      <c r="AI1318">
        <v>1.7017614902675544E-5</v>
      </c>
    </row>
    <row r="1319" spans="23:35" x14ac:dyDescent="0.25">
      <c r="W1319">
        <v>1317</v>
      </c>
      <c r="X1319">
        <v>70.145750521654378</v>
      </c>
      <c r="Y1319">
        <v>4.2542494783456277</v>
      </c>
      <c r="Z1319">
        <v>70.124724627501493</v>
      </c>
      <c r="AA1319">
        <v>0.71376591873862949</v>
      </c>
      <c r="AB1319">
        <v>75.900000000000006</v>
      </c>
      <c r="AC1319">
        <v>0.54051528578164909</v>
      </c>
      <c r="AD1319">
        <v>0.57631986301934934</v>
      </c>
      <c r="AE1319">
        <v>0.88797443669894338</v>
      </c>
      <c r="AF1319">
        <v>4.9180210210889612E-3</v>
      </c>
      <c r="AG1319">
        <v>0.57774228841400366</v>
      </c>
      <c r="AH1319">
        <v>0.89318228779724784</v>
      </c>
      <c r="AI1319">
        <v>9.1648915247762318E-5</v>
      </c>
    </row>
    <row r="1320" spans="23:35" x14ac:dyDescent="0.25">
      <c r="W1320">
        <v>1318</v>
      </c>
      <c r="X1320">
        <v>77.104483020605798</v>
      </c>
      <c r="Y1320">
        <v>-3.0044830206058037</v>
      </c>
      <c r="Z1320">
        <v>77.116211232372422</v>
      </c>
      <c r="AA1320">
        <v>0.69254093389933291</v>
      </c>
      <c r="AB1320">
        <v>76</v>
      </c>
      <c r="AC1320">
        <v>0.48161589062349974</v>
      </c>
      <c r="AD1320">
        <v>-0.40701497448448931</v>
      </c>
      <c r="AE1320">
        <v>0.88941593055514467</v>
      </c>
      <c r="AF1320">
        <v>3.8883920465320005E-3</v>
      </c>
      <c r="AG1320">
        <v>-0.40780860659530616</v>
      </c>
      <c r="AH1320">
        <v>0.89348444513112979</v>
      </c>
      <c r="AI1320">
        <v>3.6066360069628075E-5</v>
      </c>
    </row>
    <row r="1321" spans="23:35" x14ac:dyDescent="0.25">
      <c r="W1321">
        <v>1319</v>
      </c>
      <c r="X1321">
        <v>70.291696212215925</v>
      </c>
      <c r="Y1321">
        <v>3.7083037877840752</v>
      </c>
      <c r="Z1321">
        <v>70.269734882235809</v>
      </c>
      <c r="AA1321">
        <v>0.68465736810187994</v>
      </c>
      <c r="AB1321">
        <v>76</v>
      </c>
      <c r="AC1321">
        <v>0.4663087141536239</v>
      </c>
      <c r="AD1321">
        <v>0.50236102557881601</v>
      </c>
      <c r="AE1321">
        <v>0.89160516697807979</v>
      </c>
      <c r="AF1321">
        <v>5.8873375716744832E-3</v>
      </c>
      <c r="AG1321">
        <v>0.5038463718273225</v>
      </c>
      <c r="AH1321">
        <v>0.89354116617633716</v>
      </c>
      <c r="AI1321">
        <v>8.3523194963636062E-5</v>
      </c>
    </row>
    <row r="1322" spans="23:35" x14ac:dyDescent="0.25">
      <c r="W1322">
        <v>1320</v>
      </c>
      <c r="X1322">
        <v>69.826338821513104</v>
      </c>
      <c r="Y1322">
        <v>3.9736611784868927</v>
      </c>
      <c r="Z1322">
        <v>69.803143582443184</v>
      </c>
      <c r="AA1322">
        <v>0.66767738023044265</v>
      </c>
      <c r="AB1322">
        <v>76</v>
      </c>
      <c r="AC1322">
        <v>0.4143837514429769</v>
      </c>
      <c r="AD1322">
        <v>0.53830878459940135</v>
      </c>
      <c r="AE1322">
        <v>0.89347137372553331</v>
      </c>
      <c r="AF1322">
        <v>5.8033706109701785E-3</v>
      </c>
      <c r="AG1322">
        <v>0.53987761899699072</v>
      </c>
      <c r="AH1322">
        <v>0.90144751510904342</v>
      </c>
      <c r="AI1322">
        <v>9.4520533071265782E-5</v>
      </c>
    </row>
    <row r="1323" spans="23:35" x14ac:dyDescent="0.25">
      <c r="W1323">
        <v>1321</v>
      </c>
      <c r="X1323">
        <v>76.011459358762124</v>
      </c>
      <c r="Y1323">
        <v>-2.41145935876213</v>
      </c>
      <c r="Z1323">
        <v>76.018227952656346</v>
      </c>
      <c r="AA1323">
        <v>0.65433596118859916</v>
      </c>
      <c r="AB1323">
        <v>76</v>
      </c>
      <c r="AC1323">
        <v>0.3716850598056044</v>
      </c>
      <c r="AD1323">
        <v>-0.32667852094535993</v>
      </c>
      <c r="AE1323">
        <v>0.90192085416206558</v>
      </c>
      <c r="AF1323">
        <v>2.7989891882535031E-3</v>
      </c>
      <c r="AG1323">
        <v>-0.3271366677550599</v>
      </c>
      <c r="AH1323">
        <v>0.90410395971470359</v>
      </c>
      <c r="AI1323">
        <v>1.6688006373662381E-5</v>
      </c>
    </row>
    <row r="1324" spans="23:35" x14ac:dyDescent="0.25">
      <c r="W1324">
        <v>1322</v>
      </c>
      <c r="X1324">
        <v>74.631708538290738</v>
      </c>
      <c r="Y1324">
        <v>-1.6317085382907379</v>
      </c>
      <c r="Z1324">
        <v>74.638830681658604</v>
      </c>
      <c r="AA1324">
        <v>0.60946027895694366</v>
      </c>
      <c r="AB1324">
        <v>76</v>
      </c>
      <c r="AC1324">
        <v>0.22222871718700732</v>
      </c>
      <c r="AD1324">
        <v>-0.22104628467649565</v>
      </c>
      <c r="AE1324">
        <v>0.90333403588202865</v>
      </c>
      <c r="AF1324">
        <v>4.3458689464264391E-3</v>
      </c>
      <c r="AG1324">
        <v>-0.22152817501289943</v>
      </c>
      <c r="AH1324">
        <v>0.90611498000894564</v>
      </c>
      <c r="AI1324">
        <v>1.1900180807530158E-5</v>
      </c>
    </row>
    <row r="1325" spans="23:35" x14ac:dyDescent="0.25">
      <c r="W1325">
        <v>1323</v>
      </c>
      <c r="X1325">
        <v>74.554416687835271</v>
      </c>
      <c r="Y1325">
        <v>-1.5544166878352712</v>
      </c>
      <c r="Z1325">
        <v>74.557760128648169</v>
      </c>
      <c r="AA1325">
        <v>0.60946027895694366</v>
      </c>
      <c r="AB1325">
        <v>76</v>
      </c>
      <c r="AC1325">
        <v>0.22222871718700732</v>
      </c>
      <c r="AD1325">
        <v>-0.21057561790113555</v>
      </c>
      <c r="AE1325">
        <v>0.90492397386844969</v>
      </c>
      <c r="AF1325">
        <v>2.1463129986497962E-3</v>
      </c>
      <c r="AG1325">
        <v>-0.21080196291475761</v>
      </c>
      <c r="AH1325">
        <v>0.90638121144799122</v>
      </c>
      <c r="AI1325">
        <v>5.310103492472927E-6</v>
      </c>
    </row>
    <row r="1326" spans="23:35" x14ac:dyDescent="0.25">
      <c r="W1326">
        <v>1324</v>
      </c>
      <c r="X1326">
        <v>77.164321520932504</v>
      </c>
      <c r="Y1326">
        <v>-4.1643215209325035</v>
      </c>
      <c r="Z1326">
        <v>77.187320845000102</v>
      </c>
      <c r="AA1326">
        <v>0.60946027895694366</v>
      </c>
      <c r="AB1326">
        <v>76</v>
      </c>
      <c r="AC1326">
        <v>0.22222871718700732</v>
      </c>
      <c r="AD1326">
        <v>-0.5641373926772254</v>
      </c>
      <c r="AE1326">
        <v>0.90519419529227141</v>
      </c>
      <c r="AF1326">
        <v>5.492610888667827E-3</v>
      </c>
      <c r="AG1326">
        <v>-0.56569309787400579</v>
      </c>
      <c r="AH1326">
        <v>0.90815502638793633</v>
      </c>
      <c r="AI1326">
        <v>9.8188375296603191E-5</v>
      </c>
    </row>
    <row r="1327" spans="23:35" x14ac:dyDescent="0.25">
      <c r="W1327">
        <v>1325</v>
      </c>
      <c r="X1327">
        <v>78.746627731894819</v>
      </c>
      <c r="Y1327">
        <v>-5.846627731894813</v>
      </c>
      <c r="Z1327">
        <v>78.782069758874613</v>
      </c>
      <c r="AA1327">
        <v>0.58762886597938147</v>
      </c>
      <c r="AB1327">
        <v>76</v>
      </c>
      <c r="AC1327">
        <v>0.206674078513852</v>
      </c>
      <c r="AD1327">
        <v>-0.79203810465790392</v>
      </c>
      <c r="AE1327">
        <v>0.90868366675555223</v>
      </c>
      <c r="AF1327">
        <v>6.025434656963197E-3</v>
      </c>
      <c r="AG1327">
        <v>-0.79443512937304528</v>
      </c>
      <c r="AH1327">
        <v>0.91122080305504138</v>
      </c>
      <c r="AI1327">
        <v>2.1254822610800801E-4</v>
      </c>
    </row>
    <row r="1328" spans="23:35" x14ac:dyDescent="0.25">
      <c r="W1328">
        <v>1326</v>
      </c>
      <c r="X1328">
        <v>78.48668932638536</v>
      </c>
      <c r="Y1328">
        <v>-5.7866893263853569</v>
      </c>
      <c r="Z1328">
        <v>78.544092068438786</v>
      </c>
      <c r="AA1328">
        <v>0.57246816252274102</v>
      </c>
      <c r="AB1328">
        <v>76</v>
      </c>
      <c r="AC1328">
        <v>0.16337348484333708</v>
      </c>
      <c r="AD1328">
        <v>-0.78391829555205872</v>
      </c>
      <c r="AE1328">
        <v>0.91023881865824641</v>
      </c>
      <c r="AF1328">
        <v>9.8223541623219841E-3</v>
      </c>
      <c r="AG1328">
        <v>-0.78779685304562419</v>
      </c>
      <c r="AH1328">
        <v>0.91195067238558614</v>
      </c>
      <c r="AI1328">
        <v>3.4202547127494705E-4</v>
      </c>
    </row>
    <row r="1329" spans="23:35" x14ac:dyDescent="0.25">
      <c r="W1329">
        <v>1327</v>
      </c>
      <c r="X1329">
        <v>71.564189073670889</v>
      </c>
      <c r="Y1329">
        <v>1.0358109263291055</v>
      </c>
      <c r="Z1329">
        <v>71.559410959629091</v>
      </c>
      <c r="AA1329">
        <v>0.56458459672528805</v>
      </c>
      <c r="AB1329">
        <v>76</v>
      </c>
      <c r="AC1329">
        <v>0.14798710972583889</v>
      </c>
      <c r="AD1329">
        <v>0.14032049935352586</v>
      </c>
      <c r="AE1329">
        <v>0.91170924715202928</v>
      </c>
      <c r="AF1329">
        <v>4.5917397324294245E-3</v>
      </c>
      <c r="AG1329">
        <v>0.1406437706698877</v>
      </c>
      <c r="AH1329">
        <v>0.91323426627003246</v>
      </c>
      <c r="AI1329">
        <v>5.0692594657200531E-6</v>
      </c>
    </row>
    <row r="1330" spans="23:35" x14ac:dyDescent="0.25">
      <c r="W1330">
        <v>1328</v>
      </c>
      <c r="X1330">
        <v>72.48747750269834</v>
      </c>
      <c r="Y1330">
        <v>-8.747750269833432E-2</v>
      </c>
      <c r="Z1330">
        <v>72.487843945026881</v>
      </c>
      <c r="AA1330">
        <v>0.55124317768344455</v>
      </c>
      <c r="AB1330">
        <v>76</v>
      </c>
      <c r="AC1330">
        <v>0.11578501997911882</v>
      </c>
      <c r="AD1330">
        <v>-1.1850509150672553E-2</v>
      </c>
      <c r="AE1330">
        <v>0.9126845252589848</v>
      </c>
      <c r="AF1330">
        <v>4.1715149340670003E-3</v>
      </c>
      <c r="AG1330">
        <v>-1.1875304039832748E-2</v>
      </c>
      <c r="AH1330">
        <v>0.91494234658427365</v>
      </c>
      <c r="AI1330">
        <v>3.2819066799169351E-8</v>
      </c>
    </row>
    <row r="1331" spans="23:35" x14ac:dyDescent="0.25">
      <c r="W1331">
        <v>1329</v>
      </c>
      <c r="X1331">
        <v>74.486573647228951</v>
      </c>
      <c r="Y1331">
        <v>-2.1865736472289541</v>
      </c>
      <c r="Z1331">
        <v>74.494000104046691</v>
      </c>
      <c r="AA1331">
        <v>0.54578532443905392</v>
      </c>
      <c r="AB1331">
        <v>76</v>
      </c>
      <c r="AC1331">
        <v>9.896716322379942E-2</v>
      </c>
      <c r="AD1331">
        <v>-0.29621342877680906</v>
      </c>
      <c r="AE1331">
        <v>0.91410352154211649</v>
      </c>
      <c r="AF1331">
        <v>3.384893557683016E-3</v>
      </c>
      <c r="AG1331">
        <v>-0.29671603054081735</v>
      </c>
      <c r="AH1331">
        <v>0.91961271973029945</v>
      </c>
      <c r="AI1331">
        <v>1.6612196750286727E-5</v>
      </c>
    </row>
    <row r="1332" spans="23:35" x14ac:dyDescent="0.25">
      <c r="W1332">
        <v>1330</v>
      </c>
      <c r="X1332">
        <v>72.524909845260694</v>
      </c>
      <c r="Y1332">
        <v>-0.32490984526069155</v>
      </c>
      <c r="Z1332">
        <v>72.526477929429973</v>
      </c>
      <c r="AA1332">
        <v>0.53911461491813217</v>
      </c>
      <c r="AB1332">
        <v>76</v>
      </c>
      <c r="AC1332">
        <v>7.9127168877726875E-2</v>
      </c>
      <c r="AD1332">
        <v>-4.4015283651653025E-2</v>
      </c>
      <c r="AE1332">
        <v>0.91463839461095364</v>
      </c>
      <c r="AF1332">
        <v>4.8030326950989589E-3</v>
      </c>
      <c r="AG1332">
        <v>-4.4121369378119002E-2</v>
      </c>
      <c r="AH1332">
        <v>0.92033835488649984</v>
      </c>
      <c r="AI1332">
        <v>5.2195367528677277E-7</v>
      </c>
    </row>
    <row r="1333" spans="23:35" x14ac:dyDescent="0.25">
      <c r="W1333">
        <v>1331</v>
      </c>
      <c r="X1333">
        <v>71.4922256807574</v>
      </c>
      <c r="Y1333">
        <v>0.7077743192426027</v>
      </c>
      <c r="Z1333">
        <v>71.488933364512178</v>
      </c>
      <c r="AA1333">
        <v>0.53911461491813217</v>
      </c>
      <c r="AB1333">
        <v>76</v>
      </c>
      <c r="AC1333">
        <v>7.9127168877726875E-2</v>
      </c>
      <c r="AD1333">
        <v>9.5881635712895222E-2</v>
      </c>
      <c r="AE1333">
        <v>0.91734935118785244</v>
      </c>
      <c r="AF1333">
        <v>4.6301093046828079E-3</v>
      </c>
      <c r="AG1333">
        <v>9.6104380739232914E-2</v>
      </c>
      <c r="AH1333">
        <v>0.92068898362269758</v>
      </c>
      <c r="AI1333">
        <v>2.3868251664730905E-6</v>
      </c>
    </row>
    <row r="1334" spans="23:35" x14ac:dyDescent="0.25">
      <c r="W1334">
        <v>1332</v>
      </c>
      <c r="X1334">
        <v>69.947408244462977</v>
      </c>
      <c r="Y1334">
        <v>2.2525917555370256</v>
      </c>
      <c r="Z1334">
        <v>69.932464077815027</v>
      </c>
      <c r="AA1334">
        <v>0.53911461491813217</v>
      </c>
      <c r="AB1334">
        <v>76</v>
      </c>
      <c r="AC1334">
        <v>7.9127168877726875E-2</v>
      </c>
      <c r="AD1334">
        <v>0.30515685048504892</v>
      </c>
      <c r="AE1334">
        <v>0.92607186638283612</v>
      </c>
      <c r="AF1334">
        <v>6.5904872781657629E-3</v>
      </c>
      <c r="AG1334">
        <v>0.30616741448985818</v>
      </c>
      <c r="AH1334">
        <v>0.93046704732570529</v>
      </c>
      <c r="AI1334">
        <v>3.4548933050973725E-5</v>
      </c>
    </row>
    <row r="1335" spans="23:35" x14ac:dyDescent="0.25">
      <c r="W1335">
        <v>1333</v>
      </c>
      <c r="X1335">
        <v>67.165948422274624</v>
      </c>
      <c r="Y1335">
        <v>5.0340515777253785</v>
      </c>
      <c r="Z1335">
        <v>67.134425574552225</v>
      </c>
      <c r="AA1335">
        <v>0.53911461491813217</v>
      </c>
      <c r="AB1335">
        <v>76</v>
      </c>
      <c r="AC1335">
        <v>7.9127168877726875E-2</v>
      </c>
      <c r="AD1335">
        <v>0.68195904600198565</v>
      </c>
      <c r="AE1335">
        <v>0.92693792270374153</v>
      </c>
      <c r="AF1335">
        <v>6.2229561891429209E-3</v>
      </c>
      <c r="AG1335">
        <v>0.68409090164411113</v>
      </c>
      <c r="AH1335">
        <v>0.93097580998631801</v>
      </c>
      <c r="AI1335">
        <v>1.6280318868366496E-4</v>
      </c>
    </row>
    <row r="1336" spans="23:35" x14ac:dyDescent="0.25">
      <c r="W1336">
        <v>1334</v>
      </c>
      <c r="X1336">
        <v>70.569864327126567</v>
      </c>
      <c r="Y1336">
        <v>1.5301356728734277</v>
      </c>
      <c r="Z1336">
        <v>70.56486080201293</v>
      </c>
      <c r="AA1336">
        <v>0.5312310491206792</v>
      </c>
      <c r="AB1336">
        <v>76.099999999999994</v>
      </c>
      <c r="AC1336">
        <v>6.3887210036911155E-2</v>
      </c>
      <c r="AD1336">
        <v>0.2072862877177486</v>
      </c>
      <c r="AE1336">
        <v>0.92872180055855136</v>
      </c>
      <c r="AF1336">
        <v>3.2593299162696327E-3</v>
      </c>
      <c r="AG1336">
        <v>0.20762492293527013</v>
      </c>
      <c r="AH1336">
        <v>0.93103614763991582</v>
      </c>
      <c r="AI1336">
        <v>7.8312773873156842E-6</v>
      </c>
    </row>
    <row r="1337" spans="23:35" x14ac:dyDescent="0.25">
      <c r="W1337">
        <v>1335</v>
      </c>
      <c r="X1337">
        <v>70.333745966425624</v>
      </c>
      <c r="Y1337">
        <v>1.7662540335743699</v>
      </c>
      <c r="Z1337">
        <v>70.328638040618458</v>
      </c>
      <c r="AA1337">
        <v>0.5312310491206792</v>
      </c>
      <c r="AB1337">
        <v>76.099999999999994</v>
      </c>
      <c r="AC1337">
        <v>6.3887210036911155E-2</v>
      </c>
      <c r="AD1337">
        <v>0.23927305811947841</v>
      </c>
      <c r="AE1337">
        <v>0.92922433964245155</v>
      </c>
      <c r="AF1337">
        <v>2.883614938272282E-3</v>
      </c>
      <c r="AG1337">
        <v>0.23961879170367217</v>
      </c>
      <c r="AH1337">
        <v>0.93814281841045544</v>
      </c>
      <c r="AI1337">
        <v>9.224878535356341E-6</v>
      </c>
    </row>
    <row r="1338" spans="23:35" x14ac:dyDescent="0.25">
      <c r="W1338">
        <v>1336</v>
      </c>
      <c r="X1338">
        <v>67.210747212778216</v>
      </c>
      <c r="Y1338">
        <v>4.8892527872217784</v>
      </c>
      <c r="Z1338">
        <v>67.1814932841</v>
      </c>
      <c r="AA1338">
        <v>0.5312310491206792</v>
      </c>
      <c r="AB1338">
        <v>76.099999999999994</v>
      </c>
      <c r="AC1338">
        <v>6.3887210036911155E-2</v>
      </c>
      <c r="AD1338">
        <v>0.66234326664227261</v>
      </c>
      <c r="AE1338">
        <v>0.93009249751950029</v>
      </c>
      <c r="AF1338">
        <v>5.9477256752832018E-3</v>
      </c>
      <c r="AG1338">
        <v>0.66432181495320253</v>
      </c>
      <c r="AH1338">
        <v>0.93956679645211982</v>
      </c>
      <c r="AI1338">
        <v>1.4669868779417647E-4</v>
      </c>
    </row>
    <row r="1339" spans="23:35" x14ac:dyDescent="0.25">
      <c r="W1339">
        <v>1337</v>
      </c>
      <c r="X1339">
        <v>70.352879729912075</v>
      </c>
      <c r="Y1339">
        <v>1.6471202700879246</v>
      </c>
      <c r="Z1339">
        <v>70.348421850897836</v>
      </c>
      <c r="AA1339">
        <v>0.52516676773802307</v>
      </c>
      <c r="AB1339">
        <v>76.099999999999994</v>
      </c>
      <c r="AC1339">
        <v>4.1053957112594373E-2</v>
      </c>
      <c r="AD1339">
        <v>0.22313409997822065</v>
      </c>
      <c r="AE1339">
        <v>0.93846429005732468</v>
      </c>
      <c r="AF1339">
        <v>2.6991632316379398E-3</v>
      </c>
      <c r="AG1339">
        <v>0.2234358486466817</v>
      </c>
      <c r="AH1339">
        <v>0.94656006316648855</v>
      </c>
      <c r="AI1339">
        <v>7.5064771723089127E-6</v>
      </c>
    </row>
    <row r="1340" spans="23:35" x14ac:dyDescent="0.25">
      <c r="W1340">
        <v>1338</v>
      </c>
      <c r="X1340">
        <v>56.222618140714189</v>
      </c>
      <c r="Y1340">
        <v>15.577381859285808</v>
      </c>
      <c r="Z1340">
        <v>55.810536858395984</v>
      </c>
      <c r="AA1340">
        <v>0.51061249241964823</v>
      </c>
      <c r="AB1340">
        <v>76.2</v>
      </c>
      <c r="AC1340">
        <v>1.0640830227304372E-2</v>
      </c>
      <c r="AD1340">
        <v>2.1102557866058298</v>
      </c>
      <c r="AE1340">
        <v>0.94428248662707526</v>
      </c>
      <c r="AF1340">
        <v>2.5772052424073225E-2</v>
      </c>
      <c r="AG1340">
        <v>2.13798575790678</v>
      </c>
      <c r="AH1340">
        <v>0.94954720116727498</v>
      </c>
      <c r="AI1340">
        <v>6.717776220302835E-3</v>
      </c>
    </row>
    <row r="1341" spans="23:35" x14ac:dyDescent="0.25">
      <c r="W1341">
        <v>1339</v>
      </c>
      <c r="X1341">
        <v>69.696799214499563</v>
      </c>
      <c r="Y1341">
        <v>-21.596799214499562</v>
      </c>
      <c r="Z1341">
        <v>69.943791610437415</v>
      </c>
      <c r="AA1341">
        <v>2.1224984839296544E-2</v>
      </c>
      <c r="AB1341">
        <v>76.2</v>
      </c>
      <c r="AC1341">
        <v>-2.0597982810364517</v>
      </c>
      <c r="AD1341">
        <v>-2.9257015669417155</v>
      </c>
      <c r="AE1341">
        <v>0.94679562776558901</v>
      </c>
      <c r="AF1341">
        <v>1.1307212609546971E-2</v>
      </c>
      <c r="AG1341">
        <v>-2.9423839391785425</v>
      </c>
      <c r="AH1341">
        <v>0.95917728893253018</v>
      </c>
      <c r="AI1341">
        <v>5.5007305257081052E-3</v>
      </c>
    </row>
    <row r="1342" spans="23:35" x14ac:dyDescent="0.25">
      <c r="W1342">
        <v>1340</v>
      </c>
      <c r="X1342">
        <v>65.175805552758902</v>
      </c>
      <c r="Y1342">
        <v>-11.175805552758902</v>
      </c>
      <c r="Z1342">
        <v>65.274970544573605</v>
      </c>
      <c r="AA1342">
        <v>6.9739235900545787E-2</v>
      </c>
      <c r="AB1342">
        <v>76.2</v>
      </c>
      <c r="AC1342">
        <v>-1.4984336523422108</v>
      </c>
      <c r="AD1342">
        <v>-1.5139776729317662</v>
      </c>
      <c r="AE1342">
        <v>0.95241634740652792</v>
      </c>
      <c r="AF1342">
        <v>8.7951442021663977E-3</v>
      </c>
      <c r="AG1342">
        <v>-1.5206797406927204</v>
      </c>
      <c r="AH1342">
        <v>0.96045444664411606</v>
      </c>
      <c r="AI1342">
        <v>1.1399414840337198E-3</v>
      </c>
    </row>
    <row r="1343" spans="23:35" x14ac:dyDescent="0.25">
      <c r="W1343">
        <v>1341</v>
      </c>
      <c r="X1343">
        <v>68.257568770585991</v>
      </c>
      <c r="Y1343">
        <v>-18.557568770585988</v>
      </c>
      <c r="Z1343">
        <v>68.428668144607258</v>
      </c>
      <c r="AA1343">
        <v>3.1534263189812006E-2</v>
      </c>
      <c r="AB1343">
        <v>76.2</v>
      </c>
      <c r="AC1343">
        <v>-1.8630011940066851</v>
      </c>
      <c r="AD1343">
        <v>-2.5139793860879376</v>
      </c>
      <c r="AE1343">
        <v>0.95718357177603608</v>
      </c>
      <c r="AF1343">
        <v>9.135693616875197E-3</v>
      </c>
      <c r="AG1343">
        <v>-2.5255421447605881</v>
      </c>
      <c r="AH1343">
        <v>0.96187949021048513</v>
      </c>
      <c r="AI1343">
        <v>3.2671124094752267E-3</v>
      </c>
    </row>
    <row r="1344" spans="23:35" x14ac:dyDescent="0.25">
      <c r="W1344">
        <v>1342</v>
      </c>
      <c r="X1344">
        <v>65.295144849547071</v>
      </c>
      <c r="Y1344">
        <v>-16.395144849547073</v>
      </c>
      <c r="Z1344">
        <v>65.469543202727777</v>
      </c>
      <c r="AA1344">
        <v>2.6076409945421469E-2</v>
      </c>
      <c r="AB1344">
        <v>76.3</v>
      </c>
      <c r="AC1344">
        <v>-1.94690277624242</v>
      </c>
      <c r="AD1344">
        <v>-2.2210375019068658</v>
      </c>
      <c r="AE1344">
        <v>0.96771712381690833</v>
      </c>
      <c r="AF1344">
        <v>1.0525236033785289E-2</v>
      </c>
      <c r="AG1344">
        <v>-2.2328190586347727</v>
      </c>
      <c r="AH1344">
        <v>0.96913047829902699</v>
      </c>
      <c r="AI1344">
        <v>2.9461962849668551E-3</v>
      </c>
    </row>
    <row r="1345" spans="23:35" x14ac:dyDescent="0.25">
      <c r="W1345">
        <v>1343</v>
      </c>
      <c r="X1345">
        <v>55.713250844217541</v>
      </c>
      <c r="Y1345">
        <v>-7.6132508442175393</v>
      </c>
      <c r="Z1345">
        <v>55.769067893071259</v>
      </c>
      <c r="AA1345">
        <v>2.1224984839296544E-2</v>
      </c>
      <c r="AB1345">
        <v>76.3</v>
      </c>
      <c r="AC1345">
        <v>-2.0597982810364517</v>
      </c>
      <c r="AD1345">
        <v>-1.0313611615879315</v>
      </c>
      <c r="AE1345">
        <v>0.96772685932887736</v>
      </c>
      <c r="AF1345">
        <v>7.2782050741980455E-3</v>
      </c>
      <c r="AG1345">
        <v>-1.0351350032428286</v>
      </c>
      <c r="AH1345">
        <v>0.97643300328191696</v>
      </c>
      <c r="AI1345">
        <v>4.3643363720863407E-4</v>
      </c>
    </row>
    <row r="1346" spans="23:35" x14ac:dyDescent="0.25">
      <c r="W1346">
        <v>1344</v>
      </c>
      <c r="X1346">
        <v>63.834947472219568</v>
      </c>
      <c r="Y1346">
        <v>-16.734947472219567</v>
      </c>
      <c r="Z1346">
        <v>64.058031984759168</v>
      </c>
      <c r="AA1346">
        <v>1.758641600970285E-2</v>
      </c>
      <c r="AB1346">
        <v>76.3</v>
      </c>
      <c r="AC1346">
        <v>-2.1426564926871321</v>
      </c>
      <c r="AD1346">
        <v>-2.2670702985138909</v>
      </c>
      <c r="AE1346">
        <v>0.97364234176840736</v>
      </c>
      <c r="AF1346">
        <v>1.315509445554161E-2</v>
      </c>
      <c r="AG1346">
        <v>-2.2821308163474114</v>
      </c>
      <c r="AH1346">
        <v>0.97738906877555831</v>
      </c>
      <c r="AI1346">
        <v>3.8570354725509658E-3</v>
      </c>
    </row>
    <row r="1347" spans="23:35" x14ac:dyDescent="0.25">
      <c r="W1347">
        <v>1345</v>
      </c>
      <c r="X1347">
        <v>51.079068691969979</v>
      </c>
      <c r="Y1347">
        <v>-4.8790686919699766</v>
      </c>
      <c r="Z1347">
        <v>51.117489847067226</v>
      </c>
      <c r="AA1347">
        <v>1.3341419041843541E-2</v>
      </c>
      <c r="AB1347">
        <v>76.3</v>
      </c>
      <c r="AC1347">
        <v>-2.2435160869312201</v>
      </c>
      <c r="AD1347">
        <v>-0.66096363519132695</v>
      </c>
      <c r="AE1347">
        <v>0.97739029252157306</v>
      </c>
      <c r="AF1347">
        <v>7.8131640922772042E-3</v>
      </c>
      <c r="AG1347">
        <v>-0.66356097388542978</v>
      </c>
      <c r="AH1347">
        <v>0.97917628243368282</v>
      </c>
      <c r="AI1347">
        <v>1.9262943530069676E-4</v>
      </c>
    </row>
    <row r="1348" spans="23:35" x14ac:dyDescent="0.25">
      <c r="W1348">
        <v>1346</v>
      </c>
      <c r="X1348">
        <v>43.831526777578546</v>
      </c>
      <c r="Y1348">
        <v>1.4684732224214514</v>
      </c>
      <c r="Z1348">
        <v>43.824695418196939</v>
      </c>
      <c r="AA1348">
        <v>7.2771376591873865E-3</v>
      </c>
      <c r="AB1348">
        <v>76.3</v>
      </c>
      <c r="AC1348">
        <v>-2.5264513477970261</v>
      </c>
      <c r="AD1348">
        <v>0.19893292358647063</v>
      </c>
      <c r="AE1348">
        <v>0.97871796477535078</v>
      </c>
      <c r="AF1348">
        <v>4.6304739142485202E-3</v>
      </c>
      <c r="AG1348">
        <v>0.19939510615719985</v>
      </c>
      <c r="AH1348">
        <v>0.97995155425988878</v>
      </c>
      <c r="AI1348">
        <v>1.0275372777853242E-5</v>
      </c>
    </row>
    <row r="1349" spans="23:35" x14ac:dyDescent="0.25">
      <c r="W1349">
        <v>1347</v>
      </c>
      <c r="X1349">
        <v>62.882693231156054</v>
      </c>
      <c r="Y1349">
        <v>5.9173067688439431</v>
      </c>
      <c r="Z1349">
        <v>62.860744285164344</v>
      </c>
      <c r="AA1349">
        <v>0.41115827774408731</v>
      </c>
      <c r="AB1349">
        <v>76.3</v>
      </c>
      <c r="AC1349">
        <v>-0.23002600999886993</v>
      </c>
      <c r="AD1349">
        <v>0.80161293873855655</v>
      </c>
      <c r="AE1349">
        <v>0.97997214893607387</v>
      </c>
      <c r="AF1349">
        <v>3.6955718099295986E-3</v>
      </c>
      <c r="AG1349">
        <v>0.80309826594820954</v>
      </c>
      <c r="AH1349">
        <v>0.98209532575761227</v>
      </c>
      <c r="AI1349">
        <v>1.3290902015908516E-4</v>
      </c>
    </row>
    <row r="1350" spans="23:35" x14ac:dyDescent="0.25">
      <c r="W1350">
        <v>1348</v>
      </c>
      <c r="X1350">
        <v>63.29012004452575</v>
      </c>
      <c r="Y1350">
        <v>5.509879955474247</v>
      </c>
      <c r="Z1350">
        <v>63.267031403343864</v>
      </c>
      <c r="AA1350">
        <v>0.41115827774408731</v>
      </c>
      <c r="AB1350">
        <v>76.400000000000006</v>
      </c>
      <c r="AC1350">
        <v>-0.23002600999886993</v>
      </c>
      <c r="AD1350">
        <v>0.74641914569308043</v>
      </c>
      <c r="AE1350">
        <v>0.98046993202977317</v>
      </c>
      <c r="AF1350">
        <v>4.1729210601045537E-3</v>
      </c>
      <c r="AG1350">
        <v>0.74798141089026737</v>
      </c>
      <c r="AH1350">
        <v>0.98501746022048653</v>
      </c>
      <c r="AI1350">
        <v>1.3024628414025723E-4</v>
      </c>
    </row>
    <row r="1351" spans="23:35" x14ac:dyDescent="0.25">
      <c r="W1351">
        <v>1349</v>
      </c>
      <c r="X1351">
        <v>63.426151550233094</v>
      </c>
      <c r="Y1351">
        <v>5.2738484497669091</v>
      </c>
      <c r="Z1351">
        <v>63.402618138151411</v>
      </c>
      <c r="AA1351">
        <v>0.40873256519102485</v>
      </c>
      <c r="AB1351">
        <v>76.400000000000006</v>
      </c>
      <c r="AC1351">
        <v>-0.23783731322627524</v>
      </c>
      <c r="AD1351">
        <v>0.71444414146967927</v>
      </c>
      <c r="AE1351">
        <v>0.98335481475146391</v>
      </c>
      <c r="AF1351">
        <v>4.442460954376809E-3</v>
      </c>
      <c r="AG1351">
        <v>0.71603639367802319</v>
      </c>
      <c r="AH1351">
        <v>0.99112548291079194</v>
      </c>
      <c r="AI1351">
        <v>1.271027485019627E-4</v>
      </c>
    </row>
    <row r="1352" spans="23:35" x14ac:dyDescent="0.25">
      <c r="W1352">
        <v>1350</v>
      </c>
      <c r="X1352">
        <v>62.828073074102029</v>
      </c>
      <c r="Y1352">
        <v>5.6719269258979708</v>
      </c>
      <c r="Z1352">
        <v>62.805071707338563</v>
      </c>
      <c r="AA1352">
        <v>0.40388114008489995</v>
      </c>
      <c r="AB1352">
        <v>76.400000000000006</v>
      </c>
      <c r="AC1352">
        <v>-0.25193465741015014</v>
      </c>
      <c r="AD1352">
        <v>0.76837152255124685</v>
      </c>
      <c r="AE1352">
        <v>0.98635366663084234</v>
      </c>
      <c r="AF1352">
        <v>4.038921226296165E-3</v>
      </c>
      <c r="AG1352">
        <v>0.76992793483732913</v>
      </c>
      <c r="AH1352">
        <v>0.99118767083567272</v>
      </c>
      <c r="AI1352">
        <v>1.3355208273919643E-4</v>
      </c>
    </row>
    <row r="1353" spans="23:35" x14ac:dyDescent="0.25">
      <c r="W1353">
        <v>1351</v>
      </c>
      <c r="X1353">
        <v>54.356635085279407</v>
      </c>
      <c r="Y1353">
        <v>13.94336491472059</v>
      </c>
      <c r="Z1353">
        <v>54.116435663036057</v>
      </c>
      <c r="AA1353">
        <v>0.39599757428744692</v>
      </c>
      <c r="AB1353">
        <v>76.5</v>
      </c>
      <c r="AC1353">
        <v>-0.27396491687072577</v>
      </c>
      <c r="AD1353">
        <v>1.8888967839294442</v>
      </c>
      <c r="AE1353">
        <v>0.98786738321590084</v>
      </c>
      <c r="AF1353">
        <v>1.6935053597026007E-2</v>
      </c>
      <c r="AG1353">
        <v>1.9050971261876406</v>
      </c>
      <c r="AH1353">
        <v>0.99237458143636081</v>
      </c>
      <c r="AI1353">
        <v>3.4734904055992908E-3</v>
      </c>
    </row>
    <row r="1354" spans="23:35" x14ac:dyDescent="0.25">
      <c r="W1354">
        <v>1352</v>
      </c>
      <c r="X1354">
        <v>63.268204163858528</v>
      </c>
      <c r="Y1354">
        <v>4.8317958361414668</v>
      </c>
      <c r="Z1354">
        <v>63.24702671994185</v>
      </c>
      <c r="AA1354">
        <v>0.38932686476652517</v>
      </c>
      <c r="AB1354">
        <v>76.5</v>
      </c>
      <c r="AC1354">
        <v>-0.29295400660571042</v>
      </c>
      <c r="AD1354">
        <v>0.65455961823503539</v>
      </c>
      <c r="AE1354">
        <v>0.98789280679539659</v>
      </c>
      <c r="AF1354">
        <v>4.3638080604529068E-3</v>
      </c>
      <c r="AG1354">
        <v>0.65599249581524455</v>
      </c>
      <c r="AH1354">
        <v>0.99267519924885339</v>
      </c>
      <c r="AI1354">
        <v>1.0478284901437267E-4</v>
      </c>
    </row>
    <row r="1355" spans="23:35" x14ac:dyDescent="0.25">
      <c r="W1355">
        <v>1353</v>
      </c>
      <c r="X1355">
        <v>60.762415518669719</v>
      </c>
      <c r="Y1355">
        <v>7.2375844813302805</v>
      </c>
      <c r="Z1355">
        <v>60.738399126168396</v>
      </c>
      <c r="AA1355">
        <v>0.38447543966040026</v>
      </c>
      <c r="AB1355">
        <v>76.5</v>
      </c>
      <c r="AC1355">
        <v>-0.31204933220437475</v>
      </c>
      <c r="AD1355">
        <v>0.98046993202977317</v>
      </c>
      <c r="AE1355">
        <v>0.98917418840336535</v>
      </c>
      <c r="AF1355">
        <v>3.3073137616070006E-3</v>
      </c>
      <c r="AG1355">
        <v>0.98209532575761227</v>
      </c>
      <c r="AH1355">
        <v>0.99430784731457689</v>
      </c>
      <c r="AI1355">
        <v>1.7780702252821813E-4</v>
      </c>
    </row>
    <row r="1356" spans="23:35" x14ac:dyDescent="0.25">
      <c r="W1356">
        <v>1354</v>
      </c>
      <c r="X1356">
        <v>50.383450400735597</v>
      </c>
      <c r="Y1356">
        <v>17.216549599264397</v>
      </c>
      <c r="Z1356">
        <v>50.117140243649054</v>
      </c>
      <c r="AA1356">
        <v>0.36264402668283807</v>
      </c>
      <c r="AB1356">
        <v>76.599999999999994</v>
      </c>
      <c r="AC1356">
        <v>-0.36030729595554811</v>
      </c>
      <c r="AD1356">
        <v>2.3323125635246957</v>
      </c>
      <c r="AE1356">
        <v>0.99451749419744284</v>
      </c>
      <c r="AF1356">
        <v>1.5232642759706386E-2</v>
      </c>
      <c r="AG1356">
        <v>2.3502817568888292</v>
      </c>
      <c r="AH1356">
        <v>1.0012328623520512</v>
      </c>
      <c r="AI1356">
        <v>4.7468878010552612E-3</v>
      </c>
    </row>
    <row r="1357" spans="23:35" x14ac:dyDescent="0.25">
      <c r="W1357">
        <v>1355</v>
      </c>
      <c r="X1357">
        <v>57.876683816330853</v>
      </c>
      <c r="Y1357">
        <v>9.7233161836691409</v>
      </c>
      <c r="Z1357">
        <v>57.821210299067076</v>
      </c>
      <c r="AA1357">
        <v>0.36264402668283807</v>
      </c>
      <c r="AB1357">
        <v>76.599999999999994</v>
      </c>
      <c r="AC1357">
        <v>-0.36030729595554811</v>
      </c>
      <c r="AD1357">
        <v>1.3172100695056503</v>
      </c>
      <c r="AE1357">
        <v>1.0003016367023985</v>
      </c>
      <c r="AF1357">
        <v>5.672840807537138E-3</v>
      </c>
      <c r="AG1357">
        <v>1.320962202531075</v>
      </c>
      <c r="AH1357">
        <v>1.0038407029191954</v>
      </c>
      <c r="AI1357">
        <v>5.5306932471621019E-4</v>
      </c>
    </row>
    <row r="1358" spans="23:35" x14ac:dyDescent="0.25">
      <c r="W1358">
        <v>1356</v>
      </c>
      <c r="X1358">
        <v>51.780900707055686</v>
      </c>
      <c r="Y1358">
        <v>15.61909929294432</v>
      </c>
      <c r="Z1358">
        <v>51.560117365649383</v>
      </c>
      <c r="AA1358">
        <v>0.3547604608853851</v>
      </c>
      <c r="AB1358">
        <v>76.599999999999994</v>
      </c>
      <c r="AC1358">
        <v>-0.38147581702590427</v>
      </c>
      <c r="AD1358">
        <v>2.1159072148481015</v>
      </c>
      <c r="AE1358">
        <v>1.0015023436592712</v>
      </c>
      <c r="AF1358">
        <v>1.3938445536680433E-2</v>
      </c>
      <c r="AG1358">
        <v>2.130809410893824</v>
      </c>
      <c r="AH1358">
        <v>1.0050507094840453</v>
      </c>
      <c r="AI1358">
        <v>3.5655540423515956E-3</v>
      </c>
    </row>
    <row r="1359" spans="23:35" x14ac:dyDescent="0.25">
      <c r="W1359">
        <v>1357</v>
      </c>
      <c r="X1359">
        <v>47.730726963970127</v>
      </c>
      <c r="Y1359">
        <v>19.369273036029867</v>
      </c>
      <c r="Z1359">
        <v>47.41778293080128</v>
      </c>
      <c r="AA1359">
        <v>0.34141904184354155</v>
      </c>
      <c r="AB1359">
        <v>76.599999999999994</v>
      </c>
      <c r="AC1359">
        <v>-0.41272795222137554</v>
      </c>
      <c r="AD1359">
        <v>2.6239403306573554</v>
      </c>
      <c r="AE1359">
        <v>1.0018226686311194</v>
      </c>
      <c r="AF1359">
        <v>1.5899836490401248E-2</v>
      </c>
      <c r="AG1359">
        <v>2.6450525385138137</v>
      </c>
      <c r="AH1359">
        <v>1.0091618655723196</v>
      </c>
      <c r="AI1359">
        <v>6.2798526665903192E-3</v>
      </c>
    </row>
    <row r="1360" spans="23:35" x14ac:dyDescent="0.25">
      <c r="W1360">
        <v>1358</v>
      </c>
      <c r="X1360">
        <v>51.670848876637791</v>
      </c>
      <c r="Y1360">
        <v>15.129151123362206</v>
      </c>
      <c r="Z1360">
        <v>51.596233704590865</v>
      </c>
      <c r="AA1360">
        <v>0.33232261976955729</v>
      </c>
      <c r="AB1360">
        <v>76.599999999999994</v>
      </c>
      <c r="AC1360">
        <v>-0.44438857281516719</v>
      </c>
      <c r="AD1360">
        <v>2.0495343179558509</v>
      </c>
      <c r="AE1360">
        <v>1.0021618130629781</v>
      </c>
      <c r="AF1360">
        <v>4.9076768609271947E-3</v>
      </c>
      <c r="AG1360">
        <v>2.0545821314251582</v>
      </c>
      <c r="AH1360">
        <v>1.0103043993386736</v>
      </c>
      <c r="AI1360">
        <v>1.156610397462027E-3</v>
      </c>
    </row>
    <row r="1361" spans="23:35" x14ac:dyDescent="0.25">
      <c r="W1361">
        <v>1359</v>
      </c>
      <c r="X1361">
        <v>51.000213726700615</v>
      </c>
      <c r="Y1361">
        <v>15.499786273299385</v>
      </c>
      <c r="Z1361">
        <v>50.942083712758517</v>
      </c>
      <c r="AA1361">
        <v>0.32383262583383871</v>
      </c>
      <c r="AB1361">
        <v>76.599999999999994</v>
      </c>
      <c r="AC1361">
        <v>-0.46123068213767926</v>
      </c>
      <c r="AD1361">
        <v>2.0997439730146832</v>
      </c>
      <c r="AE1361">
        <v>1.0024878733271496</v>
      </c>
      <c r="AF1361">
        <v>3.7363624324015178E-3</v>
      </c>
      <c r="AG1361">
        <v>2.1036777020807316</v>
      </c>
      <c r="AH1361">
        <v>1.0116370941334878</v>
      </c>
      <c r="AI1361">
        <v>9.2206305175686473E-4</v>
      </c>
    </row>
    <row r="1362" spans="23:35" x14ac:dyDescent="0.25">
      <c r="W1362">
        <v>1360</v>
      </c>
      <c r="X1362">
        <v>52.625659543928201</v>
      </c>
      <c r="Y1362">
        <v>13.574340456071802</v>
      </c>
      <c r="Z1362">
        <v>52.550965508010215</v>
      </c>
      <c r="AA1362">
        <v>0.3171619163129169</v>
      </c>
      <c r="AB1362">
        <v>76.7</v>
      </c>
      <c r="AC1362">
        <v>-0.48332360885611292</v>
      </c>
      <c r="AD1362">
        <v>1.8389053279648155</v>
      </c>
      <c r="AE1362">
        <v>1.003504977022287</v>
      </c>
      <c r="AF1362">
        <v>5.4724776292286439E-3</v>
      </c>
      <c r="AG1362">
        <v>1.8439577585675346</v>
      </c>
      <c r="AH1362">
        <v>1.0167084265218063</v>
      </c>
      <c r="AI1362">
        <v>1.0394332845088043E-3</v>
      </c>
    </row>
    <row r="1363" spans="23:35" x14ac:dyDescent="0.25">
      <c r="W1363">
        <v>1361</v>
      </c>
      <c r="X1363">
        <v>52.96038377183433</v>
      </c>
      <c r="Y1363">
        <v>12.839616228165667</v>
      </c>
      <c r="Z1363">
        <v>52.90466298460921</v>
      </c>
      <c r="AA1363">
        <v>0.30078835657974529</v>
      </c>
      <c r="AB1363">
        <v>76.7</v>
      </c>
      <c r="AC1363">
        <v>-0.53349185558387491</v>
      </c>
      <c r="AD1363">
        <v>1.7393728091176781</v>
      </c>
      <c r="AE1363">
        <v>1.0100230374076606</v>
      </c>
      <c r="AF1363">
        <v>4.321002790281173E-3</v>
      </c>
      <c r="AG1363">
        <v>1.7431429489962114</v>
      </c>
      <c r="AH1363">
        <v>1.0180449498535828</v>
      </c>
      <c r="AI1363">
        <v>7.3258614774888726E-4</v>
      </c>
    </row>
    <row r="1364" spans="23:35" x14ac:dyDescent="0.25">
      <c r="W1364">
        <v>1362</v>
      </c>
      <c r="X1364">
        <v>67.201931504919514</v>
      </c>
      <c r="Y1364">
        <v>-5.2019315049195143</v>
      </c>
      <c r="Z1364">
        <v>67.276605425987086</v>
      </c>
      <c r="AA1364">
        <v>0.19890842935112188</v>
      </c>
      <c r="AB1364">
        <v>76.8</v>
      </c>
      <c r="AC1364">
        <v>-0.85973834429501084</v>
      </c>
      <c r="AD1364">
        <v>-0.70470160897030676</v>
      </c>
      <c r="AE1364">
        <v>1.0116884616889295</v>
      </c>
      <c r="AF1364">
        <v>1.4151886495020432E-2</v>
      </c>
      <c r="AG1364">
        <v>-0.7097415950824747</v>
      </c>
      <c r="AH1364">
        <v>1.0209932395085752</v>
      </c>
      <c r="AI1364">
        <v>4.0172821796900516E-4</v>
      </c>
    </row>
    <row r="1365" spans="23:35" x14ac:dyDescent="0.25">
      <c r="W1365">
        <v>1363</v>
      </c>
      <c r="X1365">
        <v>70.640097602240232</v>
      </c>
      <c r="Y1365">
        <v>-1.6400976022402318</v>
      </c>
      <c r="Z1365">
        <v>70.660145902021441</v>
      </c>
      <c r="AA1365">
        <v>0.42086112795633718</v>
      </c>
      <c r="AB1365">
        <v>76.8</v>
      </c>
      <c r="AC1365">
        <v>-0.21444491222324932</v>
      </c>
      <c r="AD1365">
        <v>-0.22218274463514223</v>
      </c>
      <c r="AE1365">
        <v>1.013968249207351</v>
      </c>
      <c r="AF1365">
        <v>1.2076227611556039E-2</v>
      </c>
      <c r="AG1365">
        <v>-0.22353658369936574</v>
      </c>
      <c r="AH1365">
        <v>1.021848685776638</v>
      </c>
      <c r="AI1365">
        <v>3.3933805603455861E-5</v>
      </c>
    </row>
    <row r="1366" spans="23:35" x14ac:dyDescent="0.25">
      <c r="W1366">
        <v>1364</v>
      </c>
      <c r="X1366">
        <v>65.774444323967302</v>
      </c>
      <c r="Y1366">
        <v>-6.5744443239672989</v>
      </c>
      <c r="Z1366">
        <v>65.814353570017445</v>
      </c>
      <c r="AA1366">
        <v>0.15767131594906003</v>
      </c>
      <c r="AB1366">
        <v>76.8</v>
      </c>
      <c r="AC1366">
        <v>-1.0205681915260707</v>
      </c>
      <c r="AD1366">
        <v>-0.89063485145930221</v>
      </c>
      <c r="AE1366">
        <v>1.0180266994013345</v>
      </c>
      <c r="AF1366">
        <v>6.0337333992932889E-3</v>
      </c>
      <c r="AG1366">
        <v>-0.89333399869549623</v>
      </c>
      <c r="AH1366">
        <v>1.0244296732810214</v>
      </c>
      <c r="AI1366">
        <v>2.691346976447301E-4</v>
      </c>
    </row>
    <row r="1367" spans="23:35" x14ac:dyDescent="0.25">
      <c r="W1367">
        <v>1365</v>
      </c>
      <c r="X1367">
        <v>69.981367613835033</v>
      </c>
      <c r="Y1367">
        <v>-11.081367613835035</v>
      </c>
      <c r="Z1367">
        <v>70.050035800205634</v>
      </c>
      <c r="AA1367">
        <v>0.14918132201334142</v>
      </c>
      <c r="AB1367">
        <v>76.8</v>
      </c>
      <c r="AC1367">
        <v>-1.0491313979639725</v>
      </c>
      <c r="AD1367">
        <v>-1.5011842389073944</v>
      </c>
      <c r="AE1367">
        <v>1.0186896962016074</v>
      </c>
      <c r="AF1367">
        <v>6.1585619634808185E-3</v>
      </c>
      <c r="AG1367">
        <v>-1.5058282684347222</v>
      </c>
      <c r="AH1367">
        <v>1.0270026383023028</v>
      </c>
      <c r="AI1367">
        <v>7.8062166652222696E-4</v>
      </c>
    </row>
    <row r="1368" spans="23:35" x14ac:dyDescent="0.25">
      <c r="W1368">
        <v>1366</v>
      </c>
      <c r="X1368">
        <v>70.826248817685737</v>
      </c>
      <c r="Y1368">
        <v>-12.826248817685737</v>
      </c>
      <c r="Z1368">
        <v>70.914252524987475</v>
      </c>
      <c r="AA1368">
        <v>0.13159490600363857</v>
      </c>
      <c r="AB1368">
        <v>76.8</v>
      </c>
      <c r="AC1368">
        <v>-1.1375552391677688</v>
      </c>
      <c r="AD1368">
        <v>-1.7375619364323949</v>
      </c>
      <c r="AE1368">
        <v>1.0187977641253418</v>
      </c>
      <c r="AF1368">
        <v>6.8144638748126041E-3</v>
      </c>
      <c r="AG1368">
        <v>-1.7435126434437762</v>
      </c>
      <c r="AH1368">
        <v>1.0291682006158209</v>
      </c>
      <c r="AI1368">
        <v>1.1587213374511416E-3</v>
      </c>
    </row>
    <row r="1369" spans="23:35" x14ac:dyDescent="0.25">
      <c r="W1369">
        <v>1367</v>
      </c>
      <c r="X1369">
        <v>66.974818427210266</v>
      </c>
      <c r="Y1369">
        <v>-10.474818427210266</v>
      </c>
      <c r="Z1369">
        <v>67.060241530018331</v>
      </c>
      <c r="AA1369">
        <v>0.10066707095209218</v>
      </c>
      <c r="AB1369">
        <v>76.900000000000006</v>
      </c>
      <c r="AC1369">
        <v>-1.2898891601746336</v>
      </c>
      <c r="AD1369">
        <v>-1.4190154930617647</v>
      </c>
      <c r="AE1369">
        <v>1.0207082518926764</v>
      </c>
      <c r="AF1369">
        <v>8.0891239622916042E-3</v>
      </c>
      <c r="AG1369">
        <v>-1.4247898449728722</v>
      </c>
      <c r="AH1369">
        <v>1.0346354555326087</v>
      </c>
      <c r="AI1369">
        <v>9.1972492383669629E-4</v>
      </c>
    </row>
    <row r="1370" spans="23:35" x14ac:dyDescent="0.25">
      <c r="W1370">
        <v>1368</v>
      </c>
      <c r="X1370">
        <v>62.313753677290684</v>
      </c>
      <c r="Y1370">
        <v>-7.013753677290687</v>
      </c>
      <c r="Z1370">
        <v>62.466314568262099</v>
      </c>
      <c r="AA1370">
        <v>8.6719223771983017E-2</v>
      </c>
      <c r="AB1370">
        <v>76.900000000000006</v>
      </c>
      <c r="AC1370">
        <v>-1.3946242806491973</v>
      </c>
      <c r="AD1370">
        <v>-0.95014774735766649</v>
      </c>
      <c r="AE1370">
        <v>1.0261807450190363</v>
      </c>
      <c r="AF1370">
        <v>2.1288612091781924E-2</v>
      </c>
      <c r="AG1370">
        <v>-0.96042580929462362</v>
      </c>
      <c r="AH1370">
        <v>1.0374365150357483</v>
      </c>
      <c r="AI1370">
        <v>1.1146739360548775E-3</v>
      </c>
    </row>
    <row r="1371" spans="23:35" x14ac:dyDescent="0.25">
      <c r="W1371">
        <v>1369</v>
      </c>
      <c r="X1371">
        <v>63.320771326924117</v>
      </c>
      <c r="Y1371">
        <v>-8.8207713269241168</v>
      </c>
      <c r="Z1371">
        <v>63.44032123672244</v>
      </c>
      <c r="AA1371">
        <v>7.4590661006670708E-2</v>
      </c>
      <c r="AB1371">
        <v>76.900000000000006</v>
      </c>
      <c r="AC1371">
        <v>-1.4445835579455348</v>
      </c>
      <c r="AD1371">
        <v>-1.1949430207921872</v>
      </c>
      <c r="AE1371">
        <v>1.032529436639926</v>
      </c>
      <c r="AF1371">
        <v>1.3371992642419679E-2</v>
      </c>
      <c r="AG1371">
        <v>-1.2030134343665837</v>
      </c>
      <c r="AH1371">
        <v>1.0383500956265439</v>
      </c>
      <c r="AI1371">
        <v>1.0897105079234943E-3</v>
      </c>
    </row>
    <row r="1372" spans="23:35" x14ac:dyDescent="0.25">
      <c r="W1372">
        <v>1370</v>
      </c>
      <c r="X1372">
        <v>59.137997304802795</v>
      </c>
      <c r="Y1372">
        <v>-5.1379973048027949</v>
      </c>
      <c r="Z1372">
        <v>59.333590929208746</v>
      </c>
      <c r="AA1372">
        <v>6.9739235900545787E-2</v>
      </c>
      <c r="AB1372">
        <v>76.900000000000006</v>
      </c>
      <c r="AC1372">
        <v>-1.4984336523422108</v>
      </c>
      <c r="AD1372">
        <v>-0.69604049268150647</v>
      </c>
      <c r="AE1372">
        <v>1.0327558537761183</v>
      </c>
      <c r="AF1372">
        <v>3.6672033345265677E-2</v>
      </c>
      <c r="AG1372">
        <v>-0.70916520915742898</v>
      </c>
      <c r="AH1372">
        <v>1.0403997733120072</v>
      </c>
      <c r="AI1372">
        <v>1.0636118323020314E-3</v>
      </c>
    </row>
    <row r="1373" spans="23:35" x14ac:dyDescent="0.25">
      <c r="W1373">
        <v>1371</v>
      </c>
      <c r="X1373">
        <v>63.057219551254526</v>
      </c>
      <c r="Y1373">
        <v>-9.2572195512545292</v>
      </c>
      <c r="Z1373">
        <v>63.21712691159675</v>
      </c>
      <c r="AA1373">
        <v>6.6707095209217707E-2</v>
      </c>
      <c r="AB1373">
        <v>77</v>
      </c>
      <c r="AC1373">
        <v>-1.5078422496152202</v>
      </c>
      <c r="AD1373">
        <v>-1.2540683217745257</v>
      </c>
      <c r="AE1373">
        <v>1.0333895802116952</v>
      </c>
      <c r="AF1373">
        <v>1.6980482671982169E-2</v>
      </c>
      <c r="AG1373">
        <v>-1.2648532099562269</v>
      </c>
      <c r="AH1373">
        <v>1.0434353060848098</v>
      </c>
      <c r="AI1373">
        <v>1.5353084484040446E-3</v>
      </c>
    </row>
    <row r="1374" spans="23:35" x14ac:dyDescent="0.25">
      <c r="W1374">
        <v>1372</v>
      </c>
      <c r="X1374">
        <v>64.288700389757835</v>
      </c>
      <c r="Y1374">
        <v>-10.588700389757832</v>
      </c>
      <c r="Z1374">
        <v>64.475829803738279</v>
      </c>
      <c r="AA1374">
        <v>6.549423893268648E-2</v>
      </c>
      <c r="AB1374">
        <v>77</v>
      </c>
      <c r="AC1374">
        <v>-1.5125970273974985</v>
      </c>
      <c r="AD1374">
        <v>-1.4344429938206791</v>
      </c>
      <c r="AE1374">
        <v>1.0362538263186003</v>
      </c>
      <c r="AF1374">
        <v>1.7365661613876909E-2</v>
      </c>
      <c r="AG1374">
        <v>-1.4470626207071164</v>
      </c>
      <c r="AH1374">
        <v>1.0453931428774657</v>
      </c>
      <c r="AI1374">
        <v>2.0558979009559736E-3</v>
      </c>
    </row>
    <row r="1375" spans="23:35" x14ac:dyDescent="0.25">
      <c r="W1375">
        <v>1373</v>
      </c>
      <c r="X1375">
        <v>60.314331197853129</v>
      </c>
      <c r="Y1375">
        <v>-6.3143311978531287</v>
      </c>
      <c r="Z1375">
        <v>60.501593618900543</v>
      </c>
      <c r="AA1375">
        <v>6.9739235900545787E-2</v>
      </c>
      <c r="AB1375">
        <v>77</v>
      </c>
      <c r="AC1375">
        <v>-1.4984336523422108</v>
      </c>
      <c r="AD1375">
        <v>-0.85539752887756471</v>
      </c>
      <c r="AE1375">
        <v>1.0366845535779234</v>
      </c>
      <c r="AF1375">
        <v>2.8802541657330441E-2</v>
      </c>
      <c r="AG1375">
        <v>-0.86798900262436862</v>
      </c>
      <c r="AH1375">
        <v>1.0459072706131955</v>
      </c>
      <c r="AI1375">
        <v>1.2413070346301443E-3</v>
      </c>
    </row>
    <row r="1376" spans="23:35" x14ac:dyDescent="0.25">
      <c r="W1376">
        <v>1374</v>
      </c>
      <c r="X1376">
        <v>57.415066444308785</v>
      </c>
      <c r="Y1376">
        <v>-2.5150664443087862</v>
      </c>
      <c r="Z1376">
        <v>57.505864669273784</v>
      </c>
      <c r="AA1376">
        <v>7.9442086112795629E-2</v>
      </c>
      <c r="AB1376">
        <v>77</v>
      </c>
      <c r="AC1376">
        <v>-1.4191611772342045</v>
      </c>
      <c r="AD1376">
        <v>-0.34071409212049064</v>
      </c>
      <c r="AE1376">
        <v>1.042672355963365</v>
      </c>
      <c r="AF1376">
        <v>3.4843799079675941E-2</v>
      </c>
      <c r="AG1376">
        <v>-0.34680974640039475</v>
      </c>
      <c r="AH1376">
        <v>1.0502073007605202</v>
      </c>
      <c r="AI1376">
        <v>2.4123370018124668E-4</v>
      </c>
    </row>
    <row r="1377" spans="23:35" x14ac:dyDescent="0.25">
      <c r="W1377">
        <v>1375</v>
      </c>
      <c r="X1377">
        <v>64.444073616811949</v>
      </c>
      <c r="Y1377">
        <v>-8.4440736168119486</v>
      </c>
      <c r="Z1377">
        <v>64.581744125694556</v>
      </c>
      <c r="AA1377">
        <v>9.2783505154639179E-2</v>
      </c>
      <c r="AB1377">
        <v>77</v>
      </c>
      <c r="AC1377">
        <v>-1.3329906577816031</v>
      </c>
      <c r="AD1377">
        <v>-1.1439120754288299</v>
      </c>
      <c r="AE1377">
        <v>1.0436942841308259</v>
      </c>
      <c r="AF1377">
        <v>1.6042252817862875E-2</v>
      </c>
      <c r="AG1377">
        <v>-1.1531994319717509</v>
      </c>
      <c r="AH1377">
        <v>1.0616574286264724</v>
      </c>
      <c r="AI1377">
        <v>1.2045511354060081E-3</v>
      </c>
    </row>
    <row r="1378" spans="23:35" x14ac:dyDescent="0.25">
      <c r="W1378">
        <v>1376</v>
      </c>
      <c r="X1378">
        <v>66.773791052457867</v>
      </c>
      <c r="Y1378">
        <v>-9.4737910524578695</v>
      </c>
      <c r="Z1378">
        <v>66.925622770961184</v>
      </c>
      <c r="AA1378">
        <v>0.11643420254699818</v>
      </c>
      <c r="AB1378">
        <v>77</v>
      </c>
      <c r="AC1378">
        <v>-1.207056068729359</v>
      </c>
      <c r="AD1378">
        <v>-1.2834070943459783</v>
      </c>
      <c r="AE1378">
        <v>1.0476116888215583</v>
      </c>
      <c r="AF1378">
        <v>1.5773703386898159E-2</v>
      </c>
      <c r="AG1378">
        <v>-1.293650478397355</v>
      </c>
      <c r="AH1378">
        <v>1.0624474265776116</v>
      </c>
      <c r="AI1378">
        <v>1.4900474803269572E-3</v>
      </c>
    </row>
    <row r="1379" spans="23:35" x14ac:dyDescent="0.25">
      <c r="W1379">
        <v>1377</v>
      </c>
      <c r="X1379">
        <v>95.566774360698957</v>
      </c>
      <c r="Y1379">
        <v>-12.966774360698963</v>
      </c>
      <c r="Z1379">
        <v>95.668951897976498</v>
      </c>
      <c r="AA1379">
        <v>0.97271073377804729</v>
      </c>
      <c r="AB1379">
        <v>77</v>
      </c>
      <c r="AC1379">
        <v>1.917417123160428</v>
      </c>
      <c r="AD1379">
        <v>-1.7565988222831974</v>
      </c>
      <c r="AE1379">
        <v>1.0533554832449439</v>
      </c>
      <c r="AF1379">
        <v>7.8183421344872588E-3</v>
      </c>
      <c r="AG1379">
        <v>-1.7635061972341173</v>
      </c>
      <c r="AH1379">
        <v>1.063502588895016</v>
      </c>
      <c r="AI1379">
        <v>1.361460208177847E-3</v>
      </c>
    </row>
    <row r="1380" spans="23:35" x14ac:dyDescent="0.25">
      <c r="W1380">
        <v>1378</v>
      </c>
      <c r="X1380">
        <v>88.22843464586893</v>
      </c>
      <c r="Y1380">
        <v>-5.8284346458689242</v>
      </c>
      <c r="Z1380">
        <v>88.255168453794468</v>
      </c>
      <c r="AA1380">
        <v>0.97089144936325045</v>
      </c>
      <c r="AB1380">
        <v>77</v>
      </c>
      <c r="AC1380">
        <v>1.8895099603334296</v>
      </c>
      <c r="AD1380">
        <v>-0.78957350146532934</v>
      </c>
      <c r="AE1380">
        <v>1.0623245660179967</v>
      </c>
      <c r="AF1380">
        <v>4.5658477867038093E-3</v>
      </c>
      <c r="AG1380">
        <v>-0.79138223383696071</v>
      </c>
      <c r="AH1380">
        <v>1.0635808376320544</v>
      </c>
      <c r="AI1380">
        <v>1.5959121455807822E-4</v>
      </c>
    </row>
    <row r="1381" spans="23:35" x14ac:dyDescent="0.25">
      <c r="W1381">
        <v>1379</v>
      </c>
      <c r="X1381">
        <v>88.119557511535277</v>
      </c>
      <c r="Y1381">
        <v>-6.1195575115352767</v>
      </c>
      <c r="Z1381">
        <v>88.145457463095568</v>
      </c>
      <c r="AA1381">
        <v>0.96604002425712554</v>
      </c>
      <c r="AB1381">
        <v>77</v>
      </c>
      <c r="AC1381">
        <v>1.7539324289023792</v>
      </c>
      <c r="AD1381">
        <v>-0.82901168930942304</v>
      </c>
      <c r="AE1381">
        <v>1.0626107047047548</v>
      </c>
      <c r="AF1381">
        <v>4.2144871583313665E-3</v>
      </c>
      <c r="AG1381">
        <v>-0.83076416014270171</v>
      </c>
      <c r="AH1381">
        <v>1.0656632107060249</v>
      </c>
      <c r="AI1381">
        <v>1.6227885358589421E-4</v>
      </c>
    </row>
    <row r="1382" spans="23:35" x14ac:dyDescent="0.25">
      <c r="W1382">
        <v>1380</v>
      </c>
      <c r="X1382">
        <v>86.93130482622081</v>
      </c>
      <c r="Y1382">
        <v>-4.8313048262208156</v>
      </c>
      <c r="Z1382">
        <v>86.957919592927894</v>
      </c>
      <c r="AA1382">
        <v>0.96725288053365677</v>
      </c>
      <c r="AB1382">
        <v>77</v>
      </c>
      <c r="AC1382">
        <v>1.8295749434197284</v>
      </c>
      <c r="AD1382">
        <v>-0.65449310150355278</v>
      </c>
      <c r="AE1382">
        <v>1.0672737970210024</v>
      </c>
      <c r="AF1382">
        <v>5.478634670245828E-3</v>
      </c>
      <c r="AG1382">
        <v>-0.65629336643413494</v>
      </c>
      <c r="AH1382">
        <v>1.0732559429599338</v>
      </c>
      <c r="AI1382">
        <v>1.3182013378350871E-4</v>
      </c>
    </row>
    <row r="1383" spans="23:35" x14ac:dyDescent="0.25">
      <c r="W1383">
        <v>1381</v>
      </c>
      <c r="X1383">
        <v>85.16581031679948</v>
      </c>
      <c r="Y1383">
        <v>-3.2658103167994739</v>
      </c>
      <c r="Z1383">
        <v>85.179146343412867</v>
      </c>
      <c r="AA1383">
        <v>0.95997574287446941</v>
      </c>
      <c r="AB1383">
        <v>77</v>
      </c>
      <c r="AC1383">
        <v>1.7330844772440364</v>
      </c>
      <c r="AD1383">
        <v>-0.44241677974112897</v>
      </c>
      <c r="AE1383">
        <v>1.0690815064952373</v>
      </c>
      <c r="AF1383">
        <v>4.0669202337311255E-3</v>
      </c>
      <c r="AG1383">
        <v>-0.44331917001444932</v>
      </c>
      <c r="AH1383">
        <v>1.0749134010253731</v>
      </c>
      <c r="AI1383">
        <v>4.4585743651299971E-5</v>
      </c>
    </row>
    <row r="1384" spans="23:35" x14ac:dyDescent="0.25">
      <c r="W1384">
        <v>1382</v>
      </c>
      <c r="X1384">
        <v>84.478787384453</v>
      </c>
      <c r="Y1384">
        <v>-2.8787873844530054</v>
      </c>
      <c r="Z1384">
        <v>84.494995026892454</v>
      </c>
      <c r="AA1384">
        <v>0.95148574893875071</v>
      </c>
      <c r="AB1384">
        <v>77.099999999999994</v>
      </c>
      <c r="AC1384">
        <v>1.6445597025796697</v>
      </c>
      <c r="AD1384">
        <v>-0.38998708456443665</v>
      </c>
      <c r="AE1384">
        <v>1.0707015352520148</v>
      </c>
      <c r="AF1384">
        <v>5.5985044149996326E-3</v>
      </c>
      <c r="AG1384">
        <v>-0.39108336206119332</v>
      </c>
      <c r="AH1384">
        <v>1.0756247969008568</v>
      </c>
      <c r="AI1384">
        <v>4.7838376362234941E-5</v>
      </c>
    </row>
    <row r="1385" spans="23:35" x14ac:dyDescent="0.25">
      <c r="W1385">
        <v>1383</v>
      </c>
      <c r="X1385">
        <v>83.072618703183196</v>
      </c>
      <c r="Y1385">
        <v>-1.7726187031831984</v>
      </c>
      <c r="Z1385">
        <v>83.084031007283457</v>
      </c>
      <c r="AA1385">
        <v>0.94481503941782896</v>
      </c>
      <c r="AB1385">
        <v>77.099999999999994</v>
      </c>
      <c r="AC1385">
        <v>1.5725296242490356</v>
      </c>
      <c r="AD1385">
        <v>-0.24013527495368012</v>
      </c>
      <c r="AE1385">
        <v>1.0719488797036596</v>
      </c>
      <c r="AF1385">
        <v>6.3969202629739434E-3</v>
      </c>
      <c r="AG1385">
        <v>-0.24090704273968766</v>
      </c>
      <c r="AH1385">
        <v>1.0765070037865789</v>
      </c>
      <c r="AI1385">
        <v>2.0757951656130711E-5</v>
      </c>
    </row>
    <row r="1386" spans="23:35" x14ac:dyDescent="0.25">
      <c r="W1386">
        <v>1384</v>
      </c>
      <c r="X1386">
        <v>82.28084407995361</v>
      </c>
      <c r="Y1386">
        <v>6.71915592004639</v>
      </c>
      <c r="Z1386">
        <v>82.255547360519913</v>
      </c>
      <c r="AA1386">
        <v>1</v>
      </c>
      <c r="AB1386">
        <v>77.2</v>
      </c>
      <c r="AC1386">
        <v>2.6570161854420777</v>
      </c>
      <c r="AD1386">
        <v>0.91023881865824641</v>
      </c>
      <c r="AE1386">
        <v>1.0736462639642113</v>
      </c>
      <c r="AF1386">
        <v>3.750744617231583E-3</v>
      </c>
      <c r="AG1386">
        <v>0.91195067238558614</v>
      </c>
      <c r="AH1386">
        <v>1.0775100382757705</v>
      </c>
      <c r="AI1386">
        <v>1.7394809444349875E-4</v>
      </c>
    </row>
    <row r="1387" spans="23:35" x14ac:dyDescent="0.25">
      <c r="W1387">
        <v>1385</v>
      </c>
      <c r="X1387">
        <v>81.144407317743656</v>
      </c>
      <c r="Y1387">
        <v>6.8555926822563436</v>
      </c>
      <c r="Z1387">
        <v>81.111089865225068</v>
      </c>
      <c r="AA1387">
        <v>0.99575500303214071</v>
      </c>
      <c r="AB1387">
        <v>77.2</v>
      </c>
      <c r="AC1387">
        <v>2.428517260365656</v>
      </c>
      <c r="AD1387">
        <v>0.92872180055855136</v>
      </c>
      <c r="AE1387">
        <v>1.0750070244937446</v>
      </c>
      <c r="AF1387">
        <v>4.8363894820457384E-3</v>
      </c>
      <c r="AG1387">
        <v>0.93097580998631801</v>
      </c>
      <c r="AH1387">
        <v>1.0775222313945683</v>
      </c>
      <c r="AI1387">
        <v>2.3400819627714486E-4</v>
      </c>
    </row>
    <row r="1388" spans="23:35" x14ac:dyDescent="0.25">
      <c r="W1388">
        <v>1386</v>
      </c>
      <c r="X1388">
        <v>74.735159322162758</v>
      </c>
      <c r="Y1388">
        <v>6.2648406778372419</v>
      </c>
      <c r="Z1388">
        <v>74.662213862830043</v>
      </c>
      <c r="AA1388">
        <v>0.93571861734384476</v>
      </c>
      <c r="AB1388">
        <v>77.2</v>
      </c>
      <c r="AC1388">
        <v>1.4576525936309466</v>
      </c>
      <c r="AD1388">
        <v>0.84869308668124022</v>
      </c>
      <c r="AE1388">
        <v>1.0912752910335082</v>
      </c>
      <c r="AF1388">
        <v>1.1509611992884708E-2</v>
      </c>
      <c r="AG1388">
        <v>0.85361971949594906</v>
      </c>
      <c r="AH1388">
        <v>1.0955498869643221</v>
      </c>
      <c r="AI1388">
        <v>4.7135118771699072E-4</v>
      </c>
    </row>
    <row r="1389" spans="23:35" x14ac:dyDescent="0.25">
      <c r="W1389">
        <v>1387</v>
      </c>
      <c r="X1389">
        <v>79.834457523391052</v>
      </c>
      <c r="Y1389">
        <v>1.1655424766089482</v>
      </c>
      <c r="Z1389">
        <v>79.829551538820724</v>
      </c>
      <c r="AA1389">
        <v>0.93571861734384476</v>
      </c>
      <c r="AB1389">
        <v>77.2</v>
      </c>
      <c r="AC1389">
        <v>1.4576525936309466</v>
      </c>
      <c r="AD1389">
        <v>0.15789513141662756</v>
      </c>
      <c r="AE1389">
        <v>1.095746627412026</v>
      </c>
      <c r="AF1389">
        <v>4.1915425864944844E-3</v>
      </c>
      <c r="AG1389">
        <v>0.15822708742146735</v>
      </c>
      <c r="AH1389">
        <v>1.1016056084790919</v>
      </c>
      <c r="AI1389">
        <v>5.8544652853751447E-6</v>
      </c>
    </row>
    <row r="1390" spans="23:35" x14ac:dyDescent="0.25">
      <c r="W1390">
        <v>1388</v>
      </c>
      <c r="X1390">
        <v>79.284260112652504</v>
      </c>
      <c r="Y1390">
        <v>0.11573988734750174</v>
      </c>
      <c r="Z1390">
        <v>79.283835206937994</v>
      </c>
      <c r="AA1390">
        <v>0.90661006670709521</v>
      </c>
      <c r="AB1390">
        <v>77.3</v>
      </c>
      <c r="AC1390">
        <v>1.2933897637306977</v>
      </c>
      <c r="AD1390">
        <v>1.5679192384346567E-2</v>
      </c>
      <c r="AE1390">
        <v>1.0977729122518216</v>
      </c>
      <c r="AF1390">
        <v>3.6577839405241685E-3</v>
      </c>
      <c r="AG1390">
        <v>1.5707946840678819E-2</v>
      </c>
      <c r="AH1390">
        <v>1.103575518547973</v>
      </c>
      <c r="AI1390">
        <v>5.0324081519440696E-8</v>
      </c>
    </row>
    <row r="1391" spans="23:35" x14ac:dyDescent="0.25">
      <c r="W1391">
        <v>1389</v>
      </c>
      <c r="X1391">
        <v>78.829694388376936</v>
      </c>
      <c r="Y1391">
        <v>0.67030561162306412</v>
      </c>
      <c r="Z1391">
        <v>78.826559928566212</v>
      </c>
      <c r="AA1391">
        <v>0.90964220739842327</v>
      </c>
      <c r="AB1391">
        <v>77.3</v>
      </c>
      <c r="AC1391">
        <v>1.3219841213691266</v>
      </c>
      <c r="AD1391">
        <v>9.0805779077613474E-2</v>
      </c>
      <c r="AE1391">
        <v>1.1000645547447472</v>
      </c>
      <c r="AF1391">
        <v>4.6544005082021249E-3</v>
      </c>
      <c r="AG1391">
        <v>9.1017842869920915E-2</v>
      </c>
      <c r="AH1391">
        <v>1.1048891324377919</v>
      </c>
      <c r="AI1391">
        <v>2.1521395193430327E-6</v>
      </c>
    </row>
    <row r="1392" spans="23:35" x14ac:dyDescent="0.25">
      <c r="W1392">
        <v>1390</v>
      </c>
      <c r="X1392">
        <v>80.061239596870521</v>
      </c>
      <c r="Y1392">
        <v>-0.66123959687051581</v>
      </c>
      <c r="Z1392">
        <v>80.062611398740103</v>
      </c>
      <c r="AA1392">
        <v>0.90661006670709521</v>
      </c>
      <c r="AB1392">
        <v>77.3</v>
      </c>
      <c r="AC1392">
        <v>1.2933897637306977</v>
      </c>
      <c r="AD1392">
        <v>-8.9577613120982308E-2</v>
      </c>
      <c r="AE1392">
        <v>1.1014147312641716</v>
      </c>
      <c r="AF1392">
        <v>2.0702962131144672E-3</v>
      </c>
      <c r="AG1392">
        <v>-8.9670483444307586E-2</v>
      </c>
      <c r="AH1392">
        <v>1.1088071402041748</v>
      </c>
      <c r="AI1392">
        <v>9.2674244712654056E-7</v>
      </c>
    </row>
    <row r="1393" spans="23:35" x14ac:dyDescent="0.25">
      <c r="W1393">
        <v>1391</v>
      </c>
      <c r="X1393">
        <v>78.855783675581677</v>
      </c>
      <c r="Y1393">
        <v>0.24421632441831775</v>
      </c>
      <c r="Z1393">
        <v>78.855143169611651</v>
      </c>
      <c r="AA1393">
        <v>0.89326864766525171</v>
      </c>
      <c r="AB1393">
        <v>77.3</v>
      </c>
      <c r="AC1393">
        <v>1.2294035019788656</v>
      </c>
      <c r="AD1393">
        <v>3.3083795238681386E-2</v>
      </c>
      <c r="AE1393">
        <v>1.1077659858914632</v>
      </c>
      <c r="AF1393">
        <v>2.6158386882789882E-3</v>
      </c>
      <c r="AG1393">
        <v>3.3127151252270962E-2</v>
      </c>
      <c r="AH1393">
        <v>1.1101298337311134</v>
      </c>
      <c r="AI1393">
        <v>1.5989841823752522E-7</v>
      </c>
    </row>
    <row r="1394" spans="23:35" x14ac:dyDescent="0.25">
      <c r="W1394">
        <v>1392</v>
      </c>
      <c r="X1394">
        <v>84.533675028038232</v>
      </c>
      <c r="Y1394">
        <v>-9.833675028038229</v>
      </c>
      <c r="Z1394">
        <v>84.609316650631214</v>
      </c>
      <c r="AA1394">
        <v>0.7362037598544573</v>
      </c>
      <c r="AB1394">
        <v>77.3</v>
      </c>
      <c r="AC1394">
        <v>0.61415241452626612</v>
      </c>
      <c r="AD1394">
        <v>-1.3321602961892298</v>
      </c>
      <c r="AE1394">
        <v>1.1087008695000142</v>
      </c>
      <c r="AF1394">
        <v>7.6333843452426175E-3</v>
      </c>
      <c r="AG1394">
        <v>-1.3372740370208427</v>
      </c>
      <c r="AH1394">
        <v>1.1131241887618295</v>
      </c>
      <c r="AI1394">
        <v>7.6421103583773577E-4</v>
      </c>
    </row>
    <row r="1395" spans="23:35" x14ac:dyDescent="0.25">
      <c r="W1395">
        <v>1393</v>
      </c>
      <c r="X1395">
        <v>83.929570075080534</v>
      </c>
      <c r="Y1395">
        <v>-9.3295700750805395</v>
      </c>
      <c r="Z1395">
        <v>84.000014006428245</v>
      </c>
      <c r="AA1395">
        <v>0.73013947847180105</v>
      </c>
      <c r="AB1395">
        <v>77.5</v>
      </c>
      <c r="AC1395">
        <v>0.59589828697336056</v>
      </c>
      <c r="AD1395">
        <v>-1.2638695908803983</v>
      </c>
      <c r="AE1395">
        <v>1.1135803146432735</v>
      </c>
      <c r="AF1395">
        <v>7.4940240833192224E-3</v>
      </c>
      <c r="AG1395">
        <v>-1.2686321100610853</v>
      </c>
      <c r="AH1395">
        <v>1.1153717014496687</v>
      </c>
      <c r="AI1395">
        <v>6.7511980439861256E-4</v>
      </c>
    </row>
    <row r="1396" spans="23:35" x14ac:dyDescent="0.25">
      <c r="W1396">
        <v>1394</v>
      </c>
      <c r="X1396">
        <v>82.900934091941224</v>
      </c>
      <c r="Y1396">
        <v>-8.4009340919412239</v>
      </c>
      <c r="Z1396">
        <v>82.967480372903339</v>
      </c>
      <c r="AA1396">
        <v>0.72407519708914492</v>
      </c>
      <c r="AB1396">
        <v>77.5</v>
      </c>
      <c r="AC1396">
        <v>0.56531175535073552</v>
      </c>
      <c r="AD1396">
        <v>-1.1380679975977657</v>
      </c>
      <c r="AE1396">
        <v>1.1159864692173889</v>
      </c>
      <c r="AF1396">
        <v>7.8590416548318665E-3</v>
      </c>
      <c r="AG1396">
        <v>-1.1425665929177775</v>
      </c>
      <c r="AH1396">
        <v>1.1187305167345822</v>
      </c>
      <c r="AI1396">
        <v>5.7449565727607337E-4</v>
      </c>
    </row>
    <row r="1397" spans="23:35" x14ac:dyDescent="0.25">
      <c r="W1397">
        <v>1395</v>
      </c>
      <c r="X1397">
        <v>80.515840607110675</v>
      </c>
      <c r="Y1397">
        <v>-6.0158406071106754</v>
      </c>
      <c r="Z1397">
        <v>80.574115718091676</v>
      </c>
      <c r="AA1397">
        <v>0.72407519708914492</v>
      </c>
      <c r="AB1397">
        <v>77.5</v>
      </c>
      <c r="AC1397">
        <v>0.56531175535073552</v>
      </c>
      <c r="AD1397">
        <v>-0.81496124105643963</v>
      </c>
      <c r="AE1397">
        <v>1.1181424750696465</v>
      </c>
      <c r="AF1397">
        <v>9.5940073725352976E-3</v>
      </c>
      <c r="AG1397">
        <v>-0.81889896984556043</v>
      </c>
      <c r="AH1397">
        <v>1.1236289320794659</v>
      </c>
      <c r="AI1397">
        <v>3.6089007032132813E-4</v>
      </c>
    </row>
    <row r="1398" spans="23:35" x14ac:dyDescent="0.25">
      <c r="W1398">
        <v>1396</v>
      </c>
      <c r="X1398">
        <v>82.173140668194208</v>
      </c>
      <c r="Y1398">
        <v>-7.6731406681942076</v>
      </c>
      <c r="Z1398">
        <v>82.231825134406776</v>
      </c>
      <c r="AA1398">
        <v>0.72407519708914492</v>
      </c>
      <c r="AB1398">
        <v>77.599999999999994</v>
      </c>
      <c r="AC1398">
        <v>0.56531175535073552</v>
      </c>
      <c r="AD1398">
        <v>-1.039474389391372</v>
      </c>
      <c r="AE1398">
        <v>1.1197475877984249</v>
      </c>
      <c r="AF1398">
        <v>7.5899888050263466E-3</v>
      </c>
      <c r="AG1398">
        <v>-1.043441787600732</v>
      </c>
      <c r="AH1398">
        <v>1.1249366203405196</v>
      </c>
      <c r="AI1398">
        <v>4.6260885776518791E-4</v>
      </c>
    </row>
    <row r="1399" spans="23:35" x14ac:dyDescent="0.25">
      <c r="W1399">
        <v>1397</v>
      </c>
      <c r="X1399">
        <v>82.336074763527179</v>
      </c>
      <c r="Y1399">
        <v>-10.536074763527182</v>
      </c>
      <c r="Z1399">
        <v>82.41427885624077</v>
      </c>
      <c r="AA1399">
        <v>0.51061249241964823</v>
      </c>
      <c r="AB1399">
        <v>77.599999999999994</v>
      </c>
      <c r="AC1399">
        <v>1.0640830227304372E-2</v>
      </c>
      <c r="AD1399">
        <v>-1.4273138412275053</v>
      </c>
      <c r="AE1399">
        <v>1.1210650311098067</v>
      </c>
      <c r="AF1399">
        <v>7.3678196863657345E-3</v>
      </c>
      <c r="AG1399">
        <v>-1.4326011718155458</v>
      </c>
      <c r="AH1399">
        <v>1.1250428873345841</v>
      </c>
      <c r="AI1399">
        <v>8.4630856712488193E-4</v>
      </c>
    </row>
    <row r="1400" spans="23:35" x14ac:dyDescent="0.25">
      <c r="W1400">
        <v>1398</v>
      </c>
      <c r="X1400">
        <v>82.017481618965803</v>
      </c>
      <c r="Y1400">
        <v>-9.717481618965806</v>
      </c>
      <c r="Z1400">
        <v>82.089967805558345</v>
      </c>
      <c r="AA1400">
        <v>0.54578532443905392</v>
      </c>
      <c r="AB1400">
        <v>77.599999999999994</v>
      </c>
      <c r="AC1400">
        <v>9.896716322379942E-2</v>
      </c>
      <c r="AD1400">
        <v>-1.3164196655700751</v>
      </c>
      <c r="AE1400">
        <v>1.1214833207247654</v>
      </c>
      <c r="AF1400">
        <v>7.4041292098410783E-3</v>
      </c>
      <c r="AG1400">
        <v>-1.321320367143783</v>
      </c>
      <c r="AH1400">
        <v>1.1255842307285724</v>
      </c>
      <c r="AI1400">
        <v>7.2351123339869027E-4</v>
      </c>
    </row>
    <row r="1401" spans="23:35" x14ac:dyDescent="0.25">
      <c r="W1401">
        <v>1399</v>
      </c>
      <c r="X1401">
        <v>81.31183744745293</v>
      </c>
      <c r="Y1401">
        <v>-7.6118374474529276</v>
      </c>
      <c r="Z1401">
        <v>81.368134198147189</v>
      </c>
      <c r="AA1401">
        <v>0.66040024257125529</v>
      </c>
      <c r="AB1401">
        <v>77.599999999999994</v>
      </c>
      <c r="AC1401">
        <v>0.39787592189543292</v>
      </c>
      <c r="AD1401">
        <v>-1.0311696898291831</v>
      </c>
      <c r="AE1401">
        <v>1.1237540191522017</v>
      </c>
      <c r="AF1401">
        <v>7.341649120833048E-3</v>
      </c>
      <c r="AG1401">
        <v>-1.0349759036366781</v>
      </c>
      <c r="AH1401">
        <v>1.1262287011243159</v>
      </c>
      <c r="AI1401">
        <v>4.4013083539097087E-4</v>
      </c>
    </row>
    <row r="1402" spans="23:35" x14ac:dyDescent="0.25">
      <c r="W1402">
        <v>1400</v>
      </c>
      <c r="X1402">
        <v>81.717053179425434</v>
      </c>
      <c r="Y1402">
        <v>-7.9170531794254373</v>
      </c>
      <c r="Z1402">
        <v>81.772102278554058</v>
      </c>
      <c r="AA1402">
        <v>0.66767738023044265</v>
      </c>
      <c r="AB1402">
        <v>77.7</v>
      </c>
      <c r="AC1402">
        <v>0.4143837514429769</v>
      </c>
      <c r="AD1402">
        <v>-1.0725170272942512</v>
      </c>
      <c r="AE1402">
        <v>1.1239740979708275</v>
      </c>
      <c r="AF1402">
        <v>6.9052173699175384E-3</v>
      </c>
      <c r="AG1402">
        <v>-1.0762392973415951</v>
      </c>
      <c r="AH1402">
        <v>1.130459074483489</v>
      </c>
      <c r="AI1402">
        <v>4.4743694414937257E-4</v>
      </c>
    </row>
    <row r="1403" spans="23:35" x14ac:dyDescent="0.25">
      <c r="W1403">
        <v>1401</v>
      </c>
      <c r="X1403">
        <v>81.07489933945925</v>
      </c>
      <c r="Y1403">
        <v>-6.8748993394592475</v>
      </c>
      <c r="Z1403">
        <v>81.123079813781786</v>
      </c>
      <c r="AA1403">
        <v>0.7010309278350515</v>
      </c>
      <c r="AB1403">
        <v>77.7</v>
      </c>
      <c r="AC1403">
        <v>0.5039283835636299</v>
      </c>
      <c r="AD1403">
        <v>-0.93133725837106929</v>
      </c>
      <c r="AE1403">
        <v>1.1242003397512033</v>
      </c>
      <c r="AF1403">
        <v>6.9593989407184557E-3</v>
      </c>
      <c r="AG1403">
        <v>-0.93459504621574574</v>
      </c>
      <c r="AH1403">
        <v>1.1317448440634919</v>
      </c>
      <c r="AI1403">
        <v>3.4007849642063816E-4</v>
      </c>
    </row>
    <row r="1404" spans="23:35" x14ac:dyDescent="0.25">
      <c r="W1404">
        <v>1402</v>
      </c>
      <c r="X1404">
        <v>80.614349568260252</v>
      </c>
      <c r="Y1404">
        <v>-11.514349568260258</v>
      </c>
      <c r="Z1404">
        <v>80.711661025149937</v>
      </c>
      <c r="AA1404">
        <v>0.42510612492419647</v>
      </c>
      <c r="AB1404">
        <v>77.7</v>
      </c>
      <c r="AC1404">
        <v>-0.198915705174462</v>
      </c>
      <c r="AD1404">
        <v>-1.5598399670056988</v>
      </c>
      <c r="AE1404">
        <v>1.1249422078338829</v>
      </c>
      <c r="AF1404">
        <v>8.3804941152620417E-3</v>
      </c>
      <c r="AG1404">
        <v>-1.5664174527671304</v>
      </c>
      <c r="AH1404">
        <v>1.132854496381084</v>
      </c>
      <c r="AI1404">
        <v>1.1520387464420598E-3</v>
      </c>
    </row>
    <row r="1405" spans="23:35" x14ac:dyDescent="0.25">
      <c r="W1405">
        <v>1403</v>
      </c>
      <c r="X1405">
        <v>78.788430242073204</v>
      </c>
      <c r="Y1405">
        <v>-4.8884302420731984</v>
      </c>
      <c r="Z1405">
        <v>78.854022058219044</v>
      </c>
      <c r="AA1405">
        <v>0.67919951485748942</v>
      </c>
      <c r="AB1405">
        <v>77.8</v>
      </c>
      <c r="AC1405">
        <v>0.43434378704136062</v>
      </c>
      <c r="AD1405">
        <v>-0.66223183709170907</v>
      </c>
      <c r="AE1405">
        <v>1.1334268321732799</v>
      </c>
      <c r="AF1405">
        <v>1.3240113866069913E-2</v>
      </c>
      <c r="AG1405">
        <v>-0.666659869131077</v>
      </c>
      <c r="AH1405">
        <v>1.1432006837032322</v>
      </c>
      <c r="AI1405">
        <v>3.312961235100374E-4</v>
      </c>
    </row>
    <row r="1406" spans="23:35" x14ac:dyDescent="0.25">
      <c r="W1406">
        <v>1404</v>
      </c>
      <c r="X1406">
        <v>72.386953125070931</v>
      </c>
      <c r="Y1406">
        <v>-0.98695312507092581</v>
      </c>
      <c r="Z1406">
        <v>72.38877720699081</v>
      </c>
      <c r="AA1406">
        <v>0.4887810794420861</v>
      </c>
      <c r="AB1406">
        <v>77.8</v>
      </c>
      <c r="AC1406">
        <v>-4.7140240828996732E-2</v>
      </c>
      <c r="AD1406">
        <v>-0.13370177107445688</v>
      </c>
      <c r="AE1406">
        <v>1.1415564526030464</v>
      </c>
      <c r="AF1406">
        <v>1.8447855664327855E-3</v>
      </c>
      <c r="AG1406">
        <v>-0.13382526751783361</v>
      </c>
      <c r="AH1406">
        <v>1.1434636474607307</v>
      </c>
      <c r="AI1406">
        <v>1.8388722011872685E-6</v>
      </c>
    </row>
    <row r="1407" spans="23:35" x14ac:dyDescent="0.25">
      <c r="W1407">
        <v>1405</v>
      </c>
      <c r="X1407">
        <v>72.847107336227452</v>
      </c>
      <c r="Y1407">
        <v>-1.6471073362274495</v>
      </c>
      <c r="Z1407">
        <v>72.849926272443597</v>
      </c>
      <c r="AA1407">
        <v>0.47907822922983628</v>
      </c>
      <c r="AB1407">
        <v>77.8</v>
      </c>
      <c r="AC1407">
        <v>-6.3887210036911155E-2</v>
      </c>
      <c r="AD1407">
        <v>-0.22313234783821681</v>
      </c>
      <c r="AE1407">
        <v>1.1416680911809349</v>
      </c>
      <c r="AF1407">
        <v>1.7085225341416091E-3</v>
      </c>
      <c r="AG1407">
        <v>-0.22332320575904949</v>
      </c>
      <c r="AH1407">
        <v>1.1436809280623303</v>
      </c>
      <c r="AI1407">
        <v>4.7419672414315054E-6</v>
      </c>
    </row>
    <row r="1408" spans="23:35" x14ac:dyDescent="0.25">
      <c r="W1408">
        <v>1406</v>
      </c>
      <c r="X1408">
        <v>72.953716469892782</v>
      </c>
      <c r="Y1408">
        <v>-1.6537164698927853</v>
      </c>
      <c r="Z1408">
        <v>72.956282443797491</v>
      </c>
      <c r="AA1408">
        <v>0.48089751364463312</v>
      </c>
      <c r="AB1408">
        <v>77.900000000000006</v>
      </c>
      <c r="AC1408">
        <v>-5.1706087511076533E-2</v>
      </c>
      <c r="AD1408">
        <v>-0.22402768202773032</v>
      </c>
      <c r="AE1408">
        <v>1.1420267459767339</v>
      </c>
      <c r="AF1408">
        <v>1.5492369156684099E-3</v>
      </c>
      <c r="AG1408">
        <v>-0.22420141990222378</v>
      </c>
      <c r="AH1408">
        <v>1.1458723230296299</v>
      </c>
      <c r="AI1408">
        <v>4.3330669169714984E-6</v>
      </c>
    </row>
    <row r="1409" spans="23:35" x14ac:dyDescent="0.25">
      <c r="W1409">
        <v>1407</v>
      </c>
      <c r="X1409">
        <v>72.367346652964457</v>
      </c>
      <c r="Y1409">
        <v>3.6326533470355429</v>
      </c>
      <c r="Z1409">
        <v>72.36148735264247</v>
      </c>
      <c r="AA1409">
        <v>0.80836870830806551</v>
      </c>
      <c r="AB1409">
        <v>78</v>
      </c>
      <c r="AC1409">
        <v>0.83794453378675593</v>
      </c>
      <c r="AD1409">
        <v>0.49211271929789185</v>
      </c>
      <c r="AE1409">
        <v>1.1461206700714959</v>
      </c>
      <c r="AF1409">
        <v>1.610355903596399E-3</v>
      </c>
      <c r="AG1409">
        <v>0.4925094368159188</v>
      </c>
      <c r="AH1409">
        <v>1.1546653401153903</v>
      </c>
      <c r="AI1409">
        <v>2.1735939151702848E-5</v>
      </c>
    </row>
    <row r="1410" spans="23:35" x14ac:dyDescent="0.25">
      <c r="W1410">
        <v>1408</v>
      </c>
      <c r="X1410">
        <v>71.418520072080071</v>
      </c>
      <c r="Y1410">
        <v>1.5814799279199292</v>
      </c>
      <c r="Z1410">
        <v>71.41413626336147</v>
      </c>
      <c r="AA1410">
        <v>0.60946027895694366</v>
      </c>
      <c r="AB1410">
        <v>78</v>
      </c>
      <c r="AC1410">
        <v>0.22222871718700732</v>
      </c>
      <c r="AD1410">
        <v>0.21424185395471912</v>
      </c>
      <c r="AE1410">
        <v>1.1498332672601721</v>
      </c>
      <c r="AF1410">
        <v>2.764303525780307E-3</v>
      </c>
      <c r="AG1410">
        <v>0.2145385840417772</v>
      </c>
      <c r="AH1410">
        <v>1.1548545491216151</v>
      </c>
      <c r="AI1410">
        <v>7.0880410911735747E-6</v>
      </c>
    </row>
    <row r="1411" spans="23:35" x14ac:dyDescent="0.25">
      <c r="W1411">
        <v>1409</v>
      </c>
      <c r="X1411">
        <v>71.389909607556476</v>
      </c>
      <c r="Y1411">
        <v>-1.3899096075564756</v>
      </c>
      <c r="Z1411">
        <v>71.392173417176821</v>
      </c>
      <c r="AA1411">
        <v>0.46088538508186777</v>
      </c>
      <c r="AB1411">
        <v>78</v>
      </c>
      <c r="AC1411">
        <v>-0.10660788786182936</v>
      </c>
      <c r="AD1411">
        <v>-0.1882899718771846</v>
      </c>
      <c r="AE1411">
        <v>1.1529140106880105</v>
      </c>
      <c r="AF1411">
        <v>1.6260974332800576E-3</v>
      </c>
      <c r="AG1411">
        <v>-0.18844324775365884</v>
      </c>
      <c r="AH1411">
        <v>1.1568466905404573</v>
      </c>
      <c r="AI1411">
        <v>3.2132313848559788E-6</v>
      </c>
    </row>
    <row r="1412" spans="23:35" x14ac:dyDescent="0.25">
      <c r="W1412">
        <v>1410</v>
      </c>
      <c r="X1412">
        <v>70.103596286111838</v>
      </c>
      <c r="Y1412">
        <v>-0.30359628611184064</v>
      </c>
      <c r="Z1412">
        <v>70.104072017293689</v>
      </c>
      <c r="AA1412">
        <v>0.4530018192844148</v>
      </c>
      <c r="AB1412">
        <v>78</v>
      </c>
      <c r="AC1412">
        <v>-0.12344005334831042</v>
      </c>
      <c r="AD1412">
        <v>-4.1127952395777247E-2</v>
      </c>
      <c r="AE1412">
        <v>1.1530460874691246</v>
      </c>
      <c r="AF1412">
        <v>1.564534566794422E-3</v>
      </c>
      <c r="AG1412">
        <v>-4.116016324854567E-2</v>
      </c>
      <c r="AH1412">
        <v>1.1654367898397304</v>
      </c>
      <c r="AI1412">
        <v>1.4748465470760223E-7</v>
      </c>
    </row>
    <row r="1413" spans="23:35" x14ac:dyDescent="0.25">
      <c r="W1413">
        <v>1411</v>
      </c>
      <c r="X1413">
        <v>67.581611220479331</v>
      </c>
      <c r="Y1413">
        <v>1.9183887795206687</v>
      </c>
      <c r="Z1413">
        <v>67.577590082399809</v>
      </c>
      <c r="AA1413">
        <v>0.44269254093389931</v>
      </c>
      <c r="AB1413">
        <v>78</v>
      </c>
      <c r="AC1413">
        <v>-0.15567569037416348</v>
      </c>
      <c r="AD1413">
        <v>0.2598826336487326</v>
      </c>
      <c r="AE1413">
        <v>1.1535036560060972</v>
      </c>
      <c r="AF1413">
        <v>2.0917172985399713E-3</v>
      </c>
      <c r="AG1413">
        <v>0.26015486129090032</v>
      </c>
      <c r="AH1413">
        <v>1.1677848598314329</v>
      </c>
      <c r="AI1413">
        <v>7.8814068464961573E-6</v>
      </c>
    </row>
    <row r="1414" spans="23:35" x14ac:dyDescent="0.25">
      <c r="W1414">
        <v>1412</v>
      </c>
      <c r="X1414">
        <v>69.610204146744266</v>
      </c>
      <c r="Y1414">
        <v>-0.31020414674426888</v>
      </c>
      <c r="Z1414">
        <v>69.610775101817438</v>
      </c>
      <c r="AA1414">
        <v>0.4329896907216495</v>
      </c>
      <c r="AB1414">
        <v>78</v>
      </c>
      <c r="AC1414">
        <v>-0.17879863688351211</v>
      </c>
      <c r="AD1414">
        <v>-4.2023114128514401E-2</v>
      </c>
      <c r="AE1414">
        <v>1.1556641991252763</v>
      </c>
      <c r="AF1414">
        <v>1.8371969627894434E-3</v>
      </c>
      <c r="AG1414">
        <v>-4.2061769769017453E-2</v>
      </c>
      <c r="AH1414">
        <v>1.1691870485804756</v>
      </c>
      <c r="AI1414">
        <v>1.8090764317726946E-7</v>
      </c>
    </row>
    <row r="1415" spans="23:35" x14ac:dyDescent="0.25">
      <c r="W1415">
        <v>1413</v>
      </c>
      <c r="X1415">
        <v>67.061439417300036</v>
      </c>
      <c r="Y1415">
        <v>1.8385605826999694</v>
      </c>
      <c r="Z1415">
        <v>67.057214968800452</v>
      </c>
      <c r="AA1415">
        <v>0.41479684657368104</v>
      </c>
      <c r="AB1415">
        <v>78</v>
      </c>
      <c r="AC1415">
        <v>-0.22378708008709278</v>
      </c>
      <c r="AD1415">
        <v>0.24906837000694027</v>
      </c>
      <c r="AE1415">
        <v>1.1636061842432086</v>
      </c>
      <c r="AF1415">
        <v>2.2924260985768296E-3</v>
      </c>
      <c r="AG1415">
        <v>0.24935434720303548</v>
      </c>
      <c r="AH1415">
        <v>1.1698047208346842</v>
      </c>
      <c r="AI1415">
        <v>7.9369465933957475E-6</v>
      </c>
    </row>
    <row r="1416" spans="23:35" x14ac:dyDescent="0.25">
      <c r="W1416">
        <v>1414</v>
      </c>
      <c r="X1416">
        <v>71.402310975362468</v>
      </c>
      <c r="Y1416">
        <v>-13.002310975362469</v>
      </c>
      <c r="Z1416">
        <v>71.471729535270967</v>
      </c>
      <c r="AA1416">
        <v>0.1406913280776228</v>
      </c>
      <c r="AB1416">
        <v>78</v>
      </c>
      <c r="AC1416">
        <v>-1.0895196306228982</v>
      </c>
      <c r="AD1416">
        <v>-1.7614129397907132</v>
      </c>
      <c r="AE1416">
        <v>1.1649359031988051</v>
      </c>
      <c r="AF1416">
        <v>5.3105872272822853E-3</v>
      </c>
      <c r="AG1416">
        <v>-1.7661087196311052</v>
      </c>
      <c r="AH1416">
        <v>1.1705572362294892</v>
      </c>
      <c r="AI1416">
        <v>9.2516121013118088E-4</v>
      </c>
    </row>
    <row r="1417" spans="23:35" x14ac:dyDescent="0.25">
      <c r="W1417">
        <v>1415</v>
      </c>
      <c r="X1417">
        <v>70.681474920397761</v>
      </c>
      <c r="Y1417">
        <v>-13.08147492039776</v>
      </c>
      <c r="Z1417">
        <v>70.759922441265601</v>
      </c>
      <c r="AA1417">
        <v>0.12431776834445118</v>
      </c>
      <c r="AB1417">
        <v>78</v>
      </c>
      <c r="AC1417">
        <v>-1.1700898139672218</v>
      </c>
      <c r="AD1417">
        <v>-1.7721372177605497</v>
      </c>
      <c r="AE1417">
        <v>1.1667745257661193</v>
      </c>
      <c r="AF1417">
        <v>5.961092948531194E-3</v>
      </c>
      <c r="AG1417">
        <v>-1.7774428876088912</v>
      </c>
      <c r="AH1417">
        <v>1.1756455448617897</v>
      </c>
      <c r="AI1417">
        <v>1.052546557826786E-3</v>
      </c>
    </row>
    <row r="1418" spans="23:35" x14ac:dyDescent="0.25">
      <c r="W1418">
        <v>1416</v>
      </c>
      <c r="X1418">
        <v>65.247082004441495</v>
      </c>
      <c r="Y1418">
        <v>-8.747082004441495</v>
      </c>
      <c r="Z1418">
        <v>65.323335812720089</v>
      </c>
      <c r="AA1418">
        <v>0.10066707095209218</v>
      </c>
      <c r="AB1418">
        <v>78</v>
      </c>
      <c r="AC1418">
        <v>-1.2898891601746336</v>
      </c>
      <c r="AD1418">
        <v>-1.1849603856751492</v>
      </c>
      <c r="AE1418">
        <v>1.1675525963197504</v>
      </c>
      <c r="AF1418">
        <v>8.6422878939578403E-3</v>
      </c>
      <c r="AG1418">
        <v>-1.1901141997950475</v>
      </c>
      <c r="AH1418">
        <v>1.1787670307113811</v>
      </c>
      <c r="AI1418">
        <v>6.8596681909228303E-4</v>
      </c>
    </row>
    <row r="1419" spans="23:35" x14ac:dyDescent="0.25">
      <c r="W1419">
        <v>1417</v>
      </c>
      <c r="X1419">
        <v>59.044380891732786</v>
      </c>
      <c r="Y1419">
        <v>-4.0443808917327857</v>
      </c>
      <c r="Z1419">
        <v>59.077419601309586</v>
      </c>
      <c r="AA1419">
        <v>8.1261370527592483E-2</v>
      </c>
      <c r="AB1419">
        <v>78</v>
      </c>
      <c r="AC1419">
        <v>-1.4067868590764927</v>
      </c>
      <c r="AD1419">
        <v>-0.54788912906629195</v>
      </c>
      <c r="AE1419">
        <v>1.1720268134995806</v>
      </c>
      <c r="AF1419">
        <v>8.1028475867898075E-3</v>
      </c>
      <c r="AG1419">
        <v>-0.55012244146414857</v>
      </c>
      <c r="AH1419">
        <v>1.1889567002640926</v>
      </c>
      <c r="AI1419">
        <v>1.3734638871298313E-4</v>
      </c>
    </row>
    <row r="1420" spans="23:35" x14ac:dyDescent="0.25">
      <c r="W1420">
        <v>1418</v>
      </c>
      <c r="X1420">
        <v>58.469006568864643</v>
      </c>
      <c r="Y1420">
        <v>-4.8690065688646413</v>
      </c>
      <c r="Z1420">
        <v>58.509095924355563</v>
      </c>
      <c r="AA1420">
        <v>6.4887810794420867E-2</v>
      </c>
      <c r="AB1420">
        <v>78</v>
      </c>
      <c r="AC1420">
        <v>-1.5319668124298669</v>
      </c>
      <c r="AD1420">
        <v>-0.65960052721205409</v>
      </c>
      <c r="AE1420">
        <v>1.1738692363035528</v>
      </c>
      <c r="AF1420">
        <v>8.166341849630946E-3</v>
      </c>
      <c r="AG1420">
        <v>-0.66231039754366972</v>
      </c>
      <c r="AH1420">
        <v>1.1919995653146549</v>
      </c>
      <c r="AI1420">
        <v>2.0065008810239184E-4</v>
      </c>
    </row>
    <row r="1421" spans="23:35" x14ac:dyDescent="0.25">
      <c r="W1421">
        <v>1419</v>
      </c>
      <c r="X1421">
        <v>46.580212556732818</v>
      </c>
      <c r="Y1421">
        <v>6.0197874432671838</v>
      </c>
      <c r="Z1421">
        <v>46.386504336836978</v>
      </c>
      <c r="AA1421">
        <v>5.5184960582171011E-2</v>
      </c>
      <c r="AB1421">
        <v>78</v>
      </c>
      <c r="AC1421">
        <v>-1.6158584342289828</v>
      </c>
      <c r="AD1421">
        <v>0.81549591587620673</v>
      </c>
      <c r="AE1421">
        <v>1.1812210054088612</v>
      </c>
      <c r="AF1421">
        <v>3.1175401158520816E-2</v>
      </c>
      <c r="AG1421">
        <v>0.82851277977017412</v>
      </c>
      <c r="AH1421">
        <v>1.1965326079235874</v>
      </c>
      <c r="AI1421">
        <v>1.22713632451104E-3</v>
      </c>
    </row>
    <row r="1422" spans="23:35" x14ac:dyDescent="0.25">
      <c r="W1422">
        <v>1420</v>
      </c>
      <c r="X1422">
        <v>46.194319380735315</v>
      </c>
      <c r="Y1422">
        <v>5.2056806192646832</v>
      </c>
      <c r="Z1422">
        <v>46.008887606101865</v>
      </c>
      <c r="AA1422">
        <v>4.1237113402061855E-2</v>
      </c>
      <c r="AB1422">
        <v>78</v>
      </c>
      <c r="AC1422">
        <v>-1.739949995904148</v>
      </c>
      <c r="AD1422">
        <v>0.70520949857030546</v>
      </c>
      <c r="AE1422">
        <v>1.1839115124531761</v>
      </c>
      <c r="AF1422">
        <v>3.4395828000790246E-2</v>
      </c>
      <c r="AG1422">
        <v>0.71765974505959296</v>
      </c>
      <c r="AH1422">
        <v>1.1976969319610995</v>
      </c>
      <c r="AI1422">
        <v>1.019227898905368E-3</v>
      </c>
    </row>
    <row r="1423" spans="23:35" x14ac:dyDescent="0.25">
      <c r="W1423">
        <v>1421</v>
      </c>
      <c r="X1423">
        <v>40.981566392122531</v>
      </c>
      <c r="Y1423">
        <v>9.0184336078774692</v>
      </c>
      <c r="Z1423">
        <v>40.570469835608229</v>
      </c>
      <c r="AA1423">
        <v>3.5779260157671314E-2</v>
      </c>
      <c r="AB1423">
        <v>78</v>
      </c>
      <c r="AC1423">
        <v>-1.8215296776288319</v>
      </c>
      <c r="AD1423">
        <v>1.2217201760255534</v>
      </c>
      <c r="AE1423">
        <v>1.1873817097504558</v>
      </c>
      <c r="AF1423">
        <v>4.3596716840326295E-2</v>
      </c>
      <c r="AG1423">
        <v>1.2492553468629877</v>
      </c>
      <c r="AH1423">
        <v>1.197871809234097</v>
      </c>
      <c r="AI1423">
        <v>3.9522340485835996E-3</v>
      </c>
    </row>
    <row r="1424" spans="23:35" x14ac:dyDescent="0.25">
      <c r="W1424">
        <v>1422</v>
      </c>
      <c r="X1424">
        <v>43.351164520834665</v>
      </c>
      <c r="Y1424">
        <v>4.4488354791653322</v>
      </c>
      <c r="Z1424">
        <v>43.204753823729547</v>
      </c>
      <c r="AA1424">
        <v>1.9405700424499697E-2</v>
      </c>
      <c r="AB1424">
        <v>78</v>
      </c>
      <c r="AC1424">
        <v>-2.0994271873972417</v>
      </c>
      <c r="AD1424">
        <v>0.60268027697925297</v>
      </c>
      <c r="AE1424">
        <v>1.1903183763621132</v>
      </c>
      <c r="AF1424">
        <v>3.1861339194659583E-2</v>
      </c>
      <c r="AG1424">
        <v>0.61251707169007441</v>
      </c>
      <c r="AH1424">
        <v>1.2016430705011643</v>
      </c>
      <c r="AI1424">
        <v>6.8594667134257484E-4</v>
      </c>
    </row>
    <row r="1425" spans="23:35" x14ac:dyDescent="0.25">
      <c r="W1425">
        <v>1423</v>
      </c>
      <c r="X1425">
        <v>34.313259917024965</v>
      </c>
      <c r="Y1425">
        <v>11.686740082975035</v>
      </c>
      <c r="Z1425">
        <v>33.547847278278738</v>
      </c>
      <c r="AA1425">
        <v>1.2128562765312311E-2</v>
      </c>
      <c r="AB1425">
        <v>78</v>
      </c>
      <c r="AC1425">
        <v>-2.3261203997549518</v>
      </c>
      <c r="AD1425">
        <v>1.5831935757519568</v>
      </c>
      <c r="AE1425">
        <v>1.1920253153765774</v>
      </c>
      <c r="AF1425">
        <v>6.1468298361861524E-2</v>
      </c>
      <c r="AG1425">
        <v>1.6342163286912392</v>
      </c>
      <c r="AH1425">
        <v>1.2021078495918183</v>
      </c>
      <c r="AI1425">
        <v>9.7173720262710376E-3</v>
      </c>
    </row>
    <row r="1426" spans="23:35" x14ac:dyDescent="0.25">
      <c r="W1426">
        <v>1424</v>
      </c>
      <c r="X1426">
        <v>31.567662058971088</v>
      </c>
      <c r="Y1426">
        <v>14.032337941028914</v>
      </c>
      <c r="Z1426">
        <v>30.603511906362737</v>
      </c>
      <c r="AA1426">
        <v>9.0964220739842335E-3</v>
      </c>
      <c r="AB1426">
        <v>78.099999999999994</v>
      </c>
      <c r="AC1426">
        <v>-2.3742127090260081</v>
      </c>
      <c r="AD1426">
        <v>1.9009498904986362</v>
      </c>
      <c r="AE1426">
        <v>1.1922424597971695</v>
      </c>
      <c r="AF1426">
        <v>6.4291729276097886E-2</v>
      </c>
      <c r="AG1426">
        <v>1.9651713989420163</v>
      </c>
      <c r="AH1426">
        <v>1.2023700967302009</v>
      </c>
      <c r="AI1426">
        <v>1.4741545035473418E-2</v>
      </c>
    </row>
    <row r="1427" spans="23:35" x14ac:dyDescent="0.25">
      <c r="W1427">
        <v>1425</v>
      </c>
      <c r="X1427">
        <v>29.103435500761105</v>
      </c>
      <c r="Y1427">
        <v>16.796564499238894</v>
      </c>
      <c r="Z1427">
        <v>27.756435715235796</v>
      </c>
      <c r="AA1427">
        <v>9.7028502122498486E-3</v>
      </c>
      <c r="AB1427">
        <v>78.099999999999994</v>
      </c>
      <c r="AC1427">
        <v>-2.3494875599978426</v>
      </c>
      <c r="AD1427">
        <v>2.2754175091681299</v>
      </c>
      <c r="AE1427">
        <v>1.1956846656152402</v>
      </c>
      <c r="AF1427">
        <v>7.4241189017994189E-2</v>
      </c>
      <c r="AG1427">
        <v>2.3648966633864763</v>
      </c>
      <c r="AH1427">
        <v>1.2039387189204873</v>
      </c>
      <c r="AI1427">
        <v>2.4917180403917823E-2</v>
      </c>
    </row>
    <row r="1428" spans="23:35" x14ac:dyDescent="0.25">
      <c r="W1428">
        <v>1426</v>
      </c>
      <c r="X1428">
        <v>37.74839039936009</v>
      </c>
      <c r="Y1428">
        <v>8.6516096006399081</v>
      </c>
      <c r="Z1428">
        <v>37.362620753615943</v>
      </c>
      <c r="AA1428">
        <v>1.4554275318374773E-2</v>
      </c>
      <c r="AB1428">
        <v>78.099999999999994</v>
      </c>
      <c r="AC1428">
        <v>-2.2073550198913567</v>
      </c>
      <c r="AD1428">
        <v>1.1720268134995806</v>
      </c>
      <c r="AE1428">
        <v>1.1990567371127072</v>
      </c>
      <c r="AF1428">
        <v>4.2686008324647411E-2</v>
      </c>
      <c r="AG1428">
        <v>1.197871809234097</v>
      </c>
      <c r="AH1428">
        <v>1.2054733346285242</v>
      </c>
      <c r="AI1428">
        <v>3.5545065747850813E-3</v>
      </c>
    </row>
    <row r="1429" spans="23:35" x14ac:dyDescent="0.25">
      <c r="W1429">
        <v>1427</v>
      </c>
      <c r="X1429">
        <v>37.759042484591184</v>
      </c>
      <c r="Y1429">
        <v>9.3409575154088174</v>
      </c>
      <c r="Z1429">
        <v>37.359490106587394</v>
      </c>
      <c r="AA1429">
        <v>1.758641600970285E-2</v>
      </c>
      <c r="AB1429">
        <v>78.2</v>
      </c>
      <c r="AC1429">
        <v>-2.1426564926871321</v>
      </c>
      <c r="AD1429">
        <v>1.2654122385515185</v>
      </c>
      <c r="AE1429">
        <v>1.2010743043657301</v>
      </c>
      <c r="AF1429">
        <v>4.1019657325537265E-2</v>
      </c>
      <c r="AG1429">
        <v>1.2921923867013563</v>
      </c>
      <c r="AH1429">
        <v>1.2083318487847721</v>
      </c>
      <c r="AI1429">
        <v>3.967931569550936E-3</v>
      </c>
    </row>
    <row r="1430" spans="23:35" x14ac:dyDescent="0.25">
      <c r="W1430">
        <v>1428</v>
      </c>
      <c r="X1430">
        <v>38.968878786260746</v>
      </c>
      <c r="Y1430">
        <v>9.4311212137392531</v>
      </c>
      <c r="Z1430">
        <v>38.603644615939338</v>
      </c>
      <c r="AA1430">
        <v>2.3044269254093391E-2</v>
      </c>
      <c r="AB1430">
        <v>78.2</v>
      </c>
      <c r="AC1430">
        <v>-2.0001681446016244</v>
      </c>
      <c r="AD1430">
        <v>1.2776266445320823</v>
      </c>
      <c r="AE1430">
        <v>1.2033279986696472</v>
      </c>
      <c r="AF1430">
        <v>3.7282658295111348E-2</v>
      </c>
      <c r="AG1430">
        <v>1.3021306537045383</v>
      </c>
      <c r="AH1430">
        <v>1.208409843137727</v>
      </c>
      <c r="AI1430">
        <v>3.6479148805766653E-3</v>
      </c>
    </row>
    <row r="1431" spans="23:35" x14ac:dyDescent="0.25">
      <c r="W1431">
        <v>1429</v>
      </c>
      <c r="X1431">
        <v>88.328974497413398</v>
      </c>
      <c r="Y1431">
        <v>-6.028974497413401</v>
      </c>
      <c r="Z1431">
        <v>88.368249155558175</v>
      </c>
      <c r="AA1431">
        <v>0.97028502122498483</v>
      </c>
      <c r="AB1431">
        <v>78.2</v>
      </c>
      <c r="AC1431">
        <v>1.8630011940066851</v>
      </c>
      <c r="AD1431">
        <v>-0.81674047894521562</v>
      </c>
      <c r="AE1431">
        <v>1.2074386676366897</v>
      </c>
      <c r="AF1431">
        <v>6.4721564883015049E-3</v>
      </c>
      <c r="AG1431">
        <v>-0.81939641423784104</v>
      </c>
      <c r="AH1431">
        <v>1.2108253799495412</v>
      </c>
      <c r="AI1431">
        <v>2.4298786203291614E-4</v>
      </c>
    </row>
    <row r="1432" spans="23:35" x14ac:dyDescent="0.25">
      <c r="W1432">
        <v>1430</v>
      </c>
      <c r="X1432">
        <v>88.283839186438897</v>
      </c>
      <c r="Y1432">
        <v>-6.383839186438891</v>
      </c>
      <c r="Z1432">
        <v>88.325423877696835</v>
      </c>
      <c r="AA1432">
        <v>0.95997574287446941</v>
      </c>
      <c r="AB1432">
        <v>78.3</v>
      </c>
      <c r="AC1432">
        <v>1.7330844772440364</v>
      </c>
      <c r="AD1432">
        <v>-0.86481372194861028</v>
      </c>
      <c r="AE1432">
        <v>1.2208630577273742</v>
      </c>
      <c r="AF1432">
        <v>6.471898515875275E-3</v>
      </c>
      <c r="AG1432">
        <v>-0.86762587262141333</v>
      </c>
      <c r="AH1432">
        <v>1.2226758193446594</v>
      </c>
      <c r="AI1432">
        <v>2.7242316012687675E-4</v>
      </c>
    </row>
    <row r="1433" spans="23:35" x14ac:dyDescent="0.25">
      <c r="W1433">
        <v>1431</v>
      </c>
      <c r="X1433">
        <v>89.80375759927071</v>
      </c>
      <c r="Y1433">
        <v>-8.1037575992707076</v>
      </c>
      <c r="Z1433">
        <v>90.09159034792728</v>
      </c>
      <c r="AA1433">
        <v>0.95573074590661011</v>
      </c>
      <c r="AB1433">
        <v>78.3</v>
      </c>
      <c r="AC1433">
        <v>1.6624525291871317</v>
      </c>
      <c r="AD1433">
        <v>-1.09780972961884</v>
      </c>
      <c r="AE1433">
        <v>1.2217201760255534</v>
      </c>
      <c r="AF1433">
        <v>3.4300142967258702E-2</v>
      </c>
      <c r="AG1433">
        <v>-1.1171358576541739</v>
      </c>
      <c r="AH1433">
        <v>1.2349093608987713</v>
      </c>
      <c r="AI1433">
        <v>2.4625964095249084E-3</v>
      </c>
    </row>
    <row r="1434" spans="23:35" x14ac:dyDescent="0.25">
      <c r="W1434">
        <v>1432</v>
      </c>
      <c r="X1434">
        <v>90.201287986566442</v>
      </c>
      <c r="Y1434">
        <v>-8.5012879865664388</v>
      </c>
      <c r="Z1434">
        <v>90.54397493900683</v>
      </c>
      <c r="AA1434">
        <v>0.95573074590661011</v>
      </c>
      <c r="AB1434">
        <v>78.3</v>
      </c>
      <c r="AC1434">
        <v>1.6624525291871317</v>
      </c>
      <c r="AD1434">
        <v>-1.1516628615328146</v>
      </c>
      <c r="AE1434">
        <v>1.2292673264051885</v>
      </c>
      <c r="AF1434">
        <v>3.8748069143542035E-2</v>
      </c>
      <c r="AG1434">
        <v>-1.1746453112470856</v>
      </c>
      <c r="AH1434">
        <v>1.2367891954215087</v>
      </c>
      <c r="AI1434">
        <v>3.0899669531988987E-3</v>
      </c>
    </row>
    <row r="1435" spans="23:35" x14ac:dyDescent="0.25">
      <c r="W1435">
        <v>1433</v>
      </c>
      <c r="X1435">
        <v>64.179713381374654</v>
      </c>
      <c r="Y1435">
        <v>9.6202866186253431</v>
      </c>
      <c r="Z1435">
        <v>64.006094013980501</v>
      </c>
      <c r="AA1435">
        <v>0.66767738023044265</v>
      </c>
      <c r="AB1435">
        <v>78.3</v>
      </c>
      <c r="AC1435">
        <v>0.4143837514429769</v>
      </c>
      <c r="AD1435">
        <v>1.3032527345831872</v>
      </c>
      <c r="AE1435">
        <v>1.2298910585121454</v>
      </c>
      <c r="AF1435">
        <v>1.7727285481603905E-2</v>
      </c>
      <c r="AG1435">
        <v>1.3149601892748157</v>
      </c>
      <c r="AH1435">
        <v>1.239197824204197</v>
      </c>
      <c r="AI1435">
        <v>1.7336557424456093E-3</v>
      </c>
    </row>
    <row r="1436" spans="23:35" x14ac:dyDescent="0.25">
      <c r="W1436">
        <v>1434</v>
      </c>
      <c r="X1436">
        <v>63.355189371368965</v>
      </c>
      <c r="Y1436">
        <v>10.344810628631038</v>
      </c>
      <c r="Z1436">
        <v>63.171580168729491</v>
      </c>
      <c r="AA1436">
        <v>0.66040024257125529</v>
      </c>
      <c r="AB1436">
        <v>78.400000000000006</v>
      </c>
      <c r="AC1436">
        <v>0.39787592189543292</v>
      </c>
      <c r="AD1436">
        <v>1.4014034378567266</v>
      </c>
      <c r="AE1436">
        <v>1.2301018231451009</v>
      </c>
      <c r="AF1436">
        <v>1.7439388396550497E-2</v>
      </c>
      <c r="AG1436">
        <v>1.4137854355689004</v>
      </c>
      <c r="AH1436">
        <v>1.240455804341041</v>
      </c>
      <c r="AI1436">
        <v>1.9709082223215491E-3</v>
      </c>
    </row>
    <row r="1437" spans="23:35" x14ac:dyDescent="0.25">
      <c r="W1437">
        <v>1435</v>
      </c>
      <c r="X1437">
        <v>62.322507575538005</v>
      </c>
      <c r="Y1437">
        <v>11.177492424461995</v>
      </c>
      <c r="Z1437">
        <v>62.127398000677594</v>
      </c>
      <c r="AA1437">
        <v>0.64463311097634934</v>
      </c>
      <c r="AB1437">
        <v>78.400000000000006</v>
      </c>
      <c r="AC1437">
        <v>0.35220887014201224</v>
      </c>
      <c r="AD1437">
        <v>1.5142061921274095</v>
      </c>
      <c r="AE1437">
        <v>1.231937717384578</v>
      </c>
      <c r="AF1437">
        <v>1.7156106832195039E-2</v>
      </c>
      <c r="AG1437">
        <v>1.5273646893235691</v>
      </c>
      <c r="AH1437">
        <v>1.2429050765969694</v>
      </c>
      <c r="AI1437">
        <v>2.2622843201192829E-3</v>
      </c>
    </row>
    <row r="1438" spans="23:35" x14ac:dyDescent="0.25">
      <c r="W1438">
        <v>1436</v>
      </c>
      <c r="X1438">
        <v>67.553242175497431</v>
      </c>
      <c r="Y1438">
        <v>5.646757824502572</v>
      </c>
      <c r="Z1438">
        <v>67.540870700462804</v>
      </c>
      <c r="AA1438">
        <v>0.62340812613705276</v>
      </c>
      <c r="AB1438">
        <v>78.5</v>
      </c>
      <c r="AC1438">
        <v>0.29295400660571058</v>
      </c>
      <c r="AD1438">
        <v>0.7649618839904736</v>
      </c>
      <c r="AE1438">
        <v>1.2334753240423688</v>
      </c>
      <c r="AF1438">
        <v>2.1861092722591045E-3</v>
      </c>
      <c r="AG1438">
        <v>0.76579940255499046</v>
      </c>
      <c r="AH1438">
        <v>1.2467880327393051</v>
      </c>
      <c r="AI1438">
        <v>7.1380545412493582E-5</v>
      </c>
    </row>
    <row r="1439" spans="23:35" x14ac:dyDescent="0.25">
      <c r="W1439">
        <v>1437</v>
      </c>
      <c r="X1439">
        <v>66.815538322209363</v>
      </c>
      <c r="Y1439">
        <v>6.1844616777906367</v>
      </c>
      <c r="Z1439">
        <v>66.802881348029274</v>
      </c>
      <c r="AA1439">
        <v>0.60946027895694366</v>
      </c>
      <c r="AB1439">
        <v>78.5</v>
      </c>
      <c r="AC1439">
        <v>0.22222871718700732</v>
      </c>
      <c r="AD1439">
        <v>0.8378042061554779</v>
      </c>
      <c r="AE1439">
        <v>1.2349825288254499</v>
      </c>
      <c r="AF1439">
        <v>2.0423966186381014E-3</v>
      </c>
      <c r="AG1439">
        <v>0.83866108318002364</v>
      </c>
      <c r="AH1439">
        <v>1.2492553468629877</v>
      </c>
      <c r="AI1439">
        <v>7.9970252577891052E-5</v>
      </c>
    </row>
    <row r="1440" spans="23:35" x14ac:dyDescent="0.25">
      <c r="W1440">
        <v>1438</v>
      </c>
      <c r="X1440">
        <v>65.49816286920742</v>
      </c>
      <c r="Y1440">
        <v>7.3018371307925776</v>
      </c>
      <c r="Z1440">
        <v>65.422175418872442</v>
      </c>
      <c r="AA1440">
        <v>0.58156458459672533</v>
      </c>
      <c r="AB1440">
        <v>78.5</v>
      </c>
      <c r="AC1440">
        <v>0.18343432307636306</v>
      </c>
      <c r="AD1440">
        <v>0.98917418840336535</v>
      </c>
      <c r="AE1440">
        <v>1.245397881393588</v>
      </c>
      <c r="AF1440">
        <v>1.0299438472602814E-2</v>
      </c>
      <c r="AG1440">
        <v>0.99430784731457689</v>
      </c>
      <c r="AH1440">
        <v>1.2573316412216426</v>
      </c>
      <c r="AI1440">
        <v>5.7158254749612965E-4</v>
      </c>
    </row>
    <row r="1441" spans="23:35" x14ac:dyDescent="0.25">
      <c r="W1441">
        <v>1439</v>
      </c>
      <c r="X1441">
        <v>64.446151145372852</v>
      </c>
      <c r="Y1441">
        <v>8.2538488546271509</v>
      </c>
      <c r="Z1441">
        <v>64.364953108928319</v>
      </c>
      <c r="AA1441">
        <v>0.57246816252274102</v>
      </c>
      <c r="AB1441">
        <v>78.5</v>
      </c>
      <c r="AC1441">
        <v>0.16337348484333708</v>
      </c>
      <c r="AD1441">
        <v>1.1181424750696465</v>
      </c>
      <c r="AE1441">
        <v>1.2526042882439172</v>
      </c>
      <c r="AF1441">
        <v>9.7417612049084858E-3</v>
      </c>
      <c r="AG1441">
        <v>1.1236289320794659</v>
      </c>
      <c r="AH1441">
        <v>1.2593721861810878</v>
      </c>
      <c r="AI1441">
        <v>6.9002104531458897E-4</v>
      </c>
    </row>
    <row r="1442" spans="23:35" x14ac:dyDescent="0.25">
      <c r="W1442">
        <v>1440</v>
      </c>
      <c r="X1442">
        <v>65.73428917466849</v>
      </c>
      <c r="Y1442">
        <v>6.8657108253315045</v>
      </c>
      <c r="Z1442">
        <v>65.720350527709073</v>
      </c>
      <c r="AA1442">
        <v>0.56458459672528805</v>
      </c>
      <c r="AB1442">
        <v>78.599999999999994</v>
      </c>
      <c r="AC1442">
        <v>0.14798710972583889</v>
      </c>
      <c r="AD1442">
        <v>0.93009249751950029</v>
      </c>
      <c r="AE1442">
        <v>1.2554162840021581</v>
      </c>
      <c r="AF1442">
        <v>2.0260693536137712E-3</v>
      </c>
      <c r="AG1442">
        <v>0.93103614763991582</v>
      </c>
      <c r="AH1442">
        <v>1.2634752616876446</v>
      </c>
      <c r="AI1442">
        <v>9.7767765947332755E-5</v>
      </c>
    </row>
    <row r="1443" spans="23:35" x14ac:dyDescent="0.25">
      <c r="W1443">
        <v>1441</v>
      </c>
      <c r="X1443">
        <v>71.93096605964331</v>
      </c>
      <c r="Y1443">
        <v>-2.3309660596433162</v>
      </c>
      <c r="Z1443">
        <v>71.936970991274919</v>
      </c>
      <c r="AA1443">
        <v>0.44815039417828989</v>
      </c>
      <c r="AB1443">
        <v>78.599999999999994</v>
      </c>
      <c r="AC1443">
        <v>-0.14337818601426075</v>
      </c>
      <c r="AD1443">
        <v>-0.31577415641331791</v>
      </c>
      <c r="AE1443">
        <v>1.2572884974051013</v>
      </c>
      <c r="AF1443">
        <v>2.5695362304577613E-3</v>
      </c>
      <c r="AG1443">
        <v>-0.3161806364980223</v>
      </c>
      <c r="AH1443">
        <v>1.2645747255494284</v>
      </c>
      <c r="AI1443">
        <v>1.4307710722852406E-5</v>
      </c>
    </row>
    <row r="1444" spans="23:35" x14ac:dyDescent="0.25">
      <c r="W1444">
        <v>1442</v>
      </c>
      <c r="X1444">
        <v>71.565796933291054</v>
      </c>
      <c r="Y1444">
        <v>-2.2657969332910568</v>
      </c>
      <c r="Z1444">
        <v>71.571695547465723</v>
      </c>
      <c r="AA1444">
        <v>0.4329896907216495</v>
      </c>
      <c r="AB1444">
        <v>78.599999999999994</v>
      </c>
      <c r="AC1444">
        <v>-0.17879863688351211</v>
      </c>
      <c r="AD1444">
        <v>-0.30694574562932453</v>
      </c>
      <c r="AE1444">
        <v>1.2575809447528929</v>
      </c>
      <c r="AF1444">
        <v>2.5965689730051296E-3</v>
      </c>
      <c r="AG1444">
        <v>-0.30734502626733007</v>
      </c>
      <c r="AH1444">
        <v>1.2646588767901221</v>
      </c>
      <c r="AI1444">
        <v>1.3661830068727985E-5</v>
      </c>
    </row>
    <row r="1445" spans="23:35" x14ac:dyDescent="0.25">
      <c r="W1445">
        <v>1443</v>
      </c>
      <c r="X1445">
        <v>70.543419450473763</v>
      </c>
      <c r="Y1445">
        <v>-1.7434194504737661</v>
      </c>
      <c r="Z1445">
        <v>70.547662175785433</v>
      </c>
      <c r="AA1445">
        <v>0.41115827774408731</v>
      </c>
      <c r="AB1445">
        <v>78.599999999999994</v>
      </c>
      <c r="AC1445">
        <v>-0.23002600999886993</v>
      </c>
      <c r="AD1445">
        <v>-0.23617967493364758</v>
      </c>
      <c r="AE1445">
        <v>1.2591222603593757</v>
      </c>
      <c r="AF1445">
        <v>2.4276575704710668E-3</v>
      </c>
      <c r="AG1445">
        <v>-0.23646687965352303</v>
      </c>
      <c r="AH1445">
        <v>1.2669117417047535</v>
      </c>
      <c r="AI1445">
        <v>7.5598149369799358E-6</v>
      </c>
    </row>
    <row r="1446" spans="23:35" x14ac:dyDescent="0.25">
      <c r="W1446">
        <v>1444</v>
      </c>
      <c r="X1446">
        <v>70.092907333212707</v>
      </c>
      <c r="Y1446">
        <v>-1.9929073332127132</v>
      </c>
      <c r="Z1446">
        <v>70.097487816214084</v>
      </c>
      <c r="AA1446">
        <v>0.38932686476652517</v>
      </c>
      <c r="AB1446">
        <v>78.7</v>
      </c>
      <c r="AC1446">
        <v>-0.29295400660571042</v>
      </c>
      <c r="AD1446">
        <v>-0.26997760407178822</v>
      </c>
      <c r="AE1446">
        <v>1.2654122385515185</v>
      </c>
      <c r="AF1446">
        <v>2.2931218724792394E-3</v>
      </c>
      <c r="AG1446">
        <v>-0.27028768323528518</v>
      </c>
      <c r="AH1446">
        <v>1.2749578176297829</v>
      </c>
      <c r="AI1446">
        <v>9.3283359197218174E-6</v>
      </c>
    </row>
    <row r="1447" spans="23:35" x14ac:dyDescent="0.25">
      <c r="W1447">
        <v>1445</v>
      </c>
      <c r="X1447">
        <v>69.986737500310511</v>
      </c>
      <c r="Y1447">
        <v>-2.6867375003105138</v>
      </c>
      <c r="Z1447">
        <v>69.992653640023406</v>
      </c>
      <c r="AA1447">
        <v>0.35112189205579136</v>
      </c>
      <c r="AB1447">
        <v>78.7</v>
      </c>
      <c r="AC1447">
        <v>-0.39787592189543292</v>
      </c>
      <c r="AD1447">
        <v>-0.36397023635530806</v>
      </c>
      <c r="AE1447">
        <v>1.2720680880181656</v>
      </c>
      <c r="AF1447">
        <v>2.1971410005927525E-3</v>
      </c>
      <c r="AG1447">
        <v>-0.36437074341879322</v>
      </c>
      <c r="AH1447">
        <v>1.2797999493615801</v>
      </c>
      <c r="AI1447">
        <v>1.6241557604638341E-5</v>
      </c>
    </row>
    <row r="1448" spans="23:35" x14ac:dyDescent="0.25">
      <c r="W1448">
        <v>1446</v>
      </c>
      <c r="X1448">
        <v>69.360501170776189</v>
      </c>
      <c r="Y1448">
        <v>-2.6605011707761861</v>
      </c>
      <c r="Z1448">
        <v>69.366146718530402</v>
      </c>
      <c r="AA1448">
        <v>0.328077622801698</v>
      </c>
      <c r="AB1448">
        <v>78.7</v>
      </c>
      <c r="AC1448">
        <v>-0.44774677320100181</v>
      </c>
      <c r="AD1448">
        <v>-0.36041602122986266</v>
      </c>
      <c r="AE1448">
        <v>1.2726695310959926</v>
      </c>
      <c r="AF1448">
        <v>2.1174932778373085E-3</v>
      </c>
      <c r="AG1448">
        <v>-0.36079821756179375</v>
      </c>
      <c r="AH1448">
        <v>1.281463241774103</v>
      </c>
      <c r="AI1448">
        <v>1.5346130695401155E-5</v>
      </c>
    </row>
    <row r="1449" spans="23:35" x14ac:dyDescent="0.25">
      <c r="W1449">
        <v>1447</v>
      </c>
      <c r="X1449">
        <v>67.140461241743267</v>
      </c>
      <c r="Y1449">
        <v>-0.74046124174326167</v>
      </c>
      <c r="Z1449">
        <v>67.141853043581492</v>
      </c>
      <c r="AA1449">
        <v>0.32201334141904187</v>
      </c>
      <c r="AB1449">
        <v>78.7</v>
      </c>
      <c r="AC1449">
        <v>-0.46970075330452549</v>
      </c>
      <c r="AD1449">
        <v>-0.10030970764285395</v>
      </c>
      <c r="AE1449">
        <v>1.2771609143993363</v>
      </c>
      <c r="AF1449">
        <v>1.8761152903165588E-3</v>
      </c>
      <c r="AG1449">
        <v>-0.10040393653994659</v>
      </c>
      <c r="AH1449">
        <v>1.2894684483232255</v>
      </c>
      <c r="AI1449">
        <v>1.0526986130078184E-6</v>
      </c>
    </row>
    <row r="1450" spans="23:35" x14ac:dyDescent="0.25">
      <c r="W1450">
        <v>1448</v>
      </c>
      <c r="X1450">
        <v>66.844492123762507</v>
      </c>
      <c r="Y1450">
        <v>-0.74449212376251239</v>
      </c>
      <c r="Z1450">
        <v>66.84584083438962</v>
      </c>
      <c r="AA1450">
        <v>0.31412977562158884</v>
      </c>
      <c r="AB1450">
        <v>78.7</v>
      </c>
      <c r="AC1450">
        <v>-0.4918835074548818</v>
      </c>
      <c r="AD1450">
        <v>-0.10085576809017993</v>
      </c>
      <c r="AE1450">
        <v>1.2776266445320823</v>
      </c>
      <c r="AF1450">
        <v>1.8083089111309467E-3</v>
      </c>
      <c r="AG1450">
        <v>-0.10094708114260183</v>
      </c>
      <c r="AH1450">
        <v>1.2894841886559303</v>
      </c>
      <c r="AI1450">
        <v>1.025589813804031E-6</v>
      </c>
    </row>
    <row r="1451" spans="23:35" x14ac:dyDescent="0.25">
      <c r="W1451">
        <v>1449</v>
      </c>
      <c r="X1451">
        <v>65.727313102425512</v>
      </c>
      <c r="Y1451">
        <v>0.17268689757449351</v>
      </c>
      <c r="Z1451">
        <v>65.726990481688716</v>
      </c>
      <c r="AA1451">
        <v>0.30563978168587025</v>
      </c>
      <c r="AB1451">
        <v>78.7</v>
      </c>
      <c r="AC1451">
        <v>-0.52126361871264315</v>
      </c>
      <c r="AD1451">
        <v>2.3393759501398704E-2</v>
      </c>
      <c r="AE1451">
        <v>1.2776345457855631</v>
      </c>
      <c r="AF1451">
        <v>1.8647571528938752E-3</v>
      </c>
      <c r="AG1451">
        <v>2.3415601894400791E-2</v>
      </c>
      <c r="AH1451">
        <v>1.2921923867013563</v>
      </c>
      <c r="AI1451">
        <v>5.6907700585267731E-8</v>
      </c>
    </row>
    <row r="1452" spans="23:35" x14ac:dyDescent="0.25">
      <c r="W1452">
        <v>1450</v>
      </c>
      <c r="X1452">
        <v>65.595579536846031</v>
      </c>
      <c r="Y1452">
        <v>-9.5579536846031488E-2</v>
      </c>
      <c r="Z1452">
        <v>65.595748088148866</v>
      </c>
      <c r="AA1452">
        <v>0.28987265009096425</v>
      </c>
      <c r="AB1452">
        <v>78.8</v>
      </c>
      <c r="AC1452">
        <v>-0.56174840893422073</v>
      </c>
      <c r="AD1452">
        <v>-1.2948085405649193E-2</v>
      </c>
      <c r="AE1452">
        <v>1.2836344636685164</v>
      </c>
      <c r="AF1452">
        <v>1.7603620719666207E-3</v>
      </c>
      <c r="AG1452">
        <v>-1.2959497133667588E-2</v>
      </c>
      <c r="AH1452">
        <v>1.294265945684707</v>
      </c>
      <c r="AI1452">
        <v>1.6453980827828563E-8</v>
      </c>
    </row>
    <row r="1453" spans="23:35" x14ac:dyDescent="0.25">
      <c r="W1453">
        <v>1451</v>
      </c>
      <c r="X1453">
        <v>65.177563151195827</v>
      </c>
      <c r="Y1453">
        <v>0.72243684880417902</v>
      </c>
      <c r="Z1453">
        <v>65.176342747735575</v>
      </c>
      <c r="AA1453">
        <v>0.30563978168587025</v>
      </c>
      <c r="AB1453">
        <v>78.8</v>
      </c>
      <c r="AC1453">
        <v>-0.52126361871264315</v>
      </c>
      <c r="AD1453">
        <v>9.78679571713469E-2</v>
      </c>
      <c r="AE1453">
        <v>1.2855334252079749</v>
      </c>
      <c r="AF1453">
        <v>1.6864385127541273E-3</v>
      </c>
      <c r="AG1453">
        <v>9.7950585843247007E-2</v>
      </c>
      <c r="AH1453">
        <v>1.2948290095954373</v>
      </c>
      <c r="AI1453">
        <v>9.0041995526299987E-7</v>
      </c>
    </row>
    <row r="1454" spans="23:35" x14ac:dyDescent="0.25">
      <c r="W1454">
        <v>1452</v>
      </c>
      <c r="X1454">
        <v>62.726063213600376</v>
      </c>
      <c r="Y1454">
        <v>2.4739367863996264</v>
      </c>
      <c r="Z1454">
        <v>62.720058169681963</v>
      </c>
      <c r="AA1454">
        <v>0.28077622801697999</v>
      </c>
      <c r="AB1454">
        <v>78.8</v>
      </c>
      <c r="AC1454">
        <v>-0.59046081866695443</v>
      </c>
      <c r="AD1454">
        <v>0.3351422894011406</v>
      </c>
      <c r="AE1454">
        <v>1.2876203828050357</v>
      </c>
      <c r="AF1454">
        <v>2.4214454730364433E-3</v>
      </c>
      <c r="AG1454">
        <v>0.33554879218327716</v>
      </c>
      <c r="AH1454">
        <v>1.2950750729564455</v>
      </c>
      <c r="AI1454">
        <v>1.5183309479238841E-5</v>
      </c>
    </row>
    <row r="1455" spans="23:35" x14ac:dyDescent="0.25">
      <c r="W1455">
        <v>1453</v>
      </c>
      <c r="X1455">
        <v>61.404700949958254</v>
      </c>
      <c r="Y1455">
        <v>2.8952990500417428</v>
      </c>
      <c r="Z1455">
        <v>61.392299624664297</v>
      </c>
      <c r="AA1455">
        <v>0.2498483929654336</v>
      </c>
      <c r="AB1455">
        <v>78.8</v>
      </c>
      <c r="AC1455">
        <v>-0.68742774275107121</v>
      </c>
      <c r="AD1455">
        <v>0.39222390704011878</v>
      </c>
      <c r="AE1455">
        <v>1.2917463852993485</v>
      </c>
      <c r="AF1455">
        <v>4.2649942198819141E-3</v>
      </c>
      <c r="AG1455">
        <v>0.39306300841622316</v>
      </c>
      <c r="AH1455">
        <v>1.2967585013024032</v>
      </c>
      <c r="AI1455">
        <v>3.6764318014730146E-5</v>
      </c>
    </row>
    <row r="1456" spans="23:35" x14ac:dyDescent="0.25">
      <c r="W1456">
        <v>1454</v>
      </c>
      <c r="X1456">
        <v>75.878889534921711</v>
      </c>
      <c r="Y1456">
        <v>-1.2788895349217171</v>
      </c>
      <c r="Z1456">
        <v>75.883318735703185</v>
      </c>
      <c r="AA1456">
        <v>0.73013947847180105</v>
      </c>
      <c r="AB1456">
        <v>78.8</v>
      </c>
      <c r="AC1456">
        <v>0.59589828697336056</v>
      </c>
      <c r="AD1456">
        <v>-0.17325016911551308</v>
      </c>
      <c r="AE1456">
        <v>1.291790931354025</v>
      </c>
      <c r="AF1456">
        <v>3.4513645427631666E-3</v>
      </c>
      <c r="AG1456">
        <v>-0.17354991999659047</v>
      </c>
      <c r="AH1456">
        <v>1.2983834763051763</v>
      </c>
      <c r="AI1456">
        <v>5.7952031514008424E-6</v>
      </c>
    </row>
    <row r="1457" spans="23:35" x14ac:dyDescent="0.25">
      <c r="W1457">
        <v>1455</v>
      </c>
      <c r="X1457">
        <v>76.42221935378646</v>
      </c>
      <c r="Y1457">
        <v>-1.9222193537864598</v>
      </c>
      <c r="Z1457">
        <v>76.427398273254084</v>
      </c>
      <c r="AA1457">
        <v>0.72407519708914492</v>
      </c>
      <c r="AB1457">
        <v>78.900000000000006</v>
      </c>
      <c r="AC1457">
        <v>0.56531175535073552</v>
      </c>
      <c r="AD1457">
        <v>-0.26040155856072544</v>
      </c>
      <c r="AE1457">
        <v>1.293683305309745</v>
      </c>
      <c r="AF1457">
        <v>2.6870001594880362E-3</v>
      </c>
      <c r="AG1457">
        <v>-0.26075211469210363</v>
      </c>
      <c r="AH1457">
        <v>1.3021306537045383</v>
      </c>
      <c r="AI1457">
        <v>1.0176990884409218E-5</v>
      </c>
    </row>
    <row r="1458" spans="23:35" x14ac:dyDescent="0.25">
      <c r="W1458">
        <v>1456</v>
      </c>
      <c r="X1458">
        <v>73.530549375622343</v>
      </c>
      <c r="Y1458">
        <v>0.76945062437765444</v>
      </c>
      <c r="Z1458">
        <v>73.525182233162084</v>
      </c>
      <c r="AA1458">
        <v>0.7052759248029109</v>
      </c>
      <c r="AB1458">
        <v>78.900000000000006</v>
      </c>
      <c r="AC1458">
        <v>0.52824151828033117</v>
      </c>
      <c r="AD1458">
        <v>0.10423687672729742</v>
      </c>
      <c r="AE1458">
        <v>1.2965451086419051</v>
      </c>
      <c r="AF1458">
        <v>6.926973915631204E-3</v>
      </c>
      <c r="AG1458">
        <v>0.10459978628125456</v>
      </c>
      <c r="AH1458">
        <v>1.3085167006403826</v>
      </c>
      <c r="AI1458">
        <v>4.2398594078757716E-6</v>
      </c>
    </row>
    <row r="1459" spans="23:35" x14ac:dyDescent="0.25">
      <c r="W1459">
        <v>1457</v>
      </c>
      <c r="X1459">
        <v>75.782273358396864</v>
      </c>
      <c r="Y1459">
        <v>-1.6822733583968699</v>
      </c>
      <c r="Z1459">
        <v>75.78672507112941</v>
      </c>
      <c r="AA1459">
        <v>0.69254093389933291</v>
      </c>
      <c r="AB1459">
        <v>78.900000000000006</v>
      </c>
      <c r="AC1459">
        <v>0.48161589062349974</v>
      </c>
      <c r="AD1459">
        <v>-0.22789626146922864</v>
      </c>
      <c r="AE1459">
        <v>1.299551828411408</v>
      </c>
      <c r="AF1459">
        <v>2.6392639848356178E-3</v>
      </c>
      <c r="AG1459">
        <v>-0.22819759727673603</v>
      </c>
      <c r="AH1459">
        <v>1.3111433415457732</v>
      </c>
      <c r="AI1459">
        <v>7.6556169287291569E-6</v>
      </c>
    </row>
    <row r="1460" spans="23:35" x14ac:dyDescent="0.25">
      <c r="W1460">
        <v>1458</v>
      </c>
      <c r="X1460">
        <v>74.971177868740313</v>
      </c>
      <c r="Y1460">
        <v>-1.0711778687403068</v>
      </c>
      <c r="Z1460">
        <v>74.974459583395245</v>
      </c>
      <c r="AA1460">
        <v>0.67919951485748942</v>
      </c>
      <c r="AB1460">
        <v>78.900000000000006</v>
      </c>
      <c r="AC1460">
        <v>0.43434378704136062</v>
      </c>
      <c r="AD1460">
        <v>-0.14511163149318662</v>
      </c>
      <c r="AE1460">
        <v>1.3021422000274308</v>
      </c>
      <c r="AF1460">
        <v>3.0542932518353074E-3</v>
      </c>
      <c r="AG1460">
        <v>-0.14533374716610495</v>
      </c>
      <c r="AH1460">
        <v>1.3149601892748157</v>
      </c>
      <c r="AI1460">
        <v>3.5950063551466749E-6</v>
      </c>
    </row>
    <row r="1461" spans="23:35" x14ac:dyDescent="0.25">
      <c r="W1461">
        <v>1459</v>
      </c>
      <c r="X1461">
        <v>72.533273912159359</v>
      </c>
      <c r="Y1461">
        <v>1.1667260878406438</v>
      </c>
      <c r="Z1461">
        <v>72.527066441084841</v>
      </c>
      <c r="AA1461">
        <v>0.66040024257125529</v>
      </c>
      <c r="AB1461">
        <v>78.900000000000006</v>
      </c>
      <c r="AC1461">
        <v>0.39787592189543292</v>
      </c>
      <c r="AD1461">
        <v>0.15805547430822128</v>
      </c>
      <c r="AE1461">
        <v>1.3032527345831872</v>
      </c>
      <c r="AF1461">
        <v>5.2922614647103764E-3</v>
      </c>
      <c r="AG1461">
        <v>0.15847537716999824</v>
      </c>
      <c r="AH1461">
        <v>1.3165787791945642</v>
      </c>
      <c r="AI1461">
        <v>7.4232977200424642E-6</v>
      </c>
    </row>
    <row r="1462" spans="23:35" x14ac:dyDescent="0.25">
      <c r="W1462">
        <v>1460</v>
      </c>
      <c r="X1462">
        <v>74.539399128467579</v>
      </c>
      <c r="Y1462">
        <v>-1.0393991284675792</v>
      </c>
      <c r="Z1462">
        <v>74.542776776258904</v>
      </c>
      <c r="AA1462">
        <v>0.64463311097634934</v>
      </c>
      <c r="AB1462">
        <v>78.900000000000006</v>
      </c>
      <c r="AC1462">
        <v>0.35220887014201224</v>
      </c>
      <c r="AD1462">
        <v>-0.14080659030222478</v>
      </c>
      <c r="AE1462">
        <v>1.3041692389400854</v>
      </c>
      <c r="AF1462">
        <v>3.2390899646200467E-3</v>
      </c>
      <c r="AG1462">
        <v>-0.141035188396512</v>
      </c>
      <c r="AH1462">
        <v>1.3203099035205637</v>
      </c>
      <c r="AI1462">
        <v>3.5909922971714263E-6</v>
      </c>
    </row>
    <row r="1463" spans="23:35" x14ac:dyDescent="0.25">
      <c r="W1463">
        <v>1461</v>
      </c>
      <c r="X1463">
        <v>70.994965045186632</v>
      </c>
      <c r="Y1463">
        <v>2.3050349548133653</v>
      </c>
      <c r="Z1463">
        <v>70.985457559954099</v>
      </c>
      <c r="AA1463">
        <v>0.63007883565797451</v>
      </c>
      <c r="AB1463">
        <v>78.900000000000006</v>
      </c>
      <c r="AC1463">
        <v>0.3152427890443939</v>
      </c>
      <c r="AD1463">
        <v>0.31226128984082219</v>
      </c>
      <c r="AE1463">
        <v>1.3048898765260286</v>
      </c>
      <c r="AF1463">
        <v>4.107716958667215E-3</v>
      </c>
      <c r="AG1463">
        <v>0.31290461296053101</v>
      </c>
      <c r="AH1463">
        <v>1.3203616630084958</v>
      </c>
      <c r="AI1463">
        <v>2.2435697212014594E-5</v>
      </c>
    </row>
    <row r="1464" spans="23:35" x14ac:dyDescent="0.25">
      <c r="W1464">
        <v>1462</v>
      </c>
      <c r="X1464">
        <v>71.141702033915138</v>
      </c>
      <c r="Y1464">
        <v>1.8582979660848622</v>
      </c>
      <c r="Z1464">
        <v>71.13394154225341</v>
      </c>
      <c r="AA1464">
        <v>0.60946027895694366</v>
      </c>
      <c r="AB1464">
        <v>79</v>
      </c>
      <c r="AC1464">
        <v>0.22222871718700732</v>
      </c>
      <c r="AD1464">
        <v>0.25174217795982157</v>
      </c>
      <c r="AE1464">
        <v>1.3073813853640752</v>
      </c>
      <c r="AF1464">
        <v>4.1587612807686344E-3</v>
      </c>
      <c r="AG1464">
        <v>0.25226728418341271</v>
      </c>
      <c r="AH1464">
        <v>1.320962202531075</v>
      </c>
      <c r="AI1464">
        <v>1.47646529626333E-5</v>
      </c>
    </row>
    <row r="1465" spans="23:35" x14ac:dyDescent="0.25">
      <c r="W1465">
        <v>1463</v>
      </c>
      <c r="X1465">
        <v>70.71823888909762</v>
      </c>
      <c r="Y1465">
        <v>1.7817611109023801</v>
      </c>
      <c r="Z1465">
        <v>70.712005395513742</v>
      </c>
      <c r="AA1465">
        <v>0.55852031534263191</v>
      </c>
      <c r="AB1465">
        <v>79</v>
      </c>
      <c r="AC1465">
        <v>0.12956927093944998</v>
      </c>
      <c r="AD1465">
        <v>0.24137378980599544</v>
      </c>
      <c r="AE1465">
        <v>1.3077187858351309</v>
      </c>
      <c r="AF1465">
        <v>3.4863044710769578E-3</v>
      </c>
      <c r="AG1465">
        <v>0.24179564442354518</v>
      </c>
      <c r="AH1465">
        <v>1.321515166829542</v>
      </c>
      <c r="AI1465">
        <v>1.1363352600791402E-5</v>
      </c>
    </row>
    <row r="1466" spans="23:35" x14ac:dyDescent="0.25">
      <c r="W1466">
        <v>1464</v>
      </c>
      <c r="X1466">
        <v>70.56234854732989</v>
      </c>
      <c r="Y1466">
        <v>1.0376514526701044</v>
      </c>
      <c r="Z1466">
        <v>70.558622892774324</v>
      </c>
      <c r="AA1466">
        <v>0.49787750151607035</v>
      </c>
      <c r="AB1466">
        <v>79</v>
      </c>
      <c r="AC1466">
        <v>-2.1282865457297767E-2</v>
      </c>
      <c r="AD1466">
        <v>0.14056983402327836</v>
      </c>
      <c r="AE1466">
        <v>1.3142430804403962</v>
      </c>
      <c r="AF1466">
        <v>3.5776228704405798E-3</v>
      </c>
      <c r="AG1466">
        <v>0.14082196367047595</v>
      </c>
      <c r="AH1466">
        <v>1.3220318542078131</v>
      </c>
      <c r="AI1466">
        <v>3.9556637997679351E-6</v>
      </c>
    </row>
    <row r="1467" spans="23:35" x14ac:dyDescent="0.25">
      <c r="W1467">
        <v>1465</v>
      </c>
      <c r="X1467">
        <v>67.682787961408238</v>
      </c>
      <c r="Y1467">
        <v>4.0172120385917651</v>
      </c>
      <c r="Z1467">
        <v>67.65766692701537</v>
      </c>
      <c r="AA1467">
        <v>0.50394178289872649</v>
      </c>
      <c r="AB1467">
        <v>79</v>
      </c>
      <c r="AC1467">
        <v>-4.5602855597810616E-3</v>
      </c>
      <c r="AD1467">
        <v>0.54420858569422936</v>
      </c>
      <c r="AE1467">
        <v>1.3159400734853739</v>
      </c>
      <c r="AF1467">
        <v>6.2144889941780305E-3</v>
      </c>
      <c r="AG1467">
        <v>0.54590749734172406</v>
      </c>
      <c r="AH1467">
        <v>1.3242542560885426</v>
      </c>
      <c r="AI1467">
        <v>1.035328990948046E-4</v>
      </c>
    </row>
    <row r="1468" spans="23:35" x14ac:dyDescent="0.25">
      <c r="W1468">
        <v>1466</v>
      </c>
      <c r="X1468">
        <v>67.80775961296186</v>
      </c>
      <c r="Y1468">
        <v>3.5922403870381459</v>
      </c>
      <c r="Z1468">
        <v>67.786488374939594</v>
      </c>
      <c r="AA1468">
        <v>0.4887810794420861</v>
      </c>
      <c r="AB1468">
        <v>79</v>
      </c>
      <c r="AC1468">
        <v>-4.7140240828996732E-2</v>
      </c>
      <c r="AD1468">
        <v>0.4866380070863825</v>
      </c>
      <c r="AE1468">
        <v>1.3172100695056503</v>
      </c>
      <c r="AF1468">
        <v>5.8865835313075335E-3</v>
      </c>
      <c r="AG1468">
        <v>0.48807667949949168</v>
      </c>
      <c r="AH1468">
        <v>1.3263500942735915</v>
      </c>
      <c r="AI1468">
        <v>7.8366596530067301E-5</v>
      </c>
    </row>
    <row r="1469" spans="23:35" x14ac:dyDescent="0.25">
      <c r="W1469">
        <v>1467</v>
      </c>
      <c r="X1469">
        <v>67.365249544926925</v>
      </c>
      <c r="Y1469">
        <v>3.8347504550730775</v>
      </c>
      <c r="Z1469">
        <v>67.346566357621114</v>
      </c>
      <c r="AA1469">
        <v>0.47907822922983628</v>
      </c>
      <c r="AB1469">
        <v>79</v>
      </c>
      <c r="AC1469">
        <v>-6.3887210036911155E-2</v>
      </c>
      <c r="AD1469">
        <v>0.51949065710188069</v>
      </c>
      <c r="AE1469">
        <v>1.322692520050647</v>
      </c>
      <c r="AF1469">
        <v>4.8484518068073832E-3</v>
      </c>
      <c r="AG1469">
        <v>0.52075461786057065</v>
      </c>
      <c r="AH1469">
        <v>1.3323344280221714</v>
      </c>
      <c r="AI1469">
        <v>7.340195288470789E-5</v>
      </c>
    </row>
    <row r="1470" spans="23:35" x14ac:dyDescent="0.25">
      <c r="W1470">
        <v>1468</v>
      </c>
      <c r="X1470">
        <v>67.069484147481816</v>
      </c>
      <c r="Y1470">
        <v>4.0305158525181781</v>
      </c>
      <c r="Z1470">
        <v>67.053130586869415</v>
      </c>
      <c r="AA1470">
        <v>0.47422680412371132</v>
      </c>
      <c r="AB1470">
        <v>79</v>
      </c>
      <c r="AC1470">
        <v>-7.6077819866612773E-2</v>
      </c>
      <c r="AD1470">
        <v>0.54601084300394565</v>
      </c>
      <c r="AE1470">
        <v>1.3228540534005844</v>
      </c>
      <c r="AF1470">
        <v>4.0410398614150311E-3</v>
      </c>
      <c r="AG1470">
        <v>0.54711742372892413</v>
      </c>
      <c r="AH1470">
        <v>1.3403188138106605</v>
      </c>
      <c r="AI1470">
        <v>6.7474593627799286E-5</v>
      </c>
    </row>
    <row r="1471" spans="23:35" x14ac:dyDescent="0.25">
      <c r="W1471">
        <v>1469</v>
      </c>
      <c r="X1471">
        <v>65.917195335940278</v>
      </c>
      <c r="Y1471">
        <v>2.0828046640597222</v>
      </c>
      <c r="Z1471">
        <v>65.871704453135536</v>
      </c>
      <c r="AA1471">
        <v>0.38447543966040026</v>
      </c>
      <c r="AB1471">
        <v>79.099999999999994</v>
      </c>
      <c r="AC1471">
        <v>-0.31204933220437475</v>
      </c>
      <c r="AD1471">
        <v>0.2821559254568568</v>
      </c>
      <c r="AE1471">
        <v>1.3311900355042199</v>
      </c>
      <c r="AF1471">
        <v>2.1374325982010219E-2</v>
      </c>
      <c r="AG1471">
        <v>0.28522058911704817</v>
      </c>
      <c r="AH1471">
        <v>1.3408540127832029</v>
      </c>
      <c r="AI1471">
        <v>9.8710889046038132E-5</v>
      </c>
    </row>
    <row r="1472" spans="23:35" x14ac:dyDescent="0.25">
      <c r="W1472">
        <v>1470</v>
      </c>
      <c r="X1472">
        <v>71.479214115264327</v>
      </c>
      <c r="Y1472">
        <v>-3.7792141152643239</v>
      </c>
      <c r="Z1472">
        <v>71.504430871272135</v>
      </c>
      <c r="AA1472">
        <v>0.36749545178896303</v>
      </c>
      <c r="AB1472">
        <v>79.099999999999994</v>
      </c>
      <c r="AC1472">
        <v>-0.35059197017921911</v>
      </c>
      <c r="AD1472">
        <v>-0.51196719240755739</v>
      </c>
      <c r="AE1472">
        <v>1.3372943702274378</v>
      </c>
      <c r="AF1472">
        <v>6.6282597479238141E-3</v>
      </c>
      <c r="AG1472">
        <v>-0.51367239979034673</v>
      </c>
      <c r="AH1472">
        <v>1.3436469020745556</v>
      </c>
      <c r="AI1472">
        <v>9.781099471791039E-5</v>
      </c>
    </row>
    <row r="1473" spans="23:35" x14ac:dyDescent="0.25">
      <c r="W1473">
        <v>1471</v>
      </c>
      <c r="X1473">
        <v>71.359414867371896</v>
      </c>
      <c r="Y1473">
        <v>-3.9594148673718905</v>
      </c>
      <c r="Z1473">
        <v>71.386520399727431</v>
      </c>
      <c r="AA1473">
        <v>0.3547604608853851</v>
      </c>
      <c r="AB1473">
        <v>79.099999999999994</v>
      </c>
      <c r="AC1473">
        <v>-0.38147581702590427</v>
      </c>
      <c r="AD1473">
        <v>-0.53637884792969714</v>
      </c>
      <c r="AE1473">
        <v>1.3374393127312492</v>
      </c>
      <c r="AF1473">
        <v>6.7992960370623148E-3</v>
      </c>
      <c r="AG1473">
        <v>-0.53821169910446442</v>
      </c>
      <c r="AH1473">
        <v>1.3450870067120124</v>
      </c>
      <c r="AI1473">
        <v>1.1016932644947026E-4</v>
      </c>
    </row>
    <row r="1474" spans="23:35" x14ac:dyDescent="0.25">
      <c r="W1474">
        <v>1472</v>
      </c>
      <c r="X1474">
        <v>68.180550236627198</v>
      </c>
      <c r="Y1474">
        <v>-0.9805502366271952</v>
      </c>
      <c r="Z1474">
        <v>68.188286990183045</v>
      </c>
      <c r="AA1474">
        <v>0.34505761067313523</v>
      </c>
      <c r="AB1474">
        <v>79.099999999999994</v>
      </c>
      <c r="AC1474">
        <v>-0.40776731506460179</v>
      </c>
      <c r="AD1474">
        <v>-0.13283437676446122</v>
      </c>
      <c r="AE1474">
        <v>1.3376360872459048</v>
      </c>
      <c r="AF1474">
        <v>7.828448247018456E-3</v>
      </c>
      <c r="AG1474">
        <v>-0.13335739310235711</v>
      </c>
      <c r="AH1474">
        <v>1.3470296955957954</v>
      </c>
      <c r="AI1474">
        <v>7.79561896930868E-6</v>
      </c>
    </row>
    <row r="1475" spans="23:35" x14ac:dyDescent="0.25">
      <c r="W1475">
        <v>1473</v>
      </c>
      <c r="X1475">
        <v>68.991096215443903</v>
      </c>
      <c r="Y1475">
        <v>-2.0910962154438977</v>
      </c>
      <c r="Z1475">
        <v>69.00661850176661</v>
      </c>
      <c r="AA1475">
        <v>0.33474833232261975</v>
      </c>
      <c r="AB1475">
        <v>79.099999999999994</v>
      </c>
      <c r="AC1475">
        <v>-0.43267393579163727</v>
      </c>
      <c r="AD1475">
        <v>-0.28327917546423631</v>
      </c>
      <c r="AE1475">
        <v>1.3386885004157929</v>
      </c>
      <c r="AF1475">
        <v>7.3683423504029479E-3</v>
      </c>
      <c r="AG1475">
        <v>-0.2843286275529836</v>
      </c>
      <c r="AH1475">
        <v>1.3486243420893935</v>
      </c>
      <c r="AI1475">
        <v>3.3338829378740007E-5</v>
      </c>
    </row>
    <row r="1476" spans="23:35" x14ac:dyDescent="0.25">
      <c r="W1476">
        <v>1474</v>
      </c>
      <c r="X1476">
        <v>68.84257237149356</v>
      </c>
      <c r="Y1476">
        <v>-2.2425723714935657</v>
      </c>
      <c r="Z1476">
        <v>68.85786789920472</v>
      </c>
      <c r="AA1476">
        <v>0.32686476652516677</v>
      </c>
      <c r="AB1476">
        <v>79.2</v>
      </c>
      <c r="AC1476">
        <v>-0.45616451589519369</v>
      </c>
      <c r="AD1476">
        <v>-0.30379953233319701</v>
      </c>
      <c r="AE1476">
        <v>1.3393200654808068</v>
      </c>
      <c r="AF1476">
        <v>6.7743235627504353E-3</v>
      </c>
      <c r="AG1476">
        <v>-0.30483380836530488</v>
      </c>
      <c r="AH1476">
        <v>1.3550439470376916</v>
      </c>
      <c r="AI1476">
        <v>3.5210464670818936E-5</v>
      </c>
    </row>
    <row r="1477" spans="23:35" x14ac:dyDescent="0.25">
      <c r="W1477">
        <v>1475</v>
      </c>
      <c r="X1477">
        <v>67.603151524739786</v>
      </c>
      <c r="Y1477">
        <v>-1.4031515247397834</v>
      </c>
      <c r="Z1477">
        <v>67.612730106075261</v>
      </c>
      <c r="AA1477">
        <v>0.3171619163129169</v>
      </c>
      <c r="AB1477">
        <v>79.2</v>
      </c>
      <c r="AC1477">
        <v>-0.48332360885611292</v>
      </c>
      <c r="AD1477">
        <v>-0.19008384408332643</v>
      </c>
      <c r="AE1477">
        <v>1.3530899909540306</v>
      </c>
      <c r="AF1477">
        <v>6.7801919802572578E-3</v>
      </c>
      <c r="AG1477">
        <v>-0.19073154206573459</v>
      </c>
      <c r="AH1477">
        <v>1.3594443191573355</v>
      </c>
      <c r="AI1477">
        <v>1.3796507261150298E-5</v>
      </c>
    </row>
    <row r="1478" spans="23:35" x14ac:dyDescent="0.25">
      <c r="W1478">
        <v>1476</v>
      </c>
      <c r="X1478">
        <v>69.727987582360413</v>
      </c>
      <c r="Y1478">
        <v>-10.02798758236041</v>
      </c>
      <c r="Z1478">
        <v>69.764124120095872</v>
      </c>
      <c r="AA1478">
        <v>0.16919345057610674</v>
      </c>
      <c r="AB1478">
        <v>79.2</v>
      </c>
      <c r="AC1478">
        <v>-0.96823093621551704</v>
      </c>
      <c r="AD1478">
        <v>-1.358483666565113</v>
      </c>
      <c r="AE1478">
        <v>1.3553484184294682</v>
      </c>
      <c r="AF1478">
        <v>3.5906291798713684E-3</v>
      </c>
      <c r="AG1478">
        <v>-1.3609291597303215</v>
      </c>
      <c r="AH1478">
        <v>1.3594649525354241</v>
      </c>
      <c r="AI1478">
        <v>3.707927949897111E-4</v>
      </c>
    </row>
    <row r="1479" spans="23:35" x14ac:dyDescent="0.25">
      <c r="W1479">
        <v>1477</v>
      </c>
      <c r="X1479">
        <v>69.006978536141219</v>
      </c>
      <c r="Y1479">
        <v>-9.6069785361412201</v>
      </c>
      <c r="Z1479">
        <v>69.041606355389575</v>
      </c>
      <c r="AA1479">
        <v>0.16312916919345058</v>
      </c>
      <c r="AB1479">
        <v>79.2</v>
      </c>
      <c r="AC1479">
        <v>-0.99032898964496086</v>
      </c>
      <c r="AD1479">
        <v>-1.3014498990152827</v>
      </c>
      <c r="AE1479">
        <v>1.3567744955626939</v>
      </c>
      <c r="AF1479">
        <v>3.59149896521198E-3</v>
      </c>
      <c r="AG1479">
        <v>-1.3037932911083789</v>
      </c>
      <c r="AH1479">
        <v>1.366812652976009</v>
      </c>
      <c r="AI1479">
        <v>3.4039510044704121E-4</v>
      </c>
    </row>
    <row r="1480" spans="23:35" x14ac:dyDescent="0.25">
      <c r="W1480">
        <v>1478</v>
      </c>
      <c r="X1480">
        <v>68.87086548549496</v>
      </c>
      <c r="Y1480">
        <v>-9.9708654854949614</v>
      </c>
      <c r="Z1480">
        <v>68.907952676782628</v>
      </c>
      <c r="AA1480">
        <v>0.14918132201334142</v>
      </c>
      <c r="AB1480">
        <v>79.2</v>
      </c>
      <c r="AC1480">
        <v>-1.0491313979639725</v>
      </c>
      <c r="AD1480">
        <v>-1.3507453805975314</v>
      </c>
      <c r="AE1480">
        <v>1.3583927127634627</v>
      </c>
      <c r="AF1480">
        <v>3.7057720480344488E-3</v>
      </c>
      <c r="AG1480">
        <v>-1.3532551354278342</v>
      </c>
      <c r="AH1480">
        <v>1.3675266452705916</v>
      </c>
      <c r="AI1480">
        <v>3.7842337053977347E-4</v>
      </c>
    </row>
    <row r="1481" spans="23:35" x14ac:dyDescent="0.25">
      <c r="W1481">
        <v>1479</v>
      </c>
      <c r="X1481">
        <v>63.172406237305587</v>
      </c>
      <c r="Y1481">
        <v>-4.8724062373055901</v>
      </c>
      <c r="Z1481">
        <v>63.191773644890255</v>
      </c>
      <c r="AA1481">
        <v>0.13765918738629473</v>
      </c>
      <c r="AB1481">
        <v>79.3</v>
      </c>
      <c r="AC1481">
        <v>-1.0950400512086547</v>
      </c>
      <c r="AD1481">
        <v>-0.66006107764760602</v>
      </c>
      <c r="AE1481">
        <v>1.3638775861259169</v>
      </c>
      <c r="AF1481">
        <v>3.9591790198423979E-3</v>
      </c>
      <c r="AG1481">
        <v>-0.66137162042440278</v>
      </c>
      <c r="AH1481">
        <v>1.3689891006327244</v>
      </c>
      <c r="AI1481">
        <v>9.6593211900311115E-5</v>
      </c>
    </row>
    <row r="1482" spans="23:35" x14ac:dyDescent="0.25">
      <c r="W1482">
        <v>1480</v>
      </c>
      <c r="X1482">
        <v>64.497178188301604</v>
      </c>
      <c r="Y1482">
        <v>-7.097178188301605</v>
      </c>
      <c r="Z1482">
        <v>64.515962508038314</v>
      </c>
      <c r="AA1482">
        <v>0.11825348696179502</v>
      </c>
      <c r="AB1482">
        <v>79.3</v>
      </c>
      <c r="AC1482">
        <v>-1.1914554566319386</v>
      </c>
      <c r="AD1482">
        <v>-0.96144920088148889</v>
      </c>
      <c r="AE1482">
        <v>1.3665906459907322</v>
      </c>
      <c r="AF1482">
        <v>2.6397440564764688E-3</v>
      </c>
      <c r="AG1482">
        <v>-0.96272070868417148</v>
      </c>
      <c r="AH1482">
        <v>1.3804380878356257</v>
      </c>
      <c r="AI1482">
        <v>1.3628180763058394E-4</v>
      </c>
    </row>
    <row r="1483" spans="23:35" x14ac:dyDescent="0.25">
      <c r="W1483">
        <v>1481</v>
      </c>
      <c r="X1483">
        <v>61.663347327401546</v>
      </c>
      <c r="Y1483">
        <v>-4.9633473274015429</v>
      </c>
      <c r="Z1483">
        <v>61.684671299286805</v>
      </c>
      <c r="AA1483">
        <v>0.10491206791995149</v>
      </c>
      <c r="AB1483">
        <v>79.3</v>
      </c>
      <c r="AC1483">
        <v>-1.2726185683477402</v>
      </c>
      <c r="AD1483">
        <v>-0.6723807962851015</v>
      </c>
      <c r="AE1483">
        <v>1.3826504429587203</v>
      </c>
      <c r="AF1483">
        <v>4.2779093354284731E-3</v>
      </c>
      <c r="AG1483">
        <v>-0.67382361918076172</v>
      </c>
      <c r="AH1483">
        <v>1.3887228973407089</v>
      </c>
      <c r="AI1483">
        <v>1.0837107680075667E-4</v>
      </c>
    </row>
    <row r="1484" spans="23:35" x14ac:dyDescent="0.25">
      <c r="W1484">
        <v>1482</v>
      </c>
      <c r="X1484">
        <v>54.298189069893859</v>
      </c>
      <c r="Y1484">
        <v>1.9018109301061443</v>
      </c>
      <c r="Z1484">
        <v>54.267270924797479</v>
      </c>
      <c r="AA1484">
        <v>9.5815645845967259E-2</v>
      </c>
      <c r="AB1484">
        <v>79.3</v>
      </c>
      <c r="AC1484">
        <v>-1.3147344895569</v>
      </c>
      <c r="AD1484">
        <v>0.25763684530172443</v>
      </c>
      <c r="AE1484">
        <v>1.3833410108140842</v>
      </c>
      <c r="AF1484">
        <v>1.5997143879639776E-2</v>
      </c>
      <c r="AG1484">
        <v>0.25972263073061369</v>
      </c>
      <c r="AH1484">
        <v>1.3920728007438206</v>
      </c>
      <c r="AI1484">
        <v>6.092466827341229E-5</v>
      </c>
    </row>
    <row r="1485" spans="23:35" x14ac:dyDescent="0.25">
      <c r="W1485">
        <v>1483</v>
      </c>
      <c r="X1485">
        <v>72.002034204609444</v>
      </c>
      <c r="Y1485">
        <v>1.297965795390553</v>
      </c>
      <c r="Z1485">
        <v>71.975734823386858</v>
      </c>
      <c r="AA1485">
        <v>0.63007883565797451</v>
      </c>
      <c r="AB1485">
        <v>79.3</v>
      </c>
      <c r="AC1485">
        <v>0.3152427890443939</v>
      </c>
      <c r="AD1485">
        <v>0.17583441526193236</v>
      </c>
      <c r="AE1485">
        <v>1.384396348662849</v>
      </c>
      <c r="AF1485">
        <v>1.9859603414054045E-2</v>
      </c>
      <c r="AG1485">
        <v>0.17760686031106881</v>
      </c>
      <c r="AH1485">
        <v>1.3925760145963562</v>
      </c>
      <c r="AI1485">
        <v>3.5508248570642462E-5</v>
      </c>
    </row>
    <row r="1486" spans="23:35" x14ac:dyDescent="0.25">
      <c r="W1486">
        <v>1484</v>
      </c>
      <c r="X1486">
        <v>79.230657764530577</v>
      </c>
      <c r="Y1486">
        <v>-6.0306577645305737</v>
      </c>
      <c r="Z1486">
        <v>79.267154071413103</v>
      </c>
      <c r="AA1486">
        <v>0.62340812613705276</v>
      </c>
      <c r="AB1486">
        <v>79.3</v>
      </c>
      <c r="AC1486">
        <v>0.29295400660571058</v>
      </c>
      <c r="AD1486">
        <v>-0.81696850983041214</v>
      </c>
      <c r="AE1486">
        <v>1.3872286064500297</v>
      </c>
      <c r="AF1486">
        <v>6.0153914756319628E-3</v>
      </c>
      <c r="AG1486">
        <v>-0.81943684413233342</v>
      </c>
      <c r="AH1486">
        <v>1.3956660488695274</v>
      </c>
      <c r="AI1486">
        <v>2.2575776953094457E-4</v>
      </c>
    </row>
    <row r="1487" spans="23:35" x14ac:dyDescent="0.25">
      <c r="W1487">
        <v>1485</v>
      </c>
      <c r="X1487">
        <v>78.352436515267215</v>
      </c>
      <c r="Y1487">
        <v>-5.3524365152672146</v>
      </c>
      <c r="Z1487">
        <v>78.387501841284362</v>
      </c>
      <c r="AA1487">
        <v>0.60946027895694366</v>
      </c>
      <c r="AB1487">
        <v>79.3</v>
      </c>
      <c r="AC1487">
        <v>0.22222871718700732</v>
      </c>
      <c r="AD1487">
        <v>-0.72509040548748771</v>
      </c>
      <c r="AE1487">
        <v>1.3893074587193777</v>
      </c>
      <c r="AF1487">
        <v>6.5086429759409325E-3</v>
      </c>
      <c r="AG1487">
        <v>-0.72746166433148463</v>
      </c>
      <c r="AH1487">
        <v>1.3976218811788776</v>
      </c>
      <c r="AI1487">
        <v>1.9260789054525591E-4</v>
      </c>
    </row>
    <row r="1488" spans="23:35" x14ac:dyDescent="0.25">
      <c r="W1488">
        <v>1486</v>
      </c>
      <c r="X1488">
        <v>76.94406624819463</v>
      </c>
      <c r="Y1488">
        <v>-4.0440662481946248</v>
      </c>
      <c r="Z1488">
        <v>76.969036036510914</v>
      </c>
      <c r="AA1488">
        <v>0.58762886597938147</v>
      </c>
      <c r="AB1488">
        <v>79.3</v>
      </c>
      <c r="AC1488">
        <v>0.206674078513852</v>
      </c>
      <c r="AD1488">
        <v>-0.54784650455126627</v>
      </c>
      <c r="AE1488">
        <v>1.3911540688264783</v>
      </c>
      <c r="AF1488">
        <v>6.1365365389338599E-3</v>
      </c>
      <c r="AG1488">
        <v>-0.54953522073589678</v>
      </c>
      <c r="AH1488">
        <v>1.3995627373474635</v>
      </c>
      <c r="AI1488">
        <v>1.0358936213972028E-4</v>
      </c>
    </row>
    <row r="1489" spans="23:35" x14ac:dyDescent="0.25">
      <c r="W1489">
        <v>1487</v>
      </c>
      <c r="X1489">
        <v>78.072634566146178</v>
      </c>
      <c r="Y1489">
        <v>-5.2726345661461806</v>
      </c>
      <c r="Z1489">
        <v>78.10035342153239</v>
      </c>
      <c r="AA1489">
        <v>0.58156458459672533</v>
      </c>
      <c r="AB1489">
        <v>79.3</v>
      </c>
      <c r="AC1489">
        <v>0.18343432307636306</v>
      </c>
      <c r="AD1489">
        <v>-0.71427969760112364</v>
      </c>
      <c r="AE1489">
        <v>1.3924607418886057</v>
      </c>
      <c r="AF1489">
        <v>5.229623985751785E-3</v>
      </c>
      <c r="AG1489">
        <v>-0.7161547623468314</v>
      </c>
      <c r="AH1489">
        <v>1.3996087350572501</v>
      </c>
      <c r="AI1489">
        <v>1.4979209114014726E-4</v>
      </c>
    </row>
    <row r="1490" spans="23:35" x14ac:dyDescent="0.25">
      <c r="W1490">
        <v>1488</v>
      </c>
      <c r="X1490">
        <v>78.843672542274618</v>
      </c>
      <c r="Y1490">
        <v>-6.3436725422746179</v>
      </c>
      <c r="Z1490">
        <v>78.878497148476526</v>
      </c>
      <c r="AA1490">
        <v>0.55852031534263191</v>
      </c>
      <c r="AB1490">
        <v>79.400000000000006</v>
      </c>
      <c r="AC1490">
        <v>0.12956927093944998</v>
      </c>
      <c r="AD1490">
        <v>-0.85937237795114851</v>
      </c>
      <c r="AE1490">
        <v>1.3926672504029765</v>
      </c>
      <c r="AF1490">
        <v>5.4596882919722214E-3</v>
      </c>
      <c r="AG1490">
        <v>-0.86172798064921163</v>
      </c>
      <c r="AH1490">
        <v>1.4013715120762367</v>
      </c>
      <c r="AI1490">
        <v>2.2647138809474407E-4</v>
      </c>
    </row>
    <row r="1491" spans="23:35" x14ac:dyDescent="0.25">
      <c r="W1491">
        <v>1489</v>
      </c>
      <c r="X1491">
        <v>79.350323144158438</v>
      </c>
      <c r="Y1491">
        <v>-6.7503231441584433</v>
      </c>
      <c r="Z1491">
        <v>79.385122729546026</v>
      </c>
      <c r="AA1491">
        <v>0.56458459672528805</v>
      </c>
      <c r="AB1491">
        <v>79.400000000000006</v>
      </c>
      <c r="AC1491">
        <v>0.14798710972583889</v>
      </c>
      <c r="AD1491">
        <v>-0.91446101823125714</v>
      </c>
      <c r="AE1491">
        <v>1.3957238307792201</v>
      </c>
      <c r="AF1491">
        <v>5.1288070643225256E-3</v>
      </c>
      <c r="AG1491">
        <v>-0.91681512449426183</v>
      </c>
      <c r="AH1491">
        <v>1.404121320976035</v>
      </c>
      <c r="AI1491">
        <v>2.4073572245627032E-4</v>
      </c>
    </row>
    <row r="1492" spans="23:35" x14ac:dyDescent="0.25">
      <c r="W1492">
        <v>1490</v>
      </c>
      <c r="X1492">
        <v>73.017676196497561</v>
      </c>
      <c r="Y1492">
        <v>-0.51767619649756114</v>
      </c>
      <c r="Z1492">
        <v>73.022540967267958</v>
      </c>
      <c r="AA1492">
        <v>0.55852031534263191</v>
      </c>
      <c r="AB1492">
        <v>79.400000000000006</v>
      </c>
      <c r="AC1492">
        <v>0.12956927093944998</v>
      </c>
      <c r="AD1492">
        <v>-7.0129191099970928E-2</v>
      </c>
      <c r="AE1492">
        <v>1.4014034378567266</v>
      </c>
      <c r="AF1492">
        <v>9.3098361183579278E-3</v>
      </c>
      <c r="AG1492">
        <v>-7.0457933933687655E-2</v>
      </c>
      <c r="AH1492">
        <v>1.4081515299573266</v>
      </c>
      <c r="AI1492">
        <v>2.5917403371137809E-6</v>
      </c>
    </row>
    <row r="1493" spans="23:35" x14ac:dyDescent="0.25">
      <c r="W1493">
        <v>1491</v>
      </c>
      <c r="X1493">
        <v>73.300005268686093</v>
      </c>
      <c r="Y1493">
        <v>-0.90000526868608688</v>
      </c>
      <c r="Z1493">
        <v>73.308890579147402</v>
      </c>
      <c r="AA1493">
        <v>0.55124317768344455</v>
      </c>
      <c r="AB1493">
        <v>79.400000000000006</v>
      </c>
      <c r="AC1493">
        <v>0.11578501997911882</v>
      </c>
      <c r="AD1493">
        <v>-0.12192301269730996</v>
      </c>
      <c r="AE1493">
        <v>1.404349945581381</v>
      </c>
      <c r="AF1493">
        <v>9.7759957745866231E-3</v>
      </c>
      <c r="AG1493">
        <v>-0.12252337760306789</v>
      </c>
      <c r="AH1493">
        <v>1.4132142942529977</v>
      </c>
      <c r="AI1493">
        <v>8.2336607928733737E-6</v>
      </c>
    </row>
    <row r="1494" spans="23:35" x14ac:dyDescent="0.25">
      <c r="W1494">
        <v>1492</v>
      </c>
      <c r="X1494">
        <v>74.190316302388112</v>
      </c>
      <c r="Y1494">
        <v>-1.8903163023881149</v>
      </c>
      <c r="Z1494">
        <v>74.225985525764855</v>
      </c>
      <c r="AA1494">
        <v>0.54578532443905392</v>
      </c>
      <c r="AB1494">
        <v>79.400000000000006</v>
      </c>
      <c r="AC1494">
        <v>9.896716322379942E-2</v>
      </c>
      <c r="AD1494">
        <v>-0.25607967703840734</v>
      </c>
      <c r="AE1494">
        <v>1.4061842305197785</v>
      </c>
      <c r="AF1494">
        <v>1.8519985171007038E-2</v>
      </c>
      <c r="AG1494">
        <v>-0.2584844269316065</v>
      </c>
      <c r="AH1494">
        <v>1.4137854355689004</v>
      </c>
      <c r="AI1494">
        <v>7.0041499423229744E-5</v>
      </c>
    </row>
    <row r="1495" spans="23:35" x14ac:dyDescent="0.25">
      <c r="W1495">
        <v>1493</v>
      </c>
      <c r="X1495">
        <v>71.358093553118636</v>
      </c>
      <c r="Y1495">
        <v>0.84190644688136729</v>
      </c>
      <c r="Z1495">
        <v>71.340870141309708</v>
      </c>
      <c r="AA1495">
        <v>0.53911461491813217</v>
      </c>
      <c r="AB1495">
        <v>79.400000000000006</v>
      </c>
      <c r="AC1495">
        <v>7.9127168877726875E-2</v>
      </c>
      <c r="AD1495">
        <v>0.11405241056301706</v>
      </c>
      <c r="AE1495">
        <v>1.4070423537738168</v>
      </c>
      <c r="AF1495">
        <v>2.0047506945200293E-2</v>
      </c>
      <c r="AG1495">
        <v>0.11521312533946682</v>
      </c>
      <c r="AH1495">
        <v>1.4244758844317749</v>
      </c>
      <c r="AI1495">
        <v>1.5086439685069604E-5</v>
      </c>
    </row>
    <row r="1496" spans="23:35" x14ac:dyDescent="0.25">
      <c r="W1496">
        <v>1494</v>
      </c>
      <c r="X1496">
        <v>70.588408256600545</v>
      </c>
      <c r="Y1496">
        <v>1.4115917433994554</v>
      </c>
      <c r="Z1496">
        <v>70.558371806846296</v>
      </c>
      <c r="AA1496">
        <v>0.52516676773802307</v>
      </c>
      <c r="AB1496">
        <v>79.400000000000006</v>
      </c>
      <c r="AC1496">
        <v>4.1053957112594373E-2</v>
      </c>
      <c r="AD1496">
        <v>0.19122723393071428</v>
      </c>
      <c r="AE1496">
        <v>1.4142760934061773</v>
      </c>
      <c r="AF1496">
        <v>2.0835087643882255E-2</v>
      </c>
      <c r="AG1496">
        <v>0.19325103201584523</v>
      </c>
      <c r="AH1496">
        <v>1.4269315613290992</v>
      </c>
      <c r="AI1496">
        <v>4.4147958722453547E-5</v>
      </c>
    </row>
    <row r="1497" spans="23:35" x14ac:dyDescent="0.25">
      <c r="W1497">
        <v>1495</v>
      </c>
      <c r="X1497">
        <v>75.46554599468142</v>
      </c>
      <c r="Y1497">
        <v>-3.5655459946814148</v>
      </c>
      <c r="Z1497">
        <v>75.479934368995885</v>
      </c>
      <c r="AA1497">
        <v>0.51607034566403887</v>
      </c>
      <c r="AB1497">
        <v>79.400000000000006</v>
      </c>
      <c r="AC1497">
        <v>2.7365033500434649E-2</v>
      </c>
      <c r="AD1497">
        <v>-0.48302173854719027</v>
      </c>
      <c r="AE1497">
        <v>1.4193583716091343</v>
      </c>
      <c r="AF1497">
        <v>4.0191726527360064E-3</v>
      </c>
      <c r="AG1497">
        <v>-0.48399534824235485</v>
      </c>
      <c r="AH1497">
        <v>1.4291335899120077</v>
      </c>
      <c r="AI1497">
        <v>5.2516473389673093E-5</v>
      </c>
    </row>
    <row r="1498" spans="23:35" x14ac:dyDescent="0.25">
      <c r="W1498">
        <v>1496</v>
      </c>
      <c r="X1498">
        <v>75.739900426328504</v>
      </c>
      <c r="Y1498">
        <v>-3.9399004263285065</v>
      </c>
      <c r="Z1498">
        <v>75.75543107549764</v>
      </c>
      <c r="AA1498">
        <v>0.51061249241964823</v>
      </c>
      <c r="AB1498">
        <v>79.5</v>
      </c>
      <c r="AC1498">
        <v>1.0640830227304372E-2</v>
      </c>
      <c r="AD1498">
        <v>-0.53373524180216092</v>
      </c>
      <c r="AE1498">
        <v>1.4292865946568545</v>
      </c>
      <c r="AF1498">
        <v>3.9264112741936794E-3</v>
      </c>
      <c r="AG1498">
        <v>-0.53478616963335601</v>
      </c>
      <c r="AH1498">
        <v>1.4358399707910481</v>
      </c>
      <c r="AI1498">
        <v>6.2631410537862241E-5</v>
      </c>
    </row>
    <row r="1499" spans="23:35" x14ac:dyDescent="0.25">
      <c r="W1499">
        <v>1497</v>
      </c>
      <c r="X1499">
        <v>76.587781046373181</v>
      </c>
      <c r="Y1499">
        <v>-4.9877810463731862</v>
      </c>
      <c r="Z1499">
        <v>76.609964181633657</v>
      </c>
      <c r="AA1499">
        <v>0.49787750151607035</v>
      </c>
      <c r="AB1499">
        <v>79.5</v>
      </c>
      <c r="AC1499">
        <v>-2.1282865457297767E-2</v>
      </c>
      <c r="AD1499">
        <v>-0.6756908131617485</v>
      </c>
      <c r="AE1499">
        <v>1.4296083324055282</v>
      </c>
      <c r="AF1499">
        <v>4.4278031651008715E-3</v>
      </c>
      <c r="AG1499">
        <v>-0.6771917122297495</v>
      </c>
      <c r="AH1499">
        <v>1.4371330097354167</v>
      </c>
      <c r="AI1499">
        <v>1.1330949667440317E-4</v>
      </c>
    </row>
    <row r="1500" spans="23:35" x14ac:dyDescent="0.25">
      <c r="W1500">
        <v>1498</v>
      </c>
      <c r="X1500">
        <v>73.697290944094235</v>
      </c>
      <c r="Y1500">
        <v>-2.5972909440942402</v>
      </c>
      <c r="Z1500">
        <v>73.713372014522591</v>
      </c>
      <c r="AA1500">
        <v>0.47422680412371132</v>
      </c>
      <c r="AB1500">
        <v>79.5</v>
      </c>
      <c r="AC1500">
        <v>-7.6077819866612773E-2</v>
      </c>
      <c r="AD1500">
        <v>-0.35185298105833812</v>
      </c>
      <c r="AE1500">
        <v>1.430735232203832</v>
      </c>
      <c r="AF1500">
        <v>6.1533797480801062E-3</v>
      </c>
      <c r="AG1500">
        <v>-0.35294054529077856</v>
      </c>
      <c r="AH1500">
        <v>1.4403768705997861</v>
      </c>
      <c r="AI1500">
        <v>4.2847447197893738E-5</v>
      </c>
    </row>
    <row r="1501" spans="23:35" x14ac:dyDescent="0.25">
      <c r="W1501">
        <v>1499</v>
      </c>
      <c r="X1501">
        <v>75.163774475312351</v>
      </c>
      <c r="Y1501">
        <v>-4.1637744753123513</v>
      </c>
      <c r="Z1501">
        <v>75.172680658258159</v>
      </c>
      <c r="AA1501">
        <v>0.46937537901758641</v>
      </c>
      <c r="AB1501">
        <v>79.5</v>
      </c>
      <c r="AC1501">
        <v>-9.743972564826138E-2</v>
      </c>
      <c r="AD1501">
        <v>-0.56406328483318002</v>
      </c>
      <c r="AE1501">
        <v>1.4352911829459483</v>
      </c>
      <c r="AF1501">
        <v>2.1344031990996023E-3</v>
      </c>
      <c r="AG1501">
        <v>-0.56466621942399786</v>
      </c>
      <c r="AH1501">
        <v>1.4457288268715822</v>
      </c>
      <c r="AI1501">
        <v>3.7889207612232875E-5</v>
      </c>
    </row>
    <row r="1502" spans="23:35" x14ac:dyDescent="0.25">
      <c r="W1502">
        <v>1500</v>
      </c>
      <c r="X1502">
        <v>72.930522359564463</v>
      </c>
      <c r="Y1502">
        <v>5.0694776404355366</v>
      </c>
      <c r="Z1502">
        <v>72.897516719467461</v>
      </c>
      <c r="AA1502">
        <v>0.86294724075197093</v>
      </c>
      <c r="AB1502">
        <v>79.5</v>
      </c>
      <c r="AC1502">
        <v>1.0491313979639725</v>
      </c>
      <c r="AD1502">
        <v>0.68675818712249481</v>
      </c>
      <c r="AE1502">
        <v>1.4387051572147314</v>
      </c>
      <c r="AF1502">
        <v>6.4685444875292319E-3</v>
      </c>
      <c r="AG1502">
        <v>0.68899018425073921</v>
      </c>
      <c r="AH1502">
        <v>1.4535860107549625</v>
      </c>
      <c r="AI1502">
        <v>1.7170324866329616E-4</v>
      </c>
    </row>
    <row r="1503" spans="23:35" x14ac:dyDescent="0.25">
      <c r="W1503">
        <v>1501</v>
      </c>
      <c r="X1503">
        <v>66.298585389559634</v>
      </c>
      <c r="Y1503">
        <v>9.7014146104403665</v>
      </c>
      <c r="Z1503">
        <v>66.119020177692377</v>
      </c>
      <c r="AA1503">
        <v>0.80836870830806551</v>
      </c>
      <c r="AB1503">
        <v>79.599999999999994</v>
      </c>
      <c r="AC1503">
        <v>0.83794453378675593</v>
      </c>
      <c r="AD1503">
        <v>1.3142430804403962</v>
      </c>
      <c r="AE1503">
        <v>1.4500407148772383</v>
      </c>
      <c r="AF1503">
        <v>1.8172814345989125E-2</v>
      </c>
      <c r="AG1503">
        <v>1.3263500942735915</v>
      </c>
      <c r="AH1503">
        <v>1.4542406694548873</v>
      </c>
      <c r="AI1503">
        <v>1.8089683851830053E-3</v>
      </c>
    </row>
    <row r="1504" spans="23:35" x14ac:dyDescent="0.25">
      <c r="W1504">
        <v>1502</v>
      </c>
      <c r="X1504">
        <v>64.524530563915491</v>
      </c>
      <c r="Y1504">
        <v>9.4754694360845093</v>
      </c>
      <c r="Z1504">
        <v>64.329783322831389</v>
      </c>
      <c r="AA1504">
        <v>0.68465736810187994</v>
      </c>
      <c r="AB1504">
        <v>79.599999999999994</v>
      </c>
      <c r="AC1504">
        <v>0.4663087141536239</v>
      </c>
      <c r="AD1504">
        <v>1.2836344636685164</v>
      </c>
      <c r="AE1504">
        <v>1.4519213919085803</v>
      </c>
      <c r="AF1504">
        <v>2.0138870470596173E-2</v>
      </c>
      <c r="AG1504">
        <v>1.2967585013024032</v>
      </c>
      <c r="AH1504">
        <v>1.4557640244740078</v>
      </c>
      <c r="AI1504">
        <v>1.9200665483167733E-3</v>
      </c>
    </row>
    <row r="1505" spans="23:35" x14ac:dyDescent="0.25">
      <c r="W1505">
        <v>1503</v>
      </c>
      <c r="X1505">
        <v>61.732830127800966</v>
      </c>
      <c r="Y1505">
        <v>9.2671698721990339</v>
      </c>
      <c r="Z1505">
        <v>61.597126274974855</v>
      </c>
      <c r="AA1505">
        <v>0.46937537901758641</v>
      </c>
      <c r="AB1505">
        <v>79.599999999999994</v>
      </c>
      <c r="AC1505">
        <v>-9.743972564826138E-2</v>
      </c>
      <c r="AD1505">
        <v>1.2554162840021581</v>
      </c>
      <c r="AE1505">
        <v>1.4531141100132583</v>
      </c>
      <c r="AF1505">
        <v>1.4432167951479183E-2</v>
      </c>
      <c r="AG1505">
        <v>1.2645747255494284</v>
      </c>
      <c r="AH1505">
        <v>1.4585898844728005</v>
      </c>
      <c r="AI1505">
        <v>1.3009528117328096E-3</v>
      </c>
    </row>
    <row r="1506" spans="23:35" x14ac:dyDescent="0.25">
      <c r="W1506">
        <v>1504</v>
      </c>
      <c r="X1506">
        <v>59.69361930217908</v>
      </c>
      <c r="Y1506">
        <v>10.206380697820926</v>
      </c>
      <c r="Z1506">
        <v>59.442407578952405</v>
      </c>
      <c r="AA1506">
        <v>0.45724681625227409</v>
      </c>
      <c r="AB1506">
        <v>79.599999999999994</v>
      </c>
      <c r="AC1506">
        <v>-0.11731546960548965</v>
      </c>
      <c r="AD1506">
        <v>1.3826504429587203</v>
      </c>
      <c r="AE1506">
        <v>1.4541735191346528</v>
      </c>
      <c r="AF1506">
        <v>2.4021946267581709E-2</v>
      </c>
      <c r="AG1506">
        <v>1.3995627373474635</v>
      </c>
      <c r="AH1506">
        <v>1.4600077151317288</v>
      </c>
      <c r="AI1506">
        <v>2.6784304659329822E-3</v>
      </c>
    </row>
    <row r="1507" spans="23:35" x14ac:dyDescent="0.25">
      <c r="W1507">
        <v>1505</v>
      </c>
      <c r="X1507">
        <v>67.314863789711396</v>
      </c>
      <c r="Y1507">
        <v>2.3851362102886071</v>
      </c>
      <c r="Z1507">
        <v>67.278581951137596</v>
      </c>
      <c r="AA1507">
        <v>0.45057610673135234</v>
      </c>
      <c r="AB1507">
        <v>79.7</v>
      </c>
      <c r="AC1507">
        <v>-0.12956927093944987</v>
      </c>
      <c r="AD1507">
        <v>0.32311254452584864</v>
      </c>
      <c r="AE1507">
        <v>1.4542042407490434</v>
      </c>
      <c r="AF1507">
        <v>1.4983715261740966E-2</v>
      </c>
      <c r="AG1507">
        <v>0.32556080535430393</v>
      </c>
      <c r="AH1507">
        <v>1.4670995210494351</v>
      </c>
      <c r="AI1507">
        <v>8.9571082765086478E-5</v>
      </c>
    </row>
    <row r="1508" spans="23:35" x14ac:dyDescent="0.25">
      <c r="W1508">
        <v>1506</v>
      </c>
      <c r="X1508">
        <v>72.049726725422545</v>
      </c>
      <c r="Y1508">
        <v>-2.4497267254225505</v>
      </c>
      <c r="Z1508">
        <v>72.055600145345409</v>
      </c>
      <c r="AA1508">
        <v>0.44815039417828989</v>
      </c>
      <c r="AB1508">
        <v>79.7</v>
      </c>
      <c r="AC1508">
        <v>-0.14337818601426075</v>
      </c>
      <c r="AD1508">
        <v>-0.33186257129880115</v>
      </c>
      <c r="AE1508">
        <v>1.4562898418187982</v>
      </c>
      <c r="AF1508">
        <v>2.3918470334030493E-3</v>
      </c>
      <c r="AG1508">
        <v>-0.33226016693542226</v>
      </c>
      <c r="AH1508">
        <v>1.4704331877495822</v>
      </c>
      <c r="AI1508">
        <v>1.4704743881518324E-5</v>
      </c>
    </row>
    <row r="1509" spans="23:35" x14ac:dyDescent="0.25">
      <c r="W1509">
        <v>1507</v>
      </c>
      <c r="X1509">
        <v>72.806468982190864</v>
      </c>
      <c r="Y1509">
        <v>-3.3064689821908644</v>
      </c>
      <c r="Z1509">
        <v>72.815675426626726</v>
      </c>
      <c r="AA1509">
        <v>0.44269254093389931</v>
      </c>
      <c r="AB1509">
        <v>79.7</v>
      </c>
      <c r="AC1509">
        <v>-0.15567569037416348</v>
      </c>
      <c r="AD1509">
        <v>-0.44792477747097253</v>
      </c>
      <c r="AE1509">
        <v>1.4618747027008203</v>
      </c>
      <c r="AF1509">
        <v>2.7766422376360005E-3</v>
      </c>
      <c r="AG1509">
        <v>-0.44854793892217554</v>
      </c>
      <c r="AH1509">
        <v>1.4720439726269581</v>
      </c>
      <c r="AI1509">
        <v>3.1122373413858982E-5</v>
      </c>
    </row>
    <row r="1510" spans="23:35" x14ac:dyDescent="0.25">
      <c r="W1510">
        <v>1508</v>
      </c>
      <c r="X1510">
        <v>70.836256245033695</v>
      </c>
      <c r="Y1510">
        <v>-1.4362562450336895</v>
      </c>
      <c r="Z1510">
        <v>70.841363730849807</v>
      </c>
      <c r="AA1510">
        <v>0.43784111582777441</v>
      </c>
      <c r="AB1510">
        <v>79.7</v>
      </c>
      <c r="AC1510">
        <v>-0.16799678341230881</v>
      </c>
      <c r="AD1510">
        <v>-0.19456851475489625</v>
      </c>
      <c r="AE1510">
        <v>1.4621125495450049</v>
      </c>
      <c r="AF1510">
        <v>3.5435093216245358E-3</v>
      </c>
      <c r="AG1510">
        <v>-0.19491416130081635</v>
      </c>
      <c r="AH1510">
        <v>1.4732719800408178</v>
      </c>
      <c r="AI1510">
        <v>7.505670952450146E-6</v>
      </c>
    </row>
    <row r="1511" spans="23:35" x14ac:dyDescent="0.25">
      <c r="W1511">
        <v>1509</v>
      </c>
      <c r="X1511">
        <v>71.790227075974528</v>
      </c>
      <c r="Y1511">
        <v>-2.4902270759745306</v>
      </c>
      <c r="Z1511">
        <v>71.795775800012251</v>
      </c>
      <c r="AA1511">
        <v>0.4329896907216495</v>
      </c>
      <c r="AB1511">
        <v>79.7</v>
      </c>
      <c r="AC1511">
        <v>-0.17879863688351211</v>
      </c>
      <c r="AD1511">
        <v>-0.33734912224066776</v>
      </c>
      <c r="AE1511">
        <v>1.4695378226763496</v>
      </c>
      <c r="AF1511">
        <v>2.2232461897010846E-3</v>
      </c>
      <c r="AG1511">
        <v>-0.33772475377317979</v>
      </c>
      <c r="AH1511">
        <v>1.4740420158490055</v>
      </c>
      <c r="AI1511">
        <v>1.4119114412091747E-5</v>
      </c>
    </row>
    <row r="1512" spans="23:35" x14ac:dyDescent="0.25">
      <c r="W1512">
        <v>1510</v>
      </c>
      <c r="X1512">
        <v>70.338614833632533</v>
      </c>
      <c r="Y1512">
        <v>-1.1386148336325306</v>
      </c>
      <c r="Z1512">
        <v>70.353630148671812</v>
      </c>
      <c r="AA1512">
        <v>0.42874469375379015</v>
      </c>
      <c r="AB1512">
        <v>79.8</v>
      </c>
      <c r="AC1512">
        <v>-0.1880739545732803</v>
      </c>
      <c r="AD1512">
        <v>-0.15424726459767507</v>
      </c>
      <c r="AE1512">
        <v>1.473330784381689</v>
      </c>
      <c r="AF1512">
        <v>1.3015709633246718E-2</v>
      </c>
      <c r="AG1512">
        <v>-0.15526098997166796</v>
      </c>
      <c r="AH1512">
        <v>1.4784309523638419</v>
      </c>
      <c r="AI1512">
        <v>1.7660777052523438E-5</v>
      </c>
    </row>
    <row r="1513" spans="23:35" x14ac:dyDescent="0.25">
      <c r="W1513">
        <v>1511</v>
      </c>
      <c r="X1513">
        <v>79.555897349270793</v>
      </c>
      <c r="Y1513">
        <v>-4.4558973492707992</v>
      </c>
      <c r="Z1513">
        <v>79.593066425148351</v>
      </c>
      <c r="AA1513">
        <v>0.76288659793814428</v>
      </c>
      <c r="AB1513">
        <v>79.8</v>
      </c>
      <c r="AC1513">
        <v>0.70876261491573156</v>
      </c>
      <c r="AD1513">
        <v>-0.60363694302165583</v>
      </c>
      <c r="AE1513">
        <v>1.4779309781006609</v>
      </c>
      <c r="AF1513">
        <v>8.2725409242828795E-3</v>
      </c>
      <c r="AG1513">
        <v>-0.60614934744594118</v>
      </c>
      <c r="AH1513">
        <v>1.4863259493493517</v>
      </c>
      <c r="AI1513">
        <v>1.7026812943611924E-4</v>
      </c>
    </row>
    <row r="1514" spans="23:35" x14ac:dyDescent="0.25">
      <c r="W1514">
        <v>1512</v>
      </c>
      <c r="X1514">
        <v>85.123632091012752</v>
      </c>
      <c r="Y1514">
        <v>-10.223632091012746</v>
      </c>
      <c r="Z1514">
        <v>85.16685004748301</v>
      </c>
      <c r="AA1514">
        <v>0.74833232261976956</v>
      </c>
      <c r="AB1514">
        <v>79.8</v>
      </c>
      <c r="AC1514">
        <v>0.64941472986293525</v>
      </c>
      <c r="AD1514">
        <v>-1.3849874757565874</v>
      </c>
      <c r="AE1514">
        <v>1.4795750366973008</v>
      </c>
      <c r="AF1514">
        <v>4.2094660261311296E-3</v>
      </c>
      <c r="AG1514">
        <v>-1.3879117400583014</v>
      </c>
      <c r="AH1514">
        <v>1.4867981750350852</v>
      </c>
      <c r="AI1514">
        <v>4.5238709639394334E-4</v>
      </c>
    </row>
    <row r="1515" spans="23:35" x14ac:dyDescent="0.25">
      <c r="W1515">
        <v>1513</v>
      </c>
      <c r="X1515">
        <v>84.455601536204057</v>
      </c>
      <c r="Y1515">
        <v>-9.5556015362040512</v>
      </c>
      <c r="Z1515">
        <v>84.49495470447404</v>
      </c>
      <c r="AA1515">
        <v>0.74833232261976956</v>
      </c>
      <c r="AB1515">
        <v>79.8</v>
      </c>
      <c r="AC1515">
        <v>0.64941472986293525</v>
      </c>
      <c r="AD1515">
        <v>-1.2944898968534799</v>
      </c>
      <c r="AE1515">
        <v>1.4810924513401122</v>
      </c>
      <c r="AF1515">
        <v>4.1014438819223344E-3</v>
      </c>
      <c r="AG1515">
        <v>-1.2971527295869427</v>
      </c>
      <c r="AH1515">
        <v>1.4924880254025892</v>
      </c>
      <c r="AI1515">
        <v>3.8497399474228002E-4</v>
      </c>
    </row>
    <row r="1516" spans="23:35" x14ac:dyDescent="0.25">
      <c r="W1516">
        <v>1514</v>
      </c>
      <c r="X1516">
        <v>84.197758303744109</v>
      </c>
      <c r="Y1516">
        <v>-9.3977583037441121</v>
      </c>
      <c r="Z1516">
        <v>84.23586784061095</v>
      </c>
      <c r="AA1516">
        <v>0.74166161309884782</v>
      </c>
      <c r="AB1516">
        <v>79.8</v>
      </c>
      <c r="AC1516">
        <v>0.63261352584071384</v>
      </c>
      <c r="AD1516">
        <v>-1.2731069971028008</v>
      </c>
      <c r="AE1516">
        <v>1.4827291621658318</v>
      </c>
      <c r="AF1516">
        <v>4.038795107199955E-3</v>
      </c>
      <c r="AG1516">
        <v>-1.2756857200928764</v>
      </c>
      <c r="AH1516">
        <v>1.5008628133458024</v>
      </c>
      <c r="AI1516">
        <v>3.6662686282250685E-4</v>
      </c>
    </row>
    <row r="1517" spans="23:35" x14ac:dyDescent="0.25">
      <c r="W1517">
        <v>1515</v>
      </c>
      <c r="X1517">
        <v>83.268770362092766</v>
      </c>
      <c r="Y1517">
        <v>-8.4687703620927692</v>
      </c>
      <c r="Z1517">
        <v>83.303865530507736</v>
      </c>
      <c r="AA1517">
        <v>0.74166161309884782</v>
      </c>
      <c r="AB1517">
        <v>79.900000000000006</v>
      </c>
      <c r="AC1517">
        <v>0.63261352584071384</v>
      </c>
      <c r="AD1517">
        <v>-1.1472577242746989</v>
      </c>
      <c r="AE1517">
        <v>1.4869641035116867</v>
      </c>
      <c r="AF1517">
        <v>4.1269665294050416E-3</v>
      </c>
      <c r="AG1517">
        <v>-1.1496324241523004</v>
      </c>
      <c r="AH1517">
        <v>1.5093894196932778</v>
      </c>
      <c r="AI1517">
        <v>3.0427934814838617E-4</v>
      </c>
    </row>
    <row r="1518" spans="23:35" x14ac:dyDescent="0.25">
      <c r="W1518">
        <v>1516</v>
      </c>
      <c r="X1518">
        <v>82.838229226789181</v>
      </c>
      <c r="Y1518">
        <v>-8.1382292267891785</v>
      </c>
      <c r="Z1518">
        <v>82.870408649570294</v>
      </c>
      <c r="AA1518">
        <v>0.7362037598544573</v>
      </c>
      <c r="AB1518">
        <v>79.900000000000006</v>
      </c>
      <c r="AC1518">
        <v>0.61415241452626612</v>
      </c>
      <c r="AD1518">
        <v>-1.1024795741473807</v>
      </c>
      <c r="AE1518">
        <v>1.4965249117919195</v>
      </c>
      <c r="AF1518">
        <v>3.9385328398239029E-3</v>
      </c>
      <c r="AG1518">
        <v>-1.1046570844134262</v>
      </c>
      <c r="AH1518">
        <v>1.5094998553153878</v>
      </c>
      <c r="AI1518">
        <v>2.6805924528399056E-4</v>
      </c>
    </row>
    <row r="1519" spans="23:35" x14ac:dyDescent="0.25">
      <c r="W1519">
        <v>1517</v>
      </c>
      <c r="X1519">
        <v>82.029183423935734</v>
      </c>
      <c r="Y1519">
        <v>-7.3291834239357314</v>
      </c>
      <c r="Z1519">
        <v>82.059669878791198</v>
      </c>
      <c r="AA1519">
        <v>0.7362037598544573</v>
      </c>
      <c r="AB1519">
        <v>79.900000000000006</v>
      </c>
      <c r="AC1519">
        <v>0.61415241452626612</v>
      </c>
      <c r="AD1519">
        <v>-0.99287876943430153</v>
      </c>
      <c r="AE1519">
        <v>1.5004438611814088</v>
      </c>
      <c r="AF1519">
        <v>4.1423671655860042E-3</v>
      </c>
      <c r="AG1519">
        <v>-0.99494161465488284</v>
      </c>
      <c r="AH1519">
        <v>1.51062442389853</v>
      </c>
      <c r="AI1519">
        <v>2.2875680460364019E-4</v>
      </c>
    </row>
    <row r="1520" spans="23:35" x14ac:dyDescent="0.25">
      <c r="W1520">
        <v>1518</v>
      </c>
      <c r="X1520">
        <v>81.669264142338506</v>
      </c>
      <c r="Y1520">
        <v>-7.0692641423385112</v>
      </c>
      <c r="Z1520">
        <v>81.697944634572011</v>
      </c>
      <c r="AA1520">
        <v>0.73013947847180105</v>
      </c>
      <c r="AB1520">
        <v>79.900000000000006</v>
      </c>
      <c r="AC1520">
        <v>0.59589828697336056</v>
      </c>
      <c r="AD1520">
        <v>-0.95766770681828173</v>
      </c>
      <c r="AE1520">
        <v>1.504138709440429</v>
      </c>
      <c r="AF1520">
        <v>4.0406756758585502E-3</v>
      </c>
      <c r="AG1520">
        <v>-0.95960840239797396</v>
      </c>
      <c r="AH1520">
        <v>1.5126302395054572</v>
      </c>
      <c r="AI1520">
        <v>2.0755250068573363E-4</v>
      </c>
    </row>
    <row r="1521" spans="23:35" x14ac:dyDescent="0.25">
      <c r="W1521">
        <v>1519</v>
      </c>
      <c r="X1521">
        <v>81.219405231499337</v>
      </c>
      <c r="Y1521">
        <v>-6.8194052314993314</v>
      </c>
      <c r="Z1521">
        <v>81.246222033977304</v>
      </c>
      <c r="AA1521">
        <v>0.71376591873862949</v>
      </c>
      <c r="AB1521">
        <v>79.900000000000006</v>
      </c>
      <c r="AC1521">
        <v>0.54051528578164909</v>
      </c>
      <c r="AD1521">
        <v>-0.92381951479241176</v>
      </c>
      <c r="AE1521">
        <v>1.5142061921274095</v>
      </c>
      <c r="AF1521">
        <v>3.9170220224939338E-3</v>
      </c>
      <c r="AG1521">
        <v>-0.92563415822681216</v>
      </c>
      <c r="AH1521">
        <v>1.5219799838049382</v>
      </c>
      <c r="AI1521">
        <v>1.871831429917921E-4</v>
      </c>
    </row>
    <row r="1522" spans="23:35" x14ac:dyDescent="0.25">
      <c r="W1522">
        <v>1520</v>
      </c>
      <c r="X1522">
        <v>80.091416993277051</v>
      </c>
      <c r="Y1522">
        <v>-5.8914169932770477</v>
      </c>
      <c r="Z1522">
        <v>80.113572555272853</v>
      </c>
      <c r="AA1522">
        <v>0.7010309278350515</v>
      </c>
      <c r="AB1522">
        <v>79.900000000000006</v>
      </c>
      <c r="AC1522">
        <v>0.5039283835636299</v>
      </c>
      <c r="AD1522">
        <v>-0.79810567100913388</v>
      </c>
      <c r="AE1522">
        <v>1.5201400809601888</v>
      </c>
      <c r="AF1522">
        <v>3.7465612857067909E-3</v>
      </c>
      <c r="AG1522">
        <v>-0.7996049611180851</v>
      </c>
      <c r="AH1522">
        <v>1.5273646893235691</v>
      </c>
      <c r="AI1522">
        <v>1.3358000722330331E-4</v>
      </c>
    </row>
    <row r="1523" spans="23:35" x14ac:dyDescent="0.25">
      <c r="W1523">
        <v>1521</v>
      </c>
      <c r="X1523">
        <v>78.916998399492002</v>
      </c>
      <c r="Y1523">
        <v>-4.9169983994920017</v>
      </c>
      <c r="Z1523">
        <v>78.934646653667841</v>
      </c>
      <c r="AA1523">
        <v>0.68465736810187994</v>
      </c>
      <c r="AB1523">
        <v>80</v>
      </c>
      <c r="AC1523">
        <v>0.4663087141536239</v>
      </c>
      <c r="AD1523">
        <v>-0.66610194312430659</v>
      </c>
      <c r="AE1523">
        <v>1.525372209674529</v>
      </c>
      <c r="AF1523">
        <v>3.5763967340430389E-3</v>
      </c>
      <c r="AG1523">
        <v>-0.66729627002787129</v>
      </c>
      <c r="AH1523">
        <v>1.5353364256921838</v>
      </c>
      <c r="AI1523">
        <v>8.8790514502344587E-5</v>
      </c>
    </row>
    <row r="1524" spans="23:35" x14ac:dyDescent="0.25">
      <c r="W1524">
        <v>1522</v>
      </c>
      <c r="X1524">
        <v>73.207922381128697</v>
      </c>
      <c r="Y1524">
        <v>0.4920776188713063</v>
      </c>
      <c r="Z1524">
        <v>73.20452727873996</v>
      </c>
      <c r="AA1524">
        <v>0.66040024257125529</v>
      </c>
      <c r="AB1524">
        <v>80</v>
      </c>
      <c r="AC1524">
        <v>0.39787592189543292</v>
      </c>
      <c r="AD1524">
        <v>6.6661371728740634E-2</v>
      </c>
      <c r="AE1524">
        <v>1.5341006829838393</v>
      </c>
      <c r="AF1524">
        <v>6.8522488586260678E-3</v>
      </c>
      <c r="AG1524">
        <v>6.6890942365273084E-2</v>
      </c>
      <c r="AH1524">
        <v>1.5412588083422127</v>
      </c>
      <c r="AI1524">
        <v>1.7150681715288848E-6</v>
      </c>
    </row>
    <row r="1525" spans="23:35" x14ac:dyDescent="0.25">
      <c r="W1525">
        <v>1523</v>
      </c>
      <c r="X1525">
        <v>77.414731148464426</v>
      </c>
      <c r="Y1525">
        <v>-3.9147311484644263</v>
      </c>
      <c r="Z1525">
        <v>77.428395986500902</v>
      </c>
      <c r="AA1525">
        <v>0.64463311097634934</v>
      </c>
      <c r="AB1525">
        <v>80</v>
      </c>
      <c r="AC1525">
        <v>0.35220887014201224</v>
      </c>
      <c r="AD1525">
        <v>-0.53032557933531299</v>
      </c>
      <c r="AE1525">
        <v>1.53715800942349</v>
      </c>
      <c r="AF1525">
        <v>3.4784777510800616E-3</v>
      </c>
      <c r="AG1525">
        <v>-0.53125035551016786</v>
      </c>
      <c r="AH1525">
        <v>1.5486694887973469</v>
      </c>
      <c r="AI1525">
        <v>5.4730385781713235E-5</v>
      </c>
    </row>
    <row r="1526" spans="23:35" x14ac:dyDescent="0.25">
      <c r="W1526">
        <v>1524</v>
      </c>
      <c r="X1526">
        <v>76.927341293827823</v>
      </c>
      <c r="Y1526">
        <v>-3.7273412938278199</v>
      </c>
      <c r="Z1526">
        <v>76.940871983583037</v>
      </c>
      <c r="AA1526">
        <v>0.62340812613705276</v>
      </c>
      <c r="AB1526">
        <v>80</v>
      </c>
      <c r="AC1526">
        <v>0.29295400660571058</v>
      </c>
      <c r="AD1526">
        <v>-0.50494002169345553</v>
      </c>
      <c r="AE1526">
        <v>1.5439653342813064</v>
      </c>
      <c r="AF1526">
        <v>3.6169881820573195E-3</v>
      </c>
      <c r="AG1526">
        <v>-0.50585568745324883</v>
      </c>
      <c r="AH1526">
        <v>1.5492342275614479</v>
      </c>
      <c r="AI1526">
        <v>5.1606160038290454E-5</v>
      </c>
    </row>
    <row r="1527" spans="23:35" x14ac:dyDescent="0.25">
      <c r="W1527">
        <v>1525</v>
      </c>
      <c r="X1527">
        <v>76.956658004631095</v>
      </c>
      <c r="Y1527">
        <v>-4.0566580046310889</v>
      </c>
      <c r="Z1527">
        <v>76.965561213924133</v>
      </c>
      <c r="AA1527">
        <v>0.58762886597938147</v>
      </c>
      <c r="AB1527">
        <v>80</v>
      </c>
      <c r="AC1527">
        <v>0.206674078513852</v>
      </c>
      <c r="AD1527">
        <v>-0.54955229998747046</v>
      </c>
      <c r="AE1527">
        <v>1.5452749147752305</v>
      </c>
      <c r="AF1527">
        <v>2.1899090493434307E-3</v>
      </c>
      <c r="AG1527">
        <v>-0.5501550248802618</v>
      </c>
      <c r="AH1527">
        <v>1.5514726760835538</v>
      </c>
      <c r="AI1527">
        <v>3.6904204600659309E-5</v>
      </c>
    </row>
    <row r="1528" spans="23:35" x14ac:dyDescent="0.25">
      <c r="W1528">
        <v>1526</v>
      </c>
      <c r="X1528">
        <v>81.246569892419899</v>
      </c>
      <c r="Y1528">
        <v>-5.7465698924198989</v>
      </c>
      <c r="Z1528">
        <v>81.302298762943195</v>
      </c>
      <c r="AA1528">
        <v>0.78411158277744086</v>
      </c>
      <c r="AB1528">
        <v>80</v>
      </c>
      <c r="AC1528">
        <v>0.77276680816182786</v>
      </c>
      <c r="AD1528">
        <v>-0.77848334708345646</v>
      </c>
      <c r="AE1528">
        <v>1.5462947341966733</v>
      </c>
      <c r="AF1528">
        <v>9.6046192724875447E-3</v>
      </c>
      <c r="AG1528">
        <v>-0.78224901281808379</v>
      </c>
      <c r="AH1528">
        <v>1.5572210266517237</v>
      </c>
      <c r="AI1528">
        <v>3.2967733464904069E-4</v>
      </c>
    </row>
    <row r="1529" spans="23:35" x14ac:dyDescent="0.25">
      <c r="W1529">
        <v>1527</v>
      </c>
      <c r="X1529">
        <v>80.717317450535916</v>
      </c>
      <c r="Y1529">
        <v>-5.5173174505359128</v>
      </c>
      <c r="Z1529">
        <v>80.781304475420441</v>
      </c>
      <c r="AA1529">
        <v>0.76652516676773808</v>
      </c>
      <c r="AB1529">
        <v>80</v>
      </c>
      <c r="AC1529">
        <v>0.71660092108895201</v>
      </c>
      <c r="AD1529">
        <v>-0.74742669735570955</v>
      </c>
      <c r="AE1529">
        <v>1.5574743895893035</v>
      </c>
      <c r="AF1529">
        <v>1.1464528618052208E-2</v>
      </c>
      <c r="AG1529">
        <v>-0.75174833963630172</v>
      </c>
      <c r="AH1529">
        <v>1.5635078375162832</v>
      </c>
      <c r="AI1529">
        <v>3.6411317625567331E-4</v>
      </c>
    </row>
    <row r="1530" spans="23:35" x14ac:dyDescent="0.25">
      <c r="W1530">
        <v>1528</v>
      </c>
      <c r="X1530">
        <v>82.356248950441056</v>
      </c>
      <c r="Y1530">
        <v>-7.5562489504410593</v>
      </c>
      <c r="Z1530">
        <v>82.3859895822239</v>
      </c>
      <c r="AA1530">
        <v>0.74166161309884782</v>
      </c>
      <c r="AB1530">
        <v>80</v>
      </c>
      <c r="AC1530">
        <v>0.63261352584071384</v>
      </c>
      <c r="AD1530">
        <v>-1.0236391594391812</v>
      </c>
      <c r="AE1530">
        <v>1.5580585372104929</v>
      </c>
      <c r="AF1530">
        <v>3.9204683133930267E-3</v>
      </c>
      <c r="AG1530">
        <v>-1.0256516512534957</v>
      </c>
      <c r="AH1530">
        <v>1.5686286987426001</v>
      </c>
      <c r="AI1530">
        <v>2.3002296338758349E-4</v>
      </c>
    </row>
    <row r="1531" spans="23:35" x14ac:dyDescent="0.25">
      <c r="W1531">
        <v>1529</v>
      </c>
      <c r="X1531">
        <v>81.058296723410024</v>
      </c>
      <c r="Y1531">
        <v>-6.5582967234100238</v>
      </c>
      <c r="Z1531">
        <v>81.080316130862002</v>
      </c>
      <c r="AA1531">
        <v>0.72407519708914492</v>
      </c>
      <c r="AB1531">
        <v>80</v>
      </c>
      <c r="AC1531">
        <v>0.56531175535073552</v>
      </c>
      <c r="AD1531">
        <v>-0.88844734858984686</v>
      </c>
      <c r="AE1531">
        <v>1.5720834045637131</v>
      </c>
      <c r="AF1531">
        <v>3.3462537382832769E-3</v>
      </c>
      <c r="AG1531">
        <v>-0.88993757477145452</v>
      </c>
      <c r="AH1531">
        <v>1.5803389032430717</v>
      </c>
      <c r="AI1531">
        <v>1.4772743201437106E-4</v>
      </c>
    </row>
    <row r="1532" spans="23:35" x14ac:dyDescent="0.25">
      <c r="W1532">
        <v>1530</v>
      </c>
      <c r="X1532">
        <v>78.243615232676191</v>
      </c>
      <c r="Y1532">
        <v>-4.0436152326761885</v>
      </c>
      <c r="Z1532">
        <v>78.258052152092773</v>
      </c>
      <c r="AA1532">
        <v>0.7010309278350515</v>
      </c>
      <c r="AB1532">
        <v>81</v>
      </c>
      <c r="AC1532">
        <v>0.5039283835636299</v>
      </c>
      <c r="AD1532">
        <v>-0.54778540583029844</v>
      </c>
      <c r="AE1532">
        <v>1.5831935757519568</v>
      </c>
      <c r="AF1532">
        <v>3.557598294822834E-3</v>
      </c>
      <c r="AG1532">
        <v>-0.54876241366843992</v>
      </c>
      <c r="AH1532">
        <v>1.5974122848963879</v>
      </c>
      <c r="AI1532">
        <v>5.9731155821833553E-5</v>
      </c>
    </row>
    <row r="1533" spans="23:35" x14ac:dyDescent="0.25">
      <c r="W1533">
        <v>1531</v>
      </c>
      <c r="X1533">
        <v>77.757128891793172</v>
      </c>
      <c r="Y1533">
        <v>-3.8571288917931668</v>
      </c>
      <c r="Z1533">
        <v>77.770964030030413</v>
      </c>
      <c r="AA1533">
        <v>0.67919951485748942</v>
      </c>
      <c r="AB1533">
        <v>81</v>
      </c>
      <c r="AC1533">
        <v>0.43434378704136062</v>
      </c>
      <c r="AD1533">
        <v>-0.52252224649285461</v>
      </c>
      <c r="AE1533">
        <v>1.5867927996832734</v>
      </c>
      <c r="AF1533">
        <v>3.5740808051710543E-3</v>
      </c>
      <c r="AG1533">
        <v>-0.52345852535967541</v>
      </c>
      <c r="AH1533">
        <v>1.6043185316373507</v>
      </c>
      <c r="AI1533">
        <v>5.4602358340101932E-5</v>
      </c>
    </row>
    <row r="1534" spans="23:35" x14ac:dyDescent="0.25">
      <c r="W1534">
        <v>1532</v>
      </c>
      <c r="X1534">
        <v>72.902773076301372</v>
      </c>
      <c r="Y1534">
        <v>0.59722692369862784</v>
      </c>
      <c r="Z1534">
        <v>72.89935958170966</v>
      </c>
      <c r="AA1534">
        <v>0.64463311097634934</v>
      </c>
      <c r="AB1534">
        <v>81</v>
      </c>
      <c r="AC1534">
        <v>0.35220887014201224</v>
      </c>
      <c r="AD1534">
        <v>8.0905866148524269E-2</v>
      </c>
      <c r="AE1534">
        <v>1.5972903915392773</v>
      </c>
      <c r="AF1534">
        <v>5.6830917263760682E-3</v>
      </c>
      <c r="AG1534">
        <v>8.1136748439099807E-2</v>
      </c>
      <c r="AH1534">
        <v>1.6251046429714266</v>
      </c>
      <c r="AI1534">
        <v>2.0903669709510255E-6</v>
      </c>
    </row>
    <row r="1535" spans="23:35" x14ac:dyDescent="0.25">
      <c r="W1535">
        <v>1533</v>
      </c>
      <c r="X1535">
        <v>76.75881400510626</v>
      </c>
      <c r="Y1535">
        <v>-3.5588140051062567</v>
      </c>
      <c r="Z1535">
        <v>76.77092651109237</v>
      </c>
      <c r="AA1535">
        <v>0.62340812613705276</v>
      </c>
      <c r="AB1535">
        <v>81</v>
      </c>
      <c r="AC1535">
        <v>0.29295400660571058</v>
      </c>
      <c r="AD1535">
        <v>-0.48210976116327076</v>
      </c>
      <c r="AE1535">
        <v>1.6133096877078923</v>
      </c>
      <c r="AF1535">
        <v>3.3919785099161656E-3</v>
      </c>
      <c r="AG1535">
        <v>-0.48292950013110791</v>
      </c>
      <c r="AH1535">
        <v>1.629961050644205</v>
      </c>
      <c r="AI1535">
        <v>4.4098486004395911E-5</v>
      </c>
    </row>
    <row r="1536" spans="23:35" x14ac:dyDescent="0.25">
      <c r="W1536">
        <v>1534</v>
      </c>
      <c r="X1536">
        <v>62.784629091663888</v>
      </c>
      <c r="Y1536">
        <v>10.015370908336109</v>
      </c>
      <c r="Z1536">
        <v>62.60348702769388</v>
      </c>
      <c r="AA1536">
        <v>0.58156458459672533</v>
      </c>
      <c r="AB1536">
        <v>81</v>
      </c>
      <c r="AC1536">
        <v>0.18343432307636306</v>
      </c>
      <c r="AD1536">
        <v>1.3567744955626939</v>
      </c>
      <c r="AE1536">
        <v>1.6170411459497622</v>
      </c>
      <c r="AF1536">
        <v>1.7765099153209674E-2</v>
      </c>
      <c r="AG1536">
        <v>1.3689891006327244</v>
      </c>
      <c r="AH1536">
        <v>1.6330265553394101</v>
      </c>
      <c r="AI1536">
        <v>1.8831276065254669E-3</v>
      </c>
    </row>
    <row r="1537" spans="23:35" x14ac:dyDescent="0.25">
      <c r="W1537">
        <v>1535</v>
      </c>
      <c r="X1537">
        <v>62.573487194328081</v>
      </c>
      <c r="Y1537">
        <v>9.8265128056719249</v>
      </c>
      <c r="Z1537">
        <v>62.388719758095142</v>
      </c>
      <c r="AA1537">
        <v>0.55124317768344455</v>
      </c>
      <c r="AB1537">
        <v>81</v>
      </c>
      <c r="AC1537">
        <v>0.11578501997911882</v>
      </c>
      <c r="AD1537">
        <v>1.3311900355042199</v>
      </c>
      <c r="AE1537">
        <v>1.618988122495493</v>
      </c>
      <c r="AF1537">
        <v>1.8455924893555953E-2</v>
      </c>
      <c r="AG1537">
        <v>1.3436469020745556</v>
      </c>
      <c r="AH1537">
        <v>1.6335368715121681</v>
      </c>
      <c r="AI1537">
        <v>1.8859223766736135E-3</v>
      </c>
    </row>
    <row r="1538" spans="23:35" x14ac:dyDescent="0.25">
      <c r="W1538">
        <v>1536</v>
      </c>
      <c r="X1538">
        <v>74.092261718766338</v>
      </c>
      <c r="Y1538">
        <v>-2.0922617187663377</v>
      </c>
      <c r="Z1538">
        <v>74.098285908819548</v>
      </c>
      <c r="AA1538">
        <v>0.52516676773802307</v>
      </c>
      <c r="AB1538">
        <v>81</v>
      </c>
      <c r="AC1538">
        <v>4.1053957112594373E-2</v>
      </c>
      <c r="AD1538">
        <v>-0.28343706529146817</v>
      </c>
      <c r="AE1538">
        <v>1.6295595694343896</v>
      </c>
      <c r="AF1538">
        <v>2.8710053419774926E-3</v>
      </c>
      <c r="AG1538">
        <v>-0.2838448181616155</v>
      </c>
      <c r="AH1538">
        <v>1.6342163286912392</v>
      </c>
      <c r="AI1538">
        <v>1.2887601269900529E-5</v>
      </c>
    </row>
    <row r="1539" spans="23:35" x14ac:dyDescent="0.25">
      <c r="W1539">
        <v>1537</v>
      </c>
      <c r="X1539">
        <v>70.542893669489814</v>
      </c>
      <c r="Y1539">
        <v>1.0571063305101802</v>
      </c>
      <c r="Z1539">
        <v>70.539917817427778</v>
      </c>
      <c r="AA1539">
        <v>0.49787750151607035</v>
      </c>
      <c r="AB1539">
        <v>81</v>
      </c>
      <c r="AC1539">
        <v>-2.1282865457297767E-2</v>
      </c>
      <c r="AD1539">
        <v>0.14320537117005866</v>
      </c>
      <c r="AE1539">
        <v>1.6411434681259953</v>
      </c>
      <c r="AF1539">
        <v>2.8071899622117077E-3</v>
      </c>
      <c r="AG1539">
        <v>0.14340679769152828</v>
      </c>
      <c r="AH1539">
        <v>1.651321444135248</v>
      </c>
      <c r="AI1539">
        <v>3.2163228394485238E-6</v>
      </c>
    </row>
    <row r="1540" spans="23:35" x14ac:dyDescent="0.25">
      <c r="W1540">
        <v>1538</v>
      </c>
      <c r="X1540">
        <v>71.051447480185203</v>
      </c>
      <c r="Y1540">
        <v>0.14855251981479967</v>
      </c>
      <c r="Z1540">
        <v>71.051060029519391</v>
      </c>
      <c r="AA1540">
        <v>0.47907822922983628</v>
      </c>
      <c r="AB1540">
        <v>81</v>
      </c>
      <c r="AC1540">
        <v>-6.3887210036911155E-2</v>
      </c>
      <c r="AD1540">
        <v>2.0124294145565151E-2</v>
      </c>
      <c r="AE1540">
        <v>1.6465405004770615</v>
      </c>
      <c r="AF1540">
        <v>2.6013880932610456E-3</v>
      </c>
      <c r="AG1540">
        <v>2.0150520875687611E-2</v>
      </c>
      <c r="AH1540">
        <v>1.660318363543918</v>
      </c>
      <c r="AI1540">
        <v>5.8835092035346989E-8</v>
      </c>
    </row>
    <row r="1541" spans="23:35" x14ac:dyDescent="0.25">
      <c r="W1541">
        <v>1539</v>
      </c>
      <c r="X1541">
        <v>70.480286752642684</v>
      </c>
      <c r="Y1541">
        <v>7.5197132473573163</v>
      </c>
      <c r="Z1541">
        <v>70.395305847551782</v>
      </c>
      <c r="AA1541">
        <v>0.86294724075197093</v>
      </c>
      <c r="AB1541">
        <v>81</v>
      </c>
      <c r="AC1541">
        <v>1.0491313979639725</v>
      </c>
      <c r="AD1541">
        <v>1.0186896962016074</v>
      </c>
      <c r="AE1541">
        <v>1.6476915170678117</v>
      </c>
      <c r="AF1541">
        <v>1.1174795907280922E-2</v>
      </c>
      <c r="AG1541">
        <v>1.0244296732810214</v>
      </c>
      <c r="AH1541">
        <v>1.6655138960866867</v>
      </c>
      <c r="AI1541">
        <v>6.5888840744201562E-4</v>
      </c>
    </row>
    <row r="1542" spans="23:35" x14ac:dyDescent="0.25">
      <c r="W1542">
        <v>1540</v>
      </c>
      <c r="X1542">
        <v>69.531690833851229</v>
      </c>
      <c r="Y1542">
        <v>4.4683091661487708</v>
      </c>
      <c r="Z1542">
        <v>69.512716617388719</v>
      </c>
      <c r="AA1542">
        <v>0.68465736810187994</v>
      </c>
      <c r="AB1542">
        <v>81</v>
      </c>
      <c r="AC1542">
        <v>0.4663087141536239</v>
      </c>
      <c r="AD1542">
        <v>0.60531836218603341</v>
      </c>
      <c r="AE1542">
        <v>1.6481393846334851</v>
      </c>
      <c r="AF1542">
        <v>4.2284417641285594E-3</v>
      </c>
      <c r="AG1542">
        <v>0.60660221185806384</v>
      </c>
      <c r="AH1542">
        <v>1.6680596858746166</v>
      </c>
      <c r="AI1542">
        <v>8.6807272357730835E-5</v>
      </c>
    </row>
    <row r="1543" spans="23:35" x14ac:dyDescent="0.25">
      <c r="W1543">
        <v>1541</v>
      </c>
      <c r="X1543">
        <v>67.61854580709192</v>
      </c>
      <c r="Y1543">
        <v>-1.6185458070919196</v>
      </c>
      <c r="Z1543">
        <v>67.625826988743782</v>
      </c>
      <c r="AA1543">
        <v>0.31109763493026077</v>
      </c>
      <c r="AB1543">
        <v>81</v>
      </c>
      <c r="AC1543">
        <v>-0.50738317096904828</v>
      </c>
      <c r="AD1543">
        <v>-0.21926313973399136</v>
      </c>
      <c r="AE1543">
        <v>1.6579697632797123</v>
      </c>
      <c r="AF1543">
        <v>4.4784480158581623E-3</v>
      </c>
      <c r="AG1543">
        <v>-0.21975577431823931</v>
      </c>
      <c r="AH1543">
        <v>1.6703955912201969</v>
      </c>
      <c r="AI1543">
        <v>1.2069379879323784E-5</v>
      </c>
    </row>
    <row r="1544" spans="23:35" x14ac:dyDescent="0.25">
      <c r="W1544">
        <v>1542</v>
      </c>
      <c r="X1544">
        <v>67.334620465468717</v>
      </c>
      <c r="Y1544">
        <v>-1.9346204654687114</v>
      </c>
      <c r="Z1544">
        <v>67.343858964313739</v>
      </c>
      <c r="AA1544">
        <v>0.28684050939963612</v>
      </c>
      <c r="AB1544">
        <v>81</v>
      </c>
      <c r="AC1544">
        <v>-0.57067028430202504</v>
      </c>
      <c r="AD1544">
        <v>-0.26208152750057762</v>
      </c>
      <c r="AE1544">
        <v>1.6644824393020781</v>
      </c>
      <c r="AF1544">
        <v>4.752659022398604E-3</v>
      </c>
      <c r="AG1544">
        <v>-0.26270654833637036</v>
      </c>
      <c r="AH1544">
        <v>1.686666080348483</v>
      </c>
      <c r="AI1544">
        <v>1.8309434151508649E-5</v>
      </c>
    </row>
    <row r="1545" spans="23:35" x14ac:dyDescent="0.25">
      <c r="W1545">
        <v>1543</v>
      </c>
      <c r="X1545">
        <v>64.175841560498228</v>
      </c>
      <c r="Y1545">
        <v>1.4241584395017668</v>
      </c>
      <c r="Z1545">
        <v>64.168939905490078</v>
      </c>
      <c r="AA1545">
        <v>0.29411764705882354</v>
      </c>
      <c r="AB1545">
        <v>81</v>
      </c>
      <c r="AC1545">
        <v>-0.55287102664223609</v>
      </c>
      <c r="AD1545">
        <v>0.19292963446297134</v>
      </c>
      <c r="AE1545">
        <v>1.6720926905753353</v>
      </c>
      <c r="AF1545">
        <v>4.8227569440497933E-3</v>
      </c>
      <c r="AG1545">
        <v>0.19339655037699705</v>
      </c>
      <c r="AH1545">
        <v>1.6904249353978733</v>
      </c>
      <c r="AI1545">
        <v>1.0069777629242472E-5</v>
      </c>
    </row>
    <row r="1546" spans="23:35" x14ac:dyDescent="0.25">
      <c r="W1546">
        <v>1544</v>
      </c>
      <c r="X1546">
        <v>66.156842923349558</v>
      </c>
      <c r="Y1546">
        <v>-0.55684292334956353</v>
      </c>
      <c r="Z1546">
        <v>66.159448735559266</v>
      </c>
      <c r="AA1546">
        <v>0.29411764705882354</v>
      </c>
      <c r="AB1546">
        <v>81.099999999999994</v>
      </c>
      <c r="AC1546">
        <v>-0.55287102664223609</v>
      </c>
      <c r="AD1546">
        <v>-7.5435077078016638E-2</v>
      </c>
      <c r="AE1546">
        <v>1.6741919755436185</v>
      </c>
      <c r="AF1546">
        <v>4.6578212516829379E-3</v>
      </c>
      <c r="AG1546">
        <v>-7.5611374742451082E-2</v>
      </c>
      <c r="AH1546">
        <v>1.6925173739796284</v>
      </c>
      <c r="AI1546">
        <v>1.4863194925781216E-6</v>
      </c>
    </row>
    <row r="1547" spans="23:35" x14ac:dyDescent="0.25">
      <c r="W1547">
        <v>1545</v>
      </c>
      <c r="X1547">
        <v>53.090611424667074</v>
      </c>
      <c r="Y1547">
        <v>12.709388575332923</v>
      </c>
      <c r="Z1547">
        <v>52.816862160276592</v>
      </c>
      <c r="AA1547">
        <v>0.30078835657974529</v>
      </c>
      <c r="AB1547">
        <v>81.099999999999994</v>
      </c>
      <c r="AC1547">
        <v>-0.53349185558387491</v>
      </c>
      <c r="AD1547">
        <v>1.7217309704281698</v>
      </c>
      <c r="AE1547">
        <v>1.6796330598481286</v>
      </c>
      <c r="AF1547">
        <v>2.108498482954654E-2</v>
      </c>
      <c r="AG1547">
        <v>1.7401744849899123</v>
      </c>
      <c r="AH1547">
        <v>1.6971932746874663</v>
      </c>
      <c r="AI1547">
        <v>3.6236095114878615E-3</v>
      </c>
    </row>
    <row r="1548" spans="23:35" x14ac:dyDescent="0.25">
      <c r="W1548">
        <v>1546</v>
      </c>
      <c r="X1548">
        <v>53.201367700160162</v>
      </c>
      <c r="Y1548">
        <v>12.398632299839832</v>
      </c>
      <c r="Z1548">
        <v>52.940762244527036</v>
      </c>
      <c r="AA1548">
        <v>0.29411764705882354</v>
      </c>
      <c r="AB1548">
        <v>81.099999999999994</v>
      </c>
      <c r="AC1548">
        <v>-0.55287102664223609</v>
      </c>
      <c r="AD1548">
        <v>1.6796330598481286</v>
      </c>
      <c r="AE1548">
        <v>1.6799063771755831</v>
      </c>
      <c r="AF1548">
        <v>2.0586188573672823E-2</v>
      </c>
      <c r="AG1548">
        <v>1.6971932746874663</v>
      </c>
      <c r="AH1548">
        <v>1.710456034390252</v>
      </c>
      <c r="AI1548">
        <v>3.3635649778912028E-3</v>
      </c>
    </row>
    <row r="1549" spans="23:35" x14ac:dyDescent="0.25">
      <c r="W1549">
        <v>1547</v>
      </c>
      <c r="X1549">
        <v>53.240082819125547</v>
      </c>
      <c r="Y1549">
        <v>11.259917180874453</v>
      </c>
      <c r="Z1549">
        <v>53.004319636768876</v>
      </c>
      <c r="AA1549">
        <v>0.25409338993329289</v>
      </c>
      <c r="AB1549">
        <v>81.099999999999994</v>
      </c>
      <c r="AC1549">
        <v>-0.6664012884495929</v>
      </c>
      <c r="AD1549">
        <v>1.525372209674529</v>
      </c>
      <c r="AE1549">
        <v>1.6874274789376442</v>
      </c>
      <c r="AF1549">
        <v>2.0508849838131782E-2</v>
      </c>
      <c r="AG1549">
        <v>1.5412588083422127</v>
      </c>
      <c r="AH1549">
        <v>1.7106416633340569</v>
      </c>
      <c r="AI1549">
        <v>2.7632452170616743E-3</v>
      </c>
    </row>
    <row r="1550" spans="23:35" x14ac:dyDescent="0.25">
      <c r="W1550">
        <v>1548</v>
      </c>
      <c r="X1550">
        <v>53.479837383171287</v>
      </c>
      <c r="Y1550">
        <v>10.620162616828708</v>
      </c>
      <c r="Z1550">
        <v>53.259007715089986</v>
      </c>
      <c r="AA1550">
        <v>0.24257125530624621</v>
      </c>
      <c r="AB1550">
        <v>81.099999999999994</v>
      </c>
      <c r="AC1550">
        <v>-0.70291235686137066</v>
      </c>
      <c r="AD1550">
        <v>1.4387051572147314</v>
      </c>
      <c r="AE1550">
        <v>1.6976653593228195</v>
      </c>
      <c r="AF1550">
        <v>2.0369875955790734E-2</v>
      </c>
      <c r="AG1550">
        <v>1.4535860107549625</v>
      </c>
      <c r="AH1550">
        <v>1.7201579418657882</v>
      </c>
      <c r="AI1550">
        <v>2.4408169873895405E-3</v>
      </c>
    </row>
    <row r="1551" spans="23:35" x14ac:dyDescent="0.25">
      <c r="W1551">
        <v>1549</v>
      </c>
      <c r="X1551">
        <v>53.61216871762948</v>
      </c>
      <c r="Y1551">
        <v>10.087831282370523</v>
      </c>
      <c r="Z1551">
        <v>53.406696232001735</v>
      </c>
      <c r="AA1551">
        <v>0.23408126137052759</v>
      </c>
      <c r="AB1551">
        <v>81.099999999999994</v>
      </c>
      <c r="AC1551">
        <v>-0.73042509746273321</v>
      </c>
      <c r="AD1551">
        <v>1.3665906459907322</v>
      </c>
      <c r="AE1551">
        <v>1.7004605662232699</v>
      </c>
      <c r="AF1551">
        <v>1.9961762545719769E-2</v>
      </c>
      <c r="AG1551">
        <v>1.3804380878356257</v>
      </c>
      <c r="AH1551">
        <v>1.7359963538833338</v>
      </c>
      <c r="AI1551">
        <v>2.1563399367809989E-3</v>
      </c>
    </row>
    <row r="1552" spans="23:35" x14ac:dyDescent="0.25">
      <c r="W1552">
        <v>1550</v>
      </c>
      <c r="X1552">
        <v>50.533357839216194</v>
      </c>
      <c r="Y1552">
        <v>12.766642160783803</v>
      </c>
      <c r="Z1552">
        <v>50.276745774824199</v>
      </c>
      <c r="AA1552">
        <v>0.22741055184960582</v>
      </c>
      <c r="AB1552">
        <v>81.2</v>
      </c>
      <c r="AC1552">
        <v>-0.75647701124006039</v>
      </c>
      <c r="AD1552">
        <v>1.7294870690519979</v>
      </c>
      <c r="AE1552">
        <v>1.7081276620357464</v>
      </c>
      <c r="AF1552">
        <v>1.9704143062486267E-2</v>
      </c>
      <c r="AG1552">
        <v>1.7467821112224164</v>
      </c>
      <c r="AH1552">
        <v>1.7393335727688999</v>
      </c>
      <c r="AI1552">
        <v>3.4072605985387633E-3</v>
      </c>
    </row>
    <row r="1553" spans="23:35" x14ac:dyDescent="0.25">
      <c r="W1553">
        <v>1551</v>
      </c>
      <c r="X1553">
        <v>50.712653071181876</v>
      </c>
      <c r="Y1553">
        <v>12.787346928818124</v>
      </c>
      <c r="Z1553">
        <v>50.462020612819749</v>
      </c>
      <c r="AA1553">
        <v>0.23226197695573075</v>
      </c>
      <c r="AB1553">
        <v>81.2</v>
      </c>
      <c r="AC1553">
        <v>-0.74038552290047832</v>
      </c>
      <c r="AD1553">
        <v>1.732291927849801</v>
      </c>
      <c r="AE1553">
        <v>1.7204908529785023</v>
      </c>
      <c r="AF1553">
        <v>1.9223259288825189E-2</v>
      </c>
      <c r="AG1553">
        <v>1.7491860402029284</v>
      </c>
      <c r="AH1553">
        <v>1.740055129163192</v>
      </c>
      <c r="AI1553">
        <v>3.3316269479643254E-3</v>
      </c>
    </row>
    <row r="1554" spans="23:35" x14ac:dyDescent="0.25">
      <c r="W1554">
        <v>1552</v>
      </c>
      <c r="X1554">
        <v>50.699765662360178</v>
      </c>
      <c r="Y1554">
        <v>12.70023433763982</v>
      </c>
      <c r="Z1554">
        <v>50.46981865977277</v>
      </c>
      <c r="AA1554">
        <v>0.22922983626440266</v>
      </c>
      <c r="AB1554">
        <v>81.2</v>
      </c>
      <c r="AC1554">
        <v>-0.74639716414434454</v>
      </c>
      <c r="AD1554">
        <v>1.7204908529785023</v>
      </c>
      <c r="AE1554">
        <v>1.7217309704281698</v>
      </c>
      <c r="AF1554">
        <v>1.7783741506549242E-2</v>
      </c>
      <c r="AG1554">
        <v>1.7359963538833338</v>
      </c>
      <c r="AH1554">
        <v>1.7401744849899123</v>
      </c>
      <c r="AI1554">
        <v>3.031385233258117E-3</v>
      </c>
    </row>
    <row r="1555" spans="23:35" x14ac:dyDescent="0.25">
      <c r="W1555">
        <v>1553</v>
      </c>
      <c r="X1555">
        <v>53.672947974814122</v>
      </c>
      <c r="Y1555">
        <v>9.6270520251858756</v>
      </c>
      <c r="Z1555">
        <v>53.48886807378716</v>
      </c>
      <c r="AA1555">
        <v>0.22741055184960582</v>
      </c>
      <c r="AB1555">
        <v>81.2</v>
      </c>
      <c r="AC1555">
        <v>-0.75647701124006039</v>
      </c>
      <c r="AD1555">
        <v>1.3041692389400854</v>
      </c>
      <c r="AE1555">
        <v>1.7280858923455504</v>
      </c>
      <c r="AF1555">
        <v>1.8762351012236167E-2</v>
      </c>
      <c r="AG1555">
        <v>1.3165787791945642</v>
      </c>
      <c r="AH1555">
        <v>1.7431429489962114</v>
      </c>
      <c r="AI1555">
        <v>1.8413411120490432E-3</v>
      </c>
    </row>
    <row r="1556" spans="23:35" x14ac:dyDescent="0.25">
      <c r="W1556">
        <v>1554</v>
      </c>
      <c r="X1556">
        <v>59.476895597251271</v>
      </c>
      <c r="Y1556">
        <v>2.0231044027487286</v>
      </c>
      <c r="Z1556">
        <v>59.468216539929024</v>
      </c>
      <c r="AA1556">
        <v>0.18677986658580958</v>
      </c>
      <c r="AB1556">
        <v>81.3</v>
      </c>
      <c r="AC1556">
        <v>-0.89095501331493132</v>
      </c>
      <c r="AD1556">
        <v>0.2740683775600769</v>
      </c>
      <c r="AE1556">
        <v>1.7294870690519979</v>
      </c>
      <c r="AF1556">
        <v>4.2716448346047341E-3</v>
      </c>
      <c r="AG1556">
        <v>0.27465562098740498</v>
      </c>
      <c r="AH1556">
        <v>1.7445228352757669</v>
      </c>
      <c r="AI1556">
        <v>1.7978718788142677E-5</v>
      </c>
    </row>
    <row r="1557" spans="23:35" x14ac:dyDescent="0.25">
      <c r="W1557">
        <v>1555</v>
      </c>
      <c r="X1557">
        <v>63.181978823364915</v>
      </c>
      <c r="Y1557">
        <v>3.8180211766350851</v>
      </c>
      <c r="Z1557">
        <v>63.166914672822813</v>
      </c>
      <c r="AA1557">
        <v>0.33959975742874471</v>
      </c>
      <c r="AB1557">
        <v>81.3</v>
      </c>
      <c r="AC1557">
        <v>-0.42600652312983872</v>
      </c>
      <c r="AD1557">
        <v>0.51722435478301776</v>
      </c>
      <c r="AE1557">
        <v>1.7299510542522085</v>
      </c>
      <c r="AF1557">
        <v>3.9300326646247424E-3</v>
      </c>
      <c r="AG1557">
        <v>0.51824371466180075</v>
      </c>
      <c r="AH1557">
        <v>1.7456030678371528</v>
      </c>
      <c r="AI1557">
        <v>5.8871065530142699E-5</v>
      </c>
    </row>
    <row r="1558" spans="23:35" x14ac:dyDescent="0.25">
      <c r="W1558">
        <v>1556</v>
      </c>
      <c r="X1558">
        <v>63.163002233503747</v>
      </c>
      <c r="Y1558">
        <v>-3.1630022335037467</v>
      </c>
      <c r="Z1558">
        <v>63.176070181804263</v>
      </c>
      <c r="AA1558">
        <v>0.17525773195876287</v>
      </c>
      <c r="AB1558">
        <v>81.3</v>
      </c>
      <c r="AC1558">
        <v>-0.93712127394454381</v>
      </c>
      <c r="AD1558">
        <v>-0.42848944877855544</v>
      </c>
      <c r="AE1558">
        <v>1.7309501488839105</v>
      </c>
      <c r="AF1558">
        <v>4.1145023732102005E-3</v>
      </c>
      <c r="AG1558">
        <v>-0.42937368879876725</v>
      </c>
      <c r="AH1558">
        <v>1.7467821112224164</v>
      </c>
      <c r="AI1558">
        <v>4.2316160950785068E-5</v>
      </c>
    </row>
    <row r="1559" spans="23:35" x14ac:dyDescent="0.25">
      <c r="W1559">
        <v>1557</v>
      </c>
      <c r="X1559">
        <v>59.650826090619539</v>
      </c>
      <c r="Y1559">
        <v>-0.35082609061954173</v>
      </c>
      <c r="Z1559">
        <v>59.653520839390438</v>
      </c>
      <c r="AA1559">
        <v>0.16070345664038813</v>
      </c>
      <c r="AB1559">
        <v>81.3</v>
      </c>
      <c r="AC1559">
        <v>-1.0028172174115717</v>
      </c>
      <c r="AD1559">
        <v>-4.7526137223173393E-2</v>
      </c>
      <c r="AE1559">
        <v>1.732291927849801</v>
      </c>
      <c r="AF1559">
        <v>7.6226023211097083E-3</v>
      </c>
      <c r="AG1559">
        <v>-4.7708315815464981E-2</v>
      </c>
      <c r="AH1559">
        <v>1.7486853438073608</v>
      </c>
      <c r="AI1559">
        <v>9.7127467348268029E-7</v>
      </c>
    </row>
    <row r="1560" spans="23:35" x14ac:dyDescent="0.25">
      <c r="W1560">
        <v>1558</v>
      </c>
      <c r="X1560">
        <v>52.966962187774072</v>
      </c>
      <c r="Y1560">
        <v>5.4330378122259262</v>
      </c>
      <c r="Z1560">
        <v>52.848175835691919</v>
      </c>
      <c r="AA1560">
        <v>0.1406913280776228</v>
      </c>
      <c r="AB1560">
        <v>81.3</v>
      </c>
      <c r="AC1560">
        <v>-1.0895196306228982</v>
      </c>
      <c r="AD1560">
        <v>0.73600940040277674</v>
      </c>
      <c r="AE1560">
        <v>1.7393728091176781</v>
      </c>
      <c r="AF1560">
        <v>2.13959139494759E-2</v>
      </c>
      <c r="AG1560">
        <v>0.74401184343328797</v>
      </c>
      <c r="AH1560">
        <v>1.7491860402029284</v>
      </c>
      <c r="AI1560">
        <v>6.7237415328921205E-4</v>
      </c>
    </row>
    <row r="1561" spans="23:35" x14ac:dyDescent="0.25">
      <c r="W1561">
        <v>1559</v>
      </c>
      <c r="X1561">
        <v>57.68459314612042</v>
      </c>
      <c r="Y1561">
        <v>-0.18459314612042022</v>
      </c>
      <c r="Z1561">
        <v>57.685780368612228</v>
      </c>
      <c r="AA1561">
        <v>0.12067919951485749</v>
      </c>
      <c r="AB1561">
        <v>81.400000000000006</v>
      </c>
      <c r="AC1561">
        <v>-1.182232646923248</v>
      </c>
      <c r="AD1561">
        <v>-2.5006689717642437E-2</v>
      </c>
      <c r="AE1561">
        <v>1.7433597245952273</v>
      </c>
      <c r="AF1561">
        <v>6.3904625697362768E-3</v>
      </c>
      <c r="AG1561">
        <v>-2.5086976884641309E-2</v>
      </c>
      <c r="AH1561">
        <v>1.7499550682361462</v>
      </c>
      <c r="AI1561">
        <v>2.2487475235913544E-7</v>
      </c>
    </row>
    <row r="1562" spans="23:35" x14ac:dyDescent="0.25">
      <c r="W1562">
        <v>1560</v>
      </c>
      <c r="X1562">
        <v>52.130695921075173</v>
      </c>
      <c r="Y1562">
        <v>4.1693040789248244</v>
      </c>
      <c r="Z1562">
        <v>52.090135104290439</v>
      </c>
      <c r="AA1562">
        <v>9.7028502122498486E-2</v>
      </c>
      <c r="AB1562">
        <v>81.400000000000006</v>
      </c>
      <c r="AC1562">
        <v>-1.3039878652542525</v>
      </c>
      <c r="AD1562">
        <v>0.56481237592732314</v>
      </c>
      <c r="AE1562">
        <v>1.755471467701343</v>
      </c>
      <c r="AF1562">
        <v>9.6347074762594426E-3</v>
      </c>
      <c r="AG1562">
        <v>0.5675530974534474</v>
      </c>
      <c r="AH1562">
        <v>1.7640177382672781</v>
      </c>
      <c r="AI1562">
        <v>1.7409392337705288E-4</v>
      </c>
    </row>
    <row r="1563" spans="23:35" x14ac:dyDescent="0.25">
      <c r="W1563">
        <v>1561</v>
      </c>
      <c r="X1563">
        <v>48.469500083001591</v>
      </c>
      <c r="Y1563">
        <v>7.0304999169984086</v>
      </c>
      <c r="Z1563">
        <v>48.329096893330821</v>
      </c>
      <c r="AA1563">
        <v>8.7932080048514258E-2</v>
      </c>
      <c r="AB1563">
        <v>81.400000000000006</v>
      </c>
      <c r="AC1563">
        <v>-1.3593210527266006</v>
      </c>
      <c r="AD1563">
        <v>0.95241634740652792</v>
      </c>
      <c r="AE1563">
        <v>1.7573483526845048</v>
      </c>
      <c r="AF1563">
        <v>1.9579568651567625E-2</v>
      </c>
      <c r="AG1563">
        <v>0.96187949021048513</v>
      </c>
      <c r="AH1563">
        <v>1.7811235369082059</v>
      </c>
      <c r="AI1563">
        <v>1.0265015056106391E-3</v>
      </c>
    </row>
    <row r="1564" spans="23:35" x14ac:dyDescent="0.25">
      <c r="W1564">
        <v>1562</v>
      </c>
      <c r="X1564">
        <v>51.790244142347525</v>
      </c>
      <c r="Y1564">
        <v>3.1097558576524733</v>
      </c>
      <c r="Z1564">
        <v>51.75419996984278</v>
      </c>
      <c r="AA1564">
        <v>7.9442086112795629E-2</v>
      </c>
      <c r="AB1564">
        <v>81.400000000000006</v>
      </c>
      <c r="AC1564">
        <v>-1.4191611772342045</v>
      </c>
      <c r="AD1564">
        <v>0.42127620371780361</v>
      </c>
      <c r="AE1564">
        <v>1.7625968607401217</v>
      </c>
      <c r="AF1564">
        <v>1.1457871498253945E-2</v>
      </c>
      <c r="AG1564">
        <v>0.42371060792948873</v>
      </c>
      <c r="AH1564">
        <v>1.782027878797624</v>
      </c>
      <c r="AI1564">
        <v>1.1560455171440998E-4</v>
      </c>
    </row>
    <row r="1565" spans="23:35" x14ac:dyDescent="0.25">
      <c r="W1565">
        <v>1563</v>
      </c>
      <c r="X1565">
        <v>56.124501694898157</v>
      </c>
      <c r="Y1565">
        <v>-2.9245016948981544</v>
      </c>
      <c r="Z1565">
        <v>56.15406085114175</v>
      </c>
      <c r="AA1565">
        <v>6.0642813826561552E-2</v>
      </c>
      <c r="AB1565">
        <v>81.5</v>
      </c>
      <c r="AC1565">
        <v>-1.5621464731395975</v>
      </c>
      <c r="AD1565">
        <v>-0.39617996659166033</v>
      </c>
      <c r="AE1565">
        <v>1.7638973101755293</v>
      </c>
      <c r="AF1565">
        <v>1.0006278723800291E-2</v>
      </c>
      <c r="AG1565">
        <v>-0.39817711072328815</v>
      </c>
      <c r="AH1565">
        <v>1.7874236795123002</v>
      </c>
      <c r="AI1565">
        <v>8.9026691184550537E-5</v>
      </c>
    </row>
    <row r="1566" spans="23:35" x14ac:dyDescent="0.25">
      <c r="W1566">
        <v>1564</v>
      </c>
      <c r="X1566">
        <v>57.696957706937503</v>
      </c>
      <c r="Y1566">
        <v>-6.3969577069375063</v>
      </c>
      <c r="Z1566">
        <v>57.767070560702557</v>
      </c>
      <c r="AA1566">
        <v>4.0630685263796242E-2</v>
      </c>
      <c r="AB1566">
        <v>81.5</v>
      </c>
      <c r="AC1566">
        <v>-1.7468985212689381</v>
      </c>
      <c r="AD1566">
        <v>-0.86659087770199561</v>
      </c>
      <c r="AE1566">
        <v>1.7708938976666759</v>
      </c>
      <c r="AF1566">
        <v>1.0841516743469587E-2</v>
      </c>
      <c r="AG1566">
        <v>-0.8713270025217642</v>
      </c>
      <c r="AH1566">
        <v>1.7941019068173907</v>
      </c>
      <c r="AI1566">
        <v>4.6228947504219005E-4</v>
      </c>
    </row>
    <row r="1567" spans="23:35" x14ac:dyDescent="0.25">
      <c r="W1567">
        <v>1565</v>
      </c>
      <c r="X1567">
        <v>52.556442775046385</v>
      </c>
      <c r="Y1567">
        <v>-1.556442775046385</v>
      </c>
      <c r="Z1567">
        <v>52.585736266771399</v>
      </c>
      <c r="AA1567">
        <v>3.7598544572468161E-2</v>
      </c>
      <c r="AB1567">
        <v>81.5</v>
      </c>
      <c r="AC1567">
        <v>-1.7980761038936304</v>
      </c>
      <c r="AD1567">
        <v>-0.21085009035742139</v>
      </c>
      <c r="AE1567">
        <v>1.7796082682234819</v>
      </c>
      <c r="AF1567">
        <v>1.8473117086901216E-2</v>
      </c>
      <c r="AG1567">
        <v>-0.21282502446871299</v>
      </c>
      <c r="AH1567">
        <v>1.7951050622617712</v>
      </c>
      <c r="AI1567">
        <v>4.7359909394555006E-5</v>
      </c>
    </row>
    <row r="1568" spans="23:35" x14ac:dyDescent="0.25">
      <c r="W1568">
        <v>1566</v>
      </c>
      <c r="X1568">
        <v>57.357843490196942</v>
      </c>
      <c r="Y1568">
        <v>-8.5578434901969445</v>
      </c>
      <c r="Z1568">
        <v>57.646002425632744</v>
      </c>
      <c r="AA1568">
        <v>2.5469981807155852E-2</v>
      </c>
      <c r="AB1568">
        <v>81.5</v>
      </c>
      <c r="AC1568">
        <v>-1.957118520190694</v>
      </c>
      <c r="AD1568">
        <v>-1.1593243915562017</v>
      </c>
      <c r="AE1568">
        <v>1.7824970200054102</v>
      </c>
      <c r="AF1568">
        <v>3.257504594400884E-2</v>
      </c>
      <c r="AG1568">
        <v>-1.1786811292813859</v>
      </c>
      <c r="AH1568">
        <v>1.796404719148635</v>
      </c>
      <c r="AI1568">
        <v>2.5988900555683559E-3</v>
      </c>
    </row>
    <row r="1569" spans="23:35" x14ac:dyDescent="0.25">
      <c r="W1569">
        <v>1567</v>
      </c>
      <c r="X1569">
        <v>63.185141833740069</v>
      </c>
      <c r="Y1569">
        <v>14.814858166259931</v>
      </c>
      <c r="Z1569">
        <v>62.941008778931995</v>
      </c>
      <c r="AA1569">
        <v>0.86294724075197093</v>
      </c>
      <c r="AB1569">
        <v>81.599999999999994</v>
      </c>
      <c r="AC1569">
        <v>1.0491313979639725</v>
      </c>
      <c r="AD1569">
        <v>2.0069572958730824</v>
      </c>
      <c r="AE1569">
        <v>1.7837138792777345</v>
      </c>
      <c r="AF1569">
        <v>1.6211780140128116E-2</v>
      </c>
      <c r="AG1569">
        <v>2.0234259838866357</v>
      </c>
      <c r="AH1569">
        <v>1.7985102380498628</v>
      </c>
      <c r="AI1569">
        <v>3.7482731134767014E-3</v>
      </c>
    </row>
    <row r="1570" spans="23:35" x14ac:dyDescent="0.25">
      <c r="W1570">
        <v>1568</v>
      </c>
      <c r="X1570">
        <v>72.297810994600198</v>
      </c>
      <c r="Y1570">
        <v>-1.2978109946001979</v>
      </c>
      <c r="Z1570">
        <v>72.311128793089239</v>
      </c>
      <c r="AA1570">
        <v>0.46937537901758641</v>
      </c>
      <c r="AB1570">
        <v>81.599999999999994</v>
      </c>
      <c r="AC1570">
        <v>-9.743972564826138E-2</v>
      </c>
      <c r="AD1570">
        <v>-0.17581344451944375</v>
      </c>
      <c r="AE1570">
        <v>1.7888369474638059</v>
      </c>
      <c r="AF1570">
        <v>1.0157505928656142E-2</v>
      </c>
      <c r="AG1570">
        <v>-0.17671321799455642</v>
      </c>
      <c r="AH1570">
        <v>1.8021703617237741</v>
      </c>
      <c r="AI1570">
        <v>1.7802727992917288E-5</v>
      </c>
    </row>
    <row r="1571" spans="23:35" x14ac:dyDescent="0.25">
      <c r="W1571">
        <v>1569</v>
      </c>
      <c r="X1571">
        <v>75.971389349909316</v>
      </c>
      <c r="Y1571">
        <v>1.028610650090684</v>
      </c>
      <c r="Z1571">
        <v>75.965150463356935</v>
      </c>
      <c r="AA1571">
        <v>0.83747725894481506</v>
      </c>
      <c r="AB1571">
        <v>81.599999999999994</v>
      </c>
      <c r="AC1571">
        <v>0.95855995741850497</v>
      </c>
      <c r="AD1571">
        <v>0.139345083540102</v>
      </c>
      <c r="AE1571">
        <v>1.7933079061816</v>
      </c>
      <c r="AF1571">
        <v>6.0287861485860683E-3</v>
      </c>
      <c r="AG1571">
        <v>0.13976703323965883</v>
      </c>
      <c r="AH1571">
        <v>1.8081810945778114</v>
      </c>
      <c r="AI1571">
        <v>6.582533230601571E-6</v>
      </c>
    </row>
    <row r="1572" spans="23:35" x14ac:dyDescent="0.25">
      <c r="W1572">
        <v>1570</v>
      </c>
      <c r="X1572">
        <v>66.695957214152799</v>
      </c>
      <c r="Y1572">
        <v>8.3040427858472015</v>
      </c>
      <c r="Z1572">
        <v>66.578733330345202</v>
      </c>
      <c r="AA1572">
        <v>0.76046088538508183</v>
      </c>
      <c r="AB1572">
        <v>81.7</v>
      </c>
      <c r="AC1572">
        <v>0.67020216077934069</v>
      </c>
      <c r="AD1572">
        <v>1.1249422078338829</v>
      </c>
      <c r="AE1572">
        <v>1.7933777148473982</v>
      </c>
      <c r="AF1572">
        <v>1.391998239766094E-2</v>
      </c>
      <c r="AG1572">
        <v>1.132854496381084</v>
      </c>
      <c r="AH1572">
        <v>1.8218918399073061</v>
      </c>
      <c r="AI1572">
        <v>1.0064733696260408E-3</v>
      </c>
    </row>
    <row r="1573" spans="23:35" x14ac:dyDescent="0.25">
      <c r="W1573">
        <v>1571</v>
      </c>
      <c r="X1573">
        <v>73.901089068125941</v>
      </c>
      <c r="Y1573">
        <v>-4.101089068125944</v>
      </c>
      <c r="Z1573">
        <v>73.925738325083046</v>
      </c>
      <c r="AA1573">
        <v>0.4530018192844148</v>
      </c>
      <c r="AB1573">
        <v>81.7</v>
      </c>
      <c r="AC1573">
        <v>-0.12344005334831042</v>
      </c>
      <c r="AD1573">
        <v>-0.55557134154991228</v>
      </c>
      <c r="AE1573">
        <v>1.8039682523298626</v>
      </c>
      <c r="AF1573">
        <v>5.974508079498406E-3</v>
      </c>
      <c r="AG1573">
        <v>-0.55723844812092049</v>
      </c>
      <c r="AH1573">
        <v>1.8228586368010162</v>
      </c>
      <c r="AI1573">
        <v>1.0368460409614539E-4</v>
      </c>
    </row>
    <row r="1574" spans="23:35" x14ac:dyDescent="0.25">
      <c r="W1574">
        <v>1572</v>
      </c>
      <c r="X1574">
        <v>76.919449801439157</v>
      </c>
      <c r="Y1574">
        <v>-7.7194498014391542</v>
      </c>
      <c r="Z1574">
        <v>76.95028056864048</v>
      </c>
      <c r="AA1574">
        <v>0.42874469375379015</v>
      </c>
      <c r="AB1574">
        <v>81.7</v>
      </c>
      <c r="AC1574">
        <v>-0.1880739545732803</v>
      </c>
      <c r="AD1574">
        <v>-1.0457478515999519</v>
      </c>
      <c r="AE1574">
        <v>1.8113324232316173</v>
      </c>
      <c r="AF1574">
        <v>3.9780194959734803E-3</v>
      </c>
      <c r="AG1574">
        <v>-1.0478340806330235</v>
      </c>
      <c r="AH1574">
        <v>1.8299927961710745</v>
      </c>
      <c r="AI1574">
        <v>2.4361864249490282E-4</v>
      </c>
    </row>
    <row r="1575" spans="23:35" x14ac:dyDescent="0.25">
      <c r="W1575">
        <v>1573</v>
      </c>
      <c r="X1575">
        <v>72.009958120864042</v>
      </c>
      <c r="Y1575">
        <v>-4.3099581208640387</v>
      </c>
      <c r="Z1575">
        <v>72.107379009050732</v>
      </c>
      <c r="AA1575">
        <v>0.36749545178896303</v>
      </c>
      <c r="AB1575">
        <v>81.7</v>
      </c>
      <c r="AC1575">
        <v>-0.35059197017921911</v>
      </c>
      <c r="AD1575">
        <v>-0.58386666942753618</v>
      </c>
      <c r="AE1575">
        <v>1.8183365156876692</v>
      </c>
      <c r="AF1575">
        <v>2.2104041423855046E-2</v>
      </c>
      <c r="AG1575">
        <v>-0.59042856183200254</v>
      </c>
      <c r="AH1575">
        <v>1.843740618205139</v>
      </c>
      <c r="AI1575">
        <v>4.3776521140021722E-4</v>
      </c>
    </row>
    <row r="1576" spans="23:35" x14ac:dyDescent="0.25">
      <c r="W1576">
        <v>1574</v>
      </c>
      <c r="X1576">
        <v>79.751143844629297</v>
      </c>
      <c r="Y1576">
        <v>-12.251143844629297</v>
      </c>
      <c r="Z1576">
        <v>79.792639669514756</v>
      </c>
      <c r="AA1576">
        <v>0.35900545785324439</v>
      </c>
      <c r="AB1576">
        <v>81.7</v>
      </c>
      <c r="AC1576">
        <v>-0.37168505980560429</v>
      </c>
      <c r="AD1576">
        <v>-1.659652913705659</v>
      </c>
      <c r="AE1576">
        <v>1.8389053279648155</v>
      </c>
      <c r="AF1576">
        <v>3.3756643000255465E-3</v>
      </c>
      <c r="AG1576">
        <v>-1.6624612412329642</v>
      </c>
      <c r="AH1576">
        <v>1.8439577585675346</v>
      </c>
      <c r="AI1576">
        <v>5.2006582487003534E-4</v>
      </c>
    </row>
    <row r="1577" spans="23:35" x14ac:dyDescent="0.25">
      <c r="W1577">
        <v>1575</v>
      </c>
      <c r="X1577">
        <v>82.851317353134704</v>
      </c>
      <c r="Y1577">
        <v>-15.151317353134701</v>
      </c>
      <c r="Z1577">
        <v>83.125626705178846</v>
      </c>
      <c r="AA1577">
        <v>0.36749545178896303</v>
      </c>
      <c r="AB1577">
        <v>81.7</v>
      </c>
      <c r="AC1577">
        <v>-0.35059197017921911</v>
      </c>
      <c r="AD1577">
        <v>-2.0525371598369313</v>
      </c>
      <c r="AE1577">
        <v>1.8450521116319945</v>
      </c>
      <c r="AF1577">
        <v>1.7782703891832983E-2</v>
      </c>
      <c r="AG1577">
        <v>-2.0710340525417847</v>
      </c>
      <c r="AH1577">
        <v>1.8501587080735822</v>
      </c>
      <c r="AI1577">
        <v>4.3141197290393583E-3</v>
      </c>
    </row>
    <row r="1578" spans="23:35" x14ac:dyDescent="0.25">
      <c r="W1578">
        <v>1576</v>
      </c>
      <c r="X1578">
        <v>79.379477467596445</v>
      </c>
      <c r="Y1578">
        <v>-12.379477467596445</v>
      </c>
      <c r="Z1578">
        <v>79.412403918710254</v>
      </c>
      <c r="AA1578">
        <v>0.33959975742874471</v>
      </c>
      <c r="AB1578">
        <v>81.7</v>
      </c>
      <c r="AC1578">
        <v>-0.42600652312983872</v>
      </c>
      <c r="AD1578">
        <v>-1.6770381696446137</v>
      </c>
      <c r="AE1578">
        <v>1.8517664394890017</v>
      </c>
      <c r="AF1578">
        <v>2.6527054170531494E-3</v>
      </c>
      <c r="AG1578">
        <v>-1.6792669489659846</v>
      </c>
      <c r="AH1578">
        <v>1.8542901386114887</v>
      </c>
      <c r="AI1578">
        <v>4.1668664940823155E-4</v>
      </c>
    </row>
    <row r="1579" spans="23:35" x14ac:dyDescent="0.25">
      <c r="W1579">
        <v>1577</v>
      </c>
      <c r="X1579">
        <v>80.194282090849555</v>
      </c>
      <c r="Y1579">
        <v>-12.794282090849549</v>
      </c>
      <c r="Z1579">
        <v>80.2257352803733</v>
      </c>
      <c r="AA1579">
        <v>0.3547604608853851</v>
      </c>
      <c r="AB1579">
        <v>81.8</v>
      </c>
      <c r="AC1579">
        <v>-0.38147581702590427</v>
      </c>
      <c r="AD1579">
        <v>-1.7332314288481117</v>
      </c>
      <c r="AE1579">
        <v>1.8551714832242645</v>
      </c>
      <c r="AF1579">
        <v>2.452349813572069E-3</v>
      </c>
      <c r="AG1579">
        <v>-1.7353605906222123</v>
      </c>
      <c r="AH1579">
        <v>1.8804129426674978</v>
      </c>
      <c r="AI1579">
        <v>4.1129717442713628E-4</v>
      </c>
    </row>
    <row r="1580" spans="23:35" x14ac:dyDescent="0.25">
      <c r="W1580">
        <v>1578</v>
      </c>
      <c r="X1580">
        <v>79.461309882041419</v>
      </c>
      <c r="Y1580">
        <v>-11.861309882041425</v>
      </c>
      <c r="Z1580">
        <v>79.493433598558639</v>
      </c>
      <c r="AA1580">
        <v>0.36264402668283807</v>
      </c>
      <c r="AB1580">
        <v>81.8</v>
      </c>
      <c r="AC1580">
        <v>-0.36030729595554811</v>
      </c>
      <c r="AD1580">
        <v>-1.6068424104517922</v>
      </c>
      <c r="AE1580">
        <v>1.8680315364610782</v>
      </c>
      <c r="AF1580">
        <v>2.7009623630562737E-3</v>
      </c>
      <c r="AG1580">
        <v>-1.609016826643777</v>
      </c>
      <c r="AH1580">
        <v>1.8808232153905777</v>
      </c>
      <c r="AI1580">
        <v>3.8953079670356534E-4</v>
      </c>
    </row>
    <row r="1581" spans="23:35" x14ac:dyDescent="0.25">
      <c r="W1581">
        <v>1579</v>
      </c>
      <c r="X1581">
        <v>78.675618022571996</v>
      </c>
      <c r="Y1581">
        <v>-11.075618022572002</v>
      </c>
      <c r="Z1581">
        <v>78.73949549469009</v>
      </c>
      <c r="AA1581">
        <v>0.36264402668283807</v>
      </c>
      <c r="AB1581">
        <v>81.8</v>
      </c>
      <c r="AC1581">
        <v>-0.36030729595554811</v>
      </c>
      <c r="AD1581">
        <v>-1.5004053462575875</v>
      </c>
      <c r="AE1581">
        <v>1.8688425905794723</v>
      </c>
      <c r="AF1581">
        <v>5.7343236189231336E-3</v>
      </c>
      <c r="AG1581">
        <v>-1.5047258414079625</v>
      </c>
      <c r="AH1581">
        <v>1.886708750360774</v>
      </c>
      <c r="AI1581">
        <v>7.2547425541050485E-4</v>
      </c>
    </row>
    <row r="1582" spans="23:35" x14ac:dyDescent="0.25">
      <c r="W1582">
        <v>1580</v>
      </c>
      <c r="X1582">
        <v>75.990922821224174</v>
      </c>
      <c r="Y1582">
        <v>-8.2909228212241715</v>
      </c>
      <c r="Z1582">
        <v>76.128228185480381</v>
      </c>
      <c r="AA1582">
        <v>0.36749545178896303</v>
      </c>
      <c r="AB1582">
        <v>81.8</v>
      </c>
      <c r="AC1582">
        <v>-0.35059197017921911</v>
      </c>
      <c r="AD1582">
        <v>-1.1231648564460879</v>
      </c>
      <c r="AE1582">
        <v>1.8853054141842243</v>
      </c>
      <c r="AF1582">
        <v>1.6291130381680039E-2</v>
      </c>
      <c r="AG1582">
        <v>-1.1324269918970662</v>
      </c>
      <c r="AH1582">
        <v>1.8999704429317703</v>
      </c>
      <c r="AI1582">
        <v>1.1798656349742791E-3</v>
      </c>
    </row>
    <row r="1583" spans="23:35" x14ac:dyDescent="0.25">
      <c r="W1583">
        <v>1581</v>
      </c>
      <c r="X1583">
        <v>74.864233836498613</v>
      </c>
      <c r="Y1583">
        <v>-7.3642338364986131</v>
      </c>
      <c r="Z1583">
        <v>74.975998531271131</v>
      </c>
      <c r="AA1583">
        <v>0.35900545785324439</v>
      </c>
      <c r="AB1583">
        <v>81.900000000000006</v>
      </c>
      <c r="AC1583">
        <v>-0.37168505980560429</v>
      </c>
      <c r="AD1583">
        <v>-0.99762702152196869</v>
      </c>
      <c r="AE1583">
        <v>1.8888967839294442</v>
      </c>
      <c r="AF1583">
        <v>1.4949801595736478E-2</v>
      </c>
      <c r="AG1583">
        <v>-1.0051688523401539</v>
      </c>
      <c r="AH1583">
        <v>1.9050971261876406</v>
      </c>
      <c r="AI1583">
        <v>8.5188820656024609E-4</v>
      </c>
    </row>
    <row r="1584" spans="23:35" x14ac:dyDescent="0.25">
      <c r="W1584">
        <v>1582</v>
      </c>
      <c r="X1584">
        <v>81.978318141033697</v>
      </c>
      <c r="Y1584">
        <v>-5.1783181410336994</v>
      </c>
      <c r="Z1584">
        <v>82.035850370269046</v>
      </c>
      <c r="AA1584">
        <v>0.82838083687083086</v>
      </c>
      <c r="AB1584">
        <v>81.900000000000006</v>
      </c>
      <c r="AC1584">
        <v>0.93712127394454448</v>
      </c>
      <c r="AD1584">
        <v>-0.70150272495812815</v>
      </c>
      <c r="AE1584">
        <v>1.9009498904986362</v>
      </c>
      <c r="AF1584">
        <v>1.098813471867606E-2</v>
      </c>
      <c r="AG1584">
        <v>-0.70538888389822818</v>
      </c>
      <c r="AH1584">
        <v>1.9121739347632161</v>
      </c>
      <c r="AI1584">
        <v>3.0711935796384651E-4</v>
      </c>
    </row>
    <row r="1585" spans="23:35" x14ac:dyDescent="0.25">
      <c r="W1585">
        <v>1583</v>
      </c>
      <c r="X1585">
        <v>81.958368003280526</v>
      </c>
      <c r="Y1585">
        <v>-5.158368003280529</v>
      </c>
      <c r="Z1585">
        <v>82.016352880697639</v>
      </c>
      <c r="AA1585">
        <v>0.82838083687083086</v>
      </c>
      <c r="AB1585">
        <v>81.900000000000006</v>
      </c>
      <c r="AC1585">
        <v>0.93712127394454448</v>
      </c>
      <c r="AD1585">
        <v>-0.69880009533669951</v>
      </c>
      <c r="AE1585">
        <v>1.9073436887701454</v>
      </c>
      <c r="AF1585">
        <v>1.1115980598566375E-2</v>
      </c>
      <c r="AG1585">
        <v>-0.70271670260201968</v>
      </c>
      <c r="AH1585">
        <v>1.9162847254803703</v>
      </c>
      <c r="AI1585">
        <v>3.0838302827450905E-4</v>
      </c>
    </row>
    <row r="1586" spans="23:35" x14ac:dyDescent="0.25">
      <c r="W1586">
        <v>1584</v>
      </c>
      <c r="X1586">
        <v>84.599895477928584</v>
      </c>
      <c r="Y1586">
        <v>-8.0998954779285839</v>
      </c>
      <c r="Z1586">
        <v>84.620595512913738</v>
      </c>
      <c r="AA1586">
        <v>0.82049727107337778</v>
      </c>
      <c r="AB1586">
        <v>82</v>
      </c>
      <c r="AC1586">
        <v>0.91148934236618206</v>
      </c>
      <c r="AD1586">
        <v>-1.0972865310489899</v>
      </c>
      <c r="AE1586">
        <v>1.9108983031608251</v>
      </c>
      <c r="AF1586">
        <v>2.5490784453227385E-3</v>
      </c>
      <c r="AG1586">
        <v>-1.0986877451946688</v>
      </c>
      <c r="AH1586">
        <v>1.9295779944111893</v>
      </c>
      <c r="AI1586">
        <v>1.7138299199189334E-4</v>
      </c>
    </row>
    <row r="1587" spans="23:35" x14ac:dyDescent="0.25">
      <c r="W1587">
        <v>1585</v>
      </c>
      <c r="X1587">
        <v>81.994656951082476</v>
      </c>
      <c r="Y1587">
        <v>-4.9946569510824759</v>
      </c>
      <c r="Z1587">
        <v>82.034594713235649</v>
      </c>
      <c r="AA1587">
        <v>0.83747725894481506</v>
      </c>
      <c r="AB1587">
        <v>82</v>
      </c>
      <c r="AC1587">
        <v>0.95855995741850497</v>
      </c>
      <c r="AD1587">
        <v>-0.67662228661678736</v>
      </c>
      <c r="AE1587">
        <v>1.9203791436500046</v>
      </c>
      <c r="AF1587">
        <v>7.9326667642533009E-3</v>
      </c>
      <c r="AG1587">
        <v>-0.67932206919637639</v>
      </c>
      <c r="AH1587">
        <v>1.9388811115548963</v>
      </c>
      <c r="AI1587">
        <v>2.0500148349454465E-4</v>
      </c>
    </row>
    <row r="1588" spans="23:35" x14ac:dyDescent="0.25">
      <c r="W1588">
        <v>1586</v>
      </c>
      <c r="X1588">
        <v>84.714623520752696</v>
      </c>
      <c r="Y1588">
        <v>-8.4146235207526985</v>
      </c>
      <c r="Z1588">
        <v>84.741851764792159</v>
      </c>
      <c r="AA1588">
        <v>0.8168587022437841</v>
      </c>
      <c r="AB1588">
        <v>82</v>
      </c>
      <c r="AC1588">
        <v>0.89095501331493132</v>
      </c>
      <c r="AD1588">
        <v>-1.1399224938555899</v>
      </c>
      <c r="AE1588">
        <v>1.9324229410228313</v>
      </c>
      <c r="AF1588">
        <v>3.2253876042958795E-3</v>
      </c>
      <c r="AG1588">
        <v>-1.141765298816688</v>
      </c>
      <c r="AH1588">
        <v>1.9478795660623687</v>
      </c>
      <c r="AI1588">
        <v>2.3435062627247797E-4</v>
      </c>
    </row>
    <row r="1589" spans="23:35" x14ac:dyDescent="0.25">
      <c r="W1589">
        <v>1587</v>
      </c>
      <c r="X1589">
        <v>78.585414468355566</v>
      </c>
      <c r="Y1589">
        <v>-1.9854144683555717</v>
      </c>
      <c r="Z1589">
        <v>78.604029077541711</v>
      </c>
      <c r="AA1589">
        <v>0.82413583990297146</v>
      </c>
      <c r="AB1589">
        <v>82</v>
      </c>
      <c r="AC1589">
        <v>0.91841998904288702</v>
      </c>
      <c r="AD1589">
        <v>-0.26896255150609583</v>
      </c>
      <c r="AE1589">
        <v>1.9368159726388026</v>
      </c>
      <c r="AF1589">
        <v>9.2885923636302267E-3</v>
      </c>
      <c r="AG1589">
        <v>-0.27022046324394328</v>
      </c>
      <c r="AH1589">
        <v>1.9648680669372818</v>
      </c>
      <c r="AI1589">
        <v>3.8033535961808863E-5</v>
      </c>
    </row>
    <row r="1590" spans="23:35" x14ac:dyDescent="0.25">
      <c r="W1590">
        <v>1588</v>
      </c>
      <c r="X1590">
        <v>77.751701183397699</v>
      </c>
      <c r="Y1590">
        <v>-1.3517011833976937</v>
      </c>
      <c r="Z1590">
        <v>77.764053322441598</v>
      </c>
      <c r="AA1590">
        <v>0.81867798665858094</v>
      </c>
      <c r="AB1590">
        <v>82</v>
      </c>
      <c r="AC1590">
        <v>0.90460220385671419</v>
      </c>
      <c r="AD1590">
        <v>-0.18311390641852762</v>
      </c>
      <c r="AE1590">
        <v>1.9538160603877588</v>
      </c>
      <c r="AF1590">
        <v>9.0554664107942023E-3</v>
      </c>
      <c r="AG1590">
        <v>-0.18394867101780749</v>
      </c>
      <c r="AH1590">
        <v>1.9651713989420163</v>
      </c>
      <c r="AI1590">
        <v>1.7178383012824301E-5</v>
      </c>
    </row>
    <row r="1591" spans="23:35" x14ac:dyDescent="0.25">
      <c r="W1591">
        <v>1589</v>
      </c>
      <c r="X1591">
        <v>82.167251847357534</v>
      </c>
      <c r="Y1591">
        <v>-6.767251847357528</v>
      </c>
      <c r="Z1591">
        <v>82.183405673603858</v>
      </c>
      <c r="AA1591">
        <v>0.77986658580958157</v>
      </c>
      <c r="AB1591">
        <v>82</v>
      </c>
      <c r="AC1591">
        <v>0.74840704313415274</v>
      </c>
      <c r="AD1591">
        <v>-0.91675433646716509</v>
      </c>
      <c r="AE1591">
        <v>1.9615122485012713</v>
      </c>
      <c r="AF1591">
        <v>2.381374050675416E-3</v>
      </c>
      <c r="AG1591">
        <v>-0.91784785741086106</v>
      </c>
      <c r="AH1591">
        <v>1.972444027538508</v>
      </c>
      <c r="AI1591">
        <v>1.1172026565023363E-4</v>
      </c>
    </row>
    <row r="1592" spans="23:35" x14ac:dyDescent="0.25">
      <c r="W1592">
        <v>1590</v>
      </c>
      <c r="X1592">
        <v>85.157654080987541</v>
      </c>
      <c r="Y1592">
        <v>-8.9576540809875382</v>
      </c>
      <c r="Z1592">
        <v>85.211196870557146</v>
      </c>
      <c r="AA1592">
        <v>0.81322013341419042</v>
      </c>
      <c r="AB1592">
        <v>82</v>
      </c>
      <c r="AC1592">
        <v>0.88194836619248052</v>
      </c>
      <c r="AD1592">
        <v>-1.2134864208614797</v>
      </c>
      <c r="AE1592">
        <v>1.9689865929511774</v>
      </c>
      <c r="AF1592">
        <v>5.9418066588418292E-3</v>
      </c>
      <c r="AG1592">
        <v>-1.2171077175072773</v>
      </c>
      <c r="AH1592">
        <v>1.98257587299865</v>
      </c>
      <c r="AI1592">
        <v>4.9191745622644218E-4</v>
      </c>
    </row>
    <row r="1593" spans="23:35" x14ac:dyDescent="0.25">
      <c r="W1593">
        <v>1591</v>
      </c>
      <c r="X1593">
        <v>85.357883520080676</v>
      </c>
      <c r="Y1593">
        <v>-9.6578835200806736</v>
      </c>
      <c r="Z1593">
        <v>85.398886956739659</v>
      </c>
      <c r="AA1593">
        <v>0.79199514857489384</v>
      </c>
      <c r="AB1593">
        <v>82</v>
      </c>
      <c r="AC1593">
        <v>0.80177968430189828</v>
      </c>
      <c r="AD1593">
        <v>-1.308345957537548</v>
      </c>
      <c r="AE1593">
        <v>2.0052894568306856</v>
      </c>
      <c r="AF1593">
        <v>4.227643526713204E-3</v>
      </c>
      <c r="AG1593">
        <v>-1.3111203677152645</v>
      </c>
      <c r="AH1593">
        <v>2.018057581498768</v>
      </c>
      <c r="AI1593">
        <v>4.0546270918486983E-4</v>
      </c>
    </row>
    <row r="1594" spans="23:35" x14ac:dyDescent="0.25">
      <c r="W1594">
        <v>1592</v>
      </c>
      <c r="X1594">
        <v>86.043148591593251</v>
      </c>
      <c r="Y1594">
        <v>-10.643148591593246</v>
      </c>
      <c r="Z1594">
        <v>86.093066318010273</v>
      </c>
      <c r="AA1594">
        <v>0.77986658580958157</v>
      </c>
      <c r="AB1594">
        <v>82</v>
      </c>
      <c r="AC1594">
        <v>0.74840704313415274</v>
      </c>
      <c r="AD1594">
        <v>-1.4418190493113501</v>
      </c>
      <c r="AE1594">
        <v>2.0069572958730824</v>
      </c>
      <c r="AF1594">
        <v>4.6682331271943869E-3</v>
      </c>
      <c r="AG1594">
        <v>-1.445196251823142</v>
      </c>
      <c r="AH1594">
        <v>2.0234259838866357</v>
      </c>
      <c r="AI1594">
        <v>5.44209124316332E-4</v>
      </c>
    </row>
    <row r="1595" spans="23:35" x14ac:dyDescent="0.25">
      <c r="W1595">
        <v>1593</v>
      </c>
      <c r="X1595">
        <v>79.618938093261107</v>
      </c>
      <c r="Y1595">
        <v>-4.2189380932611016</v>
      </c>
      <c r="Z1595">
        <v>79.626636963665192</v>
      </c>
      <c r="AA1595">
        <v>0.77986658580958157</v>
      </c>
      <c r="AB1595">
        <v>82</v>
      </c>
      <c r="AC1595">
        <v>0.74840704313415274</v>
      </c>
      <c r="AD1595">
        <v>-0.57153625718745726</v>
      </c>
      <c r="AE1595">
        <v>2.0183081054638019</v>
      </c>
      <c r="AF1595">
        <v>1.8215121076793042E-3</v>
      </c>
      <c r="AG1595">
        <v>-0.57205749948873985</v>
      </c>
      <c r="AH1595">
        <v>2.0291707568862245</v>
      </c>
      <c r="AI1595">
        <v>3.3176511498623475E-5</v>
      </c>
    </row>
    <row r="1596" spans="23:35" x14ac:dyDescent="0.25">
      <c r="W1596">
        <v>1594</v>
      </c>
      <c r="X1596">
        <v>79.710856042099721</v>
      </c>
      <c r="Y1596">
        <v>-4.3108560420997151</v>
      </c>
      <c r="Z1596">
        <v>79.718746742825445</v>
      </c>
      <c r="AA1596">
        <v>0.77986658580958157</v>
      </c>
      <c r="AB1596">
        <v>82.1</v>
      </c>
      <c r="AC1596">
        <v>0.74840704313415274</v>
      </c>
      <c r="AD1596">
        <v>-0.58398831011790497</v>
      </c>
      <c r="AE1596">
        <v>2.0411889533081182</v>
      </c>
      <c r="AF1596">
        <v>1.8270811408028637E-3</v>
      </c>
      <c r="AG1596">
        <v>-0.58452253930345321</v>
      </c>
      <c r="AH1596">
        <v>2.0545821314251582</v>
      </c>
      <c r="AI1596">
        <v>3.4744180402914861E-5</v>
      </c>
    </row>
    <row r="1597" spans="23:35" x14ac:dyDescent="0.25">
      <c r="W1597">
        <v>1595</v>
      </c>
      <c r="X1597">
        <v>77.481243580746423</v>
      </c>
      <c r="Y1597">
        <v>-2.2812435807464198</v>
      </c>
      <c r="Z1597">
        <v>77.485065707399883</v>
      </c>
      <c r="AA1597">
        <v>0.76652516676773808</v>
      </c>
      <c r="AB1597">
        <v>82.1</v>
      </c>
      <c r="AC1597">
        <v>0.71660092108895201</v>
      </c>
      <c r="AD1597">
        <v>-0.3090382909280654</v>
      </c>
      <c r="AE1597">
        <v>2.0469971550461912</v>
      </c>
      <c r="AF1597">
        <v>1.6726550317925054E-3</v>
      </c>
      <c r="AG1597">
        <v>-0.30929707283917213</v>
      </c>
      <c r="AH1597">
        <v>2.0558205722820819</v>
      </c>
      <c r="AI1597">
        <v>8.9045613226668889E-6</v>
      </c>
    </row>
    <row r="1598" spans="23:35" x14ac:dyDescent="0.25">
      <c r="W1598">
        <v>1596</v>
      </c>
      <c r="X1598">
        <v>70.030247938013545</v>
      </c>
      <c r="Y1598">
        <v>5.0697520619864491</v>
      </c>
      <c r="Z1598">
        <v>69.923236133974569</v>
      </c>
      <c r="AA1598">
        <v>0.76288659793814428</v>
      </c>
      <c r="AB1598">
        <v>82.2</v>
      </c>
      <c r="AC1598">
        <v>0.70876261491573156</v>
      </c>
      <c r="AD1598">
        <v>0.68679536279623854</v>
      </c>
      <c r="AE1598">
        <v>2.0495343179558509</v>
      </c>
      <c r="AF1598">
        <v>2.067156370435913E-2</v>
      </c>
      <c r="AG1598">
        <v>0.69400591446621607</v>
      </c>
      <c r="AH1598">
        <v>2.0574116029434695</v>
      </c>
      <c r="AI1598">
        <v>5.6480535179189979E-4</v>
      </c>
    </row>
    <row r="1599" spans="23:35" x14ac:dyDescent="0.25">
      <c r="W1599">
        <v>1597</v>
      </c>
      <c r="X1599">
        <v>75.533709456670408</v>
      </c>
      <c r="Y1599">
        <v>-6.3337094566704053</v>
      </c>
      <c r="Z1599">
        <v>75.553605972136296</v>
      </c>
      <c r="AA1599">
        <v>0.42874469375379015</v>
      </c>
      <c r="AB1599">
        <v>82.2</v>
      </c>
      <c r="AC1599">
        <v>-0.1880739545732803</v>
      </c>
      <c r="AD1599">
        <v>-0.85802268650500824</v>
      </c>
      <c r="AE1599">
        <v>2.0527740981887685</v>
      </c>
      <c r="AF1599">
        <v>3.1315312207176667E-3</v>
      </c>
      <c r="AG1599">
        <v>-0.85936931249809967</v>
      </c>
      <c r="AH1599">
        <v>2.0810221558891917</v>
      </c>
      <c r="AI1599">
        <v>1.2888609450580741E-4</v>
      </c>
    </row>
    <row r="1600" spans="23:35" x14ac:dyDescent="0.25">
      <c r="W1600">
        <v>1598</v>
      </c>
      <c r="X1600">
        <v>75.368604271626168</v>
      </c>
      <c r="Y1600">
        <v>-6.2686042716261738</v>
      </c>
      <c r="Z1600">
        <v>75.38800814863724</v>
      </c>
      <c r="AA1600">
        <v>0.42510612492419647</v>
      </c>
      <c r="AB1600">
        <v>82.3</v>
      </c>
      <c r="AC1600">
        <v>-0.198915705174462</v>
      </c>
      <c r="AD1600">
        <v>-0.84920293780020684</v>
      </c>
      <c r="AE1600">
        <v>2.0654572319592557</v>
      </c>
      <c r="AF1600">
        <v>3.0858543043191288E-3</v>
      </c>
      <c r="AG1600">
        <v>-0.85051623633942086</v>
      </c>
      <c r="AH1600">
        <v>2.0947660253568698</v>
      </c>
      <c r="AI1600">
        <v>1.2439713301010501E-4</v>
      </c>
    </row>
    <row r="1601" spans="23:35" x14ac:dyDescent="0.25">
      <c r="W1601">
        <v>1599</v>
      </c>
      <c r="X1601">
        <v>75.270758838180512</v>
      </c>
      <c r="Y1601">
        <v>-6.4707588381805152</v>
      </c>
      <c r="Z1601">
        <v>75.290545369035442</v>
      </c>
      <c r="AA1601">
        <v>0.41115827774408731</v>
      </c>
      <c r="AB1601">
        <v>82.3</v>
      </c>
      <c r="AC1601">
        <v>-0.23002600999886993</v>
      </c>
      <c r="AD1601">
        <v>-0.87658865946471065</v>
      </c>
      <c r="AE1601">
        <v>2.0805329212770292</v>
      </c>
      <c r="AF1601">
        <v>3.0485159150612983E-3</v>
      </c>
      <c r="AG1601">
        <v>-0.87792786943561874</v>
      </c>
      <c r="AH1601">
        <v>2.0979155536813803</v>
      </c>
      <c r="AI1601">
        <v>1.3093616262151766E-4</v>
      </c>
    </row>
    <row r="1602" spans="23:35" x14ac:dyDescent="0.25">
      <c r="W1602">
        <v>1600</v>
      </c>
      <c r="X1602">
        <v>72.423086492758671</v>
      </c>
      <c r="Y1602">
        <v>-3.9230864927586708</v>
      </c>
      <c r="Z1602">
        <v>72.430337663117115</v>
      </c>
      <c r="AA1602">
        <v>0.40388114008489995</v>
      </c>
      <c r="AB1602">
        <v>82.3</v>
      </c>
      <c r="AC1602">
        <v>-0.25193465741015014</v>
      </c>
      <c r="AD1602">
        <v>-0.53145747131852861</v>
      </c>
      <c r="AE1602">
        <v>2.0997439730146832</v>
      </c>
      <c r="AF1602">
        <v>1.8449230015240327E-3</v>
      </c>
      <c r="AG1602">
        <v>-0.5319483997735448</v>
      </c>
      <c r="AH1602">
        <v>2.1036777020807316</v>
      </c>
      <c r="AI1602">
        <v>2.9056729726269351E-5</v>
      </c>
    </row>
    <row r="1603" spans="23:35" x14ac:dyDescent="0.25">
      <c r="W1603">
        <v>1601</v>
      </c>
      <c r="X1603">
        <v>68.03530671828247</v>
      </c>
      <c r="Y1603">
        <v>0.26469328171752693</v>
      </c>
      <c r="Z1603">
        <v>68.033790748757269</v>
      </c>
      <c r="AA1603">
        <v>0.39599757428744692</v>
      </c>
      <c r="AB1603">
        <v>82.4</v>
      </c>
      <c r="AC1603">
        <v>-0.27396491687072577</v>
      </c>
      <c r="AD1603">
        <v>3.5857792693650227E-2</v>
      </c>
      <c r="AE1603">
        <v>2.1026057441767581</v>
      </c>
      <c r="AF1603">
        <v>5.6946538038185803E-3</v>
      </c>
      <c r="AG1603">
        <v>3.5960329694388574E-2</v>
      </c>
      <c r="AH1603">
        <v>2.1271428083511084</v>
      </c>
      <c r="AI1603">
        <v>4.1145503108723813E-7</v>
      </c>
    </row>
    <row r="1604" spans="23:35" x14ac:dyDescent="0.25">
      <c r="W1604">
        <v>1602</v>
      </c>
      <c r="X1604">
        <v>68.383037239946304</v>
      </c>
      <c r="Y1604">
        <v>-0.38303723994630445</v>
      </c>
      <c r="Z1604">
        <v>68.385284037404489</v>
      </c>
      <c r="AA1604">
        <v>0.38447543966040026</v>
      </c>
      <c r="AB1604">
        <v>82.5</v>
      </c>
      <c r="AC1604">
        <v>-0.31204933220437475</v>
      </c>
      <c r="AD1604">
        <v>-5.1889756531863944E-2</v>
      </c>
      <c r="AE1604">
        <v>2.1102557866058298</v>
      </c>
      <c r="AF1604">
        <v>5.831535283228181E-3</v>
      </c>
      <c r="AG1604">
        <v>-5.2041719963909702E-2</v>
      </c>
      <c r="AH1604">
        <v>2.1278699649705386</v>
      </c>
      <c r="AI1604">
        <v>8.8257922890699469E-7</v>
      </c>
    </row>
    <row r="1605" spans="23:35" x14ac:dyDescent="0.25">
      <c r="W1605">
        <v>1603</v>
      </c>
      <c r="X1605">
        <v>71.8082680707507</v>
      </c>
      <c r="Y1605">
        <v>-3.9082680707506938</v>
      </c>
      <c r="Z1605">
        <v>71.815861591327717</v>
      </c>
      <c r="AA1605">
        <v>0.37719830200121285</v>
      </c>
      <c r="AB1605">
        <v>82.5</v>
      </c>
      <c r="AC1605">
        <v>-0.32163939638952632</v>
      </c>
      <c r="AD1605">
        <v>-0.52945003123179413</v>
      </c>
      <c r="AE1605">
        <v>2.1148652113420776</v>
      </c>
      <c r="AF1605">
        <v>1.9391698097369708E-3</v>
      </c>
      <c r="AG1605">
        <v>-0.52996412579839747</v>
      </c>
      <c r="AH1605">
        <v>2.130809410893824</v>
      </c>
      <c r="AI1605">
        <v>3.0316514531489696E-5</v>
      </c>
    </row>
    <row r="1606" spans="23:35" x14ac:dyDescent="0.25">
      <c r="W1606">
        <v>1604</v>
      </c>
      <c r="X1606">
        <v>71.33212267037942</v>
      </c>
      <c r="Y1606">
        <v>-3.5321226703794224</v>
      </c>
      <c r="Z1606">
        <v>71.339247670840521</v>
      </c>
      <c r="AA1606">
        <v>0.37355973317161917</v>
      </c>
      <c r="AB1606">
        <v>82.6</v>
      </c>
      <c r="AC1606">
        <v>-0.337689309602062</v>
      </c>
      <c r="AD1606">
        <v>-0.47849390683881898</v>
      </c>
      <c r="AE1606">
        <v>2.115143899661259</v>
      </c>
      <c r="AF1606">
        <v>2.0131398318938899E-3</v>
      </c>
      <c r="AG1606">
        <v>-0.47897627283536209</v>
      </c>
      <c r="AH1606">
        <v>2.13798575790678</v>
      </c>
      <c r="AI1606">
        <v>2.5710150204065294E-5</v>
      </c>
    </row>
    <row r="1607" spans="23:35" x14ac:dyDescent="0.25">
      <c r="W1607">
        <v>1605</v>
      </c>
      <c r="X1607">
        <v>70.747317342433703</v>
      </c>
      <c r="Y1607">
        <v>-3.1473173424337091</v>
      </c>
      <c r="Z1607">
        <v>70.753400645614008</v>
      </c>
      <c r="AA1607">
        <v>0.36264402668283807</v>
      </c>
      <c r="AB1607">
        <v>82.7</v>
      </c>
      <c r="AC1607">
        <v>-0.36030729595554811</v>
      </c>
      <c r="AD1607">
        <v>-0.42636462880291248</v>
      </c>
      <c r="AE1607">
        <v>2.1159072148481015</v>
      </c>
      <c r="AF1607">
        <v>1.92912473356823E-3</v>
      </c>
      <c r="AG1607">
        <v>-0.42677648005860375</v>
      </c>
      <c r="AH1607">
        <v>2.1419798856608088</v>
      </c>
      <c r="AI1607">
        <v>1.9558132130123813E-5</v>
      </c>
    </row>
    <row r="1608" spans="23:35" x14ac:dyDescent="0.25">
      <c r="W1608">
        <v>1606</v>
      </c>
      <c r="X1608">
        <v>70.828399891705828</v>
      </c>
      <c r="Y1608">
        <v>-3.5283998917058312</v>
      </c>
      <c r="Z1608">
        <v>70.836497688372091</v>
      </c>
      <c r="AA1608">
        <v>0.35112189205579136</v>
      </c>
      <c r="AB1608">
        <v>83</v>
      </c>
      <c r="AC1608">
        <v>-0.39787592189543292</v>
      </c>
      <c r="AD1608">
        <v>-0.47798958491173493</v>
      </c>
      <c r="AE1608">
        <v>2.149203082480303</v>
      </c>
      <c r="AF1608">
        <v>2.2897785831683848E-3</v>
      </c>
      <c r="AG1608">
        <v>-0.47853777166855355</v>
      </c>
      <c r="AH1608">
        <v>2.1569010048211581</v>
      </c>
      <c r="AI1608">
        <v>2.9197724625190308E-5</v>
      </c>
    </row>
    <row r="1609" spans="23:35" x14ac:dyDescent="0.25">
      <c r="W1609">
        <v>1607</v>
      </c>
      <c r="X1609">
        <v>70.343325710360972</v>
      </c>
      <c r="Y1609">
        <v>-2.5433257103609748</v>
      </c>
      <c r="Z1609">
        <v>70.349228459931723</v>
      </c>
      <c r="AA1609">
        <v>0.37355973317161917</v>
      </c>
      <c r="AB1609">
        <v>83</v>
      </c>
      <c r="AC1609">
        <v>-0.337689309602062</v>
      </c>
      <c r="AD1609">
        <v>-0.34454235288026114</v>
      </c>
      <c r="AE1609">
        <v>2.1535551077141686</v>
      </c>
      <c r="AF1609">
        <v>2.3155043431867047E-3</v>
      </c>
      <c r="AG1609">
        <v>-0.34494194160864766</v>
      </c>
      <c r="AH1609">
        <v>2.1740125388762772</v>
      </c>
      <c r="AI1609">
        <v>1.5341643223587218E-5</v>
      </c>
    </row>
    <row r="1610" spans="23:35" x14ac:dyDescent="0.25">
      <c r="W1610">
        <v>1608</v>
      </c>
      <c r="X1610">
        <v>69.417551300449105</v>
      </c>
      <c r="Y1610">
        <v>-2.2175513004491023</v>
      </c>
      <c r="Z1610">
        <v>69.422697376453797</v>
      </c>
      <c r="AA1610">
        <v>0.34505761067313523</v>
      </c>
      <c r="AB1610">
        <v>83</v>
      </c>
      <c r="AC1610">
        <v>-0.40776731506460179</v>
      </c>
      <c r="AD1610">
        <v>-0.30040994732875809</v>
      </c>
      <c r="AE1610">
        <v>2.1637421612838637</v>
      </c>
      <c r="AF1610">
        <v>2.3152391590567059E-3</v>
      </c>
      <c r="AG1610">
        <v>-0.3007583127945419</v>
      </c>
      <c r="AH1610">
        <v>2.1862594869655529</v>
      </c>
      <c r="AI1610">
        <v>1.1661792112893599E-5</v>
      </c>
    </row>
    <row r="1611" spans="23:35" x14ac:dyDescent="0.25">
      <c r="W1611">
        <v>1609</v>
      </c>
      <c r="X1611">
        <v>68.247385077474519</v>
      </c>
      <c r="Y1611">
        <v>-1.1473850774745245</v>
      </c>
      <c r="Z1611">
        <v>68.251593099731679</v>
      </c>
      <c r="AA1611">
        <v>0.34141904184354155</v>
      </c>
      <c r="AB1611">
        <v>83</v>
      </c>
      <c r="AC1611">
        <v>-0.41272795222137554</v>
      </c>
      <c r="AD1611">
        <v>-0.15543536269944172</v>
      </c>
      <c r="AE1611">
        <v>2.1919094730948347</v>
      </c>
      <c r="AF1611">
        <v>3.6540877660116138E-3</v>
      </c>
      <c r="AG1611">
        <v>-0.15572013059129722</v>
      </c>
      <c r="AH1611">
        <v>2.2119181464683368</v>
      </c>
      <c r="AI1611">
        <v>4.9406699674427492E-6</v>
      </c>
    </row>
    <row r="1612" spans="23:35" x14ac:dyDescent="0.25">
      <c r="W1612">
        <v>1610</v>
      </c>
      <c r="X1612">
        <v>63.403103559687914</v>
      </c>
      <c r="Y1612">
        <v>8.2968964403120893</v>
      </c>
      <c r="Z1612">
        <v>63.37931533633656</v>
      </c>
      <c r="AA1612">
        <v>0.50394178289872649</v>
      </c>
      <c r="AB1612">
        <v>83</v>
      </c>
      <c r="AC1612">
        <v>-4.5602855597810616E-3</v>
      </c>
      <c r="AD1612">
        <v>1.1239740979708275</v>
      </c>
      <c r="AE1612">
        <v>2.2025926208858735</v>
      </c>
      <c r="AF1612">
        <v>2.8589261957297305E-3</v>
      </c>
      <c r="AG1612">
        <v>1.1255842307285724</v>
      </c>
      <c r="AH1612">
        <v>2.2142720468391475</v>
      </c>
      <c r="AI1612">
        <v>2.0180402924210839E-4</v>
      </c>
    </row>
    <row r="1613" spans="23:35" x14ac:dyDescent="0.25">
      <c r="W1613">
        <v>1611</v>
      </c>
      <c r="X1613">
        <v>62.095107503050592</v>
      </c>
      <c r="Y1613">
        <v>9.5048924969494024</v>
      </c>
      <c r="Z1613">
        <v>62.067571288581135</v>
      </c>
      <c r="AA1613">
        <v>0.49787750151607035</v>
      </c>
      <c r="AB1613">
        <v>83</v>
      </c>
      <c r="AC1613">
        <v>-2.1282865457297767E-2</v>
      </c>
      <c r="AD1613">
        <v>1.2876203828050357</v>
      </c>
      <c r="AE1613">
        <v>2.203749996379742</v>
      </c>
      <c r="AF1613">
        <v>2.888688213998685E-3</v>
      </c>
      <c r="AG1613">
        <v>1.2894841886559303</v>
      </c>
      <c r="AH1613">
        <v>2.231582985304696</v>
      </c>
      <c r="AI1613">
        <v>2.6761876598936966E-4</v>
      </c>
    </row>
    <row r="1614" spans="23:35" x14ac:dyDescent="0.25">
      <c r="W1614">
        <v>1612</v>
      </c>
      <c r="X1614">
        <v>57.294225358114119</v>
      </c>
      <c r="Y1614">
        <v>14.105774641885887</v>
      </c>
      <c r="Z1614">
        <v>57.214590827467077</v>
      </c>
      <c r="AA1614">
        <v>0.4887810794420861</v>
      </c>
      <c r="AB1614">
        <v>83</v>
      </c>
      <c r="AC1614">
        <v>-4.7140240828996732E-2</v>
      </c>
      <c r="AD1614">
        <v>1.9108983031608251</v>
      </c>
      <c r="AE1614">
        <v>2.2176447831187973</v>
      </c>
      <c r="AF1614">
        <v>5.6138338822989469E-3</v>
      </c>
      <c r="AG1614">
        <v>1.9162847254803703</v>
      </c>
      <c r="AH1614">
        <v>2.2343070900043944</v>
      </c>
      <c r="AI1614">
        <v>1.1517336461694561E-3</v>
      </c>
    </row>
    <row r="1615" spans="23:35" x14ac:dyDescent="0.25">
      <c r="W1615">
        <v>1613</v>
      </c>
      <c r="X1615">
        <v>61.436213733885822</v>
      </c>
      <c r="Y1615">
        <v>9.763786266114181</v>
      </c>
      <c r="Z1615">
        <v>61.413143430299115</v>
      </c>
      <c r="AA1615">
        <v>0.47907822922983628</v>
      </c>
      <c r="AB1615">
        <v>83</v>
      </c>
      <c r="AC1615">
        <v>-6.3887210036911155E-2</v>
      </c>
      <c r="AD1615">
        <v>1.322692520050647</v>
      </c>
      <c r="AE1615">
        <v>2.26889562220587</v>
      </c>
      <c r="AF1615">
        <v>2.3572741076161629E-3</v>
      </c>
      <c r="AG1615">
        <v>1.3242542560885426</v>
      </c>
      <c r="AH1615">
        <v>2.2714624401133952</v>
      </c>
      <c r="AI1615">
        <v>2.3019998728562283E-4</v>
      </c>
    </row>
    <row r="1616" spans="23:35" x14ac:dyDescent="0.25">
      <c r="W1616">
        <v>1614</v>
      </c>
      <c r="X1616">
        <v>62.13396906705141</v>
      </c>
      <c r="Y1616">
        <v>8.8660309329485898</v>
      </c>
      <c r="Z1616">
        <v>62.114828315457203</v>
      </c>
      <c r="AA1616">
        <v>0.46937537901758641</v>
      </c>
      <c r="AB1616">
        <v>83</v>
      </c>
      <c r="AC1616">
        <v>-9.743972564826138E-2</v>
      </c>
      <c r="AD1616">
        <v>1.2010743043657301</v>
      </c>
      <c r="AE1616">
        <v>2.2754175091681299</v>
      </c>
      <c r="AF1616">
        <v>2.1542354243422402E-3</v>
      </c>
      <c r="AG1616">
        <v>1.2023700967302009</v>
      </c>
      <c r="AH1616">
        <v>2.2899473916813147</v>
      </c>
      <c r="AI1616">
        <v>1.7339380348328513E-4</v>
      </c>
    </row>
    <row r="1617" spans="23:35" x14ac:dyDescent="0.25">
      <c r="W1617">
        <v>1615</v>
      </c>
      <c r="X1617">
        <v>61.251578443573564</v>
      </c>
      <c r="Y1617">
        <v>16.748421556426436</v>
      </c>
      <c r="Z1617">
        <v>61.213661788894001</v>
      </c>
      <c r="AA1617">
        <v>0.86294724075197093</v>
      </c>
      <c r="AB1617">
        <v>84</v>
      </c>
      <c r="AC1617">
        <v>1.0491313979639725</v>
      </c>
      <c r="AD1617">
        <v>2.26889562220587</v>
      </c>
      <c r="AE1617">
        <v>2.2803210467891133</v>
      </c>
      <c r="AF1617">
        <v>2.2587805751751113E-3</v>
      </c>
      <c r="AG1617">
        <v>2.2714624401133952</v>
      </c>
      <c r="AH1617">
        <v>2.2947568198675485</v>
      </c>
      <c r="AI1617">
        <v>6.4892535670931276E-4</v>
      </c>
    </row>
    <row r="1618" spans="23:35" x14ac:dyDescent="0.25">
      <c r="W1618">
        <v>1616</v>
      </c>
      <c r="X1618">
        <v>60.702907586626999</v>
      </c>
      <c r="Y1618">
        <v>14.297092413373001</v>
      </c>
      <c r="Z1618">
        <v>60.672402651529964</v>
      </c>
      <c r="AA1618">
        <v>0.76046088538508183</v>
      </c>
      <c r="AB1618">
        <v>84</v>
      </c>
      <c r="AC1618">
        <v>0.67020216077934069</v>
      </c>
      <c r="AD1618">
        <v>1.9368159726388026</v>
      </c>
      <c r="AE1618">
        <v>2.2804291053159025</v>
      </c>
      <c r="AF1618">
        <v>2.1291033210318702E-3</v>
      </c>
      <c r="AG1618">
        <v>1.9388811115548963</v>
      </c>
      <c r="AH1618">
        <v>2.2950619253218569</v>
      </c>
      <c r="AI1618">
        <v>4.4560723693466388E-4</v>
      </c>
    </row>
    <row r="1619" spans="23:35" x14ac:dyDescent="0.25">
      <c r="W1619">
        <v>1617</v>
      </c>
      <c r="X1619">
        <v>60.027692792832653</v>
      </c>
      <c r="Y1619">
        <v>12.972307207167347</v>
      </c>
      <c r="Z1619">
        <v>59.929042469734611</v>
      </c>
      <c r="AA1619">
        <v>0.60946027895694366</v>
      </c>
      <c r="AB1619">
        <v>84</v>
      </c>
      <c r="AC1619">
        <v>0.22222871718700732</v>
      </c>
      <c r="AD1619">
        <v>1.7573483526845048</v>
      </c>
      <c r="AE1619">
        <v>2.2810477801344162</v>
      </c>
      <c r="AF1619">
        <v>7.5472912271056375E-3</v>
      </c>
      <c r="AG1619">
        <v>1.7640177382672781</v>
      </c>
      <c r="AH1619">
        <v>2.3134747828905691</v>
      </c>
      <c r="AI1619">
        <v>1.3146637187656958E-3</v>
      </c>
    </row>
    <row r="1620" spans="23:35" x14ac:dyDescent="0.25">
      <c r="W1620">
        <v>1618</v>
      </c>
      <c r="X1620">
        <v>60.759824441209602</v>
      </c>
      <c r="Y1620">
        <v>10.240175558790398</v>
      </c>
      <c r="Z1620">
        <v>60.73775159415306</v>
      </c>
      <c r="AA1620">
        <v>0.46937537901758641</v>
      </c>
      <c r="AB1620">
        <v>84</v>
      </c>
      <c r="AC1620">
        <v>-9.743972564826138E-2</v>
      </c>
      <c r="AD1620">
        <v>1.3872286064500297</v>
      </c>
      <c r="AE1620">
        <v>2.3046543856952666</v>
      </c>
      <c r="AF1620">
        <v>2.1508782660111265E-3</v>
      </c>
      <c r="AG1620">
        <v>1.3887228973407089</v>
      </c>
      <c r="AH1620">
        <v>2.3502817568888292</v>
      </c>
      <c r="AI1620">
        <v>2.3094557164854358E-4</v>
      </c>
    </row>
    <row r="1621" spans="23:35" x14ac:dyDescent="0.25">
      <c r="W1621">
        <v>1619</v>
      </c>
      <c r="X1621">
        <v>49.711124057725186</v>
      </c>
      <c r="Y1621">
        <v>20.188875942274819</v>
      </c>
      <c r="Z1621">
        <v>49.355107942697899</v>
      </c>
      <c r="AA1621">
        <v>0.45724681625227409</v>
      </c>
      <c r="AB1621">
        <v>84</v>
      </c>
      <c r="AC1621">
        <v>-0.11731546960548965</v>
      </c>
      <c r="AD1621">
        <v>2.7349712979435146</v>
      </c>
      <c r="AE1621">
        <v>2.3323125635246957</v>
      </c>
      <c r="AF1621">
        <v>1.7328692408522698E-2</v>
      </c>
      <c r="AG1621">
        <v>2.7589805270831866</v>
      </c>
      <c r="AH1621">
        <v>2.3648966633864763</v>
      </c>
      <c r="AI1621">
        <v>7.4573114705219906E-3</v>
      </c>
    </row>
    <row r="1622" spans="23:35" x14ac:dyDescent="0.25">
      <c r="W1622">
        <v>1620</v>
      </c>
      <c r="X1622">
        <v>50.291377793861443</v>
      </c>
      <c r="Y1622">
        <v>19.308622206138551</v>
      </c>
      <c r="Z1622">
        <v>49.947364598628646</v>
      </c>
      <c r="AA1622">
        <v>0.44815039417828989</v>
      </c>
      <c r="AB1622">
        <v>84</v>
      </c>
      <c r="AC1622">
        <v>-0.14337818601426075</v>
      </c>
      <c r="AD1622">
        <v>2.6157240099754371</v>
      </c>
      <c r="AE1622">
        <v>2.3339516012028825</v>
      </c>
      <c r="AF1622">
        <v>1.7504685158347372E-2</v>
      </c>
      <c r="AG1622">
        <v>2.6389227356018585</v>
      </c>
      <c r="AH1622">
        <v>2.3820647832365047</v>
      </c>
      <c r="AI1622">
        <v>6.8929425737015056E-3</v>
      </c>
    </row>
    <row r="1623" spans="23:35" x14ac:dyDescent="0.25">
      <c r="W1623">
        <v>1621</v>
      </c>
      <c r="X1623">
        <v>49.256062313965302</v>
      </c>
      <c r="Y1623">
        <v>20.143937686034704</v>
      </c>
      <c r="Z1623">
        <v>48.918876632250196</v>
      </c>
      <c r="AA1623">
        <v>0.43784111582777441</v>
      </c>
      <c r="AB1623">
        <v>85</v>
      </c>
      <c r="AC1623">
        <v>-0.16799678341230881</v>
      </c>
      <c r="AD1623">
        <v>2.7288835473749455</v>
      </c>
      <c r="AE1623">
        <v>2.3614584859592802</v>
      </c>
      <c r="AF1623">
        <v>1.6463241574241338E-2</v>
      </c>
      <c r="AG1623">
        <v>2.7516279047886454</v>
      </c>
      <c r="AH1623">
        <v>2.3848039067490352</v>
      </c>
      <c r="AI1623">
        <v>7.0409564829301396E-3</v>
      </c>
    </row>
    <row r="1624" spans="23:35" x14ac:dyDescent="0.25">
      <c r="W1624">
        <v>1622</v>
      </c>
      <c r="X1624">
        <v>43.053125181475508</v>
      </c>
      <c r="Y1624">
        <v>26.246874818524489</v>
      </c>
      <c r="Z1624">
        <v>42.433823070265703</v>
      </c>
      <c r="AA1624">
        <v>0.4329896907216495</v>
      </c>
      <c r="AB1624">
        <v>85</v>
      </c>
      <c r="AC1624">
        <v>-0.17879863688351211</v>
      </c>
      <c r="AD1624">
        <v>3.5556436868813814</v>
      </c>
      <c r="AE1624">
        <v>2.3685346317926146</v>
      </c>
      <c r="AF1624">
        <v>2.3051367257407793E-2</v>
      </c>
      <c r="AG1624">
        <v>3.597347306388039</v>
      </c>
      <c r="AH1624">
        <v>2.4279428065969091</v>
      </c>
      <c r="AI1624">
        <v>1.6963567577210036E-2</v>
      </c>
    </row>
    <row r="1625" spans="23:35" x14ac:dyDescent="0.25">
      <c r="W1625">
        <v>1623</v>
      </c>
      <c r="X1625">
        <v>42.859371054481329</v>
      </c>
      <c r="Y1625">
        <v>26.240628945518665</v>
      </c>
      <c r="Z1625">
        <v>42.240336272609461</v>
      </c>
      <c r="AA1625">
        <v>0.42510612492419647</v>
      </c>
      <c r="AB1625">
        <v>85</v>
      </c>
      <c r="AC1625">
        <v>-0.198915705174462</v>
      </c>
      <c r="AD1625">
        <v>3.5547975633304532</v>
      </c>
      <c r="AE1625">
        <v>2.4173055410916819</v>
      </c>
      <c r="AF1625">
        <v>2.3047004167837042E-2</v>
      </c>
      <c r="AG1625">
        <v>3.5964832277728411</v>
      </c>
      <c r="AH1625">
        <v>2.4458921111985545</v>
      </c>
      <c r="AI1625">
        <v>1.695213432097295E-2</v>
      </c>
    </row>
    <row r="1626" spans="23:35" x14ac:dyDescent="0.25">
      <c r="W1626">
        <v>1624</v>
      </c>
      <c r="X1626">
        <v>43.404397697029765</v>
      </c>
      <c r="Y1626">
        <v>25.595602302970235</v>
      </c>
      <c r="Z1626">
        <v>42.860452935572866</v>
      </c>
      <c r="AA1626">
        <v>0.42086112795633718</v>
      </c>
      <c r="AB1626">
        <v>85</v>
      </c>
      <c r="AC1626">
        <v>-0.21444491222324932</v>
      </c>
      <c r="AD1626">
        <v>3.4674163065025385</v>
      </c>
      <c r="AE1626">
        <v>2.4604710480186194</v>
      </c>
      <c r="AF1626">
        <v>2.080926498520487E-2</v>
      </c>
      <c r="AG1626">
        <v>3.5040664989055332</v>
      </c>
      <c r="AH1626">
        <v>2.4705347285355757</v>
      </c>
      <c r="AI1626">
        <v>1.449644855898486E-2</v>
      </c>
    </row>
    <row r="1627" spans="23:35" x14ac:dyDescent="0.25">
      <c r="W1627">
        <v>1625</v>
      </c>
      <c r="X1627">
        <v>70.498826361938455</v>
      </c>
      <c r="Y1627">
        <v>-9.398826361938454</v>
      </c>
      <c r="Z1627">
        <v>70.534642035686161</v>
      </c>
      <c r="AA1627">
        <v>0.17889630078835658</v>
      </c>
      <c r="AB1627">
        <v>85</v>
      </c>
      <c r="AC1627">
        <v>-0.9277300733017374</v>
      </c>
      <c r="AD1627">
        <v>-1.2732516861144334</v>
      </c>
      <c r="AE1627">
        <v>2.4667488082343576</v>
      </c>
      <c r="AF1627">
        <v>3.7961878799684166E-3</v>
      </c>
      <c r="AG1627">
        <v>-1.2756753400954373</v>
      </c>
      <c r="AH1627">
        <v>2.4894201068529815</v>
      </c>
      <c r="AI1627">
        <v>3.4451434865942753E-4</v>
      </c>
    </row>
    <row r="1628" spans="23:35" x14ac:dyDescent="0.25">
      <c r="W1628">
        <v>1626</v>
      </c>
      <c r="X1628">
        <v>67.855908835048325</v>
      </c>
      <c r="Y1628">
        <v>-4.855908835048325</v>
      </c>
      <c r="Z1628">
        <v>67.871261728054307</v>
      </c>
      <c r="AA1628">
        <v>0.22195269860521527</v>
      </c>
      <c r="AB1628">
        <v>86</v>
      </c>
      <c r="AC1628">
        <v>-0.78098898173722842</v>
      </c>
      <c r="AD1628">
        <v>-0.65782618741432819</v>
      </c>
      <c r="AE1628">
        <v>2.504966575305458</v>
      </c>
      <c r="AF1628">
        <v>3.1517282098720073E-3</v>
      </c>
      <c r="AG1628">
        <v>-0.65886528896073504</v>
      </c>
      <c r="AH1628">
        <v>2.5517681294508523</v>
      </c>
      <c r="AI1628">
        <v>7.6250105678078508E-5</v>
      </c>
    </row>
    <row r="1629" spans="23:35" x14ac:dyDescent="0.25">
      <c r="W1629">
        <v>1627</v>
      </c>
      <c r="X1629">
        <v>62.263543628327575</v>
      </c>
      <c r="Y1629">
        <v>-3.0635436283275723</v>
      </c>
      <c r="Z1629">
        <v>62.307116350633954</v>
      </c>
      <c r="AA1629">
        <v>0.15767131594906003</v>
      </c>
      <c r="AB1629">
        <v>86</v>
      </c>
      <c r="AC1629">
        <v>-1.0205681915260707</v>
      </c>
      <c r="AD1629">
        <v>-0.41501586900778975</v>
      </c>
      <c r="AE1629">
        <v>2.6157240099754371</v>
      </c>
      <c r="AF1629">
        <v>1.4023524512524208E-2</v>
      </c>
      <c r="AG1629">
        <v>-0.41795682999638517</v>
      </c>
      <c r="AH1629">
        <v>2.6389227356018585</v>
      </c>
      <c r="AI1629">
        <v>1.3803237891232972E-4</v>
      </c>
    </row>
    <row r="1630" spans="23:35" x14ac:dyDescent="0.25">
      <c r="W1630">
        <v>1628</v>
      </c>
      <c r="X1630">
        <v>66.597363365341607</v>
      </c>
      <c r="Y1630">
        <v>-8.3973633653416044</v>
      </c>
      <c r="Z1630">
        <v>66.634433066266425</v>
      </c>
      <c r="AA1630">
        <v>0.13644633110976348</v>
      </c>
      <c r="AB1630">
        <v>86</v>
      </c>
      <c r="AC1630">
        <v>-1.1005940465096573</v>
      </c>
      <c r="AD1630">
        <v>-1.1375842740467028</v>
      </c>
      <c r="AE1630">
        <v>2.6239403306573554</v>
      </c>
      <c r="AF1630">
        <v>4.3950435830812365E-3</v>
      </c>
      <c r="AG1630">
        <v>-1.1400924108412123</v>
      </c>
      <c r="AH1630">
        <v>2.6450525385138137</v>
      </c>
      <c r="AI1630">
        <v>3.1877462276932208E-4</v>
      </c>
    </row>
    <row r="1631" spans="23:35" x14ac:dyDescent="0.25">
      <c r="W1631">
        <v>1629</v>
      </c>
      <c r="X1631">
        <v>59.739076219760676</v>
      </c>
      <c r="Y1631">
        <v>-1.7390762197606762</v>
      </c>
      <c r="Z1631">
        <v>59.770953422144686</v>
      </c>
      <c r="AA1631">
        <v>0.13159490600363857</v>
      </c>
      <c r="AB1631">
        <v>86</v>
      </c>
      <c r="AC1631">
        <v>-1.1375552391677688</v>
      </c>
      <c r="AD1631">
        <v>-0.23559130085206859</v>
      </c>
      <c r="AE1631">
        <v>2.6458357798176553</v>
      </c>
      <c r="AF1631">
        <v>1.8000023030196571E-2</v>
      </c>
      <c r="AG1631">
        <v>-0.23774068592961603</v>
      </c>
      <c r="AH1631">
        <v>2.6530243426830529</v>
      </c>
      <c r="AI1631">
        <v>5.7556728500463515E-5</v>
      </c>
    </row>
    <row r="1632" spans="23:35" x14ac:dyDescent="0.25">
      <c r="W1632">
        <v>1630</v>
      </c>
      <c r="X1632">
        <v>63.294346720233534</v>
      </c>
      <c r="Y1632">
        <v>-5.8943467202335356</v>
      </c>
      <c r="Z1632">
        <v>63.327807053799319</v>
      </c>
      <c r="AA1632">
        <v>0.11825348696179502</v>
      </c>
      <c r="AB1632">
        <v>86</v>
      </c>
      <c r="AC1632">
        <v>-1.1914554566319386</v>
      </c>
      <c r="AD1632">
        <v>-0.79850255883784294</v>
      </c>
      <c r="AE1632">
        <v>2.652428138250484</v>
      </c>
      <c r="AF1632">
        <v>5.6446394530229229E-3</v>
      </c>
      <c r="AG1632">
        <v>-0.80076577415685002</v>
      </c>
      <c r="AH1632">
        <v>2.6629616601273112</v>
      </c>
      <c r="AI1632">
        <v>2.0222418206514042E-4</v>
      </c>
    </row>
    <row r="1633" spans="23:35" x14ac:dyDescent="0.25">
      <c r="W1633">
        <v>1631</v>
      </c>
      <c r="X1633">
        <v>53.393117150796499</v>
      </c>
      <c r="Y1633">
        <v>2.3068828492035038</v>
      </c>
      <c r="Z1633">
        <v>53.349463289202298</v>
      </c>
      <c r="AA1633">
        <v>8.9751364463311098E-2</v>
      </c>
      <c r="AB1633">
        <v>86</v>
      </c>
      <c r="AC1633">
        <v>-1.3441610904494867</v>
      </c>
      <c r="AD1633">
        <v>0.31251162265445237</v>
      </c>
      <c r="AE1633">
        <v>2.6940447770779397</v>
      </c>
      <c r="AF1633">
        <v>1.8571869732419304E-2</v>
      </c>
      <c r="AG1633">
        <v>0.31545464229962045</v>
      </c>
      <c r="AH1633">
        <v>2.7286118202607992</v>
      </c>
      <c r="AI1633">
        <v>1.0461608600241204E-4</v>
      </c>
    </row>
    <row r="1634" spans="23:35" x14ac:dyDescent="0.25">
      <c r="W1634">
        <v>1632</v>
      </c>
      <c r="X1634">
        <v>52.810248895326453</v>
      </c>
      <c r="Y1634">
        <v>-0.21024889532645119</v>
      </c>
      <c r="Z1634">
        <v>52.814056206777174</v>
      </c>
      <c r="AA1634">
        <v>5.5184960582171011E-2</v>
      </c>
      <c r="AB1634">
        <v>86</v>
      </c>
      <c r="AC1634">
        <v>-1.6158584342289828</v>
      </c>
      <c r="AD1634">
        <v>-2.8482254078251685E-2</v>
      </c>
      <c r="AE1634">
        <v>2.7054376443393733</v>
      </c>
      <c r="AF1634">
        <v>1.7786503405067093E-2</v>
      </c>
      <c r="AG1634">
        <v>-2.8738983797682284E-2</v>
      </c>
      <c r="AH1634">
        <v>2.7384848757043758</v>
      </c>
      <c r="AI1634">
        <v>8.3091192587445205E-7</v>
      </c>
    </row>
    <row r="1635" spans="23:35" x14ac:dyDescent="0.25">
      <c r="W1635">
        <v>1633</v>
      </c>
      <c r="X1635">
        <v>60.031042519198252</v>
      </c>
      <c r="Y1635">
        <v>-2.0310425191982517</v>
      </c>
      <c r="Z1635">
        <v>60.044390373361757</v>
      </c>
      <c r="AA1635">
        <v>0.13159490600363857</v>
      </c>
      <c r="AB1635">
        <v>86</v>
      </c>
      <c r="AC1635">
        <v>-1.1375552391677688</v>
      </c>
      <c r="AD1635">
        <v>-0.27514374801216424</v>
      </c>
      <c r="AE1635">
        <v>2.7151198202762807</v>
      </c>
      <c r="AF1635">
        <v>6.5290143885575382E-3</v>
      </c>
      <c r="AG1635">
        <v>-0.27604637913843844</v>
      </c>
      <c r="AH1635">
        <v>2.7445473918577754</v>
      </c>
      <c r="AI1635">
        <v>2.7821724286020103E-5</v>
      </c>
    </row>
    <row r="1636" spans="23:35" x14ac:dyDescent="0.25">
      <c r="W1636">
        <v>1634</v>
      </c>
      <c r="X1636">
        <v>60.411684558443547</v>
      </c>
      <c r="Y1636">
        <v>-11.11168455844355</v>
      </c>
      <c r="Z1636">
        <v>60.49485395331169</v>
      </c>
      <c r="AA1636">
        <v>2.8502122498483929E-2</v>
      </c>
      <c r="AB1636">
        <v>87</v>
      </c>
      <c r="AC1636">
        <v>-1.907948933309944</v>
      </c>
      <c r="AD1636">
        <v>-1.5052912517783787</v>
      </c>
      <c r="AE1636">
        <v>2.7272945793156995</v>
      </c>
      <c r="AF1636">
        <v>7.429252334599434E-3</v>
      </c>
      <c r="AG1636">
        <v>-1.5109141962258799</v>
      </c>
      <c r="AH1636">
        <v>2.7449478437978252</v>
      </c>
      <c r="AI1636">
        <v>9.4927214207647659E-4</v>
      </c>
    </row>
    <row r="1637" spans="23:35" x14ac:dyDescent="0.25">
      <c r="W1637">
        <v>1635</v>
      </c>
      <c r="X1637">
        <v>61.406162841603141</v>
      </c>
      <c r="Y1637">
        <v>-2.2061628416031382</v>
      </c>
      <c r="Z1637">
        <v>61.413883221973663</v>
      </c>
      <c r="AA1637">
        <v>0.15767131594906003</v>
      </c>
      <c r="AB1637">
        <v>87</v>
      </c>
      <c r="AC1637">
        <v>-1.0205681915260707</v>
      </c>
      <c r="AD1637">
        <v>-0.29886716167984029</v>
      </c>
      <c r="AE1637">
        <v>2.7288835473749455</v>
      </c>
      <c r="AF1637">
        <v>3.4872572744089462E-3</v>
      </c>
      <c r="AG1637">
        <v>-0.29938964193678325</v>
      </c>
      <c r="AH1637">
        <v>2.7516279047886454</v>
      </c>
      <c r="AI1637">
        <v>1.7426178928761109E-5</v>
      </c>
    </row>
    <row r="1638" spans="23:35" x14ac:dyDescent="0.25">
      <c r="W1638">
        <v>1636</v>
      </c>
      <c r="X1638">
        <v>60.118916916425505</v>
      </c>
      <c r="Y1638">
        <v>-2.1189169164255048</v>
      </c>
      <c r="Z1638">
        <v>60.131450076540844</v>
      </c>
      <c r="AA1638">
        <v>0.13159490600363857</v>
      </c>
      <c r="AB1638">
        <v>87</v>
      </c>
      <c r="AC1638">
        <v>-1.1375552391677688</v>
      </c>
      <c r="AD1638">
        <v>-0.28704802415551173</v>
      </c>
      <c r="AE1638">
        <v>2.7349712979435146</v>
      </c>
      <c r="AF1638">
        <v>5.8801096273754508E-3</v>
      </c>
      <c r="AG1638">
        <v>-0.28789570124356373</v>
      </c>
      <c r="AH1638">
        <v>2.7589805270831866</v>
      </c>
      <c r="AI1638">
        <v>2.7236074601142739E-5</v>
      </c>
    </row>
    <row r="1639" spans="23:35" x14ac:dyDescent="0.25">
      <c r="W1639">
        <v>1637</v>
      </c>
      <c r="X1639">
        <v>57.519003076678089</v>
      </c>
      <c r="Y1639">
        <v>-0.91900307667808789</v>
      </c>
      <c r="Z1639">
        <v>57.524698975863004</v>
      </c>
      <c r="AA1639">
        <v>0.10127349909035779</v>
      </c>
      <c r="AB1639">
        <v>88</v>
      </c>
      <c r="AC1639">
        <v>-1.2760422901524544</v>
      </c>
      <c r="AD1639">
        <v>-0.12449663094780232</v>
      </c>
      <c r="AE1639">
        <v>2.7531680861479542</v>
      </c>
      <c r="AF1639">
        <v>6.1597334198352695E-3</v>
      </c>
      <c r="AG1639">
        <v>-0.12488184450287981</v>
      </c>
      <c r="AH1639">
        <v>2.7808909794222312</v>
      </c>
      <c r="AI1639">
        <v>5.3699647227304803E-6</v>
      </c>
    </row>
    <row r="1640" spans="23:35" x14ac:dyDescent="0.25">
      <c r="W1640">
        <v>1638</v>
      </c>
      <c r="X1640">
        <v>58.283924312864087</v>
      </c>
      <c r="Y1640">
        <v>-3.3839243128640888</v>
      </c>
      <c r="Z1640">
        <v>58.302299767348217</v>
      </c>
      <c r="AA1640">
        <v>7.9442086112795629E-2</v>
      </c>
      <c r="AB1640">
        <v>88</v>
      </c>
      <c r="AC1640">
        <v>-1.4191611772342045</v>
      </c>
      <c r="AD1640">
        <v>-0.45841759078409072</v>
      </c>
      <c r="AE1640">
        <v>2.8086166347502144</v>
      </c>
      <c r="AF1640">
        <v>5.4008922613101697E-3</v>
      </c>
      <c r="AG1640">
        <v>-0.45966055992234778</v>
      </c>
      <c r="AH1640">
        <v>2.8227156061509637</v>
      </c>
      <c r="AI1640">
        <v>6.3741081370669681E-5</v>
      </c>
    </row>
    <row r="1641" spans="23:35" x14ac:dyDescent="0.25">
      <c r="W1641">
        <v>1639</v>
      </c>
      <c r="X1641">
        <v>56.038037936032381</v>
      </c>
      <c r="Y1641">
        <v>-3.6380379360323829</v>
      </c>
      <c r="Z1641">
        <v>56.09630460919535</v>
      </c>
      <c r="AA1641">
        <v>5.2759248029108551E-2</v>
      </c>
      <c r="AB1641">
        <v>88</v>
      </c>
      <c r="AC1641">
        <v>-1.6271784104016083</v>
      </c>
      <c r="AD1641">
        <v>-0.49284216537501313</v>
      </c>
      <c r="AE1641">
        <v>2.8288422590907931</v>
      </c>
      <c r="AF1641">
        <v>1.576349335983222E-2</v>
      </c>
      <c r="AG1641">
        <v>-0.49677315865169014</v>
      </c>
      <c r="AH1641">
        <v>2.8389975300448862</v>
      </c>
      <c r="AI1641">
        <v>2.1958200081430502E-4</v>
      </c>
    </row>
    <row r="1642" spans="23:35" x14ac:dyDescent="0.25">
      <c r="W1642">
        <v>1640</v>
      </c>
      <c r="X1642">
        <v>53.99207506725098</v>
      </c>
      <c r="Y1642">
        <v>-3.9920750672509797</v>
      </c>
      <c r="Z1642">
        <v>54.026461495533646</v>
      </c>
      <c r="AA1642">
        <v>3.5779260157671314E-2</v>
      </c>
      <c r="AB1642">
        <v>88</v>
      </c>
      <c r="AC1642">
        <v>-1.8215296776288319</v>
      </c>
      <c r="AD1642">
        <v>-0.5408032997669272</v>
      </c>
      <c r="AE1642">
        <v>2.8862571932503753</v>
      </c>
      <c r="AF1642">
        <v>8.5401110431101938E-3</v>
      </c>
      <c r="AG1642">
        <v>-0.54312745694323572</v>
      </c>
      <c r="AH1642">
        <v>2.907604567161103</v>
      </c>
      <c r="AI1642">
        <v>1.4116251280276243E-4</v>
      </c>
    </row>
    <row r="1643" spans="23:35" x14ac:dyDescent="0.25">
      <c r="W1643">
        <v>1641</v>
      </c>
      <c r="X1643">
        <v>52.977256181858181</v>
      </c>
      <c r="Y1643">
        <v>-4.7772561818581778</v>
      </c>
      <c r="Z1643">
        <v>53.027555099977938</v>
      </c>
      <c r="AA1643">
        <v>2.2437841115827774E-2</v>
      </c>
      <c r="AB1643">
        <v>88</v>
      </c>
      <c r="AC1643">
        <v>-2.0231624874260845</v>
      </c>
      <c r="AD1643">
        <v>-0.64717117375248678</v>
      </c>
      <c r="AE1643">
        <v>2.9493879268998882</v>
      </c>
      <c r="AF1643">
        <v>1.0419128746968768E-2</v>
      </c>
      <c r="AG1643">
        <v>-0.65056923041151693</v>
      </c>
      <c r="AH1643">
        <v>3.0150567660144256</v>
      </c>
      <c r="AI1643">
        <v>2.475680782398176E-4</v>
      </c>
    </row>
    <row r="1644" spans="23:35" x14ac:dyDescent="0.25">
      <c r="W1644">
        <v>1642</v>
      </c>
      <c r="X1644">
        <v>43.720608692863664</v>
      </c>
      <c r="Y1644">
        <v>2.8793913071363377</v>
      </c>
      <c r="Z1644">
        <v>43.673780619820342</v>
      </c>
      <c r="AA1644">
        <v>1.5160703456640388E-2</v>
      </c>
      <c r="AB1644">
        <v>88</v>
      </c>
      <c r="AC1644">
        <v>-2.1738689464820578</v>
      </c>
      <c r="AD1644">
        <v>0.39006889749992718</v>
      </c>
      <c r="AE1644">
        <v>3.0602335029978862</v>
      </c>
      <c r="AF1644">
        <v>1.6002926287928147E-2</v>
      </c>
      <c r="AG1644">
        <v>0.39322798637932538</v>
      </c>
      <c r="AH1644">
        <v>3.1039786215604122</v>
      </c>
      <c r="AI1644">
        <v>1.3970821104371855E-4</v>
      </c>
    </row>
    <row r="1645" spans="23:35" x14ac:dyDescent="0.25">
      <c r="W1645">
        <v>1643</v>
      </c>
      <c r="X1645">
        <v>35.525904048198456</v>
      </c>
      <c r="Y1645">
        <v>9.874095951801543</v>
      </c>
      <c r="Z1645">
        <v>35.201004006744</v>
      </c>
      <c r="AA1645">
        <v>7.8835657974530016E-3</v>
      </c>
      <c r="AB1645">
        <v>89</v>
      </c>
      <c r="AC1645">
        <v>-2.4285172603656537</v>
      </c>
      <c r="AD1645">
        <v>1.3376360872459048</v>
      </c>
      <c r="AE1645">
        <v>3.1887156203075318</v>
      </c>
      <c r="AF1645">
        <v>3.1856080899462375E-2</v>
      </c>
      <c r="AG1645">
        <v>1.3594649525354241</v>
      </c>
      <c r="AH1645">
        <v>3.2133158137371844</v>
      </c>
      <c r="AI1645">
        <v>3.3784379750933452E-3</v>
      </c>
    </row>
    <row r="1646" spans="23:35" x14ac:dyDescent="0.25">
      <c r="W1646">
        <v>1644</v>
      </c>
      <c r="X1646">
        <v>47.82608882485485</v>
      </c>
      <c r="Y1646">
        <v>-3.2260888248548483</v>
      </c>
      <c r="Z1646">
        <v>47.883674913596202</v>
      </c>
      <c r="AA1646">
        <v>3.6385688295936932E-3</v>
      </c>
      <c r="AB1646">
        <v>89</v>
      </c>
      <c r="AC1646">
        <v>-2.7786903070508315</v>
      </c>
      <c r="AD1646">
        <v>-0.43703574016811525</v>
      </c>
      <c r="AE1646">
        <v>3.3383742186417731</v>
      </c>
      <c r="AF1646">
        <v>1.7537085812884608E-2</v>
      </c>
      <c r="AG1646">
        <v>-0.44091905868122971</v>
      </c>
      <c r="AH1646">
        <v>3.3754791287434096</v>
      </c>
      <c r="AI1646">
        <v>1.9279088609389057E-4</v>
      </c>
    </row>
    <row r="1647" spans="23:35" x14ac:dyDescent="0.25">
      <c r="W1647">
        <v>1645</v>
      </c>
      <c r="X1647">
        <v>45.995838965828611</v>
      </c>
      <c r="Y1647">
        <v>-1.6958389658286137</v>
      </c>
      <c r="Z1647">
        <v>46.030907033579965</v>
      </c>
      <c r="AA1647">
        <v>1.2128562765312311E-3</v>
      </c>
      <c r="AB1647">
        <v>89</v>
      </c>
      <c r="AC1647">
        <v>-3.118249953252767</v>
      </c>
      <c r="AD1647">
        <v>-0.22973398374119028</v>
      </c>
      <c r="AE1647">
        <v>3.4674163065025385</v>
      </c>
      <c r="AF1647">
        <v>2.0259937172258741E-2</v>
      </c>
      <c r="AG1647">
        <v>-0.23209715124539804</v>
      </c>
      <c r="AH1647">
        <v>3.5040664989055332</v>
      </c>
      <c r="AI1647">
        <v>6.1886274853223917E-5</v>
      </c>
    </row>
    <row r="1648" spans="23:35" x14ac:dyDescent="0.25">
      <c r="W1648">
        <v>1646</v>
      </c>
      <c r="X1648">
        <v>40.804896684900001</v>
      </c>
      <c r="Y1648">
        <v>3.695103315099999</v>
      </c>
      <c r="Z1648">
        <v>40.672658972668586</v>
      </c>
      <c r="AA1648">
        <v>2.4257125530624622E-3</v>
      </c>
      <c r="AB1648">
        <v>89</v>
      </c>
      <c r="AC1648">
        <v>-2.9644605992605717</v>
      </c>
      <c r="AD1648">
        <v>0.50057276782670224</v>
      </c>
      <c r="AE1648">
        <v>3.5160387813254252</v>
      </c>
      <c r="AF1648">
        <v>3.4550804667547022E-2</v>
      </c>
      <c r="AG1648">
        <v>0.50945110311776742</v>
      </c>
      <c r="AH1648">
        <v>3.539848097844466</v>
      </c>
      <c r="AI1648">
        <v>5.1601372141807974E-4</v>
      </c>
    </row>
    <row r="1649" spans="23:35" x14ac:dyDescent="0.25">
      <c r="W1649">
        <v>1647</v>
      </c>
      <c r="X1649">
        <v>32.561280751989749</v>
      </c>
      <c r="Y1649">
        <v>12.238719248010248</v>
      </c>
      <c r="Z1649">
        <v>32.04592309563315</v>
      </c>
      <c r="AA1649">
        <v>4.8514251061249243E-3</v>
      </c>
      <c r="AB1649">
        <v>89</v>
      </c>
      <c r="AC1649">
        <v>-2.6570161854420777</v>
      </c>
      <c r="AD1649">
        <v>1.6579697632797123</v>
      </c>
      <c r="AE1649">
        <v>3.524746700499553</v>
      </c>
      <c r="AF1649">
        <v>4.0407287820269394E-2</v>
      </c>
      <c r="AG1649">
        <v>1.6925173739796284</v>
      </c>
      <c r="AH1649">
        <v>3.5550864090658538</v>
      </c>
      <c r="AI1649">
        <v>6.7014151944029361E-3</v>
      </c>
    </row>
    <row r="1650" spans="23:35" x14ac:dyDescent="0.25">
      <c r="W1650">
        <v>1648</v>
      </c>
      <c r="X1650">
        <v>40.006458476279292</v>
      </c>
      <c r="Y1650">
        <v>5.2935415237207053</v>
      </c>
      <c r="Z1650">
        <v>39.823646735430032</v>
      </c>
      <c r="AA1650">
        <v>7.2771376591873865E-3</v>
      </c>
      <c r="AB1650">
        <v>89</v>
      </c>
      <c r="AC1650">
        <v>-2.5264513477970261</v>
      </c>
      <c r="AD1650">
        <v>0.71711194685844437</v>
      </c>
      <c r="AE1650">
        <v>3.5547975633304532</v>
      </c>
      <c r="AF1650">
        <v>3.3382021213274583E-2</v>
      </c>
      <c r="AG1650">
        <v>0.72938952749220598</v>
      </c>
      <c r="AH1650">
        <v>3.5964832277728411</v>
      </c>
      <c r="AI1650">
        <v>1.0207145416024266E-3</v>
      </c>
    </row>
    <row r="1651" spans="23:35" x14ac:dyDescent="0.25">
      <c r="W1651">
        <v>1649</v>
      </c>
      <c r="X1651">
        <v>46.908181123322436</v>
      </c>
      <c r="Y1651">
        <v>-0.90818112332243572</v>
      </c>
      <c r="Z1651">
        <v>46.93647272151793</v>
      </c>
      <c r="AA1651">
        <v>1.2128562765312311E-2</v>
      </c>
      <c r="AB1651">
        <v>89</v>
      </c>
      <c r="AC1651">
        <v>-2.3261203997549518</v>
      </c>
      <c r="AD1651">
        <v>-0.12303058935638239</v>
      </c>
      <c r="AE1651">
        <v>3.5556436868813814</v>
      </c>
      <c r="AF1651">
        <v>3.0210808649753864E-2</v>
      </c>
      <c r="AG1651">
        <v>-0.12493221350039384</v>
      </c>
      <c r="AH1651">
        <v>3.597347306388039</v>
      </c>
      <c r="AI1651">
        <v>2.7012288222297965E-5</v>
      </c>
    </row>
  </sheetData>
  <dataValidations count="1">
    <dataValidation type="list" allowBlank="1" showInputMessage="1" showErrorMessage="1" sqref="B2:B16000" xr:uid="{6D383270-1A7C-4456-B366-AF05555E1C6E}">
      <formula1>"TRUE,FALSE"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LAMBDA_functions</vt:lpstr>
      <vt:lpstr>Life Expectancy Data</vt:lpstr>
      <vt:lpstr>Regression</vt:lpstr>
      <vt:lpstr>Regression!All_Xs</vt:lpstr>
      <vt:lpstr>Regression!Allow_Intercept</vt:lpstr>
      <vt:lpstr>Regression!alpha</vt:lpstr>
      <vt:lpstr>Regression!fil</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2026-06-06T02:17:54Z</dcterms:created>
  <dcterms:modified xsi:type="dcterms:W3CDTF">2026-06-06T20:46:40Z</dcterms:modified>
</cp:coreProperties>
</file>